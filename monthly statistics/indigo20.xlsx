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K54" i="2" l="1"/>
  <c r="O73" i="2"/>
  <c r="Q73" i="2" s="1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<sst xmlns="http://schemas.openxmlformats.org/spreadsheetml/2006/main" count="153" uniqueCount="42">
  <si>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</si>
  <si>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INDIGO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</si>
  <si>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</si>
  <si>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</si>
  <si>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</si>
  <si>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</si>
  <si>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</si>
  <si>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</si>
  <si>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</si>
  <si>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</si>
  <si>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</si>
  <si>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</si>
  <si>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</si>
  <si>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</si>
  <si>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</si>
  <si>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</si>
  <si>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</si>
  <si>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</si>
  <si>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</si>
  <si>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</si>
  <si>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</si>
  <si>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</si>
  <si>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</si>
  <si>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</si>
  <si>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</si>
  <si>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</si>
  <si>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</si>
  <si>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</si>
  <si>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</si>
  <si>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</si>
  <si>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</si>
  <si>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</si>
  <si>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</si>
  <si>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</si>
  <si>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</si>
  <si>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INDIGO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</si>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</sst>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3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  <font>
      <sz val="12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164" fontId="22" fillId="3" borderId="12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Data"/>
      <sheetName val="Sheet2"/>
      <sheetName val="Sheet4"/>
      <sheetName val="Sheet3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3" transitionEvaluation="1" transitionEntry="1" codeName="Sheet12"/>
  <dimension ref="A1:Q494"/>
  <sheetViews>
    <sheetView showGridLines="0" tabSelected="1" view="pageBreakPreview" topLeftCell="A43" zoomScale="85" zoomScaleNormal="85" zoomScaleSheetLayoutView="85" workbookViewId="0">
      <selection activeCell="J52" sqref="J52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5">
        <v>2020</v>
      </c>
      <c r="B1" s="165"/>
      <c r="C1" s="166" t="s">
        <v>0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7" t="s">
        <v>1</v>
      </c>
      <c r="P1" s="167"/>
      <c r="Q1" s="167"/>
    </row>
    <row r="2" spans="1:17" ht="33" customHeight="1" x14ac:dyDescent="0.3">
      <c r="A2" s="168" t="s">
        <v>2</v>
      </c>
      <c r="B2" s="170" t="s">
        <v>3</v>
      </c>
      <c r="C2" s="170"/>
      <c r="D2" s="170"/>
      <c r="E2" s="171" t="s">
        <v>4</v>
      </c>
      <c r="F2" s="171" t="s">
        <v>5</v>
      </c>
      <c r="G2" s="171" t="s">
        <v>6</v>
      </c>
      <c r="H2" s="171" t="s">
        <v>7</v>
      </c>
      <c r="I2" s="170" t="s">
        <v>8</v>
      </c>
      <c r="J2" s="170"/>
      <c r="K2" s="170"/>
      <c r="L2" s="170" t="s">
        <v>9</v>
      </c>
      <c r="M2" s="170"/>
      <c r="N2" s="170"/>
      <c r="O2" s="170"/>
      <c r="P2" s="171" t="s">
        <v>10</v>
      </c>
      <c r="Q2" s="171" t="s">
        <v>11</v>
      </c>
    </row>
    <row r="3" spans="1:17" ht="155.25" customHeight="1" x14ac:dyDescent="0.3">
      <c r="A3" s="169"/>
      <c r="B3" s="2" t="s">
        <v>12</v>
      </c>
      <c r="C3" s="2" t="s">
        <v>13</v>
      </c>
      <c r="D3" s="2" t="s">
        <v>14</v>
      </c>
      <c r="E3" s="171"/>
      <c r="F3" s="171"/>
      <c r="G3" s="171"/>
      <c r="H3" s="171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71"/>
      <c r="Q3" s="171"/>
    </row>
    <row r="4" spans="1:17" ht="23.1" customHeight="1" x14ac:dyDescent="0.3">
      <c r="A4" s="4" t="s">
        <v>22</v>
      </c>
      <c r="B4" s="5">
        <v>42555</v>
      </c>
      <c r="C4" s="5">
        <v>75909.41</v>
      </c>
      <c r="D4" s="6">
        <v>37471.864999999998</v>
      </c>
      <c r="E4" s="7">
        <v>6119924</v>
      </c>
      <c r="F4" s="5">
        <v>5789000</v>
      </c>
      <c r="G4" s="5">
        <v>6594144</v>
      </c>
      <c r="H4" s="8">
        <f>IFERROR(F4/G4*100," ")</f>
        <v>87.790014898067142</v>
      </c>
      <c r="I4" s="9">
        <v>22075.550999999999</v>
      </c>
      <c r="J4" s="10">
        <v>1785.865</v>
      </c>
      <c r="K4" s="8">
        <f>IF(AND(ISBLANK(I4),ISBLANK(J4))=TRUE,"",I4+J4)</f>
        <v>23861.416000000001</v>
      </c>
      <c r="L4" s="9">
        <v>520937.38404000102</v>
      </c>
      <c r="M4" s="10">
        <v>25404.532595000099</v>
      </c>
      <c r="N4" s="10">
        <v>1856.595924</v>
      </c>
      <c r="O4" s="8">
        <f>IF(AND(ISBLANK(L4),ISBLANK(M4),ISBLANK(N4))=TRUE,"",L4+M4+N4)</f>
        <v>548198.5125590011</v>
      </c>
      <c r="P4" s="10">
        <v>727109.08206800104</v>
      </c>
      <c r="Q4" s="8">
        <f>IFERROR(O4/P4*100," ")</f>
        <v>75.394260101915805</v>
      </c>
    </row>
    <row r="5" spans="1:17" ht="23.1" customHeight="1" x14ac:dyDescent="0.3">
      <c r="A5" s="11" t="s">
        <v>23</v>
      </c>
      <c r="B5" s="12">
        <v>41162</v>
      </c>
      <c r="C5" s="12">
        <v>73172.2</v>
      </c>
      <c r="D5" s="11">
        <v>36147.93</v>
      </c>
      <c r="E5" s="13">
        <v>5931189</v>
      </c>
      <c r="F5" s="12">
        <v>5615979</v>
      </c>
      <c r="G5" s="12">
        <v>6358872</v>
      </c>
      <c r="H5" s="14">
        <f t="shared" ref="H5:H16" si="0">IFERROR(F5/G5*100," ")</f>
        <v>88.31722041267696</v>
      </c>
      <c r="I5" s="15">
        <v>21597.039000000001</v>
      </c>
      <c r="J5" s="16">
        <v>1666.4810000000004</v>
      </c>
      <c r="K5" s="14">
        <f t="shared" ref="K5:K16" si="1">IF(AND(ISBLANK(I5),ISBLANK(J5))=TRUE,"",I5+J5)</f>
        <v>23263.52</v>
      </c>
      <c r="L5" s="15">
        <v>505369.73718</v>
      </c>
      <c r="M5" s="16">
        <v>25277.963849</v>
      </c>
      <c r="N5" s="16">
        <v>1702.7868430000001</v>
      </c>
      <c r="O5" s="14">
        <f t="shared" ref="O5:O16" si="2">IF(AND(ISBLANK(L5),ISBLANK(M5),ISBLANK(N5))=TRUE,"",L5+M5+N5)</f>
        <v>532350.48787199997</v>
      </c>
      <c r="P5" s="16">
        <v>701165.63352599903</v>
      </c>
      <c r="Q5" s="14">
        <f t="shared" ref="Q5:Q16" si="3">IFERROR(O5/P5*100," ")</f>
        <v>75.923642348945862</v>
      </c>
    </row>
    <row r="6" spans="1:17" ht="23.1" customHeight="1" x14ac:dyDescent="0.3">
      <c r="A6" s="17" t="s">
        <v>24</v>
      </c>
      <c r="B6" s="18">
        <v>32233</v>
      </c>
      <c r="C6" s="18">
        <v>56567</v>
      </c>
      <c r="D6" s="17">
        <v>28386.351999999999</v>
      </c>
      <c r="E6" s="19">
        <v>3793464</v>
      </c>
      <c r="F6" s="18">
        <v>3660382</v>
      </c>
      <c r="G6" s="18">
        <v>4985152</v>
      </c>
      <c r="H6" s="20">
        <f t="shared" si="0"/>
        <v>73.425684913920378</v>
      </c>
      <c r="I6" s="21">
        <v>15280.57</v>
      </c>
      <c r="J6" s="22"/>
      <c r="K6" s="20">
        <f t="shared" si="1"/>
        <v>15280.57</v>
      </c>
      <c r="L6" s="21">
        <v>329417.77760999999</v>
      </c>
      <c r="M6" s="22">
        <v>17746.428839</v>
      </c>
      <c r="N6" s="22"/>
      <c r="O6" s="20">
        <f t="shared" si="2"/>
        <v>347164.20644899999</v>
      </c>
      <c r="P6" s="22">
        <v>550214.34930700005</v>
      </c>
      <c r="Q6" s="20">
        <f t="shared" si="3"/>
        <v>63.096174588368413</v>
      </c>
    </row>
    <row r="7" spans="1:17" ht="23.1" customHeight="1" x14ac:dyDescent="0.3">
      <c r="A7" s="11" t="s">
        <v>25</v>
      </c>
      <c r="B7" s="12"/>
      <c r="C7" s="12"/>
      <c r="D7" s="11"/>
      <c r="E7" s="13"/>
      <c r="F7" s="12"/>
      <c r="G7" s="12"/>
      <c r="H7" s="14" t="str">
        <f t="shared" si="0"/>
        <v xml:space="preserve"> </v>
      </c>
      <c r="I7" s="15"/>
      <c r="J7" s="16"/>
      <c r="K7" s="14" t="str">
        <f t="shared" si="1"/>
        <v/>
      </c>
      <c r="L7" s="15"/>
      <c r="M7" s="16"/>
      <c r="N7" s="16"/>
      <c r="O7" s="14" t="str">
        <f t="shared" si="2"/>
        <v/>
      </c>
      <c r="P7" s="16"/>
      <c r="Q7" s="14" t="str">
        <f t="shared" si="3"/>
        <v xml:space="preserve"> </v>
      </c>
    </row>
    <row r="8" spans="1:17" s="23" customFormat="1" ht="30" customHeight="1" x14ac:dyDescent="0.25">
      <c r="A8" s="17" t="s">
        <v>26</v>
      </c>
      <c r="B8" s="18">
        <v>1575</v>
      </c>
      <c r="C8" s="18">
        <v>2714.58</v>
      </c>
      <c r="D8" s="17">
        <v>1473</v>
      </c>
      <c r="E8" s="19">
        <v>142254</v>
      </c>
      <c r="F8" s="18">
        <v>141383</v>
      </c>
      <c r="G8" s="18">
        <v>268985</v>
      </c>
      <c r="H8" s="20">
        <f t="shared" si="0"/>
        <v>52.561667007453948</v>
      </c>
      <c r="I8" s="21">
        <v>782.26099999999951</v>
      </c>
      <c r="J8" s="22">
        <v>192.678</v>
      </c>
      <c r="K8" s="20">
        <f t="shared" si="1"/>
        <v>974.93899999999951</v>
      </c>
      <c r="L8" s="21">
        <v>12713</v>
      </c>
      <c r="M8" s="22">
        <v>974</v>
      </c>
      <c r="N8" s="22">
        <v>167</v>
      </c>
      <c r="O8" s="20">
        <f t="shared" si="2"/>
        <v>13854</v>
      </c>
      <c r="P8" s="22">
        <v>30075</v>
      </c>
      <c r="Q8" s="20">
        <f t="shared" si="3"/>
        <v>46.064837905236907</v>
      </c>
    </row>
    <row r="9" spans="1:17" ht="23.1" customHeight="1" x14ac:dyDescent="0.3">
      <c r="A9" s="11" t="s">
        <v>27</v>
      </c>
      <c r="B9" s="12">
        <v>10341</v>
      </c>
      <c r="C9" s="12">
        <v>17810.330000000002</v>
      </c>
      <c r="D9" s="11">
        <v>9437</v>
      </c>
      <c r="E9" s="13">
        <v>1046836</v>
      </c>
      <c r="F9" s="12">
        <v>1038263</v>
      </c>
      <c r="G9" s="12">
        <v>1711028</v>
      </c>
      <c r="H9" s="14">
        <f t="shared" si="0"/>
        <v>60.680655138314506</v>
      </c>
      <c r="I9" s="15">
        <v>7860.9955099999997</v>
      </c>
      <c r="J9" s="16">
        <v>1410.2046500000008</v>
      </c>
      <c r="K9" s="14">
        <f t="shared" si="1"/>
        <v>9271.2001600000003</v>
      </c>
      <c r="L9" s="15">
        <v>93442</v>
      </c>
      <c r="M9" s="16">
        <v>8979</v>
      </c>
      <c r="N9" s="16">
        <v>1238</v>
      </c>
      <c r="O9" s="14">
        <f t="shared" si="2"/>
        <v>103659</v>
      </c>
      <c r="P9" s="16">
        <v>194003</v>
      </c>
      <c r="Q9" s="14">
        <f t="shared" si="3"/>
        <v>53.431647964206739</v>
      </c>
    </row>
    <row r="10" spans="1:17" ht="23.1" customHeight="1" x14ac:dyDescent="0.3">
      <c r="A10" s="17" t="s">
        <v>28</v>
      </c>
      <c r="B10" s="18">
        <v>13094</v>
      </c>
      <c r="C10" s="18">
        <v>22743.5</v>
      </c>
      <c r="D10" s="17">
        <v>11616.535</v>
      </c>
      <c r="E10" s="19">
        <v>1272240</v>
      </c>
      <c r="F10" s="18">
        <v>1240088</v>
      </c>
      <c r="G10" s="18">
        <v>2060464</v>
      </c>
      <c r="H10" s="20">
        <f t="shared" si="0"/>
        <v>60.18489039362008</v>
      </c>
      <c r="I10" s="21">
        <v>10776.52605</v>
      </c>
      <c r="J10" s="22">
        <v>1797.6017999999995</v>
      </c>
      <c r="K10" s="20">
        <f t="shared" si="1"/>
        <v>12574.127850000001</v>
      </c>
      <c r="L10" s="21">
        <v>111596.41962</v>
      </c>
      <c r="M10" s="22">
        <v>11747.253433350001</v>
      </c>
      <c r="N10" s="22">
        <v>1588.2162173300001</v>
      </c>
      <c r="O10" s="20">
        <f t="shared" si="2"/>
        <v>124931.88927068001</v>
      </c>
      <c r="P10" s="22">
        <v>233503.52340800001</v>
      </c>
      <c r="Q10" s="20">
        <f t="shared" si="3"/>
        <v>53.503213761955479</v>
      </c>
    </row>
    <row r="11" spans="1:17" ht="23.1" customHeight="1" x14ac:dyDescent="0.3">
      <c r="A11" s="11" t="s">
        <v>29</v>
      </c>
      <c r="B11" s="12">
        <v>15897</v>
      </c>
      <c r="C11" s="12">
        <v>27875</v>
      </c>
      <c r="D11" s="11">
        <v>14060.191999999999</v>
      </c>
      <c r="E11" s="13">
        <v>1681787</v>
      </c>
      <c r="F11" s="12">
        <v>1633951</v>
      </c>
      <c r="G11" s="12">
        <v>2490194</v>
      </c>
      <c r="H11" s="14">
        <f t="shared" si="0"/>
        <v>65.615409883727935</v>
      </c>
      <c r="I11" s="15">
        <v>11349.06493</v>
      </c>
      <c r="J11" s="16">
        <v>1959.6480899999999</v>
      </c>
      <c r="K11" s="14">
        <f t="shared" si="1"/>
        <v>13308.713020000001</v>
      </c>
      <c r="L11" s="15">
        <v>147014.40033</v>
      </c>
      <c r="M11" s="16">
        <v>9640.1705769900109</v>
      </c>
      <c r="N11" s="16">
        <v>1671.2809458900001</v>
      </c>
      <c r="O11" s="14">
        <f t="shared" si="2"/>
        <v>158325.85185288001</v>
      </c>
      <c r="P11" s="16">
        <v>165610.03539999999</v>
      </c>
      <c r="Q11" s="14">
        <f t="shared" si="3"/>
        <v>95.601604981530002</v>
      </c>
    </row>
    <row r="12" spans="1:17" ht="23.1" customHeight="1" x14ac:dyDescent="0.3">
      <c r="A12" s="17" t="s">
        <v>30</v>
      </c>
      <c r="B12" s="18">
        <v>21063</v>
      </c>
      <c r="C12" s="18">
        <v>37320.050000000003</v>
      </c>
      <c r="D12" s="17">
        <v>19101.914000000001</v>
      </c>
      <c r="E12" s="19">
        <v>2265539</v>
      </c>
      <c r="F12" s="18">
        <v>2233475</v>
      </c>
      <c r="G12" s="18">
        <v>3415497</v>
      </c>
      <c r="H12" s="20">
        <f t="shared" si="0"/>
        <v>65.392386525299244</v>
      </c>
      <c r="I12" s="21">
        <v>13099.07121</v>
      </c>
      <c r="J12" s="22">
        <v>2296.4352200000017</v>
      </c>
      <c r="K12" s="20">
        <f t="shared" si="1"/>
        <v>15395.506430000001</v>
      </c>
      <c r="L12" s="21">
        <v>200974.5747</v>
      </c>
      <c r="M12" s="22">
        <v>14798.24070979</v>
      </c>
      <c r="N12" s="22">
        <v>1897.75164442</v>
      </c>
      <c r="O12" s="20">
        <f t="shared" si="2"/>
        <v>217670.56705421</v>
      </c>
      <c r="P12" s="22">
        <v>381911.56579199899</v>
      </c>
      <c r="Q12" s="20">
        <f t="shared" si="3"/>
        <v>56.995018363167404</v>
      </c>
    </row>
    <row r="13" spans="1:17" ht="23.1" customHeight="1" x14ac:dyDescent="0.3">
      <c r="A13" s="11" t="s">
        <v>31</v>
      </c>
      <c r="B13" s="12">
        <v>24853</v>
      </c>
      <c r="C13" s="12">
        <v>43914.95</v>
      </c>
      <c r="D13" s="11">
        <v>22864.053</v>
      </c>
      <c r="E13" s="13">
        <v>2926835</v>
      </c>
      <c r="F13" s="12">
        <v>2820750</v>
      </c>
      <c r="G13" s="12">
        <v>4137233</v>
      </c>
      <c r="H13" s="14">
        <f t="shared" si="0"/>
        <v>68.179626334799124</v>
      </c>
      <c r="I13" s="15">
        <v>15877.95055</v>
      </c>
      <c r="J13" s="16">
        <v>2522.1640699999998</v>
      </c>
      <c r="K13" s="14">
        <f t="shared" si="1"/>
        <v>18400.11462</v>
      </c>
      <c r="L13" s="15">
        <v>253797.87194444015</v>
      </c>
      <c r="M13" s="16">
        <v>17890.144756540001</v>
      </c>
      <c r="N13" s="16">
        <v>2158.8349027499999</v>
      </c>
      <c r="O13" s="14">
        <f t="shared" si="2"/>
        <v>273846.85160373012</v>
      </c>
      <c r="P13" s="16">
        <v>435741.18558599998</v>
      </c>
      <c r="Q13" s="14">
        <f t="shared" si="3"/>
        <v>62.846217126676073</v>
      </c>
    </row>
    <row r="14" spans="1:17" ht="23.1" customHeight="1" x14ac:dyDescent="0.3">
      <c r="A14" s="17" t="s">
        <v>32</v>
      </c>
      <c r="B14" s="18">
        <v>26786</v>
      </c>
      <c r="C14" s="18">
        <v>47267.58</v>
      </c>
      <c r="D14" s="17">
        <v>24377.119999999999</v>
      </c>
      <c r="E14" s="19">
        <v>3423059</v>
      </c>
      <c r="F14" s="18">
        <v>3280792</v>
      </c>
      <c r="G14" s="18">
        <v>4435096</v>
      </c>
      <c r="H14" s="20">
        <f t="shared" si="0"/>
        <v>73.973415682546673</v>
      </c>
      <c r="I14" s="21">
        <v>15035.611000000001</v>
      </c>
      <c r="J14" s="22">
        <v>2287.2709999999979</v>
      </c>
      <c r="K14" s="20">
        <f t="shared" si="1"/>
        <v>17322.881999999998</v>
      </c>
      <c r="L14" s="21">
        <v>295265.51577</v>
      </c>
      <c r="M14" s="22">
        <v>16651.888066</v>
      </c>
      <c r="N14" s="22">
        <v>2072.938024</v>
      </c>
      <c r="O14" s="20">
        <f t="shared" si="2"/>
        <v>313990.34185999999</v>
      </c>
      <c r="P14" s="22">
        <v>496279.27480100002</v>
      </c>
      <c r="Q14" s="20">
        <f t="shared" si="3"/>
        <v>63.268880608787271</v>
      </c>
    </row>
    <row r="15" spans="1:17" ht="23.1" customHeight="1" x14ac:dyDescent="0.3">
      <c r="A15" s="24" t="s">
        <v>33</v>
      </c>
      <c r="B15" s="25">
        <v>31847</v>
      </c>
      <c r="C15" s="25">
        <v>56527.51</v>
      </c>
      <c r="D15" s="26">
        <v>28845.914000000001</v>
      </c>
      <c r="E15" s="27">
        <v>3951522</v>
      </c>
      <c r="F15" s="25">
        <v>3768240</v>
      </c>
      <c r="G15" s="25">
        <v>5270175</v>
      </c>
      <c r="H15" s="28">
        <f t="shared" si="0"/>
        <v>71.501230983790862</v>
      </c>
      <c r="I15" s="29">
        <v>15997.50776</v>
      </c>
      <c r="J15" s="30">
        <v>2878.1920899999964</v>
      </c>
      <c r="K15" s="28">
        <f t="shared" si="1"/>
        <v>18875.699849999997</v>
      </c>
      <c r="L15" s="29">
        <v>339050.73284999997</v>
      </c>
      <c r="M15" s="30">
        <v>18088.352529510001</v>
      </c>
      <c r="N15" s="30">
        <v>2713.6882046299902</v>
      </c>
      <c r="O15" s="28">
        <f t="shared" si="2"/>
        <v>359852.77358413994</v>
      </c>
      <c r="P15" s="16">
        <v>556202.23374100099</v>
      </c>
      <c r="Q15" s="14">
        <f t="shared" si="3"/>
        <v>64.698189211463614</v>
      </c>
    </row>
    <row r="16" spans="1:17" ht="23.1" customHeight="1" x14ac:dyDescent="0.3">
      <c r="A16" s="31" t="s">
        <v>34</v>
      </c>
      <c r="B16" s="32">
        <f t="shared" ref="B16:G16" si="4">SUM(B4:B15)</f>
        <v>261406</v>
      </c>
      <c r="C16" s="32">
        <f t="shared" si="4"/>
        <v>461822.11</v>
      </c>
      <c r="D16" s="32">
        <f t="shared" si="4"/>
        <v>233781.875</v>
      </c>
      <c r="E16" s="32">
        <f t="shared" si="4"/>
        <v>32554649</v>
      </c>
      <c r="F16" s="32">
        <f t="shared" si="4"/>
        <v>31222303</v>
      </c>
      <c r="G16" s="32">
        <f t="shared" si="4"/>
        <v>41726840</v>
      </c>
      <c r="H16" s="33">
        <f t="shared" si="0"/>
        <v>74.825467253211599</v>
      </c>
      <c r="I16" s="33">
        <f>SUM(I4:I15)</f>
        <v>149732.14800999998</v>
      </c>
      <c r="J16" s="33">
        <f>SUM(J4:J15)</f>
        <v>18796.540919999996</v>
      </c>
      <c r="K16" s="33">
        <f t="shared" si="1"/>
        <v>168528.68892999997</v>
      </c>
      <c r="L16" s="33">
        <f>SUM(L4:L15)</f>
        <v>2809579.4140444412</v>
      </c>
      <c r="M16" s="33">
        <f>SUM(M4:M15)</f>
        <v>167197.97535518013</v>
      </c>
      <c r="N16" s="33">
        <f>SUM(N4:N15)</f>
        <v>17067.09270601999</v>
      </c>
      <c r="O16" s="33">
        <f t="shared" si="2"/>
        <v>2993844.4821056412</v>
      </c>
      <c r="P16" s="34">
        <f>SUM(P4:P15)</f>
        <v>4471814.8836289998</v>
      </c>
      <c r="Q16" s="34">
        <f t="shared" si="3"/>
        <v>66.949204294343573</v>
      </c>
    </row>
    <row r="17" spans="1:17" ht="20.100000000000001" customHeight="1" x14ac:dyDescent="0.3">
      <c r="A17" s="150" t="s">
        <v>35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8">
        <v>2020</v>
      </c>
      <c r="B20" s="158"/>
      <c r="C20" s="159" t="s">
        <v>38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60" t="s">
        <v>1</v>
      </c>
      <c r="P20" s="160"/>
      <c r="Q20" s="161"/>
    </row>
    <row r="21" spans="1:17" ht="33" customHeight="1" x14ac:dyDescent="0.3">
      <c r="A21" s="162" t="s">
        <v>2</v>
      </c>
      <c r="B21" s="162" t="s">
        <v>3</v>
      </c>
      <c r="C21" s="162"/>
      <c r="D21" s="162"/>
      <c r="E21" s="163" t="s">
        <v>4</v>
      </c>
      <c r="F21" s="163" t="s">
        <v>5</v>
      </c>
      <c r="G21" s="163" t="s">
        <v>6</v>
      </c>
      <c r="H21" s="163" t="s">
        <v>7</v>
      </c>
      <c r="I21" s="162" t="s">
        <v>8</v>
      </c>
      <c r="J21" s="162"/>
      <c r="K21" s="162"/>
      <c r="L21" s="162" t="s">
        <v>9</v>
      </c>
      <c r="M21" s="162"/>
      <c r="N21" s="162"/>
      <c r="O21" s="162"/>
      <c r="P21" s="163" t="s">
        <v>10</v>
      </c>
      <c r="Q21" s="163" t="s">
        <v>11</v>
      </c>
    </row>
    <row r="22" spans="1:17" ht="150.75" customHeight="1" x14ac:dyDescent="0.3">
      <c r="A22" s="162"/>
      <c r="B22" s="36" t="s">
        <v>12</v>
      </c>
      <c r="C22" s="36" t="s">
        <v>13</v>
      </c>
      <c r="D22" s="36" t="s">
        <v>14</v>
      </c>
      <c r="E22" s="163"/>
      <c r="F22" s="163"/>
      <c r="G22" s="163"/>
      <c r="H22" s="163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4"/>
      <c r="Q22" s="164"/>
    </row>
    <row r="23" spans="1:17" ht="23.1" customHeight="1" x14ac:dyDescent="0.3">
      <c r="A23" s="39" t="s">
        <v>22</v>
      </c>
      <c r="B23" s="40">
        <v>4831</v>
      </c>
      <c r="C23" s="41">
        <v>18788.45</v>
      </c>
      <c r="D23" s="42">
        <v>12085.675999999999</v>
      </c>
      <c r="E23" s="40">
        <v>751983</v>
      </c>
      <c r="F23" s="41">
        <v>1873376</v>
      </c>
      <c r="G23" s="41">
        <v>2189558</v>
      </c>
      <c r="H23" s="43">
        <f t="shared" ref="H23:H35" si="5">IFERROR(F23/G23*100," ")</f>
        <v>85.559551288433553</v>
      </c>
      <c r="I23" s="44">
        <v>3276.9209999999998</v>
      </c>
      <c r="J23" s="44"/>
      <c r="K23" s="44">
        <f>IF(AND(ISBLANK(I23),ISBLANK(J23))=TRUE,"",I23+J23)</f>
        <v>3276.9209999999998</v>
      </c>
      <c r="L23" s="45">
        <v>168604.39340999999</v>
      </c>
      <c r="M23" s="44">
        <v>7969.8664449999997</v>
      </c>
      <c r="N23" s="44"/>
      <c r="O23" s="46">
        <f>IF(AND(ISBLANK(L23),ISBLANK(M23),ISBLANK(N23))=TRUE,"",L23+M23+N23)</f>
        <v>176574.25985499998</v>
      </c>
      <c r="P23" s="45">
        <v>250823.015873</v>
      </c>
      <c r="Q23" s="46">
        <f>IFERROR(O23/P23*100," ")</f>
        <v>70.397949422793545</v>
      </c>
    </row>
    <row r="24" spans="1:17" ht="23.1" customHeight="1" x14ac:dyDescent="0.3">
      <c r="A24" s="47" t="s">
        <v>23</v>
      </c>
      <c r="B24" s="48">
        <v>4364</v>
      </c>
      <c r="C24" s="47">
        <v>16541.349999999999</v>
      </c>
      <c r="D24" s="49">
        <v>10781.079</v>
      </c>
      <c r="E24" s="48">
        <v>621387</v>
      </c>
      <c r="F24" s="47">
        <v>1515813</v>
      </c>
      <c r="G24" s="47">
        <v>1981845</v>
      </c>
      <c r="H24" s="50">
        <f t="shared" si="5"/>
        <v>76.484942061563842</v>
      </c>
      <c r="I24" s="51">
        <v>3681.2829999999999</v>
      </c>
      <c r="J24" s="51"/>
      <c r="K24" s="51">
        <f t="shared" ref="K24:K35" si="6">IF(AND(ISBLANK(I24),ISBLANK(J24))=TRUE,"",I24+J24)</f>
        <v>3681.2829999999999</v>
      </c>
      <c r="L24" s="52">
        <v>136422.69876</v>
      </c>
      <c r="M24" s="51">
        <v>9159.8569229999994</v>
      </c>
      <c r="N24" s="51"/>
      <c r="O24" s="50">
        <f t="shared" ref="O24:O35" si="7">IF(AND(ISBLANK(L24),ISBLANK(M24),ISBLANK(N24))=TRUE,"",L24+M24+N24)</f>
        <v>145582.55568300001</v>
      </c>
      <c r="P24" s="52">
        <v>224756.816418</v>
      </c>
      <c r="Q24" s="50">
        <f t="shared" ref="Q24:Q35" si="8">IFERROR(O24/P24*100," ")</f>
        <v>64.773366166678272</v>
      </c>
    </row>
    <row r="25" spans="1:17" ht="23.1" customHeight="1" x14ac:dyDescent="0.3">
      <c r="A25" s="39" t="s">
        <v>24</v>
      </c>
      <c r="B25" s="53">
        <v>2061</v>
      </c>
      <c r="C25" s="39">
        <v>7485.34</v>
      </c>
      <c r="D25" s="54">
        <v>4859.2579999999998</v>
      </c>
      <c r="E25" s="53">
        <v>259243</v>
      </c>
      <c r="F25" s="39">
        <v>609571</v>
      </c>
      <c r="G25" s="39">
        <v>901216</v>
      </c>
      <c r="H25" s="43">
        <f t="shared" si="5"/>
        <v>67.638723680005683</v>
      </c>
      <c r="I25" s="55">
        <v>2124.8009999999999</v>
      </c>
      <c r="J25" s="55"/>
      <c r="K25" s="55">
        <f t="shared" si="6"/>
        <v>2124.8009999999999</v>
      </c>
      <c r="L25" s="56">
        <v>54860.901120000002</v>
      </c>
      <c r="M25" s="55">
        <v>4949.9241819999997</v>
      </c>
      <c r="N25" s="55"/>
      <c r="O25" s="43">
        <f t="shared" si="7"/>
        <v>59810.825302000005</v>
      </c>
      <c r="P25" s="56">
        <v>102664.546688</v>
      </c>
      <c r="Q25" s="43">
        <f t="shared" si="8"/>
        <v>58.258500360174502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11256</v>
      </c>
      <c r="C35" s="64">
        <f t="shared" si="9"/>
        <v>42815.14</v>
      </c>
      <c r="D35" s="64">
        <f t="shared" si="9"/>
        <v>27726.012999999999</v>
      </c>
      <c r="E35" s="64">
        <f t="shared" si="9"/>
        <v>1632613</v>
      </c>
      <c r="F35" s="64">
        <f t="shared" si="9"/>
        <v>3998760</v>
      </c>
      <c r="G35" s="64">
        <f t="shared" si="9"/>
        <v>5072619</v>
      </c>
      <c r="H35" s="65">
        <f t="shared" si="5"/>
        <v>78.830284710915606</v>
      </c>
      <c r="I35" s="66">
        <f>SUM(I23:I34)</f>
        <v>9083.0049999999992</v>
      </c>
      <c r="J35" s="66">
        <f>SUM(J23:J34)</f>
        <v>0</v>
      </c>
      <c r="K35" s="66">
        <f t="shared" si="6"/>
        <v>9083.0049999999992</v>
      </c>
      <c r="L35" s="66">
        <f>SUM(L23:L34)</f>
        <v>359887.99328999995</v>
      </c>
      <c r="M35" s="66">
        <f>SUM(M23:M34)</f>
        <v>22079.647549999998</v>
      </c>
      <c r="N35" s="66">
        <f>SUM(N23:N34)</f>
        <v>0</v>
      </c>
      <c r="O35" s="66">
        <f t="shared" si="7"/>
        <v>381967.64083999995</v>
      </c>
      <c r="P35" s="66">
        <f>SUM(P23:P34)</f>
        <v>578244.37897900003</v>
      </c>
      <c r="Q35" s="66">
        <f t="shared" si="8"/>
        <v>66.05643819909433</v>
      </c>
    </row>
    <row r="36" spans="1:17" x14ac:dyDescent="0.3">
      <c r="A36" s="150" t="s">
        <v>35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52">
        <v>2020</v>
      </c>
      <c r="B39" s="152"/>
      <c r="C39" s="153" t="s">
        <v>39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4" t="s">
        <v>1</v>
      </c>
      <c r="P39" s="154"/>
      <c r="Q39" s="154"/>
    </row>
    <row r="40" spans="1:17" ht="28.9" customHeight="1" x14ac:dyDescent="0.3">
      <c r="A40" s="155" t="s">
        <v>2</v>
      </c>
      <c r="B40" s="155" t="s">
        <v>3</v>
      </c>
      <c r="C40" s="155"/>
      <c r="D40" s="155"/>
      <c r="E40" s="156" t="s">
        <v>4</v>
      </c>
      <c r="F40" s="156" t="s">
        <v>5</v>
      </c>
      <c r="G40" s="156" t="s">
        <v>6</v>
      </c>
      <c r="H40" s="156" t="s">
        <v>7</v>
      </c>
      <c r="I40" s="155" t="s">
        <v>8</v>
      </c>
      <c r="J40" s="155"/>
      <c r="K40" s="155"/>
      <c r="L40" s="155" t="s">
        <v>9</v>
      </c>
      <c r="M40" s="155"/>
      <c r="N40" s="155"/>
      <c r="O40" s="155"/>
      <c r="P40" s="156" t="s">
        <v>10</v>
      </c>
      <c r="Q40" s="156" t="s">
        <v>11</v>
      </c>
    </row>
    <row r="41" spans="1:17" ht="178.5" customHeight="1" x14ac:dyDescent="0.3">
      <c r="A41" s="155"/>
      <c r="B41" s="67" t="s">
        <v>12</v>
      </c>
      <c r="C41" s="67" t="s">
        <v>13</v>
      </c>
      <c r="D41" s="67" t="s">
        <v>14</v>
      </c>
      <c r="E41" s="157"/>
      <c r="F41" s="157"/>
      <c r="G41" s="157"/>
      <c r="H41" s="157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7"/>
      <c r="Q41" s="157"/>
    </row>
    <row r="42" spans="1:17" ht="25.5" customHeight="1" x14ac:dyDescent="0.3">
      <c r="A42" s="69" t="s">
        <v>22</v>
      </c>
      <c r="B42" s="70">
        <v>34</v>
      </c>
      <c r="C42" s="71">
        <v>55.49</v>
      </c>
      <c r="D42" s="72">
        <v>21.794</v>
      </c>
      <c r="E42" s="70">
        <v>5688</v>
      </c>
      <c r="F42" s="71">
        <v>3646</v>
      </c>
      <c r="G42" s="71">
        <v>3958</v>
      </c>
      <c r="H42" s="73">
        <f t="shared" ref="H42:H54" si="10">IFERROR(F42/G42*100," ")</f>
        <v>92.117230924709446</v>
      </c>
      <c r="I42" s="74">
        <v>3.9940000000000002</v>
      </c>
      <c r="J42" s="75"/>
      <c r="K42" s="73">
        <f>IF(AND(ISBLANK(I42),ISBLANK(J42))=TRUE,"",I42+J42)</f>
        <v>3.9940000000000002</v>
      </c>
      <c r="L42" s="74">
        <v>328.14071999999999</v>
      </c>
      <c r="M42" s="75">
        <v>4.3479029999999996</v>
      </c>
      <c r="N42" s="75"/>
      <c r="O42" s="73">
        <f>IF(AND(ISBLANK(L42),ISBLANK(M42),ISBLANK(N42))=TRUE,"",L42+M42+N42)</f>
        <v>332.48862299999996</v>
      </c>
      <c r="P42" s="74">
        <v>435.86012899999997</v>
      </c>
      <c r="Q42" s="73">
        <f>IFERROR(O42/P42*100," ")</f>
        <v>76.283330563599222</v>
      </c>
    </row>
    <row r="43" spans="1:17" ht="25.5" customHeight="1" x14ac:dyDescent="0.3">
      <c r="A43" s="76" t="s">
        <v>23</v>
      </c>
      <c r="B43" s="77">
        <v>30</v>
      </c>
      <c r="C43" s="78">
        <v>48.33</v>
      </c>
      <c r="D43" s="79">
        <v>19.23</v>
      </c>
      <c r="E43" s="77">
        <v>5106</v>
      </c>
      <c r="F43" s="78">
        <v>3274</v>
      </c>
      <c r="G43" s="78">
        <v>3516</v>
      </c>
      <c r="H43" s="80">
        <f t="shared" si="10"/>
        <v>93.117178612059163</v>
      </c>
      <c r="I43" s="81">
        <v>5.0039999999999996</v>
      </c>
      <c r="J43" s="82"/>
      <c r="K43" s="80">
        <f t="shared" ref="K43:K54" si="11">IF(AND(ISBLANK(I43),ISBLANK(J43))=TRUE,"",I43+J43)</f>
        <v>5.0039999999999996</v>
      </c>
      <c r="L43" s="81">
        <v>294.56513999999999</v>
      </c>
      <c r="M43" s="82">
        <v>6.3548740000000006</v>
      </c>
      <c r="N43" s="82"/>
      <c r="O43" s="80">
        <f t="shared" ref="O43:O54" si="12">IF(AND(ISBLANK(L43),ISBLANK(M43),ISBLANK(N43))=TRUE,"",L43+M43+N43)</f>
        <v>300.92001399999998</v>
      </c>
      <c r="P43" s="81">
        <v>386.88131900000002</v>
      </c>
      <c r="Q43" s="80">
        <f t="shared" ref="Q43:Q54" si="13">IFERROR(O43/P43*100," ")</f>
        <v>77.780962590235575</v>
      </c>
    </row>
    <row r="44" spans="1:17" ht="25.5" customHeight="1" x14ac:dyDescent="0.3">
      <c r="A44" s="69" t="s">
        <v>24</v>
      </c>
      <c r="B44" s="83">
        <v>26</v>
      </c>
      <c r="C44" s="84">
        <v>40.18</v>
      </c>
      <c r="D44" s="85">
        <v>16.666</v>
      </c>
      <c r="E44" s="83">
        <v>4131</v>
      </c>
      <c r="F44" s="84">
        <v>2648</v>
      </c>
      <c r="G44" s="84">
        <v>3035</v>
      </c>
      <c r="H44" s="86">
        <f t="shared" si="10"/>
        <v>87.248764415156515</v>
      </c>
      <c r="I44" s="87">
        <v>3.9220000000000002</v>
      </c>
      <c r="J44" s="88"/>
      <c r="K44" s="86">
        <f t="shared" si="11"/>
        <v>3.9220000000000002</v>
      </c>
      <c r="L44" s="87">
        <v>238.31738999999999</v>
      </c>
      <c r="M44" s="88">
        <v>2.5140020000000001</v>
      </c>
      <c r="N44" s="88"/>
      <c r="O44" s="86">
        <f t="shared" si="12"/>
        <v>240.83139199999999</v>
      </c>
      <c r="P44" s="87">
        <v>333.42704700000002</v>
      </c>
      <c r="Q44" s="86">
        <f t="shared" si="13"/>
        <v>72.22911103549437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/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>
        <v>14</v>
      </c>
      <c r="C46" s="90">
        <v>12.08</v>
      </c>
      <c r="D46" s="85">
        <v>11</v>
      </c>
      <c r="E46" s="83">
        <v>998</v>
      </c>
      <c r="F46" s="84">
        <v>902</v>
      </c>
      <c r="G46" s="84">
        <v>1646</v>
      </c>
      <c r="H46" s="86">
        <f t="shared" si="10"/>
        <v>54.799513973268532</v>
      </c>
      <c r="I46" s="87">
        <v>8</v>
      </c>
      <c r="J46" s="88"/>
      <c r="K46" s="86">
        <f t="shared" si="11"/>
        <v>8</v>
      </c>
      <c r="L46" s="87">
        <v>72</v>
      </c>
      <c r="M46" s="88">
        <v>6</v>
      </c>
      <c r="N46" s="88"/>
      <c r="O46" s="86">
        <f t="shared" si="12"/>
        <v>78</v>
      </c>
      <c r="P46" s="87">
        <v>221</v>
      </c>
      <c r="Q46" s="86">
        <f t="shared" si="13"/>
        <v>35.294117647058826</v>
      </c>
    </row>
    <row r="47" spans="1:17" ht="25.5" customHeight="1" x14ac:dyDescent="0.3">
      <c r="A47" s="76" t="s">
        <v>27</v>
      </c>
      <c r="B47" s="91">
        <v>41</v>
      </c>
      <c r="C47" s="92">
        <v>80.3</v>
      </c>
      <c r="D47" s="79">
        <v>43</v>
      </c>
      <c r="E47" s="91">
        <v>4570</v>
      </c>
      <c r="F47" s="92">
        <v>5187</v>
      </c>
      <c r="G47" s="92">
        <v>7004</v>
      </c>
      <c r="H47" s="80">
        <f t="shared" si="10"/>
        <v>74.057681324957173</v>
      </c>
      <c r="I47" s="93">
        <v>12</v>
      </c>
      <c r="J47" s="94"/>
      <c r="K47" s="80">
        <f t="shared" si="11"/>
        <v>12</v>
      </c>
      <c r="L47" s="93">
        <v>279.79000000000002</v>
      </c>
      <c r="M47" s="94">
        <v>16.66</v>
      </c>
      <c r="N47" s="94"/>
      <c r="O47" s="80">
        <f t="shared" si="12"/>
        <v>296.45000000000005</v>
      </c>
      <c r="P47" s="93">
        <v>803</v>
      </c>
      <c r="Q47" s="80">
        <f t="shared" si="13"/>
        <v>36.917808219178092</v>
      </c>
    </row>
    <row r="48" spans="1:17" s="102" customFormat="1" ht="25.5" customHeight="1" x14ac:dyDescent="0.3">
      <c r="A48" s="95" t="s">
        <v>28</v>
      </c>
      <c r="B48" s="96">
        <v>38</v>
      </c>
      <c r="C48" s="97">
        <v>90.4</v>
      </c>
      <c r="D48" s="98">
        <v>48.191000000000003</v>
      </c>
      <c r="E48" s="96">
        <v>5926</v>
      </c>
      <c r="F48" s="97">
        <v>7896</v>
      </c>
      <c r="G48" s="97">
        <v>8442</v>
      </c>
      <c r="H48" s="99">
        <f t="shared" si="10"/>
        <v>93.53233830845771</v>
      </c>
      <c r="I48" s="100"/>
      <c r="J48" s="101"/>
      <c r="K48" s="99" t="str">
        <f t="shared" si="11"/>
        <v/>
      </c>
      <c r="L48" s="100">
        <v>102.05694</v>
      </c>
      <c r="M48" s="101"/>
      <c r="N48" s="101"/>
      <c r="O48" s="99">
        <f t="shared" si="12"/>
        <v>102.05694</v>
      </c>
      <c r="P48" s="100">
        <v>984.44260899999995</v>
      </c>
      <c r="Q48" s="99">
        <f t="shared" si="13"/>
        <v>10.366977116489275</v>
      </c>
    </row>
    <row r="49" spans="1:17" ht="25.5" customHeight="1" x14ac:dyDescent="0.3">
      <c r="A49" s="76" t="s">
        <v>29</v>
      </c>
      <c r="B49" s="91">
        <v>72</v>
      </c>
      <c r="C49" s="92">
        <v>133.5</v>
      </c>
      <c r="D49" s="103">
        <v>65.988</v>
      </c>
      <c r="E49" s="91">
        <v>6741</v>
      </c>
      <c r="F49" s="92">
        <v>7327</v>
      </c>
      <c r="G49" s="92">
        <v>11003</v>
      </c>
      <c r="H49" s="80">
        <f t="shared" si="10"/>
        <v>66.590929746432792</v>
      </c>
      <c r="I49" s="93">
        <v>9.9260000000000002</v>
      </c>
      <c r="J49" s="94"/>
      <c r="K49" s="80">
        <f t="shared" si="11"/>
        <v>9.9260000000000002</v>
      </c>
      <c r="L49" s="93">
        <v>346.32414</v>
      </c>
      <c r="M49" s="94">
        <v>15.69891091</v>
      </c>
      <c r="N49" s="94"/>
      <c r="O49" s="80">
        <f t="shared" si="12"/>
        <v>362.02305090999999</v>
      </c>
      <c r="P49" s="93">
        <v>739.88570000000004</v>
      </c>
      <c r="Q49" s="80">
        <f t="shared" si="13"/>
        <v>48.929591545018368</v>
      </c>
    </row>
    <row r="50" spans="1:17" ht="25.5" customHeight="1" x14ac:dyDescent="0.3">
      <c r="A50" s="69" t="s">
        <v>30</v>
      </c>
      <c r="B50" s="104">
        <v>57</v>
      </c>
      <c r="C50" s="105">
        <v>113.32</v>
      </c>
      <c r="D50" s="106">
        <v>54.731999999999999</v>
      </c>
      <c r="E50" s="104">
        <v>5219</v>
      </c>
      <c r="F50" s="105">
        <v>5384</v>
      </c>
      <c r="G50" s="105">
        <v>9544</v>
      </c>
      <c r="H50" s="86">
        <f t="shared" si="10"/>
        <v>56.412405699916178</v>
      </c>
      <c r="I50" s="107">
        <v>14.088559999999999</v>
      </c>
      <c r="J50" s="108"/>
      <c r="K50" s="86">
        <f t="shared" si="11"/>
        <v>14.088559999999999</v>
      </c>
      <c r="L50" s="107">
        <v>406.37187</v>
      </c>
      <c r="M50" s="108">
        <v>20.963437300000002</v>
      </c>
      <c r="N50" s="108"/>
      <c r="O50" s="86">
        <f t="shared" si="12"/>
        <v>427.33530730000001</v>
      </c>
      <c r="P50" s="107">
        <v>1087.5374890000001</v>
      </c>
      <c r="Q50" s="86">
        <f t="shared" si="13"/>
        <v>39.293846108508724</v>
      </c>
    </row>
    <row r="51" spans="1:17" ht="25.5" customHeight="1" x14ac:dyDescent="0.3">
      <c r="A51" s="76" t="s">
        <v>31</v>
      </c>
      <c r="B51" s="91">
        <v>85</v>
      </c>
      <c r="C51" s="92">
        <v>120.2</v>
      </c>
      <c r="D51" s="103">
        <v>55.03</v>
      </c>
      <c r="E51" s="91">
        <v>4742</v>
      </c>
      <c r="F51" s="92">
        <v>3326</v>
      </c>
      <c r="G51" s="92">
        <v>9667</v>
      </c>
      <c r="H51" s="80">
        <f t="shared" si="10"/>
        <v>34.40571014792593</v>
      </c>
      <c r="I51" s="93">
        <v>12.800649999999999</v>
      </c>
      <c r="J51" s="94"/>
      <c r="K51" s="80">
        <f t="shared" si="11"/>
        <v>12.800649999999999</v>
      </c>
      <c r="L51" s="93">
        <v>283.83722999999998</v>
      </c>
      <c r="M51" s="94">
        <v>14.45116127</v>
      </c>
      <c r="N51" s="94"/>
      <c r="O51" s="80">
        <f t="shared" si="12"/>
        <v>298.28839126999998</v>
      </c>
      <c r="P51" s="93">
        <v>1052.3226299999999</v>
      </c>
      <c r="Q51" s="80">
        <f t="shared" si="13"/>
        <v>28.345716681014455</v>
      </c>
    </row>
    <row r="52" spans="1:17" ht="25.5" customHeight="1" x14ac:dyDescent="0.3">
      <c r="A52" s="69" t="s">
        <v>32</v>
      </c>
      <c r="B52" s="104">
        <v>89</v>
      </c>
      <c r="C52" s="105">
        <v>128.71665999999999</v>
      </c>
      <c r="D52" s="106">
        <v>51.415999999999997</v>
      </c>
      <c r="E52" s="104">
        <v>6613</v>
      </c>
      <c r="F52" s="105">
        <v>3692</v>
      </c>
      <c r="G52" s="105">
        <v>7974</v>
      </c>
      <c r="H52" s="86">
        <f t="shared" si="10"/>
        <v>46.30047654878355</v>
      </c>
      <c r="I52" s="107">
        <v>9.9849999999999994</v>
      </c>
      <c r="J52" s="108"/>
      <c r="K52" s="86">
        <f t="shared" si="11"/>
        <v>9.9849999999999994</v>
      </c>
      <c r="L52" s="107">
        <v>270.84059999999999</v>
      </c>
      <c r="M52" s="108">
        <v>6.4954840000000003</v>
      </c>
      <c r="N52" s="108"/>
      <c r="O52" s="86">
        <f t="shared" si="12"/>
        <v>277.33608399999997</v>
      </c>
      <c r="P52" s="107">
        <v>998.63059899999996</v>
      </c>
      <c r="Q52" s="86">
        <f t="shared" si="13"/>
        <v>27.77163891009512</v>
      </c>
    </row>
    <row r="53" spans="1:17" ht="25.5" customHeight="1" x14ac:dyDescent="0.3">
      <c r="A53" s="76" t="s">
        <v>33</v>
      </c>
      <c r="B53" s="109">
        <v>99</v>
      </c>
      <c r="C53" s="110">
        <v>137.83000000000001</v>
      </c>
      <c r="D53" s="111">
        <v>59.253</v>
      </c>
      <c r="E53" s="109">
        <v>8717</v>
      </c>
      <c r="F53" s="110">
        <v>5963</v>
      </c>
      <c r="G53" s="110">
        <v>9275</v>
      </c>
      <c r="H53" s="112">
        <f t="shared" si="10"/>
        <v>64.291105121293796</v>
      </c>
      <c r="I53" s="172">
        <v>3.9999999999999996</v>
      </c>
      <c r="J53" s="114"/>
      <c r="K53" s="112">
        <f t="shared" si="11"/>
        <v>3.9999999999999996</v>
      </c>
      <c r="L53" s="113">
        <v>379.20735000000002</v>
      </c>
      <c r="M53" s="114">
        <v>3.2026371500000002</v>
      </c>
      <c r="N53" s="114"/>
      <c r="O53" s="112">
        <f t="shared" si="12"/>
        <v>382.40998715000001</v>
      </c>
      <c r="P53" s="113">
        <v>1101.9324919999999</v>
      </c>
      <c r="Q53" s="112">
        <f t="shared" si="13"/>
        <v>34.703576664295333</v>
      </c>
    </row>
    <row r="54" spans="1:17" ht="25.5" customHeight="1" x14ac:dyDescent="0.3">
      <c r="A54" s="115" t="s">
        <v>34</v>
      </c>
      <c r="B54" s="116">
        <f t="shared" ref="B54:G54" si="14">SUM(B42:B53)</f>
        <v>585</v>
      </c>
      <c r="C54" s="116">
        <f t="shared" si="14"/>
        <v>960.34666000000004</v>
      </c>
      <c r="D54" s="116">
        <f t="shared" si="14"/>
        <v>446.29999999999995</v>
      </c>
      <c r="E54" s="116">
        <f t="shared" si="14"/>
        <v>58451</v>
      </c>
      <c r="F54" s="116">
        <f t="shared" si="14"/>
        <v>49245</v>
      </c>
      <c r="G54" s="116">
        <f t="shared" si="14"/>
        <v>75064</v>
      </c>
      <c r="H54" s="117">
        <f t="shared" si="10"/>
        <v>65.604017904721303</v>
      </c>
      <c r="I54" s="117">
        <f>SUM(I42:I53)</f>
        <v>83.720210000000009</v>
      </c>
      <c r="J54" s="117">
        <f>SUM(J42:J53)</f>
        <v>0</v>
      </c>
      <c r="K54" s="117">
        <f t="shared" si="11"/>
        <v>83.720210000000009</v>
      </c>
      <c r="L54" s="117">
        <f>SUM(L42:L53)</f>
        <v>3001.45138</v>
      </c>
      <c r="M54" s="117">
        <f>SUM(M42:M53)</f>
        <v>96.68840963000001</v>
      </c>
      <c r="N54" s="117">
        <f>SUM(N42:N53)</f>
        <v>0</v>
      </c>
      <c r="O54" s="117">
        <f t="shared" si="12"/>
        <v>3098.13978963</v>
      </c>
      <c r="P54" s="118">
        <f>SUM(P42:P53)</f>
        <v>8144.9200139999994</v>
      </c>
      <c r="Q54" s="117">
        <f t="shared" si="13"/>
        <v>38.037694468511944</v>
      </c>
    </row>
    <row r="55" spans="1:17" ht="22.5" customHeight="1" x14ac:dyDescent="0.3">
      <c r="A55" s="150" t="s">
        <v>35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44">
        <v>2020</v>
      </c>
      <c r="B58" s="144"/>
      <c r="C58" s="145" t="s">
        <v>40</v>
      </c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6" t="s">
        <v>1</v>
      </c>
      <c r="P58" s="146"/>
      <c r="Q58" s="146"/>
    </row>
    <row r="59" spans="1:17" ht="28.9" customHeight="1" x14ac:dyDescent="0.3">
      <c r="A59" s="147" t="s">
        <v>2</v>
      </c>
      <c r="B59" s="147" t="s">
        <v>3</v>
      </c>
      <c r="C59" s="147"/>
      <c r="D59" s="147"/>
      <c r="E59" s="148" t="s">
        <v>4</v>
      </c>
      <c r="F59" s="148" t="s">
        <v>5</v>
      </c>
      <c r="G59" s="148" t="s">
        <v>6</v>
      </c>
      <c r="H59" s="148" t="s">
        <v>7</v>
      </c>
      <c r="I59" s="147" t="s">
        <v>8</v>
      </c>
      <c r="J59" s="147"/>
      <c r="K59" s="147"/>
      <c r="L59" s="147" t="s">
        <v>9</v>
      </c>
      <c r="M59" s="147"/>
      <c r="N59" s="147"/>
      <c r="O59" s="147"/>
      <c r="P59" s="148" t="s">
        <v>10</v>
      </c>
      <c r="Q59" s="148" t="s">
        <v>11</v>
      </c>
    </row>
    <row r="60" spans="1:17" ht="164.25" customHeight="1" x14ac:dyDescent="0.3">
      <c r="A60" s="147"/>
      <c r="B60" s="119" t="s">
        <v>12</v>
      </c>
      <c r="C60" s="119" t="s">
        <v>13</v>
      </c>
      <c r="D60" s="119" t="s">
        <v>14</v>
      </c>
      <c r="E60" s="149"/>
      <c r="F60" s="149"/>
      <c r="G60" s="149"/>
      <c r="H60" s="149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9"/>
      <c r="Q60" s="149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>
        <v>234</v>
      </c>
      <c r="C66" s="92">
        <v>974</v>
      </c>
      <c r="D66" s="103">
        <v>648</v>
      </c>
      <c r="E66" s="91">
        <v>40150</v>
      </c>
      <c r="F66" s="92">
        <v>105038</v>
      </c>
      <c r="G66" s="92">
        <v>116766</v>
      </c>
      <c r="H66" s="129">
        <f t="shared" si="15"/>
        <v>89.95598033674186</v>
      </c>
      <c r="I66" s="93">
        <v>1.669</v>
      </c>
      <c r="J66" s="94"/>
      <c r="K66" s="94">
        <f t="shared" si="16"/>
        <v>1.669</v>
      </c>
      <c r="L66" s="93">
        <v>9104.8254300000008</v>
      </c>
      <c r="M66" s="94">
        <v>2.6964619999999999</v>
      </c>
      <c r="N66" s="94"/>
      <c r="O66" s="80">
        <f t="shared" si="17"/>
        <v>9107.5218920000007</v>
      </c>
      <c r="P66" s="94">
        <v>13949.388079</v>
      </c>
      <c r="Q66" s="129">
        <f t="shared" si="18"/>
        <v>65.289759238334256</v>
      </c>
    </row>
    <row r="67" spans="1:17" ht="24.75" customHeight="1" x14ac:dyDescent="0.3">
      <c r="A67" s="121" t="s">
        <v>28</v>
      </c>
      <c r="B67" s="130">
        <v>493</v>
      </c>
      <c r="C67" s="131">
        <v>1456.25</v>
      </c>
      <c r="D67" s="132">
        <v>1304.8309999999999</v>
      </c>
      <c r="E67" s="130">
        <v>72878</v>
      </c>
      <c r="F67" s="131">
        <v>198711</v>
      </c>
      <c r="G67" s="131">
        <v>242327</v>
      </c>
      <c r="H67" s="133">
        <f t="shared" si="15"/>
        <v>82.001180223417109</v>
      </c>
      <c r="I67" s="134">
        <v>42.192</v>
      </c>
      <c r="J67" s="135"/>
      <c r="K67" s="135">
        <f t="shared" si="16"/>
        <v>42.192</v>
      </c>
      <c r="L67" s="134">
        <v>16808.153129999999</v>
      </c>
      <c r="M67" s="135">
        <v>112.77912499999999</v>
      </c>
      <c r="N67" s="135"/>
      <c r="O67" s="136">
        <f t="shared" si="17"/>
        <v>16920.932255</v>
      </c>
      <c r="P67" s="135">
        <v>29040.100148000001</v>
      </c>
      <c r="Q67" s="133">
        <f t="shared" si="18"/>
        <v>58.267472111887152</v>
      </c>
    </row>
    <row r="68" spans="1:17" ht="24.75" customHeight="1" x14ac:dyDescent="0.3">
      <c r="A68" s="76" t="s">
        <v>29</v>
      </c>
      <c r="B68" s="91">
        <v>586</v>
      </c>
      <c r="C68" s="92">
        <v>2256.41</v>
      </c>
      <c r="D68" s="103">
        <v>1484.366</v>
      </c>
      <c r="E68" s="91">
        <v>65082</v>
      </c>
      <c r="F68" s="92">
        <v>178286</v>
      </c>
      <c r="G68" s="92">
        <v>258938</v>
      </c>
      <c r="H68" s="129">
        <f t="shared" si="15"/>
        <v>68.852775567896558</v>
      </c>
      <c r="I68" s="93">
        <v>301.12571000000003</v>
      </c>
      <c r="J68" s="94"/>
      <c r="K68" s="94">
        <f t="shared" si="16"/>
        <v>301.12571000000003</v>
      </c>
      <c r="L68" s="93">
        <v>15273.371789999999</v>
      </c>
      <c r="M68" s="94">
        <v>785.30056440999999</v>
      </c>
      <c r="N68" s="94"/>
      <c r="O68" s="80">
        <f t="shared" si="17"/>
        <v>16058.672354409999</v>
      </c>
      <c r="P68" s="94">
        <v>18030.3073</v>
      </c>
      <c r="Q68" s="129">
        <f t="shared" si="18"/>
        <v>89.064884403883667</v>
      </c>
    </row>
    <row r="69" spans="1:17" ht="24.75" customHeight="1" x14ac:dyDescent="0.3">
      <c r="A69" s="121" t="s">
        <v>30</v>
      </c>
      <c r="B69" s="130">
        <v>807</v>
      </c>
      <c r="C69" s="131">
        <v>3140.33</v>
      </c>
      <c r="D69" s="132">
        <v>2102.4340000000002</v>
      </c>
      <c r="E69" s="130">
        <v>99219</v>
      </c>
      <c r="F69" s="131">
        <v>264491</v>
      </c>
      <c r="G69" s="131">
        <v>371291</v>
      </c>
      <c r="H69" s="133">
        <f t="shared" si="15"/>
        <v>71.235499917854199</v>
      </c>
      <c r="I69" s="134">
        <v>486.57000000000011</v>
      </c>
      <c r="J69" s="135"/>
      <c r="K69" s="135">
        <f t="shared" si="16"/>
        <v>486.57000000000011</v>
      </c>
      <c r="L69" s="134">
        <v>22868.349569999998</v>
      </c>
      <c r="M69" s="135">
        <v>1317.59027565</v>
      </c>
      <c r="N69" s="135"/>
      <c r="O69" s="136">
        <f t="shared" si="17"/>
        <v>24185.939845649998</v>
      </c>
      <c r="P69" s="135">
        <v>43867.869000999999</v>
      </c>
      <c r="Q69" s="133">
        <f t="shared" si="18"/>
        <v>55.1336100805322</v>
      </c>
    </row>
    <row r="70" spans="1:17" ht="24.75" customHeight="1" x14ac:dyDescent="0.3">
      <c r="A70" s="76" t="s">
        <v>31</v>
      </c>
      <c r="B70" s="91">
        <v>961</v>
      </c>
      <c r="C70" s="92">
        <v>3617.3166000000001</v>
      </c>
      <c r="D70" s="103">
        <v>2447.681</v>
      </c>
      <c r="E70" s="91">
        <v>129991</v>
      </c>
      <c r="F70" s="92">
        <v>336538</v>
      </c>
      <c r="G70" s="92">
        <v>432970</v>
      </c>
      <c r="H70" s="129">
        <f t="shared" si="15"/>
        <v>77.72778714460587</v>
      </c>
      <c r="I70" s="93">
        <v>604.47897</v>
      </c>
      <c r="J70" s="94"/>
      <c r="K70" s="94">
        <f t="shared" si="16"/>
        <v>604.47897</v>
      </c>
      <c r="L70" s="93">
        <v>29387.351790000001</v>
      </c>
      <c r="M70" s="94">
        <v>1542.9586923500001</v>
      </c>
      <c r="N70" s="94"/>
      <c r="O70" s="80">
        <f t="shared" si="17"/>
        <v>30930.31048235</v>
      </c>
      <c r="P70" s="94">
        <v>48659.799727999998</v>
      </c>
      <c r="Q70" s="129">
        <f t="shared" si="18"/>
        <v>63.564401529075688</v>
      </c>
    </row>
    <row r="71" spans="1:17" ht="24.75" customHeight="1" x14ac:dyDescent="0.3">
      <c r="A71" s="121" t="s">
        <v>32</v>
      </c>
      <c r="B71" s="130">
        <v>1033</v>
      </c>
      <c r="C71" s="131">
        <v>3572.8833300000001</v>
      </c>
      <c r="D71" s="132">
        <v>2513.4380000000001</v>
      </c>
      <c r="E71" s="130">
        <v>142830</v>
      </c>
      <c r="F71" s="131">
        <v>356128</v>
      </c>
      <c r="G71" s="131">
        <v>441046</v>
      </c>
      <c r="H71" s="133">
        <f t="shared" si="15"/>
        <v>80.746226017240829</v>
      </c>
      <c r="I71" s="134">
        <v>688.21299999999997</v>
      </c>
      <c r="J71" s="135"/>
      <c r="K71" s="135">
        <f t="shared" si="16"/>
        <v>688.21299999999997</v>
      </c>
      <c r="L71" s="134">
        <v>31628.124899999999</v>
      </c>
      <c r="M71" s="135">
        <v>1705.9446390000001</v>
      </c>
      <c r="N71" s="135"/>
      <c r="O71" s="136">
        <f t="shared" si="17"/>
        <v>33334.069538999996</v>
      </c>
      <c r="P71" s="135">
        <v>52370.135446</v>
      </c>
      <c r="Q71" s="133">
        <f t="shared" si="18"/>
        <v>63.650913359526228</v>
      </c>
    </row>
    <row r="72" spans="1:17" ht="24.75" customHeight="1" x14ac:dyDescent="0.3">
      <c r="A72" s="76" t="s">
        <v>33</v>
      </c>
      <c r="B72" s="109">
        <v>1251</v>
      </c>
      <c r="C72" s="110">
        <v>4516.53</v>
      </c>
      <c r="D72" s="111">
        <v>2976.9430000000002</v>
      </c>
      <c r="E72" s="109">
        <v>173098</v>
      </c>
      <c r="F72" s="110">
        <v>420973</v>
      </c>
      <c r="G72" s="110">
        <v>527469</v>
      </c>
      <c r="H72" s="112">
        <f t="shared" si="15"/>
        <v>79.809998312697047</v>
      </c>
      <c r="I72" s="113"/>
      <c r="J72" s="114">
        <v>840.12950999999975</v>
      </c>
      <c r="K72" s="114">
        <f t="shared" si="16"/>
        <v>840.12950999999975</v>
      </c>
      <c r="L72" s="113">
        <v>36803.298510000001</v>
      </c>
      <c r="M72" s="114"/>
      <c r="N72" s="114">
        <v>1737.7185377000001</v>
      </c>
      <c r="O72" s="112">
        <f t="shared" si="17"/>
        <v>38541.017047699999</v>
      </c>
      <c r="P72" s="114">
        <v>59516.777110000003</v>
      </c>
      <c r="Q72" s="112">
        <f t="shared" si="18"/>
        <v>64.756559274820575</v>
      </c>
    </row>
    <row r="73" spans="1:17" ht="24.75" customHeight="1" x14ac:dyDescent="0.3">
      <c r="A73" s="137" t="s">
        <v>34</v>
      </c>
      <c r="B73" s="138">
        <f t="shared" ref="B73:G73" si="19">SUM(B61:B72)</f>
        <v>5365</v>
      </c>
      <c r="C73" s="138">
        <f t="shared" si="19"/>
        <v>19533.719929999999</v>
      </c>
      <c r="D73" s="138">
        <f t="shared" si="19"/>
        <v>13477.692999999999</v>
      </c>
      <c r="E73" s="138">
        <f t="shared" si="19"/>
        <v>723248</v>
      </c>
      <c r="F73" s="138">
        <f t="shared" si="19"/>
        <v>1860165</v>
      </c>
      <c r="G73" s="138">
        <f t="shared" si="19"/>
        <v>2390807</v>
      </c>
      <c r="H73" s="139">
        <f t="shared" si="15"/>
        <v>77.804900186422415</v>
      </c>
      <c r="I73" s="140">
        <f>SUM(I61:I72)</f>
        <v>2124.2486799999997</v>
      </c>
      <c r="J73" s="140">
        <f>SUM(J61:J72)</f>
        <v>840.12950999999975</v>
      </c>
      <c r="K73" s="140">
        <f t="shared" si="16"/>
        <v>2964.3781899999994</v>
      </c>
      <c r="L73" s="140">
        <f>SUM(L61:L72)</f>
        <v>161873.47511999999</v>
      </c>
      <c r="M73" s="140">
        <f>SUM(M61:M72)</f>
        <v>5467.2697584100006</v>
      </c>
      <c r="N73" s="140">
        <f>SUM(N61:N72)</f>
        <v>1737.7185377000001</v>
      </c>
      <c r="O73" s="140">
        <f t="shared" si="17"/>
        <v>169078.46341611</v>
      </c>
      <c r="P73" s="140">
        <f>SUM(P61:P72)</f>
        <v>265434.376812</v>
      </c>
      <c r="Q73" s="139">
        <f t="shared" si="18"/>
        <v>63.698781388766271</v>
      </c>
    </row>
    <row r="74" spans="1:17" x14ac:dyDescent="0.3">
      <c r="A74" s="150" t="s">
        <v>35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2022-03-14T07:29:59Z</cp:lastPrinted>
  <dcterms:created xsi:type="dcterms:W3CDTF">2022-03-07T07:42:50Z</dcterms:created>
  <dcterms:modified xsi:type="dcterms:W3CDTF">2022-03-31T10:46:06Z</dcterms:modified>
</cp:coreProperties>
</file>