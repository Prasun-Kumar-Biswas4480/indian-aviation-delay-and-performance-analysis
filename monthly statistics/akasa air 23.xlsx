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3" i="2" l="1"/>
  <c r="Q43" i="2" s="1"/>
  <c r="K43" i="2"/>
  <c r="H43" i="2"/>
  <c r="O42" i="2"/>
  <c r="Q42" i="2" s="1"/>
  <c r="K42" i="2"/>
  <c r="H42" i="2"/>
  <c r="P73" i="2" l="1"/>
  <c r="N73" i="2"/>
  <c r="M73" i="2"/>
  <c r="L73" i="2"/>
  <c r="O73" i="2" s="1"/>
  <c r="J73" i="2"/>
  <c r="I73" i="2"/>
  <c r="K73" i="2" s="1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P54" i="2"/>
  <c r="N54" i="2"/>
  <c r="M54" i="2"/>
  <c r="L54" i="2"/>
  <c r="O54" i="2" s="1"/>
  <c r="J54" i="2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P35" i="2"/>
  <c r="N35" i="2"/>
  <c r="O35" i="2" s="1"/>
  <c r="Q35" i="2" s="1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J16" i="2"/>
  <c r="I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Q54" i="2" l="1"/>
  <c r="K54" i="2"/>
  <c r="Q73" i="2"/>
  <c r="O16" i="2"/>
  <c r="Q16" i="2" s="1"/>
  <c r="K16" i="2"/>
  <c r="H16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<sst xmlns="http://schemas.openxmlformats.org/spreadsheetml/2006/main" count="153" uniqueCount="42">
  <si>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</si>
  <si>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AKASA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</si>
  <si>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</si>
  <si>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</si>
  <si>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</si>
  <si>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</si>
  <si>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</si>
  <si>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</si>
  <si>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</si>
  <si>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</si>
  <si>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</si>
  <si>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</si>
  <si>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</si>
  <si>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</si>
  <si>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</si>
  <si>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</si>
  <si>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</si>
  <si>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</si>
  <si>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</si>
  <si>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</si>
  <si>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</si>
  <si>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</si>
  <si>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</si>
  <si>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</si>
  <si>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</si>
  <si>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</si>
  <si>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</si>
  <si>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</si>
  <si>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</si>
  <si>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</si>
  <si>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</si>
  <si>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</si>
  <si>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</si>
  <si>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</si>
  <si>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</si>
  <si>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AKASA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</si>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</sst>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FFICE\RAW%20DATA\mukesh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4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AKASA AIR</v>
          </cell>
        </row>
        <row r="34">
          <cell r="AT34" t="str">
            <v>INDIAONE AIR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9" transitionEvaluation="1" transitionEntry="1" codeName="Sheet12"/>
  <dimension ref="A1:Q494"/>
  <sheetViews>
    <sheetView showGridLines="0" tabSelected="1" view="pageBreakPreview" topLeftCell="A49" zoomScale="85" zoomScaleNormal="85" zoomScaleSheetLayoutView="85" workbookViewId="0">
      <selection activeCell="K53" sqref="K53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5">
        <v>2023</v>
      </c>
      <c r="B1" s="165"/>
      <c r="C1" s="166" t="s">
        <v>0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7" t="s">
        <v>1</v>
      </c>
      <c r="P1" s="167"/>
      <c r="Q1" s="167"/>
    </row>
    <row r="2" spans="1:17" ht="33" customHeight="1" x14ac:dyDescent="0.3">
      <c r="A2" s="168" t="s">
        <v>2</v>
      </c>
      <c r="B2" s="170" t="s">
        <v>3</v>
      </c>
      <c r="C2" s="170"/>
      <c r="D2" s="170"/>
      <c r="E2" s="171" t="s">
        <v>4</v>
      </c>
      <c r="F2" s="171" t="s">
        <v>5</v>
      </c>
      <c r="G2" s="171" t="s">
        <v>6</v>
      </c>
      <c r="H2" s="171" t="s">
        <v>7</v>
      </c>
      <c r="I2" s="170" t="s">
        <v>8</v>
      </c>
      <c r="J2" s="170"/>
      <c r="K2" s="170"/>
      <c r="L2" s="170" t="s">
        <v>9</v>
      </c>
      <c r="M2" s="170"/>
      <c r="N2" s="170"/>
      <c r="O2" s="170"/>
      <c r="P2" s="171" t="s">
        <v>10</v>
      </c>
      <c r="Q2" s="171" t="s">
        <v>11</v>
      </c>
    </row>
    <row r="3" spans="1:17" ht="155.25" customHeight="1" x14ac:dyDescent="0.3">
      <c r="A3" s="169"/>
      <c r="B3" s="2" t="s">
        <v>12</v>
      </c>
      <c r="C3" s="2" t="s">
        <v>13</v>
      </c>
      <c r="D3" s="2" t="s">
        <v>14</v>
      </c>
      <c r="E3" s="171"/>
      <c r="F3" s="171"/>
      <c r="G3" s="171"/>
      <c r="H3" s="171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71"/>
      <c r="Q3" s="171"/>
    </row>
    <row r="4" spans="1:17" ht="23.1" customHeight="1" x14ac:dyDescent="0.3">
      <c r="A4" s="4" t="s">
        <v>22</v>
      </c>
      <c r="B4" s="5">
        <v>2448</v>
      </c>
      <c r="C4" s="5">
        <v>4124</v>
      </c>
      <c r="D4" s="6">
        <v>1856</v>
      </c>
      <c r="E4" s="7">
        <v>356550</v>
      </c>
      <c r="F4" s="5">
        <v>281527.16099999996</v>
      </c>
      <c r="G4" s="5">
        <v>339793.24700000003</v>
      </c>
      <c r="H4" s="8">
        <f>IFERROR(F4/G4*100," ")</f>
        <v>82.852488531062519</v>
      </c>
      <c r="I4" s="9">
        <v>1778.48</v>
      </c>
      <c r="J4" s="10"/>
      <c r="K4" s="8">
        <f>IF(AND(ISBLANK(I4),ISBLANK(J4))=TRUE,"",I4+J4)</f>
        <v>1778.48</v>
      </c>
      <c r="L4" s="9">
        <v>23053.355563000001</v>
      </c>
      <c r="M4" s="10">
        <v>1821</v>
      </c>
      <c r="N4" s="10">
        <v>0</v>
      </c>
      <c r="O4" s="8">
        <f>IF(AND(ISBLANK(L4),ISBLANK(M4),ISBLANK(N4))=TRUE,"",L4+M4+N4)</f>
        <v>24874.355563000001</v>
      </c>
      <c r="P4" s="10">
        <v>38062.765586000001</v>
      </c>
      <c r="Q4" s="8">
        <f>IFERROR(O4/P4*100," ")</f>
        <v>65.350888670446807</v>
      </c>
    </row>
    <row r="5" spans="1:17" ht="23.1" customHeight="1" x14ac:dyDescent="0.3">
      <c r="A5" s="11" t="s">
        <v>23</v>
      </c>
      <c r="B5" s="12">
        <v>2469</v>
      </c>
      <c r="C5" s="12">
        <v>4089</v>
      </c>
      <c r="D5" s="11">
        <v>1832.203</v>
      </c>
      <c r="E5" s="13">
        <v>361135</v>
      </c>
      <c r="F5" s="12">
        <v>278748</v>
      </c>
      <c r="G5" s="12">
        <v>332978</v>
      </c>
      <c r="H5" s="14">
        <f t="shared" ref="H5:H16" si="0">IFERROR(F5/G5*100," ")</f>
        <v>83.713638738895668</v>
      </c>
      <c r="I5" s="15">
        <v>1900.7517800000001</v>
      </c>
      <c r="J5" s="16"/>
      <c r="K5" s="14">
        <f t="shared" ref="K5:K16" si="1">IF(AND(ISBLANK(I5),ISBLANK(J5))=TRUE,"",I5+J5)</f>
        <v>1900.7517800000001</v>
      </c>
      <c r="L5" s="15">
        <v>22759</v>
      </c>
      <c r="M5" s="16">
        <v>1978</v>
      </c>
      <c r="N5" s="16">
        <v>0</v>
      </c>
      <c r="O5" s="14">
        <f t="shared" ref="O5:O16" si="2">IF(AND(ISBLANK(L5),ISBLANK(M5),ISBLANK(N5))=TRUE,"",L5+M5+N5)</f>
        <v>24737</v>
      </c>
      <c r="P5" s="16">
        <v>37571</v>
      </c>
      <c r="Q5" s="14">
        <f t="shared" ref="Q5:Q16" si="3">IFERROR(O5/P5*100," ")</f>
        <v>65.840674988688079</v>
      </c>
    </row>
    <row r="6" spans="1:17" ht="23.1" customHeight="1" x14ac:dyDescent="0.3">
      <c r="A6" s="17" t="s">
        <v>24</v>
      </c>
      <c r="B6" s="18">
        <v>3199</v>
      </c>
      <c r="C6" s="18">
        <v>5419.2839999999997</v>
      </c>
      <c r="D6" s="17">
        <v>2500.174</v>
      </c>
      <c r="E6" s="19">
        <v>419911</v>
      </c>
      <c r="F6" s="18">
        <v>331953</v>
      </c>
      <c r="G6" s="18">
        <v>451005</v>
      </c>
      <c r="H6" s="20">
        <f t="shared" si="0"/>
        <v>73.602953404064252</v>
      </c>
      <c r="I6" s="21">
        <v>2239</v>
      </c>
      <c r="J6" s="22"/>
      <c r="K6" s="20">
        <f t="shared" si="1"/>
        <v>2239</v>
      </c>
      <c r="L6" s="21">
        <v>26911</v>
      </c>
      <c r="M6" s="22">
        <v>2182</v>
      </c>
      <c r="N6" s="22"/>
      <c r="O6" s="20">
        <f t="shared" si="2"/>
        <v>29093</v>
      </c>
      <c r="P6" s="22">
        <v>51269</v>
      </c>
      <c r="Q6" s="20">
        <f t="shared" si="3"/>
        <v>56.745791804014125</v>
      </c>
    </row>
    <row r="7" spans="1:17" ht="23.1" customHeight="1" x14ac:dyDescent="0.3">
      <c r="A7" s="11" t="s">
        <v>25</v>
      </c>
      <c r="B7" s="12">
        <v>3322</v>
      </c>
      <c r="C7" s="12">
        <v>5869.4833333333336</v>
      </c>
      <c r="D7" s="11">
        <v>2820</v>
      </c>
      <c r="E7" s="13">
        <v>513025</v>
      </c>
      <c r="F7" s="12">
        <v>429326</v>
      </c>
      <c r="G7" s="12">
        <v>505632</v>
      </c>
      <c r="H7" s="14">
        <f t="shared" si="0"/>
        <v>84.908787418517818</v>
      </c>
      <c r="I7" s="15">
        <v>2605</v>
      </c>
      <c r="J7" s="16"/>
      <c r="K7" s="14">
        <f t="shared" si="1"/>
        <v>2605</v>
      </c>
      <c r="L7" s="15">
        <v>34624</v>
      </c>
      <c r="M7" s="16">
        <v>2561</v>
      </c>
      <c r="N7" s="16"/>
      <c r="O7" s="14">
        <f t="shared" si="2"/>
        <v>37185</v>
      </c>
      <c r="P7" s="16">
        <v>57825</v>
      </c>
      <c r="Q7" s="14">
        <f t="shared" si="3"/>
        <v>64.306095979247729</v>
      </c>
    </row>
    <row r="8" spans="1:17" s="23" customFormat="1" ht="30" customHeight="1" x14ac:dyDescent="0.25">
      <c r="A8" s="17" t="s">
        <v>26</v>
      </c>
      <c r="B8" s="18">
        <v>3820</v>
      </c>
      <c r="C8" s="18">
        <v>6932.0666666666666</v>
      </c>
      <c r="D8" s="17">
        <v>3362.3539999999998</v>
      </c>
      <c r="E8" s="19">
        <v>629045</v>
      </c>
      <c r="F8" s="18">
        <v>551087</v>
      </c>
      <c r="G8" s="18">
        <v>604670</v>
      </c>
      <c r="H8" s="20">
        <f t="shared" si="0"/>
        <v>91.138472224519163</v>
      </c>
      <c r="I8" s="21">
        <v>3884.5520999999999</v>
      </c>
      <c r="J8" s="22"/>
      <c r="K8" s="20">
        <f t="shared" si="1"/>
        <v>3884.5520999999999</v>
      </c>
      <c r="L8" s="21">
        <v>45090.09</v>
      </c>
      <c r="M8" s="22">
        <v>3844.83</v>
      </c>
      <c r="N8" s="22"/>
      <c r="O8" s="20">
        <f t="shared" si="2"/>
        <v>48934.92</v>
      </c>
      <c r="P8" s="22">
        <v>68948.431159999993</v>
      </c>
      <c r="Q8" s="20">
        <f t="shared" si="3"/>
        <v>70.973217485460765</v>
      </c>
    </row>
    <row r="9" spans="1:17" ht="23.1" customHeight="1" x14ac:dyDescent="0.3">
      <c r="A9" s="11" t="s">
        <v>27</v>
      </c>
      <c r="B9" s="12">
        <v>3787</v>
      </c>
      <c r="C9" s="12">
        <v>7245.083333333333</v>
      </c>
      <c r="D9" s="11">
        <v>3593.9969999999998</v>
      </c>
      <c r="E9" s="13">
        <v>618053</v>
      </c>
      <c r="F9" s="12">
        <v>588786.42500000005</v>
      </c>
      <c r="G9" s="12">
        <v>646246.46</v>
      </c>
      <c r="H9" s="14">
        <f t="shared" si="0"/>
        <v>91.108649941386162</v>
      </c>
      <c r="I9" s="15">
        <v>3723.6190000000001</v>
      </c>
      <c r="J9" s="16"/>
      <c r="K9" s="14">
        <f t="shared" si="1"/>
        <v>3723.6190000000001</v>
      </c>
      <c r="L9" s="15">
        <v>48794.428</v>
      </c>
      <c r="M9" s="16">
        <v>3885.7780000000007</v>
      </c>
      <c r="N9" s="16"/>
      <c r="O9" s="14">
        <f t="shared" si="2"/>
        <v>52680.205999999998</v>
      </c>
      <c r="P9" s="16">
        <v>73698.501999999993</v>
      </c>
      <c r="Q9" s="14">
        <f t="shared" si="3"/>
        <v>71.48070119525633</v>
      </c>
    </row>
    <row r="10" spans="1:17" ht="23.1" customHeight="1" x14ac:dyDescent="0.3">
      <c r="A10" s="17" t="s">
        <v>28</v>
      </c>
      <c r="B10" s="18">
        <v>4017</v>
      </c>
      <c r="C10" s="18">
        <v>7878.583333333333</v>
      </c>
      <c r="D10" s="17">
        <v>3861.915</v>
      </c>
      <c r="E10" s="19">
        <v>624086</v>
      </c>
      <c r="F10" s="18">
        <v>601639.69400000002</v>
      </c>
      <c r="G10" s="18">
        <v>694445.68500000006</v>
      </c>
      <c r="H10" s="20">
        <f t="shared" si="0"/>
        <v>86.635961169518964</v>
      </c>
      <c r="I10" s="21">
        <v>4263.38735</v>
      </c>
      <c r="J10" s="22">
        <v>0</v>
      </c>
      <c r="K10" s="20">
        <f t="shared" si="1"/>
        <v>4263.38735</v>
      </c>
      <c r="L10" s="21">
        <v>49396.628689999998</v>
      </c>
      <c r="M10" s="22">
        <v>4611.3900000000003</v>
      </c>
      <c r="N10" s="22">
        <v>0</v>
      </c>
      <c r="O10" s="20">
        <f t="shared" si="2"/>
        <v>54008.018689999997</v>
      </c>
      <c r="P10" s="22">
        <v>79192.429029999999</v>
      </c>
      <c r="Q10" s="20">
        <f t="shared" si="3"/>
        <v>68.198462089779383</v>
      </c>
    </row>
    <row r="11" spans="1:17" ht="23.1" customHeight="1" x14ac:dyDescent="0.3">
      <c r="A11" s="11" t="s">
        <v>29</v>
      </c>
      <c r="B11" s="12">
        <v>3369</v>
      </c>
      <c r="C11" s="12">
        <v>6822.75</v>
      </c>
      <c r="D11" s="11">
        <v>3460.018</v>
      </c>
      <c r="E11" s="13">
        <v>526972</v>
      </c>
      <c r="F11" s="12">
        <v>544498</v>
      </c>
      <c r="G11" s="12">
        <v>623918</v>
      </c>
      <c r="H11" s="14">
        <f t="shared" si="0"/>
        <v>87.270763145156891</v>
      </c>
      <c r="I11" s="15">
        <v>3751.8700000000003</v>
      </c>
      <c r="J11" s="16"/>
      <c r="K11" s="14">
        <f t="shared" si="1"/>
        <v>3751.8700000000003</v>
      </c>
      <c r="L11" s="15">
        <v>44600.17</v>
      </c>
      <c r="M11" s="16">
        <v>4243.9799999999996</v>
      </c>
      <c r="N11" s="16">
        <v>0</v>
      </c>
      <c r="O11" s="14">
        <f t="shared" si="2"/>
        <v>48844.149999999994</v>
      </c>
      <c r="P11" s="16">
        <v>70951.099999999991</v>
      </c>
      <c r="Q11" s="14">
        <f t="shared" si="3"/>
        <v>68.841991174203073</v>
      </c>
    </row>
    <row r="12" spans="1:17" ht="23.1" customHeight="1" x14ac:dyDescent="0.3">
      <c r="A12" s="17" t="s">
        <v>30</v>
      </c>
      <c r="B12" s="18">
        <v>3224</v>
      </c>
      <c r="C12" s="18">
        <v>6568.6166666666668</v>
      </c>
      <c r="D12" s="17">
        <v>3270</v>
      </c>
      <c r="E12" s="19">
        <v>517170</v>
      </c>
      <c r="F12" s="18">
        <v>527077</v>
      </c>
      <c r="G12" s="18">
        <v>598468</v>
      </c>
      <c r="H12" s="20">
        <f t="shared" si="0"/>
        <v>88.071041392355141</v>
      </c>
      <c r="I12" s="21">
        <v>3240.4399999999996</v>
      </c>
      <c r="J12" s="22">
        <v>43.419999999999995</v>
      </c>
      <c r="K12" s="20">
        <f t="shared" si="1"/>
        <v>3283.8599999999997</v>
      </c>
      <c r="L12" s="21">
        <v>43081</v>
      </c>
      <c r="M12" s="22">
        <v>3687</v>
      </c>
      <c r="N12" s="22">
        <v>48.42</v>
      </c>
      <c r="O12" s="20">
        <f t="shared" si="2"/>
        <v>46816.42</v>
      </c>
      <c r="P12" s="22">
        <v>67049</v>
      </c>
      <c r="Q12" s="20">
        <f t="shared" si="3"/>
        <v>69.824188280212979</v>
      </c>
    </row>
    <row r="13" spans="1:17" ht="23.1" customHeight="1" x14ac:dyDescent="0.3">
      <c r="A13" s="11" t="s">
        <v>31</v>
      </c>
      <c r="B13" s="12">
        <v>3330</v>
      </c>
      <c r="C13" s="12">
        <v>6680.45</v>
      </c>
      <c r="D13" s="11">
        <v>3381</v>
      </c>
      <c r="E13" s="13">
        <v>524439</v>
      </c>
      <c r="F13" s="12">
        <v>540645</v>
      </c>
      <c r="G13" s="12">
        <v>624195</v>
      </c>
      <c r="H13" s="14">
        <f t="shared" si="0"/>
        <v>86.614759810636102</v>
      </c>
      <c r="I13" s="15">
        <v>3772.9010499999999</v>
      </c>
      <c r="J13" s="16">
        <v>148.13694000000001</v>
      </c>
      <c r="K13" s="14">
        <f t="shared" si="1"/>
        <v>3921.0379899999998</v>
      </c>
      <c r="L13" s="15">
        <v>44257.120000000003</v>
      </c>
      <c r="M13" s="16">
        <v>4297.2299999999996</v>
      </c>
      <c r="N13" s="16">
        <v>168.44</v>
      </c>
      <c r="O13" s="14">
        <f t="shared" si="2"/>
        <v>48722.790000000008</v>
      </c>
      <c r="P13" s="16">
        <v>69336.800000000003</v>
      </c>
      <c r="Q13" s="14">
        <f t="shared" si="3"/>
        <v>70.269741320626295</v>
      </c>
    </row>
    <row r="14" spans="1:17" ht="23.1" customHeight="1" x14ac:dyDescent="0.3">
      <c r="A14" s="17" t="s">
        <v>32</v>
      </c>
      <c r="B14" s="18">
        <v>3270</v>
      </c>
      <c r="C14" s="18">
        <v>6634.3166666666666</v>
      </c>
      <c r="D14" s="17">
        <v>3299</v>
      </c>
      <c r="E14" s="19">
        <v>536309</v>
      </c>
      <c r="F14" s="18">
        <v>544841</v>
      </c>
      <c r="G14" s="18">
        <v>609381</v>
      </c>
      <c r="H14" s="20">
        <f t="shared" si="0"/>
        <v>89.408924794176386</v>
      </c>
      <c r="I14" s="21">
        <v>3274.6509299999998</v>
      </c>
      <c r="J14" s="22">
        <v>216.51193000000009</v>
      </c>
      <c r="K14" s="20">
        <f t="shared" si="1"/>
        <v>3491.1628599999999</v>
      </c>
      <c r="L14" s="21">
        <v>44968.13</v>
      </c>
      <c r="M14" s="22">
        <v>3675.96</v>
      </c>
      <c r="N14" s="22">
        <v>250.33</v>
      </c>
      <c r="O14" s="20">
        <f t="shared" si="2"/>
        <v>48894.42</v>
      </c>
      <c r="P14" s="22">
        <v>67640.17</v>
      </c>
      <c r="Q14" s="20">
        <f t="shared" si="3"/>
        <v>72.286069062215546</v>
      </c>
    </row>
    <row r="15" spans="1:17" ht="23.1" customHeight="1" x14ac:dyDescent="0.3">
      <c r="A15" s="24" t="s">
        <v>33</v>
      </c>
      <c r="B15" s="25">
        <v>3518</v>
      </c>
      <c r="C15" s="25">
        <v>7132.45</v>
      </c>
      <c r="D15" s="26">
        <v>3576</v>
      </c>
      <c r="E15" s="27">
        <v>602655</v>
      </c>
      <c r="F15" s="25">
        <v>618954</v>
      </c>
      <c r="G15" s="25">
        <v>659206</v>
      </c>
      <c r="H15" s="28">
        <f t="shared" si="0"/>
        <v>93.893866257285268</v>
      </c>
      <c r="I15" s="29">
        <v>3638.46</v>
      </c>
      <c r="J15" s="30">
        <v>251.22</v>
      </c>
      <c r="K15" s="28">
        <f t="shared" si="1"/>
        <v>3889.68</v>
      </c>
      <c r="L15" s="29">
        <v>51369.45</v>
      </c>
      <c r="M15" s="30">
        <v>4116.3500000000004</v>
      </c>
      <c r="N15" s="30">
        <v>279.73</v>
      </c>
      <c r="O15" s="28">
        <f t="shared" si="2"/>
        <v>55765.53</v>
      </c>
      <c r="P15" s="16">
        <v>73332.94</v>
      </c>
      <c r="Q15" s="14">
        <f t="shared" si="3"/>
        <v>76.044312419493892</v>
      </c>
    </row>
    <row r="16" spans="1:17" ht="23.1" customHeight="1" x14ac:dyDescent="0.3">
      <c r="A16" s="31" t="s">
        <v>34</v>
      </c>
      <c r="B16" s="32">
        <f t="shared" ref="B16:G16" si="4">SUM(B4:B15)</f>
        <v>39773</v>
      </c>
      <c r="C16" s="32">
        <f t="shared" si="4"/>
        <v>75396.084000000003</v>
      </c>
      <c r="D16" s="32">
        <f t="shared" si="4"/>
        <v>36812.661</v>
      </c>
      <c r="E16" s="32">
        <f t="shared" si="4"/>
        <v>6229350</v>
      </c>
      <c r="F16" s="32">
        <f t="shared" si="4"/>
        <v>5839082.2800000003</v>
      </c>
      <c r="G16" s="32">
        <f t="shared" si="4"/>
        <v>6689938.392</v>
      </c>
      <c r="H16" s="33">
        <f t="shared" si="0"/>
        <v>87.281555342610091</v>
      </c>
      <c r="I16" s="33">
        <f>SUM(I4:I15)</f>
        <v>38073.112209999999</v>
      </c>
      <c r="J16" s="33">
        <f>SUM(J4:J15)</f>
        <v>659.28887000000009</v>
      </c>
      <c r="K16" s="33">
        <f t="shared" si="1"/>
        <v>38732.401079999996</v>
      </c>
      <c r="L16" s="33">
        <f>SUM(L4:L15)</f>
        <v>478904.37225299998</v>
      </c>
      <c r="M16" s="33">
        <f>SUM(M4:M15)</f>
        <v>40904.517999999996</v>
      </c>
      <c r="N16" s="33">
        <f>SUM(N4:N15)</f>
        <v>746.92000000000007</v>
      </c>
      <c r="O16" s="33">
        <f t="shared" si="2"/>
        <v>520555.81025299995</v>
      </c>
      <c r="P16" s="34">
        <f>SUM(P4:P15)</f>
        <v>754877.13777599996</v>
      </c>
      <c r="Q16" s="34">
        <f t="shared" si="3"/>
        <v>68.959011235477121</v>
      </c>
    </row>
    <row r="17" spans="1:17" ht="20.100000000000001" customHeight="1" x14ac:dyDescent="0.3">
      <c r="A17" s="150" t="s">
        <v>35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8">
        <v>2023</v>
      </c>
      <c r="B20" s="158"/>
      <c r="C20" s="159" t="s">
        <v>38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60" t="s">
        <v>1</v>
      </c>
      <c r="P20" s="160"/>
      <c r="Q20" s="161"/>
    </row>
    <row r="21" spans="1:17" ht="33" customHeight="1" x14ac:dyDescent="0.3">
      <c r="A21" s="162" t="s">
        <v>2</v>
      </c>
      <c r="B21" s="162" t="s">
        <v>3</v>
      </c>
      <c r="C21" s="162"/>
      <c r="D21" s="162"/>
      <c r="E21" s="163" t="s">
        <v>4</v>
      </c>
      <c r="F21" s="163" t="s">
        <v>5</v>
      </c>
      <c r="G21" s="163" t="s">
        <v>6</v>
      </c>
      <c r="H21" s="163" t="s">
        <v>7</v>
      </c>
      <c r="I21" s="162" t="s">
        <v>8</v>
      </c>
      <c r="J21" s="162"/>
      <c r="K21" s="162"/>
      <c r="L21" s="162" t="s">
        <v>9</v>
      </c>
      <c r="M21" s="162"/>
      <c r="N21" s="162"/>
      <c r="O21" s="162"/>
      <c r="P21" s="163" t="s">
        <v>10</v>
      </c>
      <c r="Q21" s="163" t="s">
        <v>11</v>
      </c>
    </row>
    <row r="22" spans="1:17" ht="150.75" customHeight="1" x14ac:dyDescent="0.3">
      <c r="A22" s="162"/>
      <c r="B22" s="36" t="s">
        <v>12</v>
      </c>
      <c r="C22" s="36" t="s">
        <v>13</v>
      </c>
      <c r="D22" s="36" t="s">
        <v>14</v>
      </c>
      <c r="E22" s="163"/>
      <c r="F22" s="163"/>
      <c r="G22" s="163"/>
      <c r="H22" s="163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4"/>
      <c r="Q22" s="164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50" t="s">
        <v>35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52">
        <v>2023</v>
      </c>
      <c r="B39" s="152"/>
      <c r="C39" s="153" t="s">
        <v>39</v>
      </c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4" t="s">
        <v>1</v>
      </c>
      <c r="P39" s="154"/>
      <c r="Q39" s="154"/>
    </row>
    <row r="40" spans="1:17" ht="28.9" customHeight="1" x14ac:dyDescent="0.3">
      <c r="A40" s="155" t="s">
        <v>2</v>
      </c>
      <c r="B40" s="155" t="s">
        <v>3</v>
      </c>
      <c r="C40" s="155"/>
      <c r="D40" s="155"/>
      <c r="E40" s="156" t="s">
        <v>4</v>
      </c>
      <c r="F40" s="156" t="s">
        <v>5</v>
      </c>
      <c r="G40" s="156" t="s">
        <v>6</v>
      </c>
      <c r="H40" s="156" t="s">
        <v>7</v>
      </c>
      <c r="I40" s="155" t="s">
        <v>8</v>
      </c>
      <c r="J40" s="155"/>
      <c r="K40" s="155"/>
      <c r="L40" s="155" t="s">
        <v>9</v>
      </c>
      <c r="M40" s="155"/>
      <c r="N40" s="155"/>
      <c r="O40" s="155"/>
      <c r="P40" s="156" t="s">
        <v>10</v>
      </c>
      <c r="Q40" s="156" t="s">
        <v>11</v>
      </c>
    </row>
    <row r="41" spans="1:17" ht="178.5" customHeight="1" x14ac:dyDescent="0.3">
      <c r="A41" s="155"/>
      <c r="B41" s="67" t="s">
        <v>12</v>
      </c>
      <c r="C41" s="67" t="s">
        <v>13</v>
      </c>
      <c r="D41" s="67" t="s">
        <v>14</v>
      </c>
      <c r="E41" s="157"/>
      <c r="F41" s="157"/>
      <c r="G41" s="157"/>
      <c r="H41" s="157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7"/>
      <c r="Q41" s="157"/>
    </row>
    <row r="42" spans="1:17" ht="25.5" customHeight="1" x14ac:dyDescent="0.3">
      <c r="A42" s="69" t="s">
        <v>22</v>
      </c>
      <c r="B42" s="70">
        <v>2</v>
      </c>
      <c r="C42" s="71">
        <v>3</v>
      </c>
      <c r="D42" s="72">
        <v>1</v>
      </c>
      <c r="E42" s="70">
        <v>272</v>
      </c>
      <c r="F42" s="71">
        <v>142.839</v>
      </c>
      <c r="G42" s="71">
        <v>192.75299999999999</v>
      </c>
      <c r="H42" s="73">
        <f t="shared" ref="H42:H43" si="10">IFERROR(F42/G42*100," ")</f>
        <v>74.104683195592287</v>
      </c>
      <c r="I42" s="74"/>
      <c r="J42" s="75"/>
      <c r="K42" s="73" t="str">
        <f>IF(AND(ISBLANK(I42),ISBLANK(J42))=TRUE,"",I42+J42)</f>
        <v/>
      </c>
      <c r="L42" s="74">
        <v>10.8324</v>
      </c>
      <c r="M42" s="75">
        <v>0</v>
      </c>
      <c r="N42" s="75"/>
      <c r="O42" s="73">
        <f>IF(AND(ISBLANK(L42),ISBLANK(M42),ISBLANK(N42))=TRUE,"",L42+M42+N42)</f>
        <v>10.8324</v>
      </c>
      <c r="P42" s="74">
        <v>21.777372</v>
      </c>
      <c r="Q42" s="73">
        <f>IFERROR(O42/P42*100," ")</f>
        <v>49.741539061738024</v>
      </c>
    </row>
    <row r="43" spans="1:17" ht="25.5" customHeight="1" x14ac:dyDescent="0.3">
      <c r="A43" s="76" t="s">
        <v>23</v>
      </c>
      <c r="B43" s="77">
        <v>1</v>
      </c>
      <c r="C43" s="78">
        <v>2</v>
      </c>
      <c r="D43" s="79">
        <v>0.82599999999999996</v>
      </c>
      <c r="E43" s="77">
        <v>165</v>
      </c>
      <c r="F43" s="78">
        <v>136</v>
      </c>
      <c r="G43" s="78">
        <v>156</v>
      </c>
      <c r="H43" s="80">
        <f t="shared" si="10"/>
        <v>87.179487179487182</v>
      </c>
      <c r="I43" s="81"/>
      <c r="J43" s="82"/>
      <c r="K43" s="80" t="str">
        <f t="shared" ref="K43" si="11">IF(AND(ISBLANK(I43),ISBLANK(J43))=TRUE,"",I43+J43)</f>
        <v/>
      </c>
      <c r="L43" s="81">
        <v>11</v>
      </c>
      <c r="M43" s="82">
        <v>0</v>
      </c>
      <c r="N43" s="82">
        <v>0</v>
      </c>
      <c r="O43" s="80">
        <f t="shared" ref="O43" si="12">IF(AND(ISBLANK(L43),ISBLANK(M43),ISBLANK(N43))=TRUE,"",L43+M43+N43)</f>
        <v>11</v>
      </c>
      <c r="P43" s="81">
        <v>17</v>
      </c>
      <c r="Q43" s="80">
        <f t="shared" ref="Q43" si="13">IFERROR(O43/P43*100," ")</f>
        <v>64.705882352941174</v>
      </c>
    </row>
    <row r="44" spans="1:17" ht="25.5" customHeight="1" x14ac:dyDescent="0.3">
      <c r="A44" s="69" t="s">
        <v>24</v>
      </c>
      <c r="B44" s="83">
        <v>1</v>
      </c>
      <c r="C44" s="84">
        <v>1.716</v>
      </c>
      <c r="D44" s="85">
        <v>0.82599999999999996</v>
      </c>
      <c r="E44" s="83">
        <v>167</v>
      </c>
      <c r="F44" s="84">
        <v>138</v>
      </c>
      <c r="G44" s="84">
        <v>156</v>
      </c>
      <c r="H44" s="86">
        <f t="shared" ref="H44:H54" si="14">IFERROR(F44/G44*100," ")</f>
        <v>88.461538461538453</v>
      </c>
      <c r="I44" s="87"/>
      <c r="J44" s="88"/>
      <c r="K44" s="86" t="str">
        <f t="shared" ref="K44:K54" si="15">IF(AND(ISBLANK(I44),ISBLANK(J44))=TRUE,"",I44+J44)</f>
        <v/>
      </c>
      <c r="L44" s="87">
        <v>12.85</v>
      </c>
      <c r="M44" s="88">
        <v>0</v>
      </c>
      <c r="N44" s="88"/>
      <c r="O44" s="86">
        <f t="shared" ref="O44:O54" si="16">IF(AND(ISBLANK(L44),ISBLANK(M44),ISBLANK(N44))=TRUE,"",L44+M44+N44)</f>
        <v>12.85</v>
      </c>
      <c r="P44" s="87">
        <v>17</v>
      </c>
      <c r="Q44" s="86">
        <f t="shared" ref="Q44:Q54" si="17">IFERROR(O44/P44*100," ")</f>
        <v>75.588235294117652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4"/>
        <v xml:space="preserve"> </v>
      </c>
      <c r="I45" s="81"/>
      <c r="J45" s="82"/>
      <c r="K45" s="80" t="str">
        <f t="shared" si="15"/>
        <v/>
      </c>
      <c r="L45" s="81"/>
      <c r="M45" s="82"/>
      <c r="N45" s="82"/>
      <c r="O45" s="80" t="str">
        <f t="shared" si="16"/>
        <v/>
      </c>
      <c r="P45" s="81"/>
      <c r="Q45" s="80" t="str">
        <f t="shared" si="17"/>
        <v xml:space="preserve"> </v>
      </c>
    </row>
    <row r="46" spans="1:17" ht="25.5" customHeight="1" x14ac:dyDescent="0.3">
      <c r="A46" s="69" t="s">
        <v>26</v>
      </c>
      <c r="B46" s="83"/>
      <c r="C46" s="90"/>
      <c r="D46" s="85"/>
      <c r="E46" s="83"/>
      <c r="F46" s="84"/>
      <c r="G46" s="84"/>
      <c r="H46" s="86" t="str">
        <f t="shared" si="14"/>
        <v xml:space="preserve"> </v>
      </c>
      <c r="I46" s="87"/>
      <c r="J46" s="88"/>
      <c r="K46" s="86" t="str">
        <f t="shared" si="15"/>
        <v/>
      </c>
      <c r="L46" s="87"/>
      <c r="M46" s="88"/>
      <c r="N46" s="88"/>
      <c r="O46" s="86" t="str">
        <f t="shared" si="16"/>
        <v/>
      </c>
      <c r="P46" s="87"/>
      <c r="Q46" s="86" t="str">
        <f t="shared" si="17"/>
        <v xml:space="preserve"> </v>
      </c>
    </row>
    <row r="47" spans="1:17" ht="25.5" customHeight="1" x14ac:dyDescent="0.3">
      <c r="A47" s="76" t="s">
        <v>27</v>
      </c>
      <c r="B47" s="91"/>
      <c r="C47" s="92"/>
      <c r="D47" s="79"/>
      <c r="E47" s="91"/>
      <c r="F47" s="92"/>
      <c r="G47" s="92"/>
      <c r="H47" s="80" t="str">
        <f t="shared" si="14"/>
        <v xml:space="preserve"> </v>
      </c>
      <c r="I47" s="93"/>
      <c r="J47" s="94"/>
      <c r="K47" s="80" t="str">
        <f t="shared" si="15"/>
        <v/>
      </c>
      <c r="L47" s="93"/>
      <c r="M47" s="94"/>
      <c r="N47" s="94"/>
      <c r="O47" s="80" t="str">
        <f t="shared" si="16"/>
        <v/>
      </c>
      <c r="P47" s="93"/>
      <c r="Q47" s="80" t="str">
        <f t="shared" si="17"/>
        <v xml:space="preserve"> 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4"/>
        <v xml:space="preserve"> </v>
      </c>
      <c r="I48" s="100"/>
      <c r="J48" s="101"/>
      <c r="K48" s="99" t="str">
        <f t="shared" si="15"/>
        <v/>
      </c>
      <c r="L48" s="100"/>
      <c r="M48" s="101"/>
      <c r="N48" s="101"/>
      <c r="O48" s="99" t="str">
        <f t="shared" si="16"/>
        <v/>
      </c>
      <c r="P48" s="100"/>
      <c r="Q48" s="99" t="str">
        <f t="shared" si="17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4"/>
        <v xml:space="preserve"> </v>
      </c>
      <c r="I49" s="93"/>
      <c r="J49" s="94"/>
      <c r="K49" s="80" t="str">
        <f t="shared" si="15"/>
        <v/>
      </c>
      <c r="L49" s="93"/>
      <c r="M49" s="94"/>
      <c r="N49" s="94"/>
      <c r="O49" s="80" t="str">
        <f t="shared" si="16"/>
        <v/>
      </c>
      <c r="P49" s="93"/>
      <c r="Q49" s="80" t="str">
        <f t="shared" si="17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4"/>
        <v xml:space="preserve"> </v>
      </c>
      <c r="I50" s="107"/>
      <c r="J50" s="108"/>
      <c r="K50" s="86" t="str">
        <f t="shared" si="15"/>
        <v/>
      </c>
      <c r="L50" s="107"/>
      <c r="M50" s="108"/>
      <c r="N50" s="108"/>
      <c r="O50" s="86" t="str">
        <f t="shared" si="16"/>
        <v/>
      </c>
      <c r="P50" s="107"/>
      <c r="Q50" s="86" t="str">
        <f t="shared" si="17"/>
        <v xml:space="preserve"> </v>
      </c>
    </row>
    <row r="51" spans="1:17" ht="25.5" customHeight="1" x14ac:dyDescent="0.3">
      <c r="A51" s="76" t="s">
        <v>31</v>
      </c>
      <c r="B51" s="91">
        <v>2</v>
      </c>
      <c r="C51" s="92">
        <v>4.166666666666667</v>
      </c>
      <c r="D51" s="103">
        <v>2</v>
      </c>
      <c r="E51" s="91">
        <v>197</v>
      </c>
      <c r="F51" s="92">
        <v>203</v>
      </c>
      <c r="G51" s="92">
        <v>378</v>
      </c>
      <c r="H51" s="80">
        <f t="shared" si="14"/>
        <v>53.703703703703709</v>
      </c>
      <c r="I51" s="93"/>
      <c r="J51" s="94"/>
      <c r="K51" s="80" t="str">
        <f t="shared" si="15"/>
        <v/>
      </c>
      <c r="L51" s="93">
        <v>20.18</v>
      </c>
      <c r="M51" s="94">
        <v>0</v>
      </c>
      <c r="N51" s="94">
        <v>0</v>
      </c>
      <c r="O51" s="80">
        <f t="shared" si="16"/>
        <v>20.18</v>
      </c>
      <c r="P51" s="93">
        <v>44.51</v>
      </c>
      <c r="Q51" s="80">
        <f t="shared" si="17"/>
        <v>45.338126263760955</v>
      </c>
    </row>
    <row r="52" spans="1:17" ht="25.5" customHeight="1" x14ac:dyDescent="0.3">
      <c r="A52" s="69" t="s">
        <v>32</v>
      </c>
      <c r="B52" s="104">
        <v>11</v>
      </c>
      <c r="C52" s="105">
        <v>9.1666666666666661</v>
      </c>
      <c r="D52" s="106">
        <v>10</v>
      </c>
      <c r="E52" s="104">
        <v>715</v>
      </c>
      <c r="F52" s="105">
        <v>601</v>
      </c>
      <c r="G52" s="105">
        <v>1763</v>
      </c>
      <c r="H52" s="86">
        <f t="shared" si="14"/>
        <v>34.089619965967103</v>
      </c>
      <c r="I52" s="107">
        <v>1.6182700000000001</v>
      </c>
      <c r="J52" s="108"/>
      <c r="K52" s="86">
        <f t="shared" si="15"/>
        <v>1.6182700000000001</v>
      </c>
      <c r="L52" s="107">
        <v>68.08</v>
      </c>
      <c r="M52" s="108">
        <v>2.19</v>
      </c>
      <c r="N52" s="108">
        <v>0</v>
      </c>
      <c r="O52" s="86">
        <f t="shared" si="16"/>
        <v>70.27</v>
      </c>
      <c r="P52" s="107">
        <v>198.03</v>
      </c>
      <c r="Q52" s="86">
        <f t="shared" si="17"/>
        <v>35.484522547088822</v>
      </c>
    </row>
    <row r="53" spans="1:17" ht="25.5" customHeight="1" x14ac:dyDescent="0.3">
      <c r="A53" s="76" t="s">
        <v>33</v>
      </c>
      <c r="B53" s="109">
        <v>6</v>
      </c>
      <c r="C53" s="110">
        <v>11</v>
      </c>
      <c r="D53" s="111">
        <v>6</v>
      </c>
      <c r="E53" s="109">
        <v>916</v>
      </c>
      <c r="F53" s="110">
        <v>813</v>
      </c>
      <c r="G53" s="110">
        <v>1051</v>
      </c>
      <c r="H53" s="112">
        <f t="shared" si="14"/>
        <v>77.354900095147485</v>
      </c>
      <c r="I53" s="113"/>
      <c r="J53" s="114"/>
      <c r="K53" s="112" t="str">
        <f t="shared" si="15"/>
        <v/>
      </c>
      <c r="L53" s="113">
        <v>70.209999999999994</v>
      </c>
      <c r="M53" s="114">
        <v>0</v>
      </c>
      <c r="N53" s="114">
        <v>0</v>
      </c>
      <c r="O53" s="112">
        <f t="shared" si="16"/>
        <v>70.209999999999994</v>
      </c>
      <c r="P53" s="113">
        <v>115.32</v>
      </c>
      <c r="Q53" s="112">
        <f t="shared" si="17"/>
        <v>60.882761012833853</v>
      </c>
    </row>
    <row r="54" spans="1:17" ht="25.5" customHeight="1" x14ac:dyDescent="0.3">
      <c r="A54" s="115" t="s">
        <v>34</v>
      </c>
      <c r="B54" s="116">
        <f t="shared" ref="B54:G54" si="18">SUM(B42:B53)</f>
        <v>23</v>
      </c>
      <c r="C54" s="116">
        <f t="shared" si="18"/>
        <v>31.049333333333333</v>
      </c>
      <c r="D54" s="116">
        <f t="shared" si="18"/>
        <v>20.652000000000001</v>
      </c>
      <c r="E54" s="116">
        <f t="shared" si="18"/>
        <v>2432</v>
      </c>
      <c r="F54" s="116">
        <f t="shared" si="18"/>
        <v>2033.8389999999999</v>
      </c>
      <c r="G54" s="116">
        <f t="shared" si="18"/>
        <v>3696.7529999999997</v>
      </c>
      <c r="H54" s="117">
        <f t="shared" si="14"/>
        <v>55.016902671073773</v>
      </c>
      <c r="I54" s="117">
        <f>SUM(I42:I53)</f>
        <v>1.6182700000000001</v>
      </c>
      <c r="J54" s="117">
        <f>SUM(J42:J53)</f>
        <v>0</v>
      </c>
      <c r="K54" s="117">
        <f t="shared" si="15"/>
        <v>1.6182700000000001</v>
      </c>
      <c r="L54" s="117">
        <f>SUM(L42:L53)</f>
        <v>193.1524</v>
      </c>
      <c r="M54" s="117">
        <f>SUM(M42:M53)</f>
        <v>2.19</v>
      </c>
      <c r="N54" s="117">
        <f>SUM(N42:N53)</f>
        <v>0</v>
      </c>
      <c r="O54" s="117">
        <f t="shared" si="16"/>
        <v>195.3424</v>
      </c>
      <c r="P54" s="118">
        <f>SUM(P42:P53)</f>
        <v>413.63737199999997</v>
      </c>
      <c r="Q54" s="117">
        <f t="shared" si="17"/>
        <v>47.225520038358624</v>
      </c>
    </row>
    <row r="55" spans="1:17" ht="22.5" customHeight="1" x14ac:dyDescent="0.3">
      <c r="A55" s="150" t="s">
        <v>35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44">
        <v>2023</v>
      </c>
      <c r="B58" s="144"/>
      <c r="C58" s="145" t="s">
        <v>40</v>
      </c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6" t="s">
        <v>1</v>
      </c>
      <c r="P58" s="146"/>
      <c r="Q58" s="146"/>
    </row>
    <row r="59" spans="1:17" ht="28.9" customHeight="1" x14ac:dyDescent="0.3">
      <c r="A59" s="147" t="s">
        <v>2</v>
      </c>
      <c r="B59" s="147" t="s">
        <v>3</v>
      </c>
      <c r="C59" s="147"/>
      <c r="D59" s="147"/>
      <c r="E59" s="148" t="s">
        <v>4</v>
      </c>
      <c r="F59" s="148" t="s">
        <v>5</v>
      </c>
      <c r="G59" s="148" t="s">
        <v>6</v>
      </c>
      <c r="H59" s="148" t="s">
        <v>7</v>
      </c>
      <c r="I59" s="147" t="s">
        <v>8</v>
      </c>
      <c r="J59" s="147"/>
      <c r="K59" s="147"/>
      <c r="L59" s="147" t="s">
        <v>9</v>
      </c>
      <c r="M59" s="147"/>
      <c r="N59" s="147"/>
      <c r="O59" s="147"/>
      <c r="P59" s="148" t="s">
        <v>10</v>
      </c>
      <c r="Q59" s="148" t="s">
        <v>11</v>
      </c>
    </row>
    <row r="60" spans="1:17" ht="164.25" customHeight="1" x14ac:dyDescent="0.3">
      <c r="A60" s="147"/>
      <c r="B60" s="119" t="s">
        <v>12</v>
      </c>
      <c r="C60" s="119" t="s">
        <v>13</v>
      </c>
      <c r="D60" s="119" t="s">
        <v>14</v>
      </c>
      <c r="E60" s="149"/>
      <c r="F60" s="149"/>
      <c r="G60" s="149"/>
      <c r="H60" s="149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9"/>
      <c r="Q60" s="149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/>
      <c r="I61" s="126"/>
      <c r="J61" s="127"/>
      <c r="K61" s="127"/>
      <c r="L61" s="126"/>
      <c r="M61" s="127"/>
      <c r="N61" s="127"/>
      <c r="O61" s="128"/>
      <c r="P61" s="127"/>
      <c r="Q61" s="125"/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/>
      <c r="I62" s="93"/>
      <c r="J62" s="94"/>
      <c r="K62" s="94"/>
      <c r="L62" s="93"/>
      <c r="M62" s="94"/>
      <c r="N62" s="94"/>
      <c r="O62" s="80"/>
      <c r="P62" s="94"/>
      <c r="Q62" s="129"/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/>
      <c r="I63" s="134"/>
      <c r="J63" s="135"/>
      <c r="K63" s="135"/>
      <c r="L63" s="134"/>
      <c r="M63" s="135"/>
      <c r="N63" s="135"/>
      <c r="O63" s="136"/>
      <c r="P63" s="135"/>
      <c r="Q63" s="133"/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ref="H64:H73" si="19">IFERROR(F64/G64*100," ")</f>
        <v xml:space="preserve"> </v>
      </c>
      <c r="I64" s="93"/>
      <c r="J64" s="94"/>
      <c r="K64" s="94" t="str">
        <f t="shared" ref="K64:K73" si="20">IF(AND(ISBLANK(I64),ISBLANK(J64))=TRUE,"",I64+J64)</f>
        <v/>
      </c>
      <c r="L64" s="93"/>
      <c r="M64" s="94"/>
      <c r="N64" s="94"/>
      <c r="O64" s="80" t="str">
        <f t="shared" ref="O64:O73" si="21">IF(AND(ISBLANK(L64),ISBLANK(M64),ISBLANK(N64))=TRUE,"",L64+M64+N64)</f>
        <v/>
      </c>
      <c r="P64" s="94"/>
      <c r="Q64" s="129" t="str">
        <f t="shared" ref="Q64:Q73" si="22">IFERROR(O64/P64*100," ")</f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9"/>
        <v xml:space="preserve"> </v>
      </c>
      <c r="I65" s="134"/>
      <c r="J65" s="135"/>
      <c r="K65" s="135" t="str">
        <f t="shared" si="20"/>
        <v/>
      </c>
      <c r="L65" s="134"/>
      <c r="M65" s="135"/>
      <c r="N65" s="135"/>
      <c r="O65" s="136" t="str">
        <f t="shared" si="21"/>
        <v/>
      </c>
      <c r="P65" s="135"/>
      <c r="Q65" s="133" t="str">
        <f t="shared" si="22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9"/>
        <v xml:space="preserve"> </v>
      </c>
      <c r="I66" s="93"/>
      <c r="J66" s="94"/>
      <c r="K66" s="94" t="str">
        <f t="shared" si="20"/>
        <v/>
      </c>
      <c r="L66" s="93"/>
      <c r="M66" s="94"/>
      <c r="N66" s="94"/>
      <c r="O66" s="80" t="str">
        <f t="shared" si="21"/>
        <v/>
      </c>
      <c r="P66" s="94"/>
      <c r="Q66" s="129" t="str">
        <f t="shared" si="22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9"/>
        <v xml:space="preserve"> </v>
      </c>
      <c r="I67" s="134"/>
      <c r="J67" s="135"/>
      <c r="K67" s="135" t="str">
        <f t="shared" si="20"/>
        <v/>
      </c>
      <c r="L67" s="134"/>
      <c r="M67" s="135"/>
      <c r="N67" s="135"/>
      <c r="O67" s="136" t="str">
        <f t="shared" si="21"/>
        <v/>
      </c>
      <c r="P67" s="135"/>
      <c r="Q67" s="133" t="str">
        <f t="shared" si="22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9"/>
        <v xml:space="preserve"> </v>
      </c>
      <c r="I68" s="93"/>
      <c r="J68" s="94"/>
      <c r="K68" s="94" t="str">
        <f t="shared" si="20"/>
        <v/>
      </c>
      <c r="L68" s="93"/>
      <c r="M68" s="94"/>
      <c r="N68" s="94"/>
      <c r="O68" s="80" t="str">
        <f t="shared" si="21"/>
        <v/>
      </c>
      <c r="P68" s="94"/>
      <c r="Q68" s="129" t="str">
        <f t="shared" si="22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9"/>
        <v xml:space="preserve"> </v>
      </c>
      <c r="I69" s="134"/>
      <c r="J69" s="135"/>
      <c r="K69" s="135" t="str">
        <f t="shared" si="20"/>
        <v/>
      </c>
      <c r="L69" s="134"/>
      <c r="M69" s="135"/>
      <c r="N69" s="135"/>
      <c r="O69" s="136" t="str">
        <f t="shared" si="21"/>
        <v/>
      </c>
      <c r="P69" s="135"/>
      <c r="Q69" s="133" t="str">
        <f t="shared" si="22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9"/>
        <v xml:space="preserve"> </v>
      </c>
      <c r="I70" s="93"/>
      <c r="J70" s="94"/>
      <c r="K70" s="94" t="str">
        <f t="shared" si="20"/>
        <v/>
      </c>
      <c r="L70" s="93"/>
      <c r="M70" s="94"/>
      <c r="N70" s="94"/>
      <c r="O70" s="80" t="str">
        <f t="shared" si="21"/>
        <v/>
      </c>
      <c r="P70" s="94"/>
      <c r="Q70" s="129" t="str">
        <f t="shared" si="22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9"/>
        <v xml:space="preserve"> </v>
      </c>
      <c r="I71" s="134"/>
      <c r="J71" s="135"/>
      <c r="K71" s="135" t="str">
        <f t="shared" si="20"/>
        <v/>
      </c>
      <c r="L71" s="134"/>
      <c r="M71" s="135"/>
      <c r="N71" s="135"/>
      <c r="O71" s="136" t="str">
        <f t="shared" si="21"/>
        <v/>
      </c>
      <c r="P71" s="135"/>
      <c r="Q71" s="133" t="str">
        <f t="shared" si="22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9"/>
        <v xml:space="preserve"> </v>
      </c>
      <c r="I72" s="113"/>
      <c r="J72" s="114"/>
      <c r="K72" s="114" t="str">
        <f t="shared" si="20"/>
        <v/>
      </c>
      <c r="L72" s="113"/>
      <c r="M72" s="114"/>
      <c r="N72" s="114"/>
      <c r="O72" s="112" t="str">
        <f t="shared" si="21"/>
        <v/>
      </c>
      <c r="P72" s="114"/>
      <c r="Q72" s="112" t="str">
        <f t="shared" si="22"/>
        <v xml:space="preserve"> </v>
      </c>
    </row>
    <row r="73" spans="1:17" ht="24.75" customHeight="1" x14ac:dyDescent="0.3">
      <c r="A73" s="137" t="s">
        <v>34</v>
      </c>
      <c r="B73" s="138">
        <f t="shared" ref="B73:G73" si="23">SUM(B61:B72)</f>
        <v>0</v>
      </c>
      <c r="C73" s="138">
        <f t="shared" si="23"/>
        <v>0</v>
      </c>
      <c r="D73" s="138">
        <f t="shared" si="23"/>
        <v>0</v>
      </c>
      <c r="E73" s="138">
        <f t="shared" si="23"/>
        <v>0</v>
      </c>
      <c r="F73" s="138">
        <f t="shared" si="23"/>
        <v>0</v>
      </c>
      <c r="G73" s="138">
        <f t="shared" si="23"/>
        <v>0</v>
      </c>
      <c r="H73" s="139" t="str">
        <f t="shared" si="19"/>
        <v xml:space="preserve"> </v>
      </c>
      <c r="I73" s="140">
        <f>SUM(I61:I72)</f>
        <v>0</v>
      </c>
      <c r="J73" s="140">
        <f>SUM(J61:J72)</f>
        <v>0</v>
      </c>
      <c r="K73" s="140">
        <f t="shared" si="20"/>
        <v>0</v>
      </c>
      <c r="L73" s="140">
        <f>SUM(L61:L72)</f>
        <v>0</v>
      </c>
      <c r="M73" s="140">
        <f>SUM(M61:M72)</f>
        <v>0</v>
      </c>
      <c r="N73" s="140">
        <f>SUM(N61:N72)</f>
        <v>0</v>
      </c>
      <c r="O73" s="140">
        <f t="shared" si="21"/>
        <v>0</v>
      </c>
      <c r="P73" s="140">
        <f>SUM(P61:P72)</f>
        <v>0</v>
      </c>
      <c r="Q73" s="139" t="str">
        <f t="shared" si="22"/>
        <v xml:space="preserve"> </v>
      </c>
    </row>
    <row r="74" spans="1:17" x14ac:dyDescent="0.3">
      <c r="A74" s="150" t="s">
        <v>35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Terminal 2</dc:creator>
  <cp:lastModifiedBy>Windows User</cp:lastModifiedBy>
  <cp:lastPrinted>2023-03-17T12:02:55Z</cp:lastPrinted>
  <dcterms:created xsi:type="dcterms:W3CDTF">2022-12-15T06:40:30Z</dcterms:created>
  <dcterms:modified xsi:type="dcterms:W3CDTF">2024-01-12T06:49:57Z</dcterms:modified>
</cp:coreProperties>
</file>