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Excel Dec 2020\"/>
    </mc:Choice>
  </mc:AlternateContent>
  <bookViews>
    <workbookView xWindow="0" yWindow="0" windowWidth="24000" windowHeight="97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<sst xmlns="http://schemas.openxmlformats.org/spreadsheetml/2006/main" count="153" uniqueCount="42">
  <si>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</si>
  <si>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AIR INDIA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</si>
  <si>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</si>
  <si>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</si>
  <si>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</si>
  <si>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</si>
  <si>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</si>
  <si>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</si>
  <si>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</si>
  <si>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</si>
  <si>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</si>
  <si>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</si>
  <si>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</si>
  <si>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</si>
  <si>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</si>
  <si>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</si>
  <si>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</si>
  <si>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</si>
  <si>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</si>
  <si>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</si>
  <si>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</si>
  <si>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</si>
  <si>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</si>
  <si>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</si>
  <si>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</si>
  <si>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</si>
  <si>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</si>
  <si>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</si>
  <si>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</si>
  <si>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</si>
  <si>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</si>
  <si>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</si>
  <si>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</si>
  <si>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</si>
  <si>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</si>
  <si>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AIR INDIA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</si>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</sst>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Revised%20Data%20of%20Non%20Scheduled%20Int%20Opertn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Interface"/>
      <sheetName val="Data"/>
      <sheetName val="Sheet2"/>
      <sheetName val="Sheet4"/>
      <sheetName val="Sheet3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53" transitionEvaluation="1" transitionEntry="1" codeName="Sheet12"/>
  <dimension ref="A1:Q494"/>
  <sheetViews>
    <sheetView showGridLines="0" tabSelected="1" view="pageBreakPreview" topLeftCell="A53" zoomScaleNormal="85" zoomScaleSheetLayoutView="100" workbookViewId="0">
      <selection activeCell="A64" sqref="A64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7">
        <v>2020</v>
      </c>
      <c r="B1" s="167"/>
      <c r="C1" s="168" t="s">
        <v>0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9" t="s">
        <v>1</v>
      </c>
      <c r="P1" s="169"/>
      <c r="Q1" s="169"/>
    </row>
    <row r="2" spans="1:17" ht="33" customHeight="1" x14ac:dyDescent="0.3">
      <c r="A2" s="170" t="s">
        <v>2</v>
      </c>
      <c r="B2" s="165" t="s">
        <v>3</v>
      </c>
      <c r="C2" s="165"/>
      <c r="D2" s="165"/>
      <c r="E2" s="166" t="s">
        <v>4</v>
      </c>
      <c r="F2" s="166" t="s">
        <v>5</v>
      </c>
      <c r="G2" s="166" t="s">
        <v>6</v>
      </c>
      <c r="H2" s="166" t="s">
        <v>7</v>
      </c>
      <c r="I2" s="165" t="s">
        <v>8</v>
      </c>
      <c r="J2" s="165"/>
      <c r="K2" s="165"/>
      <c r="L2" s="165" t="s">
        <v>9</v>
      </c>
      <c r="M2" s="165"/>
      <c r="N2" s="165"/>
      <c r="O2" s="165"/>
      <c r="P2" s="166" t="s">
        <v>10</v>
      </c>
      <c r="Q2" s="166" t="s">
        <v>11</v>
      </c>
    </row>
    <row r="3" spans="1:17" ht="155.25" customHeight="1" x14ac:dyDescent="0.3">
      <c r="A3" s="171"/>
      <c r="B3" s="2" t="s">
        <v>12</v>
      </c>
      <c r="C3" s="2" t="s">
        <v>13</v>
      </c>
      <c r="D3" s="2" t="s">
        <v>14</v>
      </c>
      <c r="E3" s="166"/>
      <c r="F3" s="166"/>
      <c r="G3" s="166"/>
      <c r="H3" s="166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66"/>
      <c r="Q3" s="166"/>
    </row>
    <row r="4" spans="1:17" ht="23.1" customHeight="1" x14ac:dyDescent="0.3">
      <c r="A4" s="4" t="s">
        <v>22</v>
      </c>
      <c r="B4" s="5">
        <v>10454</v>
      </c>
      <c r="C4" s="5">
        <v>20091.433333333345</v>
      </c>
      <c r="D4" s="6">
        <v>11607.891</v>
      </c>
      <c r="E4" s="7">
        <v>1285138</v>
      </c>
      <c r="F4" s="5">
        <v>1246625.6310000001</v>
      </c>
      <c r="G4" s="5">
        <v>1628680.2849999999</v>
      </c>
      <c r="H4" s="8">
        <f>IFERROR(F4/G4*100," ")</f>
        <v>76.542071668780594</v>
      </c>
      <c r="I4" s="9">
        <v>6797.7641000000012</v>
      </c>
      <c r="J4" s="10">
        <v>751.94999999999857</v>
      </c>
      <c r="K4" s="8">
        <f>IF(AND(ISBLANK(I4),ISBLANK(J4))=TRUE,"",I4+J4)</f>
        <v>7549.7141000000001</v>
      </c>
      <c r="L4" s="9">
        <v>114918.91864100007</v>
      </c>
      <c r="M4" s="10">
        <v>7942.6045807000055</v>
      </c>
      <c r="N4" s="10">
        <v>677.4419999999991</v>
      </c>
      <c r="O4" s="8">
        <f>IF(AND(ISBLANK(L4),ISBLANK(M4),ISBLANK(N4))=TRUE,"",L4+M4+N4)</f>
        <v>123538.96522170007</v>
      </c>
      <c r="P4" s="10">
        <v>176733.55430399944</v>
      </c>
      <c r="Q4" s="8">
        <f>IFERROR(O4/P4*100," ")</f>
        <v>69.901250901795748</v>
      </c>
    </row>
    <row r="5" spans="1:17" ht="23.1" customHeight="1" x14ac:dyDescent="0.3">
      <c r="A5" s="11" t="s">
        <v>23</v>
      </c>
      <c r="B5" s="12">
        <v>9921</v>
      </c>
      <c r="C5" s="12">
        <v>18985.000000000029</v>
      </c>
      <c r="D5" s="11">
        <v>10979.710999999999</v>
      </c>
      <c r="E5" s="13">
        <v>1283574</v>
      </c>
      <c r="F5" s="12">
        <v>1254070.047</v>
      </c>
      <c r="G5" s="12">
        <v>1549757.8430000001</v>
      </c>
      <c r="H5" s="14">
        <f t="shared" ref="H5:H16" si="0">IFERROR(F5/G5*100," ")</f>
        <v>80.92038718593534</v>
      </c>
      <c r="I5" s="15">
        <v>6036.5010000000011</v>
      </c>
      <c r="J5" s="16">
        <v>789.399</v>
      </c>
      <c r="K5" s="14">
        <f t="shared" ref="K5:K16" si="1">IF(AND(ISBLANK(I5),ISBLANK(J5))=TRUE,"",I5+J5)</f>
        <v>6825.9000000000015</v>
      </c>
      <c r="L5" s="15">
        <v>115605.09592700002</v>
      </c>
      <c r="M5" s="16">
        <v>7294.3754950000002</v>
      </c>
      <c r="N5" s="16">
        <v>735.63300000000004</v>
      </c>
      <c r="O5" s="14">
        <f t="shared" ref="O5:O16" si="2">IF(AND(ISBLANK(L5),ISBLANK(M5),ISBLANK(N5))=TRUE,"",L5+M5+N5)</f>
        <v>123635.10442200002</v>
      </c>
      <c r="P5" s="16">
        <v>168441.62675599995</v>
      </c>
      <c r="Q5" s="14">
        <f t="shared" ref="Q5:Q16" si="3">IFERROR(O5/P5*100," ")</f>
        <v>73.399376866084609</v>
      </c>
    </row>
    <row r="6" spans="1:17" ht="23.1" customHeight="1" x14ac:dyDescent="0.3">
      <c r="A6" s="17" t="s">
        <v>24</v>
      </c>
      <c r="B6" s="18">
        <v>7495</v>
      </c>
      <c r="C6" s="18">
        <v>14102.066666666673</v>
      </c>
      <c r="D6" s="17">
        <v>8493.1810000000005</v>
      </c>
      <c r="E6" s="19">
        <v>722474</v>
      </c>
      <c r="F6" s="18">
        <v>722481.53200000001</v>
      </c>
      <c r="G6" s="18">
        <v>1157009.173</v>
      </c>
      <c r="H6" s="20">
        <f t="shared" si="0"/>
        <v>62.443889716680758</v>
      </c>
      <c r="I6" s="21">
        <v>3971.5399999999981</v>
      </c>
      <c r="J6" s="22">
        <v>368.94600000000003</v>
      </c>
      <c r="K6" s="20">
        <f t="shared" si="1"/>
        <v>4340.4859999999981</v>
      </c>
      <c r="L6" s="21">
        <v>66449.440494999988</v>
      </c>
      <c r="M6" s="22">
        <v>4793.8066389000023</v>
      </c>
      <c r="N6" s="22">
        <v>337.74000000000012</v>
      </c>
      <c r="O6" s="20">
        <f t="shared" si="2"/>
        <v>71580.987133899995</v>
      </c>
      <c r="P6" s="22">
        <v>125075.17613999989</v>
      </c>
      <c r="Q6" s="20">
        <f t="shared" si="3"/>
        <v>57.2303708401558</v>
      </c>
    </row>
    <row r="7" spans="1:17" ht="23.1" customHeight="1" x14ac:dyDescent="0.3">
      <c r="A7" s="11" t="s">
        <v>25</v>
      </c>
      <c r="B7" s="12"/>
      <c r="C7" s="12"/>
      <c r="D7" s="11"/>
      <c r="E7" s="13"/>
      <c r="F7" s="12"/>
      <c r="G7" s="12"/>
      <c r="H7" s="14" t="str">
        <f t="shared" si="0"/>
        <v xml:space="preserve"> </v>
      </c>
      <c r="I7" s="15"/>
      <c r="J7" s="16"/>
      <c r="K7" s="14" t="str">
        <f t="shared" si="1"/>
        <v/>
      </c>
      <c r="L7" s="15"/>
      <c r="M7" s="16"/>
      <c r="N7" s="16"/>
      <c r="O7" s="14" t="str">
        <f t="shared" si="2"/>
        <v/>
      </c>
      <c r="P7" s="16"/>
      <c r="Q7" s="14" t="str">
        <f t="shared" si="3"/>
        <v xml:space="preserve"> </v>
      </c>
    </row>
    <row r="8" spans="1:17" s="23" customFormat="1" ht="30" customHeight="1" x14ac:dyDescent="0.25">
      <c r="A8" s="17" t="s">
        <v>26</v>
      </c>
      <c r="B8" s="18">
        <v>457</v>
      </c>
      <c r="C8" s="18">
        <v>832</v>
      </c>
      <c r="D8" s="17">
        <v>482</v>
      </c>
      <c r="E8" s="19">
        <v>41595</v>
      </c>
      <c r="F8" s="18">
        <v>39002.038</v>
      </c>
      <c r="G8" s="18">
        <v>77788</v>
      </c>
      <c r="H8" s="20">
        <f t="shared" si="0"/>
        <v>50.138887746181929</v>
      </c>
      <c r="I8" s="21">
        <v>199.90440000000001</v>
      </c>
      <c r="J8" s="22">
        <v>12.214000000000004</v>
      </c>
      <c r="K8" s="20">
        <f t="shared" si="1"/>
        <v>212.11840000000001</v>
      </c>
      <c r="L8" s="21">
        <v>3542.4720000000002</v>
      </c>
      <c r="M8" s="22">
        <v>238.14</v>
      </c>
      <c r="N8" s="22">
        <v>8.4</v>
      </c>
      <c r="O8" s="20">
        <f t="shared" si="2"/>
        <v>3789.0120000000002</v>
      </c>
      <c r="P8" s="22">
        <v>9105</v>
      </c>
      <c r="Q8" s="20">
        <f t="shared" si="3"/>
        <v>41.614629324546954</v>
      </c>
    </row>
    <row r="9" spans="1:17" ht="23.1" customHeight="1" x14ac:dyDescent="0.3">
      <c r="A9" s="11" t="s">
        <v>27</v>
      </c>
      <c r="B9" s="12">
        <v>2211</v>
      </c>
      <c r="C9" s="12">
        <v>4151</v>
      </c>
      <c r="D9" s="11">
        <v>2425</v>
      </c>
      <c r="E9" s="13">
        <v>197747</v>
      </c>
      <c r="F9" s="12">
        <v>184473</v>
      </c>
      <c r="G9" s="12">
        <v>354204</v>
      </c>
      <c r="H9" s="14">
        <f t="shared" si="0"/>
        <v>52.08100416709015</v>
      </c>
      <c r="I9" s="15">
        <v>2050.8433</v>
      </c>
      <c r="J9" s="16"/>
      <c r="K9" s="14">
        <f t="shared" si="1"/>
        <v>2050.8433</v>
      </c>
      <c r="L9" s="15">
        <v>16840.099999999999</v>
      </c>
      <c r="M9" s="16">
        <v>2467.44</v>
      </c>
      <c r="N9" s="16"/>
      <c r="O9" s="14">
        <f t="shared" si="2"/>
        <v>19307.539999999997</v>
      </c>
      <c r="P9" s="16">
        <v>37112</v>
      </c>
      <c r="Q9" s="14">
        <f t="shared" si="3"/>
        <v>52.025059280017238</v>
      </c>
    </row>
    <row r="10" spans="1:17" ht="23.1" customHeight="1" x14ac:dyDescent="0.3">
      <c r="A10" s="17" t="s">
        <v>28</v>
      </c>
      <c r="B10" s="18">
        <v>2260</v>
      </c>
      <c r="C10" s="18">
        <v>4147.1666666666679</v>
      </c>
      <c r="D10" s="17">
        <v>2995.6529999999998</v>
      </c>
      <c r="E10" s="19">
        <v>142583</v>
      </c>
      <c r="F10" s="18">
        <v>142506.476</v>
      </c>
      <c r="G10" s="18">
        <v>346488.37800000003</v>
      </c>
      <c r="H10" s="20">
        <f t="shared" si="0"/>
        <v>41.128789606905656</v>
      </c>
      <c r="I10" s="21">
        <v>1937.3362999999995</v>
      </c>
      <c r="J10" s="22"/>
      <c r="K10" s="20">
        <f t="shared" si="1"/>
        <v>1937.3362999999995</v>
      </c>
      <c r="L10" s="21">
        <v>13022.575508000011</v>
      </c>
      <c r="M10" s="22">
        <v>2348.0259098000015</v>
      </c>
      <c r="N10" s="22"/>
      <c r="O10" s="20">
        <f t="shared" si="2"/>
        <v>15370.601417800011</v>
      </c>
      <c r="P10" s="22">
        <v>36508.463860000054</v>
      </c>
      <c r="Q10" s="20">
        <f t="shared" si="3"/>
        <v>42.101473994474411</v>
      </c>
    </row>
    <row r="11" spans="1:17" ht="23.1" customHeight="1" x14ac:dyDescent="0.3">
      <c r="A11" s="11" t="s">
        <v>29</v>
      </c>
      <c r="B11" s="12">
        <v>2589</v>
      </c>
      <c r="C11" s="12">
        <v>4926.8833333333314</v>
      </c>
      <c r="D11" s="11">
        <v>3533.723</v>
      </c>
      <c r="E11" s="13">
        <v>224999</v>
      </c>
      <c r="F11" s="12">
        <v>251564.875</v>
      </c>
      <c r="G11" s="12">
        <v>421686.64</v>
      </c>
      <c r="H11" s="14">
        <f t="shared" si="0"/>
        <v>59.656828350075308</v>
      </c>
      <c r="I11" s="15">
        <v>2378.4913999999999</v>
      </c>
      <c r="J11" s="16"/>
      <c r="K11" s="14">
        <f t="shared" si="1"/>
        <v>2378.4913999999999</v>
      </c>
      <c r="L11" s="15">
        <v>22996.838574999998</v>
      </c>
      <c r="M11" s="16">
        <v>3054.846656999996</v>
      </c>
      <c r="N11" s="16"/>
      <c r="O11" s="14">
        <f t="shared" si="2"/>
        <v>26051.685231999993</v>
      </c>
      <c r="P11" s="16">
        <v>44546.05526000003</v>
      </c>
      <c r="Q11" s="14">
        <f t="shared" si="3"/>
        <v>58.482586347871326</v>
      </c>
    </row>
    <row r="12" spans="1:17" ht="23.1" customHeight="1" x14ac:dyDescent="0.3">
      <c r="A12" s="17" t="s">
        <v>30</v>
      </c>
      <c r="B12" s="18">
        <v>3519</v>
      </c>
      <c r="C12" s="18">
        <v>6869.0666666666657</v>
      </c>
      <c r="D12" s="17">
        <v>4840.0429999999997</v>
      </c>
      <c r="E12" s="19">
        <v>318320</v>
      </c>
      <c r="F12" s="18">
        <v>358675.63799999998</v>
      </c>
      <c r="G12" s="18">
        <v>617835.674</v>
      </c>
      <c r="H12" s="20">
        <f t="shared" si="0"/>
        <v>58.053565550505901</v>
      </c>
      <c r="I12" s="21">
        <v>3466.6860999999994</v>
      </c>
      <c r="J12" s="22"/>
      <c r="K12" s="20">
        <f t="shared" si="1"/>
        <v>3466.6860999999994</v>
      </c>
      <c r="L12" s="21">
        <v>32788.118072999961</v>
      </c>
      <c r="M12" s="22">
        <v>4557.4434052000033</v>
      </c>
      <c r="N12" s="22"/>
      <c r="O12" s="20">
        <f t="shared" si="2"/>
        <v>37345.561478199961</v>
      </c>
      <c r="P12" s="22">
        <v>66265.316279999999</v>
      </c>
      <c r="Q12" s="20">
        <f t="shared" si="3"/>
        <v>56.357629563554177</v>
      </c>
    </row>
    <row r="13" spans="1:17" ht="23.1" customHeight="1" x14ac:dyDescent="0.3">
      <c r="A13" s="11" t="s">
        <v>31</v>
      </c>
      <c r="B13" s="12">
        <v>4518</v>
      </c>
      <c r="C13" s="12">
        <v>8688.6666666666679</v>
      </c>
      <c r="D13" s="11">
        <v>6060.1880000000001</v>
      </c>
      <c r="E13" s="13">
        <v>426369</v>
      </c>
      <c r="F13" s="12">
        <v>471208.85100000002</v>
      </c>
      <c r="G13" s="12">
        <v>756541.35499999998</v>
      </c>
      <c r="H13" s="14">
        <f t="shared" si="0"/>
        <v>62.284612451886389</v>
      </c>
      <c r="I13" s="15">
        <v>3990.3084000000013</v>
      </c>
      <c r="J13" s="16"/>
      <c r="K13" s="14">
        <f t="shared" si="1"/>
        <v>3990.3084000000013</v>
      </c>
      <c r="L13" s="15">
        <v>43075.004229999977</v>
      </c>
      <c r="M13" s="16">
        <v>5251.4155340999987</v>
      </c>
      <c r="N13" s="16"/>
      <c r="O13" s="14">
        <f t="shared" si="2"/>
        <v>48326.419764099977</v>
      </c>
      <c r="P13" s="16">
        <v>80351.413495999979</v>
      </c>
      <c r="Q13" s="14">
        <f t="shared" si="3"/>
        <v>60.143832773403226</v>
      </c>
    </row>
    <row r="14" spans="1:17" ht="23.1" customHeight="1" x14ac:dyDescent="0.3">
      <c r="A14" s="17" t="s">
        <v>32</v>
      </c>
      <c r="B14" s="18">
        <v>5081</v>
      </c>
      <c r="C14" s="18">
        <v>9988.2999999999993</v>
      </c>
      <c r="D14" s="17">
        <v>6311.3590000000004</v>
      </c>
      <c r="E14" s="19">
        <v>558588</v>
      </c>
      <c r="F14" s="18">
        <v>613972.451</v>
      </c>
      <c r="G14" s="18">
        <v>880142.18200000003</v>
      </c>
      <c r="H14" s="20">
        <f t="shared" si="0"/>
        <v>69.75832582013436</v>
      </c>
      <c r="I14" s="21">
        <v>3795.3530000000001</v>
      </c>
      <c r="J14" s="22"/>
      <c r="K14" s="20">
        <f t="shared" si="1"/>
        <v>3795.3530000000001</v>
      </c>
      <c r="L14" s="21">
        <v>57574.961000000003</v>
      </c>
      <c r="M14" s="22">
        <v>4956.3629397999975</v>
      </c>
      <c r="N14" s="22"/>
      <c r="O14" s="20">
        <f t="shared" si="2"/>
        <v>62531.323939800001</v>
      </c>
      <c r="P14" s="22">
        <v>93120.949720000077</v>
      </c>
      <c r="Q14" s="20">
        <f t="shared" si="3"/>
        <v>67.150650984361491</v>
      </c>
    </row>
    <row r="15" spans="1:17" ht="23.1" customHeight="1" x14ac:dyDescent="0.3">
      <c r="A15" s="24" t="s">
        <v>33</v>
      </c>
      <c r="B15" s="25">
        <v>5857</v>
      </c>
      <c r="C15" s="25">
        <v>11809.466666666665</v>
      </c>
      <c r="D15" s="26">
        <v>7037.8419999999996</v>
      </c>
      <c r="E15" s="27">
        <v>627009</v>
      </c>
      <c r="F15" s="25">
        <v>686267.61600000004</v>
      </c>
      <c r="G15" s="25">
        <v>1035020.571</v>
      </c>
      <c r="H15" s="28">
        <f t="shared" si="0"/>
        <v>66.304732024500026</v>
      </c>
      <c r="I15" s="29">
        <v>4102.8090999999995</v>
      </c>
      <c r="J15" s="30"/>
      <c r="K15" s="28">
        <f t="shared" si="1"/>
        <v>4102.8090999999995</v>
      </c>
      <c r="L15" s="29">
        <v>64765.046000000002</v>
      </c>
      <c r="M15" s="30">
        <v>5407.8108423000058</v>
      </c>
      <c r="N15" s="30"/>
      <c r="O15" s="28">
        <f t="shared" si="2"/>
        <v>70172.856842300011</v>
      </c>
      <c r="P15" s="16">
        <v>110471.35226399991</v>
      </c>
      <c r="Q15" s="14">
        <f t="shared" si="3"/>
        <v>63.521316073513603</v>
      </c>
    </row>
    <row r="16" spans="1:17" ht="23.1" customHeight="1" x14ac:dyDescent="0.3">
      <c r="A16" s="31" t="s">
        <v>34</v>
      </c>
      <c r="B16" s="32">
        <f t="shared" ref="B16:G16" si="4">SUM(B4:B15)</f>
        <v>54362</v>
      </c>
      <c r="C16" s="32">
        <f t="shared" si="4"/>
        <v>104591.05000000005</v>
      </c>
      <c r="D16" s="32">
        <f t="shared" si="4"/>
        <v>64766.590999999993</v>
      </c>
      <c r="E16" s="32">
        <f t="shared" si="4"/>
        <v>5828396</v>
      </c>
      <c r="F16" s="32">
        <f t="shared" si="4"/>
        <v>5970848.1550000012</v>
      </c>
      <c r="G16" s="32">
        <f t="shared" si="4"/>
        <v>8825154.1009999998</v>
      </c>
      <c r="H16" s="33">
        <f t="shared" si="0"/>
        <v>67.657154613576992</v>
      </c>
      <c r="I16" s="33">
        <f>SUM(I4:I15)</f>
        <v>38727.537100000001</v>
      </c>
      <c r="J16" s="33">
        <f>SUM(J4:J15)</f>
        <v>1922.5089999999987</v>
      </c>
      <c r="K16" s="33">
        <f t="shared" si="1"/>
        <v>40650.0461</v>
      </c>
      <c r="L16" s="33">
        <f>SUM(L4:L15)</f>
        <v>551578.57044899999</v>
      </c>
      <c r="M16" s="33">
        <f>SUM(M4:M15)</f>
        <v>48312.272002800011</v>
      </c>
      <c r="N16" s="33">
        <f>SUM(N4:N15)</f>
        <v>1759.2149999999992</v>
      </c>
      <c r="O16" s="33">
        <f t="shared" si="2"/>
        <v>601650.05745179998</v>
      </c>
      <c r="P16" s="34">
        <f>SUM(P4:P15)</f>
        <v>947730.90807999927</v>
      </c>
      <c r="Q16" s="34">
        <f t="shared" si="3"/>
        <v>63.483215786501916</v>
      </c>
    </row>
    <row r="17" spans="1:17" ht="20.100000000000001" customHeight="1" x14ac:dyDescent="0.3">
      <c r="A17" s="146" t="s">
        <v>35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</row>
    <row r="18" spans="1:17" s="35" customFormat="1" x14ac:dyDescent="0.25">
      <c r="A18" s="148" t="s">
        <v>36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s="35" customFormat="1" x14ac:dyDescent="0.25">
      <c r="A19" s="148" t="s">
        <v>37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1:17" ht="51.75" customHeight="1" x14ac:dyDescent="0.3">
      <c r="A20" s="161">
        <v>2020</v>
      </c>
      <c r="B20" s="161"/>
      <c r="C20" s="162" t="s">
        <v>38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3" t="s">
        <v>1</v>
      </c>
      <c r="P20" s="163"/>
      <c r="Q20" s="164"/>
    </row>
    <row r="21" spans="1:17" ht="33" customHeight="1" x14ac:dyDescent="0.3">
      <c r="A21" s="158" t="s">
        <v>2</v>
      </c>
      <c r="B21" s="158" t="s">
        <v>3</v>
      </c>
      <c r="C21" s="158"/>
      <c r="D21" s="158"/>
      <c r="E21" s="159" t="s">
        <v>4</v>
      </c>
      <c r="F21" s="159" t="s">
        <v>5</v>
      </c>
      <c r="G21" s="159" t="s">
        <v>6</v>
      </c>
      <c r="H21" s="159" t="s">
        <v>7</v>
      </c>
      <c r="I21" s="158" t="s">
        <v>8</v>
      </c>
      <c r="J21" s="158"/>
      <c r="K21" s="158"/>
      <c r="L21" s="158" t="s">
        <v>9</v>
      </c>
      <c r="M21" s="158"/>
      <c r="N21" s="158"/>
      <c r="O21" s="158"/>
      <c r="P21" s="159" t="s">
        <v>10</v>
      </c>
      <c r="Q21" s="159" t="s">
        <v>11</v>
      </c>
    </row>
    <row r="22" spans="1:17" ht="150.75" customHeight="1" x14ac:dyDescent="0.3">
      <c r="A22" s="158"/>
      <c r="B22" s="36" t="s">
        <v>12</v>
      </c>
      <c r="C22" s="36" t="s">
        <v>13</v>
      </c>
      <c r="D22" s="36" t="s">
        <v>14</v>
      </c>
      <c r="E22" s="159"/>
      <c r="F22" s="159"/>
      <c r="G22" s="159"/>
      <c r="H22" s="159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0"/>
      <c r="Q22" s="160"/>
    </row>
    <row r="23" spans="1:17" ht="23.1" customHeight="1" x14ac:dyDescent="0.3">
      <c r="A23" s="39" t="s">
        <v>22</v>
      </c>
      <c r="B23" s="40">
        <v>3862</v>
      </c>
      <c r="C23" s="41">
        <v>22678.316666666658</v>
      </c>
      <c r="D23" s="42">
        <v>22486.996999999999</v>
      </c>
      <c r="E23" s="40">
        <v>681323</v>
      </c>
      <c r="F23" s="41">
        <v>3448481.1310000001</v>
      </c>
      <c r="G23" s="41">
        <v>4069203.32</v>
      </c>
      <c r="H23" s="43">
        <f t="shared" ref="H23:H35" si="5">IFERROR(F23/G23*100," ")</f>
        <v>84.745854650487217</v>
      </c>
      <c r="I23" s="44">
        <v>11546.605800000001</v>
      </c>
      <c r="J23" s="44">
        <v>562.11800000000005</v>
      </c>
      <c r="K23" s="44">
        <f>IF(AND(ISBLANK(I23),ISBLANK(J23))=TRUE,"",I23+J23)</f>
        <v>12108.723800000002</v>
      </c>
      <c r="L23" s="45">
        <v>350312.81427300023</v>
      </c>
      <c r="M23" s="44">
        <v>64971.719378099951</v>
      </c>
      <c r="N23" s="44">
        <v>3189.8630000000057</v>
      </c>
      <c r="O23" s="46">
        <f>IF(AND(ISBLANK(L23),ISBLANK(M23),ISBLANK(N23))=TRUE,"",L23+M23+N23)</f>
        <v>418474.39665110019</v>
      </c>
      <c r="P23" s="45">
        <v>583472.22926800093</v>
      </c>
      <c r="Q23" s="46">
        <f>IFERROR(O23/P23*100," ")</f>
        <v>71.721390609472564</v>
      </c>
    </row>
    <row r="24" spans="1:17" ht="23.1" customHeight="1" x14ac:dyDescent="0.3">
      <c r="A24" s="47" t="s">
        <v>23</v>
      </c>
      <c r="B24" s="48">
        <v>3546</v>
      </c>
      <c r="C24" s="47">
        <v>20704.366666666654</v>
      </c>
      <c r="D24" s="49">
        <v>20388.311000000002</v>
      </c>
      <c r="E24" s="48">
        <v>591237</v>
      </c>
      <c r="F24" s="47">
        <v>3018390.273</v>
      </c>
      <c r="G24" s="47">
        <v>3744302.92</v>
      </c>
      <c r="H24" s="50">
        <f t="shared" si="5"/>
        <v>80.612876081083741</v>
      </c>
      <c r="I24" s="51">
        <v>11022.570900000001</v>
      </c>
      <c r="J24" s="51">
        <v>345.76</v>
      </c>
      <c r="K24" s="51">
        <f t="shared" ref="K24:K35" si="6">IF(AND(ISBLANK(I24),ISBLANK(J24))=TRUE,"",I24+J24)</f>
        <v>11368.330900000001</v>
      </c>
      <c r="L24" s="52">
        <v>306720.82310300024</v>
      </c>
      <c r="M24" s="51">
        <v>64334.981042199972</v>
      </c>
      <c r="N24" s="51">
        <v>2284.5430000000001</v>
      </c>
      <c r="O24" s="50">
        <f t="shared" ref="O24:O35" si="7">IF(AND(ISBLANK(L24),ISBLANK(M24),ISBLANK(N24))=TRUE,"",L24+M24+N24)</f>
        <v>373340.34714520018</v>
      </c>
      <c r="P24" s="52">
        <v>536224.54213600012</v>
      </c>
      <c r="Q24" s="50">
        <f t="shared" ref="Q24:Q35" si="8">IFERROR(O24/P24*100," ")</f>
        <v>69.623882871536239</v>
      </c>
    </row>
    <row r="25" spans="1:17" ht="23.1" customHeight="1" x14ac:dyDescent="0.3">
      <c r="A25" s="39" t="s">
        <v>24</v>
      </c>
      <c r="B25" s="53">
        <v>2029</v>
      </c>
      <c r="C25" s="39">
        <v>12063.183333333331</v>
      </c>
      <c r="D25" s="54">
        <v>12378.201999999999</v>
      </c>
      <c r="E25" s="53">
        <v>293819</v>
      </c>
      <c r="F25" s="39">
        <v>1646355.3559999999</v>
      </c>
      <c r="G25" s="39">
        <v>2269889.1880000001</v>
      </c>
      <c r="H25" s="43">
        <f t="shared" si="5"/>
        <v>72.530208289621584</v>
      </c>
      <c r="I25" s="55">
        <v>7271.9105000000009</v>
      </c>
      <c r="J25" s="55">
        <v>223.8</v>
      </c>
      <c r="K25" s="55">
        <f t="shared" si="6"/>
        <v>7495.710500000001</v>
      </c>
      <c r="L25" s="56">
        <v>170670.10574700014</v>
      </c>
      <c r="M25" s="55">
        <v>42788.945662800026</v>
      </c>
      <c r="N25" s="55">
        <v>1537.6669999999999</v>
      </c>
      <c r="O25" s="43">
        <f t="shared" si="7"/>
        <v>214996.71840980015</v>
      </c>
      <c r="P25" s="56">
        <v>331699.779048</v>
      </c>
      <c r="Q25" s="43">
        <f t="shared" si="8"/>
        <v>64.816660121648184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9437</v>
      </c>
      <c r="C35" s="64">
        <f t="shared" si="9"/>
        <v>55445.86666666664</v>
      </c>
      <c r="D35" s="64">
        <f t="shared" si="9"/>
        <v>55253.51</v>
      </c>
      <c r="E35" s="64">
        <f t="shared" si="9"/>
        <v>1566379</v>
      </c>
      <c r="F35" s="64">
        <f t="shared" si="9"/>
        <v>8113226.7599999998</v>
      </c>
      <c r="G35" s="64">
        <f t="shared" si="9"/>
        <v>10083395.427999999</v>
      </c>
      <c r="H35" s="65">
        <f t="shared" si="5"/>
        <v>80.461257499342423</v>
      </c>
      <c r="I35" s="66">
        <f>SUM(I23:I34)</f>
        <v>29841.087200000005</v>
      </c>
      <c r="J35" s="66">
        <f>SUM(J23:J34)</f>
        <v>1131.6780000000001</v>
      </c>
      <c r="K35" s="66">
        <f t="shared" si="6"/>
        <v>30972.765200000005</v>
      </c>
      <c r="L35" s="66">
        <f>SUM(L23:L34)</f>
        <v>827703.74312300049</v>
      </c>
      <c r="M35" s="66">
        <f>SUM(M23:M34)</f>
        <v>172095.64608309994</v>
      </c>
      <c r="N35" s="66">
        <f>SUM(N23:N34)</f>
        <v>7012.0730000000058</v>
      </c>
      <c r="O35" s="66">
        <f t="shared" si="7"/>
        <v>1006811.4622061005</v>
      </c>
      <c r="P35" s="66">
        <f>SUM(P23:P34)</f>
        <v>1451396.5504520009</v>
      </c>
      <c r="Q35" s="66">
        <f t="shared" si="8"/>
        <v>69.368461837156374</v>
      </c>
    </row>
    <row r="36" spans="1:17" x14ac:dyDescent="0.3">
      <c r="A36" s="146" t="s">
        <v>35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</row>
    <row r="37" spans="1:17" x14ac:dyDescent="0.3">
      <c r="A37" s="148" t="s">
        <v>36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</row>
    <row r="38" spans="1:17" x14ac:dyDescent="0.3">
      <c r="A38" s="148" t="s">
        <v>37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</row>
    <row r="39" spans="1:17" ht="40.5" customHeight="1" x14ac:dyDescent="0.3">
      <c r="A39" s="155">
        <v>2020</v>
      </c>
      <c r="B39" s="155"/>
      <c r="C39" s="156" t="s">
        <v>39</v>
      </c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7" t="s">
        <v>1</v>
      </c>
      <c r="P39" s="157"/>
      <c r="Q39" s="157"/>
    </row>
    <row r="40" spans="1:17" ht="28.9" customHeight="1" x14ac:dyDescent="0.3">
      <c r="A40" s="152" t="s">
        <v>2</v>
      </c>
      <c r="B40" s="152" t="s">
        <v>3</v>
      </c>
      <c r="C40" s="152"/>
      <c r="D40" s="152"/>
      <c r="E40" s="153" t="s">
        <v>4</v>
      </c>
      <c r="F40" s="153" t="s">
        <v>5</v>
      </c>
      <c r="G40" s="153" t="s">
        <v>6</v>
      </c>
      <c r="H40" s="153" t="s">
        <v>7</v>
      </c>
      <c r="I40" s="152" t="s">
        <v>8</v>
      </c>
      <c r="J40" s="152"/>
      <c r="K40" s="152"/>
      <c r="L40" s="152" t="s">
        <v>9</v>
      </c>
      <c r="M40" s="152"/>
      <c r="N40" s="152"/>
      <c r="O40" s="152"/>
      <c r="P40" s="153" t="s">
        <v>10</v>
      </c>
      <c r="Q40" s="153" t="s">
        <v>11</v>
      </c>
    </row>
    <row r="41" spans="1:17" ht="178.5" customHeight="1" x14ac:dyDescent="0.3">
      <c r="A41" s="152"/>
      <c r="B41" s="67" t="s">
        <v>12</v>
      </c>
      <c r="C41" s="67" t="s">
        <v>13</v>
      </c>
      <c r="D41" s="67" t="s">
        <v>14</v>
      </c>
      <c r="E41" s="154"/>
      <c r="F41" s="154"/>
      <c r="G41" s="154"/>
      <c r="H41" s="154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4"/>
      <c r="Q41" s="154"/>
    </row>
    <row r="42" spans="1:17" ht="25.5" customHeight="1" x14ac:dyDescent="0.3">
      <c r="A42" s="69" t="s">
        <v>22</v>
      </c>
      <c r="B42" s="70">
        <v>282</v>
      </c>
      <c r="C42" s="71">
        <v>410.11666666666667</v>
      </c>
      <c r="D42" s="72">
        <v>207.72399999999999</v>
      </c>
      <c r="E42" s="70">
        <v>33969</v>
      </c>
      <c r="F42" s="71">
        <v>18902.760999999999</v>
      </c>
      <c r="G42" s="71">
        <v>23747.436000000002</v>
      </c>
      <c r="H42" s="73">
        <f t="shared" ref="H42:H54" si="10">IFERROR(F42/G42*100," ")</f>
        <v>79.599165989962017</v>
      </c>
      <c r="I42" s="74"/>
      <c r="J42" s="75">
        <v>12.560999999999998</v>
      </c>
      <c r="K42" s="73">
        <f>IF(AND(ISBLANK(I42),ISBLANK(J42))=TRUE,"",I42+J42)</f>
        <v>12.560999999999998</v>
      </c>
      <c r="L42" s="74">
        <v>1417.7070749999998</v>
      </c>
      <c r="M42" s="75"/>
      <c r="N42" s="75">
        <v>6.191999999999994</v>
      </c>
      <c r="O42" s="73">
        <f>IF(AND(ISBLANK(L42),ISBLANK(M42),ISBLANK(N42))=TRUE,"",L42+M42+N42)</f>
        <v>1423.8990749999998</v>
      </c>
      <c r="P42" s="74">
        <v>2374.5500599999923</v>
      </c>
      <c r="Q42" s="73">
        <f>IFERROR(O42/P42*100," ")</f>
        <v>59.96500553877582</v>
      </c>
    </row>
    <row r="43" spans="1:17" ht="25.5" customHeight="1" x14ac:dyDescent="0.3">
      <c r="A43" s="76" t="s">
        <v>23</v>
      </c>
      <c r="B43" s="77">
        <v>314</v>
      </c>
      <c r="C43" s="78">
        <v>443.74999999999983</v>
      </c>
      <c r="D43" s="79">
        <v>226.81700000000001</v>
      </c>
      <c r="E43" s="77">
        <v>36883</v>
      </c>
      <c r="F43" s="78">
        <v>20400.294000000002</v>
      </c>
      <c r="G43" s="78">
        <v>26321.114000000001</v>
      </c>
      <c r="H43" s="80">
        <f t="shared" si="10"/>
        <v>77.505435370250666</v>
      </c>
      <c r="I43" s="81"/>
      <c r="J43" s="82">
        <v>12.967000000000001</v>
      </c>
      <c r="K43" s="80">
        <f t="shared" ref="K43:K54" si="11">IF(AND(ISBLANK(I43),ISBLANK(J43))=TRUE,"",I43+J43)</f>
        <v>12.967000000000001</v>
      </c>
      <c r="L43" s="81">
        <v>1530.0220499999998</v>
      </c>
      <c r="M43" s="82"/>
      <c r="N43" s="82">
        <v>4.8310000000000004</v>
      </c>
      <c r="O43" s="80">
        <f t="shared" ref="O43:O54" si="12">IF(AND(ISBLANK(L43),ISBLANK(M43),ISBLANK(N43))=TRUE,"",L43+M43+N43)</f>
        <v>1534.8530499999997</v>
      </c>
      <c r="P43" s="81">
        <v>2620.1678999999854</v>
      </c>
      <c r="Q43" s="80">
        <f t="shared" ref="Q43:Q54" si="13">IFERROR(O43/P43*100," ")</f>
        <v>58.578423543010672</v>
      </c>
    </row>
    <row r="44" spans="1:17" ht="25.5" customHeight="1" x14ac:dyDescent="0.3">
      <c r="A44" s="69" t="s">
        <v>24</v>
      </c>
      <c r="B44" s="83">
        <v>267</v>
      </c>
      <c r="C44" s="84">
        <v>407.69999999999993</v>
      </c>
      <c r="D44" s="85">
        <v>271.64299999999997</v>
      </c>
      <c r="E44" s="83">
        <v>25584</v>
      </c>
      <c r="F44" s="84">
        <v>14081.718999999999</v>
      </c>
      <c r="G44" s="84">
        <v>26703.94</v>
      </c>
      <c r="H44" s="86">
        <f t="shared" si="10"/>
        <v>52.732739063973334</v>
      </c>
      <c r="I44" s="87"/>
      <c r="J44" s="88">
        <v>7.0179999999999954</v>
      </c>
      <c r="K44" s="86">
        <f t="shared" si="11"/>
        <v>7.0179999999999954</v>
      </c>
      <c r="L44" s="87">
        <v>1056.1289250000002</v>
      </c>
      <c r="M44" s="88">
        <v>78.355827500000004</v>
      </c>
      <c r="N44" s="88">
        <v>3.6719999999999993</v>
      </c>
      <c r="O44" s="86">
        <f t="shared" si="12"/>
        <v>1138.1567525000003</v>
      </c>
      <c r="P44" s="87">
        <v>2828.7682399999935</v>
      </c>
      <c r="Q44" s="86">
        <f t="shared" si="13"/>
        <v>40.235065439648842</v>
      </c>
    </row>
    <row r="45" spans="1:17" ht="25.5" customHeight="1" x14ac:dyDescent="0.3">
      <c r="A45" s="76" t="s">
        <v>25</v>
      </c>
      <c r="B45" s="77">
        <v>209</v>
      </c>
      <c r="C45" s="89">
        <v>404.24999999999989</v>
      </c>
      <c r="D45" s="79">
        <v>377.89</v>
      </c>
      <c r="E45" s="77">
        <v>1897</v>
      </c>
      <c r="F45" s="78">
        <v>1625.932</v>
      </c>
      <c r="G45" s="78">
        <v>37200.341999999997</v>
      </c>
      <c r="H45" s="80">
        <f t="shared" si="10"/>
        <v>4.3707447635830876</v>
      </c>
      <c r="I45" s="81">
        <v>479.63670000000002</v>
      </c>
      <c r="J45" s="82"/>
      <c r="K45" s="80">
        <f t="shared" si="11"/>
        <v>479.63670000000002</v>
      </c>
      <c r="L45" s="81">
        <v>121.9449</v>
      </c>
      <c r="M45" s="82">
        <v>600.56995320000033</v>
      </c>
      <c r="N45" s="82"/>
      <c r="O45" s="80">
        <f t="shared" si="12"/>
        <v>722.51485320000029</v>
      </c>
      <c r="P45" s="81">
        <v>4744.0131200000023</v>
      </c>
      <c r="Q45" s="80">
        <f t="shared" si="13"/>
        <v>15.230034886581425</v>
      </c>
    </row>
    <row r="46" spans="1:17" ht="25.5" customHeight="1" x14ac:dyDescent="0.3">
      <c r="A46" s="69" t="s">
        <v>26</v>
      </c>
      <c r="B46" s="83">
        <v>129</v>
      </c>
      <c r="C46" s="90">
        <v>255</v>
      </c>
      <c r="D46" s="85">
        <v>219</v>
      </c>
      <c r="E46" s="83">
        <v>2895</v>
      </c>
      <c r="F46" s="84">
        <v>3328</v>
      </c>
      <c r="G46" s="84">
        <v>28325</v>
      </c>
      <c r="H46" s="86">
        <f t="shared" si="10"/>
        <v>11.749338040600177</v>
      </c>
      <c r="I46" s="87">
        <v>560.952</v>
      </c>
      <c r="J46" s="88"/>
      <c r="K46" s="86">
        <f t="shared" si="11"/>
        <v>560.952</v>
      </c>
      <c r="L46" s="87">
        <v>2495.79</v>
      </c>
      <c r="M46" s="88">
        <v>646.61</v>
      </c>
      <c r="N46" s="88"/>
      <c r="O46" s="86">
        <f t="shared" si="12"/>
        <v>3142.4</v>
      </c>
      <c r="P46" s="87">
        <v>3713</v>
      </c>
      <c r="Q46" s="86">
        <f t="shared" si="13"/>
        <v>84.632372744411526</v>
      </c>
    </row>
    <row r="47" spans="1:17" ht="25.5" customHeight="1" x14ac:dyDescent="0.3">
      <c r="A47" s="76" t="s">
        <v>27</v>
      </c>
      <c r="B47" s="91">
        <v>25</v>
      </c>
      <c r="C47" s="92">
        <v>44</v>
      </c>
      <c r="D47" s="79">
        <v>25</v>
      </c>
      <c r="E47" s="91">
        <v>1260</v>
      </c>
      <c r="F47" s="92">
        <v>1575</v>
      </c>
      <c r="G47" s="92">
        <v>4646</v>
      </c>
      <c r="H47" s="80">
        <f t="shared" si="10"/>
        <v>33.900129143349119</v>
      </c>
      <c r="I47" s="93">
        <v>18.175999999999998</v>
      </c>
      <c r="J47" s="94"/>
      <c r="K47" s="80">
        <f t="shared" si="11"/>
        <v>18.175999999999998</v>
      </c>
      <c r="L47" s="93">
        <v>118</v>
      </c>
      <c r="M47" s="94">
        <v>20</v>
      </c>
      <c r="N47" s="94"/>
      <c r="O47" s="80">
        <f t="shared" si="12"/>
        <v>138</v>
      </c>
      <c r="P47" s="93">
        <v>541</v>
      </c>
      <c r="Q47" s="80">
        <f t="shared" si="13"/>
        <v>25.508317929759706</v>
      </c>
    </row>
    <row r="48" spans="1:17" s="102" customFormat="1" ht="25.5" customHeight="1" x14ac:dyDescent="0.3">
      <c r="A48" s="95" t="s">
        <v>28</v>
      </c>
      <c r="B48" s="96">
        <v>32</v>
      </c>
      <c r="C48" s="97">
        <v>61</v>
      </c>
      <c r="D48" s="98">
        <v>35.588999999999999</v>
      </c>
      <c r="E48" s="96">
        <v>748</v>
      </c>
      <c r="F48" s="97">
        <v>1093.0239999999999</v>
      </c>
      <c r="G48" s="97">
        <v>6570.2839999999997</v>
      </c>
      <c r="H48" s="99">
        <f t="shared" si="10"/>
        <v>16.635871447870439</v>
      </c>
      <c r="I48" s="100">
        <v>27.771000000000001</v>
      </c>
      <c r="J48" s="101"/>
      <c r="K48" s="99">
        <f t="shared" si="11"/>
        <v>27.771000000000001</v>
      </c>
      <c r="L48" s="100">
        <v>81.976799999999997</v>
      </c>
      <c r="M48" s="101">
        <v>41.996000000000002</v>
      </c>
      <c r="N48" s="101"/>
      <c r="O48" s="99">
        <f t="shared" si="12"/>
        <v>123.97280000000001</v>
      </c>
      <c r="P48" s="100">
        <v>786.59199999999998</v>
      </c>
      <c r="Q48" s="99">
        <f t="shared" si="13"/>
        <v>15.760750172897767</v>
      </c>
    </row>
    <row r="49" spans="1:17" ht="25.5" customHeight="1" x14ac:dyDescent="0.3">
      <c r="A49" s="76" t="s">
        <v>29</v>
      </c>
      <c r="B49" s="91">
        <v>40</v>
      </c>
      <c r="C49" s="92">
        <v>67.883333333333326</v>
      </c>
      <c r="D49" s="103">
        <v>47.277999999999999</v>
      </c>
      <c r="E49" s="91">
        <v>584</v>
      </c>
      <c r="F49" s="92">
        <v>691.14800000000002</v>
      </c>
      <c r="G49" s="92">
        <v>6237.1620000000003</v>
      </c>
      <c r="H49" s="80">
        <f t="shared" si="10"/>
        <v>11.081129526537872</v>
      </c>
      <c r="I49" s="93">
        <v>56.575499999999998</v>
      </c>
      <c r="J49" s="94"/>
      <c r="K49" s="80">
        <f t="shared" si="11"/>
        <v>56.575499999999998</v>
      </c>
      <c r="L49" s="93">
        <v>51.836100000000002</v>
      </c>
      <c r="M49" s="94">
        <v>55.335440499999997</v>
      </c>
      <c r="N49" s="94"/>
      <c r="O49" s="80">
        <f t="shared" si="12"/>
        <v>107.17154049999999</v>
      </c>
      <c r="P49" s="93">
        <v>660.54812000000004</v>
      </c>
      <c r="Q49" s="80">
        <f t="shared" si="13"/>
        <v>16.224637881037339</v>
      </c>
    </row>
    <row r="50" spans="1:17" ht="25.5" customHeight="1" x14ac:dyDescent="0.3">
      <c r="A50" s="69" t="s">
        <v>30</v>
      </c>
      <c r="B50" s="104">
        <v>49</v>
      </c>
      <c r="C50" s="105">
        <v>70.34899999999999</v>
      </c>
      <c r="D50" s="106">
        <v>38.767000000000003</v>
      </c>
      <c r="E50" s="104">
        <v>1193</v>
      </c>
      <c r="F50" s="105">
        <v>729.03800000000001</v>
      </c>
      <c r="G50" s="105">
        <v>5463.21</v>
      </c>
      <c r="H50" s="86">
        <f t="shared" si="10"/>
        <v>13.344498930116178</v>
      </c>
      <c r="I50" s="107">
        <v>96.259</v>
      </c>
      <c r="J50" s="108"/>
      <c r="K50" s="86">
        <f t="shared" si="11"/>
        <v>96.259</v>
      </c>
      <c r="L50" s="107">
        <v>54.677849999999999</v>
      </c>
      <c r="M50" s="108">
        <v>82.861000000000004</v>
      </c>
      <c r="N50" s="108"/>
      <c r="O50" s="86">
        <f t="shared" si="12"/>
        <v>137.53885</v>
      </c>
      <c r="P50" s="107">
        <v>589.07000000000005</v>
      </c>
      <c r="Q50" s="86">
        <f t="shared" si="13"/>
        <v>23.348473016789171</v>
      </c>
    </row>
    <row r="51" spans="1:17" ht="25.5" customHeight="1" x14ac:dyDescent="0.3">
      <c r="A51" s="76" t="s">
        <v>31</v>
      </c>
      <c r="B51" s="91">
        <v>21</v>
      </c>
      <c r="C51" s="92">
        <v>31.181999999999999</v>
      </c>
      <c r="D51" s="103">
        <v>13.473000000000001</v>
      </c>
      <c r="E51" s="91">
        <v>2183</v>
      </c>
      <c r="F51" s="92">
        <v>1348.307</v>
      </c>
      <c r="G51" s="92">
        <v>2337.0039999999999</v>
      </c>
      <c r="H51" s="80">
        <f t="shared" si="10"/>
        <v>57.693825085451287</v>
      </c>
      <c r="I51" s="93">
        <v>8.0739999999999998</v>
      </c>
      <c r="J51" s="94"/>
      <c r="K51" s="80">
        <f t="shared" si="11"/>
        <v>8.0739999999999998</v>
      </c>
      <c r="L51" s="93">
        <v>101.123025</v>
      </c>
      <c r="M51" s="94">
        <v>2.3340000000000001</v>
      </c>
      <c r="N51" s="94"/>
      <c r="O51" s="80">
        <f t="shared" si="12"/>
        <v>103.457025</v>
      </c>
      <c r="P51" s="93">
        <v>243.91499999999999</v>
      </c>
      <c r="Q51" s="80">
        <f t="shared" si="13"/>
        <v>42.415195867412834</v>
      </c>
    </row>
    <row r="52" spans="1:17" ht="25.5" customHeight="1" x14ac:dyDescent="0.3">
      <c r="A52" s="69" t="s">
        <v>32</v>
      </c>
      <c r="B52" s="104">
        <v>100</v>
      </c>
      <c r="C52" s="105">
        <v>149.80099999999999</v>
      </c>
      <c r="D52" s="106">
        <v>80.704999999999998</v>
      </c>
      <c r="E52" s="104">
        <v>11247</v>
      </c>
      <c r="F52" s="105">
        <v>6278.1409999999996</v>
      </c>
      <c r="G52" s="105">
        <v>12370.89</v>
      </c>
      <c r="H52" s="86">
        <f t="shared" si="10"/>
        <v>50.749307446756056</v>
      </c>
      <c r="I52" s="107">
        <v>25.364000000000001</v>
      </c>
      <c r="J52" s="108"/>
      <c r="K52" s="86">
        <f t="shared" si="11"/>
        <v>25.364000000000001</v>
      </c>
      <c r="L52" s="107">
        <v>470.86057500000004</v>
      </c>
      <c r="M52" s="108">
        <v>41.206000000000003</v>
      </c>
      <c r="N52" s="108"/>
      <c r="O52" s="86">
        <f t="shared" si="12"/>
        <v>512.06657500000006</v>
      </c>
      <c r="P52" s="107">
        <v>1400.336</v>
      </c>
      <c r="Q52" s="86">
        <f t="shared" si="13"/>
        <v>36.567407750711261</v>
      </c>
    </row>
    <row r="53" spans="1:17" ht="25.5" customHeight="1" x14ac:dyDescent="0.3">
      <c r="A53" s="76" t="s">
        <v>33</v>
      </c>
      <c r="B53" s="109">
        <v>195</v>
      </c>
      <c r="C53" s="110">
        <v>285.83333333333326</v>
      </c>
      <c r="D53" s="111">
        <v>136.874</v>
      </c>
      <c r="E53" s="109">
        <v>20383</v>
      </c>
      <c r="F53" s="110">
        <v>11507.93</v>
      </c>
      <c r="G53" s="110">
        <v>19847.272000000001</v>
      </c>
      <c r="H53" s="112">
        <f t="shared" si="10"/>
        <v>57.98242700558545</v>
      </c>
      <c r="I53" s="113">
        <v>45.011099999999999</v>
      </c>
      <c r="J53" s="114"/>
      <c r="K53" s="112">
        <f t="shared" si="11"/>
        <v>45.011099999999999</v>
      </c>
      <c r="L53" s="113">
        <v>863.09474999999998</v>
      </c>
      <c r="M53" s="114">
        <v>30.691526699999997</v>
      </c>
      <c r="N53" s="114"/>
      <c r="O53" s="112">
        <f t="shared" si="12"/>
        <v>893.78627669999992</v>
      </c>
      <c r="P53" s="113">
        <v>2065.7722200000003</v>
      </c>
      <c r="Q53" s="112">
        <f t="shared" si="13"/>
        <v>43.266448645533615</v>
      </c>
    </row>
    <row r="54" spans="1:17" ht="25.5" customHeight="1" x14ac:dyDescent="0.3">
      <c r="A54" s="115" t="s">
        <v>34</v>
      </c>
      <c r="B54" s="116">
        <f t="shared" ref="B54:G54" si="14">SUM(B42:B53)</f>
        <v>1663</v>
      </c>
      <c r="C54" s="116">
        <f t="shared" si="14"/>
        <v>2630.8653333333332</v>
      </c>
      <c r="D54" s="116">
        <f t="shared" si="14"/>
        <v>1680.76</v>
      </c>
      <c r="E54" s="116">
        <f t="shared" si="14"/>
        <v>138826</v>
      </c>
      <c r="F54" s="116">
        <f t="shared" si="14"/>
        <v>81561.293999999994</v>
      </c>
      <c r="G54" s="116">
        <f t="shared" si="14"/>
        <v>199769.65399999998</v>
      </c>
      <c r="H54" s="117">
        <f t="shared" si="10"/>
        <v>40.827669451737655</v>
      </c>
      <c r="I54" s="117">
        <f>SUM(I42:I53)</f>
        <v>1317.8192999999999</v>
      </c>
      <c r="J54" s="117">
        <f>SUM(J42:J53)</f>
        <v>32.545999999999992</v>
      </c>
      <c r="K54" s="117">
        <f t="shared" si="11"/>
        <v>1350.3652999999999</v>
      </c>
      <c r="L54" s="117">
        <f>SUM(L42:L53)</f>
        <v>8363.1620500000008</v>
      </c>
      <c r="M54" s="117">
        <f>SUM(M42:M53)</f>
        <v>1599.9597479000006</v>
      </c>
      <c r="N54" s="117">
        <f>SUM(N42:N53)</f>
        <v>14.694999999999993</v>
      </c>
      <c r="O54" s="117">
        <f t="shared" si="12"/>
        <v>9977.8167979000009</v>
      </c>
      <c r="P54" s="118">
        <f>SUM(P42:P53)</f>
        <v>22567.732659999972</v>
      </c>
      <c r="Q54" s="117">
        <f t="shared" si="13"/>
        <v>44.212756984600034</v>
      </c>
    </row>
    <row r="55" spans="1:17" ht="22.5" customHeight="1" x14ac:dyDescent="0.3">
      <c r="A55" s="146" t="s">
        <v>35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</row>
    <row r="56" spans="1:17" ht="22.5" customHeight="1" x14ac:dyDescent="0.3">
      <c r="A56" s="148" t="s">
        <v>36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22.5" customHeight="1" x14ac:dyDescent="0.3">
      <c r="A57" s="148" t="s">
        <v>37</v>
      </c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</row>
    <row r="58" spans="1:17" ht="47.25" customHeight="1" x14ac:dyDescent="0.3">
      <c r="A58" s="149">
        <v>2020</v>
      </c>
      <c r="B58" s="149"/>
      <c r="C58" s="150" t="s">
        <v>40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1" t="s">
        <v>1</v>
      </c>
      <c r="P58" s="151"/>
      <c r="Q58" s="151"/>
    </row>
    <row r="59" spans="1:17" ht="28.9" customHeight="1" x14ac:dyDescent="0.3">
      <c r="A59" s="143" t="s">
        <v>2</v>
      </c>
      <c r="B59" s="143" t="s">
        <v>3</v>
      </c>
      <c r="C59" s="143"/>
      <c r="D59" s="143"/>
      <c r="E59" s="144" t="s">
        <v>4</v>
      </c>
      <c r="F59" s="144" t="s">
        <v>5</v>
      </c>
      <c r="G59" s="144" t="s">
        <v>6</v>
      </c>
      <c r="H59" s="144" t="s">
        <v>7</v>
      </c>
      <c r="I59" s="143" t="s">
        <v>8</v>
      </c>
      <c r="J59" s="143"/>
      <c r="K59" s="143"/>
      <c r="L59" s="143" t="s">
        <v>9</v>
      </c>
      <c r="M59" s="143"/>
      <c r="N59" s="143"/>
      <c r="O59" s="143"/>
      <c r="P59" s="144" t="s">
        <v>10</v>
      </c>
      <c r="Q59" s="144" t="s">
        <v>11</v>
      </c>
    </row>
    <row r="60" spans="1:17" ht="164.25" customHeight="1" x14ac:dyDescent="0.3">
      <c r="A60" s="143"/>
      <c r="B60" s="119" t="s">
        <v>12</v>
      </c>
      <c r="C60" s="119" t="s">
        <v>13</v>
      </c>
      <c r="D60" s="119" t="s">
        <v>14</v>
      </c>
      <c r="E60" s="145"/>
      <c r="F60" s="145"/>
      <c r="G60" s="145"/>
      <c r="H60" s="145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5"/>
      <c r="Q60" s="145"/>
    </row>
    <row r="61" spans="1:17" ht="24.75" customHeight="1" x14ac:dyDescent="0.3">
      <c r="A61" s="121" t="s">
        <v>22</v>
      </c>
      <c r="B61" s="122"/>
      <c r="C61" s="123"/>
      <c r="D61" s="124"/>
      <c r="E61" s="122"/>
      <c r="F61" s="123"/>
      <c r="G61" s="123"/>
      <c r="H61" s="125" t="str">
        <f t="shared" ref="H61:H73" si="15">IFERROR(F61/G61*100," ")</f>
        <v xml:space="preserve"> </v>
      </c>
      <c r="I61" s="126"/>
      <c r="J61" s="127"/>
      <c r="K61" s="127" t="str">
        <f>IF(AND(ISBLANK(I61),ISBLANK(J61))=TRUE,"",I61+J61)</f>
        <v/>
      </c>
      <c r="L61" s="126"/>
      <c r="M61" s="127"/>
      <c r="N61" s="127"/>
      <c r="O61" s="128" t="str">
        <f>IF(AND(ISBLANK(L61),ISBLANK(M61),ISBLANK(N61))=TRUE,"",L61+M61+N61)</f>
        <v/>
      </c>
      <c r="P61" s="127"/>
      <c r="Q61" s="125" t="str">
        <f>IFERROR(O61/P61*100," ")</f>
        <v xml:space="preserve"> </v>
      </c>
    </row>
    <row r="62" spans="1:17" ht="24.75" customHeight="1" x14ac:dyDescent="0.3">
      <c r="A62" s="76" t="s">
        <v>23</v>
      </c>
      <c r="B62" s="91"/>
      <c r="C62" s="92"/>
      <c r="D62" s="103"/>
      <c r="E62" s="91"/>
      <c r="F62" s="92"/>
      <c r="G62" s="92"/>
      <c r="H62" s="129" t="str">
        <f t="shared" si="15"/>
        <v xml:space="preserve"> </v>
      </c>
      <c r="I62" s="93"/>
      <c r="J62" s="94"/>
      <c r="K62" s="94" t="str">
        <f t="shared" ref="K62:K73" si="16">IF(AND(ISBLANK(I62),ISBLANK(J62))=TRUE,"",I62+J62)</f>
        <v/>
      </c>
      <c r="L62" s="93"/>
      <c r="M62" s="94"/>
      <c r="N62" s="94"/>
      <c r="O62" s="80" t="str">
        <f t="shared" ref="O62:O73" si="17">IF(AND(ISBLANK(L62),ISBLANK(M62),ISBLANK(N62))=TRUE,"",L62+M62+N62)</f>
        <v/>
      </c>
      <c r="P62" s="94"/>
      <c r="Q62" s="129" t="str">
        <f t="shared" ref="Q62:Q73" si="18">IFERROR(O62/P62*100," ")</f>
        <v xml:space="preserve"> </v>
      </c>
    </row>
    <row r="63" spans="1:17" ht="24.75" customHeight="1" x14ac:dyDescent="0.3">
      <c r="A63" s="121" t="s">
        <v>24</v>
      </c>
      <c r="B63" s="130"/>
      <c r="C63" s="131"/>
      <c r="D63" s="132"/>
      <c r="E63" s="130"/>
      <c r="F63" s="131"/>
      <c r="G63" s="131"/>
      <c r="H63" s="133" t="str">
        <f t="shared" si="15"/>
        <v xml:space="preserve"> </v>
      </c>
      <c r="I63" s="134"/>
      <c r="J63" s="135"/>
      <c r="K63" s="135" t="str">
        <f t="shared" si="16"/>
        <v/>
      </c>
      <c r="L63" s="134"/>
      <c r="M63" s="135"/>
      <c r="N63" s="135"/>
      <c r="O63" s="136" t="str">
        <f t="shared" si="17"/>
        <v/>
      </c>
      <c r="P63" s="135"/>
      <c r="Q63" s="133" t="str">
        <f t="shared" si="18"/>
        <v xml:space="preserve"> </v>
      </c>
    </row>
    <row r="64" spans="1:17" ht="24.75" customHeight="1" x14ac:dyDescent="0.3">
      <c r="A64" s="76" t="s">
        <v>25</v>
      </c>
      <c r="B64" s="91">
        <v>84</v>
      </c>
      <c r="C64" s="92">
        <v>589.51666666666654</v>
      </c>
      <c r="D64" s="103">
        <v>619.27800000000002</v>
      </c>
      <c r="E64" s="91">
        <v>3505</v>
      </c>
      <c r="F64" s="92">
        <v>10032.445</v>
      </c>
      <c r="G64" s="92">
        <v>129675.916</v>
      </c>
      <c r="H64" s="129">
        <f t="shared" si="15"/>
        <v>7.7365522523087478</v>
      </c>
      <c r="I64" s="93">
        <v>839.16480000000001</v>
      </c>
      <c r="J64" s="94"/>
      <c r="K64" s="94">
        <f t="shared" si="16"/>
        <v>839.16480000000001</v>
      </c>
      <c r="L64" s="93">
        <v>752.43337500000007</v>
      </c>
      <c r="M64" s="94">
        <v>3881.7761340000011</v>
      </c>
      <c r="N64" s="94"/>
      <c r="O64" s="80">
        <f t="shared" si="17"/>
        <v>4634.2095090000012</v>
      </c>
      <c r="P64" s="94">
        <v>21013.450800000017</v>
      </c>
      <c r="Q64" s="129">
        <f t="shared" si="18"/>
        <v>22.053538721969442</v>
      </c>
    </row>
    <row r="65" spans="1:17" ht="24.75" customHeight="1" x14ac:dyDescent="0.3">
      <c r="A65" s="121" t="s">
        <v>26</v>
      </c>
      <c r="B65" s="130">
        <v>338</v>
      </c>
      <c r="C65" s="131">
        <v>2308.3500000000004</v>
      </c>
      <c r="D65" s="132">
        <v>2505.518</v>
      </c>
      <c r="E65" s="130">
        <v>39457</v>
      </c>
      <c r="F65" s="131">
        <v>271698.53999999998</v>
      </c>
      <c r="G65" s="131">
        <v>461150</v>
      </c>
      <c r="H65" s="133">
        <f t="shared" si="15"/>
        <v>58.917605985037405</v>
      </c>
      <c r="I65" s="134">
        <v>1501.7930000000001</v>
      </c>
      <c r="J65" s="135">
        <v>35.51</v>
      </c>
      <c r="K65" s="135">
        <f t="shared" si="16"/>
        <v>1537.3030000000001</v>
      </c>
      <c r="L65" s="134">
        <v>24515.96</v>
      </c>
      <c r="M65" s="135">
        <v>7682.8016595999998</v>
      </c>
      <c r="N65" s="135">
        <v>302</v>
      </c>
      <c r="O65" s="136">
        <f t="shared" si="17"/>
        <v>32500.761659600001</v>
      </c>
      <c r="P65" s="135">
        <v>70001.931400000001</v>
      </c>
      <c r="Q65" s="133">
        <f t="shared" si="18"/>
        <v>46.428378488425537</v>
      </c>
    </row>
    <row r="66" spans="1:17" ht="24.75" customHeight="1" x14ac:dyDescent="0.3">
      <c r="A66" s="76" t="s">
        <v>27</v>
      </c>
      <c r="B66" s="91">
        <v>645</v>
      </c>
      <c r="C66" s="92">
        <v>5636.9833333333336</v>
      </c>
      <c r="D66" s="103">
        <v>6507.4769999999999</v>
      </c>
      <c r="E66" s="91">
        <v>110328</v>
      </c>
      <c r="F66" s="92">
        <v>938902.61300000001</v>
      </c>
      <c r="G66" s="92">
        <v>1206836.4380000001</v>
      </c>
      <c r="H66" s="129">
        <f t="shared" si="15"/>
        <v>77.79866297010166</v>
      </c>
      <c r="I66" s="93">
        <v>1567.8504000000003</v>
      </c>
      <c r="J66" s="94"/>
      <c r="K66" s="94">
        <f t="shared" si="16"/>
        <v>1567.8504000000003</v>
      </c>
      <c r="L66" s="93">
        <v>86355.795975000001</v>
      </c>
      <c r="M66" s="94">
        <v>10369.6225846</v>
      </c>
      <c r="N66" s="94">
        <v>3.4806068061441491</v>
      </c>
      <c r="O66" s="80">
        <f t="shared" si="17"/>
        <v>96728.899166406147</v>
      </c>
      <c r="P66" s="94">
        <v>182830.25055999999</v>
      </c>
      <c r="Q66" s="129">
        <f t="shared" si="18"/>
        <v>52.906397530020513</v>
      </c>
    </row>
    <row r="67" spans="1:17" ht="24.75" customHeight="1" x14ac:dyDescent="0.3">
      <c r="A67" s="121" t="s">
        <v>28</v>
      </c>
      <c r="B67" s="130">
        <v>646</v>
      </c>
      <c r="C67" s="131">
        <v>5643.3006666666697</v>
      </c>
      <c r="D67" s="132">
        <v>5829.3510000000006</v>
      </c>
      <c r="E67" s="130">
        <v>99732</v>
      </c>
      <c r="F67" s="131">
        <v>828546.56299999997</v>
      </c>
      <c r="G67" s="131">
        <v>1220888.3470000001</v>
      </c>
      <c r="H67" s="133">
        <f t="shared" si="15"/>
        <v>67.864237138140197</v>
      </c>
      <c r="I67" s="134">
        <v>1683.652</v>
      </c>
      <c r="J67" s="135"/>
      <c r="K67" s="135">
        <f t="shared" si="16"/>
        <v>1683.652</v>
      </c>
      <c r="L67" s="134">
        <v>76084.553117999967</v>
      </c>
      <c r="M67" s="135">
        <v>12042.376336900003</v>
      </c>
      <c r="N67" s="135"/>
      <c r="O67" s="136">
        <f t="shared" si="17"/>
        <v>88126.929454899975</v>
      </c>
      <c r="P67" s="135">
        <v>188098.24420800025</v>
      </c>
      <c r="Q67" s="133">
        <f t="shared" si="18"/>
        <v>46.851542833886661</v>
      </c>
    </row>
    <row r="68" spans="1:17" ht="24.75" customHeight="1" x14ac:dyDescent="0.3">
      <c r="A68" s="76" t="s">
        <v>29</v>
      </c>
      <c r="B68" s="91">
        <v>596</v>
      </c>
      <c r="C68" s="92">
        <v>5515.1166666666704</v>
      </c>
      <c r="D68" s="103">
        <v>4694.1180000000004</v>
      </c>
      <c r="E68" s="91">
        <v>94308</v>
      </c>
      <c r="F68" s="92">
        <v>822193.875</v>
      </c>
      <c r="G68" s="92">
        <v>1202207.108</v>
      </c>
      <c r="H68" s="129">
        <f t="shared" si="15"/>
        <v>68.39036880823366</v>
      </c>
      <c r="I68" s="93">
        <v>1775.5043000000005</v>
      </c>
      <c r="J68" s="94"/>
      <c r="K68" s="94">
        <f t="shared" si="16"/>
        <v>1775.5043000000005</v>
      </c>
      <c r="L68" s="93">
        <v>75358.575625999976</v>
      </c>
      <c r="M68" s="94">
        <v>14002.238846899985</v>
      </c>
      <c r="N68" s="94"/>
      <c r="O68" s="80">
        <f t="shared" si="17"/>
        <v>89360.814472899961</v>
      </c>
      <c r="P68" s="94">
        <v>186140.4095079999</v>
      </c>
      <c r="Q68" s="129">
        <f t="shared" si="18"/>
        <v>48.007208487987903</v>
      </c>
    </row>
    <row r="69" spans="1:17" ht="24.75" customHeight="1" x14ac:dyDescent="0.3">
      <c r="A69" s="121" t="s">
        <v>30</v>
      </c>
      <c r="B69" s="130">
        <v>705</v>
      </c>
      <c r="C69" s="131">
        <v>6605.7506666666659</v>
      </c>
      <c r="D69" s="132">
        <v>5713.6279999999997</v>
      </c>
      <c r="E69" s="130">
        <v>93561</v>
      </c>
      <c r="F69" s="131">
        <v>766353.62100000004</v>
      </c>
      <c r="G69" s="131">
        <v>1446711.2179999999</v>
      </c>
      <c r="H69" s="133">
        <f t="shared" si="15"/>
        <v>52.972121282051198</v>
      </c>
      <c r="I69" s="134">
        <v>2750.3404999999998</v>
      </c>
      <c r="J69" s="135"/>
      <c r="K69" s="135">
        <f t="shared" si="16"/>
        <v>2750.3404999999998</v>
      </c>
      <c r="L69" s="134">
        <v>70549.59167499996</v>
      </c>
      <c r="M69" s="135">
        <v>21602.349879300007</v>
      </c>
      <c r="N69" s="135"/>
      <c r="O69" s="136">
        <f t="shared" si="17"/>
        <v>92151.941554299963</v>
      </c>
      <c r="P69" s="135">
        <v>223795.3149520001</v>
      </c>
      <c r="Q69" s="133">
        <f t="shared" si="18"/>
        <v>41.176885929924332</v>
      </c>
    </row>
    <row r="70" spans="1:17" ht="24.75" customHeight="1" x14ac:dyDescent="0.3">
      <c r="A70" s="76" t="s">
        <v>31</v>
      </c>
      <c r="B70" s="91">
        <v>913</v>
      </c>
      <c r="C70" s="92">
        <v>7669.998333333333</v>
      </c>
      <c r="D70" s="103">
        <v>6574.1959999999999</v>
      </c>
      <c r="E70" s="91">
        <v>119859</v>
      </c>
      <c r="F70" s="92">
        <v>883513.97100000002</v>
      </c>
      <c r="G70" s="92">
        <v>1601852.774</v>
      </c>
      <c r="H70" s="129">
        <f t="shared" si="15"/>
        <v>55.155753720972115</v>
      </c>
      <c r="I70" s="93">
        <v>3755.1018999999997</v>
      </c>
      <c r="J70" s="94"/>
      <c r="K70" s="94">
        <f t="shared" si="16"/>
        <v>3755.1018999999997</v>
      </c>
      <c r="L70" s="93">
        <v>81339.950820999948</v>
      </c>
      <c r="M70" s="94">
        <v>29008.560022099973</v>
      </c>
      <c r="N70" s="94"/>
      <c r="O70" s="80">
        <f t="shared" si="17"/>
        <v>110348.51084309992</v>
      </c>
      <c r="P70" s="94">
        <v>243180.4358240001</v>
      </c>
      <c r="Q70" s="129">
        <f t="shared" si="18"/>
        <v>45.377215674933566</v>
      </c>
    </row>
    <row r="71" spans="1:17" ht="24.75" customHeight="1" x14ac:dyDescent="0.3">
      <c r="A71" s="121" t="s">
        <v>32</v>
      </c>
      <c r="B71" s="130">
        <v>1032</v>
      </c>
      <c r="C71" s="131">
        <v>8280.8080000000009</v>
      </c>
      <c r="D71" s="132">
        <v>6676.6129999999994</v>
      </c>
      <c r="E71" s="130">
        <v>139050</v>
      </c>
      <c r="F71" s="131">
        <v>885349.37100000004</v>
      </c>
      <c r="G71" s="131">
        <v>1616858.9780000001</v>
      </c>
      <c r="H71" s="133">
        <f t="shared" si="15"/>
        <v>54.75736493080845</v>
      </c>
      <c r="I71" s="134">
        <v>4673.6100000000006</v>
      </c>
      <c r="J71" s="135"/>
      <c r="K71" s="135">
        <f t="shared" si="16"/>
        <v>4673.6100000000006</v>
      </c>
      <c r="L71" s="134">
        <v>93580.929000000004</v>
      </c>
      <c r="M71" s="135">
        <v>29690.380022099973</v>
      </c>
      <c r="N71" s="135"/>
      <c r="O71" s="136">
        <f t="shared" si="17"/>
        <v>123271.30902209997</v>
      </c>
      <c r="P71" s="135">
        <v>245598.04082400011</v>
      </c>
      <c r="Q71" s="133">
        <f t="shared" si="18"/>
        <v>50.192301456687261</v>
      </c>
    </row>
    <row r="72" spans="1:17" ht="24.75" customHeight="1" x14ac:dyDescent="0.3">
      <c r="A72" s="76" t="s">
        <v>33</v>
      </c>
      <c r="B72" s="109">
        <v>1076</v>
      </c>
      <c r="C72" s="110">
        <v>8446.5500000000029</v>
      </c>
      <c r="D72" s="111">
        <v>7081.1839999999993</v>
      </c>
      <c r="E72" s="109">
        <v>168066</v>
      </c>
      <c r="F72" s="110">
        <v>1248149.632</v>
      </c>
      <c r="G72" s="110">
        <v>1705441.054</v>
      </c>
      <c r="H72" s="112">
        <f t="shared" si="15"/>
        <v>73.186324972800847</v>
      </c>
      <c r="I72" s="113">
        <v>4640.7137000000012</v>
      </c>
      <c r="J72" s="114"/>
      <c r="K72" s="114">
        <f t="shared" si="16"/>
        <v>4640.7137000000012</v>
      </c>
      <c r="L72" s="113">
        <v>112654.1373</v>
      </c>
      <c r="M72" s="114">
        <v>32866.953740299985</v>
      </c>
      <c r="N72" s="114"/>
      <c r="O72" s="112">
        <f t="shared" si="17"/>
        <v>145521.09104029997</v>
      </c>
      <c r="P72" s="114">
        <v>258863.5021960001</v>
      </c>
      <c r="Q72" s="112">
        <f t="shared" si="18"/>
        <v>56.215375982249427</v>
      </c>
    </row>
    <row r="73" spans="1:17" ht="24.75" customHeight="1" x14ac:dyDescent="0.3">
      <c r="A73" s="137" t="s">
        <v>34</v>
      </c>
      <c r="B73" s="138">
        <f t="shared" ref="B73:G73" si="19">SUM(B61:B72)</f>
        <v>6035</v>
      </c>
      <c r="C73" s="138">
        <f t="shared" si="19"/>
        <v>50696.37433333334</v>
      </c>
      <c r="D73" s="138">
        <f t="shared" si="19"/>
        <v>46201.363000000005</v>
      </c>
      <c r="E73" s="138">
        <f t="shared" si="19"/>
        <v>867866</v>
      </c>
      <c r="F73" s="138">
        <f t="shared" si="19"/>
        <v>6654740.6310000001</v>
      </c>
      <c r="G73" s="138">
        <f t="shared" si="19"/>
        <v>10591621.833000001</v>
      </c>
      <c r="H73" s="139">
        <f t="shared" si="15"/>
        <v>62.830232573693515</v>
      </c>
      <c r="I73" s="140">
        <f>SUM(I61:I72)</f>
        <v>23187.730600000003</v>
      </c>
      <c r="J73" s="140">
        <f>SUM(J61:J72)</f>
        <v>35.51</v>
      </c>
      <c r="K73" s="140">
        <f t="shared" si="16"/>
        <v>23223.240600000001</v>
      </c>
      <c r="L73" s="140">
        <f>SUM(L61:L72)</f>
        <v>621191.92689</v>
      </c>
      <c r="M73" s="140">
        <f>SUM(M61:M72)</f>
        <v>161147.05922579992</v>
      </c>
      <c r="N73" s="140">
        <f>SUM(N61:N72)</f>
        <v>305.48060680614412</v>
      </c>
      <c r="O73" s="140">
        <f t="shared" si="17"/>
        <v>782644.4667226061</v>
      </c>
      <c r="P73" s="140">
        <f>SUM(P61:P72)</f>
        <v>1619521.5802720005</v>
      </c>
      <c r="Q73" s="139">
        <f t="shared" si="18"/>
        <v>48.32565840778485</v>
      </c>
    </row>
    <row r="74" spans="1:17" x14ac:dyDescent="0.3">
      <c r="A74" s="146" t="s">
        <v>35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</row>
    <row r="75" spans="1:17" x14ac:dyDescent="0.3">
      <c r="A75" s="148" t="s">
        <v>36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</row>
    <row r="76" spans="1:17" x14ac:dyDescent="0.3">
      <c r="A76" s="148" t="s">
        <v>37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2022-03-07T07:39:59Z</dcterms:created>
  <dcterms:modified xsi:type="dcterms:W3CDTF">2022-03-08T09:09:16Z</dcterms:modified>
</cp:coreProperties>
</file>