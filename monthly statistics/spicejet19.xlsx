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software at-ii\GENERATED REPORTS\"/>
    </mc:Choice>
  </mc:AlternateContent>
  <bookViews>
    <workbookView xWindow="0" yWindow="0" windowWidth="24000" windowHeight="79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  <definedName name="year">[1]Interface!$AU$7:$AU$20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O54" i="2"/>
  <c r="Q54" i="2" s="1"/>
  <c r="N54" i="2"/>
  <c r="M54" i="2"/>
  <c r="L54" i="2"/>
  <c r="J54" i="2"/>
  <c r="K54" i="2" s="1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O35" i="2"/>
  <c r="Q35" i="2" s="1"/>
  <c r="N35" i="2"/>
  <c r="M35" i="2"/>
  <c r="L35" i="2"/>
  <c r="J35" i="2"/>
  <c r="K35" i="2" s="1"/>
  <c r="I35" i="2"/>
  <c r="G35" i="2"/>
  <c r="H35" i="2" s="1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O16" i="2"/>
  <c r="Q16" i="2" s="1"/>
  <c r="N16" i="2"/>
  <c r="M16" i="2"/>
  <c r="L16" i="2"/>
  <c r="J16" i="2"/>
  <c r="K16" i="2" s="1"/>
  <c r="I16" i="2"/>
  <c r="G16" i="2"/>
  <c r="H16" i="2" s="1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<sst xmlns="http://schemas.openxmlformats.org/spreadsheetml/2006/main" count="153" uniqueCount="42">
  <si>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</si>
  <si>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SPICEJET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</si>
  <si>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</si>
  <si>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</si>
  <si>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</si>
  <si>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</si>
  <si>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</si>
  <si>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</si>
  <si>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</si>
  <si>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</si>
  <si>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</si>
  <si>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</si>
  <si>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</si>
  <si>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</si>
  <si>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</si>
  <si>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</si>
  <si>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</si>
  <si>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</si>
  <si>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</si>
  <si>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</si>
  <si>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</si>
  <si>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</si>
  <si>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</si>
  <si>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</si>
  <si>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</si>
  <si>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</si>
  <si>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</si>
  <si>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</si>
  <si>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</si>
  <si>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</si>
  <si>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</si>
  <si>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</si>
  <si>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</si>
  <si>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</si>
  <si>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</si>
  <si>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SPICEJET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</si>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</sst>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software%20at-ii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Main Window"/>
      <sheetName val="Data"/>
      <sheetName val="Sheet2"/>
      <sheetName val="PivotTable"/>
      <sheetName val="Monthly_Template"/>
      <sheetName val="Sheet15"/>
      <sheetName val="DOMESTIC"/>
      <sheetName val="INTERNATIONAL"/>
    </sheetNames>
    <sheetDataSet>
      <sheetData sheetId="0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  <cell r="AU7">
            <v>2007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  <cell r="AU8">
            <v>2008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  <cell r="AU9">
            <v>2009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  <cell r="AU10">
            <v>2010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  <cell r="AU11">
            <v>2011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  <cell r="AU12">
            <v>2012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  <cell r="AU13">
            <v>2013</v>
          </cell>
        </row>
        <row r="14">
          <cell r="AR14" t="str">
            <v>MAIL</v>
          </cell>
          <cell r="AT14" t="str">
            <v>AIR ODISHA</v>
          </cell>
          <cell r="AU14">
            <v>2014</v>
          </cell>
        </row>
        <row r="15">
          <cell r="AR15" t="str">
            <v>CARGO</v>
          </cell>
          <cell r="AT15" t="str">
            <v>AIR PEGASUS</v>
          </cell>
          <cell r="AU15">
            <v>2015</v>
          </cell>
        </row>
        <row r="16">
          <cell r="AR16" t="str">
            <v>PTKM</v>
          </cell>
          <cell r="AT16" t="str">
            <v>ALLIANCE AIR</v>
          </cell>
          <cell r="AU16">
            <v>2016</v>
          </cell>
        </row>
        <row r="17">
          <cell r="AR17" t="str">
            <v>FTKM</v>
          </cell>
          <cell r="AT17" t="str">
            <v>BLUEDART</v>
          </cell>
          <cell r="AU17">
            <v>2017</v>
          </cell>
        </row>
        <row r="18">
          <cell r="AR18" t="str">
            <v>MTKM</v>
          </cell>
          <cell r="AT18" t="str">
            <v>DECCAN</v>
          </cell>
          <cell r="AU18">
            <v>2018</v>
          </cell>
        </row>
        <row r="19">
          <cell r="AR19" t="str">
            <v>RTKM</v>
          </cell>
          <cell r="AT19" t="str">
            <v>GO AIR</v>
          </cell>
          <cell r="AU19">
            <v>2019</v>
          </cell>
        </row>
        <row r="20">
          <cell r="AR20" t="str">
            <v>ATKM</v>
          </cell>
          <cell r="AT20" t="str">
            <v>INDIGO</v>
          </cell>
          <cell r="AU20">
            <v>2020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KINGFISHER</v>
          </cell>
        </row>
        <row r="24">
          <cell r="AT24" t="str">
            <v>MDLR</v>
          </cell>
        </row>
        <row r="25">
          <cell r="AT25" t="str">
            <v>PARAMOUNT</v>
          </cell>
        </row>
        <row r="26">
          <cell r="AT26" t="str">
            <v>QUIKJET CARGO</v>
          </cell>
        </row>
        <row r="27">
          <cell r="AT27" t="str">
            <v>SPICEJET</v>
          </cell>
        </row>
        <row r="28">
          <cell r="AT28" t="str">
            <v>STAR AIR</v>
          </cell>
        </row>
        <row r="29">
          <cell r="AT29" t="str">
            <v>TRUJET</v>
          </cell>
        </row>
        <row r="30">
          <cell r="AT30" t="str">
            <v>VISTARA</v>
          </cell>
        </row>
        <row r="31">
          <cell r="AT31" t="str">
            <v>ZOOM AIR</v>
          </cell>
        </row>
        <row r="32">
          <cell r="AT32" t="str">
            <v>PAWAN HANS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1" transitionEvaluation="1" transitionEntry="1" codeName="Sheet12"/>
  <dimension ref="A1:Q494"/>
  <sheetViews>
    <sheetView showGridLines="0" tabSelected="1" view="pageBreakPreview" topLeftCell="A61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2019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13271</v>
      </c>
      <c r="C4" s="12">
        <v>18645</v>
      </c>
      <c r="D4" s="13">
        <v>10803.49</v>
      </c>
      <c r="E4" s="14">
        <v>1665660</v>
      </c>
      <c r="F4" s="12">
        <v>1568335.01</v>
      </c>
      <c r="G4" s="12">
        <v>1726201.8</v>
      </c>
      <c r="H4" s="15">
        <f>IFERROR(F4/G4*100," ")</f>
        <v>90.854673538169166</v>
      </c>
      <c r="I4" s="16">
        <v>7705.25</v>
      </c>
      <c r="J4" s="17">
        <v>0</v>
      </c>
      <c r="K4" s="15">
        <f>IF(AND(ISBLANK(I4),ISBLANK(J4))=TRUE,"",I4+J4)</f>
        <v>7705.25</v>
      </c>
      <c r="L4" s="16">
        <v>117625.13</v>
      </c>
      <c r="M4" s="17">
        <v>7703.14</v>
      </c>
      <c r="N4" s="17">
        <v>0</v>
      </c>
      <c r="O4" s="15">
        <f>IF(AND(ISBLANK(L4),ISBLANK(M4),ISBLANK(N4))=TRUE,"",L4+M4+N4)</f>
        <v>125328.27</v>
      </c>
      <c r="P4" s="17">
        <v>149626.57999999999</v>
      </c>
      <c r="Q4" s="15">
        <f>IFERROR(O4/P4*100," ")</f>
        <v>83.760699469305536</v>
      </c>
    </row>
    <row r="5" spans="1:17" ht="23.1" customHeight="1" x14ac:dyDescent="0.3">
      <c r="A5" s="18" t="s">
        <v>23</v>
      </c>
      <c r="B5" s="19">
        <v>12059</v>
      </c>
      <c r="C5" s="19">
        <v>16961</v>
      </c>
      <c r="D5" s="18">
        <v>9791.8130000000001</v>
      </c>
      <c r="E5" s="20">
        <v>1557868</v>
      </c>
      <c r="F5" s="19">
        <v>1464787.81</v>
      </c>
      <c r="G5" s="19">
        <v>1557610.2450000001</v>
      </c>
      <c r="H5" s="21">
        <f t="shared" ref="H5:H16" si="0">IFERROR(F5/G5*100," ")</f>
        <v>94.040714915816437</v>
      </c>
      <c r="I5" s="22">
        <v>6831.8539099999998</v>
      </c>
      <c r="J5" s="23">
        <v>0</v>
      </c>
      <c r="K5" s="21">
        <f t="shared" ref="K5:K16" si="1">IF(AND(ISBLANK(I5),ISBLANK(J5))=TRUE,"",I5+J5)</f>
        <v>6831.8539099999998</v>
      </c>
      <c r="L5" s="22">
        <v>109859.086</v>
      </c>
      <c r="M5" s="23">
        <v>7402.2039999999997</v>
      </c>
      <c r="N5" s="23">
        <v>0</v>
      </c>
      <c r="O5" s="21">
        <f t="shared" ref="O5:O16" si="2">IF(AND(ISBLANK(L5),ISBLANK(M5),ISBLANK(N5))=TRUE,"",L5+M5+N5)</f>
        <v>117261.29</v>
      </c>
      <c r="P5" s="23">
        <v>135280.67600000001</v>
      </c>
      <c r="Q5" s="21">
        <f t="shared" ref="Q5:Q16" si="3">IFERROR(O5/P5*100," ")</f>
        <v>86.680000031933602</v>
      </c>
    </row>
    <row r="6" spans="1:17" ht="23.1" customHeight="1" x14ac:dyDescent="0.3">
      <c r="A6" s="24" t="s">
        <v>24</v>
      </c>
      <c r="B6" s="25">
        <v>12968</v>
      </c>
      <c r="C6" s="25">
        <v>17576</v>
      </c>
      <c r="D6" s="24">
        <v>10148.297</v>
      </c>
      <c r="E6" s="26">
        <v>1581456</v>
      </c>
      <c r="F6" s="25">
        <v>1458326.3570000001</v>
      </c>
      <c r="G6" s="25">
        <v>1567500.81</v>
      </c>
      <c r="H6" s="27">
        <f t="shared" si="0"/>
        <v>93.035126214703524</v>
      </c>
      <c r="I6" s="28">
        <v>8506.3610000000008</v>
      </c>
      <c r="J6" s="29">
        <v>0</v>
      </c>
      <c r="K6" s="27">
        <f t="shared" si="1"/>
        <v>8506.3610000000008</v>
      </c>
      <c r="L6" s="28">
        <v>109374.477</v>
      </c>
      <c r="M6" s="29">
        <v>7751.4030000000002</v>
      </c>
      <c r="N6" s="29">
        <v>0</v>
      </c>
      <c r="O6" s="27">
        <f t="shared" si="2"/>
        <v>117125.88</v>
      </c>
      <c r="P6" s="29">
        <v>136577.21900000001</v>
      </c>
      <c r="Q6" s="27">
        <f t="shared" si="3"/>
        <v>85.757991601805855</v>
      </c>
    </row>
    <row r="7" spans="1:17" ht="23.1" customHeight="1" x14ac:dyDescent="0.3">
      <c r="A7" s="18" t="s">
        <v>25</v>
      </c>
      <c r="B7" s="19">
        <v>11983</v>
      </c>
      <c r="C7" s="19">
        <v>16146</v>
      </c>
      <c r="D7" s="18">
        <v>9292.74</v>
      </c>
      <c r="E7" s="20">
        <v>1440598</v>
      </c>
      <c r="F7" s="19">
        <v>1317633.3319999999</v>
      </c>
      <c r="G7" s="19">
        <v>1405657.3130000001</v>
      </c>
      <c r="H7" s="21">
        <f t="shared" si="0"/>
        <v>93.737877633052932</v>
      </c>
      <c r="I7" s="22">
        <v>7624.2513300000001</v>
      </c>
      <c r="J7" s="23">
        <v>0</v>
      </c>
      <c r="K7" s="21">
        <f t="shared" si="1"/>
        <v>7624.2513300000001</v>
      </c>
      <c r="L7" s="22">
        <v>98822.5</v>
      </c>
      <c r="M7" s="23">
        <v>7018.15</v>
      </c>
      <c r="N7" s="23">
        <v>0</v>
      </c>
      <c r="O7" s="21">
        <f t="shared" si="2"/>
        <v>105840.65</v>
      </c>
      <c r="P7" s="23">
        <v>123304.76</v>
      </c>
      <c r="Q7" s="21">
        <f t="shared" si="3"/>
        <v>85.83662950238093</v>
      </c>
    </row>
    <row r="8" spans="1:17" s="30" customFormat="1" ht="30" customHeight="1" x14ac:dyDescent="0.25">
      <c r="A8" s="24" t="s">
        <v>26</v>
      </c>
      <c r="B8" s="25">
        <v>14773</v>
      </c>
      <c r="C8" s="25">
        <v>20854</v>
      </c>
      <c r="D8" s="24">
        <v>12222.040999999999</v>
      </c>
      <c r="E8" s="26">
        <v>1802705</v>
      </c>
      <c r="F8" s="25">
        <v>1728070.602</v>
      </c>
      <c r="G8" s="25">
        <v>1841023.9410000001</v>
      </c>
      <c r="H8" s="27">
        <f t="shared" si="0"/>
        <v>93.864645837324275</v>
      </c>
      <c r="I8" s="28">
        <v>9149.3299060529971</v>
      </c>
      <c r="J8" s="29">
        <v>0</v>
      </c>
      <c r="K8" s="27">
        <f t="shared" si="1"/>
        <v>9149.3299060529971</v>
      </c>
      <c r="L8" s="28">
        <v>129605.29536</v>
      </c>
      <c r="M8" s="29">
        <v>9860.5313600000009</v>
      </c>
      <c r="N8" s="29">
        <v>0</v>
      </c>
      <c r="O8" s="27">
        <f t="shared" si="2"/>
        <v>139465.82672000001</v>
      </c>
      <c r="P8" s="29">
        <v>166681.9485</v>
      </c>
      <c r="Q8" s="27">
        <f t="shared" si="3"/>
        <v>83.6718240787784</v>
      </c>
    </row>
    <row r="9" spans="1:17" ht="23.1" customHeight="1" x14ac:dyDescent="0.3">
      <c r="A9" s="18" t="s">
        <v>27</v>
      </c>
      <c r="B9" s="19">
        <v>15208</v>
      </c>
      <c r="C9" s="19">
        <v>21867</v>
      </c>
      <c r="D9" s="18">
        <v>12868.19</v>
      </c>
      <c r="E9" s="20">
        <v>1875606</v>
      </c>
      <c r="F9" s="19">
        <v>1818349</v>
      </c>
      <c r="G9" s="19">
        <v>1940661</v>
      </c>
      <c r="H9" s="21">
        <f t="shared" si="0"/>
        <v>93.697405162467845</v>
      </c>
      <c r="I9" s="22">
        <v>9841.6535100000019</v>
      </c>
      <c r="J9" s="23">
        <v>0</v>
      </c>
      <c r="K9" s="21">
        <f t="shared" si="1"/>
        <v>9841.6535100000019</v>
      </c>
      <c r="L9" s="22">
        <v>136376</v>
      </c>
      <c r="M9" s="23">
        <v>10657</v>
      </c>
      <c r="N9" s="23">
        <v>0</v>
      </c>
      <c r="O9" s="21">
        <f t="shared" si="2"/>
        <v>147033</v>
      </c>
      <c r="P9" s="23">
        <v>177851</v>
      </c>
      <c r="Q9" s="21">
        <f t="shared" si="3"/>
        <v>82.672011965071889</v>
      </c>
    </row>
    <row r="10" spans="1:17" ht="23.1" customHeight="1" x14ac:dyDescent="0.3">
      <c r="A10" s="24" t="s">
        <v>28</v>
      </c>
      <c r="B10" s="25">
        <v>15005</v>
      </c>
      <c r="C10" s="25">
        <v>21954</v>
      </c>
      <c r="D10" s="24">
        <v>12812.882</v>
      </c>
      <c r="E10" s="26">
        <v>1847629</v>
      </c>
      <c r="F10" s="25">
        <v>1788800.51</v>
      </c>
      <c r="G10" s="25">
        <v>1935818.5120000001</v>
      </c>
      <c r="H10" s="27">
        <f t="shared" si="0"/>
        <v>92.405382989745888</v>
      </c>
      <c r="I10" s="28">
        <v>10706.190819999996</v>
      </c>
      <c r="J10" s="29">
        <v>0</v>
      </c>
      <c r="K10" s="27">
        <f t="shared" si="1"/>
        <v>10706.190819999996</v>
      </c>
      <c r="L10" s="28">
        <v>134160.03863</v>
      </c>
      <c r="M10" s="29">
        <v>11375.18547</v>
      </c>
      <c r="N10" s="29">
        <v>0</v>
      </c>
      <c r="O10" s="27">
        <f t="shared" si="2"/>
        <v>145535.22409999999</v>
      </c>
      <c r="P10" s="29">
        <v>177652.9265</v>
      </c>
      <c r="Q10" s="27">
        <f t="shared" si="3"/>
        <v>81.92109579461389</v>
      </c>
    </row>
    <row r="11" spans="1:17" ht="23.1" customHeight="1" x14ac:dyDescent="0.3">
      <c r="A11" s="18" t="s">
        <v>29</v>
      </c>
      <c r="B11" s="19">
        <v>14603</v>
      </c>
      <c r="C11" s="19">
        <v>21459</v>
      </c>
      <c r="D11" s="18">
        <v>12644.251</v>
      </c>
      <c r="E11" s="20">
        <v>1833644</v>
      </c>
      <c r="F11" s="19">
        <v>1782977.0859999999</v>
      </c>
      <c r="G11" s="19">
        <v>1928853.8030000001</v>
      </c>
      <c r="H11" s="21">
        <f t="shared" si="0"/>
        <v>92.437129409542905</v>
      </c>
      <c r="I11" s="22">
        <v>11256.840599999996</v>
      </c>
      <c r="J11" s="23">
        <v>0</v>
      </c>
      <c r="K11" s="21">
        <f t="shared" si="1"/>
        <v>11256.840599999996</v>
      </c>
      <c r="L11" s="22">
        <v>133723.28177999999</v>
      </c>
      <c r="M11" s="23">
        <v>11779.0833</v>
      </c>
      <c r="N11" s="23">
        <v>0</v>
      </c>
      <c r="O11" s="21">
        <f t="shared" si="2"/>
        <v>145502.36507999999</v>
      </c>
      <c r="P11" s="23">
        <v>176362.69699999999</v>
      </c>
      <c r="Q11" s="21">
        <f t="shared" si="3"/>
        <v>82.501780453039913</v>
      </c>
    </row>
    <row r="12" spans="1:17" ht="23.1" customHeight="1" x14ac:dyDescent="0.3">
      <c r="A12" s="24" t="s">
        <v>30</v>
      </c>
      <c r="B12" s="25">
        <v>13543</v>
      </c>
      <c r="C12" s="25">
        <v>19047</v>
      </c>
      <c r="D12" s="24">
        <v>11615.632</v>
      </c>
      <c r="E12" s="26">
        <v>1700367</v>
      </c>
      <c r="F12" s="25">
        <v>1653697.899</v>
      </c>
      <c r="G12" s="25">
        <v>1777592.8359999999</v>
      </c>
      <c r="H12" s="27">
        <f t="shared" si="0"/>
        <v>93.030184725609473</v>
      </c>
      <c r="I12" s="28">
        <v>10962.86</v>
      </c>
      <c r="J12" s="29">
        <v>0</v>
      </c>
      <c r="K12" s="27">
        <f t="shared" si="1"/>
        <v>10962.86</v>
      </c>
      <c r="L12" s="28">
        <v>124027.34282000001</v>
      </c>
      <c r="M12" s="29">
        <v>11384.572599999899</v>
      </c>
      <c r="N12" s="29">
        <v>0</v>
      </c>
      <c r="O12" s="27">
        <f t="shared" si="2"/>
        <v>135411.91541999992</v>
      </c>
      <c r="P12" s="29">
        <v>161654.64300000001</v>
      </c>
      <c r="Q12" s="27">
        <f t="shared" si="3"/>
        <v>83.766177640811662</v>
      </c>
    </row>
    <row r="13" spans="1:17" ht="23.1" customHeight="1" x14ac:dyDescent="0.3">
      <c r="A13" s="18" t="s">
        <v>31</v>
      </c>
      <c r="B13" s="19">
        <v>16098</v>
      </c>
      <c r="C13" s="19">
        <v>23727</v>
      </c>
      <c r="D13" s="18">
        <v>14075.107</v>
      </c>
      <c r="E13" s="20">
        <v>2004583</v>
      </c>
      <c r="F13" s="19">
        <v>1985372.9140000001</v>
      </c>
      <c r="G13" s="19">
        <v>2205339.3160000001</v>
      </c>
      <c r="H13" s="21">
        <f t="shared" si="0"/>
        <v>90.025734343730349</v>
      </c>
      <c r="I13" s="22">
        <v>12337.386399999996</v>
      </c>
      <c r="J13" s="23">
        <v>0</v>
      </c>
      <c r="K13" s="21">
        <f t="shared" si="1"/>
        <v>12337.386399999996</v>
      </c>
      <c r="L13" s="22">
        <v>148902.96896999999</v>
      </c>
      <c r="M13" s="23">
        <v>12187.22185</v>
      </c>
      <c r="N13" s="23">
        <v>0</v>
      </c>
      <c r="O13" s="21">
        <f t="shared" si="2"/>
        <v>161090.19081999999</v>
      </c>
      <c r="P13" s="23">
        <v>196277.7335</v>
      </c>
      <c r="Q13" s="21">
        <f t="shared" si="3"/>
        <v>82.072575399898824</v>
      </c>
    </row>
    <row r="14" spans="1:17" ht="23.1" customHeight="1" x14ac:dyDescent="0.3">
      <c r="A14" s="24" t="s">
        <v>32</v>
      </c>
      <c r="B14" s="25">
        <v>16148</v>
      </c>
      <c r="C14" s="25">
        <v>23558</v>
      </c>
      <c r="D14" s="24">
        <v>14385.58</v>
      </c>
      <c r="E14" s="26">
        <v>2080133</v>
      </c>
      <c r="F14" s="25">
        <v>2118378.2370000002</v>
      </c>
      <c r="G14" s="25">
        <v>2283171.1779999998</v>
      </c>
      <c r="H14" s="27">
        <f t="shared" si="0"/>
        <v>92.782278324643443</v>
      </c>
      <c r="I14" s="28">
        <v>10811.584129999996</v>
      </c>
      <c r="J14" s="29">
        <v>0</v>
      </c>
      <c r="K14" s="27">
        <f t="shared" si="1"/>
        <v>10811.584129999996</v>
      </c>
      <c r="L14" s="28">
        <v>158878.368235</v>
      </c>
      <c r="M14" s="29">
        <v>11247.79723</v>
      </c>
      <c r="N14" s="29">
        <v>0</v>
      </c>
      <c r="O14" s="27">
        <f t="shared" si="2"/>
        <v>170126.165465</v>
      </c>
      <c r="P14" s="29">
        <v>201302.16800000001</v>
      </c>
      <c r="Q14" s="27">
        <f t="shared" si="3"/>
        <v>84.512833197603712</v>
      </c>
    </row>
    <row r="15" spans="1:17" ht="23.1" customHeight="1" x14ac:dyDescent="0.3">
      <c r="A15" s="31" t="s">
        <v>33</v>
      </c>
      <c r="B15" s="32">
        <v>16639</v>
      </c>
      <c r="C15" s="32">
        <v>25364</v>
      </c>
      <c r="D15" s="33">
        <v>14944.214</v>
      </c>
      <c r="E15" s="34">
        <v>2144156</v>
      </c>
      <c r="F15" s="32">
        <v>2201985.855</v>
      </c>
      <c r="G15" s="32">
        <v>2374186.173</v>
      </c>
      <c r="H15" s="35">
        <f t="shared" si="0"/>
        <v>92.746974944159106</v>
      </c>
      <c r="I15" s="36">
        <v>13282.524510000008</v>
      </c>
      <c r="J15" s="37">
        <v>0</v>
      </c>
      <c r="K15" s="35">
        <f t="shared" si="1"/>
        <v>13282.524510000008</v>
      </c>
      <c r="L15" s="36">
        <v>165148.93953999999</v>
      </c>
      <c r="M15" s="37">
        <v>14002.06034</v>
      </c>
      <c r="N15" s="37">
        <v>0</v>
      </c>
      <c r="O15" s="35">
        <f t="shared" si="2"/>
        <v>179150.99987999999</v>
      </c>
      <c r="P15" s="23">
        <v>208638.769</v>
      </c>
      <c r="Q15" s="21">
        <f t="shared" si="3"/>
        <v>85.866591687952294</v>
      </c>
    </row>
    <row r="16" spans="1:17" ht="23.1" customHeight="1" x14ac:dyDescent="0.3">
      <c r="A16" s="38" t="s">
        <v>34</v>
      </c>
      <c r="B16" s="39">
        <f>SUM(B4:B15)</f>
        <v>172298</v>
      </c>
      <c r="C16" s="39">
        <f t="shared" ref="C16:G16" si="4">SUM(C4:C15)</f>
        <v>247158</v>
      </c>
      <c r="D16" s="39">
        <f t="shared" si="4"/>
        <v>145604.23699999999</v>
      </c>
      <c r="E16" s="39">
        <f t="shared" si="4"/>
        <v>21534405</v>
      </c>
      <c r="F16" s="39">
        <f t="shared" si="4"/>
        <v>20886714.612</v>
      </c>
      <c r="G16" s="39">
        <f t="shared" si="4"/>
        <v>22543616.927000001</v>
      </c>
      <c r="H16" s="40">
        <f t="shared" si="0"/>
        <v>92.650237446966358</v>
      </c>
      <c r="I16" s="40">
        <f t="shared" ref="I16:J16" si="5">SUM(I4:I15)</f>
        <v>119016.086116053</v>
      </c>
      <c r="J16" s="40">
        <f t="shared" si="5"/>
        <v>0</v>
      </c>
      <c r="K16" s="40">
        <f t="shared" si="1"/>
        <v>119016.086116053</v>
      </c>
      <c r="L16" s="40">
        <f t="shared" ref="L16:N16" si="6">SUM(L4:L15)</f>
        <v>1566503.4283349998</v>
      </c>
      <c r="M16" s="40">
        <f t="shared" si="6"/>
        <v>122368.34914999989</v>
      </c>
      <c r="N16" s="40">
        <f t="shared" si="6"/>
        <v>0</v>
      </c>
      <c r="O16" s="40">
        <f t="shared" si="2"/>
        <v>1688871.7774849997</v>
      </c>
      <c r="P16" s="41">
        <f>SUM(P4:P15)</f>
        <v>2011211.1205000002</v>
      </c>
      <c r="Q16" s="41">
        <f t="shared" si="3"/>
        <v>83.972873870403774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2019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1378</v>
      </c>
      <c r="C23" s="58">
        <v>3805</v>
      </c>
      <c r="D23" s="59">
        <v>2677.49</v>
      </c>
      <c r="E23" s="57">
        <v>212534</v>
      </c>
      <c r="F23" s="58">
        <v>436857.4</v>
      </c>
      <c r="G23" s="58">
        <v>499337.7</v>
      </c>
      <c r="H23" s="60">
        <f t="shared" ref="H23:H35" si="7">IFERROR(F23/G23*100," ")</f>
        <v>87.487365764691916</v>
      </c>
      <c r="I23" s="61">
        <v>1810.45</v>
      </c>
      <c r="J23" s="61">
        <v>0</v>
      </c>
      <c r="K23" s="61">
        <f>IF(AND(ISBLANK(I23),ISBLANK(J23))=TRUE,"",I23+J23)</f>
        <v>1810.45</v>
      </c>
      <c r="L23" s="62">
        <v>32764.31</v>
      </c>
      <c r="M23" s="61">
        <v>2068.69</v>
      </c>
      <c r="N23" s="61">
        <v>0</v>
      </c>
      <c r="O23" s="63">
        <f>IF(AND(ISBLANK(L23),ISBLANK(M23),ISBLANK(N23))=TRUE,"",L23+M23+N23)</f>
        <v>34833</v>
      </c>
      <c r="P23" s="62">
        <v>42378.23</v>
      </c>
      <c r="Q23" s="63">
        <f>IFERROR(O23/P23*100," ")</f>
        <v>82.195504625842091</v>
      </c>
    </row>
    <row r="24" spans="1:17" ht="23.1" customHeight="1" x14ac:dyDescent="0.3">
      <c r="A24" s="64" t="s">
        <v>23</v>
      </c>
      <c r="B24" s="65">
        <v>1195</v>
      </c>
      <c r="C24" s="64">
        <v>3254</v>
      </c>
      <c r="D24" s="66">
        <v>2283.462</v>
      </c>
      <c r="E24" s="65">
        <v>174191</v>
      </c>
      <c r="F24" s="64">
        <v>347324.51699999999</v>
      </c>
      <c r="G24" s="64">
        <v>424025.37199999997</v>
      </c>
      <c r="H24" s="67">
        <f t="shared" si="7"/>
        <v>81.911258131034671</v>
      </c>
      <c r="I24" s="68">
        <v>3667.306</v>
      </c>
      <c r="J24" s="68">
        <v>0</v>
      </c>
      <c r="K24" s="68">
        <f t="shared" ref="K24:K35" si="8">IF(AND(ISBLANK(I24),ISBLANK(J24))=TRUE,"",I24+J24)</f>
        <v>3667.306</v>
      </c>
      <c r="L24" s="69">
        <v>26049.339</v>
      </c>
      <c r="M24" s="68">
        <v>2065.21</v>
      </c>
      <c r="N24" s="68">
        <v>0</v>
      </c>
      <c r="O24" s="67">
        <f t="shared" ref="O24:O35" si="9">IF(AND(ISBLANK(L24),ISBLANK(M24),ISBLANK(N24))=TRUE,"",L24+M24+N24)</f>
        <v>28114.548999999999</v>
      </c>
      <c r="P24" s="69">
        <v>35927.809000000001</v>
      </c>
      <c r="Q24" s="67">
        <f t="shared" ref="Q24:Q35" si="10">IFERROR(O24/P24*100," ")</f>
        <v>78.252890400302448</v>
      </c>
    </row>
    <row r="25" spans="1:17" ht="23.1" customHeight="1" x14ac:dyDescent="0.3">
      <c r="A25" s="56" t="s">
        <v>24</v>
      </c>
      <c r="B25" s="70">
        <v>1246</v>
      </c>
      <c r="C25" s="56">
        <v>3639</v>
      </c>
      <c r="D25" s="71">
        <v>2445.66</v>
      </c>
      <c r="E25" s="70">
        <v>190800</v>
      </c>
      <c r="F25" s="56">
        <v>398719.51500000001</v>
      </c>
      <c r="G25" s="56">
        <v>455004.88</v>
      </c>
      <c r="H25" s="60">
        <f t="shared" si="7"/>
        <v>87.629722784511671</v>
      </c>
      <c r="I25" s="72">
        <v>2442.7829999999999</v>
      </c>
      <c r="J25" s="72">
        <v>0</v>
      </c>
      <c r="K25" s="72">
        <f t="shared" si="8"/>
        <v>2442.7829999999999</v>
      </c>
      <c r="L25" s="73">
        <v>29903.864000000001</v>
      </c>
      <c r="M25" s="72">
        <v>2136.9870000000001</v>
      </c>
      <c r="N25" s="72">
        <v>0</v>
      </c>
      <c r="O25" s="60">
        <f t="shared" si="9"/>
        <v>32040.851000000002</v>
      </c>
      <c r="P25" s="73">
        <v>38610.28</v>
      </c>
      <c r="Q25" s="60">
        <f t="shared" si="10"/>
        <v>82.985285265996524</v>
      </c>
    </row>
    <row r="26" spans="1:17" ht="23.1" customHeight="1" x14ac:dyDescent="0.3">
      <c r="A26" s="64" t="s">
        <v>25</v>
      </c>
      <c r="B26" s="65">
        <v>1245</v>
      </c>
      <c r="C26" s="64">
        <v>3695</v>
      </c>
      <c r="D26" s="66">
        <v>2558.3809999999999</v>
      </c>
      <c r="E26" s="65">
        <v>196256</v>
      </c>
      <c r="F26" s="64">
        <v>432566.489</v>
      </c>
      <c r="G26" s="64">
        <v>477904.62099999998</v>
      </c>
      <c r="H26" s="67">
        <f t="shared" si="7"/>
        <v>90.513142161058951</v>
      </c>
      <c r="I26" s="68">
        <v>2685.1669400000001</v>
      </c>
      <c r="J26" s="68">
        <v>0</v>
      </c>
      <c r="K26" s="68">
        <f t="shared" si="8"/>
        <v>2685.1669400000001</v>
      </c>
      <c r="L26" s="69">
        <v>32442.49</v>
      </c>
      <c r="M26" s="68">
        <v>1932.34</v>
      </c>
      <c r="N26" s="68">
        <v>0</v>
      </c>
      <c r="O26" s="67">
        <f t="shared" si="9"/>
        <v>34374.83</v>
      </c>
      <c r="P26" s="69">
        <v>40601.86</v>
      </c>
      <c r="Q26" s="67">
        <f t="shared" si="10"/>
        <v>84.663190307045056</v>
      </c>
    </row>
    <row r="27" spans="1:17" s="30" customFormat="1" ht="30" customHeight="1" x14ac:dyDescent="0.25">
      <c r="A27" s="56" t="s">
        <v>26</v>
      </c>
      <c r="B27" s="70">
        <v>1381</v>
      </c>
      <c r="C27" s="56">
        <v>4287</v>
      </c>
      <c r="D27" s="71">
        <v>2982.134</v>
      </c>
      <c r="E27" s="70">
        <v>213048</v>
      </c>
      <c r="F27" s="56">
        <v>499455.81</v>
      </c>
      <c r="G27" s="56">
        <v>558140.95200000005</v>
      </c>
      <c r="H27" s="60">
        <f t="shared" si="7"/>
        <v>89.485605421047836</v>
      </c>
      <c r="I27" s="72">
        <v>1454.768267555</v>
      </c>
      <c r="J27" s="72">
        <v>0</v>
      </c>
      <c r="K27" s="72">
        <f t="shared" si="8"/>
        <v>1454.768267555</v>
      </c>
      <c r="L27" s="73">
        <v>37459.185769999996</v>
      </c>
      <c r="M27" s="72">
        <v>1869.8196700000001</v>
      </c>
      <c r="N27" s="72">
        <v>0</v>
      </c>
      <c r="O27" s="60">
        <f t="shared" si="9"/>
        <v>39329.005439999994</v>
      </c>
      <c r="P27" s="73">
        <v>47417.178999999996</v>
      </c>
      <c r="Q27" s="60">
        <f t="shared" si="10"/>
        <v>82.942524775672538</v>
      </c>
    </row>
    <row r="28" spans="1:17" ht="23.1" customHeight="1" x14ac:dyDescent="0.3">
      <c r="A28" s="64" t="s">
        <v>27</v>
      </c>
      <c r="B28" s="65">
        <v>1403</v>
      </c>
      <c r="C28" s="64">
        <v>4300</v>
      </c>
      <c r="D28" s="66">
        <v>3068</v>
      </c>
      <c r="E28" s="65">
        <v>215338</v>
      </c>
      <c r="F28" s="64">
        <v>496018.72399999999</v>
      </c>
      <c r="G28" s="64">
        <v>573172.56299999997</v>
      </c>
      <c r="H28" s="67">
        <f t="shared" si="7"/>
        <v>86.539160458732567</v>
      </c>
      <c r="I28" s="68">
        <v>1422.3067199999998</v>
      </c>
      <c r="J28" s="68">
        <v>0</v>
      </c>
      <c r="K28" s="68">
        <f t="shared" si="8"/>
        <v>1422.3067199999998</v>
      </c>
      <c r="L28" s="69">
        <v>37201.404280000002</v>
      </c>
      <c r="M28" s="68">
        <v>2005.64689</v>
      </c>
      <c r="N28" s="68">
        <v>0</v>
      </c>
      <c r="O28" s="67">
        <f t="shared" si="9"/>
        <v>39207.051170000006</v>
      </c>
      <c r="P28" s="69">
        <v>48817.24</v>
      </c>
      <c r="Q28" s="67">
        <f t="shared" si="10"/>
        <v>80.313944766234229</v>
      </c>
    </row>
    <row r="29" spans="1:17" ht="23.1" customHeight="1" x14ac:dyDescent="0.3">
      <c r="A29" s="56" t="s">
        <v>28</v>
      </c>
      <c r="B29" s="70">
        <v>1579</v>
      </c>
      <c r="C29" s="56">
        <v>4758</v>
      </c>
      <c r="D29" s="71">
        <v>3418.64</v>
      </c>
      <c r="E29" s="70">
        <v>223510</v>
      </c>
      <c r="F29" s="56">
        <v>510375.39799999999</v>
      </c>
      <c r="G29" s="56">
        <v>623327.98499999999</v>
      </c>
      <c r="H29" s="60">
        <f t="shared" si="7"/>
        <v>81.879108636523029</v>
      </c>
      <c r="I29" s="72">
        <v>2117.6641599999998</v>
      </c>
      <c r="J29" s="72">
        <v>0</v>
      </c>
      <c r="K29" s="72">
        <f t="shared" si="8"/>
        <v>2117.6641599999998</v>
      </c>
      <c r="L29" s="73">
        <v>38278.154880000002</v>
      </c>
      <c r="M29" s="72">
        <v>2703.3084199999998</v>
      </c>
      <c r="N29" s="72">
        <v>0</v>
      </c>
      <c r="O29" s="60">
        <f t="shared" si="9"/>
        <v>40981.463300000003</v>
      </c>
      <c r="P29" s="73">
        <v>54258.76</v>
      </c>
      <c r="Q29" s="60">
        <f t="shared" si="10"/>
        <v>75.529671706467312</v>
      </c>
    </row>
    <row r="30" spans="1:17" ht="23.1" customHeight="1" x14ac:dyDescent="0.3">
      <c r="A30" s="64" t="s">
        <v>29</v>
      </c>
      <c r="B30" s="65">
        <v>1852</v>
      </c>
      <c r="C30" s="64">
        <v>5693</v>
      </c>
      <c r="D30" s="66">
        <v>4144.8450000000003</v>
      </c>
      <c r="E30" s="65">
        <v>250931</v>
      </c>
      <c r="F30" s="64">
        <v>582251.69099999999</v>
      </c>
      <c r="G30" s="64">
        <v>744841.02300000004</v>
      </c>
      <c r="H30" s="67">
        <f t="shared" si="7"/>
        <v>78.171270515533891</v>
      </c>
      <c r="I30" s="68">
        <v>2095.62653</v>
      </c>
      <c r="J30" s="68">
        <v>0</v>
      </c>
      <c r="K30" s="68">
        <f t="shared" si="8"/>
        <v>2095.62653</v>
      </c>
      <c r="L30" s="69">
        <v>43668.876819999998</v>
      </c>
      <c r="M30" s="68">
        <v>3614.9717700000001</v>
      </c>
      <c r="N30" s="68">
        <v>0</v>
      </c>
      <c r="O30" s="67">
        <f t="shared" si="9"/>
        <v>47283.848589999994</v>
      </c>
      <c r="P30" s="69">
        <v>65873.307000000001</v>
      </c>
      <c r="Q30" s="67">
        <f t="shared" si="10"/>
        <v>71.779983036224365</v>
      </c>
    </row>
    <row r="31" spans="1:17" ht="23.1" customHeight="1" x14ac:dyDescent="0.3">
      <c r="A31" s="56" t="s">
        <v>30</v>
      </c>
      <c r="B31" s="70">
        <v>1865</v>
      </c>
      <c r="C31" s="56">
        <v>5449</v>
      </c>
      <c r="D31" s="71">
        <v>4088.82</v>
      </c>
      <c r="E31" s="70">
        <v>250092</v>
      </c>
      <c r="F31" s="56">
        <v>562972.84600000002</v>
      </c>
      <c r="G31" s="56">
        <v>737257.64599999995</v>
      </c>
      <c r="H31" s="60">
        <f t="shared" si="7"/>
        <v>76.360394368836438</v>
      </c>
      <c r="I31" s="72">
        <v>2191.94</v>
      </c>
      <c r="J31" s="72">
        <v>0</v>
      </c>
      <c r="K31" s="72">
        <f t="shared" si="8"/>
        <v>2191.94</v>
      </c>
      <c r="L31" s="73">
        <v>42222.963470000002</v>
      </c>
      <c r="M31" s="72">
        <v>3971.9913499999998</v>
      </c>
      <c r="N31" s="72">
        <v>0</v>
      </c>
      <c r="O31" s="60">
        <f t="shared" si="9"/>
        <v>46194.954819999999</v>
      </c>
      <c r="P31" s="73">
        <v>65033.88</v>
      </c>
      <c r="Q31" s="60">
        <f t="shared" si="10"/>
        <v>71.032137126064143</v>
      </c>
    </row>
    <row r="32" spans="1:17" ht="23.1" customHeight="1" x14ac:dyDescent="0.3">
      <c r="A32" s="64" t="s">
        <v>31</v>
      </c>
      <c r="B32" s="65">
        <v>1928</v>
      </c>
      <c r="C32" s="64">
        <v>5891</v>
      </c>
      <c r="D32" s="66">
        <v>4259.72</v>
      </c>
      <c r="E32" s="65">
        <v>257488</v>
      </c>
      <c r="F32" s="64">
        <v>595589.92599999998</v>
      </c>
      <c r="G32" s="64">
        <v>771848.76500000001</v>
      </c>
      <c r="H32" s="67">
        <f t="shared" si="7"/>
        <v>77.164070606500218</v>
      </c>
      <c r="I32" s="68">
        <v>2890.95696</v>
      </c>
      <c r="J32" s="68">
        <v>0</v>
      </c>
      <c r="K32" s="68">
        <f t="shared" si="8"/>
        <v>2890.95696</v>
      </c>
      <c r="L32" s="69">
        <v>44669.244449999998</v>
      </c>
      <c r="M32" s="68">
        <v>4338.1508800000001</v>
      </c>
      <c r="N32" s="68">
        <v>0</v>
      </c>
      <c r="O32" s="67">
        <f t="shared" si="9"/>
        <v>49007.395329999999</v>
      </c>
      <c r="P32" s="69">
        <v>67769.796000000002</v>
      </c>
      <c r="Q32" s="67">
        <f t="shared" si="10"/>
        <v>72.314509150949775</v>
      </c>
    </row>
    <row r="33" spans="1:17" ht="23.1" customHeight="1" x14ac:dyDescent="0.3">
      <c r="A33" s="56" t="s">
        <v>32</v>
      </c>
      <c r="B33" s="70">
        <v>1850</v>
      </c>
      <c r="C33" s="56">
        <v>5518</v>
      </c>
      <c r="D33" s="71">
        <v>4091.5920000000001</v>
      </c>
      <c r="E33" s="70">
        <v>272472</v>
      </c>
      <c r="F33" s="56">
        <v>629191.35199999996</v>
      </c>
      <c r="G33" s="56">
        <v>741859.65500000003</v>
      </c>
      <c r="H33" s="60">
        <f t="shared" si="7"/>
        <v>84.812720001601917</v>
      </c>
      <c r="I33" s="72">
        <v>2340.9859699999997</v>
      </c>
      <c r="J33" s="72">
        <v>0</v>
      </c>
      <c r="K33" s="72">
        <f t="shared" si="8"/>
        <v>2340.9859699999997</v>
      </c>
      <c r="L33" s="73">
        <v>47189.351419999999</v>
      </c>
      <c r="M33" s="72">
        <v>3405.3454200000001</v>
      </c>
      <c r="N33" s="72">
        <v>0</v>
      </c>
      <c r="O33" s="60">
        <f t="shared" si="9"/>
        <v>50594.696839999997</v>
      </c>
      <c r="P33" s="73">
        <v>65098.457999999999</v>
      </c>
      <c r="Q33" s="60">
        <f t="shared" si="10"/>
        <v>77.720269257376259</v>
      </c>
    </row>
    <row r="34" spans="1:17" ht="23.1" customHeight="1" x14ac:dyDescent="0.3">
      <c r="A34" s="64" t="s">
        <v>33</v>
      </c>
      <c r="B34" s="74">
        <v>1879</v>
      </c>
      <c r="C34" s="75">
        <v>5849.5166666666664</v>
      </c>
      <c r="D34" s="76">
        <v>4166.8320000000003</v>
      </c>
      <c r="E34" s="74">
        <v>289242</v>
      </c>
      <c r="F34" s="75">
        <v>663466.15599999996</v>
      </c>
      <c r="G34" s="75">
        <v>756409.55200000003</v>
      </c>
      <c r="H34" s="67">
        <f t="shared" si="7"/>
        <v>87.712556543706881</v>
      </c>
      <c r="I34" s="77">
        <v>1993.2309800000003</v>
      </c>
      <c r="J34" s="77">
        <v>0</v>
      </c>
      <c r="K34" s="77">
        <f t="shared" si="8"/>
        <v>1993.2309800000003</v>
      </c>
      <c r="L34" s="78">
        <v>49759.961730000003</v>
      </c>
      <c r="M34" s="77">
        <v>3516.00657</v>
      </c>
      <c r="N34" s="77">
        <v>0</v>
      </c>
      <c r="O34" s="79">
        <f t="shared" si="9"/>
        <v>53275.9683</v>
      </c>
      <c r="P34" s="78">
        <v>66342.262000000002</v>
      </c>
      <c r="Q34" s="79">
        <f t="shared" si="10"/>
        <v>80.304720842952264</v>
      </c>
    </row>
    <row r="35" spans="1:17" ht="23.1" customHeight="1" x14ac:dyDescent="0.3">
      <c r="A35" s="80" t="s">
        <v>34</v>
      </c>
      <c r="B35" s="81">
        <f>SUM(B23:B34)</f>
        <v>18801</v>
      </c>
      <c r="C35" s="81">
        <f t="shared" ref="C35:G35" si="11">SUM(C23:C34)</f>
        <v>56138.516666666663</v>
      </c>
      <c r="D35" s="81">
        <f t="shared" si="11"/>
        <v>40185.576000000001</v>
      </c>
      <c r="E35" s="81">
        <f t="shared" si="11"/>
        <v>2745902</v>
      </c>
      <c r="F35" s="81">
        <f t="shared" si="11"/>
        <v>6154789.824000001</v>
      </c>
      <c r="G35" s="81">
        <f t="shared" si="11"/>
        <v>7363130.7140000006</v>
      </c>
      <c r="H35" s="82">
        <f t="shared" si="7"/>
        <v>83.589305460753224</v>
      </c>
      <c r="I35" s="83">
        <f t="shared" ref="I35:J35" si="12">SUM(I23:I34)</f>
        <v>27113.185527554997</v>
      </c>
      <c r="J35" s="83">
        <f t="shared" si="12"/>
        <v>0</v>
      </c>
      <c r="K35" s="83">
        <f t="shared" si="8"/>
        <v>27113.185527554997</v>
      </c>
      <c r="L35" s="83">
        <f t="shared" ref="L35:N35" si="13">SUM(L23:L34)</f>
        <v>461609.14582000003</v>
      </c>
      <c r="M35" s="83">
        <f t="shared" si="13"/>
        <v>33628.467969999998</v>
      </c>
      <c r="N35" s="83">
        <f t="shared" si="13"/>
        <v>0</v>
      </c>
      <c r="O35" s="83">
        <f t="shared" si="9"/>
        <v>495237.61379000003</v>
      </c>
      <c r="P35" s="83">
        <f>SUM(P23:P34)</f>
        <v>638129.06099999999</v>
      </c>
      <c r="Q35" s="83">
        <f t="shared" si="10"/>
        <v>77.607751167753207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2019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>
        <v>1</v>
      </c>
      <c r="C42" s="94">
        <v>1</v>
      </c>
      <c r="D42" s="95">
        <v>0.79</v>
      </c>
      <c r="E42" s="93">
        <v>37</v>
      </c>
      <c r="F42" s="94">
        <v>29.34</v>
      </c>
      <c r="G42" s="94">
        <v>149.88</v>
      </c>
      <c r="H42" s="96">
        <f t="shared" ref="H42:H54" si="14">IFERROR(F42/G42*100," ")</f>
        <v>19.575660528422738</v>
      </c>
      <c r="I42" s="97">
        <v>0</v>
      </c>
      <c r="J42" s="98">
        <v>0</v>
      </c>
      <c r="K42" s="96">
        <f>IF(AND(ISBLANK(I42),ISBLANK(J42))=TRUE,"",I42+J42)</f>
        <v>0</v>
      </c>
      <c r="L42" s="97">
        <v>2.2000000000000002</v>
      </c>
      <c r="M42" s="98">
        <v>0</v>
      </c>
      <c r="N42" s="98">
        <v>0</v>
      </c>
      <c r="O42" s="96">
        <f>IF(AND(ISBLANK(L42),ISBLANK(M42),ISBLANK(N42))=TRUE,"",L42+M42+N42)</f>
        <v>2.2000000000000002</v>
      </c>
      <c r="P42" s="97">
        <v>12.69</v>
      </c>
      <c r="Q42" s="96">
        <f>IFERROR(O42/P42*100," ")</f>
        <v>17.336485421591806</v>
      </c>
    </row>
    <row r="43" spans="1:17" ht="25.5" customHeight="1" x14ac:dyDescent="0.3">
      <c r="A43" s="99" t="s">
        <v>23</v>
      </c>
      <c r="B43" s="100">
        <v>6</v>
      </c>
      <c r="C43" s="101">
        <v>6</v>
      </c>
      <c r="D43" s="102">
        <v>3.246</v>
      </c>
      <c r="E43" s="100">
        <v>618</v>
      </c>
      <c r="F43" s="101">
        <v>353.529</v>
      </c>
      <c r="G43" s="101">
        <v>581.85900000000004</v>
      </c>
      <c r="H43" s="103">
        <f t="shared" si="14"/>
        <v>60.758534284079126</v>
      </c>
      <c r="I43" s="104">
        <v>0</v>
      </c>
      <c r="J43" s="105">
        <v>0</v>
      </c>
      <c r="K43" s="103">
        <f t="shared" ref="K43:K54" si="15">IF(AND(ISBLANK(I43),ISBLANK(J43))=TRUE,"",I43+J43)</f>
        <v>0</v>
      </c>
      <c r="L43" s="104">
        <v>26.515000000000001</v>
      </c>
      <c r="M43" s="105">
        <v>0</v>
      </c>
      <c r="N43" s="105">
        <v>0</v>
      </c>
      <c r="O43" s="103">
        <f t="shared" ref="O43:O54" si="16">IF(AND(ISBLANK(L43),ISBLANK(M43),ISBLANK(N43))=TRUE,"",L43+M43+N43)</f>
        <v>26.515000000000001</v>
      </c>
      <c r="P43" s="104">
        <v>49.514000000000003</v>
      </c>
      <c r="Q43" s="103">
        <f t="shared" ref="Q43:Q54" si="17">IFERROR(O43/P43*100," ")</f>
        <v>53.550510966595297</v>
      </c>
    </row>
    <row r="44" spans="1:17" ht="25.5" customHeight="1" x14ac:dyDescent="0.3">
      <c r="A44" s="92" t="s">
        <v>24</v>
      </c>
      <c r="B44" s="106">
        <v>2</v>
      </c>
      <c r="C44" s="107">
        <v>1</v>
      </c>
      <c r="D44" s="108">
        <v>0.85</v>
      </c>
      <c r="E44" s="106">
        <v>318</v>
      </c>
      <c r="F44" s="107">
        <v>136.55099999999999</v>
      </c>
      <c r="G44" s="107">
        <v>161.21700000000001</v>
      </c>
      <c r="H44" s="109">
        <f t="shared" si="14"/>
        <v>84.700124676678001</v>
      </c>
      <c r="I44" s="110">
        <v>0</v>
      </c>
      <c r="J44" s="111">
        <v>0</v>
      </c>
      <c r="K44" s="109">
        <f t="shared" si="15"/>
        <v>0</v>
      </c>
      <c r="L44" s="110">
        <v>10.241</v>
      </c>
      <c r="M44" s="111">
        <v>0</v>
      </c>
      <c r="N44" s="111">
        <v>0</v>
      </c>
      <c r="O44" s="109">
        <f t="shared" si="16"/>
        <v>10.241</v>
      </c>
      <c r="P44" s="110">
        <v>13.648</v>
      </c>
      <c r="Q44" s="109">
        <f t="shared" si="17"/>
        <v>75.03663540445487</v>
      </c>
    </row>
    <row r="45" spans="1:17" ht="25.5" customHeight="1" x14ac:dyDescent="0.3">
      <c r="A45" s="99" t="s">
        <v>25</v>
      </c>
      <c r="B45" s="100">
        <v>1</v>
      </c>
      <c r="C45" s="112">
        <v>0.04</v>
      </c>
      <c r="D45" s="102">
        <v>0.52</v>
      </c>
      <c r="E45" s="100">
        <v>132</v>
      </c>
      <c r="F45" s="101">
        <v>68.38</v>
      </c>
      <c r="G45" s="101">
        <v>97.9</v>
      </c>
      <c r="H45" s="103">
        <f t="shared" si="14"/>
        <v>69.846782431052091</v>
      </c>
      <c r="I45" s="104">
        <v>0</v>
      </c>
      <c r="J45" s="105">
        <v>0</v>
      </c>
      <c r="K45" s="103">
        <f t="shared" si="15"/>
        <v>0</v>
      </c>
      <c r="L45" s="104">
        <v>5.13</v>
      </c>
      <c r="M45" s="105">
        <v>0</v>
      </c>
      <c r="N45" s="105">
        <v>0</v>
      </c>
      <c r="O45" s="103">
        <f t="shared" si="16"/>
        <v>5.13</v>
      </c>
      <c r="P45" s="104">
        <v>8.2899999999999991</v>
      </c>
      <c r="Q45" s="103">
        <f t="shared" si="17"/>
        <v>61.881785283474066</v>
      </c>
    </row>
    <row r="46" spans="1:17" ht="25.5" customHeight="1" x14ac:dyDescent="0.3">
      <c r="A46" s="92" t="s">
        <v>26</v>
      </c>
      <c r="B46" s="106">
        <v>1</v>
      </c>
      <c r="C46" s="113">
        <v>1.45</v>
      </c>
      <c r="D46" s="108">
        <v>0.51800000000000002</v>
      </c>
      <c r="E46" s="106">
        <v>133</v>
      </c>
      <c r="F46" s="107">
        <v>68.894000000000005</v>
      </c>
      <c r="G46" s="107">
        <v>97.902000000000001</v>
      </c>
      <c r="H46" s="109">
        <f t="shared" si="14"/>
        <v>70.370370370370367</v>
      </c>
      <c r="I46" s="110">
        <v>0</v>
      </c>
      <c r="J46" s="111">
        <v>0</v>
      </c>
      <c r="K46" s="109">
        <f t="shared" si="15"/>
        <v>0</v>
      </c>
      <c r="L46" s="110">
        <v>5.1670499999999997</v>
      </c>
      <c r="M46" s="111">
        <v>0</v>
      </c>
      <c r="N46" s="111">
        <v>0</v>
      </c>
      <c r="O46" s="109">
        <f t="shared" si="16"/>
        <v>5.1670499999999997</v>
      </c>
      <c r="P46" s="110">
        <v>8.2880000000000003</v>
      </c>
      <c r="Q46" s="109">
        <f t="shared" si="17"/>
        <v>62.34375</v>
      </c>
    </row>
    <row r="47" spans="1:17" ht="25.5" customHeight="1" x14ac:dyDescent="0.3">
      <c r="A47" s="99" t="s">
        <v>27</v>
      </c>
      <c r="B47" s="114">
        <v>1</v>
      </c>
      <c r="C47" s="115">
        <v>2</v>
      </c>
      <c r="D47" s="102">
        <v>1.4570000000000001</v>
      </c>
      <c r="E47" s="114">
        <v>145</v>
      </c>
      <c r="F47" s="115">
        <v>211</v>
      </c>
      <c r="G47" s="115">
        <v>245</v>
      </c>
      <c r="H47" s="103">
        <f t="shared" si="14"/>
        <v>86.122448979591837</v>
      </c>
      <c r="I47" s="116">
        <v>0</v>
      </c>
      <c r="J47" s="117">
        <v>0</v>
      </c>
      <c r="K47" s="103">
        <f t="shared" si="15"/>
        <v>0</v>
      </c>
      <c r="L47" s="116">
        <v>16</v>
      </c>
      <c r="M47" s="117">
        <v>0</v>
      </c>
      <c r="N47" s="117">
        <v>0</v>
      </c>
      <c r="O47" s="103">
        <f t="shared" si="16"/>
        <v>16</v>
      </c>
      <c r="P47" s="116">
        <v>23</v>
      </c>
      <c r="Q47" s="103">
        <f t="shared" si="17"/>
        <v>69.565217391304344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4"/>
        <v xml:space="preserve"> </v>
      </c>
      <c r="I48" s="123"/>
      <c r="J48" s="124"/>
      <c r="K48" s="122" t="str">
        <f t="shared" si="15"/>
        <v/>
      </c>
      <c r="L48" s="123"/>
      <c r="M48" s="124"/>
      <c r="N48" s="124"/>
      <c r="O48" s="122" t="str">
        <f t="shared" si="16"/>
        <v/>
      </c>
      <c r="P48" s="123"/>
      <c r="Q48" s="122" t="str">
        <f t="shared" si="17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4"/>
        <v xml:space="preserve"> </v>
      </c>
      <c r="I49" s="116"/>
      <c r="J49" s="117"/>
      <c r="K49" s="103" t="str">
        <f t="shared" si="15"/>
        <v/>
      </c>
      <c r="L49" s="116"/>
      <c r="M49" s="117"/>
      <c r="N49" s="117"/>
      <c r="O49" s="103" t="str">
        <f t="shared" si="16"/>
        <v/>
      </c>
      <c r="P49" s="116"/>
      <c r="Q49" s="103" t="str">
        <f t="shared" si="17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4"/>
        <v xml:space="preserve"> </v>
      </c>
      <c r="I50" s="130"/>
      <c r="J50" s="131"/>
      <c r="K50" s="109" t="str">
        <f t="shared" si="15"/>
        <v/>
      </c>
      <c r="L50" s="130"/>
      <c r="M50" s="131"/>
      <c r="N50" s="131"/>
      <c r="O50" s="109" t="str">
        <f t="shared" si="16"/>
        <v/>
      </c>
      <c r="P50" s="130"/>
      <c r="Q50" s="109" t="str">
        <f t="shared" si="17"/>
        <v xml:space="preserve"> </v>
      </c>
    </row>
    <row r="51" spans="1:17" ht="25.5" customHeight="1" x14ac:dyDescent="0.3">
      <c r="A51" s="99" t="s">
        <v>31</v>
      </c>
      <c r="B51" s="114">
        <v>2</v>
      </c>
      <c r="C51" s="115">
        <v>2.35</v>
      </c>
      <c r="D51" s="126">
        <v>0.95599999999999996</v>
      </c>
      <c r="E51" s="114">
        <v>153</v>
      </c>
      <c r="F51" s="115">
        <v>73.134</v>
      </c>
      <c r="G51" s="115">
        <v>160.608</v>
      </c>
      <c r="H51" s="103">
        <f t="shared" si="14"/>
        <v>45.535714285714285</v>
      </c>
      <c r="I51" s="116">
        <v>0</v>
      </c>
      <c r="J51" s="117">
        <v>0</v>
      </c>
      <c r="K51" s="103">
        <f t="shared" si="15"/>
        <v>0</v>
      </c>
      <c r="L51" s="116">
        <v>5.4850500000000002</v>
      </c>
      <c r="M51" s="117">
        <v>0</v>
      </c>
      <c r="N51" s="117">
        <v>0</v>
      </c>
      <c r="O51" s="103">
        <f t="shared" si="16"/>
        <v>5.4850500000000002</v>
      </c>
      <c r="P51" s="116">
        <v>15.295999999999999</v>
      </c>
      <c r="Q51" s="103">
        <f t="shared" si="17"/>
        <v>35.859375000000007</v>
      </c>
    </row>
    <row r="52" spans="1:17" ht="25.5" customHeight="1" x14ac:dyDescent="0.3">
      <c r="A52" s="92" t="s">
        <v>32</v>
      </c>
      <c r="B52" s="127">
        <v>6</v>
      </c>
      <c r="C52" s="128">
        <v>5.083333333333333</v>
      </c>
      <c r="D52" s="129">
        <v>2.706</v>
      </c>
      <c r="E52" s="127">
        <v>916</v>
      </c>
      <c r="F52" s="128">
        <v>430.428</v>
      </c>
      <c r="G52" s="128">
        <v>502.74</v>
      </c>
      <c r="H52" s="109">
        <f t="shared" si="14"/>
        <v>85.61642200739945</v>
      </c>
      <c r="I52" s="130">
        <v>0</v>
      </c>
      <c r="J52" s="131">
        <v>0</v>
      </c>
      <c r="K52" s="109">
        <f t="shared" si="15"/>
        <v>0</v>
      </c>
      <c r="L52" s="130">
        <v>32.282114999999997</v>
      </c>
      <c r="M52" s="131">
        <v>0</v>
      </c>
      <c r="N52" s="131">
        <v>0</v>
      </c>
      <c r="O52" s="109">
        <f t="shared" si="16"/>
        <v>32.282114999999997</v>
      </c>
      <c r="P52" s="130">
        <v>43.295999999999999</v>
      </c>
      <c r="Q52" s="109">
        <f t="shared" si="17"/>
        <v>74.561425997782706</v>
      </c>
    </row>
    <row r="53" spans="1:17" ht="25.5" customHeight="1" x14ac:dyDescent="0.3">
      <c r="A53" s="99" t="s">
        <v>33</v>
      </c>
      <c r="B53" s="132">
        <v>8</v>
      </c>
      <c r="C53" s="133">
        <v>9.7666666666666675</v>
      </c>
      <c r="D53" s="134">
        <v>6.29</v>
      </c>
      <c r="E53" s="132">
        <v>1127</v>
      </c>
      <c r="F53" s="133">
        <v>947.74699999999996</v>
      </c>
      <c r="G53" s="133">
        <v>1168.146</v>
      </c>
      <c r="H53" s="135">
        <f t="shared" si="14"/>
        <v>81.132581030110956</v>
      </c>
      <c r="I53" s="136">
        <v>0</v>
      </c>
      <c r="J53" s="137">
        <v>0</v>
      </c>
      <c r="K53" s="135">
        <f t="shared" si="15"/>
        <v>0</v>
      </c>
      <c r="L53" s="136">
        <v>71.081024999999997</v>
      </c>
      <c r="M53" s="137">
        <v>0</v>
      </c>
      <c r="N53" s="137">
        <v>0</v>
      </c>
      <c r="O53" s="135">
        <f t="shared" si="16"/>
        <v>71.081024999999997</v>
      </c>
      <c r="P53" s="136">
        <v>100.64</v>
      </c>
      <c r="Q53" s="135">
        <f t="shared" si="17"/>
        <v>70.62899940381557</v>
      </c>
    </row>
    <row r="54" spans="1:17" ht="25.5" customHeight="1" x14ac:dyDescent="0.3">
      <c r="A54" s="138" t="s">
        <v>34</v>
      </c>
      <c r="B54" s="139">
        <f>SUM(B42:B53)</f>
        <v>28</v>
      </c>
      <c r="C54" s="139">
        <f t="shared" ref="C54:G54" si="18">SUM(C42:C53)</f>
        <v>28.689999999999998</v>
      </c>
      <c r="D54" s="139">
        <f t="shared" si="18"/>
        <v>17.332999999999998</v>
      </c>
      <c r="E54" s="139">
        <f t="shared" si="18"/>
        <v>3579</v>
      </c>
      <c r="F54" s="139">
        <f t="shared" si="18"/>
        <v>2319.0029999999997</v>
      </c>
      <c r="G54" s="139">
        <f t="shared" si="18"/>
        <v>3165.252</v>
      </c>
      <c r="H54" s="140">
        <f t="shared" si="14"/>
        <v>73.264403592510163</v>
      </c>
      <c r="I54" s="140">
        <f t="shared" ref="I54:J54" si="19">SUM(I42:I53)</f>
        <v>0</v>
      </c>
      <c r="J54" s="140">
        <f t="shared" si="19"/>
        <v>0</v>
      </c>
      <c r="K54" s="140">
        <f t="shared" si="15"/>
        <v>0</v>
      </c>
      <c r="L54" s="140">
        <f t="shared" ref="L54:N54" si="20">SUM(L42:L53)</f>
        <v>174.10124000000002</v>
      </c>
      <c r="M54" s="140">
        <f t="shared" si="20"/>
        <v>0</v>
      </c>
      <c r="N54" s="140">
        <f t="shared" si="20"/>
        <v>0</v>
      </c>
      <c r="O54" s="140">
        <f t="shared" si="16"/>
        <v>174.10124000000002</v>
      </c>
      <c r="P54" s="141">
        <f>SUM(P42:P53)</f>
        <v>274.66199999999998</v>
      </c>
      <c r="Q54" s="140">
        <f t="shared" si="17"/>
        <v>63.387450757658513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2019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>
        <v>0</v>
      </c>
      <c r="C61" s="152">
        <v>0</v>
      </c>
      <c r="D61" s="153">
        <v>0</v>
      </c>
      <c r="E61" s="151">
        <v>0</v>
      </c>
      <c r="F61" s="152">
        <v>0</v>
      </c>
      <c r="G61" s="152">
        <v>0</v>
      </c>
      <c r="H61" s="154" t="str">
        <f t="shared" ref="H61:H73" si="21">IFERROR(F61/G61*100," ")</f>
        <v xml:space="preserve"> </v>
      </c>
      <c r="I61" s="155">
        <v>0</v>
      </c>
      <c r="J61" s="156">
        <v>0</v>
      </c>
      <c r="K61" s="156">
        <f>IF(AND(ISBLANK(I61),ISBLANK(J61))=TRUE,"",I61+J61)</f>
        <v>0</v>
      </c>
      <c r="L61" s="155">
        <v>0</v>
      </c>
      <c r="M61" s="156">
        <v>0</v>
      </c>
      <c r="N61" s="156">
        <v>0</v>
      </c>
      <c r="O61" s="157">
        <f>IF(AND(ISBLANK(L61),ISBLANK(M61),ISBLANK(N61))=TRUE,"",L61+M61+N61)</f>
        <v>0</v>
      </c>
      <c r="P61" s="156">
        <v>0</v>
      </c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>
        <v>0</v>
      </c>
      <c r="C62" s="115">
        <v>0</v>
      </c>
      <c r="D62" s="126">
        <v>0</v>
      </c>
      <c r="E62" s="114">
        <v>0</v>
      </c>
      <c r="F62" s="115">
        <v>0</v>
      </c>
      <c r="G62" s="115">
        <v>0</v>
      </c>
      <c r="H62" s="158" t="str">
        <f t="shared" si="21"/>
        <v xml:space="preserve"> </v>
      </c>
      <c r="I62" s="116">
        <v>0</v>
      </c>
      <c r="J62" s="117">
        <v>0</v>
      </c>
      <c r="K62" s="117">
        <f t="shared" ref="K62:K73" si="22">IF(AND(ISBLANK(I62),ISBLANK(J62))=TRUE,"",I62+J62)</f>
        <v>0</v>
      </c>
      <c r="L62" s="116">
        <v>0</v>
      </c>
      <c r="M62" s="117">
        <v>0</v>
      </c>
      <c r="N62" s="117">
        <v>0</v>
      </c>
      <c r="O62" s="103">
        <f t="shared" ref="O62:O73" si="23">IF(AND(ISBLANK(L62),ISBLANK(M62),ISBLANK(N62))=TRUE,"",L62+M62+N62)</f>
        <v>0</v>
      </c>
      <c r="P62" s="117">
        <v>0</v>
      </c>
      <c r="Q62" s="158" t="str">
        <f t="shared" ref="Q62:Q73" si="24">IFERROR(O62/P62*100," ")</f>
        <v xml:space="preserve"> </v>
      </c>
    </row>
    <row r="63" spans="1:17" ht="24.75" customHeight="1" x14ac:dyDescent="0.3">
      <c r="A63" s="150" t="s">
        <v>24</v>
      </c>
      <c r="B63" s="159">
        <v>0</v>
      </c>
      <c r="C63" s="160">
        <v>0</v>
      </c>
      <c r="D63" s="161">
        <v>0</v>
      </c>
      <c r="E63" s="159">
        <v>0</v>
      </c>
      <c r="F63" s="160">
        <v>0</v>
      </c>
      <c r="G63" s="160">
        <v>0</v>
      </c>
      <c r="H63" s="162" t="str">
        <f t="shared" si="21"/>
        <v xml:space="preserve"> </v>
      </c>
      <c r="I63" s="163">
        <v>0</v>
      </c>
      <c r="J63" s="164">
        <v>0</v>
      </c>
      <c r="K63" s="164">
        <f t="shared" si="22"/>
        <v>0</v>
      </c>
      <c r="L63" s="163">
        <v>0</v>
      </c>
      <c r="M63" s="164">
        <v>0</v>
      </c>
      <c r="N63" s="164">
        <v>0</v>
      </c>
      <c r="O63" s="165">
        <f t="shared" si="23"/>
        <v>0</v>
      </c>
      <c r="P63" s="164">
        <v>0</v>
      </c>
      <c r="Q63" s="162" t="str">
        <f t="shared" si="24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21"/>
        <v xml:space="preserve"> </v>
      </c>
      <c r="I64" s="116"/>
      <c r="J64" s="117"/>
      <c r="K64" s="117" t="str">
        <f t="shared" si="22"/>
        <v/>
      </c>
      <c r="L64" s="116"/>
      <c r="M64" s="117"/>
      <c r="N64" s="117"/>
      <c r="O64" s="103" t="str">
        <f t="shared" si="23"/>
        <v/>
      </c>
      <c r="P64" s="117"/>
      <c r="Q64" s="158" t="str">
        <f t="shared" si="24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21"/>
        <v xml:space="preserve"> </v>
      </c>
      <c r="I65" s="163"/>
      <c r="J65" s="164"/>
      <c r="K65" s="164" t="str">
        <f t="shared" si="22"/>
        <v/>
      </c>
      <c r="L65" s="163"/>
      <c r="M65" s="164"/>
      <c r="N65" s="164"/>
      <c r="O65" s="165" t="str">
        <f t="shared" si="23"/>
        <v/>
      </c>
      <c r="P65" s="164"/>
      <c r="Q65" s="162" t="str">
        <f t="shared" si="24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21"/>
        <v xml:space="preserve"> </v>
      </c>
      <c r="I66" s="116"/>
      <c r="J66" s="117"/>
      <c r="K66" s="117" t="str">
        <f t="shared" si="22"/>
        <v/>
      </c>
      <c r="L66" s="116"/>
      <c r="M66" s="117"/>
      <c r="N66" s="117"/>
      <c r="O66" s="103" t="str">
        <f t="shared" si="23"/>
        <v/>
      </c>
      <c r="P66" s="117"/>
      <c r="Q66" s="158" t="str">
        <f t="shared" si="24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21"/>
        <v xml:space="preserve"> </v>
      </c>
      <c r="I67" s="163"/>
      <c r="J67" s="164"/>
      <c r="K67" s="164" t="str">
        <f t="shared" si="22"/>
        <v/>
      </c>
      <c r="L67" s="163"/>
      <c r="M67" s="164"/>
      <c r="N67" s="164"/>
      <c r="O67" s="165" t="str">
        <f t="shared" si="23"/>
        <v/>
      </c>
      <c r="P67" s="164"/>
      <c r="Q67" s="162" t="str">
        <f t="shared" si="24"/>
        <v xml:space="preserve"> </v>
      </c>
    </row>
    <row r="68" spans="1:17" ht="24.75" customHeight="1" x14ac:dyDescent="0.3">
      <c r="A68" s="99" t="s">
        <v>29</v>
      </c>
      <c r="B68" s="114">
        <v>7</v>
      </c>
      <c r="C68" s="115">
        <v>13</v>
      </c>
      <c r="D68" s="126">
        <v>9.77</v>
      </c>
      <c r="E68" s="114">
        <v>1133</v>
      </c>
      <c r="F68" s="115">
        <v>1577.711</v>
      </c>
      <c r="G68" s="115">
        <v>1641.36</v>
      </c>
      <c r="H68" s="158">
        <f t="shared" si="21"/>
        <v>96.122179168494426</v>
      </c>
      <c r="I68" s="116">
        <v>0</v>
      </c>
      <c r="J68" s="117">
        <v>0</v>
      </c>
      <c r="K68" s="117">
        <f t="shared" si="22"/>
        <v>0</v>
      </c>
      <c r="L68" s="116">
        <v>118.32832000000001</v>
      </c>
      <c r="M68" s="117">
        <v>0</v>
      </c>
      <c r="N68" s="117">
        <v>0</v>
      </c>
      <c r="O68" s="103">
        <f t="shared" si="23"/>
        <v>118.32832000000001</v>
      </c>
      <c r="P68" s="117">
        <v>156.32</v>
      </c>
      <c r="Q68" s="158">
        <f t="shared" si="24"/>
        <v>75.696212896622313</v>
      </c>
    </row>
    <row r="69" spans="1:17" ht="24.75" customHeight="1" x14ac:dyDescent="0.3">
      <c r="A69" s="150" t="s">
        <v>30</v>
      </c>
      <c r="B69" s="159">
        <v>9</v>
      </c>
      <c r="C69" s="160">
        <v>19</v>
      </c>
      <c r="D69" s="161">
        <v>12.811999999999999</v>
      </c>
      <c r="E69" s="159">
        <v>1458</v>
      </c>
      <c r="F69" s="160">
        <v>2072.0360000000001</v>
      </c>
      <c r="G69" s="160">
        <v>2152.4160000000002</v>
      </c>
      <c r="H69" s="162">
        <f t="shared" si="21"/>
        <v>96.265591781514345</v>
      </c>
      <c r="I69" s="163">
        <v>0</v>
      </c>
      <c r="J69" s="164">
        <v>0</v>
      </c>
      <c r="K69" s="164">
        <f t="shared" si="22"/>
        <v>0</v>
      </c>
      <c r="L69" s="163">
        <v>155.40271000000001</v>
      </c>
      <c r="M69" s="164">
        <v>0</v>
      </c>
      <c r="N69" s="164">
        <v>0</v>
      </c>
      <c r="O69" s="165">
        <f t="shared" si="23"/>
        <v>155.40271000000001</v>
      </c>
      <c r="P69" s="164">
        <v>204.99199999999999</v>
      </c>
      <c r="Q69" s="162">
        <f t="shared" si="24"/>
        <v>75.809158406181709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21"/>
        <v xml:space="preserve"> </v>
      </c>
      <c r="I70" s="116"/>
      <c r="J70" s="117"/>
      <c r="K70" s="117" t="str">
        <f t="shared" si="22"/>
        <v/>
      </c>
      <c r="L70" s="116"/>
      <c r="M70" s="117"/>
      <c r="N70" s="117"/>
      <c r="O70" s="103" t="str">
        <f t="shared" si="23"/>
        <v/>
      </c>
      <c r="P70" s="117"/>
      <c r="Q70" s="158" t="str">
        <f t="shared" si="24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21"/>
        <v xml:space="preserve"> </v>
      </c>
      <c r="I71" s="163"/>
      <c r="J71" s="164"/>
      <c r="K71" s="164" t="str">
        <f t="shared" si="22"/>
        <v/>
      </c>
      <c r="L71" s="163"/>
      <c r="M71" s="164"/>
      <c r="N71" s="164"/>
      <c r="O71" s="165" t="str">
        <f t="shared" si="23"/>
        <v/>
      </c>
      <c r="P71" s="164"/>
      <c r="Q71" s="162" t="str">
        <f t="shared" si="24"/>
        <v xml:space="preserve"> </v>
      </c>
    </row>
    <row r="72" spans="1:17" ht="24.75" customHeight="1" x14ac:dyDescent="0.3">
      <c r="A72" s="99" t="s">
        <v>33</v>
      </c>
      <c r="B72" s="132">
        <v>1</v>
      </c>
      <c r="C72" s="133">
        <v>2.15</v>
      </c>
      <c r="D72" s="134">
        <v>1.77</v>
      </c>
      <c r="E72" s="132">
        <v>171</v>
      </c>
      <c r="F72" s="133">
        <v>302.67</v>
      </c>
      <c r="G72" s="133">
        <v>334.53</v>
      </c>
      <c r="H72" s="135">
        <f t="shared" si="21"/>
        <v>90.476190476190482</v>
      </c>
      <c r="I72" s="136">
        <v>0</v>
      </c>
      <c r="J72" s="137">
        <v>0</v>
      </c>
      <c r="K72" s="137">
        <f t="shared" si="22"/>
        <v>0</v>
      </c>
      <c r="L72" s="136">
        <v>22.70025</v>
      </c>
      <c r="M72" s="137">
        <v>0</v>
      </c>
      <c r="N72" s="137">
        <v>0</v>
      </c>
      <c r="O72" s="135">
        <f t="shared" si="23"/>
        <v>22.70025</v>
      </c>
      <c r="P72" s="137">
        <v>28.32</v>
      </c>
      <c r="Q72" s="135">
        <f t="shared" si="24"/>
        <v>80.15625</v>
      </c>
    </row>
    <row r="73" spans="1:17" ht="24.75" customHeight="1" x14ac:dyDescent="0.3">
      <c r="A73" s="166" t="s">
        <v>34</v>
      </c>
      <c r="B73" s="167">
        <f>SUM(B61:B72)</f>
        <v>17</v>
      </c>
      <c r="C73" s="167">
        <f t="shared" ref="C73:G73" si="25">SUM(C61:C72)</f>
        <v>34.15</v>
      </c>
      <c r="D73" s="167">
        <f t="shared" si="25"/>
        <v>24.352</v>
      </c>
      <c r="E73" s="167">
        <f t="shared" si="25"/>
        <v>2762</v>
      </c>
      <c r="F73" s="167">
        <f t="shared" si="25"/>
        <v>3952.4170000000004</v>
      </c>
      <c r="G73" s="167">
        <f t="shared" si="25"/>
        <v>4128.3059999999996</v>
      </c>
      <c r="H73" s="168">
        <f t="shared" si="21"/>
        <v>95.739438888493268</v>
      </c>
      <c r="I73" s="169">
        <f t="shared" ref="I73:J73" si="26">SUM(I61:I72)</f>
        <v>0</v>
      </c>
      <c r="J73" s="169">
        <f t="shared" si="26"/>
        <v>0</v>
      </c>
      <c r="K73" s="169">
        <f t="shared" si="22"/>
        <v>0</v>
      </c>
      <c r="L73" s="169">
        <f t="shared" ref="L73:N73" si="27">SUM(L61:L72)</f>
        <v>296.43128000000002</v>
      </c>
      <c r="M73" s="169">
        <f t="shared" si="27"/>
        <v>0</v>
      </c>
      <c r="N73" s="169">
        <f t="shared" si="27"/>
        <v>0</v>
      </c>
      <c r="O73" s="169">
        <f t="shared" si="23"/>
        <v>296.43128000000002</v>
      </c>
      <c r="P73" s="169">
        <f>SUM(P61:P72)</f>
        <v>389.63200000000001</v>
      </c>
      <c r="Q73" s="168">
        <f t="shared" si="24"/>
        <v>76.079808639947444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2020-02-03T07:20:47Z</dcterms:created>
  <dcterms:modified xsi:type="dcterms:W3CDTF">2020-02-03T07:20:59Z</dcterms:modified>
</cp:coreProperties>
</file>