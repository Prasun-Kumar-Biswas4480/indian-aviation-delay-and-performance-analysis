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Dec 2020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<sst xmlns="http://schemas.openxmlformats.org/spreadsheetml/2006/main" count="153" uniqueCount="42">
  <si>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</si>
  <si>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VISTARA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</si>
  <si>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</si>
  <si>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</si>
  <si>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</si>
  <si>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</si>
  <si>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</si>
  <si>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</si>
  <si>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</si>
  <si>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</si>
  <si>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</si>
  <si>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</si>
  <si>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</si>
  <si>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</si>
  <si>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</si>
  <si>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</si>
  <si>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</si>
  <si>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</si>
  <si>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</si>
  <si>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</si>
  <si>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</si>
  <si>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</si>
  <si>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</si>
  <si>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</si>
  <si>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</si>
  <si>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</si>
  <si>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</si>
  <si>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</si>
  <si>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</si>
  <si>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</si>
  <si>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</si>
  <si>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</si>
  <si>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</si>
  <si>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</si>
  <si>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</si>
  <si>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VISTARA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</si>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</sst>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Data"/>
      <sheetName val="Sheet2"/>
      <sheetName val="Sheet4"/>
      <sheetName val="Sheet3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2020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6052</v>
      </c>
      <c r="C4" s="12">
        <v>10751.47</v>
      </c>
      <c r="D4" s="13">
        <v>6436.7370000000001</v>
      </c>
      <c r="E4" s="14">
        <v>830945</v>
      </c>
      <c r="F4" s="12">
        <v>885425.02899999998</v>
      </c>
      <c r="G4" s="12">
        <v>1060196.1240000001</v>
      </c>
      <c r="H4" s="15">
        <f>IFERROR(F4/G4*100," ")</f>
        <v>83.515210908279073</v>
      </c>
      <c r="I4" s="16">
        <v>1455.5989999999999</v>
      </c>
      <c r="J4" s="17"/>
      <c r="K4" s="15">
        <f>IF(AND(ISBLANK(I4),ISBLANK(J4))=TRUE,"",I4+J4)</f>
        <v>1455.5989999999999</v>
      </c>
      <c r="L4" s="16">
        <v>79688.252609999996</v>
      </c>
      <c r="M4" s="17">
        <v>2017.2321269999995</v>
      </c>
      <c r="N4" s="17"/>
      <c r="O4" s="15">
        <f>IF(AND(ISBLANK(L4),ISBLANK(M4),ISBLANK(N4))=TRUE,"",L4+M4+N4)</f>
        <v>81705.484736999992</v>
      </c>
      <c r="P4" s="17">
        <v>99272.193900000071</v>
      </c>
      <c r="Q4" s="15">
        <f>IFERROR(O4/P4*100," ")</f>
        <v>82.304501922566999</v>
      </c>
    </row>
    <row r="5" spans="1:17" ht="23.1" customHeight="1" x14ac:dyDescent="0.3">
      <c r="A5" s="18" t="s">
        <v>23</v>
      </c>
      <c r="B5" s="19">
        <v>5766</v>
      </c>
      <c r="C5" s="19">
        <v>10409.52</v>
      </c>
      <c r="D5" s="18">
        <v>6086.9309999999996</v>
      </c>
      <c r="E5" s="20">
        <v>833783</v>
      </c>
      <c r="F5" s="19">
        <v>882305.91299999994</v>
      </c>
      <c r="G5" s="19">
        <v>1002708.5159999999</v>
      </c>
      <c r="H5" s="21">
        <f t="shared" ref="H5:H16" si="0">IFERROR(F5/G5*100," ")</f>
        <v>87.992262848199445</v>
      </c>
      <c r="I5" s="22">
        <v>1888.45</v>
      </c>
      <c r="J5" s="23"/>
      <c r="K5" s="21">
        <f t="shared" ref="K5:K16" si="1">IF(AND(ISBLANK(I5),ISBLANK(J5))=TRUE,"",I5+J5)</f>
        <v>1888.45</v>
      </c>
      <c r="L5" s="22">
        <v>79407.532169999948</v>
      </c>
      <c r="M5" s="23">
        <v>2412.982344</v>
      </c>
      <c r="N5" s="23"/>
      <c r="O5" s="21">
        <f t="shared" ref="O5:O16" si="2">IF(AND(ISBLANK(L5),ISBLANK(M5),ISBLANK(N5))=TRUE,"",L5+M5+N5)</f>
        <v>81820.514513999951</v>
      </c>
      <c r="P5" s="23">
        <v>94613.627600000109</v>
      </c>
      <c r="Q5" s="21">
        <f t="shared" ref="Q5:Q16" si="3">IFERROR(O5/P5*100," ")</f>
        <v>86.478572473633648</v>
      </c>
    </row>
    <row r="6" spans="1:17" ht="23.1" customHeight="1" x14ac:dyDescent="0.3">
      <c r="A6" s="24" t="s">
        <v>24</v>
      </c>
      <c r="B6" s="25">
        <v>4182</v>
      </c>
      <c r="C6" s="25">
        <v>7227.35</v>
      </c>
      <c r="D6" s="24">
        <v>4456.1189999999997</v>
      </c>
      <c r="E6" s="26">
        <v>457191</v>
      </c>
      <c r="F6" s="25">
        <v>488179.07400000002</v>
      </c>
      <c r="G6" s="25">
        <v>734927.56</v>
      </c>
      <c r="H6" s="27">
        <f t="shared" si="0"/>
        <v>66.425468382217161</v>
      </c>
      <c r="I6" s="28">
        <v>1360.4880000000001</v>
      </c>
      <c r="J6" s="29"/>
      <c r="K6" s="27">
        <f t="shared" si="1"/>
        <v>1360.4880000000001</v>
      </c>
      <c r="L6" s="28">
        <v>43936.116659999992</v>
      </c>
      <c r="M6" s="29">
        <v>1823.3056950000007</v>
      </c>
      <c r="N6" s="29"/>
      <c r="O6" s="27">
        <f t="shared" si="2"/>
        <v>45759.422354999995</v>
      </c>
      <c r="P6" s="29">
        <v>76843.677300000054</v>
      </c>
      <c r="Q6" s="27">
        <f t="shared" si="3"/>
        <v>59.54871495328603</v>
      </c>
    </row>
    <row r="7" spans="1:17" ht="23.1" customHeight="1" x14ac:dyDescent="0.3">
      <c r="A7" s="18" t="s">
        <v>25</v>
      </c>
      <c r="B7" s="19"/>
      <c r="C7" s="19"/>
      <c r="D7" s="18"/>
      <c r="E7" s="20"/>
      <c r="F7" s="19"/>
      <c r="G7" s="19"/>
      <c r="H7" s="21" t="str">
        <f t="shared" si="0"/>
        <v xml:space="preserve"> </v>
      </c>
      <c r="I7" s="22"/>
      <c r="J7" s="23"/>
      <c r="K7" s="21" t="str">
        <f t="shared" si="1"/>
        <v/>
      </c>
      <c r="L7" s="22"/>
      <c r="M7" s="23"/>
      <c r="N7" s="23"/>
      <c r="O7" s="21" t="str">
        <f t="shared" si="2"/>
        <v/>
      </c>
      <c r="P7" s="23"/>
      <c r="Q7" s="21" t="str">
        <f t="shared" si="3"/>
        <v xml:space="preserve"> </v>
      </c>
    </row>
    <row r="8" spans="1:17" s="30" customFormat="1" ht="30" customHeight="1" x14ac:dyDescent="0.25">
      <c r="A8" s="24" t="s">
        <v>26</v>
      </c>
      <c r="B8" s="25">
        <v>256</v>
      </c>
      <c r="C8" s="25">
        <v>378.2</v>
      </c>
      <c r="D8" s="24">
        <v>255.28399999999999</v>
      </c>
      <c r="E8" s="26">
        <v>18416</v>
      </c>
      <c r="F8" s="25">
        <v>18946.352999999999</v>
      </c>
      <c r="G8" s="25">
        <v>42976.544000000002</v>
      </c>
      <c r="H8" s="27">
        <f t="shared" si="0"/>
        <v>44.085334083634081</v>
      </c>
      <c r="I8" s="28">
        <v>67.201999999999998</v>
      </c>
      <c r="J8" s="29"/>
      <c r="K8" s="27">
        <f t="shared" si="1"/>
        <v>67.201999999999998</v>
      </c>
      <c r="L8" s="28">
        <v>1705.1717699999995</v>
      </c>
      <c r="M8" s="29">
        <v>98.661828999999997</v>
      </c>
      <c r="N8" s="29"/>
      <c r="O8" s="27">
        <f t="shared" si="2"/>
        <v>1803.8335989999994</v>
      </c>
      <c r="P8" s="29">
        <v>4616.1149000000014</v>
      </c>
      <c r="Q8" s="27">
        <f t="shared" si="3"/>
        <v>39.076878242350482</v>
      </c>
    </row>
    <row r="9" spans="1:17" ht="23.1" customHeight="1" x14ac:dyDescent="0.3">
      <c r="A9" s="18" t="s">
        <v>27</v>
      </c>
      <c r="B9" s="19">
        <v>1179</v>
      </c>
      <c r="C9" s="19">
        <v>1976.14</v>
      </c>
      <c r="D9" s="18">
        <v>1360</v>
      </c>
      <c r="E9" s="20">
        <v>111914</v>
      </c>
      <c r="F9" s="19">
        <v>130240</v>
      </c>
      <c r="G9" s="19">
        <v>230117</v>
      </c>
      <c r="H9" s="21">
        <f t="shared" si="0"/>
        <v>56.597296158041345</v>
      </c>
      <c r="I9" s="22">
        <v>1168.2679999999998</v>
      </c>
      <c r="J9" s="23"/>
      <c r="K9" s="21">
        <f t="shared" si="1"/>
        <v>1168.2679999999998</v>
      </c>
      <c r="L9" s="22">
        <v>11722</v>
      </c>
      <c r="M9" s="23">
        <v>1656</v>
      </c>
      <c r="N9" s="23"/>
      <c r="O9" s="21">
        <f t="shared" si="2"/>
        <v>13378</v>
      </c>
      <c r="P9" s="23">
        <v>24866</v>
      </c>
      <c r="Q9" s="21">
        <f t="shared" si="3"/>
        <v>53.800369983109462</v>
      </c>
    </row>
    <row r="10" spans="1:17" ht="23.1" customHeight="1" x14ac:dyDescent="0.3">
      <c r="A10" s="24" t="s">
        <v>28</v>
      </c>
      <c r="B10" s="25">
        <v>993</v>
      </c>
      <c r="C10" s="25"/>
      <c r="D10" s="24">
        <v>1121.492</v>
      </c>
      <c r="E10" s="26">
        <v>88235</v>
      </c>
      <c r="F10" s="25">
        <v>100586.603</v>
      </c>
      <c r="G10" s="25">
        <v>189529.484</v>
      </c>
      <c r="H10" s="27">
        <f t="shared" si="0"/>
        <v>53.071744235846708</v>
      </c>
      <c r="I10" s="28">
        <v>1644.9939999999999</v>
      </c>
      <c r="J10" s="29"/>
      <c r="K10" s="27">
        <f t="shared" si="1"/>
        <v>1644.9939999999999</v>
      </c>
      <c r="L10" s="28">
        <v>9052.7942699999967</v>
      </c>
      <c r="M10" s="29">
        <v>2344.6293770000011</v>
      </c>
      <c r="N10" s="29">
        <v>0</v>
      </c>
      <c r="O10" s="27">
        <f t="shared" si="2"/>
        <v>11397.423646999998</v>
      </c>
      <c r="P10" s="29">
        <v>18566.083299999991</v>
      </c>
      <c r="Q10" s="27">
        <f t="shared" si="3"/>
        <v>61.388411668927525</v>
      </c>
    </row>
    <row r="11" spans="1:17" ht="23.1" customHeight="1" x14ac:dyDescent="0.3">
      <c r="A11" s="18" t="s">
        <v>29</v>
      </c>
      <c r="B11" s="19">
        <v>1282</v>
      </c>
      <c r="C11" s="19">
        <v>2005.08</v>
      </c>
      <c r="D11" s="18">
        <v>1353.047</v>
      </c>
      <c r="E11" s="20">
        <v>141648</v>
      </c>
      <c r="F11" s="19">
        <v>157701.77799999999</v>
      </c>
      <c r="G11" s="19">
        <v>230743.07800000001</v>
      </c>
      <c r="H11" s="21">
        <f t="shared" si="0"/>
        <v>68.345182601750679</v>
      </c>
      <c r="I11" s="22">
        <v>2211.73</v>
      </c>
      <c r="J11" s="23"/>
      <c r="K11" s="21">
        <f t="shared" si="1"/>
        <v>2211.73</v>
      </c>
      <c r="L11" s="22">
        <v>14193.160019999998</v>
      </c>
      <c r="M11" s="23">
        <v>2944.8370109999992</v>
      </c>
      <c r="N11" s="23"/>
      <c r="O11" s="21">
        <f t="shared" si="2"/>
        <v>17137.997030999995</v>
      </c>
      <c r="P11" s="23">
        <v>19634.803599999999</v>
      </c>
      <c r="Q11" s="21">
        <f t="shared" si="3"/>
        <v>87.283771104285435</v>
      </c>
    </row>
    <row r="12" spans="1:17" ht="23.1" customHeight="1" x14ac:dyDescent="0.3">
      <c r="A12" s="24" t="s">
        <v>30</v>
      </c>
      <c r="B12" s="25">
        <v>2374</v>
      </c>
      <c r="C12" s="25">
        <v>3863.24</v>
      </c>
      <c r="D12" s="24">
        <v>2645.0920000000001</v>
      </c>
      <c r="E12" s="26">
        <v>258441</v>
      </c>
      <c r="F12" s="25">
        <v>294649.239</v>
      </c>
      <c r="G12" s="25">
        <v>441959.79</v>
      </c>
      <c r="H12" s="27">
        <f t="shared" si="0"/>
        <v>66.668788805425038</v>
      </c>
      <c r="I12" s="28">
        <v>3756.62</v>
      </c>
      <c r="J12" s="29"/>
      <c r="K12" s="27">
        <f t="shared" si="1"/>
        <v>3756.62</v>
      </c>
      <c r="L12" s="28">
        <v>26518.431510000002</v>
      </c>
      <c r="M12" s="29">
        <v>5060.7767129999993</v>
      </c>
      <c r="N12" s="29"/>
      <c r="O12" s="27">
        <f t="shared" si="2"/>
        <v>31579.208223000001</v>
      </c>
      <c r="P12" s="29">
        <v>34568.752899999999</v>
      </c>
      <c r="Q12" s="27">
        <f t="shared" si="3"/>
        <v>91.351887394815463</v>
      </c>
    </row>
    <row r="13" spans="1:17" ht="23.1" customHeight="1" x14ac:dyDescent="0.3">
      <c r="A13" s="18" t="s">
        <v>31</v>
      </c>
      <c r="B13" s="19">
        <v>3093</v>
      </c>
      <c r="C13" s="19">
        <v>5044.33</v>
      </c>
      <c r="D13" s="18">
        <v>3457.5749999999998</v>
      </c>
      <c r="E13" s="20">
        <v>339454</v>
      </c>
      <c r="F13" s="19">
        <v>374807.299</v>
      </c>
      <c r="G13" s="19">
        <v>574898.17799999996</v>
      </c>
      <c r="H13" s="21">
        <f t="shared" si="0"/>
        <v>65.19542300584574</v>
      </c>
      <c r="I13" s="22">
        <v>4274.4620000000004</v>
      </c>
      <c r="J13" s="23"/>
      <c r="K13" s="21">
        <f t="shared" si="1"/>
        <v>4274.4620000000004</v>
      </c>
      <c r="L13" s="22">
        <v>33732.656910000005</v>
      </c>
      <c r="M13" s="23">
        <v>5658.4421680000005</v>
      </c>
      <c r="N13" s="23"/>
      <c r="O13" s="21">
        <f t="shared" si="2"/>
        <v>39391.099078000007</v>
      </c>
      <c r="P13" s="23">
        <v>60075.112100000042</v>
      </c>
      <c r="Q13" s="21">
        <f t="shared" si="3"/>
        <v>65.569747106639156</v>
      </c>
    </row>
    <row r="14" spans="1:17" ht="23.1" customHeight="1" x14ac:dyDescent="0.3">
      <c r="A14" s="24" t="s">
        <v>32</v>
      </c>
      <c r="B14" s="25">
        <v>3324</v>
      </c>
      <c r="C14" s="25">
        <v>5440.34</v>
      </c>
      <c r="D14" s="24">
        <v>3694.8110000000001</v>
      </c>
      <c r="E14" s="26">
        <v>397302</v>
      </c>
      <c r="F14" s="25">
        <v>439851.27100000001</v>
      </c>
      <c r="G14" s="25">
        <v>621558.65</v>
      </c>
      <c r="H14" s="27">
        <f t="shared" si="0"/>
        <v>70.765851460678732</v>
      </c>
      <c r="I14" s="28">
        <v>3913.83</v>
      </c>
      <c r="J14" s="29"/>
      <c r="K14" s="27">
        <f t="shared" si="1"/>
        <v>3913.83</v>
      </c>
      <c r="L14" s="28">
        <v>39586.614389999988</v>
      </c>
      <c r="M14" s="29">
        <v>5155.5874169999961</v>
      </c>
      <c r="N14" s="29"/>
      <c r="O14" s="27">
        <f t="shared" si="2"/>
        <v>44742.201806999983</v>
      </c>
      <c r="P14" s="29">
        <v>66063.360000000001</v>
      </c>
      <c r="Q14" s="27">
        <f t="shared" si="3"/>
        <v>67.726197709289963</v>
      </c>
    </row>
    <row r="15" spans="1:17" ht="23.1" customHeight="1" x14ac:dyDescent="0.3">
      <c r="A15" s="31" t="s">
        <v>33</v>
      </c>
      <c r="B15" s="32">
        <v>4132</v>
      </c>
      <c r="C15" s="32">
        <v>6815.01</v>
      </c>
      <c r="D15" s="33">
        <v>4557.6239999999998</v>
      </c>
      <c r="E15" s="34">
        <v>461382</v>
      </c>
      <c r="F15" s="32">
        <v>506985.36700000003</v>
      </c>
      <c r="G15" s="32">
        <v>759198.83600000001</v>
      </c>
      <c r="H15" s="35">
        <f t="shared" si="0"/>
        <v>66.778996879283952</v>
      </c>
      <c r="I15" s="36">
        <v>3612.0169999999998</v>
      </c>
      <c r="J15" s="37"/>
      <c r="K15" s="35">
        <f t="shared" si="1"/>
        <v>3612.0169999999998</v>
      </c>
      <c r="L15" s="36">
        <v>45628.219800000013</v>
      </c>
      <c r="M15" s="37">
        <v>4622.8108500000008</v>
      </c>
      <c r="N15" s="37"/>
      <c r="O15" s="35">
        <f t="shared" si="2"/>
        <v>50251.030650000015</v>
      </c>
      <c r="P15" s="23">
        <v>79783.909799999979</v>
      </c>
      <c r="Q15" s="21">
        <f t="shared" si="3"/>
        <v>62.98391589979466</v>
      </c>
    </row>
    <row r="16" spans="1:17" ht="23.1" customHeight="1" x14ac:dyDescent="0.3">
      <c r="A16" s="38" t="s">
        <v>34</v>
      </c>
      <c r="B16" s="39">
        <f t="shared" ref="B16:G16" si="4">SUM(B4:B15)</f>
        <v>32633</v>
      </c>
      <c r="C16" s="39">
        <f t="shared" si="4"/>
        <v>53910.68</v>
      </c>
      <c r="D16" s="39">
        <f t="shared" si="4"/>
        <v>35424.712</v>
      </c>
      <c r="E16" s="39">
        <f t="shared" si="4"/>
        <v>3938711</v>
      </c>
      <c r="F16" s="39">
        <f t="shared" si="4"/>
        <v>4279677.926</v>
      </c>
      <c r="G16" s="39">
        <f t="shared" si="4"/>
        <v>5888813.7600000016</v>
      </c>
      <c r="H16" s="40">
        <f t="shared" si="0"/>
        <v>72.674703266553948</v>
      </c>
      <c r="I16" s="40">
        <f>SUM(I4:I15)</f>
        <v>25353.659999999996</v>
      </c>
      <c r="J16" s="40">
        <f>SUM(J4:J15)</f>
        <v>0</v>
      </c>
      <c r="K16" s="40">
        <f t="shared" si="1"/>
        <v>25353.659999999996</v>
      </c>
      <c r="L16" s="40">
        <f>SUM(L4:L15)</f>
        <v>385170.95010999998</v>
      </c>
      <c r="M16" s="40">
        <f>SUM(M4:M15)</f>
        <v>33795.265530999997</v>
      </c>
      <c r="N16" s="40">
        <f>SUM(N4:N15)</f>
        <v>0</v>
      </c>
      <c r="O16" s="40">
        <f t="shared" si="2"/>
        <v>418966.21564099996</v>
      </c>
      <c r="P16" s="41">
        <f>SUM(P4:P15)</f>
        <v>578903.63540000026</v>
      </c>
      <c r="Q16" s="41">
        <f t="shared" si="3"/>
        <v>72.372358717614603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2020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300</v>
      </c>
      <c r="C23" s="58">
        <v>533.35</v>
      </c>
      <c r="D23" s="59">
        <v>881.62</v>
      </c>
      <c r="E23" s="57">
        <v>35482</v>
      </c>
      <c r="F23" s="58">
        <v>106218.511</v>
      </c>
      <c r="G23" s="58">
        <v>144585.68</v>
      </c>
      <c r="H23" s="60">
        <f t="shared" ref="H23:H35" si="5">IFERROR(F23/G23*100," ")</f>
        <v>73.464060202919129</v>
      </c>
      <c r="I23" s="61"/>
      <c r="J23" s="61"/>
      <c r="K23" s="61" t="str">
        <f>IF(AND(ISBLANK(I23),ISBLANK(J23))=TRUE,"",I23+J23)</f>
        <v/>
      </c>
      <c r="L23" s="62">
        <v>11152.943655000001</v>
      </c>
      <c r="M23" s="61"/>
      <c r="N23" s="61"/>
      <c r="O23" s="63">
        <f>IF(AND(ISBLANK(L23),ISBLANK(M23),ISBLANK(N23))=TRUE,"",L23+M23+N23)</f>
        <v>11152.943655000001</v>
      </c>
      <c r="P23" s="62">
        <v>14811.216</v>
      </c>
      <c r="Q23" s="63">
        <f>IFERROR(O23/P23*100," ")</f>
        <v>75.300661707992106</v>
      </c>
    </row>
    <row r="24" spans="1:17" ht="23.1" customHeight="1" x14ac:dyDescent="0.3">
      <c r="A24" s="64" t="s">
        <v>23</v>
      </c>
      <c r="B24" s="65">
        <v>318</v>
      </c>
      <c r="C24" s="64">
        <v>560.16</v>
      </c>
      <c r="D24" s="66">
        <v>856.178</v>
      </c>
      <c r="E24" s="65">
        <v>32820</v>
      </c>
      <c r="F24" s="64">
        <v>83159.474000000002</v>
      </c>
      <c r="G24" s="64">
        <v>140530.696</v>
      </c>
      <c r="H24" s="67">
        <f t="shared" si="5"/>
        <v>59.17530928616479</v>
      </c>
      <c r="I24" s="68"/>
      <c r="J24" s="68"/>
      <c r="K24" s="68" t="str">
        <f t="shared" ref="K24:K35" si="6">IF(AND(ISBLANK(I24),ISBLANK(J24))=TRUE,"",I24+J24)</f>
        <v/>
      </c>
      <c r="L24" s="69">
        <v>8731.7447700000012</v>
      </c>
      <c r="M24" s="68"/>
      <c r="N24" s="68"/>
      <c r="O24" s="67">
        <f t="shared" ref="O24:O35" si="7">IF(AND(ISBLANK(L24),ISBLANK(M24),ISBLANK(N24))=TRUE,"",L24+M24+N24)</f>
        <v>8731.7447700000012</v>
      </c>
      <c r="P24" s="69">
        <v>14433.729599999997</v>
      </c>
      <c r="Q24" s="67">
        <f t="shared" ref="Q24:Q35" si="8">IFERROR(O24/P24*100," ")</f>
        <v>60.495416028855097</v>
      </c>
    </row>
    <row r="25" spans="1:17" ht="23.1" customHeight="1" x14ac:dyDescent="0.3">
      <c r="A25" s="56" t="s">
        <v>24</v>
      </c>
      <c r="B25" s="70">
        <v>188</v>
      </c>
      <c r="C25" s="56">
        <v>325.3</v>
      </c>
      <c r="D25" s="71">
        <v>451.84899999999999</v>
      </c>
      <c r="E25" s="70">
        <v>14490</v>
      </c>
      <c r="F25" s="56">
        <v>32349.94</v>
      </c>
      <c r="G25" s="56">
        <v>74233.796000000002</v>
      </c>
      <c r="H25" s="60">
        <f t="shared" si="5"/>
        <v>43.57845313474202</v>
      </c>
      <c r="I25" s="72">
        <v>0</v>
      </c>
      <c r="J25" s="72"/>
      <c r="K25" s="72">
        <f t="shared" si="6"/>
        <v>0</v>
      </c>
      <c r="L25" s="73">
        <v>3396.7437</v>
      </c>
      <c r="M25" s="72">
        <v>0</v>
      </c>
      <c r="N25" s="72"/>
      <c r="O25" s="60">
        <f t="shared" si="7"/>
        <v>3396.7437</v>
      </c>
      <c r="P25" s="73">
        <v>7646.5511999999999</v>
      </c>
      <c r="Q25" s="60">
        <f t="shared" si="8"/>
        <v>44.421904871309827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806</v>
      </c>
      <c r="C35" s="81">
        <f t="shared" si="9"/>
        <v>1418.81</v>
      </c>
      <c r="D35" s="81">
        <f t="shared" si="9"/>
        <v>2189.6469999999999</v>
      </c>
      <c r="E35" s="81">
        <f t="shared" si="9"/>
        <v>82792</v>
      </c>
      <c r="F35" s="81">
        <f t="shared" si="9"/>
        <v>221727.92499999999</v>
      </c>
      <c r="G35" s="81">
        <f t="shared" si="9"/>
        <v>359350.17200000002</v>
      </c>
      <c r="H35" s="82">
        <f t="shared" si="5"/>
        <v>61.702468031655755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23281.432124999999</v>
      </c>
      <c r="M35" s="83">
        <f>SUM(M23:M34)</f>
        <v>0</v>
      </c>
      <c r="N35" s="83">
        <f>SUM(N23:N34)</f>
        <v>0</v>
      </c>
      <c r="O35" s="83">
        <f t="shared" si="7"/>
        <v>23281.432124999999</v>
      </c>
      <c r="P35" s="83">
        <f>SUM(P23:P34)</f>
        <v>36891.496800000001</v>
      </c>
      <c r="Q35" s="83">
        <f t="shared" si="8"/>
        <v>63.10785450429325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2020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>
        <v>14</v>
      </c>
      <c r="C45" s="112"/>
      <c r="D45" s="102">
        <v>20.51</v>
      </c>
      <c r="E45" s="100"/>
      <c r="F45" s="101"/>
      <c r="G45" s="101"/>
      <c r="H45" s="103" t="str">
        <f t="shared" si="10"/>
        <v xml:space="preserve"> </v>
      </c>
      <c r="I45" s="104">
        <v>104.8</v>
      </c>
      <c r="J45" s="105"/>
      <c r="K45" s="103">
        <f t="shared" si="11"/>
        <v>104.8</v>
      </c>
      <c r="L45" s="104"/>
      <c r="M45" s="105">
        <v>172.8</v>
      </c>
      <c r="N45" s="105"/>
      <c r="O45" s="103">
        <f t="shared" si="12"/>
        <v>172.8</v>
      </c>
      <c r="P45" s="104">
        <v>1087</v>
      </c>
      <c r="Q45" s="103">
        <f t="shared" si="13"/>
        <v>15.896964121435145</v>
      </c>
    </row>
    <row r="46" spans="1:17" ht="25.5" customHeight="1" x14ac:dyDescent="0.3">
      <c r="A46" s="92" t="s">
        <v>26</v>
      </c>
      <c r="B46" s="106">
        <v>21</v>
      </c>
      <c r="C46" s="113">
        <v>37.090000000000003</v>
      </c>
      <c r="D46" s="108">
        <v>63</v>
      </c>
      <c r="E46" s="106">
        <v>67</v>
      </c>
      <c r="F46" s="107">
        <v>101.387</v>
      </c>
      <c r="G46" s="107">
        <v>476.05599999999998</v>
      </c>
      <c r="H46" s="109">
        <f t="shared" si="10"/>
        <v>21.297284353101318</v>
      </c>
      <c r="I46" s="110"/>
      <c r="J46" s="111"/>
      <c r="K46" s="109" t="str">
        <f t="shared" si="11"/>
        <v/>
      </c>
      <c r="L46" s="110">
        <v>9.1248299999999993</v>
      </c>
      <c r="M46" s="111"/>
      <c r="N46" s="111"/>
      <c r="O46" s="109">
        <f t="shared" si="12"/>
        <v>9.1248299999999993</v>
      </c>
      <c r="P46" s="110">
        <v>51.944800000000001</v>
      </c>
      <c r="Q46" s="109">
        <f t="shared" si="13"/>
        <v>17.566397406477645</v>
      </c>
    </row>
    <row r="47" spans="1:17" ht="25.5" customHeight="1" x14ac:dyDescent="0.3">
      <c r="A47" s="99" t="s">
        <v>27</v>
      </c>
      <c r="B47" s="114">
        <v>1</v>
      </c>
      <c r="C47" s="115">
        <v>3.09</v>
      </c>
      <c r="D47" s="102">
        <v>0.9</v>
      </c>
      <c r="E47" s="114">
        <v>180</v>
      </c>
      <c r="F47" s="115">
        <v>154</v>
      </c>
      <c r="G47" s="115">
        <v>154</v>
      </c>
      <c r="H47" s="103">
        <f t="shared" si="10"/>
        <v>100</v>
      </c>
      <c r="I47" s="116"/>
      <c r="J47" s="117"/>
      <c r="K47" s="103" t="str">
        <f t="shared" si="11"/>
        <v/>
      </c>
      <c r="L47" s="116">
        <v>1.6199999999999999E-2</v>
      </c>
      <c r="M47" s="117"/>
      <c r="N47" s="117"/>
      <c r="O47" s="103">
        <f t="shared" si="12"/>
        <v>1.6199999999999999E-2</v>
      </c>
      <c r="P47" s="116">
        <v>1.6799999999999999E-2</v>
      </c>
      <c r="Q47" s="103">
        <f t="shared" si="13"/>
        <v>96.428571428571431</v>
      </c>
    </row>
    <row r="48" spans="1:17" s="125" customFormat="1" ht="25.5" customHeight="1" x14ac:dyDescent="0.3">
      <c r="A48" s="118" t="s">
        <v>28</v>
      </c>
      <c r="B48" s="119">
        <v>4</v>
      </c>
      <c r="C48" s="120"/>
      <c r="D48" s="121">
        <v>6.7</v>
      </c>
      <c r="E48" s="119">
        <v>5</v>
      </c>
      <c r="F48" s="120">
        <v>8.1920000000000002</v>
      </c>
      <c r="G48" s="120">
        <v>1067.5519999999999</v>
      </c>
      <c r="H48" s="122">
        <f t="shared" si="10"/>
        <v>0.76736308863643188</v>
      </c>
      <c r="I48" s="123">
        <v>26</v>
      </c>
      <c r="J48" s="124"/>
      <c r="K48" s="122">
        <f t="shared" si="11"/>
        <v>26</v>
      </c>
      <c r="L48" s="123">
        <v>0.73727999999999994</v>
      </c>
      <c r="M48" s="124">
        <v>45</v>
      </c>
      <c r="N48" s="124"/>
      <c r="O48" s="122">
        <f t="shared" si="12"/>
        <v>45.737279999999998</v>
      </c>
      <c r="P48" s="123">
        <v>112.56</v>
      </c>
      <c r="Q48" s="122">
        <f t="shared" si="13"/>
        <v>40.633688699360334</v>
      </c>
    </row>
    <row r="49" spans="1:17" ht="25.5" customHeight="1" x14ac:dyDescent="0.3">
      <c r="A49" s="99" t="s">
        <v>29</v>
      </c>
      <c r="B49" s="114">
        <v>4</v>
      </c>
      <c r="C49" s="115">
        <v>18.32</v>
      </c>
      <c r="D49" s="126">
        <v>4.8870000000000005</v>
      </c>
      <c r="E49" s="114">
        <v>51</v>
      </c>
      <c r="F49" s="115">
        <v>78725</v>
      </c>
      <c r="G49" s="115">
        <v>801468</v>
      </c>
      <c r="H49" s="103">
        <f t="shared" si="10"/>
        <v>9.822600528031062</v>
      </c>
      <c r="I49" s="116"/>
      <c r="J49" s="117"/>
      <c r="K49" s="103" t="str">
        <f t="shared" si="11"/>
        <v/>
      </c>
      <c r="L49" s="116">
        <v>7</v>
      </c>
      <c r="M49" s="117"/>
      <c r="N49" s="117"/>
      <c r="O49" s="103">
        <f t="shared" si="12"/>
        <v>7</v>
      </c>
      <c r="P49" s="116">
        <v>82.101600000000005</v>
      </c>
      <c r="Q49" s="103">
        <f t="shared" si="13"/>
        <v>8.5260214173658007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>
        <v>2</v>
      </c>
      <c r="C52" s="128">
        <v>0.56999999999999995</v>
      </c>
      <c r="D52" s="129">
        <v>2.9980000000000002</v>
      </c>
      <c r="E52" s="127">
        <v>11</v>
      </c>
      <c r="F52" s="128">
        <v>16.489000000000001</v>
      </c>
      <c r="G52" s="128">
        <v>491.67200000000003</v>
      </c>
      <c r="H52" s="109">
        <f t="shared" si="10"/>
        <v>3.3536585365853662</v>
      </c>
      <c r="I52" s="130"/>
      <c r="J52" s="131"/>
      <c r="K52" s="109" t="str">
        <f t="shared" si="11"/>
        <v/>
      </c>
      <c r="L52" s="130">
        <v>1.4840100000000001</v>
      </c>
      <c r="M52" s="131"/>
      <c r="N52" s="131"/>
      <c r="O52" s="109">
        <f t="shared" si="12"/>
        <v>1.4840100000000001</v>
      </c>
      <c r="P52" s="130">
        <v>50.366399999999999</v>
      </c>
      <c r="Q52" s="109">
        <f t="shared" si="13"/>
        <v>2.9464285714285716</v>
      </c>
    </row>
    <row r="53" spans="1:17" ht="25.5" customHeight="1" x14ac:dyDescent="0.3">
      <c r="A53" s="99" t="s">
        <v>33</v>
      </c>
      <c r="B53" s="132">
        <v>7</v>
      </c>
      <c r="C53" s="133">
        <v>8.2200000000000006</v>
      </c>
      <c r="D53" s="134">
        <v>26.784000000000002</v>
      </c>
      <c r="E53" s="132">
        <v>158</v>
      </c>
      <c r="F53" s="133">
        <v>596.34700000000009</v>
      </c>
      <c r="G53" s="133">
        <v>4392.5759999999991</v>
      </c>
      <c r="H53" s="135">
        <f t="shared" si="10"/>
        <v>13.576247741644087</v>
      </c>
      <c r="I53" s="136"/>
      <c r="J53" s="137"/>
      <c r="K53" s="135" t="str">
        <f t="shared" si="11"/>
        <v/>
      </c>
      <c r="L53" s="136">
        <v>53.671230000000001</v>
      </c>
      <c r="M53" s="137"/>
      <c r="N53" s="137"/>
      <c r="O53" s="135">
        <f t="shared" si="12"/>
        <v>53.671230000000001</v>
      </c>
      <c r="P53" s="136">
        <v>449.97119999999995</v>
      </c>
      <c r="Q53" s="135">
        <f t="shared" si="13"/>
        <v>11.927703373015873</v>
      </c>
    </row>
    <row r="54" spans="1:17" ht="25.5" customHeight="1" x14ac:dyDescent="0.3">
      <c r="A54" s="138" t="s">
        <v>34</v>
      </c>
      <c r="B54" s="139">
        <f t="shared" ref="B54:G54" si="14">SUM(B42:B53)</f>
        <v>53</v>
      </c>
      <c r="C54" s="139">
        <f t="shared" si="14"/>
        <v>67.290000000000006</v>
      </c>
      <c r="D54" s="139">
        <f t="shared" si="14"/>
        <v>125.77900000000002</v>
      </c>
      <c r="E54" s="139">
        <f t="shared" si="14"/>
        <v>472</v>
      </c>
      <c r="F54" s="139">
        <f t="shared" si="14"/>
        <v>79601.414999999994</v>
      </c>
      <c r="G54" s="139">
        <f t="shared" si="14"/>
        <v>808049.85600000003</v>
      </c>
      <c r="H54" s="140">
        <f t="shared" si="10"/>
        <v>9.8510524330815521</v>
      </c>
      <c r="I54" s="140">
        <f>SUM(I42:I53)</f>
        <v>130.80000000000001</v>
      </c>
      <c r="J54" s="140">
        <f>SUM(J42:J53)</f>
        <v>0</v>
      </c>
      <c r="K54" s="140">
        <f t="shared" si="11"/>
        <v>130.80000000000001</v>
      </c>
      <c r="L54" s="140">
        <f>SUM(L42:L53)</f>
        <v>72.033550000000005</v>
      </c>
      <c r="M54" s="140">
        <f>SUM(M42:M53)</f>
        <v>217.8</v>
      </c>
      <c r="N54" s="140">
        <f>SUM(N42:N53)</f>
        <v>0</v>
      </c>
      <c r="O54" s="140">
        <f t="shared" si="12"/>
        <v>289.83355</v>
      </c>
      <c r="P54" s="141">
        <f>SUM(P42:P53)</f>
        <v>1833.9607999999998</v>
      </c>
      <c r="Q54" s="140">
        <f t="shared" si="13"/>
        <v>15.803693841220598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2020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>
        <v>4</v>
      </c>
      <c r="C66" s="115">
        <v>26.23</v>
      </c>
      <c r="D66" s="126">
        <v>11.42</v>
      </c>
      <c r="E66" s="114">
        <v>357</v>
      </c>
      <c r="F66" s="115">
        <v>858.57</v>
      </c>
      <c r="G66" s="115">
        <v>1872.88</v>
      </c>
      <c r="H66" s="158">
        <f t="shared" si="15"/>
        <v>45.842232283969075</v>
      </c>
      <c r="I66" s="116"/>
      <c r="J66" s="117"/>
      <c r="K66" s="117" t="str">
        <f t="shared" si="16"/>
        <v/>
      </c>
      <c r="L66" s="116">
        <v>90.149849999999986</v>
      </c>
      <c r="M66" s="117"/>
      <c r="N66" s="117"/>
      <c r="O66" s="103">
        <f t="shared" si="17"/>
        <v>90.149849999999986</v>
      </c>
      <c r="P66" s="117">
        <v>191.85599999999999</v>
      </c>
      <c r="Q66" s="158">
        <f t="shared" si="18"/>
        <v>46.988288091068299</v>
      </c>
    </row>
    <row r="67" spans="1:17" ht="24.75" customHeight="1" x14ac:dyDescent="0.3">
      <c r="A67" s="150" t="s">
        <v>28</v>
      </c>
      <c r="B67" s="159">
        <v>6</v>
      </c>
      <c r="C67" s="160">
        <v>16.059999999999999</v>
      </c>
      <c r="D67" s="161">
        <v>11.827999999999999</v>
      </c>
      <c r="E67" s="159">
        <v>787</v>
      </c>
      <c r="F67" s="160">
        <v>1557.376</v>
      </c>
      <c r="G67" s="160">
        <v>1939.7919999999999</v>
      </c>
      <c r="H67" s="162">
        <f t="shared" si="15"/>
        <v>80.285721355691749</v>
      </c>
      <c r="I67" s="163"/>
      <c r="J67" s="164"/>
      <c r="K67" s="164" t="str">
        <f t="shared" si="16"/>
        <v/>
      </c>
      <c r="L67" s="163">
        <v>163.52448000000001</v>
      </c>
      <c r="M67" s="164"/>
      <c r="N67" s="164"/>
      <c r="O67" s="165">
        <f t="shared" si="17"/>
        <v>163.52448000000001</v>
      </c>
      <c r="P67" s="164">
        <v>198.71039999999999</v>
      </c>
      <c r="Q67" s="162">
        <f t="shared" si="18"/>
        <v>82.292864389584039</v>
      </c>
    </row>
    <row r="68" spans="1:17" ht="24.75" customHeight="1" x14ac:dyDescent="0.3">
      <c r="A68" s="99" t="s">
        <v>29</v>
      </c>
      <c r="B68" s="114">
        <v>56</v>
      </c>
      <c r="C68" s="115">
        <v>188.42</v>
      </c>
      <c r="D68" s="126">
        <v>143.941</v>
      </c>
      <c r="E68" s="114">
        <v>5000</v>
      </c>
      <c r="F68" s="115">
        <v>12240.990000000002</v>
      </c>
      <c r="G68" s="115">
        <v>27255.975999999999</v>
      </c>
      <c r="H68" s="158">
        <f t="shared" si="15"/>
        <v>44.911215067110426</v>
      </c>
      <c r="I68" s="116">
        <v>55.831000000000003</v>
      </c>
      <c r="J68" s="117"/>
      <c r="K68" s="117">
        <f t="shared" si="16"/>
        <v>55.831000000000003</v>
      </c>
      <c r="L68" s="116">
        <v>1285.30395</v>
      </c>
      <c r="M68" s="117">
        <v>286.68117999999998</v>
      </c>
      <c r="N68" s="117">
        <v>0</v>
      </c>
      <c r="O68" s="103">
        <f t="shared" si="17"/>
        <v>1571.98513</v>
      </c>
      <c r="P68" s="117">
        <v>3398.0941000000007</v>
      </c>
      <c r="Q68" s="158">
        <f t="shared" si="18"/>
        <v>46.260788657971531</v>
      </c>
    </row>
    <row r="69" spans="1:17" ht="24.75" customHeight="1" x14ac:dyDescent="0.3">
      <c r="A69" s="150" t="s">
        <v>30</v>
      </c>
      <c r="B69" s="159">
        <v>185</v>
      </c>
      <c r="C69" s="160">
        <v>611.19000000000005</v>
      </c>
      <c r="D69" s="161">
        <v>539.00900000000001</v>
      </c>
      <c r="E69" s="159">
        <v>19790</v>
      </c>
      <c r="F69" s="160">
        <v>64018.775999999998</v>
      </c>
      <c r="G69" s="160">
        <v>118530.916</v>
      </c>
      <c r="H69" s="162">
        <f t="shared" si="15"/>
        <v>54.010192581317774</v>
      </c>
      <c r="I69" s="163">
        <v>496.90049999999997</v>
      </c>
      <c r="J69" s="164"/>
      <c r="K69" s="164">
        <f t="shared" si="16"/>
        <v>496.90049999999997</v>
      </c>
      <c r="L69" s="163">
        <v>6721.9714800000011</v>
      </c>
      <c r="M69" s="164">
        <v>3100.5511520000009</v>
      </c>
      <c r="N69" s="164"/>
      <c r="O69" s="165">
        <f t="shared" si="17"/>
        <v>9822.522632000002</v>
      </c>
      <c r="P69" s="164">
        <v>17066.8056</v>
      </c>
      <c r="Q69" s="162">
        <f t="shared" si="18"/>
        <v>57.553375026431439</v>
      </c>
    </row>
    <row r="70" spans="1:17" ht="24.75" customHeight="1" x14ac:dyDescent="0.3">
      <c r="A70" s="99" t="s">
        <v>31</v>
      </c>
      <c r="B70" s="114">
        <v>171</v>
      </c>
      <c r="C70" s="115">
        <v>672.32</v>
      </c>
      <c r="D70" s="126">
        <v>518.76400000000001</v>
      </c>
      <c r="E70" s="114">
        <v>21809</v>
      </c>
      <c r="F70" s="115">
        <v>69392.452999999994</v>
      </c>
      <c r="G70" s="115">
        <v>119047.11199999999</v>
      </c>
      <c r="H70" s="158">
        <f t="shared" si="15"/>
        <v>58.289908788379506</v>
      </c>
      <c r="I70" s="116">
        <v>709.35500000000002</v>
      </c>
      <c r="J70" s="117"/>
      <c r="K70" s="117">
        <f t="shared" si="16"/>
        <v>709.35500000000002</v>
      </c>
      <c r="L70" s="116">
        <v>7286.2075650000006</v>
      </c>
      <c r="M70" s="117">
        <v>4061.3270500000008</v>
      </c>
      <c r="N70" s="117"/>
      <c r="O70" s="103">
        <f t="shared" si="17"/>
        <v>11347.534615</v>
      </c>
      <c r="P70" s="117">
        <v>17417.731199999998</v>
      </c>
      <c r="Q70" s="158">
        <f t="shared" si="18"/>
        <v>65.149326767656177</v>
      </c>
    </row>
    <row r="71" spans="1:17" ht="24.75" customHeight="1" x14ac:dyDescent="0.3">
      <c r="A71" s="150" t="s">
        <v>32</v>
      </c>
      <c r="B71" s="159">
        <v>180</v>
      </c>
      <c r="C71" s="160">
        <v>669.57</v>
      </c>
      <c r="D71" s="161">
        <v>500.98</v>
      </c>
      <c r="E71" s="159">
        <v>20584</v>
      </c>
      <c r="F71" s="160">
        <v>57768.334999999999</v>
      </c>
      <c r="G71" s="160">
        <v>110876.432</v>
      </c>
      <c r="H71" s="162">
        <f t="shared" si="15"/>
        <v>52.101545800102947</v>
      </c>
      <c r="I71" s="163">
        <v>664.83799999999997</v>
      </c>
      <c r="J71" s="164"/>
      <c r="K71" s="164">
        <f t="shared" si="16"/>
        <v>664.83799999999997</v>
      </c>
      <c r="L71" s="163">
        <v>6065.6751749999994</v>
      </c>
      <c r="M71" s="164">
        <v>4042.740014</v>
      </c>
      <c r="N71" s="164"/>
      <c r="O71" s="165">
        <f t="shared" si="17"/>
        <v>10108.415188999999</v>
      </c>
      <c r="P71" s="164">
        <v>15681.968000000001</v>
      </c>
      <c r="Q71" s="162">
        <f t="shared" si="18"/>
        <v>64.458843360731237</v>
      </c>
    </row>
    <row r="72" spans="1:17" ht="24.75" customHeight="1" x14ac:dyDescent="0.3">
      <c r="A72" s="99" t="s">
        <v>33</v>
      </c>
      <c r="B72" s="132">
        <v>239</v>
      </c>
      <c r="C72" s="133">
        <v>873.13</v>
      </c>
      <c r="D72" s="134">
        <v>643.67100000000005</v>
      </c>
      <c r="E72" s="132">
        <v>29791</v>
      </c>
      <c r="F72" s="133">
        <v>89965.29</v>
      </c>
      <c r="G72" s="133">
        <v>134701.5</v>
      </c>
      <c r="H72" s="135">
        <f t="shared" si="15"/>
        <v>66.788632643289048</v>
      </c>
      <c r="I72" s="136">
        <v>525.37900000000002</v>
      </c>
      <c r="J72" s="137"/>
      <c r="K72" s="137">
        <f t="shared" si="16"/>
        <v>525.37900000000002</v>
      </c>
      <c r="L72" s="136">
        <v>9446.3554500000027</v>
      </c>
      <c r="M72" s="137">
        <v>3032.0187199999996</v>
      </c>
      <c r="N72" s="137">
        <v>0</v>
      </c>
      <c r="O72" s="135">
        <f t="shared" si="17"/>
        <v>12478.374170000003</v>
      </c>
      <c r="P72" s="137">
        <v>18127.503199999999</v>
      </c>
      <c r="Q72" s="135">
        <f t="shared" si="18"/>
        <v>68.836695447390696</v>
      </c>
    </row>
    <row r="73" spans="1:17" ht="24.75" customHeight="1" x14ac:dyDescent="0.3">
      <c r="A73" s="166" t="s">
        <v>34</v>
      </c>
      <c r="B73" s="167">
        <f t="shared" ref="B73:G73" si="19">SUM(B61:B72)</f>
        <v>841</v>
      </c>
      <c r="C73" s="167">
        <f t="shared" si="19"/>
        <v>3056.9200000000005</v>
      </c>
      <c r="D73" s="167">
        <f t="shared" si="19"/>
        <v>2369.6130000000003</v>
      </c>
      <c r="E73" s="167">
        <f t="shared" si="19"/>
        <v>98118</v>
      </c>
      <c r="F73" s="167">
        <f t="shared" si="19"/>
        <v>295801.78999999998</v>
      </c>
      <c r="G73" s="167">
        <f t="shared" si="19"/>
        <v>514224.60800000001</v>
      </c>
      <c r="H73" s="168">
        <f t="shared" si="15"/>
        <v>57.52384957819833</v>
      </c>
      <c r="I73" s="169">
        <f>SUM(I61:I72)</f>
        <v>2452.3035</v>
      </c>
      <c r="J73" s="169">
        <f>SUM(J61:J72)</f>
        <v>0</v>
      </c>
      <c r="K73" s="169">
        <f t="shared" si="16"/>
        <v>2452.3035</v>
      </c>
      <c r="L73" s="169">
        <f>SUM(L61:L72)</f>
        <v>31059.187950000003</v>
      </c>
      <c r="M73" s="169">
        <f>SUM(M61:M72)</f>
        <v>14523.318116000002</v>
      </c>
      <c r="N73" s="169">
        <f>SUM(N61:N72)</f>
        <v>0</v>
      </c>
      <c r="O73" s="169">
        <f t="shared" si="17"/>
        <v>45582.506066000002</v>
      </c>
      <c r="P73" s="169">
        <f>SUM(P61:P72)</f>
        <v>72082.6685</v>
      </c>
      <c r="Q73" s="168">
        <f t="shared" si="18"/>
        <v>63.236429802817305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2022-03-07T07:45:29Z</dcterms:created>
  <dcterms:modified xsi:type="dcterms:W3CDTF">2022-03-07T07:45:53Z</dcterms:modified>
</cp:coreProperties>
</file>