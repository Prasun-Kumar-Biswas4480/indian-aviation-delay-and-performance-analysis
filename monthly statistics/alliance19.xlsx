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software at-ii\GENERATED REPORTS\"/>
    </mc:Choice>
  </mc:AlternateContent>
  <bookViews>
    <workbookView xWindow="0" yWindow="0" windowWidth="24000" windowHeight="79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  <definedName name="year">[1]Interface!$AU$7:$AU$20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F54" i="2"/>
  <c r="H54" i="2" s="1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<sst xmlns="http://schemas.openxmlformats.org/spreadsheetml/2006/main" count="153" uniqueCount="42">
  <si>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</si>
  <si>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ALLIANCE AIR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</si>
  <si>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</si>
  <si>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</si>
  <si>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</si>
  <si>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</si>
  <si>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</si>
  <si>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</si>
  <si>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</si>
  <si>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</si>
  <si>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</si>
  <si>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</si>
  <si>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</si>
  <si>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</si>
  <si>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</si>
  <si>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</si>
  <si>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</si>
  <si>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</si>
  <si>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</si>
  <si>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</si>
  <si>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</si>
  <si>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</si>
  <si>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</si>
  <si>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</si>
  <si>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</si>
  <si>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</si>
  <si>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</si>
  <si>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</si>
  <si>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</si>
  <si>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</si>
  <si>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</si>
  <si>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</si>
  <si>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</si>
  <si>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</si>
  <si>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</si>
  <si>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ALLIANCE AIR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</si>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</sst>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software%20at-ii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  <sheetName val="Main Window"/>
      <sheetName val="Data"/>
      <sheetName val="Sheet2"/>
      <sheetName val="PivotTable"/>
      <sheetName val="Monthly_Template"/>
      <sheetName val="Sheet15"/>
      <sheetName val="DOMESTIC"/>
      <sheetName val="INTERNATIONAL"/>
    </sheetNames>
    <sheetDataSet>
      <sheetData sheetId="0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  <cell r="AU7">
            <v>2007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  <cell r="AU8">
            <v>2008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  <cell r="AU9">
            <v>2009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  <cell r="AU10">
            <v>2010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  <cell r="AU11">
            <v>2011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  <cell r="AU12">
            <v>2012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  <cell r="AU13">
            <v>2013</v>
          </cell>
        </row>
        <row r="14">
          <cell r="AR14" t="str">
            <v>MAIL</v>
          </cell>
          <cell r="AT14" t="str">
            <v>AIR ODISHA</v>
          </cell>
          <cell r="AU14">
            <v>2014</v>
          </cell>
        </row>
        <row r="15">
          <cell r="AR15" t="str">
            <v>CARGO</v>
          </cell>
          <cell r="AT15" t="str">
            <v>AIR PEGASUS</v>
          </cell>
          <cell r="AU15">
            <v>2015</v>
          </cell>
        </row>
        <row r="16">
          <cell r="AR16" t="str">
            <v>PTKM</v>
          </cell>
          <cell r="AT16" t="str">
            <v>ALLIANCE AIR</v>
          </cell>
          <cell r="AU16">
            <v>2016</v>
          </cell>
        </row>
        <row r="17">
          <cell r="AR17" t="str">
            <v>FTKM</v>
          </cell>
          <cell r="AT17" t="str">
            <v>BLUEDART</v>
          </cell>
          <cell r="AU17">
            <v>2017</v>
          </cell>
        </row>
        <row r="18">
          <cell r="AR18" t="str">
            <v>MTKM</v>
          </cell>
          <cell r="AT18" t="str">
            <v>DECCAN</v>
          </cell>
          <cell r="AU18">
            <v>2018</v>
          </cell>
        </row>
        <row r="19">
          <cell r="AR19" t="str">
            <v>RTKM</v>
          </cell>
          <cell r="AT19" t="str">
            <v>GO AIR</v>
          </cell>
          <cell r="AU19">
            <v>2019</v>
          </cell>
        </row>
        <row r="20">
          <cell r="AR20" t="str">
            <v>ATKM</v>
          </cell>
          <cell r="AT20" t="str">
            <v>INDIGO</v>
          </cell>
          <cell r="AU20">
            <v>2020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KINGFISHER</v>
          </cell>
        </row>
        <row r="24">
          <cell r="AT24" t="str">
            <v>MDLR</v>
          </cell>
        </row>
        <row r="25">
          <cell r="AT25" t="str">
            <v>PARAMOUNT</v>
          </cell>
        </row>
        <row r="26">
          <cell r="AT26" t="str">
            <v>QUIKJET CARGO</v>
          </cell>
        </row>
        <row r="27">
          <cell r="AT27" t="str">
            <v>SPICEJET</v>
          </cell>
        </row>
        <row r="28">
          <cell r="AT28" t="str">
            <v>STAR AIR</v>
          </cell>
        </row>
        <row r="29">
          <cell r="AT29" t="str">
            <v>TRUJET</v>
          </cell>
        </row>
        <row r="30">
          <cell r="AT30" t="str">
            <v>VISTARA</v>
          </cell>
        </row>
        <row r="31">
          <cell r="AT31" t="str">
            <v>ZOOM AIR</v>
          </cell>
        </row>
        <row r="32">
          <cell r="AT32" t="str">
            <v>PAWAN HANS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28" transitionEvaluation="1" transitionEntry="1" codeName="Sheet12"/>
  <dimension ref="A1:Q494"/>
  <sheetViews>
    <sheetView showGridLines="0" tabSelected="1" view="pageBreakPreview" topLeftCell="A28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2019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2606</v>
      </c>
      <c r="C4" s="12">
        <v>4638</v>
      </c>
      <c r="D4" s="13">
        <v>1901</v>
      </c>
      <c r="E4" s="14">
        <v>138705</v>
      </c>
      <c r="F4" s="12">
        <v>58712.999000000003</v>
      </c>
      <c r="G4" s="12">
        <v>89372.474000000002</v>
      </c>
      <c r="H4" s="15">
        <f>IFERROR(F4/G4*100," ")</f>
        <v>65.694722739800184</v>
      </c>
      <c r="I4" s="16">
        <v>6.5</v>
      </c>
      <c r="J4" s="17">
        <v>0</v>
      </c>
      <c r="K4" s="15">
        <f>IF(AND(ISBLANK(I4),ISBLANK(J4))=TRUE,"",I4+J4)</f>
        <v>6.5</v>
      </c>
      <c r="L4" s="16">
        <v>5343</v>
      </c>
      <c r="M4" s="17">
        <v>3</v>
      </c>
      <c r="N4" s="17">
        <v>0</v>
      </c>
      <c r="O4" s="15">
        <f>IF(AND(ISBLANK(L4),ISBLANK(M4),ISBLANK(N4))=TRUE,"",L4+M4+N4)</f>
        <v>5346</v>
      </c>
      <c r="P4" s="17">
        <v>8306</v>
      </c>
      <c r="Q4" s="15">
        <f>IFERROR(O4/P4*100," ")</f>
        <v>64.363111004093426</v>
      </c>
    </row>
    <row r="5" spans="1:17" ht="23.1" customHeight="1" x14ac:dyDescent="0.3">
      <c r="A5" s="18" t="s">
        <v>23</v>
      </c>
      <c r="B5" s="19">
        <v>2214</v>
      </c>
      <c r="C5" s="19">
        <v>4015</v>
      </c>
      <c r="D5" s="18">
        <v>1659</v>
      </c>
      <c r="E5" s="20">
        <v>127312</v>
      </c>
      <c r="F5" s="19">
        <v>53354</v>
      </c>
      <c r="G5" s="19">
        <v>77272</v>
      </c>
      <c r="H5" s="21">
        <f t="shared" ref="H5:H16" si="0">IFERROR(F5/G5*100," ")</f>
        <v>69.047002795320424</v>
      </c>
      <c r="I5" s="22">
        <v>8</v>
      </c>
      <c r="J5" s="23">
        <v>0</v>
      </c>
      <c r="K5" s="21">
        <f t="shared" ref="K5:K16" si="1">IF(AND(ISBLANK(I5),ISBLANK(J5))=TRUE,"",I5+J5)</f>
        <v>8</v>
      </c>
      <c r="L5" s="22">
        <v>4855</v>
      </c>
      <c r="M5" s="23">
        <v>3.8</v>
      </c>
      <c r="N5" s="23">
        <v>0</v>
      </c>
      <c r="O5" s="21">
        <f t="shared" ref="O5:O16" si="2">IF(AND(ISBLANK(L5),ISBLANK(M5),ISBLANK(N5))=TRUE,"",L5+M5+N5)</f>
        <v>4858.8</v>
      </c>
      <c r="P5" s="23">
        <v>7178</v>
      </c>
      <c r="Q5" s="21">
        <f t="shared" ref="Q5:Q16" si="3">IFERROR(O5/P5*100," ")</f>
        <v>67.690164391195324</v>
      </c>
    </row>
    <row r="6" spans="1:17" ht="23.1" customHeight="1" x14ac:dyDescent="0.3">
      <c r="A6" s="24" t="s">
        <v>24</v>
      </c>
      <c r="B6" s="25">
        <v>2414</v>
      </c>
      <c r="C6" s="25">
        <v>4314</v>
      </c>
      <c r="D6" s="24">
        <v>1788</v>
      </c>
      <c r="E6" s="26">
        <v>129478</v>
      </c>
      <c r="F6" s="25">
        <v>53681.29</v>
      </c>
      <c r="G6" s="25">
        <v>83357.69</v>
      </c>
      <c r="H6" s="27">
        <f t="shared" si="0"/>
        <v>64.398725540499029</v>
      </c>
      <c r="I6" s="28">
        <v>11.5</v>
      </c>
      <c r="J6" s="29">
        <v>0</v>
      </c>
      <c r="K6" s="27">
        <f t="shared" si="1"/>
        <v>11.5</v>
      </c>
      <c r="L6" s="28">
        <v>4855</v>
      </c>
      <c r="M6" s="29">
        <v>3.8</v>
      </c>
      <c r="N6" s="29">
        <v>0</v>
      </c>
      <c r="O6" s="27">
        <f t="shared" si="2"/>
        <v>4858.8</v>
      </c>
      <c r="P6" s="29">
        <v>7743</v>
      </c>
      <c r="Q6" s="27">
        <f t="shared" si="3"/>
        <v>62.750871755133673</v>
      </c>
    </row>
    <row r="7" spans="1:17" ht="23.1" customHeight="1" x14ac:dyDescent="0.3">
      <c r="A7" s="18" t="s">
        <v>25</v>
      </c>
      <c r="B7" s="19">
        <v>2385</v>
      </c>
      <c r="C7" s="19">
        <v>4257</v>
      </c>
      <c r="D7" s="18">
        <v>1792</v>
      </c>
      <c r="E7" s="20">
        <v>134597</v>
      </c>
      <c r="F7" s="19">
        <v>56195</v>
      </c>
      <c r="G7" s="19">
        <v>82941</v>
      </c>
      <c r="H7" s="21">
        <f t="shared" si="0"/>
        <v>67.752981034711425</v>
      </c>
      <c r="I7" s="22">
        <v>11.6</v>
      </c>
      <c r="J7" s="23">
        <v>0</v>
      </c>
      <c r="K7" s="21">
        <f t="shared" si="1"/>
        <v>11.6</v>
      </c>
      <c r="L7" s="22">
        <v>5114</v>
      </c>
      <c r="M7" s="23">
        <v>5.6</v>
      </c>
      <c r="N7" s="23">
        <v>0</v>
      </c>
      <c r="O7" s="21">
        <f t="shared" si="2"/>
        <v>5119.6000000000004</v>
      </c>
      <c r="P7" s="23">
        <v>7713</v>
      </c>
      <c r="Q7" s="21">
        <f t="shared" si="3"/>
        <v>66.376247893167388</v>
      </c>
    </row>
    <row r="8" spans="1:17" s="30" customFormat="1" ht="30" customHeight="1" x14ac:dyDescent="0.25">
      <c r="A8" s="24" t="s">
        <v>26</v>
      </c>
      <c r="B8" s="25">
        <v>2617</v>
      </c>
      <c r="C8" s="25">
        <v>4703</v>
      </c>
      <c r="D8" s="24">
        <v>1958</v>
      </c>
      <c r="E8" s="26">
        <v>152294</v>
      </c>
      <c r="F8" s="25">
        <v>64350</v>
      </c>
      <c r="G8" s="25">
        <v>91234</v>
      </c>
      <c r="H8" s="27">
        <f t="shared" si="0"/>
        <v>70.532915360501562</v>
      </c>
      <c r="I8" s="28">
        <v>15.1</v>
      </c>
      <c r="J8" s="29">
        <v>0</v>
      </c>
      <c r="K8" s="27">
        <f t="shared" si="1"/>
        <v>15.1</v>
      </c>
      <c r="L8" s="28">
        <v>5856</v>
      </c>
      <c r="M8" s="29">
        <v>7.2</v>
      </c>
      <c r="N8" s="29">
        <v>0</v>
      </c>
      <c r="O8" s="27">
        <f t="shared" si="2"/>
        <v>5863.2</v>
      </c>
      <c r="P8" s="29">
        <v>8466</v>
      </c>
      <c r="Q8" s="27">
        <f t="shared" si="3"/>
        <v>69.255846917080092</v>
      </c>
    </row>
    <row r="9" spans="1:17" ht="23.1" customHeight="1" x14ac:dyDescent="0.3">
      <c r="A9" s="18" t="s">
        <v>27</v>
      </c>
      <c r="B9" s="19">
        <v>2494</v>
      </c>
      <c r="C9" s="19">
        <v>4511</v>
      </c>
      <c r="D9" s="18">
        <v>1886</v>
      </c>
      <c r="E9" s="20">
        <v>147259</v>
      </c>
      <c r="F9" s="19">
        <v>61093</v>
      </c>
      <c r="G9" s="19">
        <v>86163</v>
      </c>
      <c r="H9" s="21">
        <f t="shared" si="0"/>
        <v>70.903984308810038</v>
      </c>
      <c r="I9" s="22">
        <v>13.6</v>
      </c>
      <c r="J9" s="23">
        <v>0</v>
      </c>
      <c r="K9" s="21">
        <f t="shared" si="1"/>
        <v>13.6</v>
      </c>
      <c r="L9" s="22">
        <v>5560</v>
      </c>
      <c r="M9" s="23">
        <v>6.6</v>
      </c>
      <c r="N9" s="23">
        <v>0</v>
      </c>
      <c r="O9" s="21">
        <f t="shared" si="2"/>
        <v>5566.6</v>
      </c>
      <c r="P9" s="23">
        <v>7988</v>
      </c>
      <c r="Q9" s="21">
        <f t="shared" si="3"/>
        <v>69.687030545818729</v>
      </c>
    </row>
    <row r="10" spans="1:17" ht="23.1" customHeight="1" x14ac:dyDescent="0.3">
      <c r="A10" s="24" t="s">
        <v>28</v>
      </c>
      <c r="B10" s="25">
        <v>2469</v>
      </c>
      <c r="C10" s="25">
        <v>4463</v>
      </c>
      <c r="D10" s="24">
        <v>1810</v>
      </c>
      <c r="E10" s="26">
        <v>135724</v>
      </c>
      <c r="F10" s="25">
        <v>56763</v>
      </c>
      <c r="G10" s="25">
        <v>85207</v>
      </c>
      <c r="H10" s="27">
        <f t="shared" si="0"/>
        <v>66.617766145973917</v>
      </c>
      <c r="I10" s="28">
        <v>11.7</v>
      </c>
      <c r="J10" s="29">
        <v>0</v>
      </c>
      <c r="K10" s="27">
        <f t="shared" si="1"/>
        <v>11.7</v>
      </c>
      <c r="L10" s="28">
        <v>5165</v>
      </c>
      <c r="M10" s="29">
        <v>5.6</v>
      </c>
      <c r="N10" s="29">
        <v>0</v>
      </c>
      <c r="O10" s="27">
        <f t="shared" si="2"/>
        <v>5170.6000000000004</v>
      </c>
      <c r="P10" s="29">
        <v>7916</v>
      </c>
      <c r="Q10" s="27">
        <f t="shared" si="3"/>
        <v>65.318342597271354</v>
      </c>
    </row>
    <row r="11" spans="1:17" ht="23.1" customHeight="1" x14ac:dyDescent="0.3">
      <c r="A11" s="18" t="s">
        <v>29</v>
      </c>
      <c r="B11" s="19">
        <v>2603</v>
      </c>
      <c r="C11" s="19">
        <v>4532</v>
      </c>
      <c r="D11" s="18">
        <v>1790</v>
      </c>
      <c r="E11" s="20">
        <v>134431</v>
      </c>
      <c r="F11" s="19">
        <v>56175</v>
      </c>
      <c r="G11" s="19">
        <v>88069</v>
      </c>
      <c r="H11" s="21">
        <f t="shared" si="0"/>
        <v>63.785213866400213</v>
      </c>
      <c r="I11" s="22">
        <v>21.6</v>
      </c>
      <c r="J11" s="23">
        <v>0</v>
      </c>
      <c r="K11" s="21">
        <f t="shared" si="1"/>
        <v>21.6</v>
      </c>
      <c r="L11" s="22">
        <v>5112</v>
      </c>
      <c r="M11" s="23">
        <v>10.3</v>
      </c>
      <c r="N11" s="23">
        <v>0</v>
      </c>
      <c r="O11" s="21">
        <f t="shared" si="2"/>
        <v>5122.3</v>
      </c>
      <c r="P11" s="23">
        <v>8187</v>
      </c>
      <c r="Q11" s="21">
        <f t="shared" si="3"/>
        <v>62.566263588616103</v>
      </c>
    </row>
    <row r="12" spans="1:17" ht="23.1" customHeight="1" x14ac:dyDescent="0.3">
      <c r="A12" s="24" t="s">
        <v>30</v>
      </c>
      <c r="B12" s="25">
        <v>2667</v>
      </c>
      <c r="C12" s="25">
        <v>4610</v>
      </c>
      <c r="D12" s="24">
        <v>1787</v>
      </c>
      <c r="E12" s="26">
        <v>135642</v>
      </c>
      <c r="F12" s="25">
        <v>55415</v>
      </c>
      <c r="G12" s="25">
        <v>88338</v>
      </c>
      <c r="H12" s="27">
        <f t="shared" si="0"/>
        <v>62.730648192170982</v>
      </c>
      <c r="I12" s="28">
        <v>25</v>
      </c>
      <c r="J12" s="29">
        <v>0</v>
      </c>
      <c r="K12" s="27">
        <f t="shared" si="1"/>
        <v>25</v>
      </c>
      <c r="L12" s="28">
        <v>5043</v>
      </c>
      <c r="M12" s="29">
        <v>12.2</v>
      </c>
      <c r="N12" s="29">
        <v>0</v>
      </c>
      <c r="O12" s="27">
        <f t="shared" si="2"/>
        <v>5055.2</v>
      </c>
      <c r="P12" s="29">
        <v>8209</v>
      </c>
      <c r="Q12" s="27">
        <f t="shared" si="3"/>
        <v>61.581191375319769</v>
      </c>
    </row>
    <row r="13" spans="1:17" ht="23.1" customHeight="1" x14ac:dyDescent="0.3">
      <c r="A13" s="18" t="s">
        <v>31</v>
      </c>
      <c r="B13" s="19">
        <v>2700</v>
      </c>
      <c r="C13" s="19">
        <v>4667</v>
      </c>
      <c r="D13" s="18">
        <v>1805</v>
      </c>
      <c r="E13" s="20">
        <v>145086</v>
      </c>
      <c r="F13" s="19">
        <v>58309</v>
      </c>
      <c r="G13" s="19">
        <v>88373</v>
      </c>
      <c r="H13" s="21">
        <f t="shared" si="0"/>
        <v>65.980559673203359</v>
      </c>
      <c r="I13" s="22">
        <v>25.8</v>
      </c>
      <c r="J13" s="23">
        <v>0</v>
      </c>
      <c r="K13" s="21">
        <f t="shared" si="1"/>
        <v>25.8</v>
      </c>
      <c r="L13" s="22">
        <v>5306</v>
      </c>
      <c r="M13" s="23">
        <v>12.6</v>
      </c>
      <c r="N13" s="23">
        <v>0</v>
      </c>
      <c r="O13" s="21">
        <f t="shared" si="2"/>
        <v>5318.6</v>
      </c>
      <c r="P13" s="23">
        <v>8200</v>
      </c>
      <c r="Q13" s="21">
        <f t="shared" si="3"/>
        <v>64.860975609756096</v>
      </c>
    </row>
    <row r="14" spans="1:17" ht="23.1" customHeight="1" x14ac:dyDescent="0.3">
      <c r="A14" s="24" t="s">
        <v>32</v>
      </c>
      <c r="B14" s="25">
        <v>2507</v>
      </c>
      <c r="C14" s="25">
        <v>4410</v>
      </c>
      <c r="D14" s="24">
        <v>1658</v>
      </c>
      <c r="E14" s="26">
        <v>134676</v>
      </c>
      <c r="F14" s="25">
        <v>54529</v>
      </c>
      <c r="G14" s="25">
        <v>82734</v>
      </c>
      <c r="H14" s="27">
        <f t="shared" si="0"/>
        <v>65.908816206154668</v>
      </c>
      <c r="I14" s="28">
        <v>22.8</v>
      </c>
      <c r="J14" s="29">
        <v>0</v>
      </c>
      <c r="K14" s="27">
        <f t="shared" si="1"/>
        <v>22.8</v>
      </c>
      <c r="L14" s="28">
        <v>4962</v>
      </c>
      <c r="M14" s="29">
        <v>11</v>
      </c>
      <c r="N14" s="29">
        <v>0</v>
      </c>
      <c r="O14" s="27">
        <f t="shared" si="2"/>
        <v>4973</v>
      </c>
      <c r="P14" s="29">
        <v>7676</v>
      </c>
      <c r="Q14" s="27">
        <f t="shared" si="3"/>
        <v>64.786347055758213</v>
      </c>
    </row>
    <row r="15" spans="1:17" ht="23.1" customHeight="1" x14ac:dyDescent="0.3">
      <c r="A15" s="31" t="s">
        <v>33</v>
      </c>
      <c r="B15" s="32">
        <v>2690</v>
      </c>
      <c r="C15" s="32">
        <v>4690</v>
      </c>
      <c r="D15" s="33">
        <v>1751</v>
      </c>
      <c r="E15" s="34">
        <v>145520</v>
      </c>
      <c r="F15" s="32">
        <v>58192</v>
      </c>
      <c r="G15" s="32">
        <v>88009</v>
      </c>
      <c r="H15" s="35">
        <f t="shared" si="0"/>
        <v>66.120510402345218</v>
      </c>
      <c r="I15" s="36">
        <v>24.3</v>
      </c>
      <c r="J15" s="37">
        <v>0</v>
      </c>
      <c r="K15" s="35">
        <f t="shared" si="1"/>
        <v>24.3</v>
      </c>
      <c r="L15" s="36">
        <v>5295.6</v>
      </c>
      <c r="M15" s="37">
        <v>11.7</v>
      </c>
      <c r="N15" s="37">
        <v>0</v>
      </c>
      <c r="O15" s="35">
        <f t="shared" si="2"/>
        <v>5307.3</v>
      </c>
      <c r="P15" s="23">
        <v>8157</v>
      </c>
      <c r="Q15" s="21">
        <f t="shared" si="3"/>
        <v>65.064361897756527</v>
      </c>
    </row>
    <row r="16" spans="1:17" ht="23.1" customHeight="1" x14ac:dyDescent="0.3">
      <c r="A16" s="38" t="s">
        <v>34</v>
      </c>
      <c r="B16" s="39">
        <f>SUM(B4:B15)</f>
        <v>30366</v>
      </c>
      <c r="C16" s="39">
        <f t="shared" ref="C16:G16" si="4">SUM(C4:C15)</f>
        <v>53810</v>
      </c>
      <c r="D16" s="39">
        <f t="shared" si="4"/>
        <v>21585</v>
      </c>
      <c r="E16" s="39">
        <f t="shared" si="4"/>
        <v>1660724</v>
      </c>
      <c r="F16" s="39">
        <f t="shared" si="4"/>
        <v>686769.28899999999</v>
      </c>
      <c r="G16" s="39">
        <f t="shared" si="4"/>
        <v>1031070.164</v>
      </c>
      <c r="H16" s="40">
        <f t="shared" si="0"/>
        <v>66.607425273145608</v>
      </c>
      <c r="I16" s="40">
        <f t="shared" ref="I16:J16" si="5">SUM(I4:I15)</f>
        <v>197.50000000000003</v>
      </c>
      <c r="J16" s="40">
        <f t="shared" si="5"/>
        <v>0</v>
      </c>
      <c r="K16" s="40">
        <f t="shared" si="1"/>
        <v>197.50000000000003</v>
      </c>
      <c r="L16" s="40">
        <f t="shared" ref="L16:N16" si="6">SUM(L4:L15)</f>
        <v>62466.6</v>
      </c>
      <c r="M16" s="40">
        <f t="shared" si="6"/>
        <v>93.4</v>
      </c>
      <c r="N16" s="40">
        <f t="shared" si="6"/>
        <v>0</v>
      </c>
      <c r="O16" s="40">
        <f t="shared" si="2"/>
        <v>62560</v>
      </c>
      <c r="P16" s="41">
        <f>SUM(P4:P15)</f>
        <v>95739</v>
      </c>
      <c r="Q16" s="41">
        <f t="shared" si="3"/>
        <v>65.344321540855859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2019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/>
      <c r="C23" s="58"/>
      <c r="D23" s="59"/>
      <c r="E23" s="57"/>
      <c r="F23" s="58"/>
      <c r="G23" s="58"/>
      <c r="H23" s="60" t="str">
        <f t="shared" ref="H23:H35" si="7">IFERROR(F23/G23*100," ")</f>
        <v xml:space="preserve"> </v>
      </c>
      <c r="I23" s="61"/>
      <c r="J23" s="61"/>
      <c r="K23" s="61" t="str">
        <f>IF(AND(ISBLANK(I23),ISBLANK(J23))=TRUE,"",I23+J23)</f>
        <v/>
      </c>
      <c r="L23" s="62"/>
      <c r="M23" s="61"/>
      <c r="N23" s="61"/>
      <c r="O23" s="63" t="str">
        <f>IF(AND(ISBLANK(L23),ISBLANK(M23),ISBLANK(N23))=TRUE,"",L23+M23+N23)</f>
        <v/>
      </c>
      <c r="P23" s="62"/>
      <c r="Q23" s="63" t="str">
        <f>IFERROR(O23/P23*100," ")</f>
        <v xml:space="preserve"> </v>
      </c>
    </row>
    <row r="24" spans="1:17" ht="23.1" customHeight="1" x14ac:dyDescent="0.3">
      <c r="A24" s="64" t="s">
        <v>23</v>
      </c>
      <c r="B24" s="65"/>
      <c r="C24" s="64"/>
      <c r="D24" s="66"/>
      <c r="E24" s="65"/>
      <c r="F24" s="64"/>
      <c r="G24" s="64"/>
      <c r="H24" s="67" t="str">
        <f t="shared" si="7"/>
        <v xml:space="preserve"> </v>
      </c>
      <c r="I24" s="68"/>
      <c r="J24" s="68"/>
      <c r="K24" s="68" t="str">
        <f t="shared" ref="K24:K35" si="8">IF(AND(ISBLANK(I24),ISBLANK(J24))=TRUE,"",I24+J24)</f>
        <v/>
      </c>
      <c r="L24" s="69"/>
      <c r="M24" s="68"/>
      <c r="N24" s="68"/>
      <c r="O24" s="67" t="str">
        <f t="shared" ref="O24:O35" si="9">IF(AND(ISBLANK(L24),ISBLANK(M24),ISBLANK(N24))=TRUE,"",L24+M24+N24)</f>
        <v/>
      </c>
      <c r="P24" s="69"/>
      <c r="Q24" s="67" t="str">
        <f t="shared" ref="Q24:Q35" si="10">IFERROR(O24/P24*100," ")</f>
        <v xml:space="preserve"> </v>
      </c>
    </row>
    <row r="25" spans="1:17" ht="23.1" customHeight="1" x14ac:dyDescent="0.3">
      <c r="A25" s="56" t="s">
        <v>24</v>
      </c>
      <c r="B25" s="70"/>
      <c r="C25" s="56"/>
      <c r="D25" s="71"/>
      <c r="E25" s="70"/>
      <c r="F25" s="56"/>
      <c r="G25" s="56"/>
      <c r="H25" s="60" t="str">
        <f t="shared" si="7"/>
        <v xml:space="preserve"> </v>
      </c>
      <c r="I25" s="72"/>
      <c r="J25" s="72"/>
      <c r="K25" s="72" t="str">
        <f t="shared" si="8"/>
        <v/>
      </c>
      <c r="L25" s="73"/>
      <c r="M25" s="72"/>
      <c r="N25" s="72"/>
      <c r="O25" s="60" t="str">
        <f t="shared" si="9"/>
        <v/>
      </c>
      <c r="P25" s="73"/>
      <c r="Q25" s="60" t="str">
        <f t="shared" si="10"/>
        <v xml:space="preserve"> </v>
      </c>
    </row>
    <row r="26" spans="1:17" ht="23.1" customHeight="1" x14ac:dyDescent="0.3">
      <c r="A26" s="64" t="s">
        <v>25</v>
      </c>
      <c r="B26" s="65"/>
      <c r="C26" s="64"/>
      <c r="D26" s="66"/>
      <c r="E26" s="65"/>
      <c r="F26" s="64"/>
      <c r="G26" s="64"/>
      <c r="H26" s="67" t="str">
        <f t="shared" si="7"/>
        <v xml:space="preserve"> </v>
      </c>
      <c r="I26" s="68"/>
      <c r="J26" s="68"/>
      <c r="K26" s="68" t="str">
        <f t="shared" si="8"/>
        <v/>
      </c>
      <c r="L26" s="69"/>
      <c r="M26" s="68"/>
      <c r="N26" s="68"/>
      <c r="O26" s="67" t="str">
        <f t="shared" si="9"/>
        <v/>
      </c>
      <c r="P26" s="69"/>
      <c r="Q26" s="67" t="str">
        <f t="shared" si="10"/>
        <v xml:space="preserve"> </v>
      </c>
    </row>
    <row r="27" spans="1:17" s="30" customFormat="1" ht="30" customHeight="1" x14ac:dyDescent="0.25">
      <c r="A27" s="56" t="s">
        <v>26</v>
      </c>
      <c r="B27" s="70"/>
      <c r="C27" s="56"/>
      <c r="D27" s="71"/>
      <c r="E27" s="70"/>
      <c r="F27" s="56"/>
      <c r="G27" s="56"/>
      <c r="H27" s="60" t="str">
        <f t="shared" si="7"/>
        <v xml:space="preserve"> </v>
      </c>
      <c r="I27" s="72"/>
      <c r="J27" s="72"/>
      <c r="K27" s="72" t="str">
        <f t="shared" si="8"/>
        <v/>
      </c>
      <c r="L27" s="73"/>
      <c r="M27" s="72"/>
      <c r="N27" s="72"/>
      <c r="O27" s="60" t="str">
        <f t="shared" si="9"/>
        <v/>
      </c>
      <c r="P27" s="73"/>
      <c r="Q27" s="60" t="str">
        <f t="shared" si="10"/>
        <v xml:space="preserve"> </v>
      </c>
    </row>
    <row r="28" spans="1:17" ht="23.1" customHeight="1" x14ac:dyDescent="0.3">
      <c r="A28" s="64" t="s">
        <v>27</v>
      </c>
      <c r="B28" s="65"/>
      <c r="C28" s="64"/>
      <c r="D28" s="66"/>
      <c r="E28" s="65"/>
      <c r="F28" s="64"/>
      <c r="G28" s="64"/>
      <c r="H28" s="67" t="str">
        <f t="shared" si="7"/>
        <v xml:space="preserve"> </v>
      </c>
      <c r="I28" s="68"/>
      <c r="J28" s="68"/>
      <c r="K28" s="68" t="str">
        <f t="shared" si="8"/>
        <v/>
      </c>
      <c r="L28" s="69"/>
      <c r="M28" s="68"/>
      <c r="N28" s="68"/>
      <c r="O28" s="67" t="str">
        <f t="shared" si="9"/>
        <v/>
      </c>
      <c r="P28" s="69"/>
      <c r="Q28" s="67" t="str">
        <f t="shared" si="10"/>
        <v xml:space="preserve"> </v>
      </c>
    </row>
    <row r="29" spans="1:17" ht="23.1" customHeight="1" x14ac:dyDescent="0.3">
      <c r="A29" s="56" t="s">
        <v>28</v>
      </c>
      <c r="B29" s="70"/>
      <c r="C29" s="56"/>
      <c r="D29" s="71"/>
      <c r="E29" s="70"/>
      <c r="F29" s="56"/>
      <c r="G29" s="56"/>
      <c r="H29" s="60" t="str">
        <f t="shared" si="7"/>
        <v xml:space="preserve"> </v>
      </c>
      <c r="I29" s="72"/>
      <c r="J29" s="72"/>
      <c r="K29" s="72" t="str">
        <f t="shared" si="8"/>
        <v/>
      </c>
      <c r="L29" s="73"/>
      <c r="M29" s="72"/>
      <c r="N29" s="72"/>
      <c r="O29" s="60" t="str">
        <f t="shared" si="9"/>
        <v/>
      </c>
      <c r="P29" s="73"/>
      <c r="Q29" s="60" t="str">
        <f t="shared" si="10"/>
        <v xml:space="preserve"> </v>
      </c>
    </row>
    <row r="30" spans="1:17" ht="23.1" customHeight="1" x14ac:dyDescent="0.3">
      <c r="A30" s="64" t="s">
        <v>29</v>
      </c>
      <c r="B30" s="65"/>
      <c r="C30" s="64"/>
      <c r="D30" s="66"/>
      <c r="E30" s="65"/>
      <c r="F30" s="64"/>
      <c r="G30" s="64"/>
      <c r="H30" s="67" t="str">
        <f t="shared" si="7"/>
        <v xml:space="preserve"> </v>
      </c>
      <c r="I30" s="68"/>
      <c r="J30" s="68"/>
      <c r="K30" s="68" t="str">
        <f t="shared" si="8"/>
        <v/>
      </c>
      <c r="L30" s="69"/>
      <c r="M30" s="68"/>
      <c r="N30" s="68"/>
      <c r="O30" s="67" t="str">
        <f t="shared" si="9"/>
        <v/>
      </c>
      <c r="P30" s="69"/>
      <c r="Q30" s="67" t="str">
        <f t="shared" si="10"/>
        <v xml:space="preserve"> </v>
      </c>
    </row>
    <row r="31" spans="1:17" ht="23.1" customHeight="1" x14ac:dyDescent="0.3">
      <c r="A31" s="56" t="s">
        <v>30</v>
      </c>
      <c r="B31" s="70"/>
      <c r="C31" s="56"/>
      <c r="D31" s="71"/>
      <c r="E31" s="70"/>
      <c r="F31" s="56"/>
      <c r="G31" s="56"/>
      <c r="H31" s="60" t="str">
        <f t="shared" si="7"/>
        <v xml:space="preserve"> </v>
      </c>
      <c r="I31" s="72"/>
      <c r="J31" s="72"/>
      <c r="K31" s="72" t="str">
        <f t="shared" si="8"/>
        <v/>
      </c>
      <c r="L31" s="73"/>
      <c r="M31" s="72"/>
      <c r="N31" s="72"/>
      <c r="O31" s="60" t="str">
        <f t="shared" si="9"/>
        <v/>
      </c>
      <c r="P31" s="73"/>
      <c r="Q31" s="60" t="str">
        <f t="shared" si="10"/>
        <v xml:space="preserve"> </v>
      </c>
    </row>
    <row r="32" spans="1:17" ht="23.1" customHeight="1" x14ac:dyDescent="0.3">
      <c r="A32" s="64" t="s">
        <v>31</v>
      </c>
      <c r="B32" s="65">
        <v>2</v>
      </c>
      <c r="C32" s="64">
        <v>2.8</v>
      </c>
      <c r="D32" s="66">
        <v>0.7</v>
      </c>
      <c r="E32" s="65">
        <v>10</v>
      </c>
      <c r="F32" s="64">
        <v>4</v>
      </c>
      <c r="G32" s="64">
        <v>50</v>
      </c>
      <c r="H32" s="67">
        <f t="shared" si="7"/>
        <v>8</v>
      </c>
      <c r="I32" s="68">
        <v>0</v>
      </c>
      <c r="J32" s="68">
        <v>0</v>
      </c>
      <c r="K32" s="68">
        <f t="shared" si="8"/>
        <v>0</v>
      </c>
      <c r="L32" s="69">
        <v>0.3</v>
      </c>
      <c r="M32" s="68">
        <v>0</v>
      </c>
      <c r="N32" s="68">
        <v>0</v>
      </c>
      <c r="O32" s="67">
        <f t="shared" si="9"/>
        <v>0.3</v>
      </c>
      <c r="P32" s="69">
        <v>4.5999999999999996</v>
      </c>
      <c r="Q32" s="67">
        <f t="shared" si="10"/>
        <v>6.5217391304347823</v>
      </c>
    </row>
    <row r="33" spans="1:17" ht="23.1" customHeight="1" x14ac:dyDescent="0.3">
      <c r="A33" s="56" t="s">
        <v>32</v>
      </c>
      <c r="B33" s="70">
        <v>18</v>
      </c>
      <c r="C33" s="56">
        <v>23.6</v>
      </c>
      <c r="D33" s="71">
        <v>6.4</v>
      </c>
      <c r="E33" s="70">
        <v>464</v>
      </c>
      <c r="F33" s="56">
        <v>164</v>
      </c>
      <c r="G33" s="56">
        <v>447</v>
      </c>
      <c r="H33" s="60">
        <f t="shared" si="7"/>
        <v>36.68903803131991</v>
      </c>
      <c r="I33" s="72">
        <v>0</v>
      </c>
      <c r="J33" s="72">
        <v>0</v>
      </c>
      <c r="K33" s="72">
        <f t="shared" si="8"/>
        <v>0</v>
      </c>
      <c r="L33" s="73">
        <v>14.9</v>
      </c>
      <c r="M33" s="72">
        <v>0</v>
      </c>
      <c r="N33" s="72">
        <v>0</v>
      </c>
      <c r="O33" s="60">
        <f t="shared" si="9"/>
        <v>14.9</v>
      </c>
      <c r="P33" s="73">
        <v>41.4</v>
      </c>
      <c r="Q33" s="60">
        <f t="shared" si="10"/>
        <v>35.990338164251213</v>
      </c>
    </row>
    <row r="34" spans="1:17" ht="23.1" customHeight="1" x14ac:dyDescent="0.3">
      <c r="A34" s="64" t="s">
        <v>33</v>
      </c>
      <c r="B34" s="74">
        <v>26</v>
      </c>
      <c r="C34" s="75">
        <v>33.299999999999997</v>
      </c>
      <c r="D34" s="76">
        <v>9.1999999999999993</v>
      </c>
      <c r="E34" s="74">
        <v>1158</v>
      </c>
      <c r="F34" s="75">
        <v>410</v>
      </c>
      <c r="G34" s="75">
        <v>644</v>
      </c>
      <c r="H34" s="67">
        <f t="shared" si="7"/>
        <v>63.664596273291927</v>
      </c>
      <c r="I34" s="77">
        <v>0</v>
      </c>
      <c r="J34" s="77">
        <v>0</v>
      </c>
      <c r="K34" s="77">
        <f t="shared" si="8"/>
        <v>0</v>
      </c>
      <c r="L34" s="78">
        <v>37.299999999999997</v>
      </c>
      <c r="M34" s="77">
        <v>0</v>
      </c>
      <c r="N34" s="77">
        <v>0</v>
      </c>
      <c r="O34" s="79">
        <f t="shared" si="9"/>
        <v>37.299999999999997</v>
      </c>
      <c r="P34" s="78">
        <v>59.8</v>
      </c>
      <c r="Q34" s="79">
        <f t="shared" si="10"/>
        <v>62.374581939799334</v>
      </c>
    </row>
    <row r="35" spans="1:17" ht="23.1" customHeight="1" x14ac:dyDescent="0.3">
      <c r="A35" s="80" t="s">
        <v>34</v>
      </c>
      <c r="B35" s="81">
        <f>SUM(B23:B34)</f>
        <v>46</v>
      </c>
      <c r="C35" s="81">
        <f t="shared" ref="C35:G35" si="11">SUM(C23:C34)</f>
        <v>59.7</v>
      </c>
      <c r="D35" s="81">
        <f t="shared" si="11"/>
        <v>16.3</v>
      </c>
      <c r="E35" s="81">
        <f t="shared" si="11"/>
        <v>1632</v>
      </c>
      <c r="F35" s="81">
        <f t="shared" si="11"/>
        <v>578</v>
      </c>
      <c r="G35" s="81">
        <f t="shared" si="11"/>
        <v>1141</v>
      </c>
      <c r="H35" s="82">
        <f t="shared" si="7"/>
        <v>50.657318141980724</v>
      </c>
      <c r="I35" s="83">
        <f t="shared" ref="I35:J35" si="12">SUM(I23:I34)</f>
        <v>0</v>
      </c>
      <c r="J35" s="83">
        <f t="shared" si="12"/>
        <v>0</v>
      </c>
      <c r="K35" s="83">
        <f t="shared" si="8"/>
        <v>0</v>
      </c>
      <c r="L35" s="83">
        <f t="shared" ref="L35:N35" si="13">SUM(L23:L34)</f>
        <v>52.5</v>
      </c>
      <c r="M35" s="83">
        <f t="shared" si="13"/>
        <v>0</v>
      </c>
      <c r="N35" s="83">
        <f t="shared" si="13"/>
        <v>0</v>
      </c>
      <c r="O35" s="83">
        <f t="shared" si="9"/>
        <v>52.5</v>
      </c>
      <c r="P35" s="83">
        <f>SUM(P23:P34)</f>
        <v>105.8</v>
      </c>
      <c r="Q35" s="83">
        <f t="shared" si="10"/>
        <v>49.621928166351609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2019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/>
      <c r="C42" s="94"/>
      <c r="D42" s="95"/>
      <c r="E42" s="93"/>
      <c r="F42" s="94"/>
      <c r="G42" s="94"/>
      <c r="H42" s="96" t="str">
        <f t="shared" ref="H42:H54" si="14">IFERROR(F42/G42*100," ")</f>
        <v xml:space="preserve"> </v>
      </c>
      <c r="I42" s="97"/>
      <c r="J42" s="98"/>
      <c r="K42" s="96" t="str">
        <f>IF(AND(ISBLANK(I42),ISBLANK(J42))=TRUE,"",I42+J42)</f>
        <v/>
      </c>
      <c r="L42" s="97"/>
      <c r="M42" s="98"/>
      <c r="N42" s="98"/>
      <c r="O42" s="96" t="str">
        <f>IF(AND(ISBLANK(L42),ISBLANK(M42),ISBLANK(N42))=TRUE,"",L42+M42+N42)</f>
        <v/>
      </c>
      <c r="P42" s="97"/>
      <c r="Q42" s="96" t="str">
        <f>IFERROR(O42/P42*100," ")</f>
        <v xml:space="preserve"> </v>
      </c>
    </row>
    <row r="43" spans="1:17" ht="25.5" customHeight="1" x14ac:dyDescent="0.3">
      <c r="A43" s="99" t="s">
        <v>23</v>
      </c>
      <c r="B43" s="100"/>
      <c r="C43" s="101"/>
      <c r="D43" s="102"/>
      <c r="E43" s="100"/>
      <c r="F43" s="101"/>
      <c r="G43" s="101"/>
      <c r="H43" s="103" t="str">
        <f t="shared" si="14"/>
        <v xml:space="preserve"> </v>
      </c>
      <c r="I43" s="104"/>
      <c r="J43" s="105"/>
      <c r="K43" s="103" t="str">
        <f t="shared" ref="K43:K54" si="15">IF(AND(ISBLANK(I43),ISBLANK(J43))=TRUE,"",I43+J43)</f>
        <v/>
      </c>
      <c r="L43" s="104"/>
      <c r="M43" s="105"/>
      <c r="N43" s="105"/>
      <c r="O43" s="103" t="str">
        <f t="shared" ref="O43:O54" si="16">IF(AND(ISBLANK(L43),ISBLANK(M43),ISBLANK(N43))=TRUE,"",L43+M43+N43)</f>
        <v/>
      </c>
      <c r="P43" s="104"/>
      <c r="Q43" s="103" t="str">
        <f t="shared" ref="Q43:Q54" si="17">IFERROR(O43/P43*100," ")</f>
        <v xml:space="preserve"> </v>
      </c>
    </row>
    <row r="44" spans="1:17" ht="25.5" customHeight="1" x14ac:dyDescent="0.3">
      <c r="A44" s="92" t="s">
        <v>24</v>
      </c>
      <c r="B44" s="106"/>
      <c r="C44" s="107"/>
      <c r="D44" s="108"/>
      <c r="E44" s="106"/>
      <c r="F44" s="107"/>
      <c r="G44" s="107"/>
      <c r="H44" s="109" t="str">
        <f t="shared" si="14"/>
        <v xml:space="preserve"> </v>
      </c>
      <c r="I44" s="110"/>
      <c r="J44" s="111"/>
      <c r="K44" s="109" t="str">
        <f t="shared" si="15"/>
        <v/>
      </c>
      <c r="L44" s="110"/>
      <c r="M44" s="111"/>
      <c r="N44" s="111"/>
      <c r="O44" s="109" t="str">
        <f t="shared" si="16"/>
        <v/>
      </c>
      <c r="P44" s="110"/>
      <c r="Q44" s="109" t="str">
        <f t="shared" si="17"/>
        <v xml:space="preserve"> </v>
      </c>
    </row>
    <row r="45" spans="1:17" ht="25.5" customHeight="1" x14ac:dyDescent="0.3">
      <c r="A45" s="99" t="s">
        <v>25</v>
      </c>
      <c r="B45" s="100"/>
      <c r="C45" s="112"/>
      <c r="D45" s="102"/>
      <c r="E45" s="100"/>
      <c r="F45" s="101"/>
      <c r="G45" s="101"/>
      <c r="H45" s="103" t="str">
        <f t="shared" si="14"/>
        <v xml:space="preserve"> </v>
      </c>
      <c r="I45" s="104"/>
      <c r="J45" s="105"/>
      <c r="K45" s="103" t="str">
        <f t="shared" si="15"/>
        <v/>
      </c>
      <c r="L45" s="104"/>
      <c r="M45" s="105"/>
      <c r="N45" s="105"/>
      <c r="O45" s="103" t="str">
        <f t="shared" si="16"/>
        <v/>
      </c>
      <c r="P45" s="104"/>
      <c r="Q45" s="103" t="str">
        <f t="shared" si="17"/>
        <v xml:space="preserve"> </v>
      </c>
    </row>
    <row r="46" spans="1:17" ht="25.5" customHeight="1" x14ac:dyDescent="0.3">
      <c r="A46" s="92" t="s">
        <v>26</v>
      </c>
      <c r="B46" s="106"/>
      <c r="C46" s="113"/>
      <c r="D46" s="108"/>
      <c r="E46" s="106"/>
      <c r="F46" s="107"/>
      <c r="G46" s="107"/>
      <c r="H46" s="109" t="str">
        <f t="shared" si="14"/>
        <v xml:space="preserve"> </v>
      </c>
      <c r="I46" s="110"/>
      <c r="J46" s="111"/>
      <c r="K46" s="109" t="str">
        <f t="shared" si="15"/>
        <v/>
      </c>
      <c r="L46" s="110"/>
      <c r="M46" s="111"/>
      <c r="N46" s="111"/>
      <c r="O46" s="109" t="str">
        <f t="shared" si="16"/>
        <v/>
      </c>
      <c r="P46" s="110"/>
      <c r="Q46" s="109" t="str">
        <f t="shared" si="17"/>
        <v xml:space="preserve"> </v>
      </c>
    </row>
    <row r="47" spans="1:17" ht="25.5" customHeight="1" x14ac:dyDescent="0.3">
      <c r="A47" s="99" t="s">
        <v>27</v>
      </c>
      <c r="B47" s="114"/>
      <c r="C47" s="115"/>
      <c r="D47" s="102"/>
      <c r="E47" s="114"/>
      <c r="F47" s="115"/>
      <c r="G47" s="115"/>
      <c r="H47" s="103" t="str">
        <f t="shared" si="14"/>
        <v xml:space="preserve"> </v>
      </c>
      <c r="I47" s="116"/>
      <c r="J47" s="117"/>
      <c r="K47" s="103" t="str">
        <f t="shared" si="15"/>
        <v/>
      </c>
      <c r="L47" s="116"/>
      <c r="M47" s="117"/>
      <c r="N47" s="117"/>
      <c r="O47" s="103" t="str">
        <f t="shared" si="16"/>
        <v/>
      </c>
      <c r="P47" s="116"/>
      <c r="Q47" s="103" t="str">
        <f t="shared" si="17"/>
        <v xml:space="preserve"> </v>
      </c>
    </row>
    <row r="48" spans="1:17" s="125" customFormat="1" ht="25.5" customHeight="1" x14ac:dyDescent="0.3">
      <c r="A48" s="118" t="s">
        <v>28</v>
      </c>
      <c r="B48" s="119"/>
      <c r="C48" s="120"/>
      <c r="D48" s="121"/>
      <c r="E48" s="119"/>
      <c r="F48" s="120"/>
      <c r="G48" s="120"/>
      <c r="H48" s="122" t="str">
        <f t="shared" si="14"/>
        <v xml:space="preserve"> </v>
      </c>
      <c r="I48" s="123"/>
      <c r="J48" s="124"/>
      <c r="K48" s="122" t="str">
        <f t="shared" si="15"/>
        <v/>
      </c>
      <c r="L48" s="123"/>
      <c r="M48" s="124"/>
      <c r="N48" s="124"/>
      <c r="O48" s="122" t="str">
        <f t="shared" si="16"/>
        <v/>
      </c>
      <c r="P48" s="123"/>
      <c r="Q48" s="122" t="str">
        <f t="shared" si="17"/>
        <v xml:space="preserve"> </v>
      </c>
    </row>
    <row r="49" spans="1:17" ht="25.5" customHeight="1" x14ac:dyDescent="0.3">
      <c r="A49" s="99" t="s">
        <v>29</v>
      </c>
      <c r="B49" s="114"/>
      <c r="C49" s="115"/>
      <c r="D49" s="126"/>
      <c r="E49" s="114"/>
      <c r="F49" s="115"/>
      <c r="G49" s="115"/>
      <c r="H49" s="103" t="str">
        <f t="shared" si="14"/>
        <v xml:space="preserve"> </v>
      </c>
      <c r="I49" s="116"/>
      <c r="J49" s="117"/>
      <c r="K49" s="103" t="str">
        <f t="shared" si="15"/>
        <v/>
      </c>
      <c r="L49" s="116"/>
      <c r="M49" s="117"/>
      <c r="N49" s="117"/>
      <c r="O49" s="103" t="str">
        <f t="shared" si="16"/>
        <v/>
      </c>
      <c r="P49" s="116"/>
      <c r="Q49" s="103" t="str">
        <f t="shared" si="17"/>
        <v xml:space="preserve"> </v>
      </c>
    </row>
    <row r="50" spans="1:17" ht="25.5" customHeight="1" x14ac:dyDescent="0.3">
      <c r="A50" s="92" t="s">
        <v>30</v>
      </c>
      <c r="B50" s="127"/>
      <c r="C50" s="128"/>
      <c r="D50" s="129"/>
      <c r="E50" s="127"/>
      <c r="F50" s="128"/>
      <c r="G50" s="128"/>
      <c r="H50" s="109" t="str">
        <f t="shared" si="14"/>
        <v xml:space="preserve"> </v>
      </c>
      <c r="I50" s="130"/>
      <c r="J50" s="131"/>
      <c r="K50" s="109" t="str">
        <f t="shared" si="15"/>
        <v/>
      </c>
      <c r="L50" s="130"/>
      <c r="M50" s="131"/>
      <c r="N50" s="131"/>
      <c r="O50" s="109" t="str">
        <f t="shared" si="16"/>
        <v/>
      </c>
      <c r="P50" s="130"/>
      <c r="Q50" s="109" t="str">
        <f t="shared" si="17"/>
        <v xml:space="preserve"> </v>
      </c>
    </row>
    <row r="51" spans="1:17" ht="25.5" customHeight="1" x14ac:dyDescent="0.3">
      <c r="A51" s="99" t="s">
        <v>31</v>
      </c>
      <c r="B51" s="114"/>
      <c r="C51" s="115"/>
      <c r="D51" s="126"/>
      <c r="E51" s="114"/>
      <c r="F51" s="115"/>
      <c r="G51" s="115"/>
      <c r="H51" s="103" t="str">
        <f t="shared" si="14"/>
        <v xml:space="preserve"> </v>
      </c>
      <c r="I51" s="116"/>
      <c r="J51" s="117"/>
      <c r="K51" s="103" t="str">
        <f t="shared" si="15"/>
        <v/>
      </c>
      <c r="L51" s="116"/>
      <c r="M51" s="117"/>
      <c r="N51" s="117"/>
      <c r="O51" s="103" t="str">
        <f t="shared" si="16"/>
        <v/>
      </c>
      <c r="P51" s="116"/>
      <c r="Q51" s="103" t="str">
        <f t="shared" si="17"/>
        <v xml:space="preserve"> </v>
      </c>
    </row>
    <row r="52" spans="1:17" ht="25.5" customHeight="1" x14ac:dyDescent="0.3">
      <c r="A52" s="92" t="s">
        <v>32</v>
      </c>
      <c r="B52" s="127"/>
      <c r="C52" s="128"/>
      <c r="D52" s="129"/>
      <c r="E52" s="127"/>
      <c r="F52" s="128"/>
      <c r="G52" s="128"/>
      <c r="H52" s="109" t="str">
        <f t="shared" si="14"/>
        <v xml:space="preserve"> </v>
      </c>
      <c r="I52" s="130"/>
      <c r="J52" s="131"/>
      <c r="K52" s="109" t="str">
        <f t="shared" si="15"/>
        <v/>
      </c>
      <c r="L52" s="130"/>
      <c r="M52" s="131"/>
      <c r="N52" s="131"/>
      <c r="O52" s="109" t="str">
        <f t="shared" si="16"/>
        <v/>
      </c>
      <c r="P52" s="130"/>
      <c r="Q52" s="109" t="str">
        <f t="shared" si="17"/>
        <v xml:space="preserve"> </v>
      </c>
    </row>
    <row r="53" spans="1:17" ht="25.5" customHeight="1" x14ac:dyDescent="0.3">
      <c r="A53" s="99" t="s">
        <v>33</v>
      </c>
      <c r="B53" s="132"/>
      <c r="C53" s="133"/>
      <c r="D53" s="134"/>
      <c r="E53" s="132"/>
      <c r="F53" s="133"/>
      <c r="G53" s="133"/>
      <c r="H53" s="135" t="str">
        <f t="shared" si="14"/>
        <v xml:space="preserve"> </v>
      </c>
      <c r="I53" s="136"/>
      <c r="J53" s="137"/>
      <c r="K53" s="135" t="str">
        <f t="shared" si="15"/>
        <v/>
      </c>
      <c r="L53" s="136"/>
      <c r="M53" s="137"/>
      <c r="N53" s="137"/>
      <c r="O53" s="135" t="str">
        <f t="shared" si="16"/>
        <v/>
      </c>
      <c r="P53" s="136"/>
      <c r="Q53" s="135" t="str">
        <f t="shared" si="17"/>
        <v xml:space="preserve"> </v>
      </c>
    </row>
    <row r="54" spans="1:17" ht="25.5" customHeight="1" x14ac:dyDescent="0.3">
      <c r="A54" s="138" t="s">
        <v>34</v>
      </c>
      <c r="B54" s="139">
        <f>SUM(B42:B53)</f>
        <v>0</v>
      </c>
      <c r="C54" s="139">
        <f t="shared" ref="C54:G54" si="18">SUM(C42:C53)</f>
        <v>0</v>
      </c>
      <c r="D54" s="139">
        <f t="shared" si="18"/>
        <v>0</v>
      </c>
      <c r="E54" s="139">
        <f t="shared" si="18"/>
        <v>0</v>
      </c>
      <c r="F54" s="139">
        <f t="shared" si="18"/>
        <v>0</v>
      </c>
      <c r="G54" s="139">
        <f t="shared" si="18"/>
        <v>0</v>
      </c>
      <c r="H54" s="140" t="str">
        <f t="shared" si="14"/>
        <v xml:space="preserve"> </v>
      </c>
      <c r="I54" s="140">
        <f t="shared" ref="I54:J54" si="19">SUM(I42:I53)</f>
        <v>0</v>
      </c>
      <c r="J54" s="140">
        <f t="shared" si="19"/>
        <v>0</v>
      </c>
      <c r="K54" s="140">
        <f t="shared" si="15"/>
        <v>0</v>
      </c>
      <c r="L54" s="140">
        <f t="shared" ref="L54:N54" si="20">SUM(L42:L53)</f>
        <v>0</v>
      </c>
      <c r="M54" s="140">
        <f t="shared" si="20"/>
        <v>0</v>
      </c>
      <c r="N54" s="140">
        <f t="shared" si="20"/>
        <v>0</v>
      </c>
      <c r="O54" s="140">
        <f t="shared" si="16"/>
        <v>0</v>
      </c>
      <c r="P54" s="141">
        <f>SUM(P42:P53)</f>
        <v>0</v>
      </c>
      <c r="Q54" s="140" t="str">
        <f t="shared" si="17"/>
        <v xml:space="preserve"> 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2019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21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21"/>
        <v xml:space="preserve"> </v>
      </c>
      <c r="I62" s="116"/>
      <c r="J62" s="117"/>
      <c r="K62" s="117" t="str">
        <f t="shared" ref="K62:K73" si="22">IF(AND(ISBLANK(I62),ISBLANK(J62))=TRUE,"",I62+J62)</f>
        <v/>
      </c>
      <c r="L62" s="116"/>
      <c r="M62" s="117"/>
      <c r="N62" s="117"/>
      <c r="O62" s="103" t="str">
        <f t="shared" ref="O62:O73" si="23">IF(AND(ISBLANK(L62),ISBLANK(M62),ISBLANK(N62))=TRUE,"",L62+M62+N62)</f>
        <v/>
      </c>
      <c r="P62" s="117"/>
      <c r="Q62" s="158" t="str">
        <f t="shared" ref="Q62:Q73" si="24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21"/>
        <v xml:space="preserve"> </v>
      </c>
      <c r="I63" s="163"/>
      <c r="J63" s="164"/>
      <c r="K63" s="164" t="str">
        <f t="shared" si="22"/>
        <v/>
      </c>
      <c r="L63" s="163"/>
      <c r="M63" s="164"/>
      <c r="N63" s="164"/>
      <c r="O63" s="165" t="str">
        <f t="shared" si="23"/>
        <v/>
      </c>
      <c r="P63" s="164"/>
      <c r="Q63" s="162" t="str">
        <f t="shared" si="24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21"/>
        <v xml:space="preserve"> </v>
      </c>
      <c r="I64" s="116"/>
      <c r="J64" s="117"/>
      <c r="K64" s="117" t="str">
        <f t="shared" si="22"/>
        <v/>
      </c>
      <c r="L64" s="116"/>
      <c r="M64" s="117"/>
      <c r="N64" s="117"/>
      <c r="O64" s="103" t="str">
        <f t="shared" si="23"/>
        <v/>
      </c>
      <c r="P64" s="117"/>
      <c r="Q64" s="158" t="str">
        <f t="shared" si="24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21"/>
        <v xml:space="preserve"> </v>
      </c>
      <c r="I65" s="163"/>
      <c r="J65" s="164"/>
      <c r="K65" s="164" t="str">
        <f t="shared" si="22"/>
        <v/>
      </c>
      <c r="L65" s="163"/>
      <c r="M65" s="164"/>
      <c r="N65" s="164"/>
      <c r="O65" s="165" t="str">
        <f t="shared" si="23"/>
        <v/>
      </c>
      <c r="P65" s="164"/>
      <c r="Q65" s="162" t="str">
        <f t="shared" si="24"/>
        <v xml:space="preserve"> </v>
      </c>
    </row>
    <row r="66" spans="1:17" ht="24.75" customHeight="1" x14ac:dyDescent="0.3">
      <c r="A66" s="99" t="s">
        <v>27</v>
      </c>
      <c r="B66" s="114"/>
      <c r="C66" s="115"/>
      <c r="D66" s="126"/>
      <c r="E66" s="114"/>
      <c r="F66" s="115"/>
      <c r="G66" s="115"/>
      <c r="H66" s="158" t="str">
        <f t="shared" si="21"/>
        <v xml:space="preserve"> </v>
      </c>
      <c r="I66" s="116"/>
      <c r="J66" s="117"/>
      <c r="K66" s="117" t="str">
        <f t="shared" si="22"/>
        <v/>
      </c>
      <c r="L66" s="116"/>
      <c r="M66" s="117"/>
      <c r="N66" s="117"/>
      <c r="O66" s="103" t="str">
        <f t="shared" si="23"/>
        <v/>
      </c>
      <c r="P66" s="117"/>
      <c r="Q66" s="158" t="str">
        <f t="shared" si="24"/>
        <v xml:space="preserve"> </v>
      </c>
    </row>
    <row r="67" spans="1:17" ht="24.75" customHeight="1" x14ac:dyDescent="0.3">
      <c r="A67" s="150" t="s">
        <v>28</v>
      </c>
      <c r="B67" s="159"/>
      <c r="C67" s="160"/>
      <c r="D67" s="161"/>
      <c r="E67" s="159"/>
      <c r="F67" s="160"/>
      <c r="G67" s="160"/>
      <c r="H67" s="162" t="str">
        <f t="shared" si="21"/>
        <v xml:space="preserve"> </v>
      </c>
      <c r="I67" s="163"/>
      <c r="J67" s="164"/>
      <c r="K67" s="164" t="str">
        <f t="shared" si="22"/>
        <v/>
      </c>
      <c r="L67" s="163"/>
      <c r="M67" s="164"/>
      <c r="N67" s="164"/>
      <c r="O67" s="165" t="str">
        <f t="shared" si="23"/>
        <v/>
      </c>
      <c r="P67" s="164"/>
      <c r="Q67" s="162" t="str">
        <f t="shared" si="24"/>
        <v xml:space="preserve"> </v>
      </c>
    </row>
    <row r="68" spans="1:17" ht="24.75" customHeight="1" x14ac:dyDescent="0.3">
      <c r="A68" s="99" t="s">
        <v>29</v>
      </c>
      <c r="B68" s="114"/>
      <c r="C68" s="115"/>
      <c r="D68" s="126"/>
      <c r="E68" s="114"/>
      <c r="F68" s="115"/>
      <c r="G68" s="115"/>
      <c r="H68" s="158" t="str">
        <f t="shared" si="21"/>
        <v xml:space="preserve"> </v>
      </c>
      <c r="I68" s="116"/>
      <c r="J68" s="117"/>
      <c r="K68" s="117" t="str">
        <f t="shared" si="22"/>
        <v/>
      </c>
      <c r="L68" s="116"/>
      <c r="M68" s="117"/>
      <c r="N68" s="117"/>
      <c r="O68" s="103" t="str">
        <f t="shared" si="23"/>
        <v/>
      </c>
      <c r="P68" s="117"/>
      <c r="Q68" s="158" t="str">
        <f t="shared" si="24"/>
        <v xml:space="preserve"> </v>
      </c>
    </row>
    <row r="69" spans="1:17" ht="24.75" customHeight="1" x14ac:dyDescent="0.3">
      <c r="A69" s="150" t="s">
        <v>30</v>
      </c>
      <c r="B69" s="159"/>
      <c r="C69" s="160"/>
      <c r="D69" s="161"/>
      <c r="E69" s="159"/>
      <c r="F69" s="160"/>
      <c r="G69" s="160"/>
      <c r="H69" s="162" t="str">
        <f t="shared" si="21"/>
        <v xml:space="preserve"> </v>
      </c>
      <c r="I69" s="163"/>
      <c r="J69" s="164"/>
      <c r="K69" s="164" t="str">
        <f t="shared" si="22"/>
        <v/>
      </c>
      <c r="L69" s="163"/>
      <c r="M69" s="164"/>
      <c r="N69" s="164"/>
      <c r="O69" s="165" t="str">
        <f t="shared" si="23"/>
        <v/>
      </c>
      <c r="P69" s="164"/>
      <c r="Q69" s="162" t="str">
        <f t="shared" si="24"/>
        <v xml:space="preserve"> </v>
      </c>
    </row>
    <row r="70" spans="1:17" ht="24.75" customHeight="1" x14ac:dyDescent="0.3">
      <c r="A70" s="99" t="s">
        <v>31</v>
      </c>
      <c r="B70" s="114"/>
      <c r="C70" s="115"/>
      <c r="D70" s="126"/>
      <c r="E70" s="114"/>
      <c r="F70" s="115"/>
      <c r="G70" s="115"/>
      <c r="H70" s="158" t="str">
        <f t="shared" si="21"/>
        <v xml:space="preserve"> </v>
      </c>
      <c r="I70" s="116"/>
      <c r="J70" s="117"/>
      <c r="K70" s="117" t="str">
        <f t="shared" si="22"/>
        <v/>
      </c>
      <c r="L70" s="116"/>
      <c r="M70" s="117"/>
      <c r="N70" s="117"/>
      <c r="O70" s="103" t="str">
        <f t="shared" si="23"/>
        <v/>
      </c>
      <c r="P70" s="117"/>
      <c r="Q70" s="158" t="str">
        <f t="shared" si="24"/>
        <v xml:space="preserve"> </v>
      </c>
    </row>
    <row r="71" spans="1:17" ht="24.75" customHeight="1" x14ac:dyDescent="0.3">
      <c r="A71" s="150" t="s">
        <v>32</v>
      </c>
      <c r="B71" s="159"/>
      <c r="C71" s="160"/>
      <c r="D71" s="161"/>
      <c r="E71" s="159"/>
      <c r="F71" s="160"/>
      <c r="G71" s="160"/>
      <c r="H71" s="162" t="str">
        <f t="shared" si="21"/>
        <v xml:space="preserve"> </v>
      </c>
      <c r="I71" s="163"/>
      <c r="J71" s="164"/>
      <c r="K71" s="164" t="str">
        <f t="shared" si="22"/>
        <v/>
      </c>
      <c r="L71" s="163"/>
      <c r="M71" s="164"/>
      <c r="N71" s="164"/>
      <c r="O71" s="165" t="str">
        <f t="shared" si="23"/>
        <v/>
      </c>
      <c r="P71" s="164"/>
      <c r="Q71" s="162" t="str">
        <f t="shared" si="24"/>
        <v xml:space="preserve"> </v>
      </c>
    </row>
    <row r="72" spans="1:17" ht="24.75" customHeight="1" x14ac:dyDescent="0.3">
      <c r="A72" s="99" t="s">
        <v>33</v>
      </c>
      <c r="B72" s="132"/>
      <c r="C72" s="133"/>
      <c r="D72" s="134"/>
      <c r="E72" s="132"/>
      <c r="F72" s="133"/>
      <c r="G72" s="133"/>
      <c r="H72" s="135" t="str">
        <f t="shared" si="21"/>
        <v xml:space="preserve"> </v>
      </c>
      <c r="I72" s="136"/>
      <c r="J72" s="137"/>
      <c r="K72" s="137" t="str">
        <f t="shared" si="22"/>
        <v/>
      </c>
      <c r="L72" s="136"/>
      <c r="M72" s="137"/>
      <c r="N72" s="137"/>
      <c r="O72" s="135" t="str">
        <f t="shared" si="23"/>
        <v/>
      </c>
      <c r="P72" s="137"/>
      <c r="Q72" s="135" t="str">
        <f t="shared" si="24"/>
        <v xml:space="preserve"> </v>
      </c>
    </row>
    <row r="73" spans="1:17" ht="24.75" customHeight="1" x14ac:dyDescent="0.3">
      <c r="A73" s="166" t="s">
        <v>34</v>
      </c>
      <c r="B73" s="167">
        <f>SUM(B61:B72)</f>
        <v>0</v>
      </c>
      <c r="C73" s="167">
        <f t="shared" ref="C73:G73" si="25">SUM(C61:C72)</f>
        <v>0</v>
      </c>
      <c r="D73" s="167">
        <f t="shared" si="25"/>
        <v>0</v>
      </c>
      <c r="E73" s="167">
        <f t="shared" si="25"/>
        <v>0</v>
      </c>
      <c r="F73" s="167">
        <f t="shared" si="25"/>
        <v>0</v>
      </c>
      <c r="G73" s="167">
        <f t="shared" si="25"/>
        <v>0</v>
      </c>
      <c r="H73" s="168" t="str">
        <f t="shared" si="21"/>
        <v xml:space="preserve"> </v>
      </c>
      <c r="I73" s="169">
        <f t="shared" ref="I73:J73" si="26">SUM(I61:I72)</f>
        <v>0</v>
      </c>
      <c r="J73" s="169">
        <f t="shared" si="26"/>
        <v>0</v>
      </c>
      <c r="K73" s="169">
        <f t="shared" si="22"/>
        <v>0</v>
      </c>
      <c r="L73" s="169">
        <f t="shared" ref="L73:N73" si="27">SUM(L61:L72)</f>
        <v>0</v>
      </c>
      <c r="M73" s="169">
        <f t="shared" si="27"/>
        <v>0</v>
      </c>
      <c r="N73" s="169">
        <f t="shared" si="27"/>
        <v>0</v>
      </c>
      <c r="O73" s="169">
        <f t="shared" si="23"/>
        <v>0</v>
      </c>
      <c r="P73" s="169">
        <f>SUM(P61:P72)</f>
        <v>0</v>
      </c>
      <c r="Q73" s="168" t="str">
        <f t="shared" si="24"/>
        <v xml:space="preserve"> 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2020-02-03T07:15:34Z</cp:lastPrinted>
  <dcterms:created xsi:type="dcterms:W3CDTF">2020-02-03T07:15:15Z</dcterms:created>
  <dcterms:modified xsi:type="dcterms:W3CDTF">2020-02-03T07:15:40Z</dcterms:modified>
</cp:coreProperties>
</file>