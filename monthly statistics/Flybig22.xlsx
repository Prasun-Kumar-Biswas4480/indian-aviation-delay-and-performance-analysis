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O73" i="2" s="1"/>
  <c r="Q73" i="2" s="1"/>
  <c r="L73" i="2"/>
  <c r="K73" i="2"/>
  <c r="J73" i="2"/>
  <c r="I73" i="2"/>
  <c r="G73" i="2"/>
  <c r="H73" i="2" s="1"/>
  <c r="F73" i="2"/>
  <c r="E73" i="2"/>
  <c r="D73" i="2"/>
  <c r="C73" i="2"/>
  <c r="B73" i="2"/>
  <c r="Q72" i="2"/>
  <c r="O72" i="2"/>
  <c r="K72" i="2"/>
  <c r="H72" i="2"/>
  <c r="O71" i="2"/>
  <c r="Q71" i="2" s="1"/>
  <c r="K71" i="2"/>
  <c r="H71" i="2"/>
  <c r="Q70" i="2"/>
  <c r="O70" i="2"/>
  <c r="K70" i="2"/>
  <c r="H70" i="2"/>
  <c r="Q69" i="2"/>
  <c r="O69" i="2"/>
  <c r="K69" i="2"/>
  <c r="H69" i="2"/>
  <c r="O68" i="2"/>
  <c r="Q68" i="2" s="1"/>
  <c r="K68" i="2"/>
  <c r="H68" i="2"/>
  <c r="Q67" i="2"/>
  <c r="O67" i="2"/>
  <c r="K67" i="2"/>
  <c r="H67" i="2"/>
  <c r="Q66" i="2"/>
  <c r="O66" i="2"/>
  <c r="K66" i="2"/>
  <c r="H66" i="2"/>
  <c r="O65" i="2"/>
  <c r="Q65" i="2" s="1"/>
  <c r="K65" i="2"/>
  <c r="H65" i="2"/>
  <c r="Q64" i="2"/>
  <c r="O64" i="2"/>
  <c r="K64" i="2"/>
  <c r="H64" i="2"/>
  <c r="Q63" i="2"/>
  <c r="O63" i="2"/>
  <c r="K63" i="2"/>
  <c r="H63" i="2"/>
  <c r="O62" i="2"/>
  <c r="Q62" i="2" s="1"/>
  <c r="K62" i="2"/>
  <c r="H62" i="2"/>
  <c r="Q61" i="2"/>
  <c r="O61" i="2"/>
  <c r="K61" i="2"/>
  <c r="H61" i="2"/>
  <c r="P54" i="2"/>
  <c r="N54" i="2"/>
  <c r="M54" i="2"/>
  <c r="L54" i="2"/>
  <c r="O54" i="2" s="1"/>
  <c r="Q54" i="2" s="1"/>
  <c r="K54" i="2"/>
  <c r="J54" i="2"/>
  <c r="I54" i="2"/>
  <c r="G54" i="2"/>
  <c r="F54" i="2"/>
  <c r="H54" i="2" s="1"/>
  <c r="E54" i="2"/>
  <c r="D54" i="2"/>
  <c r="C54" i="2"/>
  <c r="B54" i="2"/>
  <c r="O53" i="2"/>
  <c r="Q53" i="2" s="1"/>
  <c r="K53" i="2"/>
  <c r="H53" i="2"/>
  <c r="Q52" i="2"/>
  <c r="O52" i="2"/>
  <c r="K52" i="2"/>
  <c r="H52" i="2"/>
  <c r="Q51" i="2"/>
  <c r="O51" i="2"/>
  <c r="K51" i="2"/>
  <c r="H51" i="2"/>
  <c r="O50" i="2"/>
  <c r="Q50" i="2" s="1"/>
  <c r="K50" i="2"/>
  <c r="H50" i="2"/>
  <c r="Q49" i="2"/>
  <c r="O49" i="2"/>
  <c r="K49" i="2"/>
  <c r="H49" i="2"/>
  <c r="Q48" i="2"/>
  <c r="O48" i="2"/>
  <c r="K48" i="2"/>
  <c r="H48" i="2"/>
  <c r="O47" i="2"/>
  <c r="Q47" i="2" s="1"/>
  <c r="K47" i="2"/>
  <c r="H47" i="2"/>
  <c r="Q46" i="2"/>
  <c r="O46" i="2"/>
  <c r="K46" i="2"/>
  <c r="H46" i="2"/>
  <c r="Q45" i="2"/>
  <c r="O45" i="2"/>
  <c r="K45" i="2"/>
  <c r="H45" i="2"/>
  <c r="O44" i="2"/>
  <c r="Q44" i="2" s="1"/>
  <c r="K44" i="2"/>
  <c r="H44" i="2"/>
  <c r="Q43" i="2"/>
  <c r="O43" i="2"/>
  <c r="K43" i="2"/>
  <c r="H43" i="2"/>
  <c r="Q42" i="2"/>
  <c r="O42" i="2"/>
  <c r="K42" i="2"/>
  <c r="H42" i="2"/>
  <c r="P35" i="2"/>
  <c r="O35" i="2"/>
  <c r="Q35" i="2" s="1"/>
  <c r="N35" i="2"/>
  <c r="M35" i="2"/>
  <c r="L35" i="2"/>
  <c r="J35" i="2"/>
  <c r="I35" i="2"/>
  <c r="K35" i="2" s="1"/>
  <c r="G35" i="2"/>
  <c r="H35" i="2" s="1"/>
  <c r="F35" i="2"/>
  <c r="E35" i="2"/>
  <c r="D35" i="2"/>
  <c r="C35" i="2"/>
  <c r="B35" i="2"/>
  <c r="Q34" i="2"/>
  <c r="O34" i="2"/>
  <c r="K34" i="2"/>
  <c r="H34" i="2"/>
  <c r="Q33" i="2"/>
  <c r="O33" i="2"/>
  <c r="K33" i="2"/>
  <c r="H33" i="2"/>
  <c r="O32" i="2"/>
  <c r="Q32" i="2" s="1"/>
  <c r="K32" i="2"/>
  <c r="H32" i="2"/>
  <c r="Q31" i="2"/>
  <c r="O31" i="2"/>
  <c r="K31" i="2"/>
  <c r="H31" i="2"/>
  <c r="Q30" i="2"/>
  <c r="O30" i="2"/>
  <c r="K30" i="2"/>
  <c r="H30" i="2"/>
  <c r="O29" i="2"/>
  <c r="Q29" i="2" s="1"/>
  <c r="K29" i="2"/>
  <c r="H29" i="2"/>
  <c r="Q28" i="2"/>
  <c r="O28" i="2"/>
  <c r="K28" i="2"/>
  <c r="H28" i="2"/>
  <c r="Q27" i="2"/>
  <c r="O27" i="2"/>
  <c r="K27" i="2"/>
  <c r="H27" i="2"/>
  <c r="O26" i="2"/>
  <c r="Q26" i="2" s="1"/>
  <c r="K26" i="2"/>
  <c r="H26" i="2"/>
  <c r="Q25" i="2"/>
  <c r="O25" i="2"/>
  <c r="K25" i="2"/>
  <c r="H25" i="2"/>
  <c r="Q24" i="2"/>
  <c r="O24" i="2"/>
  <c r="K24" i="2"/>
  <c r="H24" i="2"/>
  <c r="O23" i="2"/>
  <c r="Q23" i="2" s="1"/>
  <c r="K23" i="2"/>
  <c r="H23" i="2"/>
  <c r="P16" i="2"/>
  <c r="N16" i="2"/>
  <c r="M16" i="2"/>
  <c r="L16" i="2"/>
  <c r="K16" i="2"/>
  <c r="J16" i="2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Q13" i="2"/>
  <c r="O13" i="2"/>
  <c r="K13" i="2"/>
  <c r="H13" i="2"/>
  <c r="Q12" i="2"/>
  <c r="O12" i="2"/>
  <c r="K12" i="2"/>
  <c r="H12" i="2"/>
  <c r="O11" i="2"/>
  <c r="Q11" i="2" s="1"/>
  <c r="K11" i="2"/>
  <c r="H11" i="2"/>
  <c r="Q10" i="2"/>
  <c r="O10" i="2"/>
  <c r="K10" i="2"/>
  <c r="H10" i="2"/>
  <c r="Q9" i="2"/>
  <c r="O9" i="2"/>
  <c r="K9" i="2"/>
  <c r="H9" i="2"/>
  <c r="O8" i="2"/>
  <c r="Q8" i="2" s="1"/>
  <c r="K8" i="2"/>
  <c r="H8" i="2"/>
  <c r="Q7" i="2"/>
  <c r="O7" i="2"/>
  <c r="K7" i="2"/>
  <c r="H7" i="2"/>
  <c r="Q6" i="2"/>
  <c r="O6" i="2"/>
  <c r="K6" i="2"/>
  <c r="H6" i="2"/>
  <c r="O5" i="2"/>
  <c r="Q5" i="2" s="1"/>
  <c r="K5" i="2"/>
  <c r="H5" i="2"/>
  <c r="Q4" i="2"/>
  <c r="O4" i="2"/>
  <c r="K4" i="2"/>
  <c r="H4" i="2"/>
  <c r="O16" i="2" l="1"/>
  <c r="Q16" i="2" s="1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<sst xmlns="http://schemas.openxmlformats.org/spreadsheetml/2006/main" count="153" uniqueCount="42">
  <si>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</si>
  <si>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FLYBIG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</si>
  <si>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</si>
  <si>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</si>
  <si>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</si>
  <si>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</si>
  <si>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</si>
  <si>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</si>
  <si>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</si>
  <si>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</si>
  <si>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</si>
  <si>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</si>
  <si>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</si>
  <si>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</si>
  <si>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</si>
  <si>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</si>
  <si>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</si>
  <si>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</si>
  <si>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</si>
  <si>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</si>
  <si>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</si>
  <si>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</si>
  <si>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</si>
  <si>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</si>
  <si>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</si>
  <si>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</si>
  <si>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</si>
  <si>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</si>
  <si>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</si>
  <si>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</si>
  <si>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</si>
  <si>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</si>
  <si>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</si>
  <si>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</si>
  <si>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</si>
  <si>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FLYBIG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</si>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</sst>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11" fillId="3" borderId="3" xfId="1" applyFont="1" applyFill="1" applyBorder="1" applyAlignment="1">
      <alignment horizontal="left" vertical="center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FFICE\RAW%20DATA\mukesh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Interface"/>
      <sheetName val="Sheet2"/>
      <sheetName val="Sheet3"/>
      <sheetName val="Data"/>
      <sheetName val="Sheet4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0" transitionEvaluation="1" transitionEntry="1" codeName="Sheet12"/>
  <dimension ref="A1:Q494"/>
  <sheetViews>
    <sheetView showGridLines="0" tabSelected="1" view="pageBreakPreview" topLeftCell="A10" zoomScale="85" zoomScaleNormal="85" zoomScaleSheetLayoutView="85" workbookViewId="0">
      <selection activeCell="K13" sqref="K13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44">
        <v>2022</v>
      </c>
      <c r="B1" s="144"/>
      <c r="C1" s="145" t="s">
        <v>0</v>
      </c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 t="s">
        <v>1</v>
      </c>
      <c r="P1" s="146"/>
      <c r="Q1" s="146"/>
    </row>
    <row r="2" spans="1:17" ht="33" customHeight="1" x14ac:dyDescent="0.3">
      <c r="A2" s="147" t="s">
        <v>2</v>
      </c>
      <c r="B2" s="149" t="s">
        <v>3</v>
      </c>
      <c r="C2" s="149"/>
      <c r="D2" s="149"/>
      <c r="E2" s="150" t="s">
        <v>4</v>
      </c>
      <c r="F2" s="150" t="s">
        <v>5</v>
      </c>
      <c r="G2" s="150" t="s">
        <v>6</v>
      </c>
      <c r="H2" s="150" t="s">
        <v>7</v>
      </c>
      <c r="I2" s="149" t="s">
        <v>8</v>
      </c>
      <c r="J2" s="149"/>
      <c r="K2" s="149"/>
      <c r="L2" s="149" t="s">
        <v>9</v>
      </c>
      <c r="M2" s="149"/>
      <c r="N2" s="149"/>
      <c r="O2" s="149"/>
      <c r="P2" s="150" t="s">
        <v>10</v>
      </c>
      <c r="Q2" s="150" t="s">
        <v>11</v>
      </c>
    </row>
    <row r="3" spans="1:17" ht="155.25" customHeight="1" x14ac:dyDescent="0.3">
      <c r="A3" s="148"/>
      <c r="B3" s="2" t="s">
        <v>12</v>
      </c>
      <c r="C3" s="2" t="s">
        <v>13</v>
      </c>
      <c r="D3" s="2" t="s">
        <v>14</v>
      </c>
      <c r="E3" s="150"/>
      <c r="F3" s="150"/>
      <c r="G3" s="150"/>
      <c r="H3" s="150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50"/>
      <c r="Q3" s="150"/>
    </row>
    <row r="4" spans="1:17" ht="23.1" customHeight="1" x14ac:dyDescent="0.3">
      <c r="A4" s="4" t="s">
        <v>22</v>
      </c>
      <c r="B4" s="5">
        <v>230</v>
      </c>
      <c r="C4" s="5">
        <v>278.25</v>
      </c>
      <c r="D4" s="6">
        <v>1244.76</v>
      </c>
      <c r="E4" s="7">
        <v>6962</v>
      </c>
      <c r="F4" s="5">
        <v>2680.46</v>
      </c>
      <c r="G4" s="5">
        <v>6227.71</v>
      </c>
      <c r="H4" s="8">
        <f>IFERROR(F4/G4*100," ")</f>
        <v>43.040860926407944</v>
      </c>
      <c r="I4" s="9"/>
      <c r="J4" s="10"/>
      <c r="K4" s="8" t="str">
        <f>IF(AND(ISBLANK(I4),ISBLANK(J4))=TRUE,"",I4+J4)</f>
        <v/>
      </c>
      <c r="L4" s="9">
        <v>201.03</v>
      </c>
      <c r="M4" s="10"/>
      <c r="N4" s="10"/>
      <c r="O4" s="8">
        <f>IF(AND(ISBLANK(L4),ISBLANK(M4),ISBLANK(N4))=TRUE,"",L4+M4+N4)</f>
        <v>201.03</v>
      </c>
      <c r="P4" s="10">
        <v>1902.912</v>
      </c>
      <c r="Q4" s="8">
        <f>IFERROR(O4/P4*100," ")</f>
        <v>10.564335082231864</v>
      </c>
    </row>
    <row r="5" spans="1:17" ht="23.1" customHeight="1" x14ac:dyDescent="0.3">
      <c r="A5" s="11" t="s">
        <v>23</v>
      </c>
      <c r="B5" s="12">
        <v>258</v>
      </c>
      <c r="C5" s="12">
        <v>308</v>
      </c>
      <c r="D5" s="11">
        <v>1396.3</v>
      </c>
      <c r="E5" s="13">
        <v>9930</v>
      </c>
      <c r="F5" s="12">
        <v>3788.01</v>
      </c>
      <c r="G5" s="12">
        <v>6926</v>
      </c>
      <c r="H5" s="14">
        <f t="shared" ref="H5:H16" si="0">IFERROR(F5/G5*100," ")</f>
        <v>54.692607565694487</v>
      </c>
      <c r="I5" s="15"/>
      <c r="J5" s="16"/>
      <c r="K5" s="14" t="str">
        <f t="shared" ref="K5:K16" si="1">IF(AND(ISBLANK(I5),ISBLANK(J5))=TRUE,"",I5+J5)</f>
        <v/>
      </c>
      <c r="L5" s="15">
        <v>284.10000000000002</v>
      </c>
      <c r="M5" s="16"/>
      <c r="N5" s="16"/>
      <c r="O5" s="14">
        <f t="shared" ref="O5:O16" si="2">IF(AND(ISBLANK(L5),ISBLANK(M5),ISBLANK(N5))=TRUE,"",L5+M5+N5)</f>
        <v>284.10000000000002</v>
      </c>
      <c r="P5" s="16">
        <v>2116.1799999999998</v>
      </c>
      <c r="Q5" s="14">
        <f t="shared" ref="Q5:Q16" si="3">IFERROR(O5/P5*100," ")</f>
        <v>13.425133967809924</v>
      </c>
    </row>
    <row r="6" spans="1:17" ht="23.1" customHeight="1" x14ac:dyDescent="0.3">
      <c r="A6" s="17" t="s">
        <v>24</v>
      </c>
      <c r="B6" s="18">
        <v>366</v>
      </c>
      <c r="C6" s="18">
        <v>492</v>
      </c>
      <c r="D6" s="17">
        <v>3209.82</v>
      </c>
      <c r="E6" s="19">
        <v>13096</v>
      </c>
      <c r="F6" s="18">
        <v>5402.71</v>
      </c>
      <c r="G6" s="18">
        <v>10618.7</v>
      </c>
      <c r="H6" s="20">
        <f t="shared" si="0"/>
        <v>50.879203668999025</v>
      </c>
      <c r="I6" s="21"/>
      <c r="J6" s="22"/>
      <c r="K6" s="20" t="str">
        <f t="shared" si="1"/>
        <v/>
      </c>
      <c r="L6" s="21">
        <v>405.2</v>
      </c>
      <c r="M6" s="22"/>
      <c r="N6" s="22"/>
      <c r="O6" s="20">
        <f t="shared" si="2"/>
        <v>405.2</v>
      </c>
      <c r="P6" s="22">
        <v>3269.11</v>
      </c>
      <c r="Q6" s="20">
        <f t="shared" si="3"/>
        <v>12.394810820070294</v>
      </c>
    </row>
    <row r="7" spans="1:17" ht="23.1" customHeight="1" x14ac:dyDescent="0.3">
      <c r="A7" s="11" t="s">
        <v>25</v>
      </c>
      <c r="B7" s="12">
        <v>398</v>
      </c>
      <c r="C7" s="12">
        <v>554</v>
      </c>
      <c r="D7" s="11">
        <v>182.06</v>
      </c>
      <c r="E7" s="13">
        <v>16164</v>
      </c>
      <c r="F7" s="12">
        <v>7278.98</v>
      </c>
      <c r="G7" s="12">
        <v>12999.64</v>
      </c>
      <c r="H7" s="14">
        <f t="shared" si="0"/>
        <v>55.993704441046056</v>
      </c>
      <c r="I7" s="15"/>
      <c r="J7" s="16"/>
      <c r="K7" s="14" t="str">
        <f t="shared" si="1"/>
        <v/>
      </c>
      <c r="L7" s="15">
        <v>545.91999999999996</v>
      </c>
      <c r="M7" s="16"/>
      <c r="N7" s="16"/>
      <c r="O7" s="14">
        <f t="shared" si="2"/>
        <v>545.91999999999996</v>
      </c>
      <c r="P7" s="16">
        <v>4100.83</v>
      </c>
      <c r="Q7" s="14">
        <f t="shared" si="3"/>
        <v>13.312426996486076</v>
      </c>
    </row>
    <row r="8" spans="1:17" s="23" customFormat="1" ht="30" customHeight="1" x14ac:dyDescent="0.25">
      <c r="A8" s="17" t="s">
        <v>26</v>
      </c>
      <c r="B8" s="18">
        <v>519</v>
      </c>
      <c r="C8" s="18">
        <v>738</v>
      </c>
      <c r="D8" s="17">
        <v>234</v>
      </c>
      <c r="E8" s="19">
        <v>23803</v>
      </c>
      <c r="F8" s="18">
        <v>10646.63</v>
      </c>
      <c r="G8" s="18">
        <v>17043.95</v>
      </c>
      <c r="H8" s="20">
        <f t="shared" si="0"/>
        <v>62.465742976246695</v>
      </c>
      <c r="I8" s="21"/>
      <c r="J8" s="22"/>
      <c r="K8" s="20" t="str">
        <f t="shared" si="1"/>
        <v/>
      </c>
      <c r="L8" s="21">
        <v>798.5</v>
      </c>
      <c r="M8" s="22"/>
      <c r="N8" s="22"/>
      <c r="O8" s="20">
        <f t="shared" si="2"/>
        <v>798.5</v>
      </c>
      <c r="P8" s="22">
        <v>5576.5320000000002</v>
      </c>
      <c r="Q8" s="20">
        <f t="shared" si="3"/>
        <v>14.318935137465363</v>
      </c>
    </row>
    <row r="9" spans="1:17" ht="23.1" customHeight="1" x14ac:dyDescent="0.3">
      <c r="A9" s="11" t="s">
        <v>27</v>
      </c>
      <c r="B9" s="12">
        <v>590</v>
      </c>
      <c r="C9" s="12">
        <v>817</v>
      </c>
      <c r="D9" s="11">
        <v>276</v>
      </c>
      <c r="E9" s="13">
        <v>23027</v>
      </c>
      <c r="F9" s="12">
        <v>10662.795</v>
      </c>
      <c r="G9" s="12">
        <v>19690.86</v>
      </c>
      <c r="H9" s="14">
        <f t="shared" si="0"/>
        <v>54.150986803014192</v>
      </c>
      <c r="I9" s="15"/>
      <c r="J9" s="16"/>
      <c r="K9" s="14" t="str">
        <f t="shared" si="1"/>
        <v/>
      </c>
      <c r="L9" s="15">
        <v>799.70962499999985</v>
      </c>
      <c r="M9" s="16">
        <v>0</v>
      </c>
      <c r="N9" s="16">
        <v>0</v>
      </c>
      <c r="O9" s="14">
        <f t="shared" si="2"/>
        <v>799.70962499999985</v>
      </c>
      <c r="P9" s="16">
        <v>6091.03</v>
      </c>
      <c r="Q9" s="14">
        <f t="shared" si="3"/>
        <v>13.129300381052136</v>
      </c>
    </row>
    <row r="10" spans="1:17" ht="23.1" customHeight="1" x14ac:dyDescent="0.3">
      <c r="A10" s="17" t="s">
        <v>28</v>
      </c>
      <c r="B10" s="18">
        <v>632</v>
      </c>
      <c r="C10" s="18">
        <v>909.48</v>
      </c>
      <c r="D10" s="17">
        <v>285</v>
      </c>
      <c r="E10" s="19">
        <v>21775</v>
      </c>
      <c r="F10" s="18">
        <v>9498</v>
      </c>
      <c r="G10" s="18">
        <v>20299</v>
      </c>
      <c r="H10" s="20">
        <f t="shared" si="0"/>
        <v>46.790482289767972</v>
      </c>
      <c r="I10" s="21"/>
      <c r="J10" s="22"/>
      <c r="K10" s="20" t="str">
        <f t="shared" si="1"/>
        <v/>
      </c>
      <c r="L10" s="21">
        <v>712.42</v>
      </c>
      <c r="M10" s="22"/>
      <c r="N10" s="22"/>
      <c r="O10" s="20">
        <f t="shared" si="2"/>
        <v>712.42</v>
      </c>
      <c r="P10" s="22">
        <v>6288.44</v>
      </c>
      <c r="Q10" s="20">
        <f t="shared" si="3"/>
        <v>11.329041860938483</v>
      </c>
    </row>
    <row r="11" spans="1:17" ht="23.1" customHeight="1" x14ac:dyDescent="0.3">
      <c r="A11" s="11" t="s">
        <v>29</v>
      </c>
      <c r="B11" s="12">
        <v>447</v>
      </c>
      <c r="C11" s="12">
        <v>616.03</v>
      </c>
      <c r="D11" s="11">
        <v>190</v>
      </c>
      <c r="E11" s="13">
        <v>16357</v>
      </c>
      <c r="F11" s="12">
        <v>6748.87</v>
      </c>
      <c r="G11" s="12">
        <v>13509.291999999999</v>
      </c>
      <c r="H11" s="14">
        <f t="shared" si="0"/>
        <v>49.957244243443697</v>
      </c>
      <c r="I11" s="15"/>
      <c r="J11" s="16"/>
      <c r="K11" s="14" t="str">
        <f t="shared" si="1"/>
        <v/>
      </c>
      <c r="L11" s="15">
        <v>508.87</v>
      </c>
      <c r="M11" s="16"/>
      <c r="N11" s="16"/>
      <c r="O11" s="14">
        <f t="shared" si="2"/>
        <v>508.87</v>
      </c>
      <c r="P11" s="16">
        <v>4192.72</v>
      </c>
      <c r="Q11" s="14">
        <f t="shared" si="3"/>
        <v>12.13698982999103</v>
      </c>
    </row>
    <row r="12" spans="1:17" ht="23.1" customHeight="1" x14ac:dyDescent="0.3">
      <c r="A12" s="17" t="s">
        <v>30</v>
      </c>
      <c r="B12" s="18">
        <v>430</v>
      </c>
      <c r="C12" s="18">
        <v>563.16999999999996</v>
      </c>
      <c r="D12" s="17">
        <v>173</v>
      </c>
      <c r="E12" s="19">
        <v>16702</v>
      </c>
      <c r="F12" s="18">
        <v>6778.77</v>
      </c>
      <c r="G12" s="18">
        <v>12388.425999999999</v>
      </c>
      <c r="H12" s="20">
        <f t="shared" si="0"/>
        <v>54.718573610561997</v>
      </c>
      <c r="I12" s="21"/>
      <c r="J12" s="22"/>
      <c r="K12" s="20" t="str">
        <f t="shared" si="1"/>
        <v/>
      </c>
      <c r="L12" s="21">
        <v>498.71264999999994</v>
      </c>
      <c r="M12" s="22"/>
      <c r="N12" s="22"/>
      <c r="O12" s="20">
        <f t="shared" si="2"/>
        <v>498.71264999999994</v>
      </c>
      <c r="P12" s="22">
        <v>3777.6860000000001</v>
      </c>
      <c r="Q12" s="20">
        <f t="shared" si="3"/>
        <v>13.201537925597837</v>
      </c>
    </row>
    <row r="13" spans="1:17" ht="23.1" customHeight="1" x14ac:dyDescent="0.3">
      <c r="A13" s="11" t="s">
        <v>31</v>
      </c>
      <c r="B13" s="12">
        <v>579</v>
      </c>
      <c r="C13" s="12">
        <v>771.15</v>
      </c>
      <c r="D13" s="11">
        <v>239</v>
      </c>
      <c r="E13" s="13">
        <v>26948</v>
      </c>
      <c r="F13" s="12">
        <v>11413.9</v>
      </c>
      <c r="G13" s="12">
        <v>16937.675999999999</v>
      </c>
      <c r="H13" s="14">
        <f t="shared" si="0"/>
        <v>67.387639248737557</v>
      </c>
      <c r="I13" s="15"/>
      <c r="J13" s="16"/>
      <c r="K13" s="14" t="str">
        <f t="shared" si="1"/>
        <v/>
      </c>
      <c r="L13" s="15">
        <v>792.21</v>
      </c>
      <c r="M13" s="16">
        <v>0</v>
      </c>
      <c r="N13" s="16">
        <v>0</v>
      </c>
      <c r="O13" s="14">
        <f t="shared" si="2"/>
        <v>792.21</v>
      </c>
      <c r="P13" s="16">
        <v>4821.17</v>
      </c>
      <c r="Q13" s="14">
        <f t="shared" si="3"/>
        <v>16.431903459118846</v>
      </c>
    </row>
    <row r="14" spans="1:17" ht="23.1" customHeight="1" x14ac:dyDescent="0.3">
      <c r="A14" s="17" t="s">
        <v>32</v>
      </c>
      <c r="B14" s="18">
        <v>540</v>
      </c>
      <c r="C14" s="18">
        <v>735.4</v>
      </c>
      <c r="D14" s="17">
        <v>230</v>
      </c>
      <c r="E14" s="19">
        <v>25675</v>
      </c>
      <c r="F14" s="18">
        <v>11060.54</v>
      </c>
      <c r="G14" s="18">
        <v>16225.59</v>
      </c>
      <c r="H14" s="20">
        <f t="shared" si="0"/>
        <v>68.167259249124385</v>
      </c>
      <c r="I14" s="21"/>
      <c r="J14" s="22"/>
      <c r="K14" s="20" t="str">
        <f t="shared" si="1"/>
        <v/>
      </c>
      <c r="L14" s="21">
        <v>797.92</v>
      </c>
      <c r="M14" s="22"/>
      <c r="N14" s="22"/>
      <c r="O14" s="20">
        <f t="shared" si="2"/>
        <v>797.92</v>
      </c>
      <c r="P14" s="22">
        <v>4790.46</v>
      </c>
      <c r="Q14" s="20">
        <f t="shared" si="3"/>
        <v>16.656438003866018</v>
      </c>
    </row>
    <row r="15" spans="1:17" ht="23.1" customHeight="1" x14ac:dyDescent="0.3">
      <c r="A15" s="24" t="s">
        <v>33</v>
      </c>
      <c r="B15" s="25">
        <v>581</v>
      </c>
      <c r="C15" s="25">
        <v>830.2</v>
      </c>
      <c r="D15" s="26">
        <v>250</v>
      </c>
      <c r="E15" s="27">
        <v>28680</v>
      </c>
      <c r="F15" s="25">
        <v>12465.956</v>
      </c>
      <c r="G15" s="25">
        <v>17619.302</v>
      </c>
      <c r="H15" s="28">
        <f t="shared" si="0"/>
        <v>70.751701741646741</v>
      </c>
      <c r="I15" s="29"/>
      <c r="J15" s="30"/>
      <c r="K15" s="28" t="str">
        <f t="shared" si="1"/>
        <v/>
      </c>
      <c r="L15" s="29">
        <v>868.39349999999979</v>
      </c>
      <c r="M15" s="30"/>
      <c r="N15" s="30"/>
      <c r="O15" s="28">
        <f t="shared" si="2"/>
        <v>868.39349999999979</v>
      </c>
      <c r="P15" s="16">
        <v>5020.1139999999996</v>
      </c>
      <c r="Q15" s="14">
        <f t="shared" si="3"/>
        <v>17.298282469282565</v>
      </c>
    </row>
    <row r="16" spans="1:17" ht="23.1" customHeight="1" x14ac:dyDescent="0.3">
      <c r="A16" s="31" t="s">
        <v>34</v>
      </c>
      <c r="B16" s="32">
        <f t="shared" ref="B16:G16" si="4">SUM(B4:B15)</f>
        <v>5570</v>
      </c>
      <c r="C16" s="32">
        <f t="shared" si="4"/>
        <v>7612.6799999999985</v>
      </c>
      <c r="D16" s="32">
        <f t="shared" si="4"/>
        <v>7909.9400000000005</v>
      </c>
      <c r="E16" s="32">
        <f t="shared" si="4"/>
        <v>229119</v>
      </c>
      <c r="F16" s="32">
        <f t="shared" si="4"/>
        <v>98425.621000000014</v>
      </c>
      <c r="G16" s="32">
        <f t="shared" si="4"/>
        <v>170486.14600000001</v>
      </c>
      <c r="H16" s="33">
        <f t="shared" si="0"/>
        <v>57.732327998076748</v>
      </c>
      <c r="I16" s="33">
        <f>SUM(I4:I15)</f>
        <v>0</v>
      </c>
      <c r="J16" s="33">
        <f>SUM(J4:J15)</f>
        <v>0</v>
      </c>
      <c r="K16" s="33">
        <f t="shared" si="1"/>
        <v>0</v>
      </c>
      <c r="L16" s="33">
        <f>SUM(L4:L15)</f>
        <v>7212.9857750000001</v>
      </c>
      <c r="M16" s="33">
        <f>SUM(M4:M15)</f>
        <v>0</v>
      </c>
      <c r="N16" s="33">
        <f>SUM(N4:N15)</f>
        <v>0</v>
      </c>
      <c r="O16" s="33">
        <f t="shared" si="2"/>
        <v>7212.9857750000001</v>
      </c>
      <c r="P16" s="34">
        <f>SUM(P4:P15)</f>
        <v>51947.183999999994</v>
      </c>
      <c r="Q16" s="34">
        <f t="shared" si="3"/>
        <v>13.885229611291347</v>
      </c>
    </row>
    <row r="17" spans="1:17" ht="20.100000000000001" customHeight="1" x14ac:dyDescent="0.3">
      <c r="A17" s="151" t="s">
        <v>35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</row>
    <row r="18" spans="1:17" s="35" customFormat="1" x14ac:dyDescent="0.25">
      <c r="A18" s="143" t="s">
        <v>36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</row>
    <row r="19" spans="1:17" s="35" customFormat="1" x14ac:dyDescent="0.25">
      <c r="A19" s="143" t="s">
        <v>37</v>
      </c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1:17" ht="51.75" customHeight="1" x14ac:dyDescent="0.3">
      <c r="A20" s="153">
        <v>2022</v>
      </c>
      <c r="B20" s="153"/>
      <c r="C20" s="154" t="s">
        <v>38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154"/>
      <c r="O20" s="155" t="s">
        <v>1</v>
      </c>
      <c r="P20" s="155"/>
      <c r="Q20" s="156"/>
    </row>
    <row r="21" spans="1:17" ht="33" customHeight="1" x14ac:dyDescent="0.3">
      <c r="A21" s="157" t="s">
        <v>2</v>
      </c>
      <c r="B21" s="157" t="s">
        <v>3</v>
      </c>
      <c r="C21" s="157"/>
      <c r="D21" s="157"/>
      <c r="E21" s="158" t="s">
        <v>4</v>
      </c>
      <c r="F21" s="158" t="s">
        <v>5</v>
      </c>
      <c r="G21" s="158" t="s">
        <v>6</v>
      </c>
      <c r="H21" s="158" t="s">
        <v>7</v>
      </c>
      <c r="I21" s="157" t="s">
        <v>8</v>
      </c>
      <c r="J21" s="157"/>
      <c r="K21" s="157"/>
      <c r="L21" s="157" t="s">
        <v>9</v>
      </c>
      <c r="M21" s="157"/>
      <c r="N21" s="157"/>
      <c r="O21" s="157"/>
      <c r="P21" s="158" t="s">
        <v>10</v>
      </c>
      <c r="Q21" s="158" t="s">
        <v>11</v>
      </c>
    </row>
    <row r="22" spans="1:17" ht="150.75" customHeight="1" x14ac:dyDescent="0.3">
      <c r="A22" s="157"/>
      <c r="B22" s="36" t="s">
        <v>12</v>
      </c>
      <c r="C22" s="36" t="s">
        <v>13</v>
      </c>
      <c r="D22" s="36" t="s">
        <v>14</v>
      </c>
      <c r="E22" s="158"/>
      <c r="F22" s="158"/>
      <c r="G22" s="158"/>
      <c r="H22" s="158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59"/>
      <c r="Q22" s="159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51" t="s">
        <v>35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</row>
    <row r="37" spans="1:17" x14ac:dyDescent="0.3">
      <c r="A37" s="143" t="s">
        <v>36</v>
      </c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</row>
    <row r="38" spans="1:17" x14ac:dyDescent="0.3">
      <c r="A38" s="143" t="s">
        <v>37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</row>
    <row r="39" spans="1:17" ht="40.5" customHeight="1" x14ac:dyDescent="0.3">
      <c r="A39" s="160">
        <v>2022</v>
      </c>
      <c r="B39" s="160"/>
      <c r="C39" s="161" t="s">
        <v>39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2" t="s">
        <v>1</v>
      </c>
      <c r="P39" s="162"/>
      <c r="Q39" s="162"/>
    </row>
    <row r="40" spans="1:17" ht="28.9" customHeight="1" x14ac:dyDescent="0.3">
      <c r="A40" s="163" t="s">
        <v>2</v>
      </c>
      <c r="B40" s="163" t="s">
        <v>3</v>
      </c>
      <c r="C40" s="163"/>
      <c r="D40" s="163"/>
      <c r="E40" s="164" t="s">
        <v>4</v>
      </c>
      <c r="F40" s="164" t="s">
        <v>5</v>
      </c>
      <c r="G40" s="164" t="s">
        <v>6</v>
      </c>
      <c r="H40" s="164" t="s">
        <v>7</v>
      </c>
      <c r="I40" s="163" t="s">
        <v>8</v>
      </c>
      <c r="J40" s="163"/>
      <c r="K40" s="163"/>
      <c r="L40" s="163" t="s">
        <v>9</v>
      </c>
      <c r="M40" s="163"/>
      <c r="N40" s="163"/>
      <c r="O40" s="163"/>
      <c r="P40" s="164" t="s">
        <v>10</v>
      </c>
      <c r="Q40" s="164" t="s">
        <v>11</v>
      </c>
    </row>
    <row r="41" spans="1:17" ht="178.5" customHeight="1" x14ac:dyDescent="0.3">
      <c r="A41" s="163"/>
      <c r="B41" s="67" t="s">
        <v>12</v>
      </c>
      <c r="C41" s="67" t="s">
        <v>13</v>
      </c>
      <c r="D41" s="67" t="s">
        <v>14</v>
      </c>
      <c r="E41" s="165"/>
      <c r="F41" s="165"/>
      <c r="G41" s="165"/>
      <c r="H41" s="165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65"/>
      <c r="Q41" s="165"/>
    </row>
    <row r="42" spans="1:17" ht="25.5" customHeight="1" x14ac:dyDescent="0.3">
      <c r="A42" s="69" t="s">
        <v>22</v>
      </c>
      <c r="B42" s="70"/>
      <c r="C42" s="71"/>
      <c r="D42" s="72"/>
      <c r="E42" s="70"/>
      <c r="F42" s="71"/>
      <c r="G42" s="71"/>
      <c r="H42" s="73" t="str">
        <f t="shared" ref="H42:H54" si="10">IFERROR(F42/G42*100," ")</f>
        <v xml:space="preserve"> </v>
      </c>
      <c r="I42" s="74"/>
      <c r="J42" s="75"/>
      <c r="K42" s="73" t="str">
        <f>IF(AND(ISBLANK(I42),ISBLANK(J42))=TRUE,"",I42+J42)</f>
        <v/>
      </c>
      <c r="L42" s="74"/>
      <c r="M42" s="75"/>
      <c r="N42" s="75"/>
      <c r="O42" s="73" t="str">
        <f>IF(AND(ISBLANK(L42),ISBLANK(M42),ISBLANK(N42))=TRUE,"",L42+M42+N42)</f>
        <v/>
      </c>
      <c r="P42" s="74"/>
      <c r="Q42" s="73" t="str">
        <f>IFERROR(O42/P42*100," ")</f>
        <v xml:space="preserve"> </v>
      </c>
    </row>
    <row r="43" spans="1:17" ht="25.5" customHeight="1" x14ac:dyDescent="0.3">
      <c r="A43" s="76" t="s">
        <v>23</v>
      </c>
      <c r="B43" s="77"/>
      <c r="C43" s="78"/>
      <c r="D43" s="79"/>
      <c r="E43" s="77"/>
      <c r="F43" s="78"/>
      <c r="G43" s="78"/>
      <c r="H43" s="80" t="str">
        <f t="shared" si="10"/>
        <v xml:space="preserve"> </v>
      </c>
      <c r="I43" s="81"/>
      <c r="J43" s="82"/>
      <c r="K43" s="80" t="str">
        <f t="shared" ref="K43:K54" si="11">IF(AND(ISBLANK(I43),ISBLANK(J43))=TRUE,"",I43+J43)</f>
        <v/>
      </c>
      <c r="L43" s="81"/>
      <c r="M43" s="82"/>
      <c r="N43" s="82"/>
      <c r="O43" s="80" t="str">
        <f t="shared" ref="O43:O54" si="12">IF(AND(ISBLANK(L43),ISBLANK(M43),ISBLANK(N43))=TRUE,"",L43+M43+N43)</f>
        <v/>
      </c>
      <c r="P43" s="81"/>
      <c r="Q43" s="80" t="str">
        <f t="shared" ref="Q43:Q54" si="13">IFERROR(O43/P43*100," ")</f>
        <v xml:space="preserve"> </v>
      </c>
    </row>
    <row r="44" spans="1:17" ht="25.5" customHeight="1" x14ac:dyDescent="0.3">
      <c r="A44" s="69" t="s">
        <v>24</v>
      </c>
      <c r="B44" s="83"/>
      <c r="C44" s="84"/>
      <c r="D44" s="85"/>
      <c r="E44" s="83"/>
      <c r="F44" s="84"/>
      <c r="G44" s="84"/>
      <c r="H44" s="86" t="str">
        <f t="shared" si="10"/>
        <v xml:space="preserve"> </v>
      </c>
      <c r="I44" s="87"/>
      <c r="J44" s="88"/>
      <c r="K44" s="86" t="str">
        <f t="shared" si="11"/>
        <v/>
      </c>
      <c r="L44" s="87"/>
      <c r="M44" s="88"/>
      <c r="N44" s="88"/>
      <c r="O44" s="86" t="str">
        <f t="shared" si="12"/>
        <v/>
      </c>
      <c r="P44" s="87"/>
      <c r="Q44" s="86" t="str">
        <f t="shared" si="13"/>
        <v xml:space="preserve"> </v>
      </c>
    </row>
    <row r="45" spans="1:17" ht="25.5" customHeight="1" x14ac:dyDescent="0.3">
      <c r="A45" s="76" t="s">
        <v>25</v>
      </c>
      <c r="B45" s="77"/>
      <c r="C45" s="89"/>
      <c r="D45" s="79"/>
      <c r="E45" s="77"/>
      <c r="F45" s="78"/>
      <c r="G45" s="78"/>
      <c r="H45" s="80" t="str">
        <f t="shared" si="10"/>
        <v xml:space="preserve"> </v>
      </c>
      <c r="I45" s="81"/>
      <c r="J45" s="82"/>
      <c r="K45" s="80" t="str">
        <f t="shared" si="11"/>
        <v/>
      </c>
      <c r="L45" s="81"/>
      <c r="M45" s="82"/>
      <c r="N45" s="82"/>
      <c r="O45" s="80" t="str">
        <f t="shared" si="12"/>
        <v/>
      </c>
      <c r="P45" s="81"/>
      <c r="Q45" s="80" t="str">
        <f t="shared" si="13"/>
        <v xml:space="preserve"> </v>
      </c>
    </row>
    <row r="46" spans="1:17" ht="25.5" customHeight="1" x14ac:dyDescent="0.3">
      <c r="A46" s="69" t="s">
        <v>26</v>
      </c>
      <c r="B46" s="83">
        <v>24</v>
      </c>
      <c r="C46" s="90">
        <v>20</v>
      </c>
      <c r="D46" s="85">
        <v>4.5999999999999996</v>
      </c>
      <c r="E46" s="83">
        <v>1160</v>
      </c>
      <c r="F46" s="84">
        <v>223.8</v>
      </c>
      <c r="G46" s="84">
        <v>324.24</v>
      </c>
      <c r="H46" s="86">
        <f t="shared" si="10"/>
        <v>69.022945965951138</v>
      </c>
      <c r="I46" s="87"/>
      <c r="J46" s="88"/>
      <c r="K46" s="86" t="str">
        <f t="shared" si="11"/>
        <v/>
      </c>
      <c r="L46" s="87">
        <v>16.79</v>
      </c>
      <c r="M46" s="88"/>
      <c r="N46" s="88"/>
      <c r="O46" s="86">
        <f t="shared" si="12"/>
        <v>16.79</v>
      </c>
      <c r="P46" s="87">
        <v>134.28</v>
      </c>
      <c r="Q46" s="86">
        <f t="shared" si="13"/>
        <v>12.503723562704797</v>
      </c>
    </row>
    <row r="47" spans="1:17" ht="25.5" customHeight="1" x14ac:dyDescent="0.3">
      <c r="A47" s="76" t="s">
        <v>27</v>
      </c>
      <c r="B47" s="91">
        <v>22</v>
      </c>
      <c r="C47" s="92">
        <v>19</v>
      </c>
      <c r="D47" s="79">
        <v>4.4000000000000004</v>
      </c>
      <c r="E47" s="91">
        <v>1540</v>
      </c>
      <c r="F47" s="92">
        <v>229.7</v>
      </c>
      <c r="G47" s="92">
        <v>320.10000000000002</v>
      </c>
      <c r="H47" s="80">
        <f t="shared" si="10"/>
        <v>71.758825367072774</v>
      </c>
      <c r="I47" s="93"/>
      <c r="J47" s="94"/>
      <c r="K47" s="80" t="str">
        <f t="shared" si="11"/>
        <v/>
      </c>
      <c r="L47" s="93">
        <v>17.100000000000001</v>
      </c>
      <c r="M47" s="94"/>
      <c r="N47" s="94"/>
      <c r="O47" s="80">
        <f t="shared" si="12"/>
        <v>17.100000000000001</v>
      </c>
      <c r="P47" s="93">
        <v>135.19999999999999</v>
      </c>
      <c r="Q47" s="80">
        <f t="shared" si="13"/>
        <v>12.647928994082841</v>
      </c>
    </row>
    <row r="48" spans="1:17" s="102" customFormat="1" ht="25.5" customHeight="1" x14ac:dyDescent="0.3">
      <c r="A48" s="95" t="s">
        <v>28</v>
      </c>
      <c r="B48" s="96"/>
      <c r="C48" s="97"/>
      <c r="D48" s="98"/>
      <c r="E48" s="96"/>
      <c r="F48" s="97"/>
      <c r="G48" s="97"/>
      <c r="H48" s="99" t="str">
        <f t="shared" si="10"/>
        <v xml:space="preserve"> </v>
      </c>
      <c r="I48" s="100"/>
      <c r="J48" s="101"/>
      <c r="K48" s="99" t="str">
        <f t="shared" si="11"/>
        <v/>
      </c>
      <c r="L48" s="100"/>
      <c r="M48" s="101"/>
      <c r="N48" s="101"/>
      <c r="O48" s="99" t="str">
        <f t="shared" si="12"/>
        <v/>
      </c>
      <c r="P48" s="100"/>
      <c r="Q48" s="99" t="str">
        <f t="shared" si="13"/>
        <v xml:space="preserve"> </v>
      </c>
    </row>
    <row r="49" spans="1:17" ht="25.5" customHeight="1" x14ac:dyDescent="0.3">
      <c r="A49" s="76" t="s">
        <v>29</v>
      </c>
      <c r="B49" s="91"/>
      <c r="C49" s="92"/>
      <c r="D49" s="103"/>
      <c r="E49" s="91"/>
      <c r="F49" s="92"/>
      <c r="G49" s="92"/>
      <c r="H49" s="80" t="str">
        <f t="shared" si="10"/>
        <v xml:space="preserve"> </v>
      </c>
      <c r="I49" s="93"/>
      <c r="J49" s="94"/>
      <c r="K49" s="80" t="str">
        <f t="shared" si="11"/>
        <v/>
      </c>
      <c r="L49" s="93"/>
      <c r="M49" s="94"/>
      <c r="N49" s="94"/>
      <c r="O49" s="80" t="str">
        <f t="shared" si="12"/>
        <v/>
      </c>
      <c r="P49" s="93"/>
      <c r="Q49" s="80" t="str">
        <f t="shared" si="13"/>
        <v xml:space="preserve"> </v>
      </c>
    </row>
    <row r="50" spans="1:17" ht="25.5" customHeight="1" x14ac:dyDescent="0.3">
      <c r="A50" s="69" t="s">
        <v>30</v>
      </c>
      <c r="B50" s="104"/>
      <c r="C50" s="105"/>
      <c r="D50" s="106"/>
      <c r="E50" s="104"/>
      <c r="F50" s="105"/>
      <c r="G50" s="105"/>
      <c r="H50" s="86" t="str">
        <f t="shared" si="10"/>
        <v xml:space="preserve"> </v>
      </c>
      <c r="I50" s="107"/>
      <c r="J50" s="108"/>
      <c r="K50" s="86" t="str">
        <f t="shared" si="11"/>
        <v/>
      </c>
      <c r="L50" s="107"/>
      <c r="M50" s="108"/>
      <c r="N50" s="108"/>
      <c r="O50" s="86" t="str">
        <f t="shared" si="12"/>
        <v/>
      </c>
      <c r="P50" s="107"/>
      <c r="Q50" s="86" t="str">
        <f t="shared" si="13"/>
        <v xml:space="preserve"> </v>
      </c>
    </row>
    <row r="51" spans="1:17" ht="25.5" customHeight="1" x14ac:dyDescent="0.3">
      <c r="A51" s="76" t="s">
        <v>31</v>
      </c>
      <c r="B51" s="91"/>
      <c r="C51" s="92"/>
      <c r="D51" s="103"/>
      <c r="E51" s="91"/>
      <c r="F51" s="92"/>
      <c r="G51" s="92"/>
      <c r="H51" s="80" t="str">
        <f t="shared" si="10"/>
        <v xml:space="preserve"> </v>
      </c>
      <c r="I51" s="93"/>
      <c r="J51" s="94"/>
      <c r="K51" s="80" t="str">
        <f t="shared" si="11"/>
        <v/>
      </c>
      <c r="L51" s="93"/>
      <c r="M51" s="94"/>
      <c r="N51" s="94"/>
      <c r="O51" s="80" t="str">
        <f t="shared" si="12"/>
        <v/>
      </c>
      <c r="P51" s="93"/>
      <c r="Q51" s="80" t="str">
        <f t="shared" si="13"/>
        <v xml:space="preserve"> </v>
      </c>
    </row>
    <row r="52" spans="1:17" ht="25.5" customHeight="1" x14ac:dyDescent="0.3">
      <c r="A52" s="69" t="s">
        <v>32</v>
      </c>
      <c r="B52" s="104"/>
      <c r="C52" s="105"/>
      <c r="D52" s="106"/>
      <c r="E52" s="104"/>
      <c r="F52" s="105"/>
      <c r="G52" s="105"/>
      <c r="H52" s="86" t="str">
        <f t="shared" si="10"/>
        <v xml:space="preserve"> </v>
      </c>
      <c r="I52" s="107"/>
      <c r="J52" s="108"/>
      <c r="K52" s="86" t="str">
        <f t="shared" si="11"/>
        <v/>
      </c>
      <c r="L52" s="107"/>
      <c r="M52" s="108"/>
      <c r="N52" s="108"/>
      <c r="O52" s="86" t="str">
        <f t="shared" si="12"/>
        <v/>
      </c>
      <c r="P52" s="107"/>
      <c r="Q52" s="86" t="str">
        <f t="shared" si="13"/>
        <v xml:space="preserve"> </v>
      </c>
    </row>
    <row r="53" spans="1:17" ht="25.5" customHeight="1" x14ac:dyDescent="0.3">
      <c r="A53" s="76" t="s">
        <v>33</v>
      </c>
      <c r="B53" s="109"/>
      <c r="C53" s="110"/>
      <c r="D53" s="111"/>
      <c r="E53" s="109"/>
      <c r="F53" s="110"/>
      <c r="G53" s="110"/>
      <c r="H53" s="112" t="str">
        <f t="shared" si="10"/>
        <v xml:space="preserve"> </v>
      </c>
      <c r="I53" s="113"/>
      <c r="J53" s="114"/>
      <c r="K53" s="112" t="str">
        <f t="shared" si="11"/>
        <v/>
      </c>
      <c r="L53" s="113"/>
      <c r="M53" s="114"/>
      <c r="N53" s="114"/>
      <c r="O53" s="112" t="str">
        <f t="shared" si="12"/>
        <v/>
      </c>
      <c r="P53" s="113"/>
      <c r="Q53" s="112" t="str">
        <f t="shared" si="13"/>
        <v xml:space="preserve"> </v>
      </c>
    </row>
    <row r="54" spans="1:17" ht="25.5" customHeight="1" x14ac:dyDescent="0.3">
      <c r="A54" s="115" t="s">
        <v>34</v>
      </c>
      <c r="B54" s="116">
        <f t="shared" ref="B54:G54" si="14">SUM(B42:B53)</f>
        <v>46</v>
      </c>
      <c r="C54" s="116">
        <f t="shared" si="14"/>
        <v>39</v>
      </c>
      <c r="D54" s="116">
        <f t="shared" si="14"/>
        <v>9</v>
      </c>
      <c r="E54" s="116">
        <f t="shared" si="14"/>
        <v>2700</v>
      </c>
      <c r="F54" s="116">
        <f t="shared" si="14"/>
        <v>453.5</v>
      </c>
      <c r="G54" s="116">
        <f t="shared" si="14"/>
        <v>644.34</v>
      </c>
      <c r="H54" s="117">
        <f t="shared" si="10"/>
        <v>70.382096408728316</v>
      </c>
      <c r="I54" s="117">
        <f>SUM(I42:I53)</f>
        <v>0</v>
      </c>
      <c r="J54" s="117">
        <f>SUM(J42:J53)</f>
        <v>0</v>
      </c>
      <c r="K54" s="117">
        <f t="shared" si="11"/>
        <v>0</v>
      </c>
      <c r="L54" s="117">
        <f>SUM(L42:L53)</f>
        <v>33.89</v>
      </c>
      <c r="M54" s="117">
        <f>SUM(M42:M53)</f>
        <v>0</v>
      </c>
      <c r="N54" s="117">
        <f>SUM(N42:N53)</f>
        <v>0</v>
      </c>
      <c r="O54" s="117">
        <f t="shared" si="12"/>
        <v>33.89</v>
      </c>
      <c r="P54" s="118">
        <f>SUM(P42:P53)</f>
        <v>269.48</v>
      </c>
      <c r="Q54" s="117">
        <f t="shared" si="13"/>
        <v>12.576072435802285</v>
      </c>
    </row>
    <row r="55" spans="1:17" ht="22.5" customHeight="1" x14ac:dyDescent="0.3">
      <c r="A55" s="151" t="s">
        <v>35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  <c r="Q55" s="152"/>
    </row>
    <row r="56" spans="1:17" ht="22.5" customHeight="1" x14ac:dyDescent="0.3">
      <c r="A56" s="143" t="s">
        <v>36</v>
      </c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</row>
    <row r="57" spans="1:17" ht="22.5" customHeight="1" x14ac:dyDescent="0.3">
      <c r="A57" s="143" t="s">
        <v>37</v>
      </c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</row>
    <row r="58" spans="1:17" ht="47.25" customHeight="1" x14ac:dyDescent="0.3">
      <c r="A58" s="166">
        <v>2022</v>
      </c>
      <c r="B58" s="166"/>
      <c r="C58" s="167" t="s">
        <v>40</v>
      </c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8" t="s">
        <v>1</v>
      </c>
      <c r="P58" s="168"/>
      <c r="Q58" s="168"/>
    </row>
    <row r="59" spans="1:17" ht="28.9" customHeight="1" x14ac:dyDescent="0.3">
      <c r="A59" s="169" t="s">
        <v>2</v>
      </c>
      <c r="B59" s="169" t="s">
        <v>3</v>
      </c>
      <c r="C59" s="169"/>
      <c r="D59" s="169"/>
      <c r="E59" s="170" t="s">
        <v>4</v>
      </c>
      <c r="F59" s="170" t="s">
        <v>5</v>
      </c>
      <c r="G59" s="170" t="s">
        <v>6</v>
      </c>
      <c r="H59" s="170" t="s">
        <v>7</v>
      </c>
      <c r="I59" s="169" t="s">
        <v>8</v>
      </c>
      <c r="J59" s="169"/>
      <c r="K59" s="169"/>
      <c r="L59" s="169" t="s">
        <v>9</v>
      </c>
      <c r="M59" s="169"/>
      <c r="N59" s="169"/>
      <c r="O59" s="169"/>
      <c r="P59" s="170" t="s">
        <v>10</v>
      </c>
      <c r="Q59" s="170" t="s">
        <v>11</v>
      </c>
    </row>
    <row r="60" spans="1:17" ht="164.25" customHeight="1" x14ac:dyDescent="0.3">
      <c r="A60" s="169"/>
      <c r="B60" s="119" t="s">
        <v>12</v>
      </c>
      <c r="C60" s="119" t="s">
        <v>13</v>
      </c>
      <c r="D60" s="119" t="s">
        <v>14</v>
      </c>
      <c r="E60" s="171"/>
      <c r="F60" s="171"/>
      <c r="G60" s="171"/>
      <c r="H60" s="171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71"/>
      <c r="Q60" s="171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/>
      <c r="C63" s="131"/>
      <c r="D63" s="132"/>
      <c r="E63" s="130"/>
      <c r="F63" s="131"/>
      <c r="G63" s="131"/>
      <c r="H63" s="133" t="str">
        <f t="shared" si="15"/>
        <v xml:space="preserve"> </v>
      </c>
      <c r="I63" s="134"/>
      <c r="J63" s="135"/>
      <c r="K63" s="135" t="str">
        <f t="shared" si="16"/>
        <v/>
      </c>
      <c r="L63" s="134"/>
      <c r="M63" s="135"/>
      <c r="N63" s="135"/>
      <c r="O63" s="136" t="str">
        <f t="shared" si="17"/>
        <v/>
      </c>
      <c r="P63" s="135"/>
      <c r="Q63" s="133" t="str">
        <f t="shared" si="18"/>
        <v xml:space="preserve"> </v>
      </c>
    </row>
    <row r="64" spans="1:17" ht="24.75" customHeight="1" x14ac:dyDescent="0.3">
      <c r="A64" s="76" t="s">
        <v>25</v>
      </c>
      <c r="B64" s="91"/>
      <c r="C64" s="92"/>
      <c r="D64" s="103"/>
      <c r="E64" s="91"/>
      <c r="F64" s="92"/>
      <c r="G64" s="92"/>
      <c r="H64" s="129" t="str">
        <f t="shared" si="15"/>
        <v xml:space="preserve"> </v>
      </c>
      <c r="I64" s="93"/>
      <c r="J64" s="94"/>
      <c r="K64" s="94" t="str">
        <f t="shared" si="16"/>
        <v/>
      </c>
      <c r="L64" s="93"/>
      <c r="M64" s="94"/>
      <c r="N64" s="94"/>
      <c r="O64" s="80" t="str">
        <f t="shared" si="17"/>
        <v/>
      </c>
      <c r="P64" s="94"/>
      <c r="Q64" s="129" t="str">
        <f t="shared" si="18"/>
        <v xml:space="preserve"> 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/>
      <c r="C67" s="131"/>
      <c r="D67" s="132"/>
      <c r="E67" s="130"/>
      <c r="F67" s="131"/>
      <c r="G67" s="131"/>
      <c r="H67" s="133" t="str">
        <f t="shared" si="15"/>
        <v xml:space="preserve"> </v>
      </c>
      <c r="I67" s="134"/>
      <c r="J67" s="135"/>
      <c r="K67" s="135" t="str">
        <f t="shared" si="16"/>
        <v/>
      </c>
      <c r="L67" s="134"/>
      <c r="M67" s="135"/>
      <c r="N67" s="135"/>
      <c r="O67" s="136" t="str">
        <f t="shared" si="17"/>
        <v/>
      </c>
      <c r="P67" s="135"/>
      <c r="Q67" s="133" t="str">
        <f t="shared" si="18"/>
        <v xml:space="preserve"> </v>
      </c>
    </row>
    <row r="68" spans="1:17" ht="24.75" customHeight="1" x14ac:dyDescent="0.3">
      <c r="A68" s="76" t="s">
        <v>29</v>
      </c>
      <c r="B68" s="91"/>
      <c r="C68" s="92"/>
      <c r="D68" s="103"/>
      <c r="E68" s="91"/>
      <c r="F68" s="92"/>
      <c r="G68" s="92"/>
      <c r="H68" s="129" t="str">
        <f t="shared" si="15"/>
        <v xml:space="preserve"> </v>
      </c>
      <c r="I68" s="93"/>
      <c r="J68" s="94"/>
      <c r="K68" s="94" t="str">
        <f t="shared" si="16"/>
        <v/>
      </c>
      <c r="L68" s="93"/>
      <c r="M68" s="94"/>
      <c r="N68" s="94"/>
      <c r="O68" s="80" t="str">
        <f t="shared" si="17"/>
        <v/>
      </c>
      <c r="P68" s="94"/>
      <c r="Q68" s="129" t="str">
        <f t="shared" si="18"/>
        <v xml:space="preserve"> </v>
      </c>
    </row>
    <row r="69" spans="1:17" ht="24.75" customHeight="1" x14ac:dyDescent="0.3">
      <c r="A69" s="121" t="s">
        <v>30</v>
      </c>
      <c r="B69" s="130"/>
      <c r="C69" s="131"/>
      <c r="D69" s="132"/>
      <c r="E69" s="130"/>
      <c r="F69" s="131"/>
      <c r="G69" s="131"/>
      <c r="H69" s="133" t="str">
        <f t="shared" si="15"/>
        <v xml:space="preserve"> </v>
      </c>
      <c r="I69" s="134"/>
      <c r="J69" s="135"/>
      <c r="K69" s="135" t="str">
        <f t="shared" si="16"/>
        <v/>
      </c>
      <c r="L69" s="134"/>
      <c r="M69" s="135"/>
      <c r="N69" s="135"/>
      <c r="O69" s="136" t="str">
        <f t="shared" si="17"/>
        <v/>
      </c>
      <c r="P69" s="135"/>
      <c r="Q69" s="133" t="str">
        <f t="shared" si="18"/>
        <v xml:space="preserve"> 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0</v>
      </c>
      <c r="C73" s="138">
        <f t="shared" si="19"/>
        <v>0</v>
      </c>
      <c r="D73" s="138">
        <f t="shared" si="19"/>
        <v>0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0</v>
      </c>
      <c r="J73" s="140">
        <f>SUM(J61:J72)</f>
        <v>0</v>
      </c>
      <c r="K73" s="140">
        <f t="shared" si="16"/>
        <v>0</v>
      </c>
      <c r="L73" s="140">
        <f>SUM(L61:L72)</f>
        <v>0</v>
      </c>
      <c r="M73" s="140">
        <f>SUM(M61:M72)</f>
        <v>0</v>
      </c>
      <c r="N73" s="140">
        <f>SUM(N61:N72)</f>
        <v>0</v>
      </c>
      <c r="O73" s="140">
        <f t="shared" si="17"/>
        <v>0</v>
      </c>
      <c r="P73" s="140">
        <f>SUM(P61:P72)</f>
        <v>0</v>
      </c>
      <c r="Q73" s="139" t="str">
        <f t="shared" si="18"/>
        <v xml:space="preserve"> </v>
      </c>
    </row>
    <row r="74" spans="1:17" x14ac:dyDescent="0.3">
      <c r="A74" s="151" t="s">
        <v>35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</row>
    <row r="75" spans="1:17" x14ac:dyDescent="0.3">
      <c r="A75" s="143" t="s">
        <v>36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</row>
    <row r="76" spans="1:17" x14ac:dyDescent="0.3">
      <c r="A76" s="143" t="s">
        <v>37</v>
      </c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Terminal 2</dc:creator>
  <cp:lastModifiedBy>Windows User</cp:lastModifiedBy>
  <dcterms:created xsi:type="dcterms:W3CDTF">2022-12-15T06:24:01Z</dcterms:created>
  <dcterms:modified xsi:type="dcterms:W3CDTF">2023-01-16T10:05:35Z</dcterms:modified>
</cp:coreProperties>
</file>