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<sst xmlns="http://schemas.openxmlformats.org/spreadsheetml/2006/main" count="153" uniqueCount="42">
  <si>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</si>
  <si>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VISTARA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</si>
  <si>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</si>
  <si>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</si>
  <si>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</si>
  <si>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</si>
  <si>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</si>
  <si>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</si>
  <si>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</si>
  <si>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</si>
  <si>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</si>
  <si>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</si>
  <si>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</si>
  <si>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</si>
  <si>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</si>
  <si>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</si>
  <si>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</si>
  <si>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</si>
  <si>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</si>
  <si>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</si>
  <si>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</si>
  <si>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</si>
  <si>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</si>
  <si>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</si>
  <si>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</si>
  <si>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</si>
  <si>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</si>
  <si>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</si>
  <si>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</si>
  <si>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</si>
  <si>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</si>
  <si>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</si>
  <si>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</si>
  <si>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</si>
  <si>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</si>
  <si>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VISTARA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</si>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</sst>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3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2023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7374</v>
      </c>
      <c r="C4" s="12">
        <v>12071.05</v>
      </c>
      <c r="D4" s="13">
        <v>7914.68</v>
      </c>
      <c r="E4" s="14">
        <v>1105388</v>
      </c>
      <c r="F4" s="12">
        <v>1189556.7320000001</v>
      </c>
      <c r="G4" s="12">
        <v>1330001.656</v>
      </c>
      <c r="H4" s="15">
        <f>IFERROR(F4/G4*100," ")</f>
        <v>89.440244426282135</v>
      </c>
      <c r="I4" s="16">
        <v>4860.8478100000002</v>
      </c>
      <c r="J4" s="17">
        <v>388.86259000000001</v>
      </c>
      <c r="K4" s="15">
        <f>IF(AND(ISBLANK(I4),ISBLANK(J4))=TRUE,"",I4+J4)</f>
        <v>5249.7103999999999</v>
      </c>
      <c r="L4" s="16">
        <v>107060.02740000001</v>
      </c>
      <c r="M4" s="17">
        <v>6397.5345270999997</v>
      </c>
      <c r="N4" s="17">
        <v>462.06816655</v>
      </c>
      <c r="O4" s="15">
        <f>IF(AND(ISBLANK(L4),ISBLANK(M4),ISBLANK(N4))=TRUE,"",L4+M4+N4)</f>
        <v>113919.63009365</v>
      </c>
      <c r="P4" s="17">
        <v>139132.43487800012</v>
      </c>
      <c r="Q4" s="15">
        <f>IFERROR(O4/P4*100," ")</f>
        <v>81.87855706941501</v>
      </c>
    </row>
    <row r="5" spans="1:17" ht="23.1" customHeight="1" x14ac:dyDescent="0.3">
      <c r="A5" s="18" t="s">
        <v>23</v>
      </c>
      <c r="B5" s="19">
        <v>6752</v>
      </c>
      <c r="C5" s="19">
        <v>11091.633333333333</v>
      </c>
      <c r="D5" s="18">
        <v>7214.2250000000004</v>
      </c>
      <c r="E5" s="20">
        <v>1052571</v>
      </c>
      <c r="F5" s="19">
        <v>1128150.07</v>
      </c>
      <c r="G5" s="19">
        <v>1215465.1540000001</v>
      </c>
      <c r="H5" s="21">
        <f t="shared" ref="H5:H16" si="0">IFERROR(F5/G5*100," ")</f>
        <v>92.816323552127102</v>
      </c>
      <c r="I5" s="22">
        <v>5070.3016539999999</v>
      </c>
      <c r="J5" s="23">
        <v>371.40825000000001</v>
      </c>
      <c r="K5" s="21">
        <f t="shared" ref="K5:K16" si="1">IF(AND(ISBLANK(I5),ISBLANK(J5))=TRUE,"",I5+J5)</f>
        <v>5441.7099040000003</v>
      </c>
      <c r="L5" s="22">
        <v>101533.40379000001</v>
      </c>
      <c r="M5" s="23">
        <v>6622.7341901209984</v>
      </c>
      <c r="N5" s="23">
        <v>448.07497466000001</v>
      </c>
      <c r="O5" s="21">
        <f t="shared" ref="O5:O16" si="2">IF(AND(ISBLANK(L5),ISBLANK(M5),ISBLANK(N5))=TRUE,"",L5+M5+N5)</f>
        <v>108604.21295478102</v>
      </c>
      <c r="P5" s="23">
        <v>127234.67977800008</v>
      </c>
      <c r="Q5" s="21">
        <f t="shared" ref="Q5:Q16" si="3">IFERROR(O5/P5*100," ")</f>
        <v>85.357398740873464</v>
      </c>
    </row>
    <row r="6" spans="1:17" ht="23.1" customHeight="1" x14ac:dyDescent="0.3">
      <c r="A6" s="24" t="s">
        <v>24</v>
      </c>
      <c r="B6" s="25">
        <v>7467</v>
      </c>
      <c r="C6" s="25">
        <v>12184.183333333332</v>
      </c>
      <c r="D6" s="24">
        <v>7991.9740000000002</v>
      </c>
      <c r="E6" s="26">
        <v>1149276</v>
      </c>
      <c r="F6" s="25">
        <v>1233831.7420000001</v>
      </c>
      <c r="G6" s="25">
        <v>1347557.36</v>
      </c>
      <c r="H6" s="27">
        <f t="shared" si="0"/>
        <v>91.560610228866253</v>
      </c>
      <c r="I6" s="28">
        <v>5842.2018200000002</v>
      </c>
      <c r="J6" s="29">
        <v>502.16692999999998</v>
      </c>
      <c r="K6" s="27">
        <f t="shared" si="1"/>
        <v>6344.3687500000005</v>
      </c>
      <c r="L6" s="28">
        <v>111044.85678000003</v>
      </c>
      <c r="M6" s="29">
        <v>6594.5730259014981</v>
      </c>
      <c r="N6" s="29">
        <v>445.70682696</v>
      </c>
      <c r="O6" s="27">
        <f t="shared" si="2"/>
        <v>118085.13663286153</v>
      </c>
      <c r="P6" s="29">
        <v>140982.34560000009</v>
      </c>
      <c r="Q6" s="27">
        <f t="shared" si="3"/>
        <v>83.758811169092539</v>
      </c>
    </row>
    <row r="7" spans="1:17" ht="23.1" customHeight="1" x14ac:dyDescent="0.3">
      <c r="A7" s="18" t="s">
        <v>25</v>
      </c>
      <c r="B7" s="19">
        <v>7218</v>
      </c>
      <c r="C7" s="19">
        <v>11679.716666666667</v>
      </c>
      <c r="D7" s="18">
        <v>7755.4589999999998</v>
      </c>
      <c r="E7" s="20">
        <v>1122536</v>
      </c>
      <c r="F7" s="19">
        <v>1205413.77</v>
      </c>
      <c r="G7" s="19">
        <v>1309449.6100000001</v>
      </c>
      <c r="H7" s="21">
        <f t="shared" si="0"/>
        <v>92.054994769901839</v>
      </c>
      <c r="I7" s="22">
        <v>5118.4867700000004</v>
      </c>
      <c r="J7" s="23">
        <v>424.50707999999997</v>
      </c>
      <c r="K7" s="21">
        <f t="shared" si="1"/>
        <v>5542.9938500000007</v>
      </c>
      <c r="L7" s="22">
        <v>108487.083</v>
      </c>
      <c r="M7" s="23">
        <v>6633.68066</v>
      </c>
      <c r="N7" s="23">
        <v>508.14391999999998</v>
      </c>
      <c r="O7" s="21">
        <f t="shared" si="2"/>
        <v>115628.90758</v>
      </c>
      <c r="P7" s="23">
        <v>137074.149</v>
      </c>
      <c r="Q7" s="21">
        <f t="shared" si="3"/>
        <v>84.355006705166559</v>
      </c>
    </row>
    <row r="8" spans="1:17" s="30" customFormat="1" ht="30" customHeight="1" x14ac:dyDescent="0.25">
      <c r="A8" s="24" t="s">
        <v>26</v>
      </c>
      <c r="B8" s="25">
        <v>7564</v>
      </c>
      <c r="C8" s="25">
        <v>12184.683333333332</v>
      </c>
      <c r="D8" s="24">
        <v>8113.8</v>
      </c>
      <c r="E8" s="26">
        <v>1194522</v>
      </c>
      <c r="F8" s="25">
        <v>1283096.456</v>
      </c>
      <c r="G8" s="25">
        <v>1376246.621</v>
      </c>
      <c r="H8" s="27">
        <f t="shared" si="0"/>
        <v>93.231579022347333</v>
      </c>
      <c r="I8" s="28">
        <v>6720.6587099999997</v>
      </c>
      <c r="J8" s="29">
        <v>490.02546999999998</v>
      </c>
      <c r="K8" s="27">
        <f t="shared" si="1"/>
        <v>7210.6841799999993</v>
      </c>
      <c r="L8" s="28">
        <v>115478.68104</v>
      </c>
      <c r="M8" s="29">
        <v>7848.9722896800004</v>
      </c>
      <c r="N8" s="29">
        <v>571.48776926999994</v>
      </c>
      <c r="O8" s="27">
        <f t="shared" si="2"/>
        <v>123899.14109894999</v>
      </c>
      <c r="P8" s="29">
        <v>144379.4178</v>
      </c>
      <c r="Q8" s="27">
        <f t="shared" si="3"/>
        <v>85.814961015135765</v>
      </c>
    </row>
    <row r="9" spans="1:17" ht="23.1" customHeight="1" x14ac:dyDescent="0.3">
      <c r="A9" s="18" t="s">
        <v>27</v>
      </c>
      <c r="B9" s="19">
        <v>6465</v>
      </c>
      <c r="C9" s="19">
        <v>10576.5</v>
      </c>
      <c r="D9" s="18">
        <v>7073.1689999999999</v>
      </c>
      <c r="E9" s="20">
        <v>1011426</v>
      </c>
      <c r="F9" s="19">
        <v>1110888.706</v>
      </c>
      <c r="G9" s="19">
        <v>1193840.2679999999</v>
      </c>
      <c r="H9" s="21">
        <f t="shared" si="0"/>
        <v>93.051703462895759</v>
      </c>
      <c r="I9" s="22">
        <v>6041.5639099999999</v>
      </c>
      <c r="J9" s="23">
        <v>439.78591999999998</v>
      </c>
      <c r="K9" s="21">
        <f t="shared" si="1"/>
        <v>6481.3498300000001</v>
      </c>
      <c r="L9" s="22">
        <v>99979.983540000001</v>
      </c>
      <c r="M9" s="23">
        <v>6788.7458691499996</v>
      </c>
      <c r="N9" s="23">
        <v>502.10405212000001</v>
      </c>
      <c r="O9" s="21">
        <f t="shared" si="2"/>
        <v>107270.83346127</v>
      </c>
      <c r="P9" s="23">
        <v>124090.6306</v>
      </c>
      <c r="Q9" s="21">
        <f t="shared" si="3"/>
        <v>86.445554303815413</v>
      </c>
    </row>
    <row r="10" spans="1:17" ht="23.1" customHeight="1" x14ac:dyDescent="0.3">
      <c r="A10" s="24" t="s">
        <v>28</v>
      </c>
      <c r="B10" s="25">
        <v>6888</v>
      </c>
      <c r="C10" s="25">
        <v>11479.783333333333</v>
      </c>
      <c r="D10" s="24">
        <v>7543.9780000000001</v>
      </c>
      <c r="E10" s="26">
        <v>1019501</v>
      </c>
      <c r="F10" s="25">
        <v>1110647.2609999999</v>
      </c>
      <c r="G10" s="25">
        <v>1277100.432</v>
      </c>
      <c r="H10" s="27">
        <f t="shared" si="0"/>
        <v>86.966320985474383</v>
      </c>
      <c r="I10" s="28">
        <v>6830.81196</v>
      </c>
      <c r="J10" s="29">
        <v>396.79685000000001</v>
      </c>
      <c r="K10" s="27">
        <f t="shared" si="1"/>
        <v>7227.6088099999997</v>
      </c>
      <c r="L10" s="28">
        <v>99958.253490000003</v>
      </c>
      <c r="M10" s="29">
        <v>8679.3600129499991</v>
      </c>
      <c r="N10" s="29">
        <v>489.30470210999999</v>
      </c>
      <c r="O10" s="27">
        <f t="shared" si="2"/>
        <v>109126.91820506001</v>
      </c>
      <c r="P10" s="29">
        <v>132927.87820000001</v>
      </c>
      <c r="Q10" s="27">
        <f t="shared" si="3"/>
        <v>82.094831936510971</v>
      </c>
    </row>
    <row r="11" spans="1:17" ht="23.1" customHeight="1" x14ac:dyDescent="0.3">
      <c r="A11" s="18" t="s">
        <v>29</v>
      </c>
      <c r="B11" s="19">
        <v>7813</v>
      </c>
      <c r="C11" s="19">
        <v>12805.516666666666</v>
      </c>
      <c r="D11" s="18">
        <v>8482.3070000000007</v>
      </c>
      <c r="E11" s="20">
        <v>1216689</v>
      </c>
      <c r="F11" s="19">
        <v>1318118.4480000001</v>
      </c>
      <c r="G11" s="19">
        <v>1444073.452</v>
      </c>
      <c r="H11" s="21">
        <f t="shared" si="0"/>
        <v>91.277797966193759</v>
      </c>
      <c r="I11" s="22">
        <v>7099.8624300000001</v>
      </c>
      <c r="J11" s="23">
        <v>489.38164999999998</v>
      </c>
      <c r="K11" s="21">
        <f t="shared" si="1"/>
        <v>7589.2440800000004</v>
      </c>
      <c r="L11" s="22">
        <v>118630.68308999996</v>
      </c>
      <c r="M11" s="23">
        <v>8958.7599109300008</v>
      </c>
      <c r="N11" s="23">
        <v>597.56116835000012</v>
      </c>
      <c r="O11" s="21">
        <f t="shared" si="2"/>
        <v>128187.00416927997</v>
      </c>
      <c r="P11" s="23">
        <v>150903.65359999999</v>
      </c>
      <c r="Q11" s="21">
        <f t="shared" si="3"/>
        <v>84.946256178173797</v>
      </c>
    </row>
    <row r="12" spans="1:17" ht="23.1" customHeight="1" x14ac:dyDescent="0.3">
      <c r="A12" s="24" t="s">
        <v>30</v>
      </c>
      <c r="B12" s="25">
        <v>7814</v>
      </c>
      <c r="C12" s="25">
        <v>13065.083333333334</v>
      </c>
      <c r="D12" s="24">
        <v>8468.4079999999994</v>
      </c>
      <c r="E12" s="26">
        <v>1229406</v>
      </c>
      <c r="F12" s="25">
        <v>1330166.8940000001</v>
      </c>
      <c r="G12" s="25">
        <v>1446308.1440000001</v>
      </c>
      <c r="H12" s="27">
        <f t="shared" si="0"/>
        <v>91.969812900396704</v>
      </c>
      <c r="I12" s="28">
        <v>6844.4841839999999</v>
      </c>
      <c r="J12" s="29">
        <v>449.26938999999999</v>
      </c>
      <c r="K12" s="27">
        <f t="shared" si="1"/>
        <v>7293.7535740000003</v>
      </c>
      <c r="L12" s="28">
        <v>119714.91795</v>
      </c>
      <c r="M12" s="29">
        <v>8643.2106483200005</v>
      </c>
      <c r="N12" s="29">
        <v>544.80402048999997</v>
      </c>
      <c r="O12" s="27">
        <f t="shared" si="2"/>
        <v>128902.93261881001</v>
      </c>
      <c r="P12" s="29">
        <v>151742.32399999999</v>
      </c>
      <c r="Q12" s="27">
        <f t="shared" si="3"/>
        <v>84.948568877072177</v>
      </c>
    </row>
    <row r="13" spans="1:17" ht="23.1" customHeight="1" x14ac:dyDescent="0.3">
      <c r="A13" s="18" t="s">
        <v>31</v>
      </c>
      <c r="B13" s="19">
        <v>8088</v>
      </c>
      <c r="C13" s="19">
        <v>13152.9</v>
      </c>
      <c r="D13" s="18">
        <v>8663.2369999999992</v>
      </c>
      <c r="E13" s="20">
        <v>1230575</v>
      </c>
      <c r="F13" s="19">
        <v>1318667.7220000001</v>
      </c>
      <c r="G13" s="19">
        <v>1478793.6880000001</v>
      </c>
      <c r="H13" s="21">
        <f t="shared" si="0"/>
        <v>89.171852213099243</v>
      </c>
      <c r="I13" s="22">
        <v>7189.3574200000003</v>
      </c>
      <c r="J13" s="23">
        <v>436.59296999999998</v>
      </c>
      <c r="K13" s="21">
        <f t="shared" si="1"/>
        <v>7625.95039</v>
      </c>
      <c r="L13" s="22">
        <v>118679.59809</v>
      </c>
      <c r="M13" s="23">
        <v>8895.7382487199902</v>
      </c>
      <c r="N13" s="23">
        <v>533.50405264999995</v>
      </c>
      <c r="O13" s="21">
        <f t="shared" si="2"/>
        <v>128108.84039136999</v>
      </c>
      <c r="P13" s="23">
        <v>155400.72</v>
      </c>
      <c r="Q13" s="21">
        <f t="shared" si="3"/>
        <v>82.437739279052238</v>
      </c>
    </row>
    <row r="14" spans="1:17" ht="23.1" customHeight="1" x14ac:dyDescent="0.3">
      <c r="A14" s="24" t="s">
        <v>32</v>
      </c>
      <c r="B14" s="25">
        <v>7903</v>
      </c>
      <c r="C14" s="25">
        <v>13058.516666666666</v>
      </c>
      <c r="D14" s="24">
        <v>8482.6039999999994</v>
      </c>
      <c r="E14" s="26">
        <v>1197231</v>
      </c>
      <c r="F14" s="25">
        <v>1285031.061</v>
      </c>
      <c r="G14" s="25">
        <v>1438035.308</v>
      </c>
      <c r="H14" s="27">
        <f t="shared" si="0"/>
        <v>89.360188435651395</v>
      </c>
      <c r="I14" s="28">
        <v>6635.7580900000003</v>
      </c>
      <c r="J14" s="29">
        <v>420.61147</v>
      </c>
      <c r="K14" s="27">
        <f t="shared" si="1"/>
        <v>7056.3695600000001</v>
      </c>
      <c r="L14" s="28">
        <v>115652.79549</v>
      </c>
      <c r="M14" s="29">
        <v>8214.5199725900093</v>
      </c>
      <c r="N14" s="29">
        <v>519.49050699999998</v>
      </c>
      <c r="O14" s="27">
        <f t="shared" si="2"/>
        <v>124386.80596959002</v>
      </c>
      <c r="P14" s="29">
        <v>150384.29680000001</v>
      </c>
      <c r="Q14" s="27">
        <f t="shared" si="3"/>
        <v>82.712629321274989</v>
      </c>
    </row>
    <row r="15" spans="1:17" ht="23.1" customHeight="1" x14ac:dyDescent="0.3">
      <c r="A15" s="31" t="s">
        <v>33</v>
      </c>
      <c r="B15" s="32">
        <v>8347</v>
      </c>
      <c r="C15" s="32">
        <v>13685.15</v>
      </c>
      <c r="D15" s="33">
        <v>8922.8780000000006</v>
      </c>
      <c r="E15" s="34">
        <v>1317548</v>
      </c>
      <c r="F15" s="32">
        <v>1406772.3219999999</v>
      </c>
      <c r="G15" s="32">
        <v>1508457.24</v>
      </c>
      <c r="H15" s="35">
        <f t="shared" si="0"/>
        <v>93.259012234248019</v>
      </c>
      <c r="I15" s="36">
        <v>6510.7271799999999</v>
      </c>
      <c r="J15" s="37">
        <v>486.51056</v>
      </c>
      <c r="K15" s="35">
        <f t="shared" si="1"/>
        <v>6997.2377399999996</v>
      </c>
      <c r="L15" s="36">
        <v>126625.87323</v>
      </c>
      <c r="M15" s="37">
        <v>8137.6073069900003</v>
      </c>
      <c r="N15" s="37">
        <v>596.66177029999994</v>
      </c>
      <c r="O15" s="35">
        <f t="shared" si="2"/>
        <v>135360.14230728999</v>
      </c>
      <c r="P15" s="23">
        <v>157654.71978399999</v>
      </c>
      <c r="Q15" s="21">
        <f t="shared" si="3"/>
        <v>85.858604482469403</v>
      </c>
    </row>
    <row r="16" spans="1:17" ht="23.1" customHeight="1" x14ac:dyDescent="0.3">
      <c r="A16" s="38" t="s">
        <v>34</v>
      </c>
      <c r="B16" s="39">
        <f t="shared" ref="B16:G16" si="4">SUM(B4:B15)</f>
        <v>89693</v>
      </c>
      <c r="C16" s="39">
        <f t="shared" si="4"/>
        <v>147034.71666666665</v>
      </c>
      <c r="D16" s="39">
        <f t="shared" si="4"/>
        <v>96626.718999999983</v>
      </c>
      <c r="E16" s="39">
        <f t="shared" si="4"/>
        <v>13846669</v>
      </c>
      <c r="F16" s="39">
        <f t="shared" si="4"/>
        <v>14920341.184</v>
      </c>
      <c r="G16" s="39">
        <f t="shared" si="4"/>
        <v>16365328.932999998</v>
      </c>
      <c r="H16" s="40">
        <f t="shared" si="0"/>
        <v>91.170432596156132</v>
      </c>
      <c r="I16" s="40">
        <f>SUM(I4:I15)</f>
        <v>74765.061937999999</v>
      </c>
      <c r="J16" s="40">
        <f>SUM(J4:J15)</f>
        <v>5295.9191299999993</v>
      </c>
      <c r="K16" s="40">
        <f t="shared" si="1"/>
        <v>80060.981067999994</v>
      </c>
      <c r="L16" s="40">
        <f>SUM(L4:L15)</f>
        <v>1342846.15689</v>
      </c>
      <c r="M16" s="40">
        <f>SUM(M4:M15)</f>
        <v>92415.436662452485</v>
      </c>
      <c r="N16" s="40">
        <f>SUM(N4:N15)</f>
        <v>6218.9119304599999</v>
      </c>
      <c r="O16" s="40">
        <f t="shared" si="2"/>
        <v>1441480.5054829125</v>
      </c>
      <c r="P16" s="41">
        <f>SUM(P4:P15)</f>
        <v>1711907.2500400003</v>
      </c>
      <c r="Q16" s="41">
        <f t="shared" si="3"/>
        <v>84.203189480576768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2023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938</v>
      </c>
      <c r="C23" s="58">
        <v>3924.8833333333332</v>
      </c>
      <c r="D23" s="59">
        <v>2914.424</v>
      </c>
      <c r="E23" s="57">
        <v>144833</v>
      </c>
      <c r="F23" s="58">
        <v>523415.40500000003</v>
      </c>
      <c r="G23" s="58">
        <v>634923.96699999995</v>
      </c>
      <c r="H23" s="60">
        <f t="shared" ref="H23:H35" si="5">IFERROR(F23/G23*100," ")</f>
        <v>82.437493653472387</v>
      </c>
      <c r="I23" s="61">
        <v>1575.4079999999999</v>
      </c>
      <c r="J23" s="61">
        <v>28.563700000000001</v>
      </c>
      <c r="K23" s="61">
        <f>IF(AND(ISBLANK(I23),ISBLANK(J23))=TRUE,"",I23+J23)</f>
        <v>1603.9716999999998</v>
      </c>
      <c r="L23" s="62">
        <v>54958.617525000016</v>
      </c>
      <c r="M23" s="61">
        <v>8967.2374473462569</v>
      </c>
      <c r="N23" s="61">
        <v>137.61024979999996</v>
      </c>
      <c r="O23" s="63">
        <f>IF(AND(ISBLANK(L23),ISBLANK(M23),ISBLANK(N23))=TRUE,"",L23+M23+N23)</f>
        <v>64063.465222146267</v>
      </c>
      <c r="P23" s="62">
        <v>85143.266599999974</v>
      </c>
      <c r="Q23" s="63">
        <f>IFERROR(O23/P23*100," ")</f>
        <v>75.241963082194317</v>
      </c>
    </row>
    <row r="24" spans="1:17" ht="23.1" customHeight="1" x14ac:dyDescent="0.3">
      <c r="A24" s="64" t="s">
        <v>23</v>
      </c>
      <c r="B24" s="65">
        <v>846</v>
      </c>
      <c r="C24" s="64">
        <v>3384</v>
      </c>
      <c r="D24" s="66">
        <v>2624.8879999999999</v>
      </c>
      <c r="E24" s="65">
        <v>139056</v>
      </c>
      <c r="F24" s="64">
        <v>497925.16800000001</v>
      </c>
      <c r="G24" s="64">
        <v>572097.54399999999</v>
      </c>
      <c r="H24" s="67">
        <f t="shared" si="5"/>
        <v>87.035012336987066</v>
      </c>
      <c r="I24" s="68">
        <v>1828.75</v>
      </c>
      <c r="J24" s="68">
        <v>15.9899</v>
      </c>
      <c r="K24" s="68">
        <f t="shared" ref="K24:K35" si="6">IF(AND(ISBLANK(I24),ISBLANK(J24))=TRUE,"",I24+J24)</f>
        <v>1844.7399</v>
      </c>
      <c r="L24" s="69">
        <v>52282.142639999998</v>
      </c>
      <c r="M24" s="68">
        <v>8759.0491073462599</v>
      </c>
      <c r="N24" s="68">
        <v>136.56828659999996</v>
      </c>
      <c r="O24" s="67">
        <f t="shared" ref="O24:O35" si="7">IF(AND(ISBLANK(L24),ISBLANK(M24),ISBLANK(N24))=TRUE,"",L24+M24+N24)</f>
        <v>61177.760033946259</v>
      </c>
      <c r="P24" s="69">
        <v>67929.392200000002</v>
      </c>
      <c r="Q24" s="67">
        <f t="shared" ref="Q24:Q35" si="8">IFERROR(O24/P24*100," ")</f>
        <v>90.060808808394228</v>
      </c>
    </row>
    <row r="25" spans="1:17" ht="23.1" customHeight="1" x14ac:dyDescent="0.3">
      <c r="A25" s="56" t="s">
        <v>24</v>
      </c>
      <c r="B25" s="70">
        <v>1046</v>
      </c>
      <c r="C25" s="56">
        <v>4240.7</v>
      </c>
      <c r="D25" s="71">
        <v>3161.8670000000002</v>
      </c>
      <c r="E25" s="70">
        <v>167254</v>
      </c>
      <c r="F25" s="56">
        <v>564142.85600000003</v>
      </c>
      <c r="G25" s="56">
        <v>677268.56799999997</v>
      </c>
      <c r="H25" s="60">
        <f t="shared" si="5"/>
        <v>83.296772160257717</v>
      </c>
      <c r="I25" s="72">
        <v>1300.8512000000001</v>
      </c>
      <c r="J25" s="72">
        <v>28.234000000000002</v>
      </c>
      <c r="K25" s="72">
        <f t="shared" si="6"/>
        <v>1329.0852</v>
      </c>
      <c r="L25" s="73">
        <v>59234.99988000001</v>
      </c>
      <c r="M25" s="72">
        <v>7387.2138133132585</v>
      </c>
      <c r="N25" s="72">
        <v>60.687079699999984</v>
      </c>
      <c r="O25" s="60">
        <f t="shared" si="7"/>
        <v>66682.900773013273</v>
      </c>
      <c r="P25" s="73">
        <v>89563.170063999991</v>
      </c>
      <c r="Q25" s="60">
        <f t="shared" si="8"/>
        <v>74.453484312092854</v>
      </c>
    </row>
    <row r="26" spans="1:17" ht="23.1" customHeight="1" x14ac:dyDescent="0.3">
      <c r="A26" s="64" t="s">
        <v>25</v>
      </c>
      <c r="B26" s="65">
        <v>1030</v>
      </c>
      <c r="C26" s="64">
        <v>4257.75</v>
      </c>
      <c r="D26" s="66">
        <v>3205.61</v>
      </c>
      <c r="E26" s="65">
        <v>152006</v>
      </c>
      <c r="F26" s="64">
        <v>531017.02800000005</v>
      </c>
      <c r="G26" s="64">
        <v>684571.01800000004</v>
      </c>
      <c r="H26" s="67">
        <f t="shared" si="5"/>
        <v>77.569311881093981</v>
      </c>
      <c r="I26" s="68">
        <v>1925.4984899999999</v>
      </c>
      <c r="J26" s="68">
        <v>12.8245</v>
      </c>
      <c r="K26" s="68">
        <f t="shared" si="6"/>
        <v>1938.3229899999999</v>
      </c>
      <c r="L26" s="69">
        <v>55756.787940000009</v>
      </c>
      <c r="M26" s="68">
        <v>8759.0829202385503</v>
      </c>
      <c r="N26" s="68">
        <v>77.19829519999999</v>
      </c>
      <c r="O26" s="67">
        <f t="shared" si="7"/>
        <v>64593.069155438563</v>
      </c>
      <c r="P26" s="69">
        <v>68384.321664000003</v>
      </c>
      <c r="Q26" s="67">
        <f t="shared" si="8"/>
        <v>94.45596239560669</v>
      </c>
    </row>
    <row r="27" spans="1:17" s="30" customFormat="1" ht="30" customHeight="1" x14ac:dyDescent="0.25">
      <c r="A27" s="56" t="s">
        <v>26</v>
      </c>
      <c r="B27" s="70">
        <v>1069</v>
      </c>
      <c r="C27" s="56">
        <v>4395.3999999999996</v>
      </c>
      <c r="D27" s="71">
        <v>3320.922</v>
      </c>
      <c r="E27" s="70">
        <v>162421</v>
      </c>
      <c r="F27" s="56">
        <v>561979.26500000001</v>
      </c>
      <c r="G27" s="56">
        <v>708448.69200000004</v>
      </c>
      <c r="H27" s="60">
        <f t="shared" si="5"/>
        <v>79.325330309170781</v>
      </c>
      <c r="I27" s="72">
        <v>1906.9467500000001</v>
      </c>
      <c r="J27" s="72">
        <v>12.329499999999999</v>
      </c>
      <c r="K27" s="72">
        <f t="shared" si="6"/>
        <v>1919.2762500000001</v>
      </c>
      <c r="L27" s="73">
        <v>59100.653325000014</v>
      </c>
      <c r="M27" s="72">
        <v>665.26718210219883</v>
      </c>
      <c r="N27" s="72">
        <v>28.739636399999998</v>
      </c>
      <c r="O27" s="60">
        <f t="shared" si="7"/>
        <v>59794.660143502217</v>
      </c>
      <c r="P27" s="73">
        <v>92914.64126400002</v>
      </c>
      <c r="Q27" s="60">
        <f t="shared" si="8"/>
        <v>64.354400264654302</v>
      </c>
    </row>
    <row r="28" spans="1:17" ht="23.1" customHeight="1" x14ac:dyDescent="0.3">
      <c r="A28" s="64" t="s">
        <v>27</v>
      </c>
      <c r="B28" s="65">
        <v>1074</v>
      </c>
      <c r="C28" s="64">
        <v>4605.2666666666664</v>
      </c>
      <c r="D28" s="66">
        <v>3542.4479999999999</v>
      </c>
      <c r="E28" s="65">
        <v>174008</v>
      </c>
      <c r="F28" s="64">
        <v>656749.13800000004</v>
      </c>
      <c r="G28" s="64">
        <v>784730.83799999999</v>
      </c>
      <c r="H28" s="67">
        <f t="shared" si="5"/>
        <v>83.691006673551939</v>
      </c>
      <c r="I28" s="68">
        <v>2339.6599299999998</v>
      </c>
      <c r="J28" s="68">
        <v>11.565200000000001</v>
      </c>
      <c r="K28" s="68">
        <f t="shared" si="6"/>
        <v>2351.2251299999998</v>
      </c>
      <c r="L28" s="69">
        <v>68958.659490000005</v>
      </c>
      <c r="M28" s="68">
        <v>648.25159810219895</v>
      </c>
      <c r="N28" s="68">
        <v>28.4986076</v>
      </c>
      <c r="O28" s="67">
        <f t="shared" si="7"/>
        <v>69635.409695702212</v>
      </c>
      <c r="P28" s="69">
        <v>103823.552022</v>
      </c>
      <c r="Q28" s="67">
        <f t="shared" si="8"/>
        <v>67.070918244972589</v>
      </c>
    </row>
    <row r="29" spans="1:17" ht="23.1" customHeight="1" x14ac:dyDescent="0.3">
      <c r="A29" s="56" t="s">
        <v>28</v>
      </c>
      <c r="B29" s="70">
        <v>1074</v>
      </c>
      <c r="C29" s="56">
        <v>4802.166666666667</v>
      </c>
      <c r="D29" s="71">
        <v>3542.4479999999999</v>
      </c>
      <c r="E29" s="70">
        <v>174008</v>
      </c>
      <c r="F29" s="56">
        <v>656749.13800000004</v>
      </c>
      <c r="G29" s="56">
        <v>784730.83799999999</v>
      </c>
      <c r="H29" s="60">
        <f t="shared" si="5"/>
        <v>83.691006673551939</v>
      </c>
      <c r="I29" s="72">
        <v>2052.4693400000001</v>
      </c>
      <c r="J29" s="72">
        <v>10.47695</v>
      </c>
      <c r="K29" s="72">
        <f t="shared" si="6"/>
        <v>2062.9462900000003</v>
      </c>
      <c r="L29" s="73">
        <v>68958.659490000005</v>
      </c>
      <c r="M29" s="72">
        <v>648.25159810219895</v>
      </c>
      <c r="N29" s="72">
        <v>28.4986076</v>
      </c>
      <c r="O29" s="60">
        <f t="shared" si="7"/>
        <v>69635.409695702212</v>
      </c>
      <c r="P29" s="73">
        <v>103823.552022</v>
      </c>
      <c r="Q29" s="60">
        <f t="shared" si="8"/>
        <v>67.070918244972589</v>
      </c>
    </row>
    <row r="30" spans="1:17" ht="23.1" customHeight="1" x14ac:dyDescent="0.3">
      <c r="A30" s="64" t="s">
        <v>29</v>
      </c>
      <c r="B30" s="65">
        <v>1099</v>
      </c>
      <c r="C30" s="64">
        <v>4641.45</v>
      </c>
      <c r="D30" s="66">
        <v>3540.2060000000001</v>
      </c>
      <c r="E30" s="65">
        <v>171277</v>
      </c>
      <c r="F30" s="64">
        <v>640608.995</v>
      </c>
      <c r="G30" s="64">
        <v>777979.51800000004</v>
      </c>
      <c r="H30" s="67">
        <f t="shared" si="5"/>
        <v>82.342655581325985</v>
      </c>
      <c r="I30" s="68">
        <v>2136.8975</v>
      </c>
      <c r="J30" s="68">
        <v>7.6204000000000001</v>
      </c>
      <c r="K30" s="68">
        <f t="shared" si="6"/>
        <v>2144.5178999999998</v>
      </c>
      <c r="L30" s="69">
        <v>67262.428065</v>
      </c>
      <c r="M30" s="68">
        <v>648.189405106305</v>
      </c>
      <c r="N30" s="68">
        <v>22.685355399999999</v>
      </c>
      <c r="O30" s="67">
        <f t="shared" si="7"/>
        <v>67933.302825506296</v>
      </c>
      <c r="P30" s="69">
        <v>106622.26326399999</v>
      </c>
      <c r="Q30" s="67">
        <f t="shared" si="8"/>
        <v>63.713994381549895</v>
      </c>
    </row>
    <row r="31" spans="1:17" ht="23.1" customHeight="1" x14ac:dyDescent="0.3">
      <c r="A31" s="56" t="s">
        <v>30</v>
      </c>
      <c r="B31" s="70">
        <v>1099</v>
      </c>
      <c r="C31" s="56">
        <v>4668.7666666666664</v>
      </c>
      <c r="D31" s="71">
        <v>3523.5360000000001</v>
      </c>
      <c r="E31" s="70">
        <v>169239</v>
      </c>
      <c r="F31" s="56">
        <v>619926.23499999999</v>
      </c>
      <c r="G31" s="56">
        <v>773087.93099999998</v>
      </c>
      <c r="H31" s="60">
        <f t="shared" si="5"/>
        <v>80.188321423944203</v>
      </c>
      <c r="I31" s="72">
        <v>2061.3935900000001</v>
      </c>
      <c r="J31" s="72">
        <v>5.8193599999999996</v>
      </c>
      <c r="K31" s="72">
        <f t="shared" si="6"/>
        <v>2067.2129500000001</v>
      </c>
      <c r="L31" s="73">
        <v>65092.254674999996</v>
      </c>
      <c r="M31" s="72">
        <v>648.21310110630498</v>
      </c>
      <c r="N31" s="72">
        <v>22.685355399999999</v>
      </c>
      <c r="O31" s="60">
        <f t="shared" si="7"/>
        <v>65763.153131506304</v>
      </c>
      <c r="P31" s="73">
        <v>105499.583516</v>
      </c>
      <c r="Q31" s="60">
        <f t="shared" si="8"/>
        <v>62.334988385553871</v>
      </c>
    </row>
    <row r="32" spans="1:17" ht="23.1" customHeight="1" x14ac:dyDescent="0.3">
      <c r="A32" s="64" t="s">
        <v>31</v>
      </c>
      <c r="B32" s="65">
        <v>1188</v>
      </c>
      <c r="C32" s="64">
        <v>5000.4333333333334</v>
      </c>
      <c r="D32" s="66">
        <v>3781.7020000000002</v>
      </c>
      <c r="E32" s="65">
        <v>182360</v>
      </c>
      <c r="F32" s="64">
        <v>654846.61100000003</v>
      </c>
      <c r="G32" s="64">
        <v>818662.45400000003</v>
      </c>
      <c r="H32" s="67">
        <f t="shared" si="5"/>
        <v>79.989818489953606</v>
      </c>
      <c r="I32" s="68">
        <v>2228.9016299999998</v>
      </c>
      <c r="J32" s="68">
        <v>8.5086999999999993</v>
      </c>
      <c r="K32" s="68">
        <f t="shared" si="6"/>
        <v>2237.4103299999997</v>
      </c>
      <c r="L32" s="69">
        <v>68758.894155000002</v>
      </c>
      <c r="M32" s="68">
        <v>648.26133810219903</v>
      </c>
      <c r="N32" s="68">
        <v>28.4986076</v>
      </c>
      <c r="O32" s="67">
        <f t="shared" si="7"/>
        <v>69435.654100702202</v>
      </c>
      <c r="P32" s="69">
        <v>110725.891</v>
      </c>
      <c r="Q32" s="67">
        <f t="shared" si="8"/>
        <v>62.709501340298267</v>
      </c>
    </row>
    <row r="33" spans="1:17" ht="23.1" customHeight="1" x14ac:dyDescent="0.3">
      <c r="A33" s="56" t="s">
        <v>32</v>
      </c>
      <c r="B33" s="70">
        <v>1282</v>
      </c>
      <c r="C33" s="56">
        <v>5429.6333333333332</v>
      </c>
      <c r="D33" s="71">
        <v>4083.348</v>
      </c>
      <c r="E33" s="70">
        <v>203076</v>
      </c>
      <c r="F33" s="56">
        <v>732745.25899999996</v>
      </c>
      <c r="G33" s="56">
        <v>894519.06599999999</v>
      </c>
      <c r="H33" s="60">
        <f t="shared" si="5"/>
        <v>81.91499620870016</v>
      </c>
      <c r="I33" s="72">
        <v>2558.20003</v>
      </c>
      <c r="J33" s="72">
        <v>11.23001</v>
      </c>
      <c r="K33" s="72">
        <f t="shared" si="6"/>
        <v>2569.4300400000002</v>
      </c>
      <c r="L33" s="73">
        <v>76938.252194999994</v>
      </c>
      <c r="M33" s="72">
        <v>648.26416361882502</v>
      </c>
      <c r="N33" s="72">
        <v>26.748293</v>
      </c>
      <c r="O33" s="60">
        <f t="shared" si="7"/>
        <v>77613.264651618811</v>
      </c>
      <c r="P33" s="73">
        <v>119357.607758</v>
      </c>
      <c r="Q33" s="60">
        <f t="shared" si="8"/>
        <v>65.025821235443402</v>
      </c>
    </row>
    <row r="34" spans="1:17" ht="23.1" customHeight="1" x14ac:dyDescent="0.3">
      <c r="A34" s="64" t="s">
        <v>33</v>
      </c>
      <c r="B34" s="74">
        <v>1460</v>
      </c>
      <c r="C34" s="75">
        <v>6433.4666666666662</v>
      </c>
      <c r="D34" s="76">
        <v>4849.5</v>
      </c>
      <c r="E34" s="74">
        <v>244991</v>
      </c>
      <c r="F34" s="75">
        <v>900744.147</v>
      </c>
      <c r="G34" s="75">
        <v>1057187.2320000001</v>
      </c>
      <c r="H34" s="67">
        <f t="shared" si="5"/>
        <v>85.201950963403235</v>
      </c>
      <c r="I34" s="77">
        <v>2969.7892299999999</v>
      </c>
      <c r="J34" s="77">
        <v>4.5567299999999999</v>
      </c>
      <c r="K34" s="77">
        <f t="shared" si="6"/>
        <v>2974.3459599999996</v>
      </c>
      <c r="L34" s="78">
        <v>94577.736959999995</v>
      </c>
      <c r="M34" s="77">
        <v>648.26661561882497</v>
      </c>
      <c r="N34" s="77">
        <v>26.748293</v>
      </c>
      <c r="O34" s="79">
        <f t="shared" si="7"/>
        <v>95252.751868618812</v>
      </c>
      <c r="P34" s="78">
        <v>106692.944864</v>
      </c>
      <c r="Q34" s="79">
        <f t="shared" si="8"/>
        <v>89.277460651251261</v>
      </c>
    </row>
    <row r="35" spans="1:17" ht="23.1" customHeight="1" x14ac:dyDescent="0.3">
      <c r="A35" s="80" t="s">
        <v>34</v>
      </c>
      <c r="B35" s="81">
        <f t="shared" ref="B35:G35" si="9">SUM(B23:B34)</f>
        <v>13205</v>
      </c>
      <c r="C35" s="81">
        <f t="shared" si="9"/>
        <v>55783.916666666664</v>
      </c>
      <c r="D35" s="81">
        <f t="shared" si="9"/>
        <v>42090.898999999998</v>
      </c>
      <c r="E35" s="81">
        <f t="shared" si="9"/>
        <v>2084529</v>
      </c>
      <c r="F35" s="81">
        <f t="shared" si="9"/>
        <v>7540849.245000001</v>
      </c>
      <c r="G35" s="81">
        <f t="shared" si="9"/>
        <v>9168207.6659999993</v>
      </c>
      <c r="H35" s="82">
        <f t="shared" si="5"/>
        <v>82.249982981570056</v>
      </c>
      <c r="I35" s="83">
        <f>SUM(I23:I34)</f>
        <v>24884.76569</v>
      </c>
      <c r="J35" s="83">
        <f>SUM(J23:J34)</f>
        <v>157.71894999999998</v>
      </c>
      <c r="K35" s="83">
        <f t="shared" si="6"/>
        <v>25042.484639999999</v>
      </c>
      <c r="L35" s="83">
        <f>SUM(L23:L34)</f>
        <v>791880.08633999992</v>
      </c>
      <c r="M35" s="83">
        <f>SUM(M23:M34)</f>
        <v>39075.54829010339</v>
      </c>
      <c r="N35" s="83">
        <f>SUM(N23:N34)</f>
        <v>625.16666729999997</v>
      </c>
      <c r="O35" s="83">
        <f t="shared" si="7"/>
        <v>831580.80129740341</v>
      </c>
      <c r="P35" s="83">
        <f>SUM(P23:P34)</f>
        <v>1160480.1862379999</v>
      </c>
      <c r="Q35" s="83">
        <f t="shared" si="8"/>
        <v>71.658336881493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2023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6</v>
      </c>
      <c r="C42" s="94">
        <v>11.083333333333334</v>
      </c>
      <c r="D42" s="95">
        <v>5.6240000000000006</v>
      </c>
      <c r="E42" s="93">
        <v>466</v>
      </c>
      <c r="F42" s="94">
        <v>440.89799999999997</v>
      </c>
      <c r="G42" s="94">
        <v>922.33600000000001</v>
      </c>
      <c r="H42" s="96">
        <f t="shared" ref="H42:H54" si="10">IFERROR(F42/G42*100," ")</f>
        <v>47.802319328314191</v>
      </c>
      <c r="I42" s="97"/>
      <c r="J42" s="98"/>
      <c r="K42" s="96" t="str">
        <f>IF(AND(ISBLANK(I42),ISBLANK(J42))=TRUE,"",I42+J42)</f>
        <v/>
      </c>
      <c r="L42" s="97">
        <v>39.680820000000004</v>
      </c>
      <c r="M42" s="98">
        <v>0</v>
      </c>
      <c r="N42" s="98"/>
      <c r="O42" s="96">
        <f>IF(AND(ISBLANK(L42),ISBLANK(M42),ISBLANK(N42))=TRUE,"",L42+M42+N42)</f>
        <v>39.680820000000004</v>
      </c>
      <c r="P42" s="97">
        <v>94.483199999999997</v>
      </c>
      <c r="Q42" s="96">
        <f>IFERROR(O42/P42*100," ")</f>
        <v>41.997751981304617</v>
      </c>
    </row>
    <row r="43" spans="1:17" ht="25.5" customHeight="1" x14ac:dyDescent="0.3">
      <c r="A43" s="99" t="s">
        <v>23</v>
      </c>
      <c r="B43" s="100">
        <v>6</v>
      </c>
      <c r="C43" s="101">
        <v>7.5</v>
      </c>
      <c r="D43" s="102">
        <v>4.7919999999999998</v>
      </c>
      <c r="E43" s="100">
        <v>684</v>
      </c>
      <c r="F43" s="101">
        <v>529.47400000000005</v>
      </c>
      <c r="G43" s="101">
        <v>785.88799999999992</v>
      </c>
      <c r="H43" s="103">
        <f t="shared" si="10"/>
        <v>67.372704507512537</v>
      </c>
      <c r="I43" s="104"/>
      <c r="J43" s="105"/>
      <c r="K43" s="103" t="str">
        <f t="shared" ref="K43:K54" si="11">IF(AND(ISBLANK(I43),ISBLANK(J43))=TRUE,"",I43+J43)</f>
        <v/>
      </c>
      <c r="L43" s="104">
        <v>47.652659999999997</v>
      </c>
      <c r="M43" s="105">
        <v>0</v>
      </c>
      <c r="N43" s="105"/>
      <c r="O43" s="103">
        <f t="shared" ref="O43:O54" si="12">IF(AND(ISBLANK(L43),ISBLANK(M43),ISBLANK(N43))=TRUE,"",L43+M43+N43)</f>
        <v>47.652659999999997</v>
      </c>
      <c r="P43" s="104">
        <v>87.4816</v>
      </c>
      <c r="Q43" s="103">
        <f t="shared" ref="Q43:Q54" si="13">IFERROR(O43/P43*100," ")</f>
        <v>54.471637464335352</v>
      </c>
    </row>
    <row r="44" spans="1:17" ht="25.5" customHeight="1" x14ac:dyDescent="0.3">
      <c r="A44" s="92" t="s">
        <v>24</v>
      </c>
      <c r="B44" s="106">
        <v>3</v>
      </c>
      <c r="C44" s="107">
        <v>3.8666666666666667</v>
      </c>
      <c r="D44" s="108">
        <v>2.532</v>
      </c>
      <c r="E44" s="106">
        <v>209</v>
      </c>
      <c r="F44" s="107">
        <v>191.559</v>
      </c>
      <c r="G44" s="107">
        <v>443.45599999999996</v>
      </c>
      <c r="H44" s="109">
        <f t="shared" si="10"/>
        <v>43.196844782796944</v>
      </c>
      <c r="I44" s="110"/>
      <c r="J44" s="111"/>
      <c r="K44" s="109" t="str">
        <f t="shared" si="11"/>
        <v/>
      </c>
      <c r="L44" s="110">
        <v>17.240310000000001</v>
      </c>
      <c r="M44" s="111">
        <v>0</v>
      </c>
      <c r="N44" s="111">
        <v>0</v>
      </c>
      <c r="O44" s="109">
        <f t="shared" si="12"/>
        <v>17.240310000000001</v>
      </c>
      <c r="P44" s="110">
        <v>48.179199999999994</v>
      </c>
      <c r="Q44" s="109">
        <f t="shared" si="13"/>
        <v>35.783719945536667</v>
      </c>
    </row>
    <row r="45" spans="1:17" ht="25.5" customHeight="1" x14ac:dyDescent="0.3">
      <c r="A45" s="99" t="s">
        <v>25</v>
      </c>
      <c r="B45" s="100">
        <v>13</v>
      </c>
      <c r="C45" s="112">
        <v>20.683333333333334</v>
      </c>
      <c r="D45" s="102">
        <v>13.857999999999999</v>
      </c>
      <c r="E45" s="100">
        <v>1077</v>
      </c>
      <c r="F45" s="101">
        <v>1090.5319999999999</v>
      </c>
      <c r="G45" s="101">
        <v>2474.44</v>
      </c>
      <c r="H45" s="103">
        <f t="shared" si="10"/>
        <v>44.071870807132115</v>
      </c>
      <c r="I45" s="104">
        <v>0</v>
      </c>
      <c r="J45" s="105">
        <v>0</v>
      </c>
      <c r="K45" s="103">
        <f t="shared" si="11"/>
        <v>0</v>
      </c>
      <c r="L45" s="104">
        <v>98.147880000000001</v>
      </c>
      <c r="M45" s="105">
        <v>0</v>
      </c>
      <c r="N45" s="105">
        <v>0</v>
      </c>
      <c r="O45" s="103">
        <f t="shared" si="12"/>
        <v>98.147880000000001</v>
      </c>
      <c r="P45" s="104">
        <v>273.15999999999997</v>
      </c>
      <c r="Q45" s="103">
        <f t="shared" si="13"/>
        <v>35.930546200029291</v>
      </c>
    </row>
    <row r="46" spans="1:17" ht="25.5" customHeight="1" x14ac:dyDescent="0.3">
      <c r="A46" s="92" t="s">
        <v>26</v>
      </c>
      <c r="B46" s="106">
        <v>12</v>
      </c>
      <c r="C46" s="113">
        <v>14.716666666666667</v>
      </c>
      <c r="D46" s="108">
        <v>9.1270000000000007</v>
      </c>
      <c r="E46" s="106">
        <v>1033</v>
      </c>
      <c r="F46" s="107">
        <v>808.9079999999999</v>
      </c>
      <c r="G46" s="107">
        <v>1598.38</v>
      </c>
      <c r="H46" s="109">
        <f t="shared" si="10"/>
        <v>50.607990590472838</v>
      </c>
      <c r="I46" s="110">
        <v>0</v>
      </c>
      <c r="J46" s="111">
        <v>0</v>
      </c>
      <c r="K46" s="109">
        <f t="shared" si="11"/>
        <v>0</v>
      </c>
      <c r="L46" s="110">
        <v>72.801720000000003</v>
      </c>
      <c r="M46" s="111">
        <v>0</v>
      </c>
      <c r="N46" s="111"/>
      <c r="O46" s="109">
        <f t="shared" si="12"/>
        <v>72.801720000000003</v>
      </c>
      <c r="P46" s="110">
        <v>173.64400000000001</v>
      </c>
      <c r="Q46" s="109">
        <f t="shared" si="13"/>
        <v>41.925848287300454</v>
      </c>
    </row>
    <row r="47" spans="1:17" ht="25.5" customHeight="1" x14ac:dyDescent="0.3">
      <c r="A47" s="99" t="s">
        <v>27</v>
      </c>
      <c r="B47" s="114">
        <v>3</v>
      </c>
      <c r="C47" s="115">
        <v>7.6833333333333336</v>
      </c>
      <c r="D47" s="102">
        <v>4.1160000000000005</v>
      </c>
      <c r="E47" s="114">
        <v>500</v>
      </c>
      <c r="F47" s="115">
        <v>686</v>
      </c>
      <c r="G47" s="115">
        <v>718.928</v>
      </c>
      <c r="H47" s="103">
        <f t="shared" si="10"/>
        <v>95.419847328244273</v>
      </c>
      <c r="I47" s="116"/>
      <c r="J47" s="117"/>
      <c r="K47" s="103" t="str">
        <f t="shared" si="11"/>
        <v/>
      </c>
      <c r="L47" s="116">
        <v>61.74</v>
      </c>
      <c r="M47" s="117">
        <v>0</v>
      </c>
      <c r="N47" s="117">
        <v>0</v>
      </c>
      <c r="O47" s="103">
        <f t="shared" si="12"/>
        <v>61.74</v>
      </c>
      <c r="P47" s="116">
        <v>77.929599999999994</v>
      </c>
      <c r="Q47" s="103">
        <f t="shared" si="13"/>
        <v>79.225352112676063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>
        <v>2</v>
      </c>
      <c r="C49" s="115">
        <v>1.2333333333333334</v>
      </c>
      <c r="D49" s="126">
        <v>0.46400000000000002</v>
      </c>
      <c r="E49" s="114">
        <v>174</v>
      </c>
      <c r="F49" s="115">
        <v>40.368000000000002</v>
      </c>
      <c r="G49" s="115">
        <v>83.52</v>
      </c>
      <c r="H49" s="103">
        <f t="shared" si="10"/>
        <v>48.333333333333343</v>
      </c>
      <c r="I49" s="116"/>
      <c r="J49" s="117"/>
      <c r="K49" s="103" t="str">
        <f t="shared" si="11"/>
        <v/>
      </c>
      <c r="L49" s="116">
        <v>3.6331199999999999</v>
      </c>
      <c r="M49" s="117">
        <v>0</v>
      </c>
      <c r="N49" s="117">
        <v>0</v>
      </c>
      <c r="O49" s="103">
        <f t="shared" si="12"/>
        <v>3.6331199999999999</v>
      </c>
      <c r="P49" s="116">
        <v>9.2799999999999994</v>
      </c>
      <c r="Q49" s="103">
        <f t="shared" si="13"/>
        <v>39.15</v>
      </c>
    </row>
    <row r="50" spans="1:17" ht="25.5" customHeight="1" x14ac:dyDescent="0.3">
      <c r="A50" s="92" t="s">
        <v>30</v>
      </c>
      <c r="B50" s="127">
        <v>3</v>
      </c>
      <c r="C50" s="128">
        <v>8.5</v>
      </c>
      <c r="D50" s="129">
        <v>5.383</v>
      </c>
      <c r="E50" s="127">
        <v>102</v>
      </c>
      <c r="F50" s="128">
        <v>180.34399999999999</v>
      </c>
      <c r="G50" s="128">
        <v>882.81200000000001</v>
      </c>
      <c r="H50" s="109">
        <f t="shared" si="10"/>
        <v>20.428358472698601</v>
      </c>
      <c r="I50" s="130"/>
      <c r="J50" s="131"/>
      <c r="K50" s="109" t="str">
        <f t="shared" si="11"/>
        <v/>
      </c>
      <c r="L50" s="130">
        <v>16.23096</v>
      </c>
      <c r="M50" s="131">
        <v>0</v>
      </c>
      <c r="N50" s="131"/>
      <c r="O50" s="109">
        <f t="shared" si="12"/>
        <v>16.23096</v>
      </c>
      <c r="P50" s="130">
        <v>90.434399999999997</v>
      </c>
      <c r="Q50" s="109">
        <f t="shared" si="13"/>
        <v>17.947772086728058</v>
      </c>
    </row>
    <row r="51" spans="1:17" ht="25.5" customHeight="1" x14ac:dyDescent="0.3">
      <c r="A51" s="99" t="s">
        <v>31</v>
      </c>
      <c r="B51" s="114">
        <v>24</v>
      </c>
      <c r="C51" s="115">
        <v>47.616666666666667</v>
      </c>
      <c r="D51" s="126">
        <v>57.844000000000001</v>
      </c>
      <c r="E51" s="114">
        <v>1022</v>
      </c>
      <c r="F51" s="115">
        <v>2472.4609999999998</v>
      </c>
      <c r="G51" s="115">
        <v>9776.0959999999995</v>
      </c>
      <c r="H51" s="103">
        <f t="shared" si="10"/>
        <v>25.290882986419117</v>
      </c>
      <c r="I51" s="116"/>
      <c r="J51" s="117"/>
      <c r="K51" s="103" t="str">
        <f t="shared" si="11"/>
        <v/>
      </c>
      <c r="L51" s="116">
        <v>222.52149</v>
      </c>
      <c r="M51" s="117">
        <v>0</v>
      </c>
      <c r="N51" s="117">
        <v>0</v>
      </c>
      <c r="O51" s="103">
        <f t="shared" si="12"/>
        <v>222.52149</v>
      </c>
      <c r="P51" s="116">
        <v>1025.7280000000001</v>
      </c>
      <c r="Q51" s="103">
        <f t="shared" si="13"/>
        <v>21.69400562332314</v>
      </c>
    </row>
    <row r="52" spans="1:17" ht="25.5" customHeight="1" x14ac:dyDescent="0.3">
      <c r="A52" s="92" t="s">
        <v>32</v>
      </c>
      <c r="B52" s="127">
        <v>26</v>
      </c>
      <c r="C52" s="128">
        <v>50.7</v>
      </c>
      <c r="D52" s="129">
        <v>33.816000000000003</v>
      </c>
      <c r="E52" s="127">
        <v>2378</v>
      </c>
      <c r="F52" s="128">
        <v>3011.6419999999998</v>
      </c>
      <c r="G52" s="128">
        <v>5832.9440000000004</v>
      </c>
      <c r="H52" s="109">
        <f t="shared" si="10"/>
        <v>51.631594611571785</v>
      </c>
      <c r="I52" s="130"/>
      <c r="J52" s="131"/>
      <c r="K52" s="109" t="str">
        <f t="shared" si="11"/>
        <v/>
      </c>
      <c r="L52" s="130">
        <v>271.04777999999999</v>
      </c>
      <c r="M52" s="131">
        <v>0</v>
      </c>
      <c r="N52" s="131"/>
      <c r="O52" s="109">
        <f t="shared" si="12"/>
        <v>271.04777999999999</v>
      </c>
      <c r="P52" s="130">
        <v>622.75519999999995</v>
      </c>
      <c r="Q52" s="109">
        <f t="shared" si="13"/>
        <v>43.5239689688661</v>
      </c>
    </row>
    <row r="53" spans="1:17" ht="25.5" customHeight="1" x14ac:dyDescent="0.3">
      <c r="A53" s="99" t="s">
        <v>33</v>
      </c>
      <c r="B53" s="132">
        <v>1</v>
      </c>
      <c r="C53" s="133">
        <v>1.5666666666666667</v>
      </c>
      <c r="D53" s="134">
        <v>1.5449999999999999</v>
      </c>
      <c r="E53" s="132">
        <v>147</v>
      </c>
      <c r="F53" s="133">
        <v>227.11500000000001</v>
      </c>
      <c r="G53" s="133">
        <v>278.10000000000002</v>
      </c>
      <c r="H53" s="135">
        <f t="shared" si="10"/>
        <v>81.666666666666671</v>
      </c>
      <c r="I53" s="136"/>
      <c r="J53" s="137"/>
      <c r="K53" s="135" t="str">
        <f t="shared" si="11"/>
        <v/>
      </c>
      <c r="L53" s="136">
        <v>20.440349999999999</v>
      </c>
      <c r="M53" s="137">
        <v>0</v>
      </c>
      <c r="N53" s="137"/>
      <c r="O53" s="135">
        <f t="shared" si="12"/>
        <v>20.440349999999999</v>
      </c>
      <c r="P53" s="136">
        <v>31</v>
      </c>
      <c r="Q53" s="135">
        <f t="shared" si="13"/>
        <v>65.936612903225793</v>
      </c>
    </row>
    <row r="54" spans="1:17" ht="25.5" customHeight="1" x14ac:dyDescent="0.3">
      <c r="A54" s="138" t="s">
        <v>34</v>
      </c>
      <c r="B54" s="139">
        <f t="shared" ref="B54:G54" si="14">SUM(B42:B53)</f>
        <v>99</v>
      </c>
      <c r="C54" s="139">
        <f t="shared" si="14"/>
        <v>175.15000000000003</v>
      </c>
      <c r="D54" s="139">
        <f t="shared" si="14"/>
        <v>139.101</v>
      </c>
      <c r="E54" s="139">
        <f t="shared" si="14"/>
        <v>7792</v>
      </c>
      <c r="F54" s="139">
        <f t="shared" si="14"/>
        <v>9679.3009999999995</v>
      </c>
      <c r="G54" s="139">
        <f t="shared" si="14"/>
        <v>23796.899999999998</v>
      </c>
      <c r="H54" s="140">
        <f t="shared" si="10"/>
        <v>40.674629888767029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871.13708999999994</v>
      </c>
      <c r="M54" s="140">
        <f>SUM(M42:M53)</f>
        <v>0</v>
      </c>
      <c r="N54" s="140">
        <f>SUM(N42:N53)</f>
        <v>0</v>
      </c>
      <c r="O54" s="140">
        <f t="shared" si="12"/>
        <v>871.13708999999994</v>
      </c>
      <c r="P54" s="141">
        <f>SUM(P42:P53)</f>
        <v>2534.0752000000002</v>
      </c>
      <c r="Q54" s="140">
        <f t="shared" si="13"/>
        <v>34.376923384120559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2023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>
        <v>93</v>
      </c>
      <c r="C66" s="115">
        <v>514.26666666666665</v>
      </c>
      <c r="D66" s="126">
        <v>135.89500000000001</v>
      </c>
      <c r="E66" s="114">
        <v>13186</v>
      </c>
      <c r="F66" s="115">
        <v>19224.944</v>
      </c>
      <c r="G66" s="115">
        <v>24461.0999999999</v>
      </c>
      <c r="H66" s="158">
        <f t="shared" si="15"/>
        <v>78.593947124209777</v>
      </c>
      <c r="I66" s="116"/>
      <c r="J66" s="117"/>
      <c r="K66" s="117" t="str">
        <f t="shared" si="16"/>
        <v/>
      </c>
      <c r="L66" s="116">
        <v>2018.6191200000001</v>
      </c>
      <c r="M66" s="117">
        <v>0</v>
      </c>
      <c r="N66" s="117">
        <v>0</v>
      </c>
      <c r="O66" s="103">
        <f t="shared" si="17"/>
        <v>2018.6191200000001</v>
      </c>
      <c r="P66" s="117">
        <v>2717.9</v>
      </c>
      <c r="Q66" s="158">
        <f t="shared" si="18"/>
        <v>74.271280032377945</v>
      </c>
    </row>
    <row r="67" spans="1:17" ht="24.75" customHeight="1" x14ac:dyDescent="0.3">
      <c r="A67" s="150" t="s">
        <v>28</v>
      </c>
      <c r="B67" s="159">
        <v>93</v>
      </c>
      <c r="C67" s="160">
        <v>519.54999999999995</v>
      </c>
      <c r="D67" s="161">
        <v>276.57900000000001</v>
      </c>
      <c r="E67" s="159">
        <v>13016</v>
      </c>
      <c r="F67" s="160">
        <v>37843.675999999999</v>
      </c>
      <c r="G67" s="160">
        <v>49784.22</v>
      </c>
      <c r="H67" s="162">
        <f t="shared" si="15"/>
        <v>76.015404077838312</v>
      </c>
      <c r="I67" s="163"/>
      <c r="J67" s="164"/>
      <c r="K67" s="164" t="str">
        <f t="shared" si="16"/>
        <v/>
      </c>
      <c r="L67" s="163">
        <v>3973.5859799999998</v>
      </c>
      <c r="M67" s="164">
        <v>0</v>
      </c>
      <c r="N67" s="164">
        <v>0</v>
      </c>
      <c r="O67" s="165">
        <f t="shared" si="17"/>
        <v>3973.5859799999998</v>
      </c>
      <c r="P67" s="164">
        <v>5531.58</v>
      </c>
      <c r="Q67" s="162">
        <f t="shared" si="18"/>
        <v>71.834556853557203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>
        <v>1</v>
      </c>
      <c r="C69" s="160">
        <v>3.5166666666666666</v>
      </c>
      <c r="D69" s="161">
        <v>2.621</v>
      </c>
      <c r="E69" s="159">
        <v>9</v>
      </c>
      <c r="F69" s="160">
        <v>23.588999999999999</v>
      </c>
      <c r="G69" s="160">
        <v>429.84399999999999</v>
      </c>
      <c r="H69" s="162">
        <f t="shared" si="15"/>
        <v>5.4878048780487809</v>
      </c>
      <c r="I69" s="163"/>
      <c r="J69" s="164"/>
      <c r="K69" s="164" t="str">
        <f t="shared" si="16"/>
        <v/>
      </c>
      <c r="L69" s="163">
        <v>2.476845</v>
      </c>
      <c r="M69" s="164">
        <v>0</v>
      </c>
      <c r="N69" s="164"/>
      <c r="O69" s="165">
        <f t="shared" si="17"/>
        <v>2.476845</v>
      </c>
      <c r="P69" s="164">
        <v>44.032800000000002</v>
      </c>
      <c r="Q69" s="162">
        <f t="shared" si="18"/>
        <v>5.6249999999999991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187</v>
      </c>
      <c r="C73" s="167">
        <f t="shared" si="19"/>
        <v>1037.3333333333333</v>
      </c>
      <c r="D73" s="167">
        <f t="shared" si="19"/>
        <v>415.09500000000003</v>
      </c>
      <c r="E73" s="167">
        <f t="shared" si="19"/>
        <v>26211</v>
      </c>
      <c r="F73" s="167">
        <f t="shared" si="19"/>
        <v>57092.208999999995</v>
      </c>
      <c r="G73" s="167">
        <f t="shared" si="19"/>
        <v>74675.163999999902</v>
      </c>
      <c r="H73" s="168">
        <f t="shared" si="15"/>
        <v>76.45407916345529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5994.6819450000003</v>
      </c>
      <c r="M73" s="169">
        <f>SUM(M61:M72)</f>
        <v>0</v>
      </c>
      <c r="N73" s="169">
        <f>SUM(N61:N72)</f>
        <v>0</v>
      </c>
      <c r="O73" s="169">
        <f t="shared" si="17"/>
        <v>5994.6819450000003</v>
      </c>
      <c r="P73" s="169">
        <f>SUM(P61:P72)</f>
        <v>8293.5128000000004</v>
      </c>
      <c r="Q73" s="168">
        <f t="shared" si="18"/>
        <v>72.281578259576577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2024-01-12T06:46:14Z</dcterms:created>
  <dcterms:modified xsi:type="dcterms:W3CDTF">2024-01-12T06:46:26Z</dcterms:modified>
</cp:coreProperties>
</file>