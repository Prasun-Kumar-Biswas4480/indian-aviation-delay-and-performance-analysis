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<sst xmlns="http://schemas.openxmlformats.org/spreadsheetml/2006/main" count="153" uniqueCount="42">
  <si>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</si>
  <si>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STAR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</si>
  <si>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</si>
  <si>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</si>
  <si>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</si>
  <si>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</si>
  <si>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</si>
  <si>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</si>
  <si>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</si>
  <si>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</si>
  <si>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</si>
  <si>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</si>
  <si>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</si>
  <si>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</si>
  <si>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</si>
  <si>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</si>
  <si>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</si>
  <si>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</si>
  <si>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</si>
  <si>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</si>
  <si>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</si>
  <si>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</si>
  <si>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</si>
  <si>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</si>
  <si>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</si>
  <si>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</si>
  <si>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</si>
  <si>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</si>
  <si>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</si>
  <si>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</si>
  <si>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</si>
  <si>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</si>
  <si>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</si>
  <si>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</si>
  <si>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</si>
  <si>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STAR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</si>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</sst>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Main Window"/>
      <sheetName val="Data"/>
      <sheetName val="Sheet2"/>
      <sheetName val="PivotTable"/>
      <sheetName val="Monthly_Template"/>
      <sheetName val="Sheet15"/>
      <sheetName val="DOMESTIC"/>
      <sheetName val="INTERNATIONAL"/>
    </sheetNames>
    <sheetDataSet>
      <sheetData sheetId="0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8" transitionEvaluation="1" transitionEntry="1" codeName="Sheet12"/>
  <dimension ref="A1:Q494"/>
  <sheetViews>
    <sheetView showGridLines="0" tabSelected="1" view="pageBreakPreview" topLeftCell="A58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24</v>
      </c>
      <c r="C4" s="12">
        <v>25</v>
      </c>
      <c r="D4" s="13">
        <v>10.938000000000001</v>
      </c>
      <c r="E4" s="14">
        <v>637</v>
      </c>
      <c r="F4" s="12">
        <v>1780.278</v>
      </c>
      <c r="G4" s="12">
        <v>3281.4</v>
      </c>
      <c r="H4" s="15">
        <f>IFERROR(F4/G4*100," ")</f>
        <v>54.253611263485105</v>
      </c>
      <c r="I4" s="16">
        <v>0</v>
      </c>
      <c r="J4" s="17">
        <v>0</v>
      </c>
      <c r="K4" s="15">
        <f>IF(AND(ISBLANK(I4),ISBLANK(J4))=TRUE,"",I4+J4)</f>
        <v>0</v>
      </c>
      <c r="L4" s="16">
        <v>522.56299999999999</v>
      </c>
      <c r="M4" s="17">
        <v>0</v>
      </c>
      <c r="N4" s="17">
        <v>0</v>
      </c>
      <c r="O4" s="15">
        <f>IF(AND(ISBLANK(L4),ISBLANK(M4),ISBLANK(N4))=TRUE,"",L4+M4+N4)</f>
        <v>522.56299999999999</v>
      </c>
      <c r="P4" s="17">
        <v>3281.4</v>
      </c>
      <c r="Q4" s="15">
        <f>IFERROR(O4/P4*100," ")</f>
        <v>15.925001523739866</v>
      </c>
    </row>
    <row r="5" spans="1:17" ht="23.1" customHeight="1" x14ac:dyDescent="0.3">
      <c r="A5" s="18" t="s">
        <v>23</v>
      </c>
      <c r="B5" s="19">
        <v>100</v>
      </c>
      <c r="C5" s="19">
        <v>104</v>
      </c>
      <c r="D5" s="18">
        <v>45.496000000000002</v>
      </c>
      <c r="E5" s="20">
        <v>2603</v>
      </c>
      <c r="F5" s="19">
        <v>1194.3969999999999</v>
      </c>
      <c r="G5" s="19">
        <v>2274.8000000000002</v>
      </c>
      <c r="H5" s="21">
        <f t="shared" ref="H5:H16" si="0">IFERROR(F5/G5*100," ")</f>
        <v>52.505582908387538</v>
      </c>
      <c r="I5" s="22">
        <v>0</v>
      </c>
      <c r="J5" s="23">
        <v>0</v>
      </c>
      <c r="K5" s="21">
        <f t="shared" ref="K5:K16" si="1">IF(AND(ISBLANK(I5),ISBLANK(J5))=TRUE,"",I5+J5)</f>
        <v>0</v>
      </c>
      <c r="L5" s="22">
        <v>107.496</v>
      </c>
      <c r="M5" s="23">
        <v>0</v>
      </c>
      <c r="N5" s="23">
        <v>0</v>
      </c>
      <c r="O5" s="21">
        <f t="shared" ref="O5:O16" si="2">IF(AND(ISBLANK(L5),ISBLANK(M5),ISBLANK(N5))=TRUE,"",L5+M5+N5)</f>
        <v>107.496</v>
      </c>
      <c r="P5" s="23">
        <v>1000.9012</v>
      </c>
      <c r="Q5" s="21">
        <f t="shared" ref="Q5:Q16" si="3">IFERROR(O5/P5*100," ")</f>
        <v>10.739921183029853</v>
      </c>
    </row>
    <row r="6" spans="1:17" ht="23.1" customHeight="1" x14ac:dyDescent="0.3">
      <c r="A6" s="24" t="s">
        <v>24</v>
      </c>
      <c r="B6" s="25">
        <v>154</v>
      </c>
      <c r="C6" s="25">
        <v>161.19999999999999</v>
      </c>
      <c r="D6" s="24">
        <v>70.486000000000004</v>
      </c>
      <c r="E6" s="26">
        <v>4145</v>
      </c>
      <c r="F6" s="25">
        <v>1906.451</v>
      </c>
      <c r="G6" s="25">
        <v>3479.9</v>
      </c>
      <c r="H6" s="27">
        <f t="shared" si="0"/>
        <v>54.784648984166203</v>
      </c>
      <c r="I6" s="28">
        <v>0</v>
      </c>
      <c r="J6" s="29">
        <v>0</v>
      </c>
      <c r="K6" s="27">
        <f t="shared" si="1"/>
        <v>0</v>
      </c>
      <c r="L6" s="28">
        <v>171.58099999999999</v>
      </c>
      <c r="M6" s="29">
        <v>0</v>
      </c>
      <c r="N6" s="29">
        <v>0</v>
      </c>
      <c r="O6" s="27">
        <f t="shared" si="2"/>
        <v>171.58099999999999</v>
      </c>
      <c r="P6" s="29">
        <v>1531.1559999999999</v>
      </c>
      <c r="Q6" s="27">
        <f t="shared" si="3"/>
        <v>11.205977705733446</v>
      </c>
    </row>
    <row r="7" spans="1:17" ht="23.1" customHeight="1" x14ac:dyDescent="0.3">
      <c r="A7" s="18" t="s">
        <v>25</v>
      </c>
      <c r="B7" s="19">
        <v>148</v>
      </c>
      <c r="C7" s="19">
        <v>158</v>
      </c>
      <c r="D7" s="18">
        <v>67.775000000000006</v>
      </c>
      <c r="E7" s="20">
        <v>3956</v>
      </c>
      <c r="F7" s="19">
        <v>1790.961</v>
      </c>
      <c r="G7" s="19">
        <v>3344.35</v>
      </c>
      <c r="H7" s="21">
        <f t="shared" si="0"/>
        <v>53.551841164949842</v>
      </c>
      <c r="I7" s="22">
        <v>0</v>
      </c>
      <c r="J7" s="23">
        <v>0</v>
      </c>
      <c r="K7" s="21">
        <f t="shared" si="1"/>
        <v>0</v>
      </c>
      <c r="L7" s="22">
        <v>161.19</v>
      </c>
      <c r="M7" s="23">
        <v>0</v>
      </c>
      <c r="N7" s="23">
        <v>0</v>
      </c>
      <c r="O7" s="21">
        <f t="shared" si="2"/>
        <v>161.19</v>
      </c>
      <c r="P7" s="23">
        <v>1471.51</v>
      </c>
      <c r="Q7" s="21">
        <f t="shared" si="3"/>
        <v>10.954053998953455</v>
      </c>
    </row>
    <row r="8" spans="1:17" s="30" customFormat="1" ht="30" customHeight="1" x14ac:dyDescent="0.25">
      <c r="A8" s="24" t="s">
        <v>26</v>
      </c>
      <c r="B8" s="25">
        <v>184</v>
      </c>
      <c r="C8" s="25">
        <v>201</v>
      </c>
      <c r="D8" s="24">
        <v>96.475999999999999</v>
      </c>
      <c r="E8" s="26">
        <v>5612</v>
      </c>
      <c r="F8" s="25">
        <v>2998.1869999999999</v>
      </c>
      <c r="G8" s="25">
        <v>4823.8</v>
      </c>
      <c r="H8" s="27">
        <f t="shared" si="0"/>
        <v>62.154048675318208</v>
      </c>
      <c r="I8" s="28">
        <v>0</v>
      </c>
      <c r="J8" s="29">
        <v>0</v>
      </c>
      <c r="K8" s="27">
        <f t="shared" si="1"/>
        <v>0</v>
      </c>
      <c r="L8" s="28">
        <v>269.83699999999999</v>
      </c>
      <c r="M8" s="29">
        <v>0</v>
      </c>
      <c r="N8" s="29">
        <v>0</v>
      </c>
      <c r="O8" s="27">
        <f t="shared" si="2"/>
        <v>269.83699999999999</v>
      </c>
      <c r="P8" s="29">
        <v>2412.41</v>
      </c>
      <c r="Q8" s="27">
        <f t="shared" si="3"/>
        <v>11.18537064595156</v>
      </c>
    </row>
    <row r="9" spans="1:17" ht="23.1" customHeight="1" x14ac:dyDescent="0.3">
      <c r="A9" s="18" t="s">
        <v>27</v>
      </c>
      <c r="B9" s="19">
        <v>202</v>
      </c>
      <c r="C9" s="19">
        <v>245</v>
      </c>
      <c r="D9" s="18">
        <v>113.91200000000001</v>
      </c>
      <c r="E9" s="20">
        <v>5473</v>
      </c>
      <c r="F9" s="19">
        <v>3179.2530000000002</v>
      </c>
      <c r="G9" s="19">
        <v>5695.6</v>
      </c>
      <c r="H9" s="21">
        <f t="shared" si="0"/>
        <v>55.819457124798092</v>
      </c>
      <c r="I9" s="22">
        <v>0</v>
      </c>
      <c r="J9" s="23">
        <v>0</v>
      </c>
      <c r="K9" s="21">
        <f t="shared" si="1"/>
        <v>0</v>
      </c>
      <c r="L9" s="22">
        <v>286.13299999999998</v>
      </c>
      <c r="M9" s="23">
        <v>0</v>
      </c>
      <c r="N9" s="23">
        <v>0</v>
      </c>
      <c r="O9" s="21">
        <f t="shared" si="2"/>
        <v>286.13299999999998</v>
      </c>
      <c r="P9" s="23">
        <v>2506.0639999999999</v>
      </c>
      <c r="Q9" s="21">
        <f t="shared" si="3"/>
        <v>11.417625407810814</v>
      </c>
    </row>
    <row r="10" spans="1:17" ht="23.1" customHeight="1" x14ac:dyDescent="0.3">
      <c r="A10" s="24" t="s">
        <v>28</v>
      </c>
      <c r="B10" s="25">
        <v>194</v>
      </c>
      <c r="C10" s="25">
        <v>210</v>
      </c>
      <c r="D10" s="24">
        <v>110.745</v>
      </c>
      <c r="E10" s="26">
        <v>4875</v>
      </c>
      <c r="F10" s="25">
        <v>2818.623</v>
      </c>
      <c r="G10" s="25">
        <v>5537.25</v>
      </c>
      <c r="H10" s="27">
        <f t="shared" si="0"/>
        <v>50.902939184613302</v>
      </c>
      <c r="I10" s="28">
        <v>0</v>
      </c>
      <c r="J10" s="29">
        <v>0</v>
      </c>
      <c r="K10" s="27">
        <f t="shared" si="1"/>
        <v>0</v>
      </c>
      <c r="L10" s="28">
        <v>253.67599999999999</v>
      </c>
      <c r="M10" s="29">
        <v>0</v>
      </c>
      <c r="N10" s="29">
        <v>0</v>
      </c>
      <c r="O10" s="27">
        <f t="shared" si="2"/>
        <v>253.67599999999999</v>
      </c>
      <c r="P10" s="29">
        <v>2436.39</v>
      </c>
      <c r="Q10" s="27">
        <f t="shared" si="3"/>
        <v>10.411961960113118</v>
      </c>
    </row>
    <row r="11" spans="1:17" ht="23.1" customHeight="1" x14ac:dyDescent="0.3">
      <c r="A11" s="18" t="s">
        <v>29</v>
      </c>
      <c r="B11" s="19">
        <v>168</v>
      </c>
      <c r="C11" s="19">
        <v>201</v>
      </c>
      <c r="D11" s="18">
        <v>95.738</v>
      </c>
      <c r="E11" s="20">
        <v>4232</v>
      </c>
      <c r="F11" s="19">
        <v>2540.0520000000001</v>
      </c>
      <c r="G11" s="19">
        <v>4786.8999999999996</v>
      </c>
      <c r="H11" s="21">
        <f t="shared" si="0"/>
        <v>53.062566587979695</v>
      </c>
      <c r="I11" s="22">
        <v>0</v>
      </c>
      <c r="J11" s="23">
        <v>0</v>
      </c>
      <c r="K11" s="21">
        <f t="shared" si="1"/>
        <v>0</v>
      </c>
      <c r="L11" s="22">
        <v>228.60499999999999</v>
      </c>
      <c r="M11" s="23">
        <v>0</v>
      </c>
      <c r="N11" s="23">
        <v>0</v>
      </c>
      <c r="O11" s="21">
        <f t="shared" si="2"/>
        <v>228.60499999999999</v>
      </c>
      <c r="P11" s="23">
        <v>2106.2359999999999</v>
      </c>
      <c r="Q11" s="21">
        <f t="shared" si="3"/>
        <v>10.853721995066081</v>
      </c>
    </row>
    <row r="12" spans="1:17" ht="23.1" customHeight="1" x14ac:dyDescent="0.3">
      <c r="A12" s="24" t="s">
        <v>30</v>
      </c>
      <c r="B12" s="25">
        <v>183</v>
      </c>
      <c r="C12" s="25">
        <v>219</v>
      </c>
      <c r="D12" s="24">
        <v>100.361</v>
      </c>
      <c r="E12" s="26">
        <v>4653</v>
      </c>
      <c r="F12" s="25">
        <v>2560.5279999999998</v>
      </c>
      <c r="G12" s="25">
        <v>5018.05</v>
      </c>
      <c r="H12" s="27">
        <f t="shared" si="0"/>
        <v>51.026354858959152</v>
      </c>
      <c r="I12" s="28">
        <v>0</v>
      </c>
      <c r="J12" s="29">
        <v>0</v>
      </c>
      <c r="K12" s="27">
        <f t="shared" si="1"/>
        <v>0</v>
      </c>
      <c r="L12" s="28">
        <v>230.44800000000001</v>
      </c>
      <c r="M12" s="29">
        <v>0</v>
      </c>
      <c r="N12" s="29">
        <v>0</v>
      </c>
      <c r="O12" s="27">
        <f t="shared" si="2"/>
        <v>230.44800000000001</v>
      </c>
      <c r="P12" s="29">
        <v>2207.942</v>
      </c>
      <c r="Q12" s="27">
        <f t="shared" si="3"/>
        <v>10.437230688124959</v>
      </c>
    </row>
    <row r="13" spans="1:17" ht="23.1" customHeight="1" x14ac:dyDescent="0.3">
      <c r="A13" s="18" t="s">
        <v>31</v>
      </c>
      <c r="B13" s="19">
        <v>209</v>
      </c>
      <c r="C13" s="19">
        <v>208</v>
      </c>
      <c r="D13" s="18">
        <v>113.48099999999999</v>
      </c>
      <c r="E13" s="20">
        <v>6232</v>
      </c>
      <c r="F13" s="19">
        <v>3376.393</v>
      </c>
      <c r="G13" s="19">
        <v>5674.05</v>
      </c>
      <c r="H13" s="21">
        <f t="shared" si="0"/>
        <v>59.505873229879889</v>
      </c>
      <c r="I13" s="22">
        <v>0</v>
      </c>
      <c r="J13" s="23">
        <v>0</v>
      </c>
      <c r="K13" s="21">
        <f t="shared" si="1"/>
        <v>0</v>
      </c>
      <c r="L13" s="22">
        <v>303.875</v>
      </c>
      <c r="M13" s="23">
        <v>0</v>
      </c>
      <c r="N13" s="23">
        <v>0</v>
      </c>
      <c r="O13" s="21">
        <f t="shared" si="2"/>
        <v>303.875</v>
      </c>
      <c r="P13" s="23">
        <v>2496.5819999999999</v>
      </c>
      <c r="Q13" s="21">
        <f t="shared" si="3"/>
        <v>12.171641067667716</v>
      </c>
    </row>
    <row r="14" spans="1:17" ht="23.1" customHeight="1" x14ac:dyDescent="0.3">
      <c r="A14" s="24" t="s">
        <v>32</v>
      </c>
      <c r="B14" s="25">
        <v>235</v>
      </c>
      <c r="C14" s="25">
        <v>208</v>
      </c>
      <c r="D14" s="24">
        <v>159.14699999999999</v>
      </c>
      <c r="E14" s="26">
        <v>8562</v>
      </c>
      <c r="F14" s="25">
        <v>6001.9170000000004</v>
      </c>
      <c r="G14" s="25">
        <v>7957.35</v>
      </c>
      <c r="H14" s="27">
        <f t="shared" si="0"/>
        <v>75.42607777714943</v>
      </c>
      <c r="I14" s="28">
        <v>0</v>
      </c>
      <c r="J14" s="29">
        <v>0</v>
      </c>
      <c r="K14" s="27">
        <f t="shared" si="1"/>
        <v>0</v>
      </c>
      <c r="L14" s="28">
        <v>534.15499999999997</v>
      </c>
      <c r="M14" s="29">
        <v>0</v>
      </c>
      <c r="N14" s="29">
        <v>0</v>
      </c>
      <c r="O14" s="27">
        <f t="shared" si="2"/>
        <v>534.15499999999997</v>
      </c>
      <c r="P14" s="29">
        <v>3501.2339999999999</v>
      </c>
      <c r="Q14" s="27">
        <f t="shared" si="3"/>
        <v>15.25619253097622</v>
      </c>
    </row>
    <row r="15" spans="1:17" ht="23.1" customHeight="1" x14ac:dyDescent="0.3">
      <c r="A15" s="31" t="s">
        <v>33</v>
      </c>
      <c r="B15" s="32">
        <v>263</v>
      </c>
      <c r="C15" s="32">
        <v>320</v>
      </c>
      <c r="D15" s="33">
        <v>173.59899999999999</v>
      </c>
      <c r="E15" s="34">
        <v>10705</v>
      </c>
      <c r="F15" s="32">
        <v>7136.5</v>
      </c>
      <c r="G15" s="32">
        <v>8679.9500000000007</v>
      </c>
      <c r="H15" s="35">
        <f t="shared" si="0"/>
        <v>82.218215542716251</v>
      </c>
      <c r="I15" s="36">
        <v>0</v>
      </c>
      <c r="J15" s="37">
        <v>0</v>
      </c>
      <c r="K15" s="35">
        <f t="shared" si="1"/>
        <v>0</v>
      </c>
      <c r="L15" s="36">
        <v>642.28499999999997</v>
      </c>
      <c r="M15" s="37">
        <v>0</v>
      </c>
      <c r="N15" s="37">
        <v>0</v>
      </c>
      <c r="O15" s="35">
        <f t="shared" si="2"/>
        <v>642.28499999999997</v>
      </c>
      <c r="P15" s="23">
        <v>3819.1779999999999</v>
      </c>
      <c r="Q15" s="21">
        <f t="shared" si="3"/>
        <v>16.817362270101054</v>
      </c>
    </row>
    <row r="16" spans="1:17" ht="23.1" customHeight="1" x14ac:dyDescent="0.3">
      <c r="A16" s="38" t="s">
        <v>34</v>
      </c>
      <c r="B16" s="39">
        <f>SUM(B4:B15)</f>
        <v>2064</v>
      </c>
      <c r="C16" s="39">
        <f t="shared" ref="C16:G16" si="4">SUM(C4:C15)</f>
        <v>2260.1999999999998</v>
      </c>
      <c r="D16" s="39">
        <f t="shared" si="4"/>
        <v>1158.154</v>
      </c>
      <c r="E16" s="39">
        <f t="shared" si="4"/>
        <v>61685</v>
      </c>
      <c r="F16" s="39">
        <f t="shared" si="4"/>
        <v>37283.54</v>
      </c>
      <c r="G16" s="39">
        <f t="shared" si="4"/>
        <v>60553.400000000009</v>
      </c>
      <c r="H16" s="40">
        <f t="shared" si="0"/>
        <v>61.571340337619354</v>
      </c>
      <c r="I16" s="40">
        <f t="shared" ref="I16:J16" si="5">SUM(I4:I15)</f>
        <v>0</v>
      </c>
      <c r="J16" s="40">
        <f t="shared" si="5"/>
        <v>0</v>
      </c>
      <c r="K16" s="40">
        <f t="shared" si="1"/>
        <v>0</v>
      </c>
      <c r="L16" s="40">
        <f t="shared" ref="L16:N16" si="6">SUM(L4:L15)</f>
        <v>3711.8440000000001</v>
      </c>
      <c r="M16" s="40">
        <f t="shared" si="6"/>
        <v>0</v>
      </c>
      <c r="N16" s="40">
        <f t="shared" si="6"/>
        <v>0</v>
      </c>
      <c r="O16" s="40">
        <f t="shared" si="2"/>
        <v>3711.8440000000001</v>
      </c>
      <c r="P16" s="41">
        <f>SUM(P4:P15)</f>
        <v>28771.003199999996</v>
      </c>
      <c r="Q16" s="41">
        <f t="shared" si="3"/>
        <v>12.901336718074537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7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7"/>
        <v xml:space="preserve"> </v>
      </c>
      <c r="I24" s="68"/>
      <c r="J24" s="68"/>
      <c r="K24" s="68" t="str">
        <f t="shared" ref="K24:K35" si="8">IF(AND(ISBLANK(I24),ISBLANK(J24))=TRUE,"",I24+J24)</f>
        <v/>
      </c>
      <c r="L24" s="69"/>
      <c r="M24" s="68"/>
      <c r="N24" s="68"/>
      <c r="O24" s="67" t="str">
        <f t="shared" ref="O24:O35" si="9">IF(AND(ISBLANK(L24),ISBLANK(M24),ISBLANK(N24))=TRUE,"",L24+M24+N24)</f>
        <v/>
      </c>
      <c r="P24" s="69"/>
      <c r="Q24" s="67" t="str">
        <f t="shared" ref="Q24:Q35" si="10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7"/>
        <v xml:space="preserve"> </v>
      </c>
      <c r="I25" s="72"/>
      <c r="J25" s="72"/>
      <c r="K25" s="72" t="str">
        <f t="shared" si="8"/>
        <v/>
      </c>
      <c r="L25" s="73"/>
      <c r="M25" s="72"/>
      <c r="N25" s="72"/>
      <c r="O25" s="60" t="str">
        <f t="shared" si="9"/>
        <v/>
      </c>
      <c r="P25" s="73"/>
      <c r="Q25" s="60" t="str">
        <f t="shared" si="10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7"/>
        <v xml:space="preserve"> </v>
      </c>
      <c r="I26" s="68"/>
      <c r="J26" s="68"/>
      <c r="K26" s="68" t="str">
        <f t="shared" si="8"/>
        <v/>
      </c>
      <c r="L26" s="69"/>
      <c r="M26" s="68"/>
      <c r="N26" s="68"/>
      <c r="O26" s="67" t="str">
        <f t="shared" si="9"/>
        <v/>
      </c>
      <c r="P26" s="69"/>
      <c r="Q26" s="67" t="str">
        <f t="shared" si="10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7"/>
        <v xml:space="preserve"> </v>
      </c>
      <c r="I27" s="72"/>
      <c r="J27" s="72"/>
      <c r="K27" s="72" t="str">
        <f t="shared" si="8"/>
        <v/>
      </c>
      <c r="L27" s="73"/>
      <c r="M27" s="72"/>
      <c r="N27" s="72"/>
      <c r="O27" s="60" t="str">
        <f t="shared" si="9"/>
        <v/>
      </c>
      <c r="P27" s="73"/>
      <c r="Q27" s="60" t="str">
        <f t="shared" si="10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7"/>
        <v xml:space="preserve"> </v>
      </c>
      <c r="I28" s="68"/>
      <c r="J28" s="68"/>
      <c r="K28" s="68" t="str">
        <f t="shared" si="8"/>
        <v/>
      </c>
      <c r="L28" s="69"/>
      <c r="M28" s="68"/>
      <c r="N28" s="68"/>
      <c r="O28" s="67" t="str">
        <f t="shared" si="9"/>
        <v/>
      </c>
      <c r="P28" s="69"/>
      <c r="Q28" s="67" t="str">
        <f t="shared" si="10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7"/>
        <v xml:space="preserve"> </v>
      </c>
      <c r="I29" s="72"/>
      <c r="J29" s="72"/>
      <c r="K29" s="72" t="str">
        <f t="shared" si="8"/>
        <v/>
      </c>
      <c r="L29" s="73"/>
      <c r="M29" s="72"/>
      <c r="N29" s="72"/>
      <c r="O29" s="60" t="str">
        <f t="shared" si="9"/>
        <v/>
      </c>
      <c r="P29" s="73"/>
      <c r="Q29" s="60" t="str">
        <f t="shared" si="10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7"/>
        <v xml:space="preserve"> </v>
      </c>
      <c r="I30" s="68"/>
      <c r="J30" s="68"/>
      <c r="K30" s="68" t="str">
        <f t="shared" si="8"/>
        <v/>
      </c>
      <c r="L30" s="69"/>
      <c r="M30" s="68"/>
      <c r="N30" s="68"/>
      <c r="O30" s="67" t="str">
        <f t="shared" si="9"/>
        <v/>
      </c>
      <c r="P30" s="69"/>
      <c r="Q30" s="67" t="str">
        <f t="shared" si="10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7"/>
        <v xml:space="preserve"> </v>
      </c>
      <c r="I31" s="72"/>
      <c r="J31" s="72"/>
      <c r="K31" s="72" t="str">
        <f t="shared" si="8"/>
        <v/>
      </c>
      <c r="L31" s="73"/>
      <c r="M31" s="72"/>
      <c r="N31" s="72"/>
      <c r="O31" s="60" t="str">
        <f t="shared" si="9"/>
        <v/>
      </c>
      <c r="P31" s="73"/>
      <c r="Q31" s="60" t="str">
        <f t="shared" si="10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7"/>
        <v xml:space="preserve"> </v>
      </c>
      <c r="I32" s="68"/>
      <c r="J32" s="68"/>
      <c r="K32" s="68" t="str">
        <f t="shared" si="8"/>
        <v/>
      </c>
      <c r="L32" s="69"/>
      <c r="M32" s="68"/>
      <c r="N32" s="68"/>
      <c r="O32" s="67" t="str">
        <f t="shared" si="9"/>
        <v/>
      </c>
      <c r="P32" s="69"/>
      <c r="Q32" s="67" t="str">
        <f t="shared" si="10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7"/>
        <v xml:space="preserve"> </v>
      </c>
      <c r="I33" s="72"/>
      <c r="J33" s="72"/>
      <c r="K33" s="72" t="str">
        <f t="shared" si="8"/>
        <v/>
      </c>
      <c r="L33" s="73"/>
      <c r="M33" s="72"/>
      <c r="N33" s="72"/>
      <c r="O33" s="60" t="str">
        <f t="shared" si="9"/>
        <v/>
      </c>
      <c r="P33" s="73"/>
      <c r="Q33" s="60" t="str">
        <f t="shared" si="10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7"/>
        <v xml:space="preserve"> </v>
      </c>
      <c r="I34" s="77"/>
      <c r="J34" s="77"/>
      <c r="K34" s="77" t="str">
        <f t="shared" si="8"/>
        <v/>
      </c>
      <c r="L34" s="78"/>
      <c r="M34" s="77"/>
      <c r="N34" s="77"/>
      <c r="O34" s="79" t="str">
        <f t="shared" si="9"/>
        <v/>
      </c>
      <c r="P34" s="78"/>
      <c r="Q34" s="79" t="str">
        <f t="shared" si="10"/>
        <v xml:space="preserve"> </v>
      </c>
    </row>
    <row r="35" spans="1:17" ht="23.1" customHeight="1" x14ac:dyDescent="0.3">
      <c r="A35" s="80" t="s">
        <v>34</v>
      </c>
      <c r="B35" s="81">
        <f>SUM(B23:B34)</f>
        <v>0</v>
      </c>
      <c r="C35" s="81">
        <f t="shared" ref="C35:G35" si="11">SUM(C23:C34)</f>
        <v>0</v>
      </c>
      <c r="D35" s="81">
        <f t="shared" si="11"/>
        <v>0</v>
      </c>
      <c r="E35" s="81">
        <f t="shared" si="11"/>
        <v>0</v>
      </c>
      <c r="F35" s="81">
        <f t="shared" si="11"/>
        <v>0</v>
      </c>
      <c r="G35" s="81">
        <f t="shared" si="11"/>
        <v>0</v>
      </c>
      <c r="H35" s="82" t="str">
        <f t="shared" si="7"/>
        <v xml:space="preserve"> </v>
      </c>
      <c r="I35" s="83">
        <f t="shared" ref="I35:J35" si="12">SUM(I23:I34)</f>
        <v>0</v>
      </c>
      <c r="J35" s="83">
        <f t="shared" si="12"/>
        <v>0</v>
      </c>
      <c r="K35" s="83">
        <f t="shared" si="8"/>
        <v>0</v>
      </c>
      <c r="L35" s="83">
        <f t="shared" ref="L35:N35" si="13">SUM(L23:L34)</f>
        <v>0</v>
      </c>
      <c r="M35" s="83">
        <f t="shared" si="13"/>
        <v>0</v>
      </c>
      <c r="N35" s="83">
        <f t="shared" si="13"/>
        <v>0</v>
      </c>
      <c r="O35" s="83">
        <f t="shared" si="9"/>
        <v>0</v>
      </c>
      <c r="P35" s="83">
        <f>SUM(P23:P34)</f>
        <v>0</v>
      </c>
      <c r="Q35" s="83" t="str">
        <f t="shared" si="10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4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4"/>
        <v xml:space="preserve"> </v>
      </c>
      <c r="I43" s="104"/>
      <c r="J43" s="105"/>
      <c r="K43" s="103" t="str">
        <f t="shared" ref="K43:K54" si="15">IF(AND(ISBLANK(I43),ISBLANK(J43))=TRUE,"",I43+J43)</f>
        <v/>
      </c>
      <c r="L43" s="104"/>
      <c r="M43" s="105"/>
      <c r="N43" s="105"/>
      <c r="O43" s="103" t="str">
        <f t="shared" ref="O43:O54" si="16">IF(AND(ISBLANK(L43),ISBLANK(M43),ISBLANK(N43))=TRUE,"",L43+M43+N43)</f>
        <v/>
      </c>
      <c r="P43" s="104"/>
      <c r="Q43" s="103" t="str">
        <f t="shared" ref="Q43:Q54" si="17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4"/>
        <v xml:space="preserve"> </v>
      </c>
      <c r="I44" s="110"/>
      <c r="J44" s="111"/>
      <c r="K44" s="109" t="str">
        <f t="shared" si="15"/>
        <v/>
      </c>
      <c r="L44" s="110"/>
      <c r="M44" s="111"/>
      <c r="N44" s="111"/>
      <c r="O44" s="109" t="str">
        <f t="shared" si="16"/>
        <v/>
      </c>
      <c r="P44" s="110"/>
      <c r="Q44" s="109" t="str">
        <f t="shared" si="17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4"/>
        <v xml:space="preserve"> </v>
      </c>
      <c r="I45" s="104"/>
      <c r="J45" s="105"/>
      <c r="K45" s="103" t="str">
        <f t="shared" si="15"/>
        <v/>
      </c>
      <c r="L45" s="104"/>
      <c r="M45" s="105"/>
      <c r="N45" s="105"/>
      <c r="O45" s="103" t="str">
        <f t="shared" si="16"/>
        <v/>
      </c>
      <c r="P45" s="104"/>
      <c r="Q45" s="103" t="str">
        <f t="shared" si="17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4"/>
        <v xml:space="preserve"> </v>
      </c>
      <c r="I46" s="110"/>
      <c r="J46" s="111"/>
      <c r="K46" s="109" t="str">
        <f t="shared" si="15"/>
        <v/>
      </c>
      <c r="L46" s="110"/>
      <c r="M46" s="111"/>
      <c r="N46" s="111"/>
      <c r="O46" s="109" t="str">
        <f t="shared" si="16"/>
        <v/>
      </c>
      <c r="P46" s="110"/>
      <c r="Q46" s="109" t="str">
        <f t="shared" si="17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4"/>
        <v xml:space="preserve"> </v>
      </c>
      <c r="I47" s="116"/>
      <c r="J47" s="117"/>
      <c r="K47" s="103" t="str">
        <f t="shared" si="15"/>
        <v/>
      </c>
      <c r="L47" s="116"/>
      <c r="M47" s="117"/>
      <c r="N47" s="117"/>
      <c r="O47" s="103" t="str">
        <f t="shared" si="16"/>
        <v/>
      </c>
      <c r="P47" s="116"/>
      <c r="Q47" s="103" t="str">
        <f t="shared" si="17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4"/>
        <v xml:space="preserve"> </v>
      </c>
      <c r="I48" s="123"/>
      <c r="J48" s="124"/>
      <c r="K48" s="122" t="str">
        <f t="shared" si="15"/>
        <v/>
      </c>
      <c r="L48" s="123"/>
      <c r="M48" s="124"/>
      <c r="N48" s="124"/>
      <c r="O48" s="122" t="str">
        <f t="shared" si="16"/>
        <v/>
      </c>
      <c r="P48" s="123"/>
      <c r="Q48" s="122" t="str">
        <f t="shared" si="17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4"/>
        <v xml:space="preserve"> </v>
      </c>
      <c r="I49" s="116"/>
      <c r="J49" s="117"/>
      <c r="K49" s="103" t="str">
        <f t="shared" si="15"/>
        <v/>
      </c>
      <c r="L49" s="116"/>
      <c r="M49" s="117"/>
      <c r="N49" s="117"/>
      <c r="O49" s="103" t="str">
        <f t="shared" si="16"/>
        <v/>
      </c>
      <c r="P49" s="116"/>
      <c r="Q49" s="103" t="str">
        <f t="shared" si="17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4"/>
        <v xml:space="preserve"> </v>
      </c>
      <c r="I50" s="130"/>
      <c r="J50" s="131"/>
      <c r="K50" s="109" t="str">
        <f t="shared" si="15"/>
        <v/>
      </c>
      <c r="L50" s="130"/>
      <c r="M50" s="131"/>
      <c r="N50" s="131"/>
      <c r="O50" s="109" t="str">
        <f t="shared" si="16"/>
        <v/>
      </c>
      <c r="P50" s="130"/>
      <c r="Q50" s="109" t="str">
        <f t="shared" si="17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4"/>
        <v xml:space="preserve"> </v>
      </c>
      <c r="I51" s="116"/>
      <c r="J51" s="117"/>
      <c r="K51" s="103" t="str">
        <f t="shared" si="15"/>
        <v/>
      </c>
      <c r="L51" s="116"/>
      <c r="M51" s="117"/>
      <c r="N51" s="117"/>
      <c r="O51" s="103" t="str">
        <f t="shared" si="16"/>
        <v/>
      </c>
      <c r="P51" s="116"/>
      <c r="Q51" s="103" t="str">
        <f t="shared" si="17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4"/>
        <v xml:space="preserve"> </v>
      </c>
      <c r="I52" s="130"/>
      <c r="J52" s="131"/>
      <c r="K52" s="109" t="str">
        <f t="shared" si="15"/>
        <v/>
      </c>
      <c r="L52" s="130"/>
      <c r="M52" s="131"/>
      <c r="N52" s="131"/>
      <c r="O52" s="109" t="str">
        <f t="shared" si="16"/>
        <v/>
      </c>
      <c r="P52" s="130"/>
      <c r="Q52" s="109" t="str">
        <f t="shared" si="17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4"/>
        <v xml:space="preserve"> </v>
      </c>
      <c r="I53" s="136"/>
      <c r="J53" s="137"/>
      <c r="K53" s="135" t="str">
        <f t="shared" si="15"/>
        <v/>
      </c>
      <c r="L53" s="136"/>
      <c r="M53" s="137"/>
      <c r="N53" s="137"/>
      <c r="O53" s="135" t="str">
        <f t="shared" si="16"/>
        <v/>
      </c>
      <c r="P53" s="136"/>
      <c r="Q53" s="135" t="str">
        <f t="shared" si="17"/>
        <v xml:space="preserve"> </v>
      </c>
    </row>
    <row r="54" spans="1:17" ht="25.5" customHeight="1" x14ac:dyDescent="0.3">
      <c r="A54" s="138" t="s">
        <v>34</v>
      </c>
      <c r="B54" s="139">
        <f>SUM(B42:B53)</f>
        <v>0</v>
      </c>
      <c r="C54" s="139">
        <f t="shared" ref="C54:G54" si="18">SUM(C42:C53)</f>
        <v>0</v>
      </c>
      <c r="D54" s="139">
        <f t="shared" si="18"/>
        <v>0</v>
      </c>
      <c r="E54" s="139">
        <f t="shared" si="18"/>
        <v>0</v>
      </c>
      <c r="F54" s="139">
        <f t="shared" si="18"/>
        <v>0</v>
      </c>
      <c r="G54" s="139">
        <f t="shared" si="18"/>
        <v>0</v>
      </c>
      <c r="H54" s="140" t="str">
        <f t="shared" si="14"/>
        <v xml:space="preserve"> </v>
      </c>
      <c r="I54" s="140">
        <f t="shared" ref="I54:J54" si="19">SUM(I42:I53)</f>
        <v>0</v>
      </c>
      <c r="J54" s="140">
        <f t="shared" si="19"/>
        <v>0</v>
      </c>
      <c r="K54" s="140">
        <f t="shared" si="15"/>
        <v>0</v>
      </c>
      <c r="L54" s="140">
        <f t="shared" ref="L54:N54" si="20">SUM(L42:L53)</f>
        <v>0</v>
      </c>
      <c r="M54" s="140">
        <f t="shared" si="20"/>
        <v>0</v>
      </c>
      <c r="N54" s="140">
        <f t="shared" si="20"/>
        <v>0</v>
      </c>
      <c r="O54" s="140">
        <f t="shared" si="16"/>
        <v>0</v>
      </c>
      <c r="P54" s="141">
        <f>SUM(P42:P53)</f>
        <v>0</v>
      </c>
      <c r="Q54" s="140" t="str">
        <f t="shared" si="17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21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21"/>
        <v xml:space="preserve"> </v>
      </c>
      <c r="I62" s="116"/>
      <c r="J62" s="117"/>
      <c r="K62" s="117" t="str">
        <f t="shared" ref="K62:K73" si="22">IF(AND(ISBLANK(I62),ISBLANK(J62))=TRUE,"",I62+J62)</f>
        <v/>
      </c>
      <c r="L62" s="116"/>
      <c r="M62" s="117"/>
      <c r="N62" s="117"/>
      <c r="O62" s="103" t="str">
        <f t="shared" ref="O62:O73" si="23">IF(AND(ISBLANK(L62),ISBLANK(M62),ISBLANK(N62))=TRUE,"",L62+M62+N62)</f>
        <v/>
      </c>
      <c r="P62" s="117"/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21"/>
        <v xml:space="preserve"> </v>
      </c>
      <c r="I63" s="163"/>
      <c r="J63" s="164"/>
      <c r="K63" s="164" t="str">
        <f t="shared" si="22"/>
        <v/>
      </c>
      <c r="L63" s="163"/>
      <c r="M63" s="164"/>
      <c r="N63" s="164"/>
      <c r="O63" s="165" t="str">
        <f t="shared" si="23"/>
        <v/>
      </c>
      <c r="P63" s="164"/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21"/>
        <v xml:space="preserve"> </v>
      </c>
      <c r="I68" s="116"/>
      <c r="J68" s="117"/>
      <c r="K68" s="117" t="str">
        <f t="shared" si="22"/>
        <v/>
      </c>
      <c r="L68" s="116"/>
      <c r="M68" s="117"/>
      <c r="N68" s="117"/>
      <c r="O68" s="103" t="str">
        <f t="shared" si="23"/>
        <v/>
      </c>
      <c r="P68" s="117"/>
      <c r="Q68" s="158" t="str">
        <f t="shared" si="24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21"/>
        <v xml:space="preserve"> </v>
      </c>
      <c r="I69" s="163"/>
      <c r="J69" s="164"/>
      <c r="K69" s="164" t="str">
        <f t="shared" si="22"/>
        <v/>
      </c>
      <c r="L69" s="163"/>
      <c r="M69" s="164"/>
      <c r="N69" s="164"/>
      <c r="O69" s="165" t="str">
        <f t="shared" si="23"/>
        <v/>
      </c>
      <c r="P69" s="164"/>
      <c r="Q69" s="162" t="str">
        <f t="shared" si="24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21"/>
        <v xml:space="preserve"> </v>
      </c>
      <c r="I72" s="136"/>
      <c r="J72" s="137"/>
      <c r="K72" s="137" t="str">
        <f t="shared" si="22"/>
        <v/>
      </c>
      <c r="L72" s="136"/>
      <c r="M72" s="137"/>
      <c r="N72" s="137"/>
      <c r="O72" s="135" t="str">
        <f t="shared" si="23"/>
        <v/>
      </c>
      <c r="P72" s="137"/>
      <c r="Q72" s="135" t="str">
        <f t="shared" si="24"/>
        <v xml:space="preserve"> </v>
      </c>
    </row>
    <row r="73" spans="1:17" ht="24.75" customHeight="1" x14ac:dyDescent="0.3">
      <c r="A73" s="166" t="s">
        <v>34</v>
      </c>
      <c r="B73" s="167">
        <f>SUM(B61:B72)</f>
        <v>0</v>
      </c>
      <c r="C73" s="167">
        <f t="shared" ref="C73:G73" si="25">SUM(C61:C72)</f>
        <v>0</v>
      </c>
      <c r="D73" s="167">
        <f t="shared" si="25"/>
        <v>0</v>
      </c>
      <c r="E73" s="167">
        <f t="shared" si="25"/>
        <v>0</v>
      </c>
      <c r="F73" s="167">
        <f t="shared" si="25"/>
        <v>0</v>
      </c>
      <c r="G73" s="167">
        <f t="shared" si="25"/>
        <v>0</v>
      </c>
      <c r="H73" s="168" t="str">
        <f t="shared" si="21"/>
        <v xml:space="preserve"> 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0</v>
      </c>
      <c r="M73" s="169">
        <f t="shared" si="27"/>
        <v>0</v>
      </c>
      <c r="N73" s="169">
        <f t="shared" si="27"/>
        <v>0</v>
      </c>
      <c r="O73" s="169">
        <f t="shared" si="23"/>
        <v>0</v>
      </c>
      <c r="P73" s="169">
        <f>SUM(P61:P72)</f>
        <v>0</v>
      </c>
      <c r="Q73" s="168" t="str">
        <f t="shared" si="24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2020-02-03T07:21:26Z</cp:lastPrinted>
  <dcterms:created xsi:type="dcterms:W3CDTF">2020-02-03T07:21:10Z</dcterms:created>
  <dcterms:modified xsi:type="dcterms:W3CDTF">2020-02-03T07:21:27Z</dcterms:modified>
</cp:coreProperties>
</file>