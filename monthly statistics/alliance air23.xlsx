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3\Excel December 2023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<sst xmlns="http://schemas.openxmlformats.org/spreadsheetml/2006/main" count="153" uniqueCount="42">
  <si>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</si>
  <si>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ALLIANCE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</si>
  <si>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</si>
  <si>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</si>
  <si>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</si>
  <si>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</si>
  <si>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</si>
  <si>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</si>
  <si>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</si>
  <si>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</si>
  <si>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</si>
  <si>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</si>
  <si>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</si>
  <si>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</si>
  <si>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</si>
  <si>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</si>
  <si>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</si>
  <si>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</si>
  <si>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</si>
  <si>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</si>
  <si>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</si>
  <si>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</si>
  <si>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</si>
  <si>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</si>
  <si>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</si>
  <si>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</si>
  <si>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</si>
  <si>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</si>
  <si>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</si>
  <si>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</si>
  <si>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</si>
  <si>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</si>
  <si>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</si>
  <si>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</si>
  <si>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</si>
  <si>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ALLIANCE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</si>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</sst>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3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2023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3729</v>
      </c>
      <c r="C4" s="12">
        <v>4863</v>
      </c>
      <c r="D4" s="13">
        <v>1352.39</v>
      </c>
      <c r="E4" s="14">
        <v>151400</v>
      </c>
      <c r="F4" s="12">
        <v>57292.112000000001</v>
      </c>
      <c r="G4" s="12">
        <v>86793.046000000002</v>
      </c>
      <c r="H4" s="15">
        <f>IFERROR(F4/G4*100," ")</f>
        <v>66.010025734089339</v>
      </c>
      <c r="I4" s="16">
        <v>33.341999999999999</v>
      </c>
      <c r="J4" s="17">
        <v>18.718</v>
      </c>
      <c r="K4" s="15">
        <f>IF(AND(ISBLANK(I4),ISBLANK(J4))=TRUE,"",I4+J4)</f>
        <v>52.06</v>
      </c>
      <c r="L4" s="16">
        <v>5213.5821919999998</v>
      </c>
      <c r="M4" s="17">
        <v>14.700658750099073</v>
      </c>
      <c r="N4" s="17">
        <v>6.5776669999999999</v>
      </c>
      <c r="O4" s="15">
        <f>IF(AND(ISBLANK(L4),ISBLANK(M4),ISBLANK(N4))=TRUE,"",L4+M4+N4)</f>
        <v>5234.8605177500986</v>
      </c>
      <c r="P4" s="17">
        <v>8930.2859999999982</v>
      </c>
      <c r="Q4" s="15">
        <f>IFERROR(O4/P4*100," ")</f>
        <v>58.619181040227595</v>
      </c>
    </row>
    <row r="5" spans="1:17" ht="23.1" customHeight="1" x14ac:dyDescent="0.3">
      <c r="A5" s="18" t="s">
        <v>23</v>
      </c>
      <c r="B5" s="19">
        <v>3310</v>
      </c>
      <c r="C5" s="19">
        <v>4398</v>
      </c>
      <c r="D5" s="18">
        <v>1199</v>
      </c>
      <c r="E5" s="20">
        <v>133815</v>
      </c>
      <c r="F5" s="19">
        <v>51951</v>
      </c>
      <c r="G5" s="19">
        <v>80008</v>
      </c>
      <c r="H5" s="21">
        <f t="shared" ref="H5:H16" si="0">IFERROR(F5/G5*100," ")</f>
        <v>64.932256774322568</v>
      </c>
      <c r="I5" s="22">
        <v>41.34</v>
      </c>
      <c r="J5" s="23">
        <v>18.184999999999999</v>
      </c>
      <c r="K5" s="21">
        <f t="shared" ref="K5:K16" si="1">IF(AND(ISBLANK(I5),ISBLANK(J5))=TRUE,"",I5+J5)</f>
        <v>59.525000000000006</v>
      </c>
      <c r="L5" s="22">
        <v>4675.5975599999983</v>
      </c>
      <c r="M5" s="23">
        <v>41.338999999999992</v>
      </c>
      <c r="N5" s="23">
        <v>18.184999999999999</v>
      </c>
      <c r="O5" s="21">
        <f t="shared" ref="O5:O16" si="2">IF(AND(ISBLANK(L5),ISBLANK(M5),ISBLANK(N5))=TRUE,"",L5+M5+N5)</f>
        <v>4735.1215599999987</v>
      </c>
      <c r="P5" s="23">
        <v>7750.0601999999981</v>
      </c>
      <c r="Q5" s="21">
        <f t="shared" ref="Q5:Q16" si="3">IFERROR(O5/P5*100," ")</f>
        <v>61.097868117205081</v>
      </c>
    </row>
    <row r="6" spans="1:17" ht="23.1" customHeight="1" x14ac:dyDescent="0.3">
      <c r="A6" s="24" t="s">
        <v>24</v>
      </c>
      <c r="B6" s="25">
        <v>3548</v>
      </c>
      <c r="C6" s="25">
        <v>4768.7166666666672</v>
      </c>
      <c r="D6" s="24">
        <v>1304.6420000000001</v>
      </c>
      <c r="E6" s="26">
        <v>133282</v>
      </c>
      <c r="F6" s="25">
        <v>52237.822</v>
      </c>
      <c r="G6" s="25">
        <v>79702.600800000029</v>
      </c>
      <c r="H6" s="27">
        <f t="shared" si="0"/>
        <v>65.540925234148673</v>
      </c>
      <c r="I6" s="28">
        <v>38.152999999999999</v>
      </c>
      <c r="J6" s="29">
        <v>17.232000000000003</v>
      </c>
      <c r="K6" s="27">
        <f t="shared" si="1"/>
        <v>55.385000000000005</v>
      </c>
      <c r="L6" s="28">
        <v>4701.403980000001</v>
      </c>
      <c r="M6" s="29">
        <v>38.152999999999999</v>
      </c>
      <c r="N6" s="29">
        <v>17.232000000000003</v>
      </c>
      <c r="O6" s="27">
        <f t="shared" si="2"/>
        <v>4756.7889800000012</v>
      </c>
      <c r="P6" s="29">
        <v>8390.4863499999956</v>
      </c>
      <c r="Q6" s="27">
        <f t="shared" si="3"/>
        <v>56.692649050075673</v>
      </c>
    </row>
    <row r="7" spans="1:17" ht="23.1" customHeight="1" x14ac:dyDescent="0.3">
      <c r="A7" s="18" t="s">
        <v>25</v>
      </c>
      <c r="B7" s="19">
        <v>3392</v>
      </c>
      <c r="C7" s="19">
        <v>4508</v>
      </c>
      <c r="D7" s="18">
        <v>1266.3820000000001</v>
      </c>
      <c r="E7" s="20">
        <v>141648</v>
      </c>
      <c r="F7" s="19">
        <v>56181.264999999999</v>
      </c>
      <c r="G7" s="19">
        <v>81080.620999999999</v>
      </c>
      <c r="H7" s="21">
        <f t="shared" si="0"/>
        <v>69.290620011408151</v>
      </c>
      <c r="I7" s="22">
        <v>19.82</v>
      </c>
      <c r="J7" s="23">
        <v>17.646000000000001</v>
      </c>
      <c r="K7" s="21">
        <f t="shared" si="1"/>
        <v>37.466000000000001</v>
      </c>
      <c r="L7" s="22">
        <v>5112.4951000000001</v>
      </c>
      <c r="M7" s="23">
        <v>19.820999999999994</v>
      </c>
      <c r="N7" s="23">
        <v>17.646000000000001</v>
      </c>
      <c r="O7" s="21">
        <f t="shared" si="2"/>
        <v>5149.9620999999997</v>
      </c>
      <c r="P7" s="23">
        <v>8310.2236000000012</v>
      </c>
      <c r="Q7" s="21">
        <f t="shared" si="3"/>
        <v>61.971402309800652</v>
      </c>
    </row>
    <row r="8" spans="1:17" s="30" customFormat="1" ht="30" customHeight="1" x14ac:dyDescent="0.25">
      <c r="A8" s="24" t="s">
        <v>26</v>
      </c>
      <c r="B8" s="25">
        <v>3708</v>
      </c>
      <c r="C8" s="25">
        <v>5025</v>
      </c>
      <c r="D8" s="24">
        <v>1406.74</v>
      </c>
      <c r="E8" s="26">
        <v>184966</v>
      </c>
      <c r="F8" s="25">
        <v>74060.872000000003</v>
      </c>
      <c r="G8" s="25">
        <v>92250.479000000007</v>
      </c>
      <c r="H8" s="27">
        <f t="shared" si="0"/>
        <v>80.282371216739151</v>
      </c>
      <c r="I8" s="28">
        <v>10.577999999999999</v>
      </c>
      <c r="J8" s="29">
        <v>13.692999999999998</v>
      </c>
      <c r="K8" s="27">
        <f t="shared" si="1"/>
        <v>24.270999999999997</v>
      </c>
      <c r="L8" s="28">
        <v>6739.5393520000025</v>
      </c>
      <c r="M8" s="29">
        <v>4.6512835295727699</v>
      </c>
      <c r="N8" s="29">
        <v>6.2080616712158934</v>
      </c>
      <c r="O8" s="27">
        <f t="shared" si="2"/>
        <v>6750.3986972007906</v>
      </c>
      <c r="P8" s="29">
        <v>9201.7332000000006</v>
      </c>
      <c r="Q8" s="27">
        <f t="shared" si="3"/>
        <v>73.360078481745049</v>
      </c>
    </row>
    <row r="9" spans="1:17" ht="23.1" customHeight="1" x14ac:dyDescent="0.3">
      <c r="A9" s="18" t="s">
        <v>27</v>
      </c>
      <c r="B9" s="19">
        <v>3165</v>
      </c>
      <c r="C9" s="19">
        <v>4303</v>
      </c>
      <c r="D9" s="18">
        <v>1225.92</v>
      </c>
      <c r="E9" s="20">
        <v>144033</v>
      </c>
      <c r="F9" s="19">
        <v>58587.737000000001</v>
      </c>
      <c r="G9" s="19">
        <v>79738.923999999999</v>
      </c>
      <c r="H9" s="21">
        <f t="shared" si="0"/>
        <v>73.47445144857987</v>
      </c>
      <c r="I9" s="22">
        <v>11.874000000000002</v>
      </c>
      <c r="J9" s="23">
        <v>9.4669999999999987</v>
      </c>
      <c r="K9" s="21">
        <f t="shared" si="1"/>
        <v>21.341000000000001</v>
      </c>
      <c r="L9" s="22">
        <v>5331.4840669999985</v>
      </c>
      <c r="M9" s="23">
        <v>5.1385119177922522</v>
      </c>
      <c r="N9" s="23">
        <v>4.4827771346996697</v>
      </c>
      <c r="O9" s="21">
        <f t="shared" si="2"/>
        <v>5341.1053560524906</v>
      </c>
      <c r="P9" s="23">
        <v>7986.1608000000015</v>
      </c>
      <c r="Q9" s="21">
        <f t="shared" si="3"/>
        <v>66.879511818150334</v>
      </c>
    </row>
    <row r="10" spans="1:17" ht="23.1" customHeight="1" x14ac:dyDescent="0.3">
      <c r="A10" s="24" t="s">
        <v>28</v>
      </c>
      <c r="B10" s="25">
        <v>2956</v>
      </c>
      <c r="C10" s="25">
        <v>4032</v>
      </c>
      <c r="D10" s="24">
        <v>1144.864</v>
      </c>
      <c r="E10" s="26">
        <v>123706</v>
      </c>
      <c r="F10" s="25">
        <v>50629.716</v>
      </c>
      <c r="G10" s="25">
        <v>74161.581000000006</v>
      </c>
      <c r="H10" s="27">
        <f t="shared" si="0"/>
        <v>68.269466909018561</v>
      </c>
      <c r="I10" s="28">
        <v>12.536999999999999</v>
      </c>
      <c r="J10" s="29">
        <v>3.9580000000000002</v>
      </c>
      <c r="K10" s="27">
        <f t="shared" si="1"/>
        <v>16.494999999999997</v>
      </c>
      <c r="L10" s="28">
        <v>4607.304156000002</v>
      </c>
      <c r="M10" s="29">
        <v>5.6021394391029258</v>
      </c>
      <c r="N10" s="29">
        <v>0.90180500000000008</v>
      </c>
      <c r="O10" s="27">
        <f t="shared" si="2"/>
        <v>4613.8081004391051</v>
      </c>
      <c r="P10" s="29">
        <v>7441.39</v>
      </c>
      <c r="Q10" s="27">
        <f t="shared" si="3"/>
        <v>62.001966036440834</v>
      </c>
    </row>
    <row r="11" spans="1:17" ht="23.1" customHeight="1" x14ac:dyDescent="0.3">
      <c r="A11" s="18" t="s">
        <v>29</v>
      </c>
      <c r="B11" s="19">
        <v>2906</v>
      </c>
      <c r="C11" s="19">
        <v>3910</v>
      </c>
      <c r="D11" s="18">
        <v>1110.7809999999999</v>
      </c>
      <c r="E11" s="20">
        <v>124526</v>
      </c>
      <c r="F11" s="19">
        <v>50562.014000000003</v>
      </c>
      <c r="G11" s="19">
        <v>72269.417000000001</v>
      </c>
      <c r="H11" s="21">
        <f t="shared" si="0"/>
        <v>69.963223862730203</v>
      </c>
      <c r="I11" s="22">
        <v>30.451000000000001</v>
      </c>
      <c r="J11" s="23">
        <v>5.992</v>
      </c>
      <c r="K11" s="21">
        <f t="shared" si="1"/>
        <v>36.442999999999998</v>
      </c>
      <c r="L11" s="22">
        <v>4601.143274</v>
      </c>
      <c r="M11" s="23">
        <v>12.898173898163069</v>
      </c>
      <c r="N11" s="23">
        <v>2.564973956253064</v>
      </c>
      <c r="O11" s="21">
        <f t="shared" si="2"/>
        <v>4616.6064218544161</v>
      </c>
      <c r="P11" s="23">
        <v>7228.3227999999999</v>
      </c>
      <c r="Q11" s="21">
        <f t="shared" si="3"/>
        <v>63.868293511385744</v>
      </c>
    </row>
    <row r="12" spans="1:17" ht="23.1" customHeight="1" x14ac:dyDescent="0.3">
      <c r="A12" s="24" t="s">
        <v>30</v>
      </c>
      <c r="B12" s="25">
        <v>2880</v>
      </c>
      <c r="C12" s="25">
        <v>3845</v>
      </c>
      <c r="D12" s="24">
        <v>1072.3140000000001</v>
      </c>
      <c r="E12" s="26">
        <v>119632</v>
      </c>
      <c r="F12" s="25">
        <v>48241.523000000001</v>
      </c>
      <c r="G12" s="25">
        <v>70317.918999999994</v>
      </c>
      <c r="H12" s="27">
        <f t="shared" si="0"/>
        <v>68.604878651201275</v>
      </c>
      <c r="I12" s="28">
        <v>24.978000000000005</v>
      </c>
      <c r="J12" s="29">
        <v>3.734</v>
      </c>
      <c r="K12" s="27">
        <f t="shared" si="1"/>
        <v>28.712000000000003</v>
      </c>
      <c r="L12" s="28">
        <v>4389.978592999998</v>
      </c>
      <c r="M12" s="29">
        <v>11.110028417417444</v>
      </c>
      <c r="N12" s="29">
        <v>1.5891930000000001</v>
      </c>
      <c r="O12" s="27">
        <f t="shared" si="2"/>
        <v>4402.677814417415</v>
      </c>
      <c r="P12" s="29">
        <v>7014.3591999999999</v>
      </c>
      <c r="Q12" s="27">
        <f t="shared" si="3"/>
        <v>62.766643236882068</v>
      </c>
    </row>
    <row r="13" spans="1:17" ht="23.1" customHeight="1" x14ac:dyDescent="0.3">
      <c r="A13" s="18" t="s">
        <v>31</v>
      </c>
      <c r="B13" s="19">
        <v>2973</v>
      </c>
      <c r="C13" s="19">
        <v>4017</v>
      </c>
      <c r="D13" s="18">
        <v>1128.028</v>
      </c>
      <c r="E13" s="20">
        <v>129759</v>
      </c>
      <c r="F13" s="19">
        <v>53137.491999999998</v>
      </c>
      <c r="G13" s="19">
        <v>74085.688999999998</v>
      </c>
      <c r="H13" s="21">
        <f t="shared" si="0"/>
        <v>71.724367711556283</v>
      </c>
      <c r="I13" s="22">
        <v>24.302999999999994</v>
      </c>
      <c r="J13" s="23">
        <v>7.4010000000000007</v>
      </c>
      <c r="K13" s="21">
        <f t="shared" si="1"/>
        <v>31.703999999999994</v>
      </c>
      <c r="L13" s="22">
        <v>4835.5117719999971</v>
      </c>
      <c r="M13" s="23">
        <v>11.150503024006062</v>
      </c>
      <c r="N13" s="23">
        <v>3.5779689999999995</v>
      </c>
      <c r="O13" s="21">
        <f t="shared" si="2"/>
        <v>4850.240244024003</v>
      </c>
      <c r="P13" s="23">
        <v>7360.5584000000026</v>
      </c>
      <c r="Q13" s="21">
        <f t="shared" si="3"/>
        <v>65.895003890248347</v>
      </c>
    </row>
    <row r="14" spans="1:17" ht="23.1" customHeight="1" x14ac:dyDescent="0.3">
      <c r="A14" s="24" t="s">
        <v>32</v>
      </c>
      <c r="B14" s="25">
        <v>2759</v>
      </c>
      <c r="C14" s="25">
        <v>3706</v>
      </c>
      <c r="D14" s="24">
        <v>1031.894</v>
      </c>
      <c r="E14" s="26">
        <v>123592</v>
      </c>
      <c r="F14" s="25">
        <v>50002.641000000003</v>
      </c>
      <c r="G14" s="25">
        <v>68511.676999999996</v>
      </c>
      <c r="H14" s="27">
        <f t="shared" si="0"/>
        <v>72.98411481009289</v>
      </c>
      <c r="I14" s="28">
        <v>14.195</v>
      </c>
      <c r="J14" s="29">
        <v>4.4770000000000003</v>
      </c>
      <c r="K14" s="27">
        <f t="shared" si="1"/>
        <v>18.672000000000001</v>
      </c>
      <c r="L14" s="28">
        <v>4550.2403310000027</v>
      </c>
      <c r="M14" s="29">
        <v>6.7395836595930527</v>
      </c>
      <c r="N14" s="29">
        <v>1.873137666666667</v>
      </c>
      <c r="O14" s="27">
        <f t="shared" si="2"/>
        <v>4558.8530523262625</v>
      </c>
      <c r="P14" s="29">
        <v>6808.3672000000015</v>
      </c>
      <c r="Q14" s="27">
        <f t="shared" si="3"/>
        <v>66.959564876675003</v>
      </c>
    </row>
    <row r="15" spans="1:17" ht="23.1" customHeight="1" x14ac:dyDescent="0.3">
      <c r="A15" s="31" t="s">
        <v>33</v>
      </c>
      <c r="B15" s="32">
        <v>2804</v>
      </c>
      <c r="C15" s="32">
        <v>3779</v>
      </c>
      <c r="D15" s="33">
        <v>1056.7249999999999</v>
      </c>
      <c r="E15" s="34">
        <v>130927</v>
      </c>
      <c r="F15" s="32">
        <v>53599.752999999997</v>
      </c>
      <c r="G15" s="32">
        <v>69571.361666666664</v>
      </c>
      <c r="H15" s="35">
        <f t="shared" si="0"/>
        <v>77.042840208891505</v>
      </c>
      <c r="I15" s="36">
        <v>10.563000000000001</v>
      </c>
      <c r="J15" s="37">
        <v>4.301000000000001</v>
      </c>
      <c r="K15" s="35">
        <f t="shared" si="1"/>
        <v>14.864000000000001</v>
      </c>
      <c r="L15" s="36">
        <v>4877.5775000000003</v>
      </c>
      <c r="M15" s="37">
        <v>5.0684771694411355</v>
      </c>
      <c r="N15" s="37">
        <v>1.842519</v>
      </c>
      <c r="O15" s="35">
        <f t="shared" si="2"/>
        <v>4884.4884961694415</v>
      </c>
      <c r="P15" s="23">
        <v>6891.2999999999947</v>
      </c>
      <c r="Q15" s="21">
        <f t="shared" si="3"/>
        <v>70.879057596816935</v>
      </c>
    </row>
    <row r="16" spans="1:17" ht="23.1" customHeight="1" x14ac:dyDescent="0.3">
      <c r="A16" s="38" t="s">
        <v>34</v>
      </c>
      <c r="B16" s="39">
        <f t="shared" ref="B16:G16" si="4">SUM(B4:B15)</f>
        <v>38130</v>
      </c>
      <c r="C16" s="39">
        <f t="shared" si="4"/>
        <v>51154.716666666667</v>
      </c>
      <c r="D16" s="39">
        <f t="shared" si="4"/>
        <v>14299.680000000002</v>
      </c>
      <c r="E16" s="39">
        <f t="shared" si="4"/>
        <v>1641286</v>
      </c>
      <c r="F16" s="39">
        <f t="shared" si="4"/>
        <v>656483.94700000016</v>
      </c>
      <c r="G16" s="39">
        <f t="shared" si="4"/>
        <v>928491.31546666671</v>
      </c>
      <c r="H16" s="40">
        <f t="shared" si="0"/>
        <v>70.704371281065391</v>
      </c>
      <c r="I16" s="40">
        <f>SUM(I4:I15)</f>
        <v>272.13400000000001</v>
      </c>
      <c r="J16" s="40">
        <f>SUM(J4:J15)</f>
        <v>124.804</v>
      </c>
      <c r="K16" s="40">
        <f t="shared" si="1"/>
        <v>396.93799999999999</v>
      </c>
      <c r="L16" s="40">
        <f>SUM(L4:L15)</f>
        <v>59635.857877000002</v>
      </c>
      <c r="M16" s="40">
        <f>SUM(M4:M15)</f>
        <v>176.37235980518778</v>
      </c>
      <c r="N16" s="40">
        <f>SUM(N4:N15)</f>
        <v>82.681103428835286</v>
      </c>
      <c r="O16" s="40">
        <f t="shared" si="2"/>
        <v>59894.911340234023</v>
      </c>
      <c r="P16" s="41">
        <f>SUM(P4:P15)</f>
        <v>93313.247749999995</v>
      </c>
      <c r="Q16" s="41">
        <f t="shared" si="3"/>
        <v>64.186932492909648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2023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36</v>
      </c>
      <c r="C23" s="58">
        <v>44</v>
      </c>
      <c r="D23" s="59">
        <v>12.744</v>
      </c>
      <c r="E23" s="57">
        <v>1692</v>
      </c>
      <c r="F23" s="58">
        <v>598.96799999999996</v>
      </c>
      <c r="G23" s="58">
        <v>811.36800000000005</v>
      </c>
      <c r="H23" s="60">
        <f t="shared" ref="H23:H35" si="5">IFERROR(F23/G23*100," ")</f>
        <v>73.821989528795811</v>
      </c>
      <c r="I23" s="61">
        <v>0</v>
      </c>
      <c r="J23" s="61"/>
      <c r="K23" s="61">
        <f>IF(AND(ISBLANK(I23),ISBLANK(J23))=TRUE,"",I23+J23)</f>
        <v>0</v>
      </c>
      <c r="L23" s="62">
        <v>57.500928000000002</v>
      </c>
      <c r="M23" s="61">
        <v>0</v>
      </c>
      <c r="N23" s="61">
        <v>0</v>
      </c>
      <c r="O23" s="63">
        <f>IF(AND(ISBLANK(L23),ISBLANK(M23),ISBLANK(N23))=TRUE,"",L23+M23+N23)</f>
        <v>57.500928000000002</v>
      </c>
      <c r="P23" s="62">
        <v>86.659199999999998</v>
      </c>
      <c r="Q23" s="63">
        <f>IFERROR(O23/P23*100," ")</f>
        <v>66.352941176470594</v>
      </c>
    </row>
    <row r="24" spans="1:17" ht="23.1" customHeight="1" x14ac:dyDescent="0.3">
      <c r="A24" s="64" t="s">
        <v>23</v>
      </c>
      <c r="B24" s="65">
        <v>32</v>
      </c>
      <c r="C24" s="64">
        <v>45</v>
      </c>
      <c r="D24" s="66">
        <v>11.327999999999999</v>
      </c>
      <c r="E24" s="65">
        <v>1958</v>
      </c>
      <c r="F24" s="64">
        <v>693</v>
      </c>
      <c r="G24" s="64">
        <v>735</v>
      </c>
      <c r="H24" s="67">
        <f t="shared" si="5"/>
        <v>94.285714285714278</v>
      </c>
      <c r="I24" s="68"/>
      <c r="J24" s="68"/>
      <c r="K24" s="68" t="str">
        <f t="shared" ref="K24:K35" si="6">IF(AND(ISBLANK(I24),ISBLANK(J24))=TRUE,"",I24+J24)</f>
        <v/>
      </c>
      <c r="L24" s="69">
        <v>62.381879999999995</v>
      </c>
      <c r="M24" s="68">
        <v>0</v>
      </c>
      <c r="N24" s="68">
        <v>0</v>
      </c>
      <c r="O24" s="67">
        <f t="shared" ref="O24:O35" si="7">IF(AND(ISBLANK(L24),ISBLANK(M24),ISBLANK(N24))=TRUE,"",L24+M24+N24)</f>
        <v>62.381879999999995</v>
      </c>
      <c r="P24" s="69">
        <v>75.331199999999995</v>
      </c>
      <c r="Q24" s="67">
        <f t="shared" ref="Q24:Q35" si="8">IFERROR(O24/P24*100," ")</f>
        <v>82.810150375939855</v>
      </c>
    </row>
    <row r="25" spans="1:17" ht="23.1" customHeight="1" x14ac:dyDescent="0.3">
      <c r="A25" s="56" t="s">
        <v>24</v>
      </c>
      <c r="B25" s="70">
        <v>32</v>
      </c>
      <c r="C25" s="56">
        <v>45.333333333333343</v>
      </c>
      <c r="D25" s="71">
        <v>11.327999999999999</v>
      </c>
      <c r="E25" s="70">
        <v>1922</v>
      </c>
      <c r="F25" s="56">
        <v>680.38800000000003</v>
      </c>
      <c r="G25" s="56">
        <v>715.08</v>
      </c>
      <c r="H25" s="60">
        <f t="shared" si="5"/>
        <v>95.148514851485146</v>
      </c>
      <c r="I25" s="72">
        <v>0</v>
      </c>
      <c r="J25" s="72"/>
      <c r="K25" s="72">
        <f t="shared" si="6"/>
        <v>0</v>
      </c>
      <c r="L25" s="73">
        <v>61.234920000000002</v>
      </c>
      <c r="M25" s="72">
        <v>0</v>
      </c>
      <c r="N25" s="72"/>
      <c r="O25" s="60">
        <f t="shared" si="7"/>
        <v>61.234920000000002</v>
      </c>
      <c r="P25" s="73">
        <v>75.331199999999995</v>
      </c>
      <c r="Q25" s="60">
        <f t="shared" si="8"/>
        <v>81.287593984962413</v>
      </c>
    </row>
    <row r="26" spans="1:17" ht="23.1" customHeight="1" x14ac:dyDescent="0.3">
      <c r="A26" s="64" t="s">
        <v>25</v>
      </c>
      <c r="B26" s="65">
        <v>32</v>
      </c>
      <c r="C26" s="64">
        <v>42</v>
      </c>
      <c r="D26" s="66">
        <v>11.327999999999999</v>
      </c>
      <c r="E26" s="65">
        <v>1805</v>
      </c>
      <c r="F26" s="64">
        <v>638.97</v>
      </c>
      <c r="G26" s="64">
        <v>713.66399999999999</v>
      </c>
      <c r="H26" s="67">
        <f t="shared" si="5"/>
        <v>89.533730158730165</v>
      </c>
      <c r="I26" s="68"/>
      <c r="J26" s="68"/>
      <c r="K26" s="68" t="str">
        <f t="shared" si="6"/>
        <v/>
      </c>
      <c r="L26" s="69">
        <v>61.341099999999997</v>
      </c>
      <c r="M26" s="68"/>
      <c r="N26" s="68"/>
      <c r="O26" s="67">
        <f t="shared" si="7"/>
        <v>61.341099999999997</v>
      </c>
      <c r="P26" s="69">
        <v>77.0304</v>
      </c>
      <c r="Q26" s="67">
        <f t="shared" si="8"/>
        <v>79.632326977401121</v>
      </c>
    </row>
    <row r="27" spans="1:17" s="30" customFormat="1" ht="30" customHeight="1" x14ac:dyDescent="0.25">
      <c r="A27" s="56" t="s">
        <v>26</v>
      </c>
      <c r="B27" s="70">
        <v>36</v>
      </c>
      <c r="C27" s="56">
        <v>45</v>
      </c>
      <c r="D27" s="71">
        <v>12.744</v>
      </c>
      <c r="E27" s="70">
        <v>1987</v>
      </c>
      <c r="F27" s="56">
        <v>703.39800000000002</v>
      </c>
      <c r="G27" s="56">
        <v>892.08</v>
      </c>
      <c r="H27" s="60">
        <f t="shared" si="5"/>
        <v>78.849206349206341</v>
      </c>
      <c r="I27" s="72"/>
      <c r="J27" s="72"/>
      <c r="K27" s="72" t="str">
        <f t="shared" si="6"/>
        <v/>
      </c>
      <c r="L27" s="73">
        <v>67.526207999999997</v>
      </c>
      <c r="M27" s="72">
        <v>0</v>
      </c>
      <c r="N27" s="72">
        <v>0</v>
      </c>
      <c r="O27" s="60">
        <f t="shared" si="7"/>
        <v>67.526207999999997</v>
      </c>
      <c r="P27" s="73">
        <v>86.659199999999998</v>
      </c>
      <c r="Q27" s="60">
        <f t="shared" si="8"/>
        <v>77.921568627450981</v>
      </c>
    </row>
    <row r="28" spans="1:17" ht="23.1" customHeight="1" x14ac:dyDescent="0.3">
      <c r="A28" s="64" t="s">
        <v>27</v>
      </c>
      <c r="B28" s="65">
        <v>34</v>
      </c>
      <c r="C28" s="64">
        <v>40</v>
      </c>
      <c r="D28" s="66">
        <v>12.036</v>
      </c>
      <c r="E28" s="65">
        <v>1994</v>
      </c>
      <c r="F28" s="64">
        <v>705.87599999999998</v>
      </c>
      <c r="G28" s="64">
        <v>842.52</v>
      </c>
      <c r="H28" s="67">
        <f t="shared" si="5"/>
        <v>83.781512605042025</v>
      </c>
      <c r="I28" s="68"/>
      <c r="J28" s="68"/>
      <c r="K28" s="68" t="str">
        <f t="shared" si="6"/>
        <v/>
      </c>
      <c r="L28" s="69">
        <v>67.764095999999995</v>
      </c>
      <c r="M28" s="68">
        <v>0</v>
      </c>
      <c r="N28" s="68">
        <v>0</v>
      </c>
      <c r="O28" s="67">
        <f t="shared" si="7"/>
        <v>67.764095999999995</v>
      </c>
      <c r="P28" s="69">
        <v>81.844799999999992</v>
      </c>
      <c r="Q28" s="67">
        <f t="shared" si="8"/>
        <v>82.795847750865065</v>
      </c>
    </row>
    <row r="29" spans="1:17" ht="23.1" customHeight="1" x14ac:dyDescent="0.3">
      <c r="A29" s="56" t="s">
        <v>28</v>
      </c>
      <c r="B29" s="70">
        <v>48</v>
      </c>
      <c r="C29" s="56">
        <v>58</v>
      </c>
      <c r="D29" s="71">
        <v>16.992000000000001</v>
      </c>
      <c r="E29" s="70">
        <v>2713</v>
      </c>
      <c r="F29" s="56">
        <v>960.40200000000004</v>
      </c>
      <c r="G29" s="56">
        <v>1189.44</v>
      </c>
      <c r="H29" s="60">
        <f t="shared" si="5"/>
        <v>80.74404761904762</v>
      </c>
      <c r="I29" s="72">
        <v>0</v>
      </c>
      <c r="J29" s="72"/>
      <c r="K29" s="72">
        <f t="shared" si="6"/>
        <v>0</v>
      </c>
      <c r="L29" s="73">
        <v>92.198592000000005</v>
      </c>
      <c r="M29" s="72">
        <v>0</v>
      </c>
      <c r="N29" s="72">
        <v>0</v>
      </c>
      <c r="O29" s="60">
        <f t="shared" si="7"/>
        <v>92.198592000000005</v>
      </c>
      <c r="P29" s="73">
        <v>115.54559999999999</v>
      </c>
      <c r="Q29" s="60">
        <f t="shared" si="8"/>
        <v>79.79411764705884</v>
      </c>
    </row>
    <row r="30" spans="1:17" ht="23.1" customHeight="1" x14ac:dyDescent="0.3">
      <c r="A30" s="64" t="s">
        <v>29</v>
      </c>
      <c r="B30" s="65">
        <v>62</v>
      </c>
      <c r="C30" s="64">
        <v>76</v>
      </c>
      <c r="D30" s="66">
        <v>21.948</v>
      </c>
      <c r="E30" s="65">
        <v>3563</v>
      </c>
      <c r="F30" s="64">
        <v>1261.3019999999999</v>
      </c>
      <c r="G30" s="64">
        <v>1536.36</v>
      </c>
      <c r="H30" s="67">
        <f t="shared" si="5"/>
        <v>82.096774193548384</v>
      </c>
      <c r="I30" s="68"/>
      <c r="J30" s="68"/>
      <c r="K30" s="68" t="str">
        <f t="shared" si="6"/>
        <v/>
      </c>
      <c r="L30" s="69">
        <v>121.084992</v>
      </c>
      <c r="M30" s="68">
        <v>0</v>
      </c>
      <c r="N30" s="68">
        <v>0</v>
      </c>
      <c r="O30" s="67">
        <f t="shared" si="7"/>
        <v>121.084992</v>
      </c>
      <c r="P30" s="69">
        <v>149.24639999999999</v>
      </c>
      <c r="Q30" s="67">
        <f t="shared" si="8"/>
        <v>81.130929791271356</v>
      </c>
    </row>
    <row r="31" spans="1:17" ht="23.1" customHeight="1" x14ac:dyDescent="0.3">
      <c r="A31" s="56" t="s">
        <v>30</v>
      </c>
      <c r="B31" s="70">
        <v>60</v>
      </c>
      <c r="C31" s="56">
        <v>74</v>
      </c>
      <c r="D31" s="71">
        <v>21.24</v>
      </c>
      <c r="E31" s="70">
        <v>3135</v>
      </c>
      <c r="F31" s="56">
        <v>1109.79</v>
      </c>
      <c r="G31" s="56">
        <v>1486.8</v>
      </c>
      <c r="H31" s="60">
        <f t="shared" si="5"/>
        <v>74.642857142857139</v>
      </c>
      <c r="I31" s="72">
        <v>0</v>
      </c>
      <c r="J31" s="72"/>
      <c r="K31" s="72">
        <f t="shared" si="6"/>
        <v>0</v>
      </c>
      <c r="L31" s="73">
        <v>106.53984</v>
      </c>
      <c r="M31" s="72">
        <v>0</v>
      </c>
      <c r="N31" s="72"/>
      <c r="O31" s="60">
        <f t="shared" si="7"/>
        <v>106.53984</v>
      </c>
      <c r="P31" s="73">
        <v>144.43199999999999</v>
      </c>
      <c r="Q31" s="60">
        <f t="shared" si="8"/>
        <v>73.764705882352942</v>
      </c>
    </row>
    <row r="32" spans="1:17" ht="23.1" customHeight="1" x14ac:dyDescent="0.3">
      <c r="A32" s="64" t="s">
        <v>31</v>
      </c>
      <c r="B32" s="65">
        <v>62</v>
      </c>
      <c r="C32" s="64">
        <v>74</v>
      </c>
      <c r="D32" s="66">
        <v>21.948</v>
      </c>
      <c r="E32" s="65">
        <v>2858</v>
      </c>
      <c r="F32" s="64">
        <v>1011.732</v>
      </c>
      <c r="G32" s="64">
        <v>1536.36</v>
      </c>
      <c r="H32" s="67">
        <f t="shared" si="5"/>
        <v>65.852534562211986</v>
      </c>
      <c r="I32" s="68">
        <v>0</v>
      </c>
      <c r="J32" s="68"/>
      <c r="K32" s="68">
        <f t="shared" si="6"/>
        <v>0</v>
      </c>
      <c r="L32" s="69">
        <v>97.126272</v>
      </c>
      <c r="M32" s="68">
        <v>0</v>
      </c>
      <c r="N32" s="68">
        <v>0</v>
      </c>
      <c r="O32" s="67">
        <f t="shared" si="7"/>
        <v>97.126272</v>
      </c>
      <c r="P32" s="69">
        <v>149.24639999999999</v>
      </c>
      <c r="Q32" s="67">
        <f t="shared" si="8"/>
        <v>65.077798861480076</v>
      </c>
    </row>
    <row r="33" spans="1:17" ht="23.1" customHeight="1" x14ac:dyDescent="0.3">
      <c r="A33" s="56" t="s">
        <v>32</v>
      </c>
      <c r="B33" s="70">
        <v>54</v>
      </c>
      <c r="C33" s="56">
        <v>65</v>
      </c>
      <c r="D33" s="71">
        <v>19.116</v>
      </c>
      <c r="E33" s="70">
        <v>2077</v>
      </c>
      <c r="F33" s="56">
        <v>735.25800000000004</v>
      </c>
      <c r="G33" s="56">
        <v>1338.12</v>
      </c>
      <c r="H33" s="60">
        <f t="shared" si="5"/>
        <v>54.947089947089957</v>
      </c>
      <c r="I33" s="72"/>
      <c r="J33" s="72"/>
      <c r="K33" s="72" t="str">
        <f t="shared" si="6"/>
        <v/>
      </c>
      <c r="L33" s="73">
        <v>70.584767999999997</v>
      </c>
      <c r="M33" s="72">
        <v>0</v>
      </c>
      <c r="N33" s="72">
        <v>0</v>
      </c>
      <c r="O33" s="60">
        <f t="shared" si="7"/>
        <v>70.584767999999997</v>
      </c>
      <c r="P33" s="73">
        <v>129.9888</v>
      </c>
      <c r="Q33" s="60">
        <f t="shared" si="8"/>
        <v>54.300653594771241</v>
      </c>
    </row>
    <row r="34" spans="1:17" ht="23.1" customHeight="1" x14ac:dyDescent="0.3">
      <c r="A34" s="64" t="s">
        <v>33</v>
      </c>
      <c r="B34" s="74">
        <v>52</v>
      </c>
      <c r="C34" s="75">
        <v>64</v>
      </c>
      <c r="D34" s="76">
        <v>18.408000000000001</v>
      </c>
      <c r="E34" s="74">
        <v>2571</v>
      </c>
      <c r="F34" s="75">
        <v>910.13400000000001</v>
      </c>
      <c r="G34" s="75">
        <v>1288.56</v>
      </c>
      <c r="H34" s="67">
        <f t="shared" si="5"/>
        <v>70.631868131868131</v>
      </c>
      <c r="I34" s="77">
        <v>0</v>
      </c>
      <c r="J34" s="77"/>
      <c r="K34" s="77">
        <f t="shared" si="6"/>
        <v>0</v>
      </c>
      <c r="L34" s="78">
        <v>87.372900000000001</v>
      </c>
      <c r="M34" s="77">
        <v>0</v>
      </c>
      <c r="N34" s="77">
        <v>0</v>
      </c>
      <c r="O34" s="79">
        <f t="shared" si="7"/>
        <v>87.372900000000001</v>
      </c>
      <c r="P34" s="78">
        <v>125.17439999999999</v>
      </c>
      <c r="Q34" s="79">
        <f t="shared" si="8"/>
        <v>69.800933737249792</v>
      </c>
    </row>
    <row r="35" spans="1:17" ht="23.1" customHeight="1" x14ac:dyDescent="0.3">
      <c r="A35" s="80" t="s">
        <v>34</v>
      </c>
      <c r="B35" s="81">
        <f t="shared" ref="B35:G35" si="9">SUM(B23:B34)</f>
        <v>540</v>
      </c>
      <c r="C35" s="81">
        <f t="shared" si="9"/>
        <v>672.33333333333337</v>
      </c>
      <c r="D35" s="81">
        <f t="shared" si="9"/>
        <v>191.16000000000003</v>
      </c>
      <c r="E35" s="81">
        <f t="shared" si="9"/>
        <v>28275</v>
      </c>
      <c r="F35" s="81">
        <f t="shared" si="9"/>
        <v>10009.218000000001</v>
      </c>
      <c r="G35" s="81">
        <f t="shared" si="9"/>
        <v>13085.352000000001</v>
      </c>
      <c r="H35" s="82">
        <f t="shared" si="5"/>
        <v>76.491774925122385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952.65649599999995</v>
      </c>
      <c r="M35" s="83">
        <f>SUM(M23:M34)</f>
        <v>0</v>
      </c>
      <c r="N35" s="83">
        <f>SUM(N23:N34)</f>
        <v>0</v>
      </c>
      <c r="O35" s="83">
        <f t="shared" si="7"/>
        <v>952.65649599999995</v>
      </c>
      <c r="P35" s="83">
        <f>SUM(P23:P34)</f>
        <v>1296.4895999999999</v>
      </c>
      <c r="Q35" s="83">
        <f t="shared" si="8"/>
        <v>73.479686686264202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2023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46</v>
      </c>
      <c r="C42" s="94">
        <v>37</v>
      </c>
      <c r="D42" s="95">
        <v>14.472</v>
      </c>
      <c r="E42" s="93">
        <v>1017</v>
      </c>
      <c r="F42" s="94">
        <v>314.01</v>
      </c>
      <c r="G42" s="94">
        <v>867.47900000000004</v>
      </c>
      <c r="H42" s="96">
        <f t="shared" ref="H42:H54" si="10">IFERROR(F42/G42*100," ")</f>
        <v>36.197994418308681</v>
      </c>
      <c r="I42" s="97"/>
      <c r="J42" s="98"/>
      <c r="K42" s="96" t="str">
        <f>IF(AND(ISBLANK(I42),ISBLANK(J42))=TRUE,"",I42+J42)</f>
        <v/>
      </c>
      <c r="L42" s="97">
        <v>28.5749</v>
      </c>
      <c r="M42" s="98"/>
      <c r="N42" s="98"/>
      <c r="O42" s="96">
        <f>IF(AND(ISBLANK(L42),ISBLANK(M42),ISBLANK(N42))=TRUE,"",L42+M42+N42)</f>
        <v>28.5749</v>
      </c>
      <c r="P42" s="97">
        <v>91.493899999999996</v>
      </c>
      <c r="Q42" s="96">
        <f>IFERROR(O42/P42*100," ")</f>
        <v>31.231481005837548</v>
      </c>
    </row>
    <row r="43" spans="1:17" ht="25.5" customHeight="1" x14ac:dyDescent="0.3">
      <c r="A43" s="99" t="s">
        <v>23</v>
      </c>
      <c r="B43" s="100">
        <v>54</v>
      </c>
      <c r="C43" s="101">
        <v>113</v>
      </c>
      <c r="D43" s="102">
        <v>36</v>
      </c>
      <c r="E43" s="100">
        <v>2536</v>
      </c>
      <c r="F43" s="101">
        <v>1629.9849999999999</v>
      </c>
      <c r="G43" s="101">
        <v>1977</v>
      </c>
      <c r="H43" s="103">
        <f t="shared" si="10"/>
        <v>82.44739504299443</v>
      </c>
      <c r="I43" s="104"/>
      <c r="J43" s="105"/>
      <c r="K43" s="103" t="str">
        <f t="shared" ref="K43:K54" si="11">IF(AND(ISBLANK(I43),ISBLANK(J43))=TRUE,"",I43+J43)</f>
        <v/>
      </c>
      <c r="L43" s="104">
        <v>146.69999999999999</v>
      </c>
      <c r="M43" s="105"/>
      <c r="N43" s="105"/>
      <c r="O43" s="103">
        <f t="shared" ref="O43:O54" si="12">IF(AND(ISBLANK(L43),ISBLANK(M43),ISBLANK(N43))=TRUE,"",L43+M43+N43)</f>
        <v>146.69999999999999</v>
      </c>
      <c r="P43" s="104">
        <v>236.52</v>
      </c>
      <c r="Q43" s="103">
        <f t="shared" ref="Q43:Q54" si="13">IFERROR(O43/P43*100," ")</f>
        <v>62.024353120243525</v>
      </c>
    </row>
    <row r="44" spans="1:17" ht="25.5" customHeight="1" x14ac:dyDescent="0.3">
      <c r="A44" s="92" t="s">
        <v>24</v>
      </c>
      <c r="B44" s="106">
        <v>24</v>
      </c>
      <c r="C44" s="107">
        <v>51</v>
      </c>
      <c r="D44" s="108">
        <v>17.234999999999999</v>
      </c>
      <c r="E44" s="106">
        <v>791</v>
      </c>
      <c r="F44" s="107">
        <v>525.774</v>
      </c>
      <c r="G44" s="107">
        <v>961.19299999999998</v>
      </c>
      <c r="H44" s="109">
        <f t="shared" si="10"/>
        <v>54.700148669413949</v>
      </c>
      <c r="I44" s="110">
        <v>0.182</v>
      </c>
      <c r="J44" s="111"/>
      <c r="K44" s="109">
        <f t="shared" si="11"/>
        <v>0.182</v>
      </c>
      <c r="L44" s="110">
        <v>47.319659999999992</v>
      </c>
      <c r="M44" s="111">
        <v>0.182</v>
      </c>
      <c r="N44" s="111"/>
      <c r="O44" s="109">
        <f t="shared" si="12"/>
        <v>47.501659999999994</v>
      </c>
      <c r="P44" s="110">
        <v>114.61274999999999</v>
      </c>
      <c r="Q44" s="109">
        <f t="shared" si="13"/>
        <v>41.445354029111073</v>
      </c>
    </row>
    <row r="45" spans="1:17" ht="25.5" customHeight="1" x14ac:dyDescent="0.3">
      <c r="A45" s="99" t="s">
        <v>25</v>
      </c>
      <c r="B45" s="100">
        <v>6</v>
      </c>
      <c r="C45" s="112">
        <v>6</v>
      </c>
      <c r="D45" s="102">
        <v>3.2679999999999998</v>
      </c>
      <c r="E45" s="100">
        <v>61</v>
      </c>
      <c r="F45" s="101">
        <v>39.588999999999999</v>
      </c>
      <c r="G45" s="101">
        <v>159.696</v>
      </c>
      <c r="H45" s="103">
        <f t="shared" si="10"/>
        <v>24.790226430217412</v>
      </c>
      <c r="I45" s="104"/>
      <c r="J45" s="105"/>
      <c r="K45" s="103" t="str">
        <f t="shared" si="11"/>
        <v/>
      </c>
      <c r="L45" s="104">
        <v>3.6025999999999998</v>
      </c>
      <c r="M45" s="105"/>
      <c r="N45" s="105"/>
      <c r="O45" s="103">
        <f t="shared" si="12"/>
        <v>3.6025999999999998</v>
      </c>
      <c r="P45" s="104">
        <v>19.988600000000002</v>
      </c>
      <c r="Q45" s="103">
        <f t="shared" si="13"/>
        <v>18.023273265761482</v>
      </c>
    </row>
    <row r="46" spans="1:17" ht="25.5" customHeight="1" x14ac:dyDescent="0.3">
      <c r="A46" s="92" t="s">
        <v>26</v>
      </c>
      <c r="B46" s="106">
        <v>10</v>
      </c>
      <c r="C46" s="113">
        <v>2</v>
      </c>
      <c r="D46" s="108">
        <v>0.88600000000000001</v>
      </c>
      <c r="E46" s="106">
        <v>308</v>
      </c>
      <c r="F46" s="107">
        <v>250.292</v>
      </c>
      <c r="G46" s="107">
        <v>441.286</v>
      </c>
      <c r="H46" s="109">
        <f t="shared" si="10"/>
        <v>56.718771952883159</v>
      </c>
      <c r="I46" s="110">
        <v>8.5000000000000006E-2</v>
      </c>
      <c r="J46" s="111"/>
      <c r="K46" s="109">
        <f t="shared" si="11"/>
        <v>8.5000000000000006E-2</v>
      </c>
      <c r="L46" s="110">
        <v>22.776572000000002</v>
      </c>
      <c r="M46" s="111">
        <v>7.1714561668681981E-2</v>
      </c>
      <c r="N46" s="111">
        <v>0</v>
      </c>
      <c r="O46" s="109">
        <f t="shared" si="12"/>
        <v>22.848286561668683</v>
      </c>
      <c r="P46" s="110">
        <v>44.794800000000002</v>
      </c>
      <c r="Q46" s="109">
        <f t="shared" si="13"/>
        <v>51.006560050873496</v>
      </c>
    </row>
    <row r="47" spans="1:17" ht="25.5" customHeight="1" x14ac:dyDescent="0.3">
      <c r="A47" s="99" t="s">
        <v>27</v>
      </c>
      <c r="B47" s="114">
        <v>14</v>
      </c>
      <c r="C47" s="115">
        <v>14</v>
      </c>
      <c r="D47" s="102">
        <v>6.7850000000000001</v>
      </c>
      <c r="E47" s="114">
        <v>113</v>
      </c>
      <c r="F47" s="115">
        <v>65.153000000000006</v>
      </c>
      <c r="G47" s="115">
        <v>464.53399999999999</v>
      </c>
      <c r="H47" s="103">
        <f t="shared" si="10"/>
        <v>14.025453465193078</v>
      </c>
      <c r="I47" s="116"/>
      <c r="J47" s="117"/>
      <c r="K47" s="103" t="str">
        <f t="shared" si="11"/>
        <v/>
      </c>
      <c r="L47" s="116">
        <v>5.9288999999999996</v>
      </c>
      <c r="M47" s="117">
        <v>0</v>
      </c>
      <c r="N47" s="117">
        <v>0</v>
      </c>
      <c r="O47" s="103">
        <f t="shared" si="12"/>
        <v>5.9288999999999996</v>
      </c>
      <c r="P47" s="116">
        <v>44.069400000000002</v>
      </c>
      <c r="Q47" s="103">
        <f t="shared" si="13"/>
        <v>13.453552805347927</v>
      </c>
    </row>
    <row r="48" spans="1:17" s="125" customFormat="1" ht="25.5" customHeight="1" x14ac:dyDescent="0.3">
      <c r="A48" s="118" t="s">
        <v>28</v>
      </c>
      <c r="B48" s="119">
        <v>4</v>
      </c>
      <c r="C48" s="120">
        <v>3</v>
      </c>
      <c r="D48" s="121">
        <v>1.7130000000000001</v>
      </c>
      <c r="E48" s="119">
        <v>50</v>
      </c>
      <c r="F48" s="120">
        <v>12.45</v>
      </c>
      <c r="G48" s="120">
        <v>119.91</v>
      </c>
      <c r="H48" s="122">
        <f t="shared" si="10"/>
        <v>10.382787090317738</v>
      </c>
      <c r="I48" s="123">
        <v>0</v>
      </c>
      <c r="J48" s="124"/>
      <c r="K48" s="122">
        <f t="shared" si="11"/>
        <v>0</v>
      </c>
      <c r="L48" s="123">
        <v>1.133</v>
      </c>
      <c r="M48" s="124">
        <v>0</v>
      </c>
      <c r="N48" s="124">
        <v>0</v>
      </c>
      <c r="O48" s="122">
        <f t="shared" si="12"/>
        <v>1.133</v>
      </c>
      <c r="P48" s="123">
        <v>11.391500000000001</v>
      </c>
      <c r="Q48" s="122">
        <f t="shared" si="13"/>
        <v>9.9460123776500016</v>
      </c>
    </row>
    <row r="49" spans="1:17" ht="25.5" customHeight="1" x14ac:dyDescent="0.3">
      <c r="A49" s="99" t="s">
        <v>29</v>
      </c>
      <c r="B49" s="114">
        <v>4</v>
      </c>
      <c r="C49" s="115">
        <v>7</v>
      </c>
      <c r="D49" s="126">
        <v>3.7389999999999999</v>
      </c>
      <c r="E49" s="114">
        <v>11</v>
      </c>
      <c r="F49" s="115">
        <v>7.1390000000000002</v>
      </c>
      <c r="G49" s="115">
        <v>261.73</v>
      </c>
      <c r="H49" s="103">
        <f t="shared" si="10"/>
        <v>2.7276200664807244</v>
      </c>
      <c r="I49" s="116"/>
      <c r="J49" s="117"/>
      <c r="K49" s="103" t="str">
        <f t="shared" si="11"/>
        <v/>
      </c>
      <c r="L49" s="116">
        <v>0.64959999999999996</v>
      </c>
      <c r="M49" s="117">
        <v>0</v>
      </c>
      <c r="N49" s="117">
        <v>0</v>
      </c>
      <c r="O49" s="103">
        <f t="shared" si="12"/>
        <v>0.64959999999999996</v>
      </c>
      <c r="P49" s="116">
        <v>24.8644</v>
      </c>
      <c r="Q49" s="103">
        <f t="shared" si="13"/>
        <v>2.6125705828413315</v>
      </c>
    </row>
    <row r="50" spans="1:17" ht="25.5" customHeight="1" x14ac:dyDescent="0.3">
      <c r="A50" s="92" t="s">
        <v>30</v>
      </c>
      <c r="B50" s="127">
        <v>7</v>
      </c>
      <c r="C50" s="128">
        <v>9</v>
      </c>
      <c r="D50" s="129">
        <v>4.6680000000000001</v>
      </c>
      <c r="E50" s="127">
        <v>24</v>
      </c>
      <c r="F50" s="128">
        <v>40.209000000000003</v>
      </c>
      <c r="G50" s="128">
        <v>326.76</v>
      </c>
      <c r="H50" s="109">
        <f t="shared" si="10"/>
        <v>12.3053617333823</v>
      </c>
      <c r="I50" s="130">
        <v>0.38200000000000001</v>
      </c>
      <c r="J50" s="131"/>
      <c r="K50" s="109">
        <f t="shared" si="11"/>
        <v>0.38200000000000001</v>
      </c>
      <c r="L50" s="130">
        <v>3.6589999999999998</v>
      </c>
      <c r="M50" s="131">
        <v>0.16991075568313968</v>
      </c>
      <c r="N50" s="131"/>
      <c r="O50" s="109">
        <f t="shared" si="12"/>
        <v>3.8289107556831397</v>
      </c>
      <c r="P50" s="130">
        <v>31.042200000000001</v>
      </c>
      <c r="Q50" s="109">
        <f t="shared" si="13"/>
        <v>12.334534136379315</v>
      </c>
    </row>
    <row r="51" spans="1:17" ht="25.5" customHeight="1" x14ac:dyDescent="0.3">
      <c r="A51" s="99" t="s">
        <v>31</v>
      </c>
      <c r="B51" s="114">
        <v>16</v>
      </c>
      <c r="C51" s="115">
        <v>16</v>
      </c>
      <c r="D51" s="126">
        <v>6.4580000000000002</v>
      </c>
      <c r="E51" s="114">
        <v>223</v>
      </c>
      <c r="F51" s="115">
        <v>86.405000000000001</v>
      </c>
      <c r="G51" s="115">
        <v>355.81</v>
      </c>
      <c r="H51" s="103">
        <f t="shared" si="10"/>
        <v>24.284027992467891</v>
      </c>
      <c r="I51" s="116">
        <v>0</v>
      </c>
      <c r="J51" s="117"/>
      <c r="K51" s="103">
        <f t="shared" si="11"/>
        <v>0</v>
      </c>
      <c r="L51" s="116">
        <v>7.8628999999999998</v>
      </c>
      <c r="M51" s="117">
        <v>0</v>
      </c>
      <c r="N51" s="117"/>
      <c r="O51" s="103">
        <f t="shared" si="12"/>
        <v>7.8628999999999998</v>
      </c>
      <c r="P51" s="116">
        <v>33.058199999999999</v>
      </c>
      <c r="Q51" s="103">
        <f t="shared" si="13"/>
        <v>23.785021568022458</v>
      </c>
    </row>
    <row r="52" spans="1:17" ht="25.5" customHeight="1" x14ac:dyDescent="0.3">
      <c r="A52" s="92" t="s">
        <v>32</v>
      </c>
      <c r="B52" s="127">
        <v>2</v>
      </c>
      <c r="C52" s="128">
        <v>4</v>
      </c>
      <c r="D52" s="129">
        <v>1.7070000000000001</v>
      </c>
      <c r="E52" s="127">
        <v>45</v>
      </c>
      <c r="F52" s="128">
        <v>11.205</v>
      </c>
      <c r="G52" s="128">
        <v>39.299999999999997</v>
      </c>
      <c r="H52" s="109">
        <f t="shared" si="10"/>
        <v>28.511450381679392</v>
      </c>
      <c r="I52" s="130"/>
      <c r="J52" s="131"/>
      <c r="K52" s="109" t="str">
        <f t="shared" si="11"/>
        <v/>
      </c>
      <c r="L52" s="130">
        <v>1.0197000000000001</v>
      </c>
      <c r="M52" s="131">
        <v>0</v>
      </c>
      <c r="N52" s="131">
        <v>0</v>
      </c>
      <c r="O52" s="109">
        <f t="shared" si="12"/>
        <v>1.0197000000000001</v>
      </c>
      <c r="P52" s="130">
        <v>3.1139000000000001</v>
      </c>
      <c r="Q52" s="109">
        <f t="shared" si="13"/>
        <v>32.746716336426992</v>
      </c>
    </row>
    <row r="53" spans="1:17" ht="25.5" customHeight="1" x14ac:dyDescent="0.3">
      <c r="A53" s="99" t="s">
        <v>33</v>
      </c>
      <c r="B53" s="132">
        <v>11</v>
      </c>
      <c r="C53" s="133">
        <v>9</v>
      </c>
      <c r="D53" s="134">
        <v>3.6890000000000001</v>
      </c>
      <c r="E53" s="132">
        <v>153</v>
      </c>
      <c r="F53" s="133">
        <v>79.3</v>
      </c>
      <c r="G53" s="133">
        <v>237.77</v>
      </c>
      <c r="H53" s="135">
        <f t="shared" si="10"/>
        <v>33.351558228540185</v>
      </c>
      <c r="I53" s="136">
        <v>0</v>
      </c>
      <c r="J53" s="137"/>
      <c r="K53" s="135">
        <f t="shared" si="11"/>
        <v>0</v>
      </c>
      <c r="L53" s="136">
        <v>7.2163000000000004</v>
      </c>
      <c r="M53" s="137">
        <v>0</v>
      </c>
      <c r="N53" s="137"/>
      <c r="O53" s="135">
        <f t="shared" si="12"/>
        <v>7.2163000000000004</v>
      </c>
      <c r="P53" s="136">
        <v>22.430099999999999</v>
      </c>
      <c r="Q53" s="135">
        <f t="shared" si="13"/>
        <v>32.172393346440728</v>
      </c>
    </row>
    <row r="54" spans="1:17" ht="25.5" customHeight="1" x14ac:dyDescent="0.3">
      <c r="A54" s="138" t="s">
        <v>34</v>
      </c>
      <c r="B54" s="139">
        <f t="shared" ref="B54:G54" si="14">SUM(B42:B53)</f>
        <v>198</v>
      </c>
      <c r="C54" s="139">
        <f t="shared" si="14"/>
        <v>271</v>
      </c>
      <c r="D54" s="139">
        <f t="shared" si="14"/>
        <v>100.61999999999998</v>
      </c>
      <c r="E54" s="139">
        <f t="shared" si="14"/>
        <v>5332</v>
      </c>
      <c r="F54" s="139">
        <f t="shared" si="14"/>
        <v>3061.5109999999995</v>
      </c>
      <c r="G54" s="139">
        <f t="shared" si="14"/>
        <v>6212.4680000000008</v>
      </c>
      <c r="H54" s="140">
        <f t="shared" si="10"/>
        <v>49.280108967965695</v>
      </c>
      <c r="I54" s="140">
        <f>SUM(I42:I53)</f>
        <v>0.64900000000000002</v>
      </c>
      <c r="J54" s="140">
        <f>SUM(J42:J53)</f>
        <v>0</v>
      </c>
      <c r="K54" s="140">
        <f t="shared" si="11"/>
        <v>0.64900000000000002</v>
      </c>
      <c r="L54" s="140">
        <f>SUM(L42:L53)</f>
        <v>276.44313199999999</v>
      </c>
      <c r="M54" s="140">
        <f>SUM(M42:M53)</f>
        <v>0.42362531735182168</v>
      </c>
      <c r="N54" s="140">
        <f>SUM(N42:N53)</f>
        <v>0</v>
      </c>
      <c r="O54" s="140">
        <f t="shared" si="12"/>
        <v>276.86675731735181</v>
      </c>
      <c r="P54" s="141">
        <f>SUM(P42:P53)</f>
        <v>677.37974999999994</v>
      </c>
      <c r="Q54" s="140">
        <f t="shared" si="13"/>
        <v>40.873196654808744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2023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2024-01-12T06:42:08Z</dcterms:created>
  <dcterms:modified xsi:type="dcterms:W3CDTF">2024-01-12T06:42:19Z</dcterms:modified>
</cp:coreProperties>
</file>