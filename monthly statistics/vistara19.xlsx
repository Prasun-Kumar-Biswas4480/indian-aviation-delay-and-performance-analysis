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software at-ii\GENERATED REPORTS\"/>
    </mc:Choice>
  </mc:AlternateContent>
  <bookViews>
    <workbookView xWindow="0" yWindow="0" windowWidth="24000" windowHeight="79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  <definedName name="year">[1]Interface!$AU$7:$AU$20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<sst xmlns="http://schemas.openxmlformats.org/spreadsheetml/2006/main" count="153" uniqueCount="42">
  <si>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</si>
  <si>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VISTARA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</si>
  <si>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</si>
  <si>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</si>
  <si>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</si>
  <si>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</si>
  <si>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</si>
  <si>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</si>
  <si>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</si>
  <si>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</si>
  <si>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</si>
  <si>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</si>
  <si>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</si>
  <si>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</si>
  <si>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</si>
  <si>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</si>
  <si>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</si>
  <si>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</si>
  <si>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</si>
  <si>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</si>
  <si>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</si>
  <si>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</si>
  <si>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</si>
  <si>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</si>
  <si>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</si>
  <si>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</si>
  <si>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</si>
  <si>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</si>
  <si>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</si>
  <si>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</si>
  <si>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</si>
  <si>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</si>
  <si>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</si>
  <si>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</si>
  <si>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</si>
  <si>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VISTARA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</si>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</sst>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software%20at-ii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Main Window"/>
      <sheetName val="Data"/>
      <sheetName val="Sheet2"/>
      <sheetName val="PivotTable"/>
      <sheetName val="Monthly_Template"/>
      <sheetName val="Sheet15"/>
      <sheetName val="DOMESTIC"/>
      <sheetName val="INTERNATIONAL"/>
    </sheetNames>
    <sheetDataSet>
      <sheetData sheetId="0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  <cell r="AU7">
            <v>2007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  <cell r="AU8">
            <v>2008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  <cell r="AU9">
            <v>2009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  <cell r="AU10">
            <v>2010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  <cell r="AU11">
            <v>2011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  <cell r="AU12">
            <v>2012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  <cell r="AU13">
            <v>2013</v>
          </cell>
        </row>
        <row r="14">
          <cell r="AR14" t="str">
            <v>MAIL</v>
          </cell>
          <cell r="AT14" t="str">
            <v>AIR ODISHA</v>
          </cell>
          <cell r="AU14">
            <v>2014</v>
          </cell>
        </row>
        <row r="15">
          <cell r="AR15" t="str">
            <v>CARGO</v>
          </cell>
          <cell r="AT15" t="str">
            <v>AIR PEGASUS</v>
          </cell>
          <cell r="AU15">
            <v>2015</v>
          </cell>
        </row>
        <row r="16">
          <cell r="AR16" t="str">
            <v>PTKM</v>
          </cell>
          <cell r="AT16" t="str">
            <v>ALLIANCE AIR</v>
          </cell>
          <cell r="AU16">
            <v>2016</v>
          </cell>
        </row>
        <row r="17">
          <cell r="AR17" t="str">
            <v>FTKM</v>
          </cell>
          <cell r="AT17" t="str">
            <v>BLUEDART</v>
          </cell>
          <cell r="AU17">
            <v>2017</v>
          </cell>
        </row>
        <row r="18">
          <cell r="AR18" t="str">
            <v>MTKM</v>
          </cell>
          <cell r="AT18" t="str">
            <v>DECCAN</v>
          </cell>
          <cell r="AU18">
            <v>2018</v>
          </cell>
        </row>
        <row r="19">
          <cell r="AR19" t="str">
            <v>RTKM</v>
          </cell>
          <cell r="AT19" t="str">
            <v>GO AIR</v>
          </cell>
          <cell r="AU19">
            <v>2019</v>
          </cell>
        </row>
        <row r="20">
          <cell r="AR20" t="str">
            <v>ATKM</v>
          </cell>
          <cell r="AT20" t="str">
            <v>INDIGO</v>
          </cell>
          <cell r="AU20">
            <v>2020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KINGFISHER</v>
          </cell>
        </row>
        <row r="24">
          <cell r="AT24" t="str">
            <v>MDLR</v>
          </cell>
        </row>
        <row r="25">
          <cell r="AT25" t="str">
            <v>PARAMOUNT</v>
          </cell>
        </row>
        <row r="26">
          <cell r="AT26" t="str">
            <v>QUIKJET CARGO</v>
          </cell>
        </row>
        <row r="27">
          <cell r="AT27" t="str">
            <v>SPICEJET</v>
          </cell>
        </row>
        <row r="28">
          <cell r="AT28" t="str">
            <v>STAR AIR</v>
          </cell>
        </row>
        <row r="29">
          <cell r="AT29" t="str">
            <v>TRUJET</v>
          </cell>
        </row>
        <row r="30">
          <cell r="AT30" t="str">
            <v>VISTARA</v>
          </cell>
        </row>
        <row r="31">
          <cell r="AT31" t="str">
            <v>ZOOM AIR</v>
          </cell>
        </row>
        <row r="32">
          <cell r="AT32" t="str">
            <v>PAWAN HANS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7" transitionEvaluation="1" transitionEntry="1" codeName="Sheet12"/>
  <dimension ref="A1:Q494"/>
  <sheetViews>
    <sheetView showGridLines="0" tabSelected="1" view="pageBreakPreview" topLeftCell="A67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2019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3454</v>
      </c>
      <c r="C4" s="12">
        <v>6240.47</v>
      </c>
      <c r="D4" s="13">
        <v>4090.8539999999998</v>
      </c>
      <c r="E4" s="14">
        <v>470340</v>
      </c>
      <c r="F4" s="12">
        <v>560324.13</v>
      </c>
      <c r="G4" s="12">
        <v>665630.56000000006</v>
      </c>
      <c r="H4" s="15">
        <f>IFERROR(F4/G4*100," ")</f>
        <v>84.17944783064047</v>
      </c>
      <c r="I4" s="16">
        <v>3882.52</v>
      </c>
      <c r="J4" s="17">
        <v>0</v>
      </c>
      <c r="K4" s="15">
        <f>IF(AND(ISBLANK(I4),ISBLANK(J4))=TRUE,"",I4+J4)</f>
        <v>3882.52</v>
      </c>
      <c r="L4" s="16">
        <v>50429.171999999999</v>
      </c>
      <c r="M4" s="17">
        <v>5101.4650000000001</v>
      </c>
      <c r="N4" s="17">
        <v>0</v>
      </c>
      <c r="O4" s="15">
        <f>IF(AND(ISBLANK(L4),ISBLANK(M4),ISBLANK(N4))=TRUE,"",L4+M4+N4)</f>
        <v>55530.637000000002</v>
      </c>
      <c r="P4" s="17">
        <v>70362.688999999998</v>
      </c>
      <c r="Q4" s="15">
        <f>IFERROR(O4/P4*100," ")</f>
        <v>78.920572521041663</v>
      </c>
    </row>
    <row r="5" spans="1:17" ht="23.1" customHeight="1" x14ac:dyDescent="0.3">
      <c r="A5" s="18" t="s">
        <v>23</v>
      </c>
      <c r="B5" s="19">
        <v>3137</v>
      </c>
      <c r="C5" s="19">
        <v>5634.2349999999997</v>
      </c>
      <c r="D5" s="18">
        <v>3661.567</v>
      </c>
      <c r="E5" s="20">
        <v>452362</v>
      </c>
      <c r="F5" s="19">
        <v>532463.73499999999</v>
      </c>
      <c r="G5" s="19">
        <v>597498.66200000001</v>
      </c>
      <c r="H5" s="21">
        <f t="shared" ref="H5:H16" si="0">IFERROR(F5/G5*100," ")</f>
        <v>89.11546901505865</v>
      </c>
      <c r="I5" s="22">
        <v>3465.2345</v>
      </c>
      <c r="J5" s="23">
        <v>0</v>
      </c>
      <c r="K5" s="21">
        <f t="shared" ref="K5:K16" si="1">IF(AND(ISBLANK(I5),ISBLANK(J5))=TRUE,"",I5+J5)</f>
        <v>3465.2345</v>
      </c>
      <c r="L5" s="22">
        <v>47921.735999999997</v>
      </c>
      <c r="M5" s="23">
        <v>4540.2979999999998</v>
      </c>
      <c r="N5" s="23">
        <v>0</v>
      </c>
      <c r="O5" s="21">
        <f t="shared" ref="O5:O16" si="2">IF(AND(ISBLANK(L5),ISBLANK(M5),ISBLANK(N5))=TRUE,"",L5+M5+N5)</f>
        <v>52462.034</v>
      </c>
      <c r="P5" s="23">
        <v>62978.951999999997</v>
      </c>
      <c r="Q5" s="21">
        <f t="shared" ref="Q5:Q16" si="3">IFERROR(O5/P5*100," ")</f>
        <v>83.300900275380897</v>
      </c>
    </row>
    <row r="6" spans="1:17" ht="23.1" customHeight="1" x14ac:dyDescent="0.3">
      <c r="A6" s="24" t="s">
        <v>24</v>
      </c>
      <c r="B6" s="25">
        <v>3485</v>
      </c>
      <c r="C6" s="25">
        <v>6104.63</v>
      </c>
      <c r="D6" s="24">
        <v>4081.152</v>
      </c>
      <c r="E6" s="26">
        <v>490428</v>
      </c>
      <c r="F6" s="25">
        <v>579567.69400000002</v>
      </c>
      <c r="G6" s="25">
        <v>667765.94400000002</v>
      </c>
      <c r="H6" s="27">
        <f t="shared" si="0"/>
        <v>86.792041314404017</v>
      </c>
      <c r="I6" s="28">
        <v>4122.4044999999996</v>
      </c>
      <c r="J6" s="29">
        <v>0</v>
      </c>
      <c r="K6" s="27">
        <f t="shared" si="1"/>
        <v>4122.4044999999996</v>
      </c>
      <c r="L6" s="28">
        <v>52161.091999999997</v>
      </c>
      <c r="M6" s="29">
        <v>5394.5439999999999</v>
      </c>
      <c r="N6" s="29">
        <v>0</v>
      </c>
      <c r="O6" s="27">
        <f t="shared" si="2"/>
        <v>57555.635999999999</v>
      </c>
      <c r="P6" s="29">
        <v>70195.813999999998</v>
      </c>
      <c r="Q6" s="27">
        <f t="shared" si="3"/>
        <v>81.992974680797914</v>
      </c>
    </row>
    <row r="7" spans="1:17" ht="23.1" customHeight="1" x14ac:dyDescent="0.3">
      <c r="A7" s="18" t="s">
        <v>25</v>
      </c>
      <c r="B7" s="19">
        <v>3755</v>
      </c>
      <c r="C7" s="19">
        <v>6250.15</v>
      </c>
      <c r="D7" s="18">
        <v>4176.91</v>
      </c>
      <c r="E7" s="20">
        <v>516629</v>
      </c>
      <c r="F7" s="19">
        <v>579240.80099999998</v>
      </c>
      <c r="G7" s="19">
        <v>685013.24</v>
      </c>
      <c r="H7" s="21">
        <f t="shared" si="0"/>
        <v>84.55906647877346</v>
      </c>
      <c r="I7" s="22">
        <v>4047.3009999999999</v>
      </c>
      <c r="J7" s="23">
        <v>0</v>
      </c>
      <c r="K7" s="21">
        <f t="shared" si="1"/>
        <v>4047.3009999999999</v>
      </c>
      <c r="L7" s="22">
        <v>52131.671999999999</v>
      </c>
      <c r="M7" s="23">
        <v>5193.7520000000004</v>
      </c>
      <c r="N7" s="23">
        <v>0</v>
      </c>
      <c r="O7" s="21">
        <f t="shared" si="2"/>
        <v>57325.423999999999</v>
      </c>
      <c r="P7" s="23">
        <v>71843</v>
      </c>
      <c r="Q7" s="21">
        <f t="shared" si="3"/>
        <v>79.792636721740465</v>
      </c>
    </row>
    <row r="8" spans="1:17" s="30" customFormat="1" ht="30" customHeight="1" x14ac:dyDescent="0.25">
      <c r="A8" s="24" t="s">
        <v>26</v>
      </c>
      <c r="B8" s="25">
        <v>4143</v>
      </c>
      <c r="C8" s="25">
        <v>6710.45</v>
      </c>
      <c r="D8" s="24">
        <v>4473.7280000000001</v>
      </c>
      <c r="E8" s="26">
        <v>578615</v>
      </c>
      <c r="F8" s="25">
        <v>628383.75199999998</v>
      </c>
      <c r="G8" s="25">
        <v>733694.696</v>
      </c>
      <c r="H8" s="27">
        <f t="shared" si="0"/>
        <v>85.646489667413377</v>
      </c>
      <c r="I8" s="28">
        <v>4324.9902000000002</v>
      </c>
      <c r="J8" s="29">
        <v>0</v>
      </c>
      <c r="K8" s="27">
        <f t="shared" si="1"/>
        <v>4324.9902000000002</v>
      </c>
      <c r="L8" s="28">
        <v>56554.537679999994</v>
      </c>
      <c r="M8" s="29">
        <v>5386.3746526000004</v>
      </c>
      <c r="N8" s="29">
        <v>0</v>
      </c>
      <c r="O8" s="27">
        <f t="shared" si="2"/>
        <v>61940.912332599997</v>
      </c>
      <c r="P8" s="29">
        <v>75160.034599999999</v>
      </c>
      <c r="Q8" s="27">
        <f t="shared" si="3"/>
        <v>82.41203275417331</v>
      </c>
    </row>
    <row r="9" spans="1:17" ht="23.1" customHeight="1" x14ac:dyDescent="0.3">
      <c r="A9" s="18" t="s">
        <v>27</v>
      </c>
      <c r="B9" s="19">
        <v>4820</v>
      </c>
      <c r="C9" s="19">
        <v>6680.77</v>
      </c>
      <c r="D9" s="18">
        <v>5023.9790000000003</v>
      </c>
      <c r="E9" s="20">
        <v>647799</v>
      </c>
      <c r="F9" s="19">
        <v>690144.62899999996</v>
      </c>
      <c r="G9" s="19">
        <v>828585.09100000001</v>
      </c>
      <c r="H9" s="21">
        <f t="shared" si="0"/>
        <v>83.291943880752257</v>
      </c>
      <c r="I9" s="22">
        <v>4326.7649000000001</v>
      </c>
      <c r="J9" s="23">
        <v>0</v>
      </c>
      <c r="K9" s="21">
        <f t="shared" si="1"/>
        <v>4326.7649000000001</v>
      </c>
      <c r="L9" s="22">
        <v>62113.016609999991</v>
      </c>
      <c r="M9" s="23">
        <v>5265.854217799998</v>
      </c>
      <c r="N9" s="23">
        <v>0</v>
      </c>
      <c r="O9" s="21">
        <f t="shared" si="2"/>
        <v>67378.870827799983</v>
      </c>
      <c r="P9" s="23">
        <v>85933.170000000027</v>
      </c>
      <c r="Q9" s="21">
        <f t="shared" si="3"/>
        <v>78.40845488162482</v>
      </c>
    </row>
    <row r="10" spans="1:17" ht="23.1" customHeight="1" x14ac:dyDescent="0.3">
      <c r="A10" s="24" t="s">
        <v>28</v>
      </c>
      <c r="B10" s="25">
        <v>5293</v>
      </c>
      <c r="C10" s="25">
        <v>6941.4666666666662</v>
      </c>
      <c r="D10" s="24">
        <v>5468.0439999999999</v>
      </c>
      <c r="E10" s="26">
        <v>714504</v>
      </c>
      <c r="F10" s="25">
        <v>745810.33400000003</v>
      </c>
      <c r="G10" s="25">
        <v>904827.02</v>
      </c>
      <c r="H10" s="27">
        <f t="shared" si="0"/>
        <v>82.425736357873134</v>
      </c>
      <c r="I10" s="28">
        <v>3724.1743000000001</v>
      </c>
      <c r="J10" s="29">
        <v>0</v>
      </c>
      <c r="K10" s="27">
        <f t="shared" si="1"/>
        <v>3724.1743000000001</v>
      </c>
      <c r="L10" s="28">
        <v>67122.930059999984</v>
      </c>
      <c r="M10" s="29">
        <v>4486.2180982999998</v>
      </c>
      <c r="N10" s="29">
        <v>0</v>
      </c>
      <c r="O10" s="27">
        <f t="shared" si="2"/>
        <v>71609.148158299984</v>
      </c>
      <c r="P10" s="29">
        <v>94377.28230000005</v>
      </c>
      <c r="Q10" s="27">
        <f t="shared" si="3"/>
        <v>75.875408163029874</v>
      </c>
    </row>
    <row r="11" spans="1:17" ht="23.1" customHeight="1" x14ac:dyDescent="0.3">
      <c r="A11" s="18" t="s">
        <v>29</v>
      </c>
      <c r="B11" s="19">
        <v>5135</v>
      </c>
      <c r="C11" s="19">
        <v>8343.2199999999993</v>
      </c>
      <c r="D11" s="18">
        <v>5395.2259999999997</v>
      </c>
      <c r="E11" s="20">
        <v>684209</v>
      </c>
      <c r="F11" s="19">
        <v>730227.95</v>
      </c>
      <c r="G11" s="19">
        <v>892292.28</v>
      </c>
      <c r="H11" s="21">
        <f t="shared" si="0"/>
        <v>81.837304476062485</v>
      </c>
      <c r="I11" s="22">
        <v>2200.3912300000002</v>
      </c>
      <c r="J11" s="23">
        <v>0</v>
      </c>
      <c r="K11" s="21">
        <f t="shared" si="1"/>
        <v>2200.3912300000002</v>
      </c>
      <c r="L11" s="22">
        <v>65720.515500000023</v>
      </c>
      <c r="M11" s="23">
        <v>2729.6119568499985</v>
      </c>
      <c r="N11" s="23">
        <v>0</v>
      </c>
      <c r="O11" s="21">
        <f t="shared" si="2"/>
        <v>68450.127456850023</v>
      </c>
      <c r="P11" s="23">
        <v>92990.606800000081</v>
      </c>
      <c r="Q11" s="21">
        <f t="shared" si="3"/>
        <v>73.609722328266344</v>
      </c>
    </row>
    <row r="12" spans="1:17" ht="23.1" customHeight="1" x14ac:dyDescent="0.3">
      <c r="A12" s="24" t="s">
        <v>30</v>
      </c>
      <c r="B12" s="25">
        <v>5055</v>
      </c>
      <c r="C12" s="25">
        <v>6796.27</v>
      </c>
      <c r="D12" s="24">
        <v>5346.3440000000001</v>
      </c>
      <c r="E12" s="26">
        <v>664391</v>
      </c>
      <c r="F12" s="25">
        <v>711176.73</v>
      </c>
      <c r="G12" s="25">
        <v>885379.24800000002</v>
      </c>
      <c r="H12" s="27">
        <f t="shared" si="0"/>
        <v>80.324531166332463</v>
      </c>
      <c r="I12" s="28">
        <v>497.75756000000001</v>
      </c>
      <c r="J12" s="29">
        <v>0</v>
      </c>
      <c r="K12" s="27">
        <f t="shared" si="1"/>
        <v>497.75756000000001</v>
      </c>
      <c r="L12" s="28">
        <v>64005.90570000001</v>
      </c>
      <c r="M12" s="29">
        <v>628.68322969999974</v>
      </c>
      <c r="N12" s="29">
        <v>0</v>
      </c>
      <c r="O12" s="27">
        <f t="shared" si="2"/>
        <v>64634.58892970001</v>
      </c>
      <c r="P12" s="29">
        <v>92579.414800000086</v>
      </c>
      <c r="Q12" s="27">
        <f t="shared" si="3"/>
        <v>69.815292167627689</v>
      </c>
    </row>
    <row r="13" spans="1:17" ht="23.1" customHeight="1" x14ac:dyDescent="0.3">
      <c r="A13" s="18" t="s">
        <v>31</v>
      </c>
      <c r="B13" s="19">
        <v>5182</v>
      </c>
      <c r="C13" s="19">
        <v>9229.39</v>
      </c>
      <c r="D13" s="18">
        <v>5571.6120000000001</v>
      </c>
      <c r="E13" s="20">
        <v>668715</v>
      </c>
      <c r="F13" s="19">
        <v>718659.11800000002</v>
      </c>
      <c r="G13" s="19">
        <v>922395.88399999996</v>
      </c>
      <c r="H13" s="21">
        <f t="shared" si="0"/>
        <v>77.912220822529179</v>
      </c>
      <c r="I13" s="22">
        <v>262.38607000000002</v>
      </c>
      <c r="J13" s="23">
        <v>0</v>
      </c>
      <c r="K13" s="21">
        <f t="shared" si="1"/>
        <v>262.38607000000002</v>
      </c>
      <c r="L13" s="22">
        <v>64679.320619999969</v>
      </c>
      <c r="M13" s="23">
        <v>343.92968460999987</v>
      </c>
      <c r="N13" s="23">
        <v>0</v>
      </c>
      <c r="O13" s="21">
        <f t="shared" si="2"/>
        <v>65023.250304609966</v>
      </c>
      <c r="P13" s="23">
        <v>95075.89790000004</v>
      </c>
      <c r="Q13" s="21">
        <f t="shared" si="3"/>
        <v>68.390887428694953</v>
      </c>
    </row>
    <row r="14" spans="1:17" ht="23.1" customHeight="1" x14ac:dyDescent="0.3">
      <c r="A14" s="24" t="s">
        <v>32</v>
      </c>
      <c r="B14" s="25">
        <v>5496</v>
      </c>
      <c r="C14" s="25">
        <v>9646.2800000000007</v>
      </c>
      <c r="D14" s="24">
        <v>5823.1030000000001</v>
      </c>
      <c r="E14" s="26">
        <v>760313</v>
      </c>
      <c r="F14" s="25">
        <v>809168.92299999995</v>
      </c>
      <c r="G14" s="25">
        <v>962231.06</v>
      </c>
      <c r="H14" s="27">
        <f t="shared" si="0"/>
        <v>84.092995605442198</v>
      </c>
      <c r="I14" s="28">
        <v>13.145</v>
      </c>
      <c r="J14" s="29">
        <v>0</v>
      </c>
      <c r="K14" s="27">
        <f t="shared" si="1"/>
        <v>13.145</v>
      </c>
      <c r="L14" s="28">
        <v>72825.203070000018</v>
      </c>
      <c r="M14" s="29">
        <v>14.24943</v>
      </c>
      <c r="N14" s="29">
        <v>0</v>
      </c>
      <c r="O14" s="27">
        <f t="shared" si="2"/>
        <v>72839.452500000014</v>
      </c>
      <c r="P14" s="29">
        <v>94018.315100000094</v>
      </c>
      <c r="Q14" s="27">
        <f t="shared" si="3"/>
        <v>77.473684167309585</v>
      </c>
    </row>
    <row r="15" spans="1:17" ht="23.1" customHeight="1" x14ac:dyDescent="0.3">
      <c r="A15" s="31" t="s">
        <v>33</v>
      </c>
      <c r="B15" s="32">
        <v>5914</v>
      </c>
      <c r="C15" s="32">
        <v>10490.75</v>
      </c>
      <c r="D15" s="33">
        <v>6299.424</v>
      </c>
      <c r="E15" s="34">
        <v>791892</v>
      </c>
      <c r="F15" s="32">
        <v>842999.68500000006</v>
      </c>
      <c r="G15" s="32">
        <v>1039351.432</v>
      </c>
      <c r="H15" s="35">
        <f t="shared" si="0"/>
        <v>81.108242991288819</v>
      </c>
      <c r="I15" s="36">
        <v>31.844000000000001</v>
      </c>
      <c r="J15" s="37">
        <v>0</v>
      </c>
      <c r="K15" s="35">
        <f t="shared" si="1"/>
        <v>31.844000000000001</v>
      </c>
      <c r="L15" s="36">
        <v>75869.971649999992</v>
      </c>
      <c r="M15" s="37">
        <v>39.90192600000001</v>
      </c>
      <c r="N15" s="37">
        <v>0</v>
      </c>
      <c r="O15" s="35">
        <f t="shared" si="2"/>
        <v>75909.873575999998</v>
      </c>
      <c r="P15" s="23">
        <v>104900.4405000001</v>
      </c>
      <c r="Q15" s="21">
        <f t="shared" si="3"/>
        <v>72.363731948294273</v>
      </c>
    </row>
    <row r="16" spans="1:17" ht="23.1" customHeight="1" x14ac:dyDescent="0.3">
      <c r="A16" s="38" t="s">
        <v>34</v>
      </c>
      <c r="B16" s="39">
        <f>SUM(B4:B15)</f>
        <v>54869</v>
      </c>
      <c r="C16" s="39">
        <f t="shared" ref="C16:G16" si="4">SUM(C4:C15)</f>
        <v>89068.081666666665</v>
      </c>
      <c r="D16" s="39">
        <f t="shared" si="4"/>
        <v>59411.942999999999</v>
      </c>
      <c r="E16" s="39">
        <f t="shared" si="4"/>
        <v>7440197</v>
      </c>
      <c r="F16" s="39">
        <f t="shared" si="4"/>
        <v>8128167.4809999987</v>
      </c>
      <c r="G16" s="39">
        <f t="shared" si="4"/>
        <v>9784665.1170000006</v>
      </c>
      <c r="H16" s="40">
        <f t="shared" si="0"/>
        <v>83.070471843517851</v>
      </c>
      <c r="I16" s="40">
        <f t="shared" ref="I16:J16" si="5">SUM(I4:I15)</f>
        <v>30898.913260000001</v>
      </c>
      <c r="J16" s="40">
        <f t="shared" si="5"/>
        <v>0</v>
      </c>
      <c r="K16" s="40">
        <f t="shared" si="1"/>
        <v>30898.913260000001</v>
      </c>
      <c r="L16" s="40">
        <f t="shared" ref="L16:N16" si="6">SUM(L4:L15)</f>
        <v>731535.07288999995</v>
      </c>
      <c r="M16" s="40">
        <f t="shared" si="6"/>
        <v>39124.882195860002</v>
      </c>
      <c r="N16" s="40">
        <f t="shared" si="6"/>
        <v>0</v>
      </c>
      <c r="O16" s="40">
        <f t="shared" si="2"/>
        <v>770659.95508585998</v>
      </c>
      <c r="P16" s="41">
        <f>SUM(P4:P15)</f>
        <v>1010415.6170000006</v>
      </c>
      <c r="Q16" s="41">
        <f t="shared" si="3"/>
        <v>76.271579943905351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2019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/>
      <c r="C23" s="58"/>
      <c r="D23" s="59"/>
      <c r="E23" s="57"/>
      <c r="F23" s="58"/>
      <c r="G23" s="58"/>
      <c r="H23" s="60" t="str">
        <f t="shared" ref="H23:H35" si="7">IFERROR(F23/G23*100," ")</f>
        <v xml:space="preserve"> </v>
      </c>
      <c r="I23" s="61"/>
      <c r="J23" s="61"/>
      <c r="K23" s="61" t="str">
        <f>IF(AND(ISBLANK(I23),ISBLANK(J23))=TRUE,"",I23+J23)</f>
        <v/>
      </c>
      <c r="L23" s="62"/>
      <c r="M23" s="61"/>
      <c r="N23" s="61"/>
      <c r="O23" s="63" t="str">
        <f>IF(AND(ISBLANK(L23),ISBLANK(M23),ISBLANK(N23))=TRUE,"",L23+M23+N23)</f>
        <v/>
      </c>
      <c r="P23" s="62"/>
      <c r="Q23" s="63" t="str">
        <f>IFERROR(O23/P23*100," ")</f>
        <v xml:space="preserve"> </v>
      </c>
    </row>
    <row r="24" spans="1:17" ht="23.1" customHeight="1" x14ac:dyDescent="0.3">
      <c r="A24" s="64" t="s">
        <v>23</v>
      </c>
      <c r="B24" s="65"/>
      <c r="C24" s="64"/>
      <c r="D24" s="66"/>
      <c r="E24" s="65"/>
      <c r="F24" s="64"/>
      <c r="G24" s="64"/>
      <c r="H24" s="67" t="str">
        <f t="shared" si="7"/>
        <v xml:space="preserve"> </v>
      </c>
      <c r="I24" s="68"/>
      <c r="J24" s="68"/>
      <c r="K24" s="68" t="str">
        <f t="shared" ref="K24:K35" si="8">IF(AND(ISBLANK(I24),ISBLANK(J24))=TRUE,"",I24+J24)</f>
        <v/>
      </c>
      <c r="L24" s="69"/>
      <c r="M24" s="68"/>
      <c r="N24" s="68"/>
      <c r="O24" s="67" t="str">
        <f t="shared" ref="O24:O35" si="9">IF(AND(ISBLANK(L24),ISBLANK(M24),ISBLANK(N24))=TRUE,"",L24+M24+N24)</f>
        <v/>
      </c>
      <c r="P24" s="69"/>
      <c r="Q24" s="67" t="str">
        <f t="shared" ref="Q24:Q35" si="10">IFERROR(O24/P24*100," ")</f>
        <v xml:space="preserve"> </v>
      </c>
    </row>
    <row r="25" spans="1:17" ht="23.1" customHeight="1" x14ac:dyDescent="0.3">
      <c r="A25" s="56" t="s">
        <v>24</v>
      </c>
      <c r="B25" s="70"/>
      <c r="C25" s="56"/>
      <c r="D25" s="71"/>
      <c r="E25" s="70"/>
      <c r="F25" s="56"/>
      <c r="G25" s="56"/>
      <c r="H25" s="60" t="str">
        <f t="shared" si="7"/>
        <v xml:space="preserve"> </v>
      </c>
      <c r="I25" s="72"/>
      <c r="J25" s="72"/>
      <c r="K25" s="72" t="str">
        <f t="shared" si="8"/>
        <v/>
      </c>
      <c r="L25" s="73"/>
      <c r="M25" s="72"/>
      <c r="N25" s="72"/>
      <c r="O25" s="60" t="str">
        <f t="shared" si="9"/>
        <v/>
      </c>
      <c r="P25" s="73"/>
      <c r="Q25" s="60" t="str">
        <f t="shared" si="10"/>
        <v xml:space="preserve"> 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7"/>
        <v xml:space="preserve"> </v>
      </c>
      <c r="I26" s="68"/>
      <c r="J26" s="68"/>
      <c r="K26" s="68" t="str">
        <f t="shared" si="8"/>
        <v/>
      </c>
      <c r="L26" s="69"/>
      <c r="M26" s="68"/>
      <c r="N26" s="68"/>
      <c r="O26" s="67" t="str">
        <f t="shared" si="9"/>
        <v/>
      </c>
      <c r="P26" s="69"/>
      <c r="Q26" s="67" t="str">
        <f t="shared" si="10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7"/>
        <v xml:space="preserve"> </v>
      </c>
      <c r="I27" s="72"/>
      <c r="J27" s="72"/>
      <c r="K27" s="72" t="str">
        <f t="shared" si="8"/>
        <v/>
      </c>
      <c r="L27" s="73"/>
      <c r="M27" s="72"/>
      <c r="N27" s="72"/>
      <c r="O27" s="60" t="str">
        <f t="shared" si="9"/>
        <v/>
      </c>
      <c r="P27" s="73"/>
      <c r="Q27" s="60" t="str">
        <f t="shared" si="10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7"/>
        <v xml:space="preserve"> </v>
      </c>
      <c r="I28" s="68"/>
      <c r="J28" s="68"/>
      <c r="K28" s="68" t="str">
        <f t="shared" si="8"/>
        <v/>
      </c>
      <c r="L28" s="69"/>
      <c r="M28" s="68"/>
      <c r="N28" s="68"/>
      <c r="O28" s="67" t="str">
        <f t="shared" si="9"/>
        <v/>
      </c>
      <c r="P28" s="69"/>
      <c r="Q28" s="67" t="str">
        <f t="shared" si="10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7"/>
        <v xml:space="preserve"> </v>
      </c>
      <c r="I29" s="72"/>
      <c r="J29" s="72"/>
      <c r="K29" s="72" t="str">
        <f t="shared" si="8"/>
        <v/>
      </c>
      <c r="L29" s="73"/>
      <c r="M29" s="72"/>
      <c r="N29" s="72"/>
      <c r="O29" s="60" t="str">
        <f t="shared" si="9"/>
        <v/>
      </c>
      <c r="P29" s="73"/>
      <c r="Q29" s="60" t="str">
        <f t="shared" si="10"/>
        <v xml:space="preserve"> </v>
      </c>
    </row>
    <row r="30" spans="1:17" ht="23.1" customHeight="1" x14ac:dyDescent="0.3">
      <c r="A30" s="64" t="s">
        <v>29</v>
      </c>
      <c r="B30" s="65">
        <v>132</v>
      </c>
      <c r="C30" s="64">
        <v>214.18</v>
      </c>
      <c r="D30" s="66">
        <v>475.56700000000001</v>
      </c>
      <c r="E30" s="65">
        <v>16718</v>
      </c>
      <c r="F30" s="64">
        <v>60548.928999999996</v>
      </c>
      <c r="G30" s="64">
        <v>79607.712</v>
      </c>
      <c r="H30" s="67">
        <f t="shared" si="7"/>
        <v>76.059124774242974</v>
      </c>
      <c r="I30" s="68">
        <v>0.34139999999999998</v>
      </c>
      <c r="J30" s="68">
        <v>0</v>
      </c>
      <c r="K30" s="68">
        <f t="shared" si="8"/>
        <v>0.34139999999999998</v>
      </c>
      <c r="L30" s="69">
        <v>6355.6131449999993</v>
      </c>
      <c r="M30" s="68">
        <v>0.6582192</v>
      </c>
      <c r="N30" s="68">
        <v>0</v>
      </c>
      <c r="O30" s="67">
        <f t="shared" si="9"/>
        <v>6356.271364199999</v>
      </c>
      <c r="P30" s="69">
        <v>8675.783300000001</v>
      </c>
      <c r="Q30" s="67">
        <f t="shared" si="10"/>
        <v>73.264524301799909</v>
      </c>
    </row>
    <row r="31" spans="1:17" ht="23.1" customHeight="1" x14ac:dyDescent="0.3">
      <c r="A31" s="56" t="s">
        <v>30</v>
      </c>
      <c r="B31" s="70">
        <v>240</v>
      </c>
      <c r="C31" s="56">
        <v>322.66000000000003</v>
      </c>
      <c r="D31" s="71">
        <v>776.64</v>
      </c>
      <c r="E31" s="70">
        <v>27672</v>
      </c>
      <c r="F31" s="56">
        <v>88748.376999999993</v>
      </c>
      <c r="G31" s="56">
        <v>129305.52</v>
      </c>
      <c r="H31" s="60">
        <f t="shared" si="7"/>
        <v>68.634639108987756</v>
      </c>
      <c r="I31" s="72">
        <v>0.224</v>
      </c>
      <c r="J31" s="72">
        <v>0</v>
      </c>
      <c r="K31" s="72">
        <f t="shared" si="8"/>
        <v>0.224</v>
      </c>
      <c r="L31" s="73">
        <v>9318.5795850000013</v>
      </c>
      <c r="M31" s="72">
        <v>0.66012800000000005</v>
      </c>
      <c r="N31" s="72">
        <v>0</v>
      </c>
      <c r="O31" s="60">
        <f t="shared" si="9"/>
        <v>9319.2397130000008</v>
      </c>
      <c r="P31" s="73">
        <v>13870.590000000002</v>
      </c>
      <c r="Q31" s="60">
        <f t="shared" si="10"/>
        <v>67.187046210723551</v>
      </c>
    </row>
    <row r="32" spans="1:17" ht="23.1" customHeight="1" x14ac:dyDescent="0.3">
      <c r="A32" s="64" t="s">
        <v>31</v>
      </c>
      <c r="B32" s="65">
        <v>248</v>
      </c>
      <c r="C32" s="64">
        <v>441.59</v>
      </c>
      <c r="D32" s="66">
        <v>802.52800000000002</v>
      </c>
      <c r="E32" s="65">
        <v>27361</v>
      </c>
      <c r="F32" s="64">
        <v>88488.774999999994</v>
      </c>
      <c r="G32" s="64">
        <v>133615.704</v>
      </c>
      <c r="H32" s="67">
        <f t="shared" si="7"/>
        <v>66.226328456122189</v>
      </c>
      <c r="I32" s="68">
        <v>0</v>
      </c>
      <c r="J32" s="68">
        <v>0</v>
      </c>
      <c r="K32" s="68">
        <f t="shared" si="8"/>
        <v>0</v>
      </c>
      <c r="L32" s="69">
        <v>9291.3213749999995</v>
      </c>
      <c r="M32" s="68">
        <v>0</v>
      </c>
      <c r="N32" s="68">
        <v>0</v>
      </c>
      <c r="O32" s="67">
        <f t="shared" si="9"/>
        <v>9291.3213749999995</v>
      </c>
      <c r="P32" s="69">
        <v>14332.943000000001</v>
      </c>
      <c r="Q32" s="67">
        <f t="shared" si="10"/>
        <v>64.824937732606614</v>
      </c>
    </row>
    <row r="33" spans="1:17" ht="23.1" customHeight="1" x14ac:dyDescent="0.3">
      <c r="A33" s="56" t="s">
        <v>32</v>
      </c>
      <c r="B33" s="70">
        <v>250</v>
      </c>
      <c r="C33" s="56">
        <v>438.59</v>
      </c>
      <c r="D33" s="71">
        <v>791.85</v>
      </c>
      <c r="E33" s="70">
        <v>33135</v>
      </c>
      <c r="F33" s="56">
        <v>107164.181</v>
      </c>
      <c r="G33" s="56">
        <v>131380.372</v>
      </c>
      <c r="H33" s="60">
        <f t="shared" si="7"/>
        <v>81.567877582200794</v>
      </c>
      <c r="I33" s="72">
        <v>0</v>
      </c>
      <c r="J33" s="72">
        <v>0</v>
      </c>
      <c r="K33" s="72">
        <f t="shared" si="8"/>
        <v>0</v>
      </c>
      <c r="L33" s="73">
        <v>11252.239005000001</v>
      </c>
      <c r="M33" s="72">
        <v>0</v>
      </c>
      <c r="N33" s="72">
        <v>0</v>
      </c>
      <c r="O33" s="60">
        <f t="shared" si="9"/>
        <v>11252.239005000001</v>
      </c>
      <c r="P33" s="73">
        <v>13947.793099999999</v>
      </c>
      <c r="Q33" s="60">
        <f t="shared" si="10"/>
        <v>80.673974185923385</v>
      </c>
    </row>
    <row r="34" spans="1:17" ht="23.1" customHeight="1" x14ac:dyDescent="0.3">
      <c r="A34" s="64" t="s">
        <v>33</v>
      </c>
      <c r="B34" s="74">
        <v>302</v>
      </c>
      <c r="C34" s="75">
        <v>535.42999999999995</v>
      </c>
      <c r="D34" s="76">
        <v>884.66200000000003</v>
      </c>
      <c r="E34" s="74">
        <v>36228</v>
      </c>
      <c r="F34" s="75">
        <v>109566.391</v>
      </c>
      <c r="G34" s="75">
        <v>145084.568</v>
      </c>
      <c r="H34" s="67">
        <f t="shared" si="7"/>
        <v>75.518983521390098</v>
      </c>
      <c r="I34" s="77">
        <v>0</v>
      </c>
      <c r="J34" s="77">
        <v>0</v>
      </c>
      <c r="K34" s="77">
        <f t="shared" si="8"/>
        <v>0</v>
      </c>
      <c r="L34" s="78">
        <v>11504.471055</v>
      </c>
      <c r="M34" s="77">
        <v>0</v>
      </c>
      <c r="N34" s="77">
        <v>0</v>
      </c>
      <c r="O34" s="79">
        <f t="shared" si="9"/>
        <v>11504.471055</v>
      </c>
      <c r="P34" s="78">
        <v>14862.321599999999</v>
      </c>
      <c r="Q34" s="79">
        <f t="shared" si="10"/>
        <v>77.406958109424849</v>
      </c>
    </row>
    <row r="35" spans="1:17" ht="23.1" customHeight="1" x14ac:dyDescent="0.3">
      <c r="A35" s="80" t="s">
        <v>34</v>
      </c>
      <c r="B35" s="81">
        <f>SUM(B23:B34)</f>
        <v>1172</v>
      </c>
      <c r="C35" s="81">
        <f t="shared" ref="C35:G35" si="11">SUM(C23:C34)</f>
        <v>1952.4499999999998</v>
      </c>
      <c r="D35" s="81">
        <f t="shared" si="11"/>
        <v>3731.2469999999994</v>
      </c>
      <c r="E35" s="81">
        <f t="shared" si="11"/>
        <v>141114</v>
      </c>
      <c r="F35" s="81">
        <f t="shared" si="11"/>
        <v>454516.65299999999</v>
      </c>
      <c r="G35" s="81">
        <f t="shared" si="11"/>
        <v>618993.87599999993</v>
      </c>
      <c r="H35" s="82">
        <f t="shared" si="7"/>
        <v>73.428295597548058</v>
      </c>
      <c r="I35" s="83">
        <f t="shared" ref="I35:J35" si="12">SUM(I23:I34)</f>
        <v>0.56540000000000001</v>
      </c>
      <c r="J35" s="83">
        <f t="shared" si="12"/>
        <v>0</v>
      </c>
      <c r="K35" s="83">
        <f t="shared" si="8"/>
        <v>0.56540000000000001</v>
      </c>
      <c r="L35" s="83">
        <f t="shared" ref="L35:N35" si="13">SUM(L23:L34)</f>
        <v>47722.224165000007</v>
      </c>
      <c r="M35" s="83">
        <f t="shared" si="13"/>
        <v>1.3183472000000001</v>
      </c>
      <c r="N35" s="83">
        <f t="shared" si="13"/>
        <v>0</v>
      </c>
      <c r="O35" s="83">
        <f t="shared" si="9"/>
        <v>47723.542512200009</v>
      </c>
      <c r="P35" s="83">
        <f>SUM(P23:P34)</f>
        <v>65689.430999999997</v>
      </c>
      <c r="Q35" s="83">
        <f t="shared" si="10"/>
        <v>72.650260149459982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2019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4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4"/>
        <v xml:space="preserve"> </v>
      </c>
      <c r="I43" s="104"/>
      <c r="J43" s="105"/>
      <c r="K43" s="103" t="str">
        <f t="shared" ref="K43:K54" si="15">IF(AND(ISBLANK(I43),ISBLANK(J43))=TRUE,"",I43+J43)</f>
        <v/>
      </c>
      <c r="L43" s="104"/>
      <c r="M43" s="105"/>
      <c r="N43" s="105"/>
      <c r="O43" s="103" t="str">
        <f t="shared" ref="O43:O54" si="16">IF(AND(ISBLANK(L43),ISBLANK(M43),ISBLANK(N43))=TRUE,"",L43+M43+N43)</f>
        <v/>
      </c>
      <c r="P43" s="104"/>
      <c r="Q43" s="103" t="str">
        <f t="shared" ref="Q43:Q54" si="17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4"/>
        <v xml:space="preserve"> </v>
      </c>
      <c r="I44" s="110"/>
      <c r="J44" s="111"/>
      <c r="K44" s="109" t="str">
        <f t="shared" si="15"/>
        <v/>
      </c>
      <c r="L44" s="110"/>
      <c r="M44" s="111"/>
      <c r="N44" s="111"/>
      <c r="O44" s="109" t="str">
        <f t="shared" si="16"/>
        <v/>
      </c>
      <c r="P44" s="110"/>
      <c r="Q44" s="109" t="str">
        <f t="shared" si="17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4"/>
        <v xml:space="preserve"> </v>
      </c>
      <c r="I45" s="104"/>
      <c r="J45" s="105"/>
      <c r="K45" s="103" t="str">
        <f t="shared" si="15"/>
        <v/>
      </c>
      <c r="L45" s="104"/>
      <c r="M45" s="105"/>
      <c r="N45" s="105"/>
      <c r="O45" s="103" t="str">
        <f t="shared" si="16"/>
        <v/>
      </c>
      <c r="P45" s="104"/>
      <c r="Q45" s="103" t="str">
        <f t="shared" si="17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4"/>
        <v xml:space="preserve"> </v>
      </c>
      <c r="I46" s="110"/>
      <c r="J46" s="111"/>
      <c r="K46" s="109" t="str">
        <f t="shared" si="15"/>
        <v/>
      </c>
      <c r="L46" s="110"/>
      <c r="M46" s="111"/>
      <c r="N46" s="111"/>
      <c r="O46" s="109" t="str">
        <f t="shared" si="16"/>
        <v/>
      </c>
      <c r="P46" s="110"/>
      <c r="Q46" s="109" t="str">
        <f t="shared" si="17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4"/>
        <v xml:space="preserve"> </v>
      </c>
      <c r="I47" s="116"/>
      <c r="J47" s="117"/>
      <c r="K47" s="103" t="str">
        <f t="shared" si="15"/>
        <v/>
      </c>
      <c r="L47" s="116"/>
      <c r="M47" s="117"/>
      <c r="N47" s="117"/>
      <c r="O47" s="103" t="str">
        <f t="shared" si="16"/>
        <v/>
      </c>
      <c r="P47" s="116"/>
      <c r="Q47" s="103" t="str">
        <f t="shared" si="17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4"/>
        <v xml:space="preserve"> </v>
      </c>
      <c r="I48" s="123"/>
      <c r="J48" s="124"/>
      <c r="K48" s="122" t="str">
        <f t="shared" si="15"/>
        <v/>
      </c>
      <c r="L48" s="123"/>
      <c r="M48" s="124"/>
      <c r="N48" s="124"/>
      <c r="O48" s="122" t="str">
        <f t="shared" si="16"/>
        <v/>
      </c>
      <c r="P48" s="123"/>
      <c r="Q48" s="122" t="str">
        <f t="shared" si="17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4"/>
        <v xml:space="preserve"> </v>
      </c>
      <c r="I49" s="116"/>
      <c r="J49" s="117"/>
      <c r="K49" s="103" t="str">
        <f t="shared" si="15"/>
        <v/>
      </c>
      <c r="L49" s="116"/>
      <c r="M49" s="117"/>
      <c r="N49" s="117"/>
      <c r="O49" s="103" t="str">
        <f t="shared" si="16"/>
        <v/>
      </c>
      <c r="P49" s="116"/>
      <c r="Q49" s="103" t="str">
        <f t="shared" si="17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4"/>
        <v xml:space="preserve"> </v>
      </c>
      <c r="I50" s="130"/>
      <c r="J50" s="131"/>
      <c r="K50" s="109" t="str">
        <f t="shared" si="15"/>
        <v/>
      </c>
      <c r="L50" s="130"/>
      <c r="M50" s="131"/>
      <c r="N50" s="131"/>
      <c r="O50" s="109" t="str">
        <f t="shared" si="16"/>
        <v/>
      </c>
      <c r="P50" s="130"/>
      <c r="Q50" s="109" t="str">
        <f t="shared" si="17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4"/>
        <v xml:space="preserve"> </v>
      </c>
      <c r="I51" s="116"/>
      <c r="J51" s="117"/>
      <c r="K51" s="103" t="str">
        <f t="shared" si="15"/>
        <v/>
      </c>
      <c r="L51" s="116"/>
      <c r="M51" s="117"/>
      <c r="N51" s="117"/>
      <c r="O51" s="103" t="str">
        <f t="shared" si="16"/>
        <v/>
      </c>
      <c r="P51" s="116"/>
      <c r="Q51" s="103" t="str">
        <f t="shared" si="17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4"/>
        <v xml:space="preserve"> </v>
      </c>
      <c r="I52" s="130"/>
      <c r="J52" s="131"/>
      <c r="K52" s="109" t="str">
        <f t="shared" si="15"/>
        <v/>
      </c>
      <c r="L52" s="130"/>
      <c r="M52" s="131"/>
      <c r="N52" s="131"/>
      <c r="O52" s="109" t="str">
        <f t="shared" si="16"/>
        <v/>
      </c>
      <c r="P52" s="130"/>
      <c r="Q52" s="109" t="str">
        <f t="shared" si="17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4"/>
        <v xml:space="preserve"> </v>
      </c>
      <c r="I53" s="136"/>
      <c r="J53" s="137"/>
      <c r="K53" s="135" t="str">
        <f t="shared" si="15"/>
        <v/>
      </c>
      <c r="L53" s="136"/>
      <c r="M53" s="137"/>
      <c r="N53" s="137"/>
      <c r="O53" s="135" t="str">
        <f t="shared" si="16"/>
        <v/>
      </c>
      <c r="P53" s="136"/>
      <c r="Q53" s="135" t="str">
        <f t="shared" si="17"/>
        <v xml:space="preserve"> </v>
      </c>
    </row>
    <row r="54" spans="1:17" ht="25.5" customHeight="1" x14ac:dyDescent="0.3">
      <c r="A54" s="138" t="s">
        <v>34</v>
      </c>
      <c r="B54" s="139">
        <f>SUM(B42:B53)</f>
        <v>0</v>
      </c>
      <c r="C54" s="139">
        <f t="shared" ref="C54:G54" si="18">SUM(C42:C53)</f>
        <v>0</v>
      </c>
      <c r="D54" s="139">
        <f t="shared" si="18"/>
        <v>0</v>
      </c>
      <c r="E54" s="139">
        <f t="shared" si="18"/>
        <v>0</v>
      </c>
      <c r="F54" s="139">
        <f t="shared" si="18"/>
        <v>0</v>
      </c>
      <c r="G54" s="139">
        <f t="shared" si="18"/>
        <v>0</v>
      </c>
      <c r="H54" s="140" t="str">
        <f t="shared" si="14"/>
        <v xml:space="preserve"> </v>
      </c>
      <c r="I54" s="140">
        <f t="shared" ref="I54:J54" si="19">SUM(I42:I53)</f>
        <v>0</v>
      </c>
      <c r="J54" s="140">
        <f t="shared" si="19"/>
        <v>0</v>
      </c>
      <c r="K54" s="140">
        <f t="shared" si="15"/>
        <v>0</v>
      </c>
      <c r="L54" s="140">
        <f t="shared" ref="L54:N54" si="20">SUM(L42:L53)</f>
        <v>0</v>
      </c>
      <c r="M54" s="140">
        <f t="shared" si="20"/>
        <v>0</v>
      </c>
      <c r="N54" s="140">
        <f t="shared" si="20"/>
        <v>0</v>
      </c>
      <c r="O54" s="140">
        <f t="shared" si="16"/>
        <v>0</v>
      </c>
      <c r="P54" s="141">
        <f>SUM(P42:P53)</f>
        <v>0</v>
      </c>
      <c r="Q54" s="140" t="str">
        <f t="shared" si="17"/>
        <v xml:space="preserve"> 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2019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21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21"/>
        <v xml:space="preserve"> </v>
      </c>
      <c r="I62" s="116"/>
      <c r="J62" s="117"/>
      <c r="K62" s="117" t="str">
        <f t="shared" ref="K62:K73" si="22">IF(AND(ISBLANK(I62),ISBLANK(J62))=TRUE,"",I62+J62)</f>
        <v/>
      </c>
      <c r="L62" s="116"/>
      <c r="M62" s="117"/>
      <c r="N62" s="117"/>
      <c r="O62" s="103" t="str">
        <f t="shared" ref="O62:O73" si="23">IF(AND(ISBLANK(L62),ISBLANK(M62),ISBLANK(N62))=TRUE,"",L62+M62+N62)</f>
        <v/>
      </c>
      <c r="P62" s="117"/>
      <c r="Q62" s="158" t="str">
        <f t="shared" ref="Q62:Q73" si="24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21"/>
        <v xml:space="preserve"> </v>
      </c>
      <c r="I63" s="163"/>
      <c r="J63" s="164"/>
      <c r="K63" s="164" t="str">
        <f t="shared" si="22"/>
        <v/>
      </c>
      <c r="L63" s="163"/>
      <c r="M63" s="164"/>
      <c r="N63" s="164"/>
      <c r="O63" s="165" t="str">
        <f t="shared" si="23"/>
        <v/>
      </c>
      <c r="P63" s="164"/>
      <c r="Q63" s="162" t="str">
        <f t="shared" si="24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21"/>
        <v xml:space="preserve"> </v>
      </c>
      <c r="I64" s="116"/>
      <c r="J64" s="117"/>
      <c r="K64" s="117" t="str">
        <f t="shared" si="22"/>
        <v/>
      </c>
      <c r="L64" s="116"/>
      <c r="M64" s="117"/>
      <c r="N64" s="117"/>
      <c r="O64" s="103" t="str">
        <f t="shared" si="23"/>
        <v/>
      </c>
      <c r="P64" s="117"/>
      <c r="Q64" s="158" t="str">
        <f t="shared" si="24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21"/>
        <v xml:space="preserve"> </v>
      </c>
      <c r="I65" s="163"/>
      <c r="J65" s="164"/>
      <c r="K65" s="164" t="str">
        <f t="shared" si="22"/>
        <v/>
      </c>
      <c r="L65" s="163"/>
      <c r="M65" s="164"/>
      <c r="N65" s="164"/>
      <c r="O65" s="165" t="str">
        <f t="shared" si="23"/>
        <v/>
      </c>
      <c r="P65" s="164"/>
      <c r="Q65" s="162" t="str">
        <f t="shared" si="24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21"/>
        <v xml:space="preserve"> </v>
      </c>
      <c r="I66" s="116"/>
      <c r="J66" s="117"/>
      <c r="K66" s="117" t="str">
        <f t="shared" si="22"/>
        <v/>
      </c>
      <c r="L66" s="116"/>
      <c r="M66" s="117"/>
      <c r="N66" s="117"/>
      <c r="O66" s="103" t="str">
        <f t="shared" si="23"/>
        <v/>
      </c>
      <c r="P66" s="117"/>
      <c r="Q66" s="158" t="str">
        <f t="shared" si="24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21"/>
        <v xml:space="preserve"> </v>
      </c>
      <c r="I67" s="163"/>
      <c r="J67" s="164"/>
      <c r="K67" s="164" t="str">
        <f t="shared" si="22"/>
        <v/>
      </c>
      <c r="L67" s="163"/>
      <c r="M67" s="164"/>
      <c r="N67" s="164"/>
      <c r="O67" s="165" t="str">
        <f t="shared" si="23"/>
        <v/>
      </c>
      <c r="P67" s="164"/>
      <c r="Q67" s="162" t="str">
        <f t="shared" si="24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21"/>
        <v xml:space="preserve"> </v>
      </c>
      <c r="I68" s="116"/>
      <c r="J68" s="117"/>
      <c r="K68" s="117" t="str">
        <f t="shared" si="22"/>
        <v/>
      </c>
      <c r="L68" s="116"/>
      <c r="M68" s="117"/>
      <c r="N68" s="117"/>
      <c r="O68" s="103" t="str">
        <f t="shared" si="23"/>
        <v/>
      </c>
      <c r="P68" s="117"/>
      <c r="Q68" s="158" t="str">
        <f t="shared" si="24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21"/>
        <v xml:space="preserve"> </v>
      </c>
      <c r="I69" s="163"/>
      <c r="J69" s="164"/>
      <c r="K69" s="164" t="str">
        <f t="shared" si="22"/>
        <v/>
      </c>
      <c r="L69" s="163"/>
      <c r="M69" s="164"/>
      <c r="N69" s="164"/>
      <c r="O69" s="165" t="str">
        <f t="shared" si="23"/>
        <v/>
      </c>
      <c r="P69" s="164"/>
      <c r="Q69" s="162" t="str">
        <f t="shared" si="24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21"/>
        <v xml:space="preserve"> </v>
      </c>
      <c r="I70" s="116"/>
      <c r="J70" s="117"/>
      <c r="K70" s="117" t="str">
        <f t="shared" si="22"/>
        <v/>
      </c>
      <c r="L70" s="116"/>
      <c r="M70" s="117"/>
      <c r="N70" s="117"/>
      <c r="O70" s="103" t="str">
        <f t="shared" si="23"/>
        <v/>
      </c>
      <c r="P70" s="117"/>
      <c r="Q70" s="158" t="str">
        <f t="shared" si="24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21"/>
        <v xml:space="preserve"> </v>
      </c>
      <c r="I71" s="163"/>
      <c r="J71" s="164"/>
      <c r="K71" s="164" t="str">
        <f t="shared" si="22"/>
        <v/>
      </c>
      <c r="L71" s="163"/>
      <c r="M71" s="164"/>
      <c r="N71" s="164"/>
      <c r="O71" s="165" t="str">
        <f t="shared" si="23"/>
        <v/>
      </c>
      <c r="P71" s="164"/>
      <c r="Q71" s="162" t="str">
        <f t="shared" si="24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21"/>
        <v xml:space="preserve"> </v>
      </c>
      <c r="I72" s="136"/>
      <c r="J72" s="137"/>
      <c r="K72" s="137" t="str">
        <f t="shared" si="22"/>
        <v/>
      </c>
      <c r="L72" s="136"/>
      <c r="M72" s="137"/>
      <c r="N72" s="137"/>
      <c r="O72" s="135" t="str">
        <f t="shared" si="23"/>
        <v/>
      </c>
      <c r="P72" s="137"/>
      <c r="Q72" s="135" t="str">
        <f t="shared" si="24"/>
        <v xml:space="preserve"> </v>
      </c>
    </row>
    <row r="73" spans="1:17" ht="24.75" customHeight="1" x14ac:dyDescent="0.3">
      <c r="A73" s="166" t="s">
        <v>34</v>
      </c>
      <c r="B73" s="167">
        <f>SUM(B61:B72)</f>
        <v>0</v>
      </c>
      <c r="C73" s="167">
        <f t="shared" ref="C73:G73" si="25">SUM(C61:C72)</f>
        <v>0</v>
      </c>
      <c r="D73" s="167">
        <f t="shared" si="25"/>
        <v>0</v>
      </c>
      <c r="E73" s="167">
        <f t="shared" si="25"/>
        <v>0</v>
      </c>
      <c r="F73" s="167">
        <f t="shared" si="25"/>
        <v>0</v>
      </c>
      <c r="G73" s="167">
        <f t="shared" si="25"/>
        <v>0</v>
      </c>
      <c r="H73" s="168" t="str">
        <f t="shared" si="21"/>
        <v xml:space="preserve"> </v>
      </c>
      <c r="I73" s="169">
        <f t="shared" ref="I73:J73" si="26">SUM(I61:I72)</f>
        <v>0</v>
      </c>
      <c r="J73" s="169">
        <f t="shared" si="26"/>
        <v>0</v>
      </c>
      <c r="K73" s="169">
        <f t="shared" si="22"/>
        <v>0</v>
      </c>
      <c r="L73" s="169">
        <f t="shared" ref="L73:N73" si="27">SUM(L61:L72)</f>
        <v>0</v>
      </c>
      <c r="M73" s="169">
        <f t="shared" si="27"/>
        <v>0</v>
      </c>
      <c r="N73" s="169">
        <f t="shared" si="27"/>
        <v>0</v>
      </c>
      <c r="O73" s="169">
        <f t="shared" si="23"/>
        <v>0</v>
      </c>
      <c r="P73" s="169">
        <f>SUM(P61:P72)</f>
        <v>0</v>
      </c>
      <c r="Q73" s="168" t="str">
        <f t="shared" si="24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2020-02-03T07:22:28Z</cp:lastPrinted>
  <dcterms:created xsi:type="dcterms:W3CDTF">2020-02-03T07:22:16Z</dcterms:created>
  <dcterms:modified xsi:type="dcterms:W3CDTF">2020-02-03T07:22:31Z</dcterms:modified>
</cp:coreProperties>
</file>