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rti\Desktop\Nitin DGCA\Form A\2021\Pdf and Excel January 2021\"/>
    </mc:Choice>
  </mc:AlternateContent>
  <bookViews>
    <workbookView xWindow="0" yWindow="0" windowWidth="24000" windowHeight="9435"/>
  </bookViews>
  <sheets>
    <sheet name="Monthly_Template" sheetId="2" r:id="rId1"/>
    <sheet name="Sheet1" sheetId="1" r:id="rId2"/>
  </sheets>
  <externalReferences>
    <externalReference r:id="rId3"/>
  </externalReferences>
  <definedNames>
    <definedName name="\a" localSheetId="0">Monthly_Template!#REF!</definedName>
    <definedName name="\a">#REF!</definedName>
    <definedName name="\b" localSheetId="0">Monthly_Template!#REF!</definedName>
    <definedName name="\b">#REF!</definedName>
    <definedName name="\c">#N/A</definedName>
    <definedName name="\d" localSheetId="0">Monthly_Template!#REF!</definedName>
    <definedName name="\d">#REF!</definedName>
    <definedName name="\e" localSheetId="0">Monthly_Template!#REF!</definedName>
    <definedName name="\e">#REF!</definedName>
    <definedName name="\f" localSheetId="0">Monthly_Template!#REF!</definedName>
    <definedName name="\f">#REF!</definedName>
    <definedName name="\g" localSheetId="0">Monthly_Template!#REF!</definedName>
    <definedName name="\g">#REF!</definedName>
    <definedName name="\h" localSheetId="0">Monthly_Template!#REF!</definedName>
    <definedName name="\h">#REF!</definedName>
    <definedName name="\i" localSheetId="0">Monthly_Template!#REF!</definedName>
    <definedName name="\i">#REF!</definedName>
    <definedName name="\j" localSheetId="0">Monthly_Template!#REF!</definedName>
    <definedName name="\j">#REF!</definedName>
    <definedName name="\k" localSheetId="0">Monthly_Template!#REF!</definedName>
    <definedName name="\k">#REF!</definedName>
    <definedName name="\l">#N/A</definedName>
    <definedName name="\m" localSheetId="0">Monthly_Template!#REF!</definedName>
    <definedName name="\m">#REF!</definedName>
    <definedName name="\p" localSheetId="0">Monthly_Template!#REF!</definedName>
    <definedName name="\p">#REF!</definedName>
    <definedName name="\x" localSheetId="0">Monthly_Template!$C$172</definedName>
    <definedName name="\x">#REF!</definedName>
    <definedName name="_Regression_Int" localSheetId="0" hidden="1">1</definedName>
    <definedName name="airline">[1]Interface!$AT$7:$AT$32</definedName>
    <definedName name="data">[1]Interface!$AR$7:$AR$21</definedName>
    <definedName name="_xlnm.Print_Area" localSheetId="0">Monthly_Template!$A$1:$Q$76</definedName>
    <definedName name="Print_Area_MI" localSheetId="0">Monthly_Template!$A$1:$Q$17</definedName>
    <definedName name="row">[1]Interface!$AQ$7:$AQ$14</definedName>
    <definedName name="toatalpvt">#REF!</definedName>
    <definedName name="totalnat">#REF!</definedName>
    <definedName name="totalpvt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73" i="2" l="1"/>
  <c r="N73" i="2"/>
  <c r="M73" i="2"/>
  <c r="L73" i="2"/>
  <c r="O73" i="2" s="1"/>
  <c r="Q73" i="2" s="1"/>
  <c r="J73" i="2"/>
  <c r="K73" i="2" s="1"/>
  <c r="I73" i="2"/>
  <c r="G73" i="2"/>
  <c r="H73" i="2" s="1"/>
  <c r="F73" i="2"/>
  <c r="E73" i="2"/>
  <c r="D73" i="2"/>
  <c r="C73" i="2"/>
  <c r="B73" i="2"/>
  <c r="O72" i="2"/>
  <c r="Q72" i="2" s="1"/>
  <c r="K72" i="2"/>
  <c r="H72" i="2"/>
  <c r="O71" i="2"/>
  <c r="Q71" i="2" s="1"/>
  <c r="K71" i="2"/>
  <c r="H71" i="2"/>
  <c r="O70" i="2"/>
  <c r="Q70" i="2" s="1"/>
  <c r="K70" i="2"/>
  <c r="H70" i="2"/>
  <c r="O69" i="2"/>
  <c r="Q69" i="2" s="1"/>
  <c r="K69" i="2"/>
  <c r="H69" i="2"/>
  <c r="O68" i="2"/>
  <c r="Q68" i="2" s="1"/>
  <c r="K68" i="2"/>
  <c r="H68" i="2"/>
  <c r="O67" i="2"/>
  <c r="Q67" i="2" s="1"/>
  <c r="K67" i="2"/>
  <c r="H67" i="2"/>
  <c r="O66" i="2"/>
  <c r="Q66" i="2" s="1"/>
  <c r="K66" i="2"/>
  <c r="H66" i="2"/>
  <c r="O65" i="2"/>
  <c r="Q65" i="2" s="1"/>
  <c r="K65" i="2"/>
  <c r="H65" i="2"/>
  <c r="O64" i="2"/>
  <c r="Q64" i="2" s="1"/>
  <c r="K64" i="2"/>
  <c r="H64" i="2"/>
  <c r="O63" i="2"/>
  <c r="Q63" i="2" s="1"/>
  <c r="K63" i="2"/>
  <c r="H63" i="2"/>
  <c r="O62" i="2"/>
  <c r="Q62" i="2" s="1"/>
  <c r="K62" i="2"/>
  <c r="H62" i="2"/>
  <c r="O61" i="2"/>
  <c r="Q61" i="2" s="1"/>
  <c r="K61" i="2"/>
  <c r="H61" i="2"/>
  <c r="P54" i="2"/>
  <c r="N54" i="2"/>
  <c r="M54" i="2"/>
  <c r="L54" i="2"/>
  <c r="O54" i="2" s="1"/>
  <c r="Q54" i="2" s="1"/>
  <c r="J54" i="2"/>
  <c r="K54" i="2" s="1"/>
  <c r="I54" i="2"/>
  <c r="G54" i="2"/>
  <c r="H54" i="2" s="1"/>
  <c r="F54" i="2"/>
  <c r="E54" i="2"/>
  <c r="D54" i="2"/>
  <c r="C54" i="2"/>
  <c r="B54" i="2"/>
  <c r="O53" i="2"/>
  <c r="Q53" i="2" s="1"/>
  <c r="K53" i="2"/>
  <c r="H53" i="2"/>
  <c r="O52" i="2"/>
  <c r="Q52" i="2" s="1"/>
  <c r="K52" i="2"/>
  <c r="H52" i="2"/>
  <c r="O51" i="2"/>
  <c r="Q51" i="2" s="1"/>
  <c r="K51" i="2"/>
  <c r="H51" i="2"/>
  <c r="O50" i="2"/>
  <c r="Q50" i="2" s="1"/>
  <c r="K50" i="2"/>
  <c r="H50" i="2"/>
  <c r="O49" i="2"/>
  <c r="Q49" i="2" s="1"/>
  <c r="K49" i="2"/>
  <c r="H49" i="2"/>
  <c r="O48" i="2"/>
  <c r="Q48" i="2" s="1"/>
  <c r="K48" i="2"/>
  <c r="H48" i="2"/>
  <c r="O47" i="2"/>
  <c r="Q47" i="2" s="1"/>
  <c r="K47" i="2"/>
  <c r="H47" i="2"/>
  <c r="O46" i="2"/>
  <c r="Q46" i="2" s="1"/>
  <c r="K46" i="2"/>
  <c r="H46" i="2"/>
  <c r="O45" i="2"/>
  <c r="Q45" i="2" s="1"/>
  <c r="K45" i="2"/>
  <c r="H45" i="2"/>
  <c r="O44" i="2"/>
  <c r="Q44" i="2" s="1"/>
  <c r="K44" i="2"/>
  <c r="H44" i="2"/>
  <c r="O43" i="2"/>
  <c r="Q43" i="2" s="1"/>
  <c r="K43" i="2"/>
  <c r="H43" i="2"/>
  <c r="O42" i="2"/>
  <c r="Q42" i="2" s="1"/>
  <c r="K42" i="2"/>
  <c r="H42" i="2"/>
  <c r="P35" i="2"/>
  <c r="N35" i="2"/>
  <c r="M35" i="2"/>
  <c r="L35" i="2"/>
  <c r="O35" i="2" s="1"/>
  <c r="Q35" i="2" s="1"/>
  <c r="J35" i="2"/>
  <c r="K35" i="2" s="1"/>
  <c r="I35" i="2"/>
  <c r="G35" i="2"/>
  <c r="H35" i="2" s="1"/>
  <c r="F35" i="2"/>
  <c r="E35" i="2"/>
  <c r="D35" i="2"/>
  <c r="C35" i="2"/>
  <c r="B35" i="2"/>
  <c r="O34" i="2"/>
  <c r="Q34" i="2" s="1"/>
  <c r="K34" i="2"/>
  <c r="H34" i="2"/>
  <c r="O33" i="2"/>
  <c r="Q33" i="2" s="1"/>
  <c r="K33" i="2"/>
  <c r="H33" i="2"/>
  <c r="O32" i="2"/>
  <c r="Q32" i="2" s="1"/>
  <c r="K32" i="2"/>
  <c r="H32" i="2"/>
  <c r="O31" i="2"/>
  <c r="Q31" i="2" s="1"/>
  <c r="K31" i="2"/>
  <c r="H31" i="2"/>
  <c r="O30" i="2"/>
  <c r="Q30" i="2" s="1"/>
  <c r="K30" i="2"/>
  <c r="H30" i="2"/>
  <c r="O29" i="2"/>
  <c r="Q29" i="2" s="1"/>
  <c r="K29" i="2"/>
  <c r="H29" i="2"/>
  <c r="O28" i="2"/>
  <c r="Q28" i="2" s="1"/>
  <c r="K28" i="2"/>
  <c r="H28" i="2"/>
  <c r="O27" i="2"/>
  <c r="Q27" i="2" s="1"/>
  <c r="K27" i="2"/>
  <c r="H27" i="2"/>
  <c r="O26" i="2"/>
  <c r="Q26" i="2" s="1"/>
  <c r="K26" i="2"/>
  <c r="H26" i="2"/>
  <c r="O25" i="2"/>
  <c r="Q25" i="2" s="1"/>
  <c r="K25" i="2"/>
  <c r="H25" i="2"/>
  <c r="O24" i="2"/>
  <c r="Q24" i="2" s="1"/>
  <c r="K24" i="2"/>
  <c r="H24" i="2"/>
  <c r="O23" i="2"/>
  <c r="Q23" i="2" s="1"/>
  <c r="K23" i="2"/>
  <c r="H23" i="2"/>
  <c r="P16" i="2"/>
  <c r="N16" i="2"/>
  <c r="M16" i="2"/>
  <c r="L16" i="2"/>
  <c r="O16" i="2" s="1"/>
  <c r="Q16" i="2" s="1"/>
  <c r="J16" i="2"/>
  <c r="K16" i="2" s="1"/>
  <c r="I16" i="2"/>
  <c r="G16" i="2"/>
  <c r="H16" i="2" s="1"/>
  <c r="F16" i="2"/>
  <c r="E16" i="2"/>
  <c r="D16" i="2"/>
  <c r="C16" i="2"/>
  <c r="B16" i="2"/>
  <c r="O15" i="2"/>
  <c r="Q15" i="2" s="1"/>
  <c r="K15" i="2"/>
  <c r="H15" i="2"/>
  <c r="O14" i="2"/>
  <c r="Q14" i="2" s="1"/>
  <c r="K14" i="2"/>
  <c r="H14" i="2"/>
  <c r="O13" i="2"/>
  <c r="Q13" i="2" s="1"/>
  <c r="K13" i="2"/>
  <c r="H13" i="2"/>
  <c r="O12" i="2"/>
  <c r="Q12" i="2" s="1"/>
  <c r="K12" i="2"/>
  <c r="H12" i="2"/>
  <c r="O11" i="2"/>
  <c r="Q11" i="2" s="1"/>
  <c r="K11" i="2"/>
  <c r="H11" i="2"/>
  <c r="O10" i="2"/>
  <c r="Q10" i="2" s="1"/>
  <c r="K10" i="2"/>
  <c r="H10" i="2"/>
  <c r="O9" i="2"/>
  <c r="Q9" i="2" s="1"/>
  <c r="K9" i="2"/>
  <c r="H9" i="2"/>
  <c r="O8" i="2"/>
  <c r="Q8" i="2" s="1"/>
  <c r="K8" i="2"/>
  <c r="H8" i="2"/>
  <c r="O7" i="2"/>
  <c r="Q7" i="2" s="1"/>
  <c r="K7" i="2"/>
  <c r="H7" i="2"/>
  <c r="O6" i="2"/>
  <c r="Q6" i="2" s="1"/>
  <c r="K6" i="2"/>
  <c r="H6" i="2"/>
  <c r="O5" i="2"/>
  <c r="Q5" i="2" s="1"/>
  <c r="K5" i="2"/>
  <c r="H5" i="2"/>
  <c r="O4" i="2"/>
  <c r="Q4" i="2" s="1"/>
  <c r="K4" i="2"/>
  <c r="H4" i="2"/>
</calcChain>
</file>

<file path=xl/sharedStrings.xml><?xml version="1.0" encoding="utf-8"?>
<sst xmlns="http://schemas.openxmlformats.org/spreadsheetml/2006/main" count="153" uniqueCount="42">
  <si>
    <t>SPICEJET</t>
  </si>
  <si>
    <t>MONTH</t>
  </si>
  <si>
    <t>AIRCRAFT FLOWN</t>
  </si>
  <si>
    <t>PASSENGERS CARRIED
(IN NUMBER)</t>
  </si>
  <si>
    <t>PASSENGER KMS.PERFORMED
(IN THOUSAND)</t>
  </si>
  <si>
    <t>AVAILABLE SEAT KILOMETRE
(IN THOUSAND)</t>
  </si>
  <si>
    <t xml:space="preserve"> PAX.LOAD FACTOR#
(IN %)</t>
  </si>
  <si>
    <t xml:space="preserve"> CARGO CARRIED </t>
  </si>
  <si>
    <t xml:space="preserve">    TONNE  KILOMETRE PERFORMED </t>
  </si>
  <si>
    <t>AVAILABLE TONNE KILOMETRE
(IN THOUSAND)</t>
  </si>
  <si>
    <t xml:space="preserve"> WEIGHT LOAD FACTOR##
(IN %)</t>
  </si>
  <si>
    <t>DEPARTURES
(IN NUMBER)</t>
  </si>
  <si>
    <t>HOURS
(IN NUMBER)</t>
  </si>
  <si>
    <t>KILOMETRE
(IN THOUSAND)</t>
  </si>
  <si>
    <t xml:space="preserve"> FREIGHT
(IN TONNE)</t>
  </si>
  <si>
    <t>MAIL
(IN TONNE)</t>
  </si>
  <si>
    <t xml:space="preserve"> TOTAL
(IN TONNE)</t>
  </si>
  <si>
    <t xml:space="preserve"> PASSENGER
(IN THOUSAND)</t>
  </si>
  <si>
    <t>FREIGHT
(IN THOUSAND)</t>
  </si>
  <si>
    <t xml:space="preserve"> MAIL
(IN THOUSAND)</t>
  </si>
  <si>
    <t xml:space="preserve"> TOTAL
(IN THOUSAND)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</si>
  <si>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</si>
  <si>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</si>
  <si>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</si>
  <si>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</si>
  <si>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</si>
  <si>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</si>
  <si>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</si>
  <si>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</si>
  <si>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</si>
  <si>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</si>
  <si>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</si>
  <si>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</si>
  <si>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TOTAL</t>
  </si>
  <si>
    <t>SOURCE:-ICAO ATR FORM A FURNISHED BY SPICEJET</t>
  </si>
  <si>
    <t>NOTE:- # PAX LOAD FACTOR = (PAX KM PERFORMED/AVAILABLE SEAT KMS)*100</t>
  </si>
  <si>
    <t xml:space="preserve">          # # WEIGHT LOAD FACTOR = (TONNE KMS PERFORMED/ AVAILABLE TONNE KMS)*100</t>
  </si>
  <si>
    <t>[</t>
  </si>
  <si>
    <r>
      <t xml:space="preserve">Monthly Traffic And Operating Statistics (Provisional)
 </t>
    </r>
    <r>
      <rPr>
        <b/>
        <sz val="16"/>
        <color theme="1"/>
        <rFont val="Cambria"/>
        <family val="1"/>
      </rPr>
      <t>( Scheduled Domestic Services)</t>
    </r>
  </si>
  <si>
    <r>
      <rPr>
        <b/>
        <sz val="13"/>
        <color theme="1"/>
        <rFont val="Cambria"/>
        <family val="1"/>
      </rPr>
      <t>Monthly Traffic And Operating Statistics (Provisional)</t>
    </r>
    <r>
      <rPr>
        <b/>
        <sz val="12"/>
        <color theme="1"/>
        <rFont val="Cambria"/>
        <family val="1"/>
      </rPr>
      <t xml:space="preserve">
 </t>
    </r>
    <r>
      <rPr>
        <b/>
        <sz val="16"/>
        <color theme="1"/>
        <rFont val="Cambria"/>
        <family val="1"/>
      </rPr>
      <t>( Scheduled International  Services)</t>
    </r>
  </si>
  <si>
    <r>
      <rPr>
        <b/>
        <sz val="13"/>
        <color theme="1"/>
        <rFont val="Cambria"/>
        <family val="1"/>
      </rPr>
      <t>Monthly Traffic And Operating Statistics (Provisional)</t>
    </r>
    <r>
      <rPr>
        <b/>
        <sz val="12"/>
        <color theme="1"/>
        <rFont val="Cambria"/>
        <family val="1"/>
      </rPr>
      <t xml:space="preserve">
</t>
    </r>
    <r>
      <rPr>
        <b/>
        <sz val="16"/>
        <color theme="1"/>
        <rFont val="Cambria"/>
        <family val="1"/>
      </rPr>
      <t xml:space="preserve"> (Non- Scheduled Domestic Services)</t>
    </r>
  </si>
  <si>
    <r>
      <rPr>
        <b/>
        <sz val="13"/>
        <color theme="1"/>
        <rFont val="Cambria"/>
        <family val="1"/>
      </rPr>
      <t>Monthly Traffic And Operating Statistics (Provisional)</t>
    </r>
    <r>
      <rPr>
        <b/>
        <sz val="12"/>
        <color theme="1"/>
        <rFont val="Cambria"/>
        <family val="1"/>
      </rPr>
      <t xml:space="preserve">
</t>
    </r>
    <r>
      <rPr>
        <b/>
        <sz val="16"/>
        <color theme="1"/>
        <rFont val="Cambria"/>
        <family val="1"/>
      </rPr>
      <t xml:space="preserve"> (Non- Scheduled International Services)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</si>
</sst>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0.0_)"/>
  </numFmts>
  <fonts count="15" x14ac:knownFonts="1">
    <font>
      <sz val="11"/>
      <color theme="1"/>
      <name val="Calibri"/>
      <family val="2"/>
      <charset val="1"/>
      <scheme val="minor"/>
    </font>
    <font>
      <sz val="10"/>
      <name val="Courier"/>
    </font>
    <font>
      <b/>
      <sz val="18"/>
      <color theme="1"/>
      <name val="Calibri Light"/>
      <family val="1"/>
      <scheme val="major"/>
    </font>
    <font>
      <sz val="14"/>
      <name val="Calibri Light"/>
      <family val="1"/>
      <scheme val="major"/>
    </font>
    <font>
      <sz val="12"/>
      <name val="Calibri Light"/>
      <family val="1"/>
      <scheme val="major"/>
    </font>
    <font>
      <sz val="12"/>
      <color theme="1"/>
      <name val="Calibri Light"/>
      <family val="1"/>
      <scheme val="major"/>
    </font>
    <font>
      <sz val="14"/>
      <color theme="1"/>
      <name val="Calibri Light"/>
      <family val="1"/>
      <scheme val="major"/>
    </font>
    <font>
      <b/>
      <sz val="11"/>
      <color theme="1"/>
      <name val="Cambria"/>
      <family val="1"/>
    </font>
    <font>
      <b/>
      <sz val="16"/>
      <color theme="1"/>
      <name val="Cambria"/>
      <family val="1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b/>
      <sz val="13"/>
      <color theme="1"/>
      <name val="Cambria"/>
      <family val="1"/>
    </font>
    <font>
      <b/>
      <sz val="12"/>
      <color theme="1"/>
      <name val="Cambria"/>
      <family val="1"/>
    </font>
    <font>
      <sz val="12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5">
    <xf numFmtId="0" fontId="0" fillId="0" borderId="0" xfId="0"/>
    <xf numFmtId="0" fontId="3" fillId="3" borderId="0" xfId="1" applyFont="1" applyFill="1"/>
    <xf numFmtId="0" fontId="4" fillId="3" borderId="0" xfId="1" applyFont="1" applyFill="1"/>
    <xf numFmtId="0" fontId="3" fillId="3" borderId="0" xfId="1" applyFont="1" applyFill="1" applyAlignment="1">
      <alignment vertical="center"/>
    </xf>
    <xf numFmtId="0" fontId="5" fillId="9" borderId="0" xfId="1" applyFont="1" applyFill="1" applyBorder="1" applyAlignment="1" applyProtection="1">
      <alignment horizontal="center" vertical="center" wrapText="1"/>
    </xf>
    <xf numFmtId="3" fontId="5" fillId="9" borderId="9" xfId="1" applyNumberFormat="1" applyFont="1" applyFill="1" applyBorder="1" applyAlignment="1" applyProtection="1">
      <alignment horizontal="center" vertical="center" wrapText="1"/>
    </xf>
    <xf numFmtId="3" fontId="5" fillId="9" borderId="0" xfId="1" applyNumberFormat="1" applyFont="1" applyFill="1" applyBorder="1" applyAlignment="1" applyProtection="1">
      <alignment horizontal="center" vertical="center" wrapText="1"/>
    </xf>
    <xf numFmtId="3" fontId="5" fillId="9" borderId="8" xfId="1" applyNumberFormat="1" applyFont="1" applyFill="1" applyBorder="1" applyAlignment="1" applyProtection="1">
      <alignment horizontal="center" vertical="center" wrapText="1"/>
    </xf>
    <xf numFmtId="164" fontId="5" fillId="9" borderId="8" xfId="1" applyNumberFormat="1" applyFont="1" applyFill="1" applyBorder="1" applyAlignment="1" applyProtection="1">
      <alignment horizontal="center" vertical="center" wrapText="1"/>
    </xf>
    <xf numFmtId="164" fontId="5" fillId="9" borderId="9" xfId="1" applyNumberFormat="1" applyFont="1" applyFill="1" applyBorder="1" applyAlignment="1" applyProtection="1">
      <alignment horizontal="center" vertical="center" wrapText="1"/>
    </xf>
    <xf numFmtId="164" fontId="5" fillId="9" borderId="0" xfId="1" applyNumberFormat="1" applyFont="1" applyFill="1" applyBorder="1" applyAlignment="1" applyProtection="1">
      <alignment horizontal="center" vertical="center" wrapText="1"/>
    </xf>
    <xf numFmtId="0" fontId="6" fillId="3" borderId="0" xfId="1" applyFont="1" applyFill="1"/>
    <xf numFmtId="165" fontId="3" fillId="3" borderId="0" xfId="1" applyNumberFormat="1" applyFont="1" applyFill="1" applyProtection="1"/>
    <xf numFmtId="0" fontId="3" fillId="3" borderId="0" xfId="1" applyFont="1" applyFill="1" applyAlignment="1" applyProtection="1">
      <alignment horizontal="left"/>
    </xf>
    <xf numFmtId="0" fontId="9" fillId="4" borderId="3" xfId="1" applyFont="1" applyFill="1" applyBorder="1" applyAlignment="1" applyProtection="1">
      <alignment horizontal="center" vertical="center" textRotation="90" wrapText="1"/>
    </xf>
    <xf numFmtId="0" fontId="9" fillId="4" borderId="3" xfId="1" quotePrefix="1" applyFont="1" applyFill="1" applyBorder="1" applyAlignment="1" applyProtection="1">
      <alignment horizontal="center" vertical="center" textRotation="90" wrapText="1"/>
    </xf>
    <xf numFmtId="3" fontId="10" fillId="2" borderId="2" xfId="1" applyNumberFormat="1" applyFont="1" applyFill="1" applyBorder="1" applyAlignment="1" applyProtection="1">
      <alignment horizontal="center" vertical="center" wrapText="1"/>
    </xf>
    <xf numFmtId="3" fontId="10" fillId="2" borderId="5" xfId="1" applyNumberFormat="1" applyFont="1" applyFill="1" applyBorder="1" applyAlignment="1" applyProtection="1">
      <alignment horizontal="center" vertical="center" wrapText="1"/>
    </xf>
    <xf numFmtId="3" fontId="10" fillId="2" borderId="6" xfId="1" applyNumberFormat="1" applyFont="1" applyFill="1" applyBorder="1" applyAlignment="1" applyProtection="1">
      <alignment horizontal="center" vertical="center" wrapText="1"/>
    </xf>
    <xf numFmtId="3" fontId="10" fillId="2" borderId="7" xfId="1" applyNumberFormat="1" applyFont="1" applyFill="1" applyBorder="1" applyAlignment="1" applyProtection="1">
      <alignment horizontal="center" vertical="center" wrapText="1"/>
    </xf>
    <xf numFmtId="164" fontId="10" fillId="2" borderId="6" xfId="1" applyNumberFormat="1" applyFont="1" applyFill="1" applyBorder="1" applyAlignment="1" applyProtection="1">
      <alignment horizontal="center" vertical="center" wrapText="1"/>
    </xf>
    <xf numFmtId="164" fontId="10" fillId="2" borderId="7" xfId="1" applyNumberFormat="1" applyFont="1" applyFill="1" applyBorder="1" applyAlignment="1" applyProtection="1">
      <alignment horizontal="center" vertical="center" wrapText="1"/>
    </xf>
    <xf numFmtId="164" fontId="10" fillId="2" borderId="5" xfId="1" applyNumberFormat="1" applyFont="1" applyFill="1" applyBorder="1" applyAlignment="1" applyProtection="1">
      <alignment horizontal="center" vertical="center" wrapText="1"/>
    </xf>
    <xf numFmtId="3" fontId="10" fillId="3" borderId="8" xfId="1" applyNumberFormat="1" applyFont="1" applyFill="1" applyBorder="1" applyAlignment="1" applyProtection="1">
      <alignment horizontal="center" vertical="center" wrapText="1"/>
    </xf>
    <xf numFmtId="3" fontId="10" fillId="3" borderId="0" xfId="1" applyNumberFormat="1" applyFont="1" applyFill="1" applyBorder="1" applyAlignment="1" applyProtection="1">
      <alignment horizontal="center" vertical="center" wrapText="1"/>
    </xf>
    <xf numFmtId="3" fontId="10" fillId="3" borderId="9" xfId="1" applyNumberFormat="1" applyFont="1" applyFill="1" applyBorder="1" applyAlignment="1" applyProtection="1">
      <alignment horizontal="center" vertical="center" wrapText="1"/>
    </xf>
    <xf numFmtId="164" fontId="10" fillId="3" borderId="8" xfId="1" applyNumberFormat="1" applyFont="1" applyFill="1" applyBorder="1" applyAlignment="1" applyProtection="1">
      <alignment horizontal="center" vertical="center" wrapText="1"/>
    </xf>
    <xf numFmtId="164" fontId="10" fillId="3" borderId="9" xfId="1" applyNumberFormat="1" applyFont="1" applyFill="1" applyBorder="1" applyAlignment="1" applyProtection="1">
      <alignment horizontal="center" vertical="center" wrapText="1"/>
    </xf>
    <xf numFmtId="164" fontId="10" fillId="3" borderId="0" xfId="1" applyNumberFormat="1" applyFont="1" applyFill="1" applyBorder="1" applyAlignment="1" applyProtection="1">
      <alignment horizontal="center" vertical="center" wrapText="1"/>
    </xf>
    <xf numFmtId="3" fontId="10" fillId="2" borderId="8" xfId="1" applyNumberFormat="1" applyFont="1" applyFill="1" applyBorder="1" applyAlignment="1" applyProtection="1">
      <alignment horizontal="center" vertical="center" wrapText="1"/>
    </xf>
    <xf numFmtId="3" fontId="10" fillId="2" borderId="0" xfId="1" applyNumberFormat="1" applyFont="1" applyFill="1" applyBorder="1" applyAlignment="1" applyProtection="1">
      <alignment horizontal="center" vertical="center" wrapText="1"/>
    </xf>
    <xf numFmtId="3" fontId="10" fillId="2" borderId="9" xfId="1" applyNumberFormat="1" applyFont="1" applyFill="1" applyBorder="1" applyAlignment="1" applyProtection="1">
      <alignment horizontal="center" vertical="center" wrapText="1"/>
    </xf>
    <xf numFmtId="164" fontId="10" fillId="2" borderId="8" xfId="1" applyNumberFormat="1" applyFont="1" applyFill="1" applyBorder="1" applyAlignment="1" applyProtection="1">
      <alignment horizontal="center" vertical="center" wrapText="1"/>
    </xf>
    <xf numFmtId="164" fontId="10" fillId="2" borderId="9" xfId="1" applyNumberFormat="1" applyFont="1" applyFill="1" applyBorder="1" applyAlignment="1" applyProtection="1">
      <alignment horizontal="center" vertical="center" wrapText="1"/>
    </xf>
    <xf numFmtId="164" fontId="10" fillId="2" borderId="0" xfId="1" applyNumberFormat="1" applyFont="1" applyFill="1" applyBorder="1" applyAlignment="1" applyProtection="1">
      <alignment horizontal="center" vertical="center" wrapText="1"/>
    </xf>
    <xf numFmtId="3" fontId="10" fillId="3" borderId="10" xfId="1" applyNumberFormat="1" applyFont="1" applyFill="1" applyBorder="1" applyAlignment="1" applyProtection="1">
      <alignment horizontal="center" vertical="center" wrapText="1"/>
    </xf>
    <xf numFmtId="3" fontId="10" fillId="3" borderId="1" xfId="1" applyNumberFormat="1" applyFont="1" applyFill="1" applyBorder="1" applyAlignment="1" applyProtection="1">
      <alignment horizontal="center" vertical="center" wrapText="1"/>
    </xf>
    <xf numFmtId="3" fontId="10" fillId="3" borderId="11" xfId="1" applyNumberFormat="1" applyFont="1" applyFill="1" applyBorder="1" applyAlignment="1" applyProtection="1">
      <alignment horizontal="center" vertical="center" wrapText="1"/>
    </xf>
    <xf numFmtId="3" fontId="10" fillId="3" borderId="12" xfId="1" applyNumberFormat="1" applyFont="1" applyFill="1" applyBorder="1" applyAlignment="1" applyProtection="1">
      <alignment horizontal="center" vertical="center" wrapText="1"/>
    </xf>
    <xf numFmtId="164" fontId="10" fillId="3" borderId="11" xfId="1" applyNumberFormat="1" applyFont="1" applyFill="1" applyBorder="1" applyAlignment="1" applyProtection="1">
      <alignment horizontal="center" vertical="center" wrapText="1"/>
    </xf>
    <xf numFmtId="164" fontId="10" fillId="3" borderId="12" xfId="1" applyNumberFormat="1" applyFont="1" applyFill="1" applyBorder="1" applyAlignment="1" applyProtection="1">
      <alignment horizontal="center" vertical="center" wrapText="1"/>
    </xf>
    <xf numFmtId="164" fontId="10" fillId="3" borderId="1" xfId="1" applyNumberFormat="1" applyFont="1" applyFill="1" applyBorder="1" applyAlignment="1" applyProtection="1">
      <alignment horizontal="center" vertical="center" wrapText="1"/>
    </xf>
    <xf numFmtId="0" fontId="11" fillId="5" borderId="3" xfId="1" applyFont="1" applyFill="1" applyBorder="1" applyAlignment="1" applyProtection="1">
      <alignment horizontal="center" vertical="center" wrapText="1"/>
    </xf>
    <xf numFmtId="3" fontId="5" fillId="5" borderId="4" xfId="1" applyNumberFormat="1" applyFont="1" applyFill="1" applyBorder="1" applyAlignment="1" applyProtection="1">
      <alignment horizontal="center" vertical="center" wrapText="1"/>
    </xf>
    <xf numFmtId="164" fontId="5" fillId="5" borderId="4" xfId="1" applyNumberFormat="1" applyFont="1" applyFill="1" applyBorder="1" applyAlignment="1" applyProtection="1">
      <alignment horizontal="center" vertical="center" wrapText="1"/>
    </xf>
    <xf numFmtId="164" fontId="5" fillId="5" borderId="3" xfId="1" applyNumberFormat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textRotation="90" wrapText="1"/>
    </xf>
    <xf numFmtId="0" fontId="11" fillId="7" borderId="3" xfId="1" quotePrefix="1" applyFont="1" applyFill="1" applyBorder="1" applyAlignment="1" applyProtection="1">
      <alignment horizontal="center" vertical="center" textRotation="90" wrapText="1"/>
    </xf>
    <xf numFmtId="0" fontId="11" fillId="7" borderId="2" xfId="1" applyFont="1" applyFill="1" applyBorder="1" applyAlignment="1" applyProtection="1">
      <alignment horizontal="center" vertical="center" textRotation="90" wrapText="1"/>
    </xf>
    <xf numFmtId="3" fontId="10" fillId="6" borderId="0" xfId="1" applyNumberFormat="1" applyFont="1" applyFill="1" applyBorder="1" applyAlignment="1" applyProtection="1">
      <alignment horizontal="center" vertical="center" wrapText="1"/>
    </xf>
    <xf numFmtId="3" fontId="10" fillId="6" borderId="7" xfId="1" applyNumberFormat="1" applyFont="1" applyFill="1" applyBorder="1" applyAlignment="1" applyProtection="1">
      <alignment horizontal="center" vertical="center" wrapText="1"/>
    </xf>
    <xf numFmtId="3" fontId="10" fillId="6" borderId="5" xfId="1" applyNumberFormat="1" applyFont="1" applyFill="1" applyBorder="1" applyAlignment="1" applyProtection="1">
      <alignment horizontal="center" vertical="center" wrapText="1"/>
    </xf>
    <xf numFmtId="3" fontId="10" fillId="6" borderId="6" xfId="1" applyNumberFormat="1" applyFont="1" applyFill="1" applyBorder="1" applyAlignment="1" applyProtection="1">
      <alignment horizontal="center" vertical="center" wrapText="1"/>
    </xf>
    <xf numFmtId="164" fontId="10" fillId="6" borderId="8" xfId="1" applyNumberFormat="1" applyFont="1" applyFill="1" applyBorder="1" applyAlignment="1" applyProtection="1">
      <alignment horizontal="center" vertical="center" wrapText="1"/>
    </xf>
    <xf numFmtId="164" fontId="10" fillId="6" borderId="5" xfId="1" applyNumberFormat="1" applyFont="1" applyFill="1" applyBorder="1" applyAlignment="1" applyProtection="1">
      <alignment horizontal="center" vertical="center" wrapText="1"/>
    </xf>
    <xf numFmtId="164" fontId="10" fillId="6" borderId="7" xfId="1" applyNumberFormat="1" applyFont="1" applyFill="1" applyBorder="1" applyAlignment="1" applyProtection="1">
      <alignment horizontal="center" vertical="center" wrapText="1"/>
    </xf>
    <xf numFmtId="164" fontId="10" fillId="6" borderId="6" xfId="1" applyNumberFormat="1" applyFont="1" applyFill="1" applyBorder="1" applyAlignment="1" applyProtection="1">
      <alignment horizontal="center" vertical="center" wrapText="1"/>
    </xf>
    <xf numFmtId="3" fontId="10" fillId="8" borderId="0" xfId="1" applyNumberFormat="1" applyFont="1" applyFill="1" applyBorder="1" applyAlignment="1" applyProtection="1">
      <alignment horizontal="center" vertical="center" wrapText="1"/>
    </xf>
    <xf numFmtId="3" fontId="10" fillId="8" borderId="9" xfId="1" applyNumberFormat="1" applyFont="1" applyFill="1" applyBorder="1" applyAlignment="1" applyProtection="1">
      <alignment horizontal="center" vertical="center" wrapText="1"/>
    </xf>
    <xf numFmtId="3" fontId="10" fillId="8" borderId="8" xfId="1" applyNumberFormat="1" applyFont="1" applyFill="1" applyBorder="1" applyAlignment="1" applyProtection="1">
      <alignment horizontal="center" vertical="center" wrapText="1"/>
    </xf>
    <xf numFmtId="164" fontId="10" fillId="8" borderId="8" xfId="1" applyNumberFormat="1" applyFont="1" applyFill="1" applyBorder="1" applyAlignment="1" applyProtection="1">
      <alignment horizontal="center" vertical="center" wrapText="1"/>
    </xf>
    <xf numFmtId="164" fontId="10" fillId="8" borderId="0" xfId="1" applyNumberFormat="1" applyFont="1" applyFill="1" applyBorder="1" applyAlignment="1" applyProtection="1">
      <alignment horizontal="center" vertical="center" wrapText="1"/>
    </xf>
    <xf numFmtId="164" fontId="10" fillId="8" borderId="9" xfId="1" applyNumberFormat="1" applyFont="1" applyFill="1" applyBorder="1" applyAlignment="1" applyProtection="1">
      <alignment horizontal="center" vertical="center" wrapText="1"/>
    </xf>
    <xf numFmtId="3" fontId="10" fillId="6" borderId="9" xfId="1" applyNumberFormat="1" applyFont="1" applyFill="1" applyBorder="1" applyAlignment="1" applyProtection="1">
      <alignment horizontal="center" vertical="center" wrapText="1"/>
    </xf>
    <xf numFmtId="3" fontId="10" fillId="6" borderId="8" xfId="1" applyNumberFormat="1" applyFont="1" applyFill="1" applyBorder="1" applyAlignment="1" applyProtection="1">
      <alignment horizontal="center" vertical="center" wrapText="1"/>
    </xf>
    <xf numFmtId="164" fontId="10" fillId="6" borderId="0" xfId="1" applyNumberFormat="1" applyFont="1" applyFill="1" applyBorder="1" applyAlignment="1" applyProtection="1">
      <alignment horizontal="center" vertical="center" wrapText="1"/>
    </xf>
    <xf numFmtId="164" fontId="10" fillId="6" borderId="9" xfId="1" applyNumberFormat="1" applyFont="1" applyFill="1" applyBorder="1" applyAlignment="1" applyProtection="1">
      <alignment horizontal="center" vertical="center" wrapText="1"/>
    </xf>
    <xf numFmtId="3" fontId="10" fillId="8" borderId="12" xfId="1" applyNumberFormat="1" applyFont="1" applyFill="1" applyBorder="1" applyAlignment="1" applyProtection="1">
      <alignment horizontal="center" vertical="center" wrapText="1"/>
    </xf>
    <xf numFmtId="3" fontId="10" fillId="8" borderId="1" xfId="1" applyNumberFormat="1" applyFont="1" applyFill="1" applyBorder="1" applyAlignment="1" applyProtection="1">
      <alignment horizontal="center" vertical="center" wrapText="1"/>
    </xf>
    <xf numFmtId="3" fontId="10" fillId="8" borderId="11" xfId="1" applyNumberFormat="1" applyFont="1" applyFill="1" applyBorder="1" applyAlignment="1" applyProtection="1">
      <alignment horizontal="center" vertical="center" wrapText="1"/>
    </xf>
    <xf numFmtId="164" fontId="10" fillId="8" borderId="1" xfId="1" applyNumberFormat="1" applyFont="1" applyFill="1" applyBorder="1" applyAlignment="1" applyProtection="1">
      <alignment horizontal="center" vertical="center" wrapText="1"/>
    </xf>
    <xf numFmtId="164" fontId="10" fillId="8" borderId="12" xfId="1" applyNumberFormat="1" applyFont="1" applyFill="1" applyBorder="1" applyAlignment="1" applyProtection="1">
      <alignment horizontal="center" vertical="center" wrapText="1"/>
    </xf>
    <xf numFmtId="164" fontId="10" fillId="8" borderId="11" xfId="1" applyNumberFormat="1" applyFont="1" applyFill="1" applyBorder="1" applyAlignment="1" applyProtection="1">
      <alignment horizontal="center" vertical="center" wrapText="1"/>
    </xf>
    <xf numFmtId="0" fontId="11" fillId="7" borderId="10" xfId="1" applyFont="1" applyFill="1" applyBorder="1" applyAlignment="1" applyProtection="1">
      <alignment horizontal="center" vertical="center" wrapText="1"/>
    </xf>
    <xf numFmtId="3" fontId="5" fillId="7" borderId="4" xfId="1" applyNumberFormat="1" applyFont="1" applyFill="1" applyBorder="1" applyAlignment="1" applyProtection="1">
      <alignment horizontal="center" vertical="center" wrapText="1"/>
    </xf>
    <xf numFmtId="164" fontId="5" fillId="7" borderId="3" xfId="1" applyNumberFormat="1" applyFont="1" applyFill="1" applyBorder="1" applyAlignment="1" applyProtection="1">
      <alignment horizontal="center" vertical="center" wrapText="1"/>
    </xf>
    <xf numFmtId="164" fontId="5" fillId="7" borderId="4" xfId="1" applyNumberFormat="1" applyFont="1" applyFill="1" applyBorder="1" applyAlignment="1" applyProtection="1">
      <alignment horizontal="center" vertical="center" wrapText="1"/>
    </xf>
    <xf numFmtId="0" fontId="11" fillId="10" borderId="2" xfId="1" applyFont="1" applyFill="1" applyBorder="1" applyAlignment="1" applyProtection="1">
      <alignment horizontal="center" vertical="center" textRotation="90" wrapText="1"/>
    </xf>
    <xf numFmtId="0" fontId="11" fillId="10" borderId="2" xfId="1" quotePrefix="1" applyFont="1" applyFill="1" applyBorder="1" applyAlignment="1" applyProtection="1">
      <alignment horizontal="center" vertical="center" textRotation="90" wrapText="1"/>
    </xf>
    <xf numFmtId="3" fontId="5" fillId="9" borderId="7" xfId="1" applyNumberFormat="1" applyFont="1" applyFill="1" applyBorder="1" applyAlignment="1" applyProtection="1">
      <alignment horizontal="center" vertical="center" wrapText="1"/>
    </xf>
    <xf numFmtId="3" fontId="5" fillId="9" borderId="5" xfId="1" applyNumberFormat="1" applyFont="1" applyFill="1" applyBorder="1" applyAlignment="1" applyProtection="1">
      <alignment horizontal="center" vertical="center" wrapText="1"/>
    </xf>
    <xf numFmtId="3" fontId="5" fillId="9" borderId="6" xfId="1" applyNumberFormat="1" applyFont="1" applyFill="1" applyBorder="1" applyAlignment="1" applyProtection="1">
      <alignment horizontal="center" vertical="center" wrapText="1"/>
    </xf>
    <xf numFmtId="164" fontId="5" fillId="9" borderId="6" xfId="1" applyNumberFormat="1" applyFont="1" applyFill="1" applyBorder="1" applyAlignment="1" applyProtection="1">
      <alignment horizontal="center" vertical="center" wrapText="1"/>
    </xf>
    <xf numFmtId="164" fontId="5" fillId="9" borderId="7" xfId="1" applyNumberFormat="1" applyFont="1" applyFill="1" applyBorder="1" applyAlignment="1" applyProtection="1">
      <alignment horizontal="center" vertical="center" wrapText="1"/>
    </xf>
    <xf numFmtId="164" fontId="5" fillId="9" borderId="5" xfId="1" applyNumberFormat="1" applyFont="1" applyFill="1" applyBorder="1" applyAlignment="1" applyProtection="1">
      <alignment horizontal="center" vertical="center" wrapText="1"/>
    </xf>
    <xf numFmtId="0" fontId="5" fillId="3" borderId="0" xfId="1" applyFont="1" applyFill="1" applyBorder="1" applyAlignment="1" applyProtection="1">
      <alignment horizontal="center" vertical="center" wrapText="1"/>
    </xf>
    <xf numFmtId="3" fontId="14" fillId="3" borderId="9" xfId="1" applyNumberFormat="1" applyFont="1" applyFill="1" applyBorder="1" applyAlignment="1" applyProtection="1">
      <alignment horizontal="center" vertical="center" wrapText="1"/>
    </xf>
    <xf numFmtId="3" fontId="14" fillId="3" borderId="0" xfId="1" applyNumberFormat="1" applyFont="1" applyFill="1" applyBorder="1" applyAlignment="1" applyProtection="1">
      <alignment horizontal="center" vertical="center" wrapText="1"/>
    </xf>
    <xf numFmtId="3" fontId="14" fillId="3" borderId="8" xfId="1" applyNumberFormat="1" applyFont="1" applyFill="1" applyBorder="1" applyAlignment="1" applyProtection="1">
      <alignment horizontal="center" vertical="center" wrapText="1"/>
    </xf>
    <xf numFmtId="164" fontId="5" fillId="3" borderId="8" xfId="1" applyNumberFormat="1" applyFont="1" applyFill="1" applyBorder="1" applyAlignment="1" applyProtection="1">
      <alignment horizontal="center" vertical="center" wrapText="1"/>
    </xf>
    <xf numFmtId="164" fontId="14" fillId="3" borderId="9" xfId="1" applyNumberFormat="1" applyFont="1" applyFill="1" applyBorder="1" applyAlignment="1" applyProtection="1">
      <alignment horizontal="center" vertical="center" wrapText="1"/>
    </xf>
    <xf numFmtId="164" fontId="14" fillId="3" borderId="0" xfId="1" applyNumberFormat="1" applyFont="1" applyFill="1" applyBorder="1" applyAlignment="1" applyProtection="1">
      <alignment horizontal="center" vertical="center" wrapText="1"/>
    </xf>
    <xf numFmtId="3" fontId="14" fillId="9" borderId="9" xfId="1" applyNumberFormat="1" applyFont="1" applyFill="1" applyBorder="1" applyAlignment="1" applyProtection="1">
      <alignment horizontal="center" vertical="center" wrapText="1"/>
    </xf>
    <xf numFmtId="3" fontId="14" fillId="9" borderId="0" xfId="1" applyNumberFormat="1" applyFont="1" applyFill="1" applyBorder="1" applyAlignment="1" applyProtection="1">
      <alignment horizontal="center" vertical="center" wrapText="1"/>
    </xf>
    <xf numFmtId="3" fontId="14" fillId="9" borderId="8" xfId="1" applyNumberFormat="1" applyFont="1" applyFill="1" applyBorder="1" applyAlignment="1" applyProtection="1">
      <alignment horizontal="center" vertical="center" wrapText="1"/>
    </xf>
    <xf numFmtId="164" fontId="14" fillId="9" borderId="9" xfId="1" applyNumberFormat="1" applyFont="1" applyFill="1" applyBorder="1" applyAlignment="1" applyProtection="1">
      <alignment horizontal="center" vertical="center" wrapText="1"/>
    </xf>
    <xf numFmtId="164" fontId="14" fillId="9" borderId="0" xfId="1" applyNumberFormat="1" applyFont="1" applyFill="1" applyBorder="1" applyAlignment="1" applyProtection="1">
      <alignment horizontal="center" vertical="center" wrapText="1"/>
    </xf>
    <xf numFmtId="4" fontId="14" fillId="3" borderId="0" xfId="1" applyNumberFormat="1" applyFont="1" applyFill="1" applyBorder="1" applyAlignment="1" applyProtection="1">
      <alignment horizontal="center" vertical="center" wrapText="1"/>
    </xf>
    <xf numFmtId="4" fontId="14" fillId="9" borderId="0" xfId="1" applyNumberFormat="1" applyFont="1" applyFill="1" applyBorder="1" applyAlignment="1" applyProtection="1">
      <alignment horizontal="center" vertical="center" wrapText="1"/>
    </xf>
    <xf numFmtId="3" fontId="5" fillId="3" borderId="9" xfId="1" applyNumberFormat="1" applyFont="1" applyFill="1" applyBorder="1" applyAlignment="1" applyProtection="1">
      <alignment horizontal="center" vertical="center" wrapText="1"/>
    </xf>
    <xf numFmtId="3" fontId="5" fillId="3" borderId="0" xfId="1" applyNumberFormat="1" applyFont="1" applyFill="1" applyBorder="1" applyAlignment="1" applyProtection="1">
      <alignment horizontal="center" vertical="center" wrapText="1"/>
    </xf>
    <xf numFmtId="164" fontId="5" fillId="3" borderId="9" xfId="1" applyNumberFormat="1" applyFont="1" applyFill="1" applyBorder="1" applyAlignment="1" applyProtection="1">
      <alignment horizontal="center" vertical="center" wrapText="1"/>
    </xf>
    <xf numFmtId="164" fontId="5" fillId="3" borderId="0" xfId="1" applyNumberFormat="1" applyFont="1" applyFill="1" applyBorder="1" applyAlignment="1" applyProtection="1">
      <alignment horizontal="center" vertical="center" wrapText="1"/>
    </xf>
    <xf numFmtId="3" fontId="5" fillId="3" borderId="8" xfId="1" applyNumberFormat="1" applyFont="1" applyFill="1" applyBorder="1" applyAlignment="1" applyProtection="1">
      <alignment horizontal="center" vertical="center" wrapText="1"/>
    </xf>
    <xf numFmtId="3" fontId="5" fillId="3" borderId="12" xfId="1" applyNumberFormat="1" applyFont="1" applyFill="1" applyBorder="1" applyAlignment="1" applyProtection="1">
      <alignment horizontal="center" vertical="center" wrapText="1"/>
    </xf>
    <xf numFmtId="3" fontId="5" fillId="3" borderId="1" xfId="1" applyNumberFormat="1" applyFont="1" applyFill="1" applyBorder="1" applyAlignment="1" applyProtection="1">
      <alignment horizontal="center" vertical="center" wrapText="1"/>
    </xf>
    <xf numFmtId="3" fontId="5" fillId="3" borderId="11" xfId="1" applyNumberFormat="1" applyFont="1" applyFill="1" applyBorder="1" applyAlignment="1" applyProtection="1">
      <alignment horizontal="center" vertical="center" wrapText="1"/>
    </xf>
    <xf numFmtId="164" fontId="5" fillId="3" borderId="11" xfId="1" applyNumberFormat="1" applyFont="1" applyFill="1" applyBorder="1" applyAlignment="1" applyProtection="1">
      <alignment horizontal="center" vertical="center" wrapText="1"/>
    </xf>
    <xf numFmtId="164" fontId="5" fillId="3" borderId="12" xfId="1" applyNumberFormat="1" applyFont="1" applyFill="1" applyBorder="1" applyAlignment="1" applyProtection="1">
      <alignment horizontal="center" vertical="center" wrapText="1"/>
    </xf>
    <xf numFmtId="164" fontId="5" fillId="3" borderId="1" xfId="1" applyNumberFormat="1" applyFont="1" applyFill="1" applyBorder="1" applyAlignment="1" applyProtection="1">
      <alignment horizontal="center" vertical="center" wrapText="1"/>
    </xf>
    <xf numFmtId="0" fontId="11" fillId="11" borderId="3" xfId="1" applyFont="1" applyFill="1" applyBorder="1" applyAlignment="1" applyProtection="1">
      <alignment horizontal="center" vertical="center" wrapText="1"/>
    </xf>
    <xf numFmtId="3" fontId="5" fillId="11" borderId="10" xfId="1" applyNumberFormat="1" applyFont="1" applyFill="1" applyBorder="1" applyAlignment="1" applyProtection="1">
      <alignment horizontal="center" vertical="center" wrapText="1"/>
    </xf>
    <xf numFmtId="164" fontId="5" fillId="11" borderId="10" xfId="1" applyNumberFormat="1" applyFont="1" applyFill="1" applyBorder="1" applyAlignment="1" applyProtection="1">
      <alignment horizontal="center" vertical="center" wrapText="1"/>
    </xf>
    <xf numFmtId="164" fontId="5" fillId="11" borderId="3" xfId="1" applyNumberFormat="1" applyFont="1" applyFill="1" applyBorder="1" applyAlignment="1" applyProtection="1">
      <alignment horizontal="center" vertical="center" wrapText="1"/>
    </xf>
    <xf numFmtId="0" fontId="11" fillId="13" borderId="2" xfId="1" applyFont="1" applyFill="1" applyBorder="1" applyAlignment="1" applyProtection="1">
      <alignment horizontal="center" vertical="center" textRotation="90" wrapText="1"/>
    </xf>
    <xf numFmtId="0" fontId="11" fillId="13" borderId="2" xfId="1" quotePrefix="1" applyFont="1" applyFill="1" applyBorder="1" applyAlignment="1" applyProtection="1">
      <alignment horizontal="center" vertical="center" textRotation="90" wrapText="1"/>
    </xf>
    <xf numFmtId="0" fontId="5" fillId="12" borderId="0" xfId="1" applyFont="1" applyFill="1" applyBorder="1" applyAlignment="1" applyProtection="1">
      <alignment horizontal="center" vertical="center" wrapText="1"/>
    </xf>
    <xf numFmtId="3" fontId="5" fillId="12" borderId="7" xfId="1" applyNumberFormat="1" applyFont="1" applyFill="1" applyBorder="1" applyAlignment="1" applyProtection="1">
      <alignment horizontal="center" vertical="center" wrapText="1"/>
    </xf>
    <xf numFmtId="3" fontId="5" fillId="12" borderId="5" xfId="1" applyNumberFormat="1" applyFont="1" applyFill="1" applyBorder="1" applyAlignment="1" applyProtection="1">
      <alignment horizontal="center" vertical="center" wrapText="1"/>
    </xf>
    <xf numFmtId="3" fontId="5" fillId="12" borderId="6" xfId="1" applyNumberFormat="1" applyFont="1" applyFill="1" applyBorder="1" applyAlignment="1" applyProtection="1">
      <alignment horizontal="center" vertical="center" wrapText="1"/>
    </xf>
    <xf numFmtId="164" fontId="5" fillId="12" borderId="6" xfId="1" quotePrefix="1" applyNumberFormat="1" applyFont="1" applyFill="1" applyBorder="1" applyAlignment="1" applyProtection="1">
      <alignment horizontal="center" vertical="center" wrapText="1"/>
    </xf>
    <xf numFmtId="164" fontId="5" fillId="12" borderId="7" xfId="1" applyNumberFormat="1" applyFont="1" applyFill="1" applyBorder="1" applyAlignment="1" applyProtection="1">
      <alignment horizontal="center" vertical="center" wrapText="1"/>
    </xf>
    <xf numFmtId="164" fontId="5" fillId="12" borderId="5" xfId="1" applyNumberFormat="1" applyFont="1" applyFill="1" applyBorder="1" applyAlignment="1" applyProtection="1">
      <alignment horizontal="center" vertical="center" wrapText="1"/>
    </xf>
    <xf numFmtId="164" fontId="5" fillId="12" borderId="6" xfId="1" applyNumberFormat="1" applyFont="1" applyFill="1" applyBorder="1" applyAlignment="1" applyProtection="1">
      <alignment horizontal="center" vertical="center" wrapText="1"/>
    </xf>
    <xf numFmtId="164" fontId="5" fillId="3" borderId="8" xfId="1" quotePrefix="1" applyNumberFormat="1" applyFont="1" applyFill="1" applyBorder="1" applyAlignment="1" applyProtection="1">
      <alignment horizontal="center" vertical="center" wrapText="1"/>
    </xf>
    <xf numFmtId="3" fontId="5" fillId="12" borderId="9" xfId="1" applyNumberFormat="1" applyFont="1" applyFill="1" applyBorder="1" applyAlignment="1" applyProtection="1">
      <alignment horizontal="center" vertical="center" wrapText="1"/>
    </xf>
    <xf numFmtId="3" fontId="5" fillId="12" borderId="0" xfId="1" applyNumberFormat="1" applyFont="1" applyFill="1" applyBorder="1" applyAlignment="1" applyProtection="1">
      <alignment horizontal="center" vertical="center" wrapText="1"/>
    </xf>
    <xf numFmtId="3" fontId="5" fillId="12" borderId="8" xfId="1" applyNumberFormat="1" applyFont="1" applyFill="1" applyBorder="1" applyAlignment="1" applyProtection="1">
      <alignment horizontal="center" vertical="center" wrapText="1"/>
    </xf>
    <xf numFmtId="164" fontId="5" fillId="12" borderId="8" xfId="1" quotePrefix="1" applyNumberFormat="1" applyFont="1" applyFill="1" applyBorder="1" applyAlignment="1" applyProtection="1">
      <alignment horizontal="center" vertical="center" wrapText="1"/>
    </xf>
    <xf numFmtId="164" fontId="5" fillId="12" borderId="9" xfId="1" applyNumberFormat="1" applyFont="1" applyFill="1" applyBorder="1" applyAlignment="1" applyProtection="1">
      <alignment horizontal="center" vertical="center" wrapText="1"/>
    </xf>
    <xf numFmtId="164" fontId="5" fillId="12" borderId="0" xfId="1" applyNumberFormat="1" applyFont="1" applyFill="1" applyBorder="1" applyAlignment="1" applyProtection="1">
      <alignment horizontal="center" vertical="center" wrapText="1"/>
    </xf>
    <xf numFmtId="164" fontId="5" fillId="12" borderId="8" xfId="1" applyNumberFormat="1" applyFont="1" applyFill="1" applyBorder="1" applyAlignment="1" applyProtection="1">
      <alignment horizontal="center" vertical="center" wrapText="1"/>
    </xf>
    <xf numFmtId="0" fontId="11" fillId="13" borderId="10" xfId="1" applyFont="1" applyFill="1" applyBorder="1" applyAlignment="1" applyProtection="1">
      <alignment horizontal="center" vertical="center" wrapText="1"/>
    </xf>
    <xf numFmtId="3" fontId="5" fillId="13" borderId="10" xfId="1" applyNumberFormat="1" applyFont="1" applyFill="1" applyBorder="1" applyAlignment="1" applyProtection="1">
      <alignment horizontal="center" vertical="center" wrapText="1"/>
    </xf>
    <xf numFmtId="164" fontId="5" fillId="13" borderId="10" xfId="1" quotePrefix="1" applyNumberFormat="1" applyFont="1" applyFill="1" applyBorder="1" applyAlignment="1" applyProtection="1">
      <alignment horizontal="center" vertical="center" wrapText="1"/>
    </xf>
    <xf numFmtId="164" fontId="5" fillId="13" borderId="10" xfId="1" applyNumberFormat="1" applyFont="1" applyFill="1" applyBorder="1" applyAlignment="1" applyProtection="1">
      <alignment horizontal="center" vertical="center" wrapText="1"/>
    </xf>
    <xf numFmtId="0" fontId="11" fillId="13" borderId="3" xfId="1" applyFont="1" applyFill="1" applyBorder="1" applyAlignment="1" applyProtection="1">
      <alignment horizontal="center" vertical="center" wrapText="1"/>
    </xf>
    <xf numFmtId="0" fontId="11" fillId="13" borderId="3" xfId="1" applyFont="1" applyFill="1" applyBorder="1" applyAlignment="1" applyProtection="1">
      <alignment horizontal="center" vertical="center" textRotation="90" wrapText="1"/>
    </xf>
    <xf numFmtId="0" fontId="11" fillId="13" borderId="2" xfId="1" applyFont="1" applyFill="1" applyBorder="1" applyAlignment="1" applyProtection="1">
      <alignment horizontal="center" vertical="center" textRotation="90" wrapText="1"/>
    </xf>
    <xf numFmtId="0" fontId="11" fillId="3" borderId="3" xfId="1" applyFont="1" applyFill="1" applyBorder="1" applyAlignment="1" applyProtection="1">
      <alignment horizontal="left" vertical="center" wrapText="1"/>
    </xf>
    <xf numFmtId="0" fontId="11" fillId="0" borderId="3" xfId="1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left" vertical="center"/>
    </xf>
    <xf numFmtId="49" fontId="2" fillId="12" borderId="13" xfId="1" applyNumberFormat="1" applyFont="1" applyFill="1" applyBorder="1" applyAlignment="1" applyProtection="1">
      <alignment horizontal="center" vertical="center" wrapText="1"/>
    </xf>
    <xf numFmtId="3" fontId="13" fillId="12" borderId="13" xfId="1" applyNumberFormat="1" applyFont="1" applyFill="1" applyBorder="1" applyAlignment="1" applyProtection="1">
      <alignment horizontal="center" vertical="center" wrapText="1"/>
    </xf>
    <xf numFmtId="3" fontId="2" fillId="12" borderId="13" xfId="1" applyNumberFormat="1" applyFont="1" applyFill="1" applyBorder="1" applyAlignment="1" applyProtection="1">
      <alignment horizontal="center" vertical="center" wrapText="1"/>
    </xf>
    <xf numFmtId="0" fontId="11" fillId="10" borderId="3" xfId="1" applyFont="1" applyFill="1" applyBorder="1" applyAlignment="1" applyProtection="1">
      <alignment horizontal="center" vertical="center" wrapText="1"/>
    </xf>
    <xf numFmtId="0" fontId="11" fillId="10" borderId="3" xfId="1" applyFont="1" applyFill="1" applyBorder="1" applyAlignment="1" applyProtection="1">
      <alignment horizontal="center" vertical="center" textRotation="90" wrapText="1"/>
    </xf>
    <xf numFmtId="0" fontId="11" fillId="10" borderId="2" xfId="1" applyFont="1" applyFill="1" applyBorder="1" applyAlignment="1" applyProtection="1">
      <alignment horizontal="center" vertical="center" textRotation="90" wrapText="1"/>
    </xf>
    <xf numFmtId="49" fontId="2" fillId="9" borderId="13" xfId="1" applyNumberFormat="1" applyFont="1" applyFill="1" applyBorder="1" applyAlignment="1" applyProtection="1">
      <alignment horizontal="center" vertical="center" wrapText="1"/>
    </xf>
    <xf numFmtId="3" fontId="13" fillId="9" borderId="13" xfId="1" applyNumberFormat="1" applyFont="1" applyFill="1" applyBorder="1" applyAlignment="1" applyProtection="1">
      <alignment horizontal="center" vertical="center" wrapText="1"/>
    </xf>
    <xf numFmtId="3" fontId="2" fillId="9" borderId="13" xfId="1" applyNumberFormat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wrapText="1"/>
    </xf>
    <xf numFmtId="0" fontId="11" fillId="7" borderId="3" xfId="1" applyFont="1" applyFill="1" applyBorder="1" applyAlignment="1" applyProtection="1">
      <alignment horizontal="center" vertical="center" textRotation="90" wrapText="1"/>
    </xf>
    <xf numFmtId="0" fontId="11" fillId="7" borderId="2" xfId="1" applyFont="1" applyFill="1" applyBorder="1" applyAlignment="1" applyProtection="1">
      <alignment horizontal="center" vertical="center" textRotation="90" wrapText="1"/>
    </xf>
    <xf numFmtId="49" fontId="2" fillId="6" borderId="13" xfId="1" applyNumberFormat="1" applyFont="1" applyFill="1" applyBorder="1" applyAlignment="1" applyProtection="1">
      <alignment horizontal="center" vertical="center" wrapText="1"/>
    </xf>
    <xf numFmtId="164" fontId="7" fillId="6" borderId="13" xfId="1" applyNumberFormat="1" applyFont="1" applyFill="1" applyBorder="1" applyAlignment="1" applyProtection="1">
      <alignment horizontal="center" vertical="center" wrapText="1"/>
    </xf>
    <xf numFmtId="164" fontId="2" fillId="6" borderId="13" xfId="1" applyNumberFormat="1" applyFont="1" applyFill="1" applyBorder="1" applyAlignment="1" applyProtection="1">
      <alignment horizontal="center" vertical="center" wrapText="1"/>
    </xf>
    <xf numFmtId="164" fontId="2" fillId="6" borderId="14" xfId="1" applyNumberFormat="1" applyFont="1" applyFill="1" applyBorder="1" applyAlignment="1" applyProtection="1">
      <alignment horizontal="center" vertical="center" wrapText="1"/>
    </xf>
    <xf numFmtId="0" fontId="9" fillId="4" borderId="3" xfId="1" applyFont="1" applyFill="1" applyBorder="1" applyAlignment="1" applyProtection="1">
      <alignment horizontal="center" vertical="center" wrapText="1"/>
    </xf>
    <xf numFmtId="0" fontId="9" fillId="4" borderId="3" xfId="1" applyFont="1" applyFill="1" applyBorder="1" applyAlignment="1" applyProtection="1">
      <alignment horizontal="center" vertical="center" textRotation="90" wrapText="1"/>
    </xf>
    <xf numFmtId="49" fontId="2" fillId="2" borderId="1" xfId="1" applyNumberFormat="1" applyFont="1" applyFill="1" applyBorder="1" applyAlignment="1" applyProtection="1">
      <alignment horizontal="center" vertical="center" wrapText="1"/>
    </xf>
    <xf numFmtId="3" fontId="7" fillId="2" borderId="1" xfId="1" applyNumberFormat="1" applyFont="1" applyFill="1" applyBorder="1" applyAlignment="1" applyProtection="1">
      <alignment horizontal="center" vertical="center" wrapText="1"/>
    </xf>
    <xf numFmtId="3" fontId="2" fillId="2" borderId="1" xfId="1" applyNumberFormat="1" applyFont="1" applyFill="1" applyBorder="1" applyAlignment="1" applyProtection="1">
      <alignment horizontal="center" vertical="center" wrapText="1"/>
    </xf>
    <xf numFmtId="0" fontId="9" fillId="4" borderId="2" xfId="1" applyFont="1" applyFill="1" applyBorder="1" applyAlignment="1" applyProtection="1">
      <alignment horizontal="center" vertical="center" wrapText="1"/>
    </xf>
    <xf numFmtId="0" fontId="9" fillId="4" borderId="4" xfId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ti/Desktop/Nitin%20DGCA/Form%20A/SOFTWARE1_v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Window"/>
      <sheetName val="PivotTable"/>
      <sheetName val="Interface"/>
      <sheetName val="Data"/>
      <sheetName val="Sheet2"/>
      <sheetName val="Monthly_Template"/>
      <sheetName val="Sheet15"/>
      <sheetName val="DOMESTIC"/>
      <sheetName val="INTERNATIONAL"/>
    </sheetNames>
    <sheetDataSet>
      <sheetData sheetId="0"/>
      <sheetData sheetId="1"/>
      <sheetData sheetId="2">
        <row r="7">
          <cell r="AQ7" t="str">
            <v>SECTOR</v>
          </cell>
          <cell r="AR7" t="str">
            <v xml:space="preserve">DEPARTURES </v>
          </cell>
          <cell r="AT7" t="str">
            <v>AIR ASIA</v>
          </cell>
        </row>
        <row r="8">
          <cell r="AQ8" t="str">
            <v>AIRLINE</v>
          </cell>
          <cell r="AR8" t="str">
            <v xml:space="preserve">HOURS </v>
          </cell>
          <cell r="AT8" t="str">
            <v>AIR CARNIVAL</v>
          </cell>
        </row>
        <row r="9">
          <cell r="AQ9" t="str">
            <v>SERVICE</v>
          </cell>
          <cell r="AR9" t="str">
            <v xml:space="preserve">  KMS. </v>
          </cell>
          <cell r="AT9" t="str">
            <v>AIR COSTA</v>
          </cell>
        </row>
        <row r="10">
          <cell r="AQ10" t="str">
            <v>Carrier</v>
          </cell>
          <cell r="AR10" t="str">
            <v>PAX</v>
          </cell>
          <cell r="AT10" t="str">
            <v>AIR DECCAN</v>
          </cell>
        </row>
        <row r="11">
          <cell r="AQ11" t="str">
            <v>YEAR</v>
          </cell>
          <cell r="AR11" t="str">
            <v xml:space="preserve">RPKM </v>
          </cell>
          <cell r="AT11" t="str">
            <v>AIR HERITAGE</v>
          </cell>
        </row>
        <row r="12">
          <cell r="AQ12" t="str">
            <v>MONTH</v>
          </cell>
          <cell r="AR12" t="str">
            <v>ASKM</v>
          </cell>
          <cell r="AT12" t="str">
            <v>AIR INDIA</v>
          </cell>
        </row>
        <row r="13">
          <cell r="AQ13" t="str">
            <v>FY</v>
          </cell>
          <cell r="AR13" t="str">
            <v xml:space="preserve"> FREIGHT</v>
          </cell>
          <cell r="AT13" t="str">
            <v>AIR INDIA EXPRESS</v>
          </cell>
        </row>
        <row r="14">
          <cell r="AR14" t="str">
            <v>MAIL</v>
          </cell>
          <cell r="AT14" t="str">
            <v>AIR ODISHA</v>
          </cell>
        </row>
        <row r="15">
          <cell r="AR15" t="str">
            <v>CARGO</v>
          </cell>
          <cell r="AT15" t="str">
            <v>AIR PEGASUS</v>
          </cell>
        </row>
        <row r="16">
          <cell r="AR16" t="str">
            <v>PTKM</v>
          </cell>
          <cell r="AT16" t="str">
            <v>ALLIANCE AIR</v>
          </cell>
        </row>
        <row r="17">
          <cell r="AR17" t="str">
            <v>FTKM</v>
          </cell>
          <cell r="AT17" t="str">
            <v>BLUEDART</v>
          </cell>
        </row>
        <row r="18">
          <cell r="AR18" t="str">
            <v>MTKM</v>
          </cell>
          <cell r="AT18" t="str">
            <v>DECCAN</v>
          </cell>
        </row>
        <row r="19">
          <cell r="AR19" t="str">
            <v>RTKM</v>
          </cell>
          <cell r="AT19" t="str">
            <v>GO AIR</v>
          </cell>
        </row>
        <row r="20">
          <cell r="AR20" t="str">
            <v>ATKM</v>
          </cell>
          <cell r="AT20" t="str">
            <v>INDIGO</v>
          </cell>
        </row>
        <row r="21">
          <cell r="AT21" t="str">
            <v>JET AIRWAYS</v>
          </cell>
        </row>
        <row r="22">
          <cell r="AT22" t="str">
            <v>JETLITE</v>
          </cell>
        </row>
        <row r="23">
          <cell r="AT23" t="str">
            <v>KINGFISHER</v>
          </cell>
        </row>
        <row r="24">
          <cell r="AT24" t="str">
            <v>MDLR</v>
          </cell>
        </row>
        <row r="25">
          <cell r="AT25" t="str">
            <v>PARAMOUNT</v>
          </cell>
        </row>
        <row r="26">
          <cell r="AT26" t="str">
            <v>QUIKJET CARGO</v>
          </cell>
        </row>
        <row r="27">
          <cell r="AT27" t="str">
            <v>SPICEJET</v>
          </cell>
        </row>
        <row r="28">
          <cell r="AT28" t="str">
            <v>STAR AIR</v>
          </cell>
        </row>
        <row r="29">
          <cell r="AT29" t="str">
            <v>TRUJET</v>
          </cell>
        </row>
        <row r="30">
          <cell r="AT30" t="str">
            <v>VISTARA</v>
          </cell>
        </row>
        <row r="31">
          <cell r="AT31" t="str">
            <v>ZOOM AIR</v>
          </cell>
        </row>
        <row r="32">
          <cell r="AT32" t="str">
            <v>PAWAN HANS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61" transitionEvaluation="1" transitionEntry="1" codeName="Sheet12"/>
  <dimension ref="A1:Q494"/>
  <sheetViews>
    <sheetView showGridLines="0" tabSelected="1" view="pageBreakPreview" topLeftCell="A61" zoomScale="55" zoomScaleNormal="85" zoomScaleSheetLayoutView="55" workbookViewId="0">
      <selection activeCell="AE64" sqref="AE64"/>
    </sheetView>
  </sheetViews>
  <sheetFormatPr defaultColWidth="9.7109375" defaultRowHeight="18.75" x14ac:dyDescent="0.3"/>
  <cols>
    <col min="1" max="1" width="10.42578125" style="1" customWidth="1"/>
    <col min="2" max="2" width="9.7109375" style="1" bestFit="1" customWidth="1"/>
    <col min="3" max="3" width="10.28515625" style="1" customWidth="1"/>
    <col min="4" max="4" width="10.85546875" style="1" customWidth="1"/>
    <col min="5" max="5" width="12.7109375" style="1" customWidth="1"/>
    <col min="6" max="6" width="12.42578125" style="1" customWidth="1"/>
    <col min="7" max="7" width="13.7109375" style="1" customWidth="1"/>
    <col min="8" max="8" width="6.7109375" style="1" customWidth="1"/>
    <col min="9" max="9" width="11.28515625" style="1" bestFit="1" customWidth="1"/>
    <col min="10" max="10" width="9.42578125" style="1" bestFit="1" customWidth="1"/>
    <col min="11" max="11" width="11.28515625" style="1" bestFit="1" customWidth="1"/>
    <col min="12" max="12" width="12.85546875" style="1" bestFit="1" customWidth="1"/>
    <col min="13" max="13" width="11.28515625" style="1" bestFit="1" customWidth="1"/>
    <col min="14" max="14" width="9.140625" style="1" customWidth="1"/>
    <col min="15" max="15" width="12.85546875" style="1" bestFit="1" customWidth="1"/>
    <col min="16" max="16" width="12.7109375" style="1" customWidth="1"/>
    <col min="17" max="17" width="6.7109375" style="1" customWidth="1"/>
    <col min="18" max="16384" width="9.7109375" style="1"/>
  </cols>
  <sheetData>
    <row r="1" spans="1:17" ht="46.5" customHeight="1" x14ac:dyDescent="0.3">
      <c r="A1" s="160">
        <v>2020</v>
      </c>
      <c r="B1" s="160"/>
      <c r="C1" s="161" t="s">
        <v>38</v>
      </c>
      <c r="D1" s="161"/>
      <c r="E1" s="161"/>
      <c r="F1" s="161"/>
      <c r="G1" s="161"/>
      <c r="H1" s="161"/>
      <c r="I1" s="161"/>
      <c r="J1" s="161"/>
      <c r="K1" s="161"/>
      <c r="L1" s="161"/>
      <c r="M1" s="161"/>
      <c r="N1" s="161"/>
      <c r="O1" s="162" t="s">
        <v>0</v>
      </c>
      <c r="P1" s="162"/>
      <c r="Q1" s="162"/>
    </row>
    <row r="2" spans="1:17" ht="33" customHeight="1" x14ac:dyDescent="0.3">
      <c r="A2" s="163" t="s">
        <v>1</v>
      </c>
      <c r="B2" s="158" t="s">
        <v>2</v>
      </c>
      <c r="C2" s="158"/>
      <c r="D2" s="158"/>
      <c r="E2" s="159" t="s">
        <v>3</v>
      </c>
      <c r="F2" s="159" t="s">
        <v>4</v>
      </c>
      <c r="G2" s="159" t="s">
        <v>5</v>
      </c>
      <c r="H2" s="159" t="s">
        <v>6</v>
      </c>
      <c r="I2" s="158" t="s">
        <v>7</v>
      </c>
      <c r="J2" s="158"/>
      <c r="K2" s="158"/>
      <c r="L2" s="158" t="s">
        <v>8</v>
      </c>
      <c r="M2" s="158"/>
      <c r="N2" s="158"/>
      <c r="O2" s="158"/>
      <c r="P2" s="159" t="s">
        <v>9</v>
      </c>
      <c r="Q2" s="159" t="s">
        <v>10</v>
      </c>
    </row>
    <row r="3" spans="1:17" ht="155.25" customHeight="1" x14ac:dyDescent="0.3">
      <c r="A3" s="164"/>
      <c r="B3" s="14" t="s">
        <v>11</v>
      </c>
      <c r="C3" s="14" t="s">
        <v>12</v>
      </c>
      <c r="D3" s="14" t="s">
        <v>13</v>
      </c>
      <c r="E3" s="159"/>
      <c r="F3" s="159"/>
      <c r="G3" s="159"/>
      <c r="H3" s="159"/>
      <c r="I3" s="14" t="s">
        <v>14</v>
      </c>
      <c r="J3" s="15" t="s">
        <v>15</v>
      </c>
      <c r="K3" s="14" t="s">
        <v>16</v>
      </c>
      <c r="L3" s="14" t="s">
        <v>17</v>
      </c>
      <c r="M3" s="14" t="s">
        <v>18</v>
      </c>
      <c r="N3" s="14" t="s">
        <v>19</v>
      </c>
      <c r="O3" s="14" t="s">
        <v>20</v>
      </c>
      <c r="P3" s="159"/>
      <c r="Q3" s="159"/>
    </row>
    <row r="4" spans="1:17" ht="23.1" customHeight="1" x14ac:dyDescent="0.3">
      <c r="A4" s="16" t="s">
        <v>21</v>
      </c>
      <c r="B4" s="17">
        <v>16693</v>
      </c>
      <c r="C4" s="17">
        <v>25406.85</v>
      </c>
      <c r="D4" s="18">
        <v>14921.647000000001</v>
      </c>
      <c r="E4" s="19">
        <v>2124455</v>
      </c>
      <c r="F4" s="17">
        <v>2170814.8420000002</v>
      </c>
      <c r="G4" s="17">
        <v>2372618.952</v>
      </c>
      <c r="H4" s="20">
        <f>IFERROR(F4/G4*100," ")</f>
        <v>91.494457640157975</v>
      </c>
      <c r="I4" s="21">
        <v>13795.871039999998</v>
      </c>
      <c r="J4" s="22"/>
      <c r="K4" s="20">
        <f>IF(AND(ISBLANK(I4),ISBLANK(J4))=TRUE,"",I4+J4)</f>
        <v>13795.871039999998</v>
      </c>
      <c r="L4" s="21">
        <v>162811.113675</v>
      </c>
      <c r="M4" s="22">
        <v>13843.731659999999</v>
      </c>
      <c r="N4" s="22"/>
      <c r="O4" s="20">
        <f>IF(AND(ISBLANK(L4),ISBLANK(M4),ISBLANK(N4))=TRUE,"",L4+M4+N4)</f>
        <v>176654.84533499999</v>
      </c>
      <c r="P4" s="22">
        <v>208146.0595</v>
      </c>
      <c r="Q4" s="20">
        <f>IFERROR(O4/P4*100," ")</f>
        <v>84.870617180720629</v>
      </c>
    </row>
    <row r="5" spans="1:17" ht="23.1" customHeight="1" x14ac:dyDescent="0.3">
      <c r="A5" s="23" t="s">
        <v>22</v>
      </c>
      <c r="B5" s="24">
        <v>14907</v>
      </c>
      <c r="C5" s="24">
        <v>22321.816666666666</v>
      </c>
      <c r="D5" s="23">
        <v>12970.659</v>
      </c>
      <c r="E5" s="25">
        <v>1890633</v>
      </c>
      <c r="F5" s="24">
        <v>1884852.1140000001</v>
      </c>
      <c r="G5" s="24">
        <v>2026187.2290000001</v>
      </c>
      <c r="H5" s="26">
        <f t="shared" ref="H5:H16" si="0">IFERROR(F5/G5*100," ")</f>
        <v>93.024577740046553</v>
      </c>
      <c r="I5" s="27">
        <v>12350.904860000004</v>
      </c>
      <c r="J5" s="28"/>
      <c r="K5" s="26">
        <f t="shared" ref="K5:K16" si="1">IF(AND(ISBLANK(I5),ISBLANK(J5))=TRUE,"",I5+J5)</f>
        <v>12350.904860000004</v>
      </c>
      <c r="L5" s="27">
        <v>141363.90874000001</v>
      </c>
      <c r="M5" s="28">
        <v>12081.415709999999</v>
      </c>
      <c r="N5" s="28"/>
      <c r="O5" s="26">
        <f t="shared" ref="O5:O16" si="2">IF(AND(ISBLANK(L5),ISBLANK(M5),ISBLANK(N5))=TRUE,"",L5+M5+N5)</f>
        <v>153445.32445000001</v>
      </c>
      <c r="P5" s="28">
        <v>176974.22399999999</v>
      </c>
      <c r="Q5" s="26">
        <f t="shared" ref="Q5:Q16" si="3">IFERROR(O5/P5*100," ")</f>
        <v>86.704900285365866</v>
      </c>
    </row>
    <row r="6" spans="1:17" ht="23.1" customHeight="1" x14ac:dyDescent="0.3">
      <c r="A6" s="29" t="s">
        <v>23</v>
      </c>
      <c r="B6" s="30">
        <v>10999</v>
      </c>
      <c r="C6" s="30">
        <v>16232.25</v>
      </c>
      <c r="D6" s="29">
        <v>9509.1299999999992</v>
      </c>
      <c r="E6" s="31">
        <v>1245208</v>
      </c>
      <c r="F6" s="30">
        <v>1246162.7879999999</v>
      </c>
      <c r="G6" s="30">
        <v>1489232.7579999999</v>
      </c>
      <c r="H6" s="32">
        <f t="shared" si="0"/>
        <v>83.678174637627734</v>
      </c>
      <c r="I6" s="33">
        <v>8909.9472900000037</v>
      </c>
      <c r="J6" s="34"/>
      <c r="K6" s="32">
        <f t="shared" si="1"/>
        <v>8909.9472900000037</v>
      </c>
      <c r="L6" s="33">
        <v>93462.209494999901</v>
      </c>
      <c r="M6" s="34">
        <v>7482.1008899999997</v>
      </c>
      <c r="N6" s="34"/>
      <c r="O6" s="32">
        <f t="shared" si="2"/>
        <v>100944.3103849999</v>
      </c>
      <c r="P6" s="34">
        <v>129754.124</v>
      </c>
      <c r="Q6" s="32">
        <f t="shared" si="3"/>
        <v>77.79661044530647</v>
      </c>
    </row>
    <row r="7" spans="1:17" ht="23.1" customHeight="1" x14ac:dyDescent="0.3">
      <c r="A7" s="23" t="s">
        <v>24</v>
      </c>
      <c r="B7" s="24"/>
      <c r="C7" s="24"/>
      <c r="D7" s="23"/>
      <c r="E7" s="25"/>
      <c r="F7" s="24"/>
      <c r="G7" s="24"/>
      <c r="H7" s="26" t="str">
        <f t="shared" si="0"/>
        <v xml:space="preserve"> </v>
      </c>
      <c r="I7" s="27"/>
      <c r="J7" s="28"/>
      <c r="K7" s="26" t="str">
        <f t="shared" si="1"/>
        <v/>
      </c>
      <c r="L7" s="27"/>
      <c r="M7" s="28"/>
      <c r="N7" s="28"/>
      <c r="O7" s="26" t="str">
        <f t="shared" si="2"/>
        <v/>
      </c>
      <c r="P7" s="28"/>
      <c r="Q7" s="26" t="str">
        <f t="shared" si="3"/>
        <v xml:space="preserve"> </v>
      </c>
    </row>
    <row r="8" spans="1:17" s="2" customFormat="1" ht="30" customHeight="1" x14ac:dyDescent="0.25">
      <c r="A8" s="29" t="s">
        <v>25</v>
      </c>
      <c r="B8" s="30">
        <v>618</v>
      </c>
      <c r="C8" s="30">
        <v>891.83</v>
      </c>
      <c r="D8" s="29">
        <v>530.80899999999997</v>
      </c>
      <c r="E8" s="31">
        <v>48156</v>
      </c>
      <c r="F8" s="30">
        <v>48598.377</v>
      </c>
      <c r="G8" s="30">
        <v>85004.786999999997</v>
      </c>
      <c r="H8" s="32">
        <f t="shared" si="0"/>
        <v>57.171341421042563</v>
      </c>
      <c r="I8" s="33">
        <v>3850.0464500000016</v>
      </c>
      <c r="J8" s="34"/>
      <c r="K8" s="32">
        <f t="shared" si="1"/>
        <v>3850.0464500000016</v>
      </c>
      <c r="L8" s="33">
        <v>3644.8784099999998</v>
      </c>
      <c r="M8" s="34">
        <v>510.79383000000001</v>
      </c>
      <c r="N8" s="34"/>
      <c r="O8" s="32">
        <f t="shared" si="2"/>
        <v>4155.6722399999999</v>
      </c>
      <c r="P8" s="34">
        <v>7282.1674999999996</v>
      </c>
      <c r="Q8" s="32">
        <f t="shared" si="3"/>
        <v>57.066419304417259</v>
      </c>
    </row>
    <row r="9" spans="1:17" ht="23.1" customHeight="1" x14ac:dyDescent="0.3">
      <c r="A9" s="23" t="s">
        <v>26</v>
      </c>
      <c r="B9" s="24">
        <v>3457</v>
      </c>
      <c r="C9" s="24">
        <v>5251.33</v>
      </c>
      <c r="D9" s="23">
        <v>3238</v>
      </c>
      <c r="E9" s="25">
        <v>334104</v>
      </c>
      <c r="F9" s="24">
        <v>362216</v>
      </c>
      <c r="G9" s="24">
        <v>532545</v>
      </c>
      <c r="H9" s="26">
        <f t="shared" si="0"/>
        <v>68.016036203513323</v>
      </c>
      <c r="I9" s="27">
        <v>5965.9480680807301</v>
      </c>
      <c r="J9" s="28"/>
      <c r="K9" s="26">
        <f t="shared" si="1"/>
        <v>5965.9480680807301</v>
      </c>
      <c r="L9" s="27">
        <v>27166</v>
      </c>
      <c r="M9" s="28">
        <v>2927</v>
      </c>
      <c r="N9" s="28"/>
      <c r="O9" s="26">
        <f t="shared" si="2"/>
        <v>30093</v>
      </c>
      <c r="P9" s="28">
        <v>45995</v>
      </c>
      <c r="Q9" s="26">
        <f t="shared" si="3"/>
        <v>65.426676812697039</v>
      </c>
    </row>
    <row r="10" spans="1:17" ht="23.1" customHeight="1" x14ac:dyDescent="0.3">
      <c r="A10" s="29" t="s">
        <v>27</v>
      </c>
      <c r="B10" s="30">
        <v>3548</v>
      </c>
      <c r="C10" s="30">
        <v>5064.583333333333</v>
      </c>
      <c r="D10" s="29">
        <v>3062.99</v>
      </c>
      <c r="E10" s="31">
        <v>331197</v>
      </c>
      <c r="F10" s="30">
        <v>342586.69199999998</v>
      </c>
      <c r="G10" s="30">
        <v>489130.54200000002</v>
      </c>
      <c r="H10" s="32">
        <f t="shared" si="0"/>
        <v>70.039930567247211</v>
      </c>
      <c r="I10" s="33">
        <v>2863.5950399999997</v>
      </c>
      <c r="J10" s="34"/>
      <c r="K10" s="32">
        <f t="shared" si="1"/>
        <v>2863.5950399999997</v>
      </c>
      <c r="L10" s="33">
        <v>25694.002100000002</v>
      </c>
      <c r="M10" s="34">
        <v>3254.8686400000001</v>
      </c>
      <c r="N10" s="34"/>
      <c r="O10" s="32">
        <f t="shared" si="2"/>
        <v>28948.870740000002</v>
      </c>
      <c r="P10" s="34">
        <v>42487.529000000002</v>
      </c>
      <c r="Q10" s="32">
        <f t="shared" si="3"/>
        <v>68.134983185301266</v>
      </c>
    </row>
    <row r="11" spans="1:17" ht="23.1" customHeight="1" x14ac:dyDescent="0.3">
      <c r="A11" s="23" t="s">
        <v>28</v>
      </c>
      <c r="B11" s="24">
        <v>3937</v>
      </c>
      <c r="C11" s="24">
        <v>5525.1333333333332</v>
      </c>
      <c r="D11" s="23">
        <v>3368.3009999999999</v>
      </c>
      <c r="E11" s="25">
        <v>390885</v>
      </c>
      <c r="F11" s="24">
        <v>406988.875</v>
      </c>
      <c r="G11" s="24">
        <v>535160.924</v>
      </c>
      <c r="H11" s="26">
        <f t="shared" si="0"/>
        <v>76.049811701124867</v>
      </c>
      <c r="I11" s="27">
        <v>3533.4080800000002</v>
      </c>
      <c r="J11" s="28"/>
      <c r="K11" s="26">
        <f t="shared" si="1"/>
        <v>3533.4080800000002</v>
      </c>
      <c r="L11" s="27">
        <v>30524.165824999989</v>
      </c>
      <c r="M11" s="28">
        <v>4036.6476200000025</v>
      </c>
      <c r="N11" s="28"/>
      <c r="O11" s="26">
        <f t="shared" si="2"/>
        <v>34560.813444999992</v>
      </c>
      <c r="P11" s="28">
        <v>46545.806499999999</v>
      </c>
      <c r="Q11" s="26">
        <f t="shared" si="3"/>
        <v>74.25118618365758</v>
      </c>
    </row>
    <row r="12" spans="1:17" ht="23.1" customHeight="1" x14ac:dyDescent="0.3">
      <c r="A12" s="29" t="s">
        <v>29</v>
      </c>
      <c r="B12" s="30">
        <v>5410</v>
      </c>
      <c r="C12" s="30">
        <v>8035.6166666666668</v>
      </c>
      <c r="D12" s="29">
        <v>4827.9780000000001</v>
      </c>
      <c r="E12" s="31">
        <v>529758</v>
      </c>
      <c r="F12" s="30">
        <v>560602.19799999997</v>
      </c>
      <c r="G12" s="30">
        <v>767945.38100000005</v>
      </c>
      <c r="H12" s="32">
        <f t="shared" si="0"/>
        <v>73.000269533491718</v>
      </c>
      <c r="I12" s="33">
        <v>5059.449580000005</v>
      </c>
      <c r="J12" s="34"/>
      <c r="K12" s="32">
        <f t="shared" si="1"/>
        <v>5059.449580000005</v>
      </c>
      <c r="L12" s="33">
        <v>42196.776279999998</v>
      </c>
      <c r="M12" s="34">
        <v>5926.5556500000102</v>
      </c>
      <c r="N12" s="34"/>
      <c r="O12" s="32">
        <f t="shared" si="2"/>
        <v>48123.331930000008</v>
      </c>
      <c r="P12" s="34">
        <v>66694.726999999999</v>
      </c>
      <c r="Q12" s="32">
        <f t="shared" si="3"/>
        <v>72.154627651448379</v>
      </c>
    </row>
    <row r="13" spans="1:17" ht="23.1" customHeight="1" x14ac:dyDescent="0.3">
      <c r="A13" s="23" t="s">
        <v>30</v>
      </c>
      <c r="B13" s="24">
        <v>6837</v>
      </c>
      <c r="C13" s="24">
        <v>10229.67</v>
      </c>
      <c r="D13" s="23">
        <v>6203.8339999999998</v>
      </c>
      <c r="E13" s="25">
        <v>704498</v>
      </c>
      <c r="F13" s="24">
        <v>732301.64199999999</v>
      </c>
      <c r="G13" s="24">
        <v>989616.41500000004</v>
      </c>
      <c r="H13" s="26">
        <f t="shared" si="0"/>
        <v>73.998534270472859</v>
      </c>
      <c r="I13" s="27">
        <v>5711.3699900000038</v>
      </c>
      <c r="J13" s="28"/>
      <c r="K13" s="26">
        <f t="shared" si="1"/>
        <v>5711.3699900000038</v>
      </c>
      <c r="L13" s="27">
        <v>54922.623560000102</v>
      </c>
      <c r="M13" s="28">
        <v>6857.8723399999999</v>
      </c>
      <c r="N13" s="28"/>
      <c r="O13" s="26">
        <f t="shared" si="2"/>
        <v>61780.495900000104</v>
      </c>
      <c r="P13" s="28">
        <v>86036.738500000007</v>
      </c>
      <c r="Q13" s="26">
        <f t="shared" si="3"/>
        <v>71.807110517096248</v>
      </c>
    </row>
    <row r="14" spans="1:17" ht="23.1" customHeight="1" x14ac:dyDescent="0.3">
      <c r="A14" s="29" t="s">
        <v>31</v>
      </c>
      <c r="B14" s="30">
        <v>7813</v>
      </c>
      <c r="C14" s="30">
        <v>11695.916666666666</v>
      </c>
      <c r="D14" s="29">
        <v>7055.1779999999999</v>
      </c>
      <c r="E14" s="31">
        <v>839523</v>
      </c>
      <c r="F14" s="30">
        <v>871555.89300000004</v>
      </c>
      <c r="G14" s="30">
        <v>1121006.6399999999</v>
      </c>
      <c r="H14" s="32">
        <f t="shared" si="0"/>
        <v>77.747612003440054</v>
      </c>
      <c r="I14" s="33">
        <v>4932.4241800000018</v>
      </c>
      <c r="J14" s="34"/>
      <c r="K14" s="32">
        <f t="shared" si="1"/>
        <v>4932.4241800000018</v>
      </c>
      <c r="L14" s="33">
        <v>65364.156545000158</v>
      </c>
      <c r="M14" s="34">
        <v>5804.3721399999986</v>
      </c>
      <c r="N14" s="34"/>
      <c r="O14" s="32">
        <f t="shared" si="2"/>
        <v>71168.528685000158</v>
      </c>
      <c r="P14" s="34">
        <v>97701.592499999999</v>
      </c>
      <c r="Q14" s="32">
        <f t="shared" si="3"/>
        <v>72.842751959237674</v>
      </c>
    </row>
    <row r="15" spans="1:17" ht="23.1" customHeight="1" x14ac:dyDescent="0.3">
      <c r="A15" s="35" t="s">
        <v>32</v>
      </c>
      <c r="B15" s="36">
        <v>8719</v>
      </c>
      <c r="C15" s="36">
        <v>13577.7</v>
      </c>
      <c r="D15" s="37">
        <v>8131.5709999999999</v>
      </c>
      <c r="E15" s="38">
        <v>951550</v>
      </c>
      <c r="F15" s="36">
        <v>999565.45600000001</v>
      </c>
      <c r="G15" s="36">
        <v>1281416.105</v>
      </c>
      <c r="H15" s="39">
        <f t="shared" si="0"/>
        <v>78.004752094168509</v>
      </c>
      <c r="I15" s="40">
        <v>5381.862819788671</v>
      </c>
      <c r="J15" s="41"/>
      <c r="K15" s="39">
        <f t="shared" si="1"/>
        <v>5381.862819788671</v>
      </c>
      <c r="L15" s="40">
        <v>74967.409559999971</v>
      </c>
      <c r="M15" s="41">
        <v>6320.9403400000019</v>
      </c>
      <c r="N15" s="41"/>
      <c r="O15" s="39">
        <f t="shared" si="2"/>
        <v>81288.349899999972</v>
      </c>
      <c r="P15" s="28">
        <v>111619.9325</v>
      </c>
      <c r="Q15" s="26">
        <f t="shared" si="3"/>
        <v>72.826015998531417</v>
      </c>
    </row>
    <row r="16" spans="1:17" ht="23.1" customHeight="1" x14ac:dyDescent="0.3">
      <c r="A16" s="42" t="s">
        <v>33</v>
      </c>
      <c r="B16" s="43">
        <f t="shared" ref="B16:G16" si="4">SUM(B4:B15)</f>
        <v>82938</v>
      </c>
      <c r="C16" s="43">
        <f t="shared" si="4"/>
        <v>124232.69666666666</v>
      </c>
      <c r="D16" s="43">
        <f t="shared" si="4"/>
        <v>73820.097000000009</v>
      </c>
      <c r="E16" s="43">
        <f t="shared" si="4"/>
        <v>9389967</v>
      </c>
      <c r="F16" s="43">
        <f t="shared" si="4"/>
        <v>9626244.8770000003</v>
      </c>
      <c r="G16" s="43">
        <f t="shared" si="4"/>
        <v>11689864.732999999</v>
      </c>
      <c r="H16" s="44">
        <f t="shared" si="0"/>
        <v>82.346931267951405</v>
      </c>
      <c r="I16" s="44">
        <f>SUM(I4:I15)</f>
        <v>72354.82739786942</v>
      </c>
      <c r="J16" s="44">
        <f>SUM(J4:J15)</f>
        <v>0</v>
      </c>
      <c r="K16" s="44">
        <f t="shared" si="1"/>
        <v>72354.82739786942</v>
      </c>
      <c r="L16" s="44">
        <f>SUM(L4:L15)</f>
        <v>722117.24419000011</v>
      </c>
      <c r="M16" s="44">
        <f>SUM(M4:M15)</f>
        <v>69046.298820000025</v>
      </c>
      <c r="N16" s="44">
        <f>SUM(N4:N15)</f>
        <v>0</v>
      </c>
      <c r="O16" s="44">
        <f t="shared" si="2"/>
        <v>791163.54301000014</v>
      </c>
      <c r="P16" s="45">
        <f>SUM(P4:P15)</f>
        <v>1019237.9009999998</v>
      </c>
      <c r="Q16" s="45">
        <f t="shared" si="3"/>
        <v>77.623049754504791</v>
      </c>
    </row>
    <row r="17" spans="1:17" ht="20.100000000000001" customHeight="1" x14ac:dyDescent="0.3">
      <c r="A17" s="139" t="s">
        <v>34</v>
      </c>
      <c r="B17" s="140"/>
      <c r="C17" s="140"/>
      <c r="D17" s="140"/>
      <c r="E17" s="140"/>
      <c r="F17" s="140"/>
      <c r="G17" s="140"/>
      <c r="H17" s="140"/>
      <c r="I17" s="140"/>
      <c r="J17" s="140"/>
      <c r="K17" s="140"/>
      <c r="L17" s="140"/>
      <c r="M17" s="140"/>
      <c r="N17" s="140"/>
      <c r="O17" s="140"/>
      <c r="P17" s="140"/>
      <c r="Q17" s="140"/>
    </row>
    <row r="18" spans="1:17" s="3" customFormat="1" x14ac:dyDescent="0.25">
      <c r="A18" s="141" t="s">
        <v>35</v>
      </c>
      <c r="B18" s="141"/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</row>
    <row r="19" spans="1:17" s="3" customFormat="1" x14ac:dyDescent="0.25">
      <c r="A19" s="141" t="s">
        <v>36</v>
      </c>
      <c r="B19" s="141"/>
      <c r="C19" s="141"/>
      <c r="D19" s="141"/>
      <c r="E19" s="141"/>
      <c r="F19" s="141"/>
      <c r="G19" s="141"/>
      <c r="H19" s="141"/>
      <c r="I19" s="141"/>
      <c r="J19" s="141"/>
      <c r="K19" s="141"/>
      <c r="L19" s="141"/>
      <c r="M19" s="141"/>
      <c r="N19" s="141"/>
      <c r="O19" s="141"/>
      <c r="P19" s="141"/>
      <c r="Q19" s="141"/>
    </row>
    <row r="20" spans="1:17" ht="51.75" customHeight="1" x14ac:dyDescent="0.3">
      <c r="A20" s="154">
        <v>2020</v>
      </c>
      <c r="B20" s="154"/>
      <c r="C20" s="155" t="s">
        <v>39</v>
      </c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6" t="s">
        <v>0</v>
      </c>
      <c r="P20" s="156"/>
      <c r="Q20" s="157"/>
    </row>
    <row r="21" spans="1:17" ht="33" customHeight="1" x14ac:dyDescent="0.3">
      <c r="A21" s="151" t="s">
        <v>1</v>
      </c>
      <c r="B21" s="151" t="s">
        <v>2</v>
      </c>
      <c r="C21" s="151"/>
      <c r="D21" s="151"/>
      <c r="E21" s="152" t="s">
        <v>3</v>
      </c>
      <c r="F21" s="152" t="s">
        <v>4</v>
      </c>
      <c r="G21" s="152" t="s">
        <v>5</v>
      </c>
      <c r="H21" s="152" t="s">
        <v>6</v>
      </c>
      <c r="I21" s="151" t="s">
        <v>7</v>
      </c>
      <c r="J21" s="151"/>
      <c r="K21" s="151"/>
      <c r="L21" s="151" t="s">
        <v>8</v>
      </c>
      <c r="M21" s="151"/>
      <c r="N21" s="151"/>
      <c r="O21" s="151"/>
      <c r="P21" s="152" t="s">
        <v>9</v>
      </c>
      <c r="Q21" s="152" t="s">
        <v>10</v>
      </c>
    </row>
    <row r="22" spans="1:17" ht="150.75" customHeight="1" x14ac:dyDescent="0.3">
      <c r="A22" s="151"/>
      <c r="B22" s="46" t="s">
        <v>11</v>
      </c>
      <c r="C22" s="46" t="s">
        <v>12</v>
      </c>
      <c r="D22" s="46" t="s">
        <v>13</v>
      </c>
      <c r="E22" s="152"/>
      <c r="F22" s="152"/>
      <c r="G22" s="152"/>
      <c r="H22" s="152"/>
      <c r="I22" s="46" t="s">
        <v>14</v>
      </c>
      <c r="J22" s="47" t="s">
        <v>15</v>
      </c>
      <c r="K22" s="46" t="s">
        <v>16</v>
      </c>
      <c r="L22" s="48" t="s">
        <v>17</v>
      </c>
      <c r="M22" s="48" t="s">
        <v>18</v>
      </c>
      <c r="N22" s="48" t="s">
        <v>19</v>
      </c>
      <c r="O22" s="48" t="s">
        <v>20</v>
      </c>
      <c r="P22" s="153"/>
      <c r="Q22" s="153"/>
    </row>
    <row r="23" spans="1:17" ht="23.1" customHeight="1" x14ac:dyDescent="0.3">
      <c r="A23" s="49" t="s">
        <v>21</v>
      </c>
      <c r="B23" s="50">
        <v>1882</v>
      </c>
      <c r="C23" s="51">
        <v>5908.0666666666666</v>
      </c>
      <c r="D23" s="52">
        <v>4172.4380000000001</v>
      </c>
      <c r="E23" s="50">
        <v>276675</v>
      </c>
      <c r="F23" s="51">
        <v>634676.40300000005</v>
      </c>
      <c r="G23" s="51">
        <v>758160.40099999995</v>
      </c>
      <c r="H23" s="53">
        <f t="shared" ref="H23:H35" si="5">IFERROR(F23/G23*100," ")</f>
        <v>83.712681665103233</v>
      </c>
      <c r="I23" s="54">
        <v>2070.134399999999</v>
      </c>
      <c r="J23" s="54"/>
      <c r="K23" s="54">
        <f>IF(AND(ISBLANK(I23),ISBLANK(J23))=TRUE,"",I23+J23)</f>
        <v>2070.134399999999</v>
      </c>
      <c r="L23" s="55">
        <v>47600.730259999997</v>
      </c>
      <c r="M23" s="54">
        <v>3600.2941500000002</v>
      </c>
      <c r="N23" s="54"/>
      <c r="O23" s="56">
        <f>IF(AND(ISBLANK(L23),ISBLANK(M23),ISBLANK(N23))=TRUE,"",L23+M23+N23)</f>
        <v>51201.024409999998</v>
      </c>
      <c r="P23" s="55">
        <v>66412.326000000001</v>
      </c>
      <c r="Q23" s="56">
        <f>IFERROR(O23/P23*100," ")</f>
        <v>77.09566505771835</v>
      </c>
    </row>
    <row r="24" spans="1:17" ht="23.1" customHeight="1" x14ac:dyDescent="0.3">
      <c r="A24" s="57" t="s">
        <v>22</v>
      </c>
      <c r="B24" s="58">
        <v>1650</v>
      </c>
      <c r="C24" s="57">
        <v>5117.45</v>
      </c>
      <c r="D24" s="59">
        <v>3663.703</v>
      </c>
      <c r="E24" s="58">
        <v>233449</v>
      </c>
      <c r="F24" s="57">
        <v>522343.17499999999</v>
      </c>
      <c r="G24" s="57">
        <v>677177.68500000006</v>
      </c>
      <c r="H24" s="60">
        <f t="shared" si="5"/>
        <v>77.135320104353397</v>
      </c>
      <c r="I24" s="61">
        <v>2202.6186800000005</v>
      </c>
      <c r="J24" s="61"/>
      <c r="K24" s="61">
        <f t="shared" ref="K24:K35" si="6">IF(AND(ISBLANK(I24),ISBLANK(J24))=TRUE,"",I24+J24)</f>
        <v>2202.6186800000005</v>
      </c>
      <c r="L24" s="62">
        <v>39175.738129999998</v>
      </c>
      <c r="M24" s="61">
        <v>3349.36688</v>
      </c>
      <c r="N24" s="61"/>
      <c r="O24" s="60">
        <f t="shared" ref="O24:O35" si="7">IF(AND(ISBLANK(L24),ISBLANK(M24),ISBLANK(N24))=TRUE,"",L24+M24+N24)</f>
        <v>42525.105009999999</v>
      </c>
      <c r="P24" s="62">
        <v>58326.898999999998</v>
      </c>
      <c r="Q24" s="60">
        <f t="shared" ref="Q24:Q35" si="8">IFERROR(O24/P24*100," ")</f>
        <v>72.908222002338917</v>
      </c>
    </row>
    <row r="25" spans="1:17" ht="23.1" customHeight="1" x14ac:dyDescent="0.3">
      <c r="A25" s="49" t="s">
        <v>23</v>
      </c>
      <c r="B25" s="63">
        <v>863</v>
      </c>
      <c r="C25" s="49">
        <v>2431.7166666666667</v>
      </c>
      <c r="D25" s="64">
        <v>1729.8030000000001</v>
      </c>
      <c r="E25" s="63">
        <v>115048</v>
      </c>
      <c r="F25" s="49">
        <v>244612.092</v>
      </c>
      <c r="G25" s="49">
        <v>324005.75099999999</v>
      </c>
      <c r="H25" s="53">
        <f t="shared" si="5"/>
        <v>75.496219201368447</v>
      </c>
      <c r="I25" s="65">
        <v>1764.8835800000002</v>
      </c>
      <c r="J25" s="65"/>
      <c r="K25" s="65">
        <f t="shared" si="6"/>
        <v>1764.8835800000002</v>
      </c>
      <c r="L25" s="66">
        <v>18345.906869999999</v>
      </c>
      <c r="M25" s="65">
        <v>2190.1931</v>
      </c>
      <c r="N25" s="65"/>
      <c r="O25" s="53">
        <f t="shared" si="7"/>
        <v>20536.099969999999</v>
      </c>
      <c r="P25" s="66">
        <v>27503.363000000001</v>
      </c>
      <c r="Q25" s="53">
        <f t="shared" si="8"/>
        <v>74.66759599544244</v>
      </c>
    </row>
    <row r="26" spans="1:17" ht="23.1" customHeight="1" x14ac:dyDescent="0.3">
      <c r="A26" s="57" t="s">
        <v>24</v>
      </c>
      <c r="B26" s="58"/>
      <c r="C26" s="57"/>
      <c r="D26" s="59"/>
      <c r="E26" s="58"/>
      <c r="F26" s="57"/>
      <c r="G26" s="57"/>
      <c r="H26" s="60" t="str">
        <f t="shared" si="5"/>
        <v xml:space="preserve"> </v>
      </c>
      <c r="I26" s="61"/>
      <c r="J26" s="61"/>
      <c r="K26" s="61" t="str">
        <f t="shared" si="6"/>
        <v/>
      </c>
      <c r="L26" s="62"/>
      <c r="M26" s="61"/>
      <c r="N26" s="61"/>
      <c r="O26" s="60" t="str">
        <f t="shared" si="7"/>
        <v/>
      </c>
      <c r="P26" s="62"/>
      <c r="Q26" s="60" t="str">
        <f t="shared" si="8"/>
        <v xml:space="preserve"> </v>
      </c>
    </row>
    <row r="27" spans="1:17" s="2" customFormat="1" ht="30" customHeight="1" x14ac:dyDescent="0.25">
      <c r="A27" s="49" t="s">
        <v>25</v>
      </c>
      <c r="B27" s="63"/>
      <c r="C27" s="49"/>
      <c r="D27" s="64"/>
      <c r="E27" s="63"/>
      <c r="F27" s="49"/>
      <c r="G27" s="49"/>
      <c r="H27" s="53" t="str">
        <f t="shared" si="5"/>
        <v xml:space="preserve"> </v>
      </c>
      <c r="I27" s="65"/>
      <c r="J27" s="65"/>
      <c r="K27" s="65" t="str">
        <f t="shared" si="6"/>
        <v/>
      </c>
      <c r="L27" s="66"/>
      <c r="M27" s="65"/>
      <c r="N27" s="65"/>
      <c r="O27" s="53" t="str">
        <f t="shared" si="7"/>
        <v/>
      </c>
      <c r="P27" s="66"/>
      <c r="Q27" s="53" t="str">
        <f t="shared" si="8"/>
        <v xml:space="preserve"> </v>
      </c>
    </row>
    <row r="28" spans="1:17" ht="23.1" customHeight="1" x14ac:dyDescent="0.3">
      <c r="A28" s="57" t="s">
        <v>26</v>
      </c>
      <c r="B28" s="58"/>
      <c r="C28" s="57"/>
      <c r="D28" s="59"/>
      <c r="E28" s="58"/>
      <c r="F28" s="57"/>
      <c r="G28" s="57"/>
      <c r="H28" s="60" t="str">
        <f t="shared" si="5"/>
        <v xml:space="preserve"> </v>
      </c>
      <c r="I28" s="61"/>
      <c r="J28" s="61"/>
      <c r="K28" s="61" t="str">
        <f t="shared" si="6"/>
        <v/>
      </c>
      <c r="L28" s="62"/>
      <c r="M28" s="61"/>
      <c r="N28" s="61"/>
      <c r="O28" s="60" t="str">
        <f t="shared" si="7"/>
        <v/>
      </c>
      <c r="P28" s="62"/>
      <c r="Q28" s="60" t="str">
        <f t="shared" si="8"/>
        <v xml:space="preserve"> </v>
      </c>
    </row>
    <row r="29" spans="1:17" ht="23.1" customHeight="1" x14ac:dyDescent="0.3">
      <c r="A29" s="49" t="s">
        <v>27</v>
      </c>
      <c r="B29" s="63"/>
      <c r="C29" s="49"/>
      <c r="D29" s="64"/>
      <c r="E29" s="63"/>
      <c r="F29" s="49"/>
      <c r="G29" s="49"/>
      <c r="H29" s="53" t="str">
        <f t="shared" si="5"/>
        <v xml:space="preserve"> </v>
      </c>
      <c r="I29" s="65"/>
      <c r="J29" s="65"/>
      <c r="K29" s="65" t="str">
        <f t="shared" si="6"/>
        <v/>
      </c>
      <c r="L29" s="66"/>
      <c r="M29" s="65"/>
      <c r="N29" s="65"/>
      <c r="O29" s="53" t="str">
        <f t="shared" si="7"/>
        <v/>
      </c>
      <c r="P29" s="66"/>
      <c r="Q29" s="53" t="str">
        <f t="shared" si="8"/>
        <v xml:space="preserve"> </v>
      </c>
    </row>
    <row r="30" spans="1:17" ht="23.1" customHeight="1" x14ac:dyDescent="0.3">
      <c r="A30" s="57" t="s">
        <v>28</v>
      </c>
      <c r="B30" s="58"/>
      <c r="C30" s="57"/>
      <c r="D30" s="59"/>
      <c r="E30" s="58"/>
      <c r="F30" s="57"/>
      <c r="G30" s="57"/>
      <c r="H30" s="60" t="str">
        <f t="shared" si="5"/>
        <v xml:space="preserve"> </v>
      </c>
      <c r="I30" s="61"/>
      <c r="J30" s="61"/>
      <c r="K30" s="61" t="str">
        <f t="shared" si="6"/>
        <v/>
      </c>
      <c r="L30" s="62"/>
      <c r="M30" s="61"/>
      <c r="N30" s="61"/>
      <c r="O30" s="60" t="str">
        <f t="shared" si="7"/>
        <v/>
      </c>
      <c r="P30" s="62"/>
      <c r="Q30" s="60" t="str">
        <f t="shared" si="8"/>
        <v xml:space="preserve"> </v>
      </c>
    </row>
    <row r="31" spans="1:17" ht="23.1" customHeight="1" x14ac:dyDescent="0.3">
      <c r="A31" s="49" t="s">
        <v>29</v>
      </c>
      <c r="B31" s="63"/>
      <c r="C31" s="49"/>
      <c r="D31" s="64"/>
      <c r="E31" s="63"/>
      <c r="F31" s="49"/>
      <c r="G31" s="49"/>
      <c r="H31" s="53" t="str">
        <f t="shared" si="5"/>
        <v xml:space="preserve"> </v>
      </c>
      <c r="I31" s="65"/>
      <c r="J31" s="65"/>
      <c r="K31" s="65" t="str">
        <f t="shared" si="6"/>
        <v/>
      </c>
      <c r="L31" s="66"/>
      <c r="M31" s="65"/>
      <c r="N31" s="65"/>
      <c r="O31" s="53" t="str">
        <f t="shared" si="7"/>
        <v/>
      </c>
      <c r="P31" s="66"/>
      <c r="Q31" s="53" t="str">
        <f t="shared" si="8"/>
        <v xml:space="preserve"> </v>
      </c>
    </row>
    <row r="32" spans="1:17" ht="23.1" customHeight="1" x14ac:dyDescent="0.3">
      <c r="A32" s="57" t="s">
        <v>30</v>
      </c>
      <c r="B32" s="58"/>
      <c r="C32" s="57"/>
      <c r="D32" s="59"/>
      <c r="E32" s="58"/>
      <c r="F32" s="57"/>
      <c r="G32" s="57"/>
      <c r="H32" s="60" t="str">
        <f t="shared" si="5"/>
        <v xml:space="preserve"> </v>
      </c>
      <c r="I32" s="61"/>
      <c r="J32" s="61"/>
      <c r="K32" s="61" t="str">
        <f t="shared" si="6"/>
        <v/>
      </c>
      <c r="L32" s="62"/>
      <c r="M32" s="61"/>
      <c r="N32" s="61"/>
      <c r="O32" s="60" t="str">
        <f t="shared" si="7"/>
        <v/>
      </c>
      <c r="P32" s="62"/>
      <c r="Q32" s="60" t="str">
        <f t="shared" si="8"/>
        <v xml:space="preserve"> </v>
      </c>
    </row>
    <row r="33" spans="1:17" ht="23.1" customHeight="1" x14ac:dyDescent="0.3">
      <c r="A33" s="49" t="s">
        <v>31</v>
      </c>
      <c r="B33" s="63"/>
      <c r="C33" s="49"/>
      <c r="D33" s="64"/>
      <c r="E33" s="63"/>
      <c r="F33" s="49"/>
      <c r="G33" s="49"/>
      <c r="H33" s="53" t="str">
        <f t="shared" si="5"/>
        <v xml:space="preserve"> </v>
      </c>
      <c r="I33" s="65"/>
      <c r="J33" s="65"/>
      <c r="K33" s="65" t="str">
        <f t="shared" si="6"/>
        <v/>
      </c>
      <c r="L33" s="66"/>
      <c r="M33" s="65"/>
      <c r="N33" s="65"/>
      <c r="O33" s="53" t="str">
        <f t="shared" si="7"/>
        <v/>
      </c>
      <c r="P33" s="66"/>
      <c r="Q33" s="53" t="str">
        <f t="shared" si="8"/>
        <v xml:space="preserve"> </v>
      </c>
    </row>
    <row r="34" spans="1:17" ht="23.1" customHeight="1" x14ac:dyDescent="0.3">
      <c r="A34" s="57" t="s">
        <v>32</v>
      </c>
      <c r="B34" s="67"/>
      <c r="C34" s="68"/>
      <c r="D34" s="69"/>
      <c r="E34" s="67"/>
      <c r="F34" s="68"/>
      <c r="G34" s="68"/>
      <c r="H34" s="60" t="str">
        <f t="shared" si="5"/>
        <v xml:space="preserve"> </v>
      </c>
      <c r="I34" s="70"/>
      <c r="J34" s="70"/>
      <c r="K34" s="70" t="str">
        <f t="shared" si="6"/>
        <v/>
      </c>
      <c r="L34" s="71"/>
      <c r="M34" s="70"/>
      <c r="N34" s="70"/>
      <c r="O34" s="72" t="str">
        <f t="shared" si="7"/>
        <v/>
      </c>
      <c r="P34" s="71"/>
      <c r="Q34" s="72" t="str">
        <f t="shared" si="8"/>
        <v xml:space="preserve"> </v>
      </c>
    </row>
    <row r="35" spans="1:17" ht="23.1" customHeight="1" x14ac:dyDescent="0.3">
      <c r="A35" s="73" t="s">
        <v>33</v>
      </c>
      <c r="B35" s="74">
        <f t="shared" ref="B35:G35" si="9">SUM(B23:B34)</f>
        <v>4395</v>
      </c>
      <c r="C35" s="74">
        <f t="shared" si="9"/>
        <v>13457.233333333334</v>
      </c>
      <c r="D35" s="74">
        <f t="shared" si="9"/>
        <v>9565.9439999999995</v>
      </c>
      <c r="E35" s="74">
        <f t="shared" si="9"/>
        <v>625172</v>
      </c>
      <c r="F35" s="74">
        <f t="shared" si="9"/>
        <v>1401631.67</v>
      </c>
      <c r="G35" s="74">
        <f t="shared" si="9"/>
        <v>1759343.8370000001</v>
      </c>
      <c r="H35" s="75">
        <f t="shared" si="5"/>
        <v>79.667864832495496</v>
      </c>
      <c r="I35" s="76">
        <f>SUM(I23:I34)</f>
        <v>6037.6366600000001</v>
      </c>
      <c r="J35" s="76">
        <f>SUM(J23:J34)</f>
        <v>0</v>
      </c>
      <c r="K35" s="76">
        <f t="shared" si="6"/>
        <v>6037.6366600000001</v>
      </c>
      <c r="L35" s="76">
        <f>SUM(L23:L34)</f>
        <v>105122.37526</v>
      </c>
      <c r="M35" s="76">
        <f>SUM(M23:M34)</f>
        <v>9139.8541299999997</v>
      </c>
      <c r="N35" s="76">
        <f>SUM(N23:N34)</f>
        <v>0</v>
      </c>
      <c r="O35" s="76">
        <f t="shared" si="7"/>
        <v>114262.22938999999</v>
      </c>
      <c r="P35" s="76">
        <f>SUM(P23:P34)</f>
        <v>152242.58800000002</v>
      </c>
      <c r="Q35" s="76">
        <f t="shared" si="8"/>
        <v>75.052737142119511</v>
      </c>
    </row>
    <row r="36" spans="1:17" x14ac:dyDescent="0.3">
      <c r="A36" s="139" t="s">
        <v>34</v>
      </c>
      <c r="B36" s="140"/>
      <c r="C36" s="140"/>
      <c r="D36" s="140"/>
      <c r="E36" s="140"/>
      <c r="F36" s="140"/>
      <c r="G36" s="140"/>
      <c r="H36" s="140"/>
      <c r="I36" s="140"/>
      <c r="J36" s="140"/>
      <c r="K36" s="140"/>
      <c r="L36" s="140"/>
      <c r="M36" s="140"/>
      <c r="N36" s="140"/>
      <c r="O36" s="140"/>
      <c r="P36" s="140"/>
      <c r="Q36" s="140"/>
    </row>
    <row r="37" spans="1:17" x14ac:dyDescent="0.3">
      <c r="A37" s="141" t="s">
        <v>35</v>
      </c>
      <c r="B37" s="141"/>
      <c r="C37" s="141"/>
      <c r="D37" s="141"/>
      <c r="E37" s="141"/>
      <c r="F37" s="141"/>
      <c r="G37" s="141"/>
      <c r="H37" s="141"/>
      <c r="I37" s="141"/>
      <c r="J37" s="141"/>
      <c r="K37" s="141"/>
      <c r="L37" s="141"/>
      <c r="M37" s="141"/>
      <c r="N37" s="141"/>
      <c r="O37" s="141"/>
      <c r="P37" s="141"/>
      <c r="Q37" s="141"/>
    </row>
    <row r="38" spans="1:17" x14ac:dyDescent="0.3">
      <c r="A38" s="141" t="s">
        <v>36</v>
      </c>
      <c r="B38" s="141"/>
      <c r="C38" s="141"/>
      <c r="D38" s="141"/>
      <c r="E38" s="141"/>
      <c r="F38" s="141"/>
      <c r="G38" s="141"/>
      <c r="H38" s="141"/>
      <c r="I38" s="141"/>
      <c r="J38" s="141"/>
      <c r="K38" s="141"/>
      <c r="L38" s="141"/>
      <c r="M38" s="141"/>
      <c r="N38" s="141"/>
      <c r="O38" s="141"/>
      <c r="P38" s="141"/>
      <c r="Q38" s="141"/>
    </row>
    <row r="39" spans="1:17" ht="40.5" customHeight="1" x14ac:dyDescent="0.3">
      <c r="A39" s="148">
        <v>2020</v>
      </c>
      <c r="B39" s="148"/>
      <c r="C39" s="149" t="s">
        <v>40</v>
      </c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50" t="s">
        <v>0</v>
      </c>
      <c r="P39" s="150"/>
      <c r="Q39" s="150"/>
    </row>
    <row r="40" spans="1:17" ht="28.9" customHeight="1" x14ac:dyDescent="0.3">
      <c r="A40" s="145" t="s">
        <v>1</v>
      </c>
      <c r="B40" s="145" t="s">
        <v>2</v>
      </c>
      <c r="C40" s="145"/>
      <c r="D40" s="145"/>
      <c r="E40" s="146" t="s">
        <v>3</v>
      </c>
      <c r="F40" s="146" t="s">
        <v>4</v>
      </c>
      <c r="G40" s="146" t="s">
        <v>5</v>
      </c>
      <c r="H40" s="146" t="s">
        <v>6</v>
      </c>
      <c r="I40" s="145" t="s">
        <v>7</v>
      </c>
      <c r="J40" s="145"/>
      <c r="K40" s="145"/>
      <c r="L40" s="145" t="s">
        <v>8</v>
      </c>
      <c r="M40" s="145"/>
      <c r="N40" s="145"/>
      <c r="O40" s="145"/>
      <c r="P40" s="146" t="s">
        <v>9</v>
      </c>
      <c r="Q40" s="146" t="s">
        <v>10</v>
      </c>
    </row>
    <row r="41" spans="1:17" ht="178.5" customHeight="1" x14ac:dyDescent="0.3">
      <c r="A41" s="145"/>
      <c r="B41" s="77" t="s">
        <v>11</v>
      </c>
      <c r="C41" s="77" t="s">
        <v>12</v>
      </c>
      <c r="D41" s="77" t="s">
        <v>13</v>
      </c>
      <c r="E41" s="147"/>
      <c r="F41" s="147"/>
      <c r="G41" s="147"/>
      <c r="H41" s="147"/>
      <c r="I41" s="77" t="s">
        <v>14</v>
      </c>
      <c r="J41" s="78" t="s">
        <v>15</v>
      </c>
      <c r="K41" s="77" t="s">
        <v>16</v>
      </c>
      <c r="L41" s="77" t="s">
        <v>17</v>
      </c>
      <c r="M41" s="77" t="s">
        <v>18</v>
      </c>
      <c r="N41" s="77" t="s">
        <v>19</v>
      </c>
      <c r="O41" s="77" t="s">
        <v>20</v>
      </c>
      <c r="P41" s="147"/>
      <c r="Q41" s="147"/>
    </row>
    <row r="42" spans="1:17" ht="25.5" customHeight="1" x14ac:dyDescent="0.3">
      <c r="A42" s="4" t="s">
        <v>21</v>
      </c>
      <c r="B42" s="79">
        <v>14</v>
      </c>
      <c r="C42" s="80">
        <v>20.566666666666666</v>
      </c>
      <c r="D42" s="81">
        <v>12.084</v>
      </c>
      <c r="E42" s="79">
        <v>1849</v>
      </c>
      <c r="F42" s="80">
        <v>1729.521</v>
      </c>
      <c r="G42" s="80">
        <v>2144.7420000000002</v>
      </c>
      <c r="H42" s="82">
        <f t="shared" ref="H42:H54" si="10">IFERROR(F42/G42*100," ")</f>
        <v>80.640049012888255</v>
      </c>
      <c r="I42" s="83"/>
      <c r="J42" s="84"/>
      <c r="K42" s="82" t="str">
        <f>IF(AND(ISBLANK(I42),ISBLANK(J42))=TRUE,"",I42+J42)</f>
        <v/>
      </c>
      <c r="L42" s="83">
        <v>129.71407500000001</v>
      </c>
      <c r="M42" s="84"/>
      <c r="N42" s="84"/>
      <c r="O42" s="82">
        <f>IF(AND(ISBLANK(L42),ISBLANK(M42),ISBLANK(N42))=TRUE,"",L42+M42+N42)</f>
        <v>129.71407500000001</v>
      </c>
      <c r="P42" s="83">
        <v>192.29900000000001</v>
      </c>
      <c r="Q42" s="82">
        <f>IFERROR(O42/P42*100," ")</f>
        <v>67.454367937430774</v>
      </c>
    </row>
    <row r="43" spans="1:17" ht="25.5" customHeight="1" x14ac:dyDescent="0.3">
      <c r="A43" s="85" t="s">
        <v>22</v>
      </c>
      <c r="B43" s="86">
        <v>2</v>
      </c>
      <c r="C43" s="87">
        <v>2.0499999999999998</v>
      </c>
      <c r="D43" s="88">
        <v>0.85</v>
      </c>
      <c r="E43" s="86">
        <v>148</v>
      </c>
      <c r="F43" s="87">
        <v>69.44</v>
      </c>
      <c r="G43" s="87">
        <v>160.029</v>
      </c>
      <c r="H43" s="89">
        <f t="shared" si="10"/>
        <v>43.39213517549944</v>
      </c>
      <c r="I43" s="90"/>
      <c r="J43" s="91"/>
      <c r="K43" s="89" t="str">
        <f t="shared" ref="K43:K54" si="11">IF(AND(ISBLANK(I43),ISBLANK(J43))=TRUE,"",I43+J43)</f>
        <v/>
      </c>
      <c r="L43" s="90">
        <v>5.2080000000000002</v>
      </c>
      <c r="M43" s="91"/>
      <c r="N43" s="91"/>
      <c r="O43" s="89">
        <f t="shared" ref="O43:O54" si="12">IF(AND(ISBLANK(L43),ISBLANK(M43),ISBLANK(N43))=TRUE,"",L43+M43+N43)</f>
        <v>5.2080000000000002</v>
      </c>
      <c r="P43" s="90">
        <v>13.6</v>
      </c>
      <c r="Q43" s="89">
        <f t="shared" ref="Q43:Q54" si="13">IFERROR(O43/P43*100," ")</f>
        <v>38.294117647058826</v>
      </c>
    </row>
    <row r="44" spans="1:17" ht="25.5" customHeight="1" x14ac:dyDescent="0.3">
      <c r="A44" s="4" t="s">
        <v>23</v>
      </c>
      <c r="B44" s="92">
        <v>7</v>
      </c>
      <c r="C44" s="93">
        <v>8</v>
      </c>
      <c r="D44" s="94">
        <v>4.3239999999999998</v>
      </c>
      <c r="E44" s="92">
        <v>665</v>
      </c>
      <c r="F44" s="93">
        <v>395.16300000000001</v>
      </c>
      <c r="G44" s="93">
        <v>641.94000000000005</v>
      </c>
      <c r="H44" s="8">
        <f t="shared" si="10"/>
        <v>61.557622207682961</v>
      </c>
      <c r="I44" s="95"/>
      <c r="J44" s="96"/>
      <c r="K44" s="8" t="str">
        <f t="shared" si="11"/>
        <v/>
      </c>
      <c r="L44" s="95">
        <v>29.637235</v>
      </c>
      <c r="M44" s="96"/>
      <c r="N44" s="96"/>
      <c r="O44" s="8">
        <f t="shared" si="12"/>
        <v>29.637235</v>
      </c>
      <c r="P44" s="95">
        <v>54.904000000000003</v>
      </c>
      <c r="Q44" s="8">
        <f t="shared" si="13"/>
        <v>53.980101631939384</v>
      </c>
    </row>
    <row r="45" spans="1:17" ht="25.5" customHeight="1" x14ac:dyDescent="0.3">
      <c r="A45" s="85" t="s">
        <v>24</v>
      </c>
      <c r="B45" s="86">
        <v>381</v>
      </c>
      <c r="C45" s="97">
        <v>584.6</v>
      </c>
      <c r="D45" s="88">
        <v>393.387</v>
      </c>
      <c r="E45" s="86"/>
      <c r="F45" s="87"/>
      <c r="G45" s="87"/>
      <c r="H45" s="89" t="str">
        <f t="shared" si="10"/>
        <v xml:space="preserve"> </v>
      </c>
      <c r="I45" s="90">
        <v>1779.2932500000002</v>
      </c>
      <c r="J45" s="91"/>
      <c r="K45" s="89">
        <f t="shared" si="11"/>
        <v>1779.2932500000002</v>
      </c>
      <c r="L45" s="90"/>
      <c r="M45" s="91">
        <v>2069.2257829100004</v>
      </c>
      <c r="N45" s="91"/>
      <c r="O45" s="89">
        <f t="shared" si="12"/>
        <v>2069.2257829100004</v>
      </c>
      <c r="P45" s="90">
        <v>7600.5879999999997</v>
      </c>
      <c r="Q45" s="89">
        <f t="shared" si="13"/>
        <v>27.2245487179413</v>
      </c>
    </row>
    <row r="46" spans="1:17" ht="25.5" customHeight="1" x14ac:dyDescent="0.3">
      <c r="A46" s="4" t="s">
        <v>25</v>
      </c>
      <c r="B46" s="92">
        <v>10</v>
      </c>
      <c r="C46" s="98">
        <v>14.75</v>
      </c>
      <c r="D46" s="94">
        <v>9.0950000000000006</v>
      </c>
      <c r="E46" s="92">
        <v>488</v>
      </c>
      <c r="F46" s="93">
        <v>484.48500000000001</v>
      </c>
      <c r="G46" s="93">
        <v>1210.5530000000001</v>
      </c>
      <c r="H46" s="8">
        <f t="shared" si="10"/>
        <v>40.021791693548323</v>
      </c>
      <c r="I46" s="95"/>
      <c r="J46" s="96"/>
      <c r="K46" s="8" t="str">
        <f t="shared" si="11"/>
        <v/>
      </c>
      <c r="L46" s="95">
        <v>36.336379999999998</v>
      </c>
      <c r="M46" s="96"/>
      <c r="N46" s="96"/>
      <c r="O46" s="8">
        <f t="shared" si="12"/>
        <v>36.336379999999998</v>
      </c>
      <c r="P46" s="95">
        <v>112.82599999999999</v>
      </c>
      <c r="Q46" s="8">
        <f t="shared" si="13"/>
        <v>32.20567954194955</v>
      </c>
    </row>
    <row r="47" spans="1:17" ht="25.5" customHeight="1" x14ac:dyDescent="0.3">
      <c r="A47" s="85" t="s">
        <v>26</v>
      </c>
      <c r="B47" s="99">
        <v>7</v>
      </c>
      <c r="C47" s="100">
        <v>12.22</v>
      </c>
      <c r="D47" s="88">
        <v>7.1</v>
      </c>
      <c r="E47" s="99">
        <v>37</v>
      </c>
      <c r="F47" s="100">
        <v>188</v>
      </c>
      <c r="G47" s="100">
        <v>789</v>
      </c>
      <c r="H47" s="89">
        <f t="shared" si="10"/>
        <v>23.827629911280102</v>
      </c>
      <c r="I47" s="101">
        <v>2.1</v>
      </c>
      <c r="J47" s="102"/>
      <c r="K47" s="89">
        <f t="shared" si="11"/>
        <v>2.1</v>
      </c>
      <c r="L47" s="101">
        <v>14</v>
      </c>
      <c r="M47" s="102">
        <v>2.6</v>
      </c>
      <c r="N47" s="102"/>
      <c r="O47" s="89">
        <f t="shared" si="12"/>
        <v>16.600000000000001</v>
      </c>
      <c r="P47" s="101">
        <v>71</v>
      </c>
      <c r="Q47" s="89">
        <f t="shared" si="13"/>
        <v>23.380281690140848</v>
      </c>
    </row>
    <row r="48" spans="1:17" s="11" customFormat="1" ht="25.5" customHeight="1" x14ac:dyDescent="0.3">
      <c r="A48" s="4" t="s">
        <v>27</v>
      </c>
      <c r="B48" s="5">
        <v>849</v>
      </c>
      <c r="C48" s="6">
        <v>1296.2166666666667</v>
      </c>
      <c r="D48" s="7">
        <v>765.42</v>
      </c>
      <c r="E48" s="5">
        <v>888</v>
      </c>
      <c r="F48" s="6">
        <v>1188.0619999999999</v>
      </c>
      <c r="G48" s="6">
        <v>1672.38</v>
      </c>
      <c r="H48" s="8">
        <f t="shared" si="10"/>
        <v>71.040194214233594</v>
      </c>
      <c r="I48" s="9">
        <v>4511.3955899999992</v>
      </c>
      <c r="J48" s="10"/>
      <c r="K48" s="8">
        <f t="shared" si="11"/>
        <v>4511.3955899999992</v>
      </c>
      <c r="L48" s="9">
        <v>89.104650000000007</v>
      </c>
      <c r="M48" s="10">
        <v>4983.0780026499988</v>
      </c>
      <c r="N48" s="10"/>
      <c r="O48" s="8">
        <f t="shared" si="12"/>
        <v>5072.182652649999</v>
      </c>
      <c r="P48" s="9">
        <v>11234.089</v>
      </c>
      <c r="Q48" s="8">
        <f t="shared" si="13"/>
        <v>45.149924062823423</v>
      </c>
    </row>
    <row r="49" spans="1:17" ht="25.5" customHeight="1" x14ac:dyDescent="0.3">
      <c r="A49" s="85" t="s">
        <v>28</v>
      </c>
      <c r="B49" s="99">
        <v>939</v>
      </c>
      <c r="C49" s="100">
        <v>1552.7666666666667</v>
      </c>
      <c r="D49" s="103">
        <v>972.20899999999995</v>
      </c>
      <c r="E49" s="99">
        <v>7902</v>
      </c>
      <c r="F49" s="100">
        <v>12487.617</v>
      </c>
      <c r="G49" s="100">
        <v>14811.859</v>
      </c>
      <c r="H49" s="89">
        <f t="shared" si="10"/>
        <v>84.308235718419951</v>
      </c>
      <c r="I49" s="101">
        <v>5726.9600799999971</v>
      </c>
      <c r="J49" s="102"/>
      <c r="K49" s="89">
        <f t="shared" si="11"/>
        <v>5726.9600799999971</v>
      </c>
      <c r="L49" s="101">
        <v>936.57129500000008</v>
      </c>
      <c r="M49" s="102">
        <v>6864.1653760799882</v>
      </c>
      <c r="N49" s="102"/>
      <c r="O49" s="89">
        <f t="shared" si="12"/>
        <v>7800.7366710799879</v>
      </c>
      <c r="P49" s="101">
        <v>14944.9967</v>
      </c>
      <c r="Q49" s="89">
        <f t="shared" si="13"/>
        <v>52.196309090386009</v>
      </c>
    </row>
    <row r="50" spans="1:17" ht="25.5" customHeight="1" x14ac:dyDescent="0.3">
      <c r="A50" s="4" t="s">
        <v>29</v>
      </c>
      <c r="B50" s="5">
        <v>1055</v>
      </c>
      <c r="C50" s="6">
        <v>1747.3333333333333</v>
      </c>
      <c r="D50" s="7">
        <v>1041.5989999999999</v>
      </c>
      <c r="E50" s="5">
        <v>6525</v>
      </c>
      <c r="F50" s="6">
        <v>10194.947</v>
      </c>
      <c r="G50" s="6">
        <v>11567.85</v>
      </c>
      <c r="H50" s="8">
        <f t="shared" si="10"/>
        <v>88.131735802245018</v>
      </c>
      <c r="I50" s="9">
        <v>4300.4898499999972</v>
      </c>
      <c r="J50" s="10"/>
      <c r="K50" s="8">
        <f t="shared" si="11"/>
        <v>4300.4898499999972</v>
      </c>
      <c r="L50" s="9">
        <v>764.62102999999513</v>
      </c>
      <c r="M50" s="10">
        <v>5064.2304333299962</v>
      </c>
      <c r="N50" s="10"/>
      <c r="O50" s="8">
        <f t="shared" si="12"/>
        <v>5828.851463329991</v>
      </c>
      <c r="P50" s="9">
        <v>15659.8613</v>
      </c>
      <c r="Q50" s="8">
        <f t="shared" si="13"/>
        <v>37.221603382464124</v>
      </c>
    </row>
    <row r="51" spans="1:17" ht="25.5" customHeight="1" x14ac:dyDescent="0.3">
      <c r="A51" s="85" t="s">
        <v>30</v>
      </c>
      <c r="B51" s="99">
        <v>1094</v>
      </c>
      <c r="C51" s="100">
        <v>1871.4833333333333</v>
      </c>
      <c r="D51" s="103">
        <v>1123.056</v>
      </c>
      <c r="E51" s="99">
        <v>1504</v>
      </c>
      <c r="F51" s="100">
        <v>2056.3890000000001</v>
      </c>
      <c r="G51" s="100">
        <v>2967.652</v>
      </c>
      <c r="H51" s="89">
        <f t="shared" si="10"/>
        <v>69.293468371628492</v>
      </c>
      <c r="I51" s="101">
        <v>4466.0797999999986</v>
      </c>
      <c r="J51" s="102"/>
      <c r="K51" s="89">
        <f t="shared" si="11"/>
        <v>4466.0797999999986</v>
      </c>
      <c r="L51" s="101">
        <v>154.22918000000001</v>
      </c>
      <c r="M51" s="102">
        <v>5477.4629612899953</v>
      </c>
      <c r="N51" s="102"/>
      <c r="O51" s="89">
        <f t="shared" si="12"/>
        <v>5631.6921412899956</v>
      </c>
      <c r="P51" s="101">
        <v>17159.80603</v>
      </c>
      <c r="Q51" s="89">
        <f t="shared" si="13"/>
        <v>32.819089746377486</v>
      </c>
    </row>
    <row r="52" spans="1:17" ht="25.5" customHeight="1" x14ac:dyDescent="0.3">
      <c r="A52" s="4" t="s">
        <v>31</v>
      </c>
      <c r="B52" s="5">
        <v>801</v>
      </c>
      <c r="C52" s="6">
        <v>1390.1</v>
      </c>
      <c r="D52" s="7">
        <v>837.15700000000004</v>
      </c>
      <c r="E52" s="5">
        <v>1738</v>
      </c>
      <c r="F52" s="6">
        <v>2110.7280000000001</v>
      </c>
      <c r="G52" s="6">
        <v>3068.2170000000001</v>
      </c>
      <c r="H52" s="8">
        <f t="shared" si="10"/>
        <v>68.793308947835172</v>
      </c>
      <c r="I52" s="9">
        <v>2579.7670000000007</v>
      </c>
      <c r="J52" s="10"/>
      <c r="K52" s="8">
        <f t="shared" si="11"/>
        <v>2579.7670000000007</v>
      </c>
      <c r="L52" s="9">
        <v>160.84035500000002</v>
      </c>
      <c r="M52" s="10">
        <v>3083.5752999600049</v>
      </c>
      <c r="N52" s="10"/>
      <c r="O52" s="8">
        <f t="shared" si="12"/>
        <v>3244.4156549600048</v>
      </c>
      <c r="P52" s="9">
        <v>12590.882599999999</v>
      </c>
      <c r="Q52" s="8">
        <f t="shared" si="13"/>
        <v>25.767976384435553</v>
      </c>
    </row>
    <row r="53" spans="1:17" ht="25.5" customHeight="1" x14ac:dyDescent="0.3">
      <c r="A53" s="85" t="s">
        <v>32</v>
      </c>
      <c r="B53" s="104">
        <v>895</v>
      </c>
      <c r="C53" s="105">
        <v>1531.4</v>
      </c>
      <c r="D53" s="106">
        <v>898.88800000000003</v>
      </c>
      <c r="E53" s="104">
        <v>1133</v>
      </c>
      <c r="F53" s="105">
        <v>770.16099999999994</v>
      </c>
      <c r="G53" s="105">
        <v>3188.7919999999999</v>
      </c>
      <c r="H53" s="107">
        <f t="shared" si="10"/>
        <v>24.152124064536036</v>
      </c>
      <c r="I53" s="108">
        <v>3646.8279000000034</v>
      </c>
      <c r="J53" s="109"/>
      <c r="K53" s="107">
        <f t="shared" si="11"/>
        <v>3646.8279000000034</v>
      </c>
      <c r="L53" s="108">
        <v>57.76209999999999</v>
      </c>
      <c r="M53" s="109">
        <v>4264.8710199700026</v>
      </c>
      <c r="N53" s="109"/>
      <c r="O53" s="107">
        <f t="shared" si="12"/>
        <v>4322.6331199700026</v>
      </c>
      <c r="P53" s="108">
        <v>13117.6451</v>
      </c>
      <c r="Q53" s="107">
        <f t="shared" si="13"/>
        <v>32.952813458644364</v>
      </c>
    </row>
    <row r="54" spans="1:17" ht="25.5" customHeight="1" x14ac:dyDescent="0.3">
      <c r="A54" s="110" t="s">
        <v>33</v>
      </c>
      <c r="B54" s="111">
        <f t="shared" ref="B54:G54" si="14">SUM(B42:B53)</f>
        <v>6054</v>
      </c>
      <c r="C54" s="111">
        <f t="shared" si="14"/>
        <v>10031.486666666666</v>
      </c>
      <c r="D54" s="111">
        <f t="shared" si="14"/>
        <v>6065.1689999999999</v>
      </c>
      <c r="E54" s="111">
        <f t="shared" si="14"/>
        <v>22877</v>
      </c>
      <c r="F54" s="111">
        <f t="shared" si="14"/>
        <v>31674.512999999999</v>
      </c>
      <c r="G54" s="111">
        <f t="shared" si="14"/>
        <v>42223.014000000003</v>
      </c>
      <c r="H54" s="112">
        <f t="shared" si="10"/>
        <v>75.01717665157679</v>
      </c>
      <c r="I54" s="112">
        <f>SUM(I42:I53)</f>
        <v>27012.913469999996</v>
      </c>
      <c r="J54" s="112">
        <f>SUM(J42:J53)</f>
        <v>0</v>
      </c>
      <c r="K54" s="112">
        <f t="shared" si="11"/>
        <v>27012.913469999996</v>
      </c>
      <c r="L54" s="112">
        <f>SUM(L42:L53)</f>
        <v>2378.0242999999946</v>
      </c>
      <c r="M54" s="112">
        <f>SUM(M42:M53)</f>
        <v>31809.208876189987</v>
      </c>
      <c r="N54" s="112">
        <f>SUM(N42:N53)</f>
        <v>0</v>
      </c>
      <c r="O54" s="112">
        <f t="shared" si="12"/>
        <v>34187.233176189984</v>
      </c>
      <c r="P54" s="113">
        <f>SUM(P42:P53)</f>
        <v>92752.497729999988</v>
      </c>
      <c r="Q54" s="112">
        <f t="shared" si="13"/>
        <v>36.858558004236279</v>
      </c>
    </row>
    <row r="55" spans="1:17" ht="22.5" customHeight="1" x14ac:dyDescent="0.3">
      <c r="A55" s="139" t="s">
        <v>34</v>
      </c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</row>
    <row r="56" spans="1:17" ht="22.5" customHeight="1" x14ac:dyDescent="0.3">
      <c r="A56" s="141" t="s">
        <v>35</v>
      </c>
      <c r="B56" s="141"/>
      <c r="C56" s="141"/>
      <c r="D56" s="141"/>
      <c r="E56" s="141"/>
      <c r="F56" s="141"/>
      <c r="G56" s="141"/>
      <c r="H56" s="141"/>
      <c r="I56" s="141"/>
      <c r="J56" s="141"/>
      <c r="K56" s="141"/>
      <c r="L56" s="141"/>
      <c r="M56" s="141"/>
      <c r="N56" s="141"/>
      <c r="O56" s="141"/>
      <c r="P56" s="141"/>
      <c r="Q56" s="141"/>
    </row>
    <row r="57" spans="1:17" ht="22.5" customHeight="1" x14ac:dyDescent="0.3">
      <c r="A57" s="141" t="s">
        <v>36</v>
      </c>
      <c r="B57" s="141"/>
      <c r="C57" s="141"/>
      <c r="D57" s="141"/>
      <c r="E57" s="141"/>
      <c r="F57" s="141"/>
      <c r="G57" s="141"/>
      <c r="H57" s="141"/>
      <c r="I57" s="141"/>
      <c r="J57" s="141"/>
      <c r="K57" s="141"/>
      <c r="L57" s="141"/>
      <c r="M57" s="141"/>
      <c r="N57" s="141"/>
      <c r="O57" s="141"/>
      <c r="P57" s="141"/>
      <c r="Q57" s="141"/>
    </row>
    <row r="58" spans="1:17" ht="47.25" customHeight="1" x14ac:dyDescent="0.3">
      <c r="A58" s="142">
        <v>2020</v>
      </c>
      <c r="B58" s="142"/>
      <c r="C58" s="143" t="s">
        <v>41</v>
      </c>
      <c r="D58" s="143"/>
      <c r="E58" s="143"/>
      <c r="F58" s="143"/>
      <c r="G58" s="143"/>
      <c r="H58" s="143"/>
      <c r="I58" s="143"/>
      <c r="J58" s="143"/>
      <c r="K58" s="143"/>
      <c r="L58" s="143"/>
      <c r="M58" s="143"/>
      <c r="N58" s="143"/>
      <c r="O58" s="144" t="s">
        <v>0</v>
      </c>
      <c r="P58" s="144"/>
      <c r="Q58" s="144"/>
    </row>
    <row r="59" spans="1:17" ht="28.9" customHeight="1" x14ac:dyDescent="0.3">
      <c r="A59" s="136" t="s">
        <v>1</v>
      </c>
      <c r="B59" s="136" t="s">
        <v>2</v>
      </c>
      <c r="C59" s="136"/>
      <c r="D59" s="136"/>
      <c r="E59" s="137" t="s">
        <v>3</v>
      </c>
      <c r="F59" s="137" t="s">
        <v>4</v>
      </c>
      <c r="G59" s="137" t="s">
        <v>5</v>
      </c>
      <c r="H59" s="137" t="s">
        <v>6</v>
      </c>
      <c r="I59" s="136" t="s">
        <v>7</v>
      </c>
      <c r="J59" s="136"/>
      <c r="K59" s="136"/>
      <c r="L59" s="136" t="s">
        <v>8</v>
      </c>
      <c r="M59" s="136"/>
      <c r="N59" s="136"/>
      <c r="O59" s="136"/>
      <c r="P59" s="137" t="s">
        <v>9</v>
      </c>
      <c r="Q59" s="137" t="s">
        <v>10</v>
      </c>
    </row>
    <row r="60" spans="1:17" ht="164.25" customHeight="1" x14ac:dyDescent="0.3">
      <c r="A60" s="136"/>
      <c r="B60" s="114" t="s">
        <v>11</v>
      </c>
      <c r="C60" s="114" t="s">
        <v>12</v>
      </c>
      <c r="D60" s="114" t="s">
        <v>13</v>
      </c>
      <c r="E60" s="138"/>
      <c r="F60" s="138"/>
      <c r="G60" s="138"/>
      <c r="H60" s="138"/>
      <c r="I60" s="114" t="s">
        <v>14</v>
      </c>
      <c r="J60" s="115" t="s">
        <v>15</v>
      </c>
      <c r="K60" s="114" t="s">
        <v>16</v>
      </c>
      <c r="L60" s="114" t="s">
        <v>17</v>
      </c>
      <c r="M60" s="114" t="s">
        <v>18</v>
      </c>
      <c r="N60" s="114" t="s">
        <v>19</v>
      </c>
      <c r="O60" s="114" t="s">
        <v>20</v>
      </c>
      <c r="P60" s="138"/>
      <c r="Q60" s="138"/>
    </row>
    <row r="61" spans="1:17" ht="24.75" customHeight="1" x14ac:dyDescent="0.3">
      <c r="A61" s="116" t="s">
        <v>21</v>
      </c>
      <c r="B61" s="117"/>
      <c r="C61" s="118"/>
      <c r="D61" s="119"/>
      <c r="E61" s="117"/>
      <c r="F61" s="118"/>
      <c r="G61" s="118"/>
      <c r="H61" s="120" t="str">
        <f t="shared" ref="H61:H73" si="15">IFERROR(F61/G61*100," ")</f>
        <v xml:space="preserve"> </v>
      </c>
      <c r="I61" s="121"/>
      <c r="J61" s="122"/>
      <c r="K61" s="122" t="str">
        <f>IF(AND(ISBLANK(I61),ISBLANK(J61))=TRUE,"",I61+J61)</f>
        <v/>
      </c>
      <c r="L61" s="121"/>
      <c r="M61" s="122"/>
      <c r="N61" s="122"/>
      <c r="O61" s="123" t="str">
        <f>IF(AND(ISBLANK(L61),ISBLANK(M61),ISBLANK(N61))=TRUE,"",L61+M61+N61)</f>
        <v/>
      </c>
      <c r="P61" s="122"/>
      <c r="Q61" s="120" t="str">
        <f>IFERROR(O61/P61*100," ")</f>
        <v xml:space="preserve"> </v>
      </c>
    </row>
    <row r="62" spans="1:17" ht="24.75" customHeight="1" x14ac:dyDescent="0.3">
      <c r="A62" s="85" t="s">
        <v>22</v>
      </c>
      <c r="B62" s="99"/>
      <c r="C62" s="100"/>
      <c r="D62" s="103"/>
      <c r="E62" s="99"/>
      <c r="F62" s="100"/>
      <c r="G62" s="100"/>
      <c r="H62" s="124" t="str">
        <f t="shared" si="15"/>
        <v xml:space="preserve"> </v>
      </c>
      <c r="I62" s="101"/>
      <c r="J62" s="102"/>
      <c r="K62" s="102" t="str">
        <f t="shared" ref="K62:K73" si="16">IF(AND(ISBLANK(I62),ISBLANK(J62))=TRUE,"",I62+J62)</f>
        <v/>
      </c>
      <c r="L62" s="101"/>
      <c r="M62" s="102"/>
      <c r="N62" s="102"/>
      <c r="O62" s="89" t="str">
        <f t="shared" ref="O62:O73" si="17">IF(AND(ISBLANK(L62),ISBLANK(M62),ISBLANK(N62))=TRUE,"",L62+M62+N62)</f>
        <v/>
      </c>
      <c r="P62" s="102"/>
      <c r="Q62" s="124" t="str">
        <f t="shared" ref="Q62:Q73" si="18">IFERROR(O62/P62*100," ")</f>
        <v xml:space="preserve"> </v>
      </c>
    </row>
    <row r="63" spans="1:17" ht="24.75" customHeight="1" x14ac:dyDescent="0.3">
      <c r="A63" s="116" t="s">
        <v>23</v>
      </c>
      <c r="B63" s="125"/>
      <c r="C63" s="126"/>
      <c r="D63" s="127"/>
      <c r="E63" s="125"/>
      <c r="F63" s="126"/>
      <c r="G63" s="126"/>
      <c r="H63" s="128" t="str">
        <f t="shared" si="15"/>
        <v xml:space="preserve"> </v>
      </c>
      <c r="I63" s="129"/>
      <c r="J63" s="130"/>
      <c r="K63" s="130" t="str">
        <f t="shared" si="16"/>
        <v/>
      </c>
      <c r="L63" s="129"/>
      <c r="M63" s="130"/>
      <c r="N63" s="130"/>
      <c r="O63" s="131" t="str">
        <f t="shared" si="17"/>
        <v/>
      </c>
      <c r="P63" s="130"/>
      <c r="Q63" s="128" t="str">
        <f t="shared" si="18"/>
        <v xml:space="preserve"> </v>
      </c>
    </row>
    <row r="64" spans="1:17" ht="24.75" customHeight="1" x14ac:dyDescent="0.3">
      <c r="A64" s="85" t="s">
        <v>24</v>
      </c>
      <c r="B64" s="99">
        <v>219</v>
      </c>
      <c r="C64" s="100">
        <v>784.49999999999966</v>
      </c>
      <c r="D64" s="103">
        <v>578.327</v>
      </c>
      <c r="E64" s="99"/>
      <c r="F64" s="100"/>
      <c r="G64" s="100"/>
      <c r="H64" s="124" t="str">
        <f t="shared" si="15"/>
        <v xml:space="preserve"> </v>
      </c>
      <c r="I64" s="101">
        <v>1505.13247</v>
      </c>
      <c r="J64" s="102"/>
      <c r="K64" s="102">
        <f t="shared" si="16"/>
        <v>1505.13247</v>
      </c>
      <c r="L64" s="101"/>
      <c r="M64" s="102">
        <v>3879.1413540000003</v>
      </c>
      <c r="N64" s="102"/>
      <c r="O64" s="89">
        <f t="shared" si="17"/>
        <v>3879.1413540000003</v>
      </c>
      <c r="P64" s="102">
        <v>11647.165000000001</v>
      </c>
      <c r="Q64" s="124">
        <f t="shared" si="18"/>
        <v>33.305455482085129</v>
      </c>
    </row>
    <row r="65" spans="1:17" ht="24.75" customHeight="1" x14ac:dyDescent="0.3">
      <c r="A65" s="116" t="s">
        <v>25</v>
      </c>
      <c r="B65" s="125">
        <v>5</v>
      </c>
      <c r="C65" s="126">
        <v>11.483333333333333</v>
      </c>
      <c r="D65" s="127">
        <v>7.9119999999999999</v>
      </c>
      <c r="E65" s="125">
        <v>287</v>
      </c>
      <c r="F65" s="126">
        <v>697.072</v>
      </c>
      <c r="G65" s="126">
        <v>1416.8910000000001</v>
      </c>
      <c r="H65" s="128">
        <f t="shared" si="15"/>
        <v>49.197291817084022</v>
      </c>
      <c r="I65" s="129">
        <v>3680</v>
      </c>
      <c r="J65" s="130"/>
      <c r="K65" s="130">
        <f t="shared" si="16"/>
        <v>3680</v>
      </c>
      <c r="L65" s="129">
        <v>52.2804</v>
      </c>
      <c r="M65" s="130"/>
      <c r="N65" s="130"/>
      <c r="O65" s="131">
        <f t="shared" si="17"/>
        <v>52.2804</v>
      </c>
      <c r="P65" s="130">
        <v>120.5825</v>
      </c>
      <c r="Q65" s="128">
        <f t="shared" si="18"/>
        <v>43.356540128128046</v>
      </c>
    </row>
    <row r="66" spans="1:17" ht="24.75" customHeight="1" x14ac:dyDescent="0.3">
      <c r="A66" s="85" t="s">
        <v>26</v>
      </c>
      <c r="B66" s="99">
        <v>168</v>
      </c>
      <c r="C66" s="100">
        <v>604.62</v>
      </c>
      <c r="D66" s="103">
        <v>445.11</v>
      </c>
      <c r="E66" s="99">
        <v>27976</v>
      </c>
      <c r="F66" s="100">
        <v>75045</v>
      </c>
      <c r="G66" s="100">
        <v>83786</v>
      </c>
      <c r="H66" s="124">
        <f t="shared" si="15"/>
        <v>89.567469505645334</v>
      </c>
      <c r="I66" s="101">
        <v>3849</v>
      </c>
      <c r="J66" s="102"/>
      <c r="K66" s="102">
        <f t="shared" si="16"/>
        <v>3849</v>
      </c>
      <c r="L66" s="101">
        <v>5628</v>
      </c>
      <c r="M66" s="102"/>
      <c r="N66" s="102"/>
      <c r="O66" s="89">
        <f t="shared" si="17"/>
        <v>5628</v>
      </c>
      <c r="P66" s="102">
        <v>7122</v>
      </c>
      <c r="Q66" s="124">
        <f t="shared" si="18"/>
        <v>79.022746419545072</v>
      </c>
    </row>
    <row r="67" spans="1:17" ht="24.75" customHeight="1" x14ac:dyDescent="0.3">
      <c r="A67" s="116" t="s">
        <v>27</v>
      </c>
      <c r="B67" s="125">
        <v>979</v>
      </c>
      <c r="C67" s="126">
        <v>3055</v>
      </c>
      <c r="D67" s="127">
        <v>2205.4569999999999</v>
      </c>
      <c r="E67" s="125">
        <v>46940</v>
      </c>
      <c r="F67" s="126">
        <v>132855.25700000001</v>
      </c>
      <c r="G67" s="126">
        <v>148535.08199999999</v>
      </c>
      <c r="H67" s="128">
        <f t="shared" si="15"/>
        <v>89.443689134665178</v>
      </c>
      <c r="I67" s="129">
        <v>5422.6613399999997</v>
      </c>
      <c r="J67" s="130"/>
      <c r="K67" s="130">
        <f t="shared" si="16"/>
        <v>5422.6613399999997</v>
      </c>
      <c r="L67" s="129">
        <v>9964.1443500000005</v>
      </c>
      <c r="M67" s="130">
        <v>11480.948477100008</v>
      </c>
      <c r="N67" s="130"/>
      <c r="O67" s="131">
        <f t="shared" si="17"/>
        <v>21445.092827100008</v>
      </c>
      <c r="P67" s="130">
        <v>39550.879400000005</v>
      </c>
      <c r="Q67" s="128">
        <f t="shared" si="18"/>
        <v>54.221532245121217</v>
      </c>
    </row>
    <row r="68" spans="1:17" ht="24.75" customHeight="1" x14ac:dyDescent="0.3">
      <c r="A68" s="85" t="s">
        <v>28</v>
      </c>
      <c r="B68" s="99">
        <v>780</v>
      </c>
      <c r="C68" s="100">
        <v>2524.3166666666666</v>
      </c>
      <c r="D68" s="103">
        <v>1863.9010000000001</v>
      </c>
      <c r="E68" s="99">
        <v>27239</v>
      </c>
      <c r="F68" s="100">
        <v>98159.118000000002</v>
      </c>
      <c r="G68" s="100">
        <v>115029.52099999999</v>
      </c>
      <c r="H68" s="124">
        <f t="shared" si="15"/>
        <v>85.333849212499118</v>
      </c>
      <c r="I68" s="101">
        <v>4891.0118599999996</v>
      </c>
      <c r="J68" s="102"/>
      <c r="K68" s="102">
        <f t="shared" si="16"/>
        <v>4891.0118599999996</v>
      </c>
      <c r="L68" s="101">
        <v>7361.9339099999988</v>
      </c>
      <c r="M68" s="102">
        <v>10552.805885179998</v>
      </c>
      <c r="N68" s="102"/>
      <c r="O68" s="89">
        <f t="shared" si="17"/>
        <v>17914.739795179998</v>
      </c>
      <c r="P68" s="102">
        <v>38038.940900000009</v>
      </c>
      <c r="Q68" s="124">
        <f t="shared" si="18"/>
        <v>47.095790185840833</v>
      </c>
    </row>
    <row r="69" spans="1:17" ht="24.75" customHeight="1" x14ac:dyDescent="0.3">
      <c r="A69" s="116" t="s">
        <v>29</v>
      </c>
      <c r="B69" s="125">
        <v>853</v>
      </c>
      <c r="C69" s="126">
        <v>2960.083333333333</v>
      </c>
      <c r="D69" s="127">
        <v>2156.6190000000001</v>
      </c>
      <c r="E69" s="125">
        <v>42875</v>
      </c>
      <c r="F69" s="126">
        <v>134121.09899999999</v>
      </c>
      <c r="G69" s="126">
        <v>159160.242</v>
      </c>
      <c r="H69" s="128">
        <f t="shared" si="15"/>
        <v>84.267966242474031</v>
      </c>
      <c r="I69" s="129">
        <v>5379.299710000003</v>
      </c>
      <c r="J69" s="130"/>
      <c r="K69" s="130">
        <f t="shared" si="16"/>
        <v>5379.299710000003</v>
      </c>
      <c r="L69" s="129">
        <v>10059.082430000004</v>
      </c>
      <c r="M69" s="130">
        <v>13134.754207740012</v>
      </c>
      <c r="N69" s="130"/>
      <c r="O69" s="131">
        <f t="shared" si="17"/>
        <v>23193.836637740016</v>
      </c>
      <c r="P69" s="130">
        <v>49353.448199999999</v>
      </c>
      <c r="Q69" s="128">
        <f t="shared" si="18"/>
        <v>46.995372124252135</v>
      </c>
    </row>
    <row r="70" spans="1:17" ht="24.75" customHeight="1" x14ac:dyDescent="0.3">
      <c r="A70" s="85" t="s">
        <v>30</v>
      </c>
      <c r="B70" s="99">
        <v>947</v>
      </c>
      <c r="C70" s="100">
        <v>3330.2666666666664</v>
      </c>
      <c r="D70" s="103">
        <v>2472.0340000000001</v>
      </c>
      <c r="E70" s="99">
        <v>71309</v>
      </c>
      <c r="F70" s="100">
        <v>190153.432</v>
      </c>
      <c r="G70" s="100">
        <v>226528.084</v>
      </c>
      <c r="H70" s="124">
        <f t="shared" si="15"/>
        <v>83.942541976384703</v>
      </c>
      <c r="I70" s="101">
        <v>5666.3205099999986</v>
      </c>
      <c r="J70" s="102"/>
      <c r="K70" s="102">
        <f t="shared" si="16"/>
        <v>5666.3205099999986</v>
      </c>
      <c r="L70" s="101">
        <v>14261.507400000004</v>
      </c>
      <c r="M70" s="102">
        <v>15783.529362910014</v>
      </c>
      <c r="N70" s="102"/>
      <c r="O70" s="89">
        <f t="shared" si="17"/>
        <v>30045.036762910018</v>
      </c>
      <c r="P70" s="102">
        <v>55582.346830000002</v>
      </c>
      <c r="Q70" s="124">
        <f t="shared" si="18"/>
        <v>54.054998531824353</v>
      </c>
    </row>
    <row r="71" spans="1:17" ht="24.75" customHeight="1" x14ac:dyDescent="0.3">
      <c r="A71" s="116" t="s">
        <v>31</v>
      </c>
      <c r="B71" s="125">
        <v>1096</v>
      </c>
      <c r="C71" s="126">
        <v>3705.2166666666667</v>
      </c>
      <c r="D71" s="127">
        <v>2710.2640000000001</v>
      </c>
      <c r="E71" s="125">
        <v>79804</v>
      </c>
      <c r="F71" s="126">
        <v>204071.52600000001</v>
      </c>
      <c r="G71" s="126">
        <v>240665.215</v>
      </c>
      <c r="H71" s="128">
        <f t="shared" si="15"/>
        <v>84.794774350751112</v>
      </c>
      <c r="I71" s="129">
        <v>4162.5519899999999</v>
      </c>
      <c r="J71" s="130"/>
      <c r="K71" s="130">
        <f t="shared" si="16"/>
        <v>4162.5519899999999</v>
      </c>
      <c r="L71" s="129">
        <v>15305.364470000002</v>
      </c>
      <c r="M71" s="130">
        <v>9575.1952848099954</v>
      </c>
      <c r="N71" s="130"/>
      <c r="O71" s="131">
        <f t="shared" si="17"/>
        <v>24880.559754809998</v>
      </c>
      <c r="P71" s="130">
        <v>61859.315899999994</v>
      </c>
      <c r="Q71" s="128">
        <f t="shared" si="18"/>
        <v>40.221200950607347</v>
      </c>
    </row>
    <row r="72" spans="1:17" ht="24.75" customHeight="1" x14ac:dyDescent="0.3">
      <c r="A72" s="85" t="s">
        <v>32</v>
      </c>
      <c r="B72" s="104">
        <v>1135</v>
      </c>
      <c r="C72" s="105">
        <v>3823.4666666666667</v>
      </c>
      <c r="D72" s="106">
        <v>2780.2929999999997</v>
      </c>
      <c r="E72" s="104">
        <v>86107</v>
      </c>
      <c r="F72" s="105">
        <v>211372.916</v>
      </c>
      <c r="G72" s="105">
        <v>257788.734</v>
      </c>
      <c r="H72" s="107">
        <f t="shared" si="15"/>
        <v>81.994628981730443</v>
      </c>
      <c r="I72" s="108">
        <v>4709.6723300000003</v>
      </c>
      <c r="J72" s="109"/>
      <c r="K72" s="109">
        <f t="shared" si="16"/>
        <v>4709.6723300000003</v>
      </c>
      <c r="L72" s="108">
        <v>15852.968750000002</v>
      </c>
      <c r="M72" s="109">
        <v>12869.263326529997</v>
      </c>
      <c r="N72" s="109"/>
      <c r="O72" s="107">
        <f t="shared" si="17"/>
        <v>28722.232076529999</v>
      </c>
      <c r="P72" s="109">
        <v>63720.561700000006</v>
      </c>
      <c r="Q72" s="107">
        <f t="shared" si="18"/>
        <v>45.075296435326301</v>
      </c>
    </row>
    <row r="73" spans="1:17" ht="24.75" customHeight="1" x14ac:dyDescent="0.3">
      <c r="A73" s="132" t="s">
        <v>33</v>
      </c>
      <c r="B73" s="133">
        <f t="shared" ref="B73:G73" si="19">SUM(B61:B72)</f>
        <v>6182</v>
      </c>
      <c r="C73" s="133">
        <f t="shared" si="19"/>
        <v>20798.953333333331</v>
      </c>
      <c r="D73" s="133">
        <f t="shared" si="19"/>
        <v>15219.916999999999</v>
      </c>
      <c r="E73" s="133">
        <f t="shared" si="19"/>
        <v>382537</v>
      </c>
      <c r="F73" s="133">
        <f t="shared" si="19"/>
        <v>1046475.4199999999</v>
      </c>
      <c r="G73" s="133">
        <f t="shared" si="19"/>
        <v>1232909.7690000001</v>
      </c>
      <c r="H73" s="134">
        <f t="shared" si="15"/>
        <v>84.878508250347068</v>
      </c>
      <c r="I73" s="135">
        <f>SUM(I61:I72)</f>
        <v>39265.65021</v>
      </c>
      <c r="J73" s="135">
        <f>SUM(J61:J72)</f>
        <v>0</v>
      </c>
      <c r="K73" s="135">
        <f t="shared" si="16"/>
        <v>39265.65021</v>
      </c>
      <c r="L73" s="135">
        <f>SUM(L61:L72)</f>
        <v>78485.28171000001</v>
      </c>
      <c r="M73" s="135">
        <f>SUM(M61:M72)</f>
        <v>77275.637898270026</v>
      </c>
      <c r="N73" s="135">
        <f>SUM(N61:N72)</f>
        <v>0</v>
      </c>
      <c r="O73" s="135">
        <f t="shared" si="17"/>
        <v>155760.91960827005</v>
      </c>
      <c r="P73" s="135">
        <f>SUM(P61:P72)</f>
        <v>326995.24043000001</v>
      </c>
      <c r="Q73" s="134">
        <f t="shared" si="18"/>
        <v>47.634002073988555</v>
      </c>
    </row>
    <row r="74" spans="1:17" x14ac:dyDescent="0.3">
      <c r="A74" s="139" t="s">
        <v>34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</row>
    <row r="75" spans="1:17" x14ac:dyDescent="0.3">
      <c r="A75" s="141" t="s">
        <v>35</v>
      </c>
      <c r="B75" s="141"/>
      <c r="C75" s="141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1"/>
    </row>
    <row r="76" spans="1:17" x14ac:dyDescent="0.3">
      <c r="A76" s="141" t="s">
        <v>36</v>
      </c>
      <c r="B76" s="141"/>
      <c r="C76" s="141"/>
      <c r="D76" s="141"/>
      <c r="E76" s="141"/>
      <c r="F76" s="141"/>
      <c r="G76" s="141"/>
      <c r="H76" s="141"/>
      <c r="I76" s="141"/>
      <c r="J76" s="141"/>
      <c r="K76" s="141"/>
      <c r="L76" s="141"/>
      <c r="M76" s="141"/>
      <c r="N76" s="141"/>
      <c r="O76" s="141"/>
      <c r="P76" s="141"/>
      <c r="Q76" s="141"/>
    </row>
    <row r="79" spans="1:17" x14ac:dyDescent="0.3">
      <c r="H79" s="12"/>
      <c r="Q79" s="12"/>
    </row>
    <row r="81" spans="8:17" x14ac:dyDescent="0.3">
      <c r="H81" s="12"/>
      <c r="Q81" s="12"/>
    </row>
    <row r="83" spans="8:17" x14ac:dyDescent="0.3">
      <c r="H83" s="12"/>
      <c r="Q83" s="12"/>
    </row>
    <row r="85" spans="8:17" x14ac:dyDescent="0.3">
      <c r="H85" s="12"/>
      <c r="Q85" s="12"/>
    </row>
    <row r="87" spans="8:17" x14ac:dyDescent="0.3">
      <c r="H87" s="12"/>
      <c r="Q87" s="12"/>
    </row>
    <row r="89" spans="8:17" x14ac:dyDescent="0.3">
      <c r="H89" s="12"/>
      <c r="Q89" s="12"/>
    </row>
    <row r="91" spans="8:17" x14ac:dyDescent="0.3">
      <c r="H91" s="12"/>
      <c r="Q91" s="12"/>
    </row>
    <row r="93" spans="8:17" x14ac:dyDescent="0.3">
      <c r="H93" s="12"/>
      <c r="Q93" s="12"/>
    </row>
    <row r="95" spans="8:17" x14ac:dyDescent="0.3">
      <c r="H95" s="12"/>
      <c r="Q95" s="12"/>
    </row>
    <row r="96" spans="8:17" x14ac:dyDescent="0.3">
      <c r="H96" s="12"/>
      <c r="Q96" s="12"/>
    </row>
    <row r="97" spans="8:17" x14ac:dyDescent="0.3">
      <c r="H97" s="12"/>
      <c r="Q97" s="12"/>
    </row>
    <row r="98" spans="8:17" x14ac:dyDescent="0.3">
      <c r="H98" s="12"/>
      <c r="Q98" s="12"/>
    </row>
    <row r="99" spans="8:17" x14ac:dyDescent="0.3">
      <c r="H99" s="12"/>
      <c r="Q99" s="12"/>
    </row>
    <row r="100" spans="8:17" x14ac:dyDescent="0.3">
      <c r="H100" s="12"/>
      <c r="Q100" s="12"/>
    </row>
    <row r="101" spans="8:17" x14ac:dyDescent="0.3">
      <c r="H101" s="12"/>
      <c r="Q101" s="12"/>
    </row>
    <row r="121" spans="8:17" x14ac:dyDescent="0.3">
      <c r="H121" s="12"/>
      <c r="Q121" s="12"/>
    </row>
    <row r="124" spans="8:17" x14ac:dyDescent="0.3">
      <c r="H124" s="12"/>
      <c r="Q124" s="12"/>
    </row>
    <row r="126" spans="8:17" x14ac:dyDescent="0.3">
      <c r="H126" s="12"/>
      <c r="Q126" s="12"/>
    </row>
    <row r="128" spans="8:17" x14ac:dyDescent="0.3">
      <c r="H128" s="12"/>
      <c r="Q128" s="12"/>
    </row>
    <row r="130" spans="8:17" x14ac:dyDescent="0.3">
      <c r="H130" s="12"/>
      <c r="Q130" s="12"/>
    </row>
    <row r="132" spans="8:17" x14ac:dyDescent="0.3">
      <c r="H132" s="12"/>
      <c r="Q132" s="12"/>
    </row>
    <row r="134" spans="8:17" x14ac:dyDescent="0.3">
      <c r="H134" s="12"/>
      <c r="Q134" s="12"/>
    </row>
    <row r="136" spans="8:17" x14ac:dyDescent="0.3">
      <c r="H136" s="12"/>
      <c r="Q136" s="12"/>
    </row>
    <row r="138" spans="8:17" x14ac:dyDescent="0.3">
      <c r="H138" s="12"/>
      <c r="Q138" s="12"/>
    </row>
    <row r="140" spans="8:17" x14ac:dyDescent="0.3">
      <c r="H140" s="12"/>
      <c r="Q140" s="12"/>
    </row>
    <row r="141" spans="8:17" x14ac:dyDescent="0.3">
      <c r="Q141" s="12"/>
    </row>
    <row r="142" spans="8:17" x14ac:dyDescent="0.3">
      <c r="H142" s="12"/>
      <c r="Q142" s="12"/>
    </row>
    <row r="143" spans="8:17" x14ac:dyDescent="0.3">
      <c r="H143" s="12"/>
      <c r="Q143" s="12"/>
    </row>
    <row r="144" spans="8:17" x14ac:dyDescent="0.3">
      <c r="H144" s="12"/>
      <c r="Q144" s="12"/>
    </row>
    <row r="145" spans="8:17" x14ac:dyDescent="0.3">
      <c r="H145" s="12"/>
      <c r="Q145" s="12"/>
    </row>
    <row r="146" spans="8:17" x14ac:dyDescent="0.3">
      <c r="H146" s="12"/>
      <c r="Q146" s="12"/>
    </row>
    <row r="169" spans="8:17" x14ac:dyDescent="0.3">
      <c r="H169" s="12"/>
      <c r="Q169" s="12"/>
    </row>
    <row r="172" spans="8:17" x14ac:dyDescent="0.3">
      <c r="H172" s="12"/>
      <c r="Q172" s="12"/>
    </row>
    <row r="174" spans="8:17" x14ac:dyDescent="0.3">
      <c r="H174" s="12"/>
      <c r="Q174" s="12"/>
    </row>
    <row r="176" spans="8:17" x14ac:dyDescent="0.3">
      <c r="H176" s="12"/>
      <c r="Q176" s="12"/>
    </row>
    <row r="178" spans="8:17" x14ac:dyDescent="0.3">
      <c r="H178" s="12"/>
      <c r="Q178" s="12"/>
    </row>
    <row r="180" spans="8:17" x14ac:dyDescent="0.3">
      <c r="H180" s="12"/>
      <c r="Q180" s="12"/>
    </row>
    <row r="182" spans="8:17" x14ac:dyDescent="0.3">
      <c r="H182" s="12"/>
      <c r="Q182" s="12"/>
    </row>
    <row r="184" spans="8:17" x14ac:dyDescent="0.3">
      <c r="H184" s="12"/>
      <c r="Q184" s="12"/>
    </row>
    <row r="186" spans="8:17" x14ac:dyDescent="0.3">
      <c r="H186" s="12"/>
      <c r="Q186" s="12"/>
    </row>
    <row r="188" spans="8:17" x14ac:dyDescent="0.3">
      <c r="H188" s="12"/>
      <c r="Q188" s="12"/>
    </row>
    <row r="190" spans="8:17" x14ac:dyDescent="0.3">
      <c r="H190" s="12"/>
      <c r="Q190" s="12"/>
    </row>
    <row r="192" spans="8:17" x14ac:dyDescent="0.3">
      <c r="H192" s="12"/>
      <c r="Q192" s="12"/>
    </row>
    <row r="194" spans="8:17" x14ac:dyDescent="0.3">
      <c r="H194" s="12"/>
      <c r="Q194" s="12"/>
    </row>
    <row r="217" spans="8:17" x14ac:dyDescent="0.3">
      <c r="H217" s="12"/>
      <c r="Q217" s="12"/>
    </row>
    <row r="219" spans="8:17" x14ac:dyDescent="0.3">
      <c r="H219" s="12"/>
      <c r="Q219" s="12"/>
    </row>
    <row r="220" spans="8:17" x14ac:dyDescent="0.3">
      <c r="H220" s="12"/>
      <c r="Q220" s="12"/>
    </row>
    <row r="221" spans="8:17" x14ac:dyDescent="0.3">
      <c r="H221" s="12"/>
      <c r="Q221" s="12"/>
    </row>
    <row r="222" spans="8:17" x14ac:dyDescent="0.3">
      <c r="H222" s="12"/>
      <c r="Q222" s="12"/>
    </row>
    <row r="223" spans="8:17" x14ac:dyDescent="0.3">
      <c r="H223" s="12"/>
      <c r="Q223" s="12"/>
    </row>
    <row r="224" spans="8:17" x14ac:dyDescent="0.3">
      <c r="H224" s="12"/>
      <c r="Q224" s="12"/>
    </row>
    <row r="225" spans="8:17" x14ac:dyDescent="0.3">
      <c r="H225" s="12"/>
      <c r="Q225" s="12"/>
    </row>
    <row r="226" spans="8:17" x14ac:dyDescent="0.3">
      <c r="H226" s="12"/>
      <c r="Q226" s="12"/>
    </row>
    <row r="227" spans="8:17" x14ac:dyDescent="0.3">
      <c r="H227" s="12"/>
      <c r="Q227" s="12"/>
    </row>
    <row r="228" spans="8:17" x14ac:dyDescent="0.3">
      <c r="H228" s="12"/>
      <c r="Q228" s="12"/>
    </row>
    <row r="229" spans="8:17" x14ac:dyDescent="0.3">
      <c r="H229" s="12"/>
      <c r="Q229" s="12"/>
    </row>
    <row r="230" spans="8:17" x14ac:dyDescent="0.3">
      <c r="H230" s="12"/>
      <c r="Q230" s="12"/>
    </row>
    <row r="231" spans="8:17" x14ac:dyDescent="0.3">
      <c r="H231" s="12"/>
      <c r="Q231" s="12"/>
    </row>
    <row r="232" spans="8:17" x14ac:dyDescent="0.3">
      <c r="H232" s="12"/>
      <c r="Q232" s="12"/>
    </row>
    <row r="233" spans="8:17" x14ac:dyDescent="0.3">
      <c r="H233" s="12"/>
      <c r="Q233" s="12"/>
    </row>
    <row r="234" spans="8:17" x14ac:dyDescent="0.3">
      <c r="H234" s="12"/>
      <c r="Q234" s="12"/>
    </row>
    <row r="235" spans="8:17" x14ac:dyDescent="0.3">
      <c r="H235" s="12"/>
      <c r="Q235" s="12"/>
    </row>
    <row r="236" spans="8:17" x14ac:dyDescent="0.3">
      <c r="H236" s="12"/>
      <c r="Q236" s="12"/>
    </row>
    <row r="237" spans="8:17" x14ac:dyDescent="0.3">
      <c r="H237" s="12"/>
      <c r="Q237" s="12"/>
    </row>
    <row r="238" spans="8:17" x14ac:dyDescent="0.3">
      <c r="H238" s="12"/>
      <c r="Q238" s="12"/>
    </row>
    <row r="239" spans="8:17" x14ac:dyDescent="0.3">
      <c r="H239" s="12"/>
      <c r="Q239" s="12"/>
    </row>
    <row r="240" spans="8:17" x14ac:dyDescent="0.3">
      <c r="H240" s="12"/>
      <c r="Q240" s="12"/>
    </row>
    <row r="241" spans="8:17" x14ac:dyDescent="0.3">
      <c r="H241" s="12"/>
      <c r="Q241" s="12"/>
    </row>
    <row r="242" spans="8:17" x14ac:dyDescent="0.3">
      <c r="H242" s="12"/>
      <c r="Q242" s="12"/>
    </row>
    <row r="265" spans="8:17" x14ac:dyDescent="0.3">
      <c r="H265" s="12"/>
      <c r="Q265" s="12"/>
    </row>
    <row r="268" spans="8:17" x14ac:dyDescent="0.3">
      <c r="H268" s="12"/>
      <c r="Q268" s="12"/>
    </row>
    <row r="270" spans="8:17" x14ac:dyDescent="0.3">
      <c r="H270" s="12"/>
      <c r="Q270" s="12"/>
    </row>
    <row r="271" spans="8:17" x14ac:dyDescent="0.3">
      <c r="H271" s="12"/>
    </row>
    <row r="272" spans="8:17" x14ac:dyDescent="0.3">
      <c r="H272" s="12"/>
      <c r="Q272" s="12"/>
    </row>
    <row r="274" spans="8:17" x14ac:dyDescent="0.3">
      <c r="H274" s="12"/>
      <c r="Q274" s="12"/>
    </row>
    <row r="276" spans="8:17" x14ac:dyDescent="0.3">
      <c r="H276" s="12"/>
      <c r="Q276" s="12"/>
    </row>
    <row r="278" spans="8:17" x14ac:dyDescent="0.3">
      <c r="H278" s="12"/>
      <c r="Q278" s="12"/>
    </row>
    <row r="280" spans="8:17" x14ac:dyDescent="0.3">
      <c r="H280" s="12"/>
      <c r="Q280" s="12"/>
    </row>
    <row r="282" spans="8:17" x14ac:dyDescent="0.3">
      <c r="H282" s="12"/>
      <c r="Q282" s="12"/>
    </row>
    <row r="284" spans="8:17" x14ac:dyDescent="0.3">
      <c r="H284" s="12"/>
      <c r="Q284" s="12"/>
    </row>
    <row r="285" spans="8:17" x14ac:dyDescent="0.3">
      <c r="H285" s="12"/>
      <c r="Q285" s="12"/>
    </row>
    <row r="286" spans="8:17" x14ac:dyDescent="0.3">
      <c r="H286" s="12"/>
      <c r="Q286" s="12"/>
    </row>
    <row r="287" spans="8:17" x14ac:dyDescent="0.3">
      <c r="H287" s="12"/>
      <c r="Q287" s="12"/>
    </row>
    <row r="288" spans="8:17" x14ac:dyDescent="0.3">
      <c r="H288" s="12"/>
      <c r="Q288" s="12"/>
    </row>
    <row r="289" spans="8:17" x14ac:dyDescent="0.3">
      <c r="H289" s="12"/>
      <c r="Q289" s="12"/>
    </row>
    <row r="290" spans="8:17" x14ac:dyDescent="0.3">
      <c r="H290" s="12"/>
      <c r="Q290" s="12"/>
    </row>
    <row r="292" spans="8:17" x14ac:dyDescent="0.3">
      <c r="H292" s="12"/>
    </row>
    <row r="311" spans="8:17" x14ac:dyDescent="0.3">
      <c r="H311" s="12"/>
      <c r="Q311" s="12"/>
    </row>
    <row r="314" spans="8:17" x14ac:dyDescent="0.3">
      <c r="H314" s="12"/>
      <c r="Q314" s="12"/>
    </row>
    <row r="316" spans="8:17" x14ac:dyDescent="0.3">
      <c r="H316" s="12"/>
      <c r="Q316" s="12"/>
    </row>
    <row r="318" spans="8:17" x14ac:dyDescent="0.3">
      <c r="H318" s="12"/>
      <c r="Q318" s="12"/>
    </row>
    <row r="320" spans="8:17" x14ac:dyDescent="0.3">
      <c r="H320" s="12"/>
      <c r="Q320" s="12"/>
    </row>
    <row r="322" spans="8:17" x14ac:dyDescent="0.3">
      <c r="H322" s="12"/>
      <c r="Q322" s="12"/>
    </row>
    <row r="324" spans="8:17" x14ac:dyDescent="0.3">
      <c r="H324" s="12"/>
      <c r="Q324" s="12"/>
    </row>
    <row r="326" spans="8:17" x14ac:dyDescent="0.3">
      <c r="H326" s="12"/>
      <c r="Q326" s="12"/>
    </row>
    <row r="328" spans="8:17" x14ac:dyDescent="0.3">
      <c r="H328" s="12"/>
      <c r="Q328" s="12"/>
    </row>
    <row r="330" spans="8:17" x14ac:dyDescent="0.3">
      <c r="H330" s="12"/>
      <c r="Q330" s="12"/>
    </row>
    <row r="332" spans="8:17" x14ac:dyDescent="0.3">
      <c r="H332" s="12"/>
      <c r="Q332" s="12"/>
    </row>
    <row r="334" spans="8:17" x14ac:dyDescent="0.3">
      <c r="H334" s="12"/>
      <c r="Q334" s="12"/>
    </row>
    <row r="336" spans="8:17" x14ac:dyDescent="0.3">
      <c r="H336" s="12"/>
      <c r="Q336" s="12"/>
    </row>
    <row r="362" spans="8:17" x14ac:dyDescent="0.3">
      <c r="Q362" s="12"/>
    </row>
    <row r="364" spans="8:17" x14ac:dyDescent="0.3">
      <c r="H364" s="12"/>
      <c r="Q364" s="12"/>
    </row>
    <row r="366" spans="8:17" x14ac:dyDescent="0.3">
      <c r="H366" s="12"/>
    </row>
    <row r="368" spans="8:17" x14ac:dyDescent="0.3">
      <c r="H368" s="12"/>
      <c r="Q368" s="12"/>
    </row>
    <row r="396" spans="8:17" x14ac:dyDescent="0.3">
      <c r="H396" s="12"/>
    </row>
    <row r="398" spans="8:17" x14ac:dyDescent="0.3">
      <c r="Q398" s="12"/>
    </row>
    <row r="399" spans="8:17" x14ac:dyDescent="0.3">
      <c r="Q399" s="12"/>
    </row>
    <row r="400" spans="8:17" x14ac:dyDescent="0.3">
      <c r="Q400" s="12"/>
    </row>
    <row r="401" spans="8:17" x14ac:dyDescent="0.3">
      <c r="Q401" s="12"/>
    </row>
    <row r="402" spans="8:17" x14ac:dyDescent="0.3">
      <c r="H402" s="12"/>
      <c r="Q402" s="12"/>
    </row>
    <row r="404" spans="8:17" x14ac:dyDescent="0.3">
      <c r="H404" s="12"/>
      <c r="Q404" s="12"/>
    </row>
    <row r="407" spans="8:17" x14ac:dyDescent="0.3">
      <c r="Q407" s="12"/>
    </row>
    <row r="431" spans="8:17" x14ac:dyDescent="0.3">
      <c r="Q431" s="12"/>
    </row>
    <row r="432" spans="8:17" x14ac:dyDescent="0.3">
      <c r="H432" s="12"/>
      <c r="Q432" s="12"/>
    </row>
    <row r="433" spans="8:17" x14ac:dyDescent="0.3">
      <c r="H433" s="12"/>
      <c r="Q433" s="12"/>
    </row>
    <row r="434" spans="8:17" x14ac:dyDescent="0.3">
      <c r="H434" s="12"/>
      <c r="Q434" s="12"/>
    </row>
    <row r="435" spans="8:17" x14ac:dyDescent="0.3">
      <c r="H435" s="12"/>
      <c r="Q435" s="12"/>
    </row>
    <row r="436" spans="8:17" x14ac:dyDescent="0.3">
      <c r="H436" s="12"/>
      <c r="Q436" s="12"/>
    </row>
    <row r="437" spans="8:17" x14ac:dyDescent="0.3">
      <c r="H437" s="12"/>
      <c r="Q437" s="12"/>
    </row>
    <row r="439" spans="8:17" x14ac:dyDescent="0.3">
      <c r="H439" s="12"/>
      <c r="Q439" s="12"/>
    </row>
    <row r="493" spans="13:13" x14ac:dyDescent="0.3">
      <c r="M493" s="13"/>
    </row>
    <row r="494" spans="13:13" x14ac:dyDescent="0.3">
      <c r="M494" s="1" t="s">
        <v>37</v>
      </c>
    </row>
  </sheetData>
  <mergeCells count="64">
    <mergeCell ref="A19:Q19"/>
    <mergeCell ref="A1:B1"/>
    <mergeCell ref="C1:N1"/>
    <mergeCell ref="O1:Q1"/>
    <mergeCell ref="A2:A3"/>
    <mergeCell ref="B2:D2"/>
    <mergeCell ref="E2:E3"/>
    <mergeCell ref="F2:F3"/>
    <mergeCell ref="G2:G3"/>
    <mergeCell ref="H2:H3"/>
    <mergeCell ref="I2:K2"/>
    <mergeCell ref="L2:O2"/>
    <mergeCell ref="P2:P3"/>
    <mergeCell ref="Q2:Q3"/>
    <mergeCell ref="A17:Q17"/>
    <mergeCell ref="A18:Q18"/>
    <mergeCell ref="A38:Q38"/>
    <mergeCell ref="A20:B20"/>
    <mergeCell ref="C20:N20"/>
    <mergeCell ref="O20:Q20"/>
    <mergeCell ref="A21:A22"/>
    <mergeCell ref="B21:D21"/>
    <mergeCell ref="E21:E22"/>
    <mergeCell ref="F21:F22"/>
    <mergeCell ref="G21:G22"/>
    <mergeCell ref="H21:H22"/>
    <mergeCell ref="I21:K21"/>
    <mergeCell ref="L21:O21"/>
    <mergeCell ref="P21:P22"/>
    <mergeCell ref="Q21:Q22"/>
    <mergeCell ref="A36:Q36"/>
    <mergeCell ref="A37:Q37"/>
    <mergeCell ref="A57:Q57"/>
    <mergeCell ref="A39:B39"/>
    <mergeCell ref="C39:N39"/>
    <mergeCell ref="O39:Q39"/>
    <mergeCell ref="A40:A41"/>
    <mergeCell ref="B40:D40"/>
    <mergeCell ref="E40:E41"/>
    <mergeCell ref="F40:F41"/>
    <mergeCell ref="G40:G41"/>
    <mergeCell ref="H40:H41"/>
    <mergeCell ref="I40:K40"/>
    <mergeCell ref="L40:O40"/>
    <mergeCell ref="P40:P41"/>
    <mergeCell ref="Q40:Q41"/>
    <mergeCell ref="A55:Q55"/>
    <mergeCell ref="A56:Q56"/>
    <mergeCell ref="A76:Q76"/>
    <mergeCell ref="A58:B58"/>
    <mergeCell ref="C58:N58"/>
    <mergeCell ref="O58:Q58"/>
    <mergeCell ref="A59:A60"/>
    <mergeCell ref="B59:D59"/>
    <mergeCell ref="E59:E60"/>
    <mergeCell ref="F59:F60"/>
    <mergeCell ref="G59:G60"/>
    <mergeCell ref="H59:H60"/>
    <mergeCell ref="I59:K59"/>
    <mergeCell ref="L59:O59"/>
    <mergeCell ref="P59:P60"/>
    <mergeCell ref="Q59:Q60"/>
    <mergeCell ref="A74:Q74"/>
    <mergeCell ref="A75:Q75"/>
  </mergeCells>
  <printOptions gridLines="1"/>
  <pageMargins left="0.7" right="0.7" top="0.75" bottom="0.5" header="0.3" footer="0.3"/>
  <pageSetup scale="66" firstPageNumber="76" orientation="landscape" useFirstPageNumber="1" r:id="rId1"/>
  <headerFooter alignWithMargins="0"/>
  <rowBreaks count="3" manualBreakCount="3">
    <brk id="19" max="16" man="1"/>
    <brk id="38" max="16" man="1"/>
    <brk id="57" max="1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Monthly_Template</vt:lpstr>
      <vt:lpstr>Sheet1</vt:lpstr>
      <vt:lpstr>Monthly_Template!\x</vt:lpstr>
      <vt:lpstr>Monthly_Template!Print_Area</vt:lpstr>
      <vt:lpstr>Monthly_Template!Print_Area_MI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2021-03-03T05:47:20Z</dcterms:created>
  <dcterms:modified xsi:type="dcterms:W3CDTF">2021-03-05T08:50:55Z</dcterms:modified>
</cp:coreProperties>
</file>