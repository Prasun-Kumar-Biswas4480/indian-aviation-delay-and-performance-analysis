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Pdf and excel Dec 2021\Excel Dec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H73" i="2" s="1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O54" i="2"/>
  <c r="Q54" i="2" s="1"/>
  <c r="N54" i="2"/>
  <c r="M54" i="2"/>
  <c r="L54" i="2"/>
  <c r="K54" i="2"/>
  <c r="J54" i="2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K35" i="2"/>
  <c r="J35" i="2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O16" i="2" s="1"/>
  <c r="Q16" i="2" s="1"/>
  <c r="L16" i="2"/>
  <c r="K16" i="2"/>
  <c r="J16" i="2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<sst xmlns="http://schemas.openxmlformats.org/spreadsheetml/2006/main" count="153" uniqueCount="42">
  <si>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</si>
  <si>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FLYBIG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</si>
  <si>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</si>
  <si>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</si>
  <si>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</si>
  <si>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</si>
  <si>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</si>
  <si>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</si>
  <si>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</si>
  <si>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</si>
  <si>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</si>
  <si>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</si>
  <si>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</si>
  <si>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</si>
  <si>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</si>
  <si>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</si>
  <si>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</si>
  <si>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</si>
  <si>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</si>
  <si>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</si>
  <si>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</si>
  <si>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</si>
  <si>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</si>
  <si>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</si>
  <si>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</si>
  <si>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</si>
  <si>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</si>
  <si>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</si>
  <si>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</si>
  <si>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</si>
  <si>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</si>
  <si>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</si>
  <si>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</si>
  <si>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</si>
  <si>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</si>
  <si>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FLYBIG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</si>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</sst>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 transitionEntry="1" codeName="Sheet12"/>
  <dimension ref="A1:Q494"/>
  <sheetViews>
    <sheetView showGridLines="0" tabSelected="1" view="pageBreakPreview" topLeftCell="A7" zoomScaleNormal="85" zoomScaleSheetLayoutView="100" workbookViewId="0">
      <selection activeCell="P16" sqref="P16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2021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56</v>
      </c>
      <c r="C4" s="5">
        <v>67</v>
      </c>
      <c r="D4" s="6">
        <v>1.9279999999999999</v>
      </c>
      <c r="E4" s="7">
        <v>1717</v>
      </c>
      <c r="F4" s="5">
        <v>777.2</v>
      </c>
      <c r="G4" s="5">
        <v>1809.5</v>
      </c>
      <c r="H4" s="8">
        <f>IFERROR(F4/G4*100," ")</f>
        <v>42.95109146172976</v>
      </c>
      <c r="I4" s="9">
        <v>0</v>
      </c>
      <c r="J4" s="10">
        <v>0</v>
      </c>
      <c r="K4" s="8">
        <f>IF(AND(ISBLANK(I4),ISBLANK(J4))=TRUE,"",I4+J4)</f>
        <v>0</v>
      </c>
      <c r="L4" s="9">
        <v>58.29</v>
      </c>
      <c r="M4" s="10">
        <v>0</v>
      </c>
      <c r="N4" s="10">
        <v>0</v>
      </c>
      <c r="O4" s="8">
        <f>IF(AND(ISBLANK(L4),ISBLANK(M4),ISBLANK(N4))=TRUE,"",L4+M4+N4)</f>
        <v>58.29</v>
      </c>
      <c r="P4" s="10">
        <v>552.09</v>
      </c>
      <c r="Q4" s="8">
        <f>IFERROR(O4/P4*100," ")</f>
        <v>10.558061185676246</v>
      </c>
    </row>
    <row r="5" spans="1:17" ht="23.1" customHeight="1" x14ac:dyDescent="0.3">
      <c r="A5" s="11" t="s">
        <v>23</v>
      </c>
      <c r="B5" s="12">
        <v>80</v>
      </c>
      <c r="C5" s="12">
        <v>103</v>
      </c>
      <c r="D5" s="11">
        <v>38.56</v>
      </c>
      <c r="E5" s="13">
        <v>2921</v>
      </c>
      <c r="F5" s="12">
        <v>1412.57</v>
      </c>
      <c r="G5" s="12">
        <v>2776.32</v>
      </c>
      <c r="H5" s="14">
        <f t="shared" ref="H5:H16" si="0">IFERROR(F5/G5*100," ")</f>
        <v>50.879221415398803</v>
      </c>
      <c r="I5" s="15">
        <v>0</v>
      </c>
      <c r="J5" s="16">
        <v>0</v>
      </c>
      <c r="K5" s="14">
        <f t="shared" ref="K5:K16" si="1">IF(AND(ISBLANK(I5),ISBLANK(J5))=TRUE,"",I5+J5)</f>
        <v>0</v>
      </c>
      <c r="L5" s="15">
        <v>105.94</v>
      </c>
      <c r="M5" s="16">
        <v>0</v>
      </c>
      <c r="N5" s="16">
        <v>0</v>
      </c>
      <c r="O5" s="14">
        <f t="shared" ref="O5:O16" si="2">IF(AND(ISBLANK(L5),ISBLANK(M5),ISBLANK(N5))=TRUE,"",L5+M5+N5)</f>
        <v>105.94</v>
      </c>
      <c r="P5" s="16">
        <v>848.21</v>
      </c>
      <c r="Q5" s="14">
        <f t="shared" ref="Q5:Q16" si="3">IFERROR(O5/P5*100," ")</f>
        <v>12.489831527569823</v>
      </c>
    </row>
    <row r="6" spans="1:17" ht="23.1" customHeight="1" x14ac:dyDescent="0.3">
      <c r="A6" s="17" t="s">
        <v>24</v>
      </c>
      <c r="B6" s="18">
        <v>90</v>
      </c>
      <c r="C6" s="18">
        <v>119</v>
      </c>
      <c r="D6" s="17">
        <v>43.69</v>
      </c>
      <c r="E6" s="19">
        <v>2600</v>
      </c>
      <c r="F6" s="18">
        <v>1278</v>
      </c>
      <c r="G6" s="18">
        <v>3145.68</v>
      </c>
      <c r="H6" s="20">
        <f t="shared" si="0"/>
        <v>40.627145799954221</v>
      </c>
      <c r="I6" s="21"/>
      <c r="J6" s="22"/>
      <c r="K6" s="20" t="str">
        <f t="shared" si="1"/>
        <v/>
      </c>
      <c r="L6" s="21">
        <v>95.85</v>
      </c>
      <c r="M6" s="22"/>
      <c r="N6" s="22"/>
      <c r="O6" s="20">
        <f t="shared" si="2"/>
        <v>95.85</v>
      </c>
      <c r="P6" s="22">
        <v>961.18</v>
      </c>
      <c r="Q6" s="20">
        <f t="shared" si="3"/>
        <v>9.9721176054433087</v>
      </c>
    </row>
    <row r="7" spans="1:17" ht="23.1" customHeight="1" x14ac:dyDescent="0.3">
      <c r="A7" s="11" t="s">
        <v>25</v>
      </c>
      <c r="B7" s="12">
        <v>68</v>
      </c>
      <c r="C7" s="12">
        <v>88</v>
      </c>
      <c r="D7" s="11">
        <v>131.1</v>
      </c>
      <c r="E7" s="13">
        <v>1765</v>
      </c>
      <c r="F7" s="12">
        <v>803.45</v>
      </c>
      <c r="G7" s="12">
        <v>2315.3200000000002</v>
      </c>
      <c r="H7" s="14">
        <f t="shared" si="0"/>
        <v>34.701466751896064</v>
      </c>
      <c r="I7" s="15"/>
      <c r="J7" s="16"/>
      <c r="K7" s="14" t="str">
        <f t="shared" si="1"/>
        <v/>
      </c>
      <c r="L7" s="15">
        <v>60.26</v>
      </c>
      <c r="M7" s="16"/>
      <c r="N7" s="16"/>
      <c r="O7" s="14">
        <f t="shared" si="2"/>
        <v>60.26</v>
      </c>
      <c r="P7" s="16">
        <v>707.43</v>
      </c>
      <c r="Q7" s="14">
        <f t="shared" si="3"/>
        <v>8.5181572735111608</v>
      </c>
    </row>
    <row r="8" spans="1:17" s="23" customFormat="1" ht="30" customHeight="1" x14ac:dyDescent="0.25">
      <c r="A8" s="17" t="s">
        <v>26</v>
      </c>
      <c r="B8" s="18">
        <v>54</v>
      </c>
      <c r="C8" s="18">
        <v>59.5</v>
      </c>
      <c r="D8" s="17">
        <v>62.86</v>
      </c>
      <c r="E8" s="19">
        <v>1323</v>
      </c>
      <c r="F8" s="18">
        <v>286.95999999999998</v>
      </c>
      <c r="G8" s="18">
        <v>1113.69</v>
      </c>
      <c r="H8" s="20">
        <f t="shared" si="0"/>
        <v>25.766595731307635</v>
      </c>
      <c r="I8" s="21"/>
      <c r="J8" s="22"/>
      <c r="K8" s="20" t="str">
        <f t="shared" si="1"/>
        <v/>
      </c>
      <c r="L8" s="21">
        <v>21.52</v>
      </c>
      <c r="M8" s="22"/>
      <c r="N8" s="22"/>
      <c r="O8" s="20">
        <f t="shared" si="2"/>
        <v>21.52</v>
      </c>
      <c r="P8" s="22">
        <v>340.3</v>
      </c>
      <c r="Q8" s="20">
        <f t="shared" si="3"/>
        <v>6.3238319130179246</v>
      </c>
    </row>
    <row r="9" spans="1:17" ht="23.1" customHeight="1" x14ac:dyDescent="0.3">
      <c r="A9" s="11" t="s">
        <v>27</v>
      </c>
      <c r="B9" s="12">
        <v>96</v>
      </c>
      <c r="C9" s="12">
        <v>103.4</v>
      </c>
      <c r="D9" s="11">
        <v>334.33</v>
      </c>
      <c r="E9" s="13">
        <v>3253</v>
      </c>
      <c r="F9" s="12">
        <v>897.64</v>
      </c>
      <c r="G9" s="12">
        <v>2213.2800000000002</v>
      </c>
      <c r="H9" s="14">
        <f t="shared" si="0"/>
        <v>40.557001373527072</v>
      </c>
      <c r="I9" s="15"/>
      <c r="J9" s="16"/>
      <c r="K9" s="14" t="str">
        <f t="shared" si="1"/>
        <v/>
      </c>
      <c r="L9" s="15">
        <v>67.319999999999993</v>
      </c>
      <c r="M9" s="16"/>
      <c r="N9" s="16"/>
      <c r="O9" s="14">
        <f t="shared" si="2"/>
        <v>67.319999999999993</v>
      </c>
      <c r="P9" s="16">
        <v>658.06</v>
      </c>
      <c r="Q9" s="14">
        <f t="shared" si="3"/>
        <v>10.230070206364161</v>
      </c>
    </row>
    <row r="10" spans="1:17" ht="23.1" customHeight="1" x14ac:dyDescent="0.3">
      <c r="A10" s="17" t="s">
        <v>28</v>
      </c>
      <c r="B10" s="18">
        <v>144</v>
      </c>
      <c r="C10" s="18">
        <v>144</v>
      </c>
      <c r="D10" s="17">
        <v>508.76</v>
      </c>
      <c r="E10" s="19">
        <v>4982</v>
      </c>
      <c r="F10" s="18">
        <v>1620.46</v>
      </c>
      <c r="G10" s="18">
        <v>3583.4</v>
      </c>
      <c r="H10" s="20">
        <f t="shared" si="0"/>
        <v>45.221298208405422</v>
      </c>
      <c r="I10" s="21"/>
      <c r="J10" s="22"/>
      <c r="K10" s="20" t="str">
        <f t="shared" si="1"/>
        <v/>
      </c>
      <c r="L10" s="21">
        <v>121.53</v>
      </c>
      <c r="M10" s="22"/>
      <c r="N10" s="22"/>
      <c r="O10" s="20">
        <f t="shared" si="2"/>
        <v>121.53</v>
      </c>
      <c r="P10" s="22">
        <v>1094.9000000000001</v>
      </c>
      <c r="Q10" s="20">
        <f t="shared" si="3"/>
        <v>11.099643803087039</v>
      </c>
    </row>
    <row r="11" spans="1:17" ht="23.1" customHeight="1" x14ac:dyDescent="0.3">
      <c r="A11" s="11" t="s">
        <v>29</v>
      </c>
      <c r="B11" s="12">
        <v>164</v>
      </c>
      <c r="C11" s="12">
        <v>161.5</v>
      </c>
      <c r="D11" s="11">
        <v>758.99</v>
      </c>
      <c r="E11" s="13">
        <v>5663</v>
      </c>
      <c r="F11" s="12">
        <v>2036.66</v>
      </c>
      <c r="G11" s="12">
        <v>4330.08</v>
      </c>
      <c r="H11" s="14">
        <f t="shared" si="0"/>
        <v>47.035158703765291</v>
      </c>
      <c r="I11" s="15"/>
      <c r="J11" s="16"/>
      <c r="K11" s="14" t="str">
        <f t="shared" si="1"/>
        <v/>
      </c>
      <c r="L11" s="15">
        <v>152.75</v>
      </c>
      <c r="M11" s="16"/>
      <c r="N11" s="16"/>
      <c r="O11" s="14">
        <f t="shared" si="2"/>
        <v>152.75</v>
      </c>
      <c r="P11" s="16">
        <v>1323.08</v>
      </c>
      <c r="Q11" s="14">
        <f t="shared" si="3"/>
        <v>11.545031290624905</v>
      </c>
    </row>
    <row r="12" spans="1:17" ht="23.1" customHeight="1" x14ac:dyDescent="0.3">
      <c r="A12" s="17" t="s">
        <v>30</v>
      </c>
      <c r="B12" s="18">
        <v>174</v>
      </c>
      <c r="C12" s="18">
        <v>203.4</v>
      </c>
      <c r="D12" s="17">
        <v>805.27</v>
      </c>
      <c r="E12" s="19">
        <v>5571</v>
      </c>
      <c r="F12" s="18">
        <v>2093.7600000000002</v>
      </c>
      <c r="G12" s="18">
        <v>4775.47</v>
      </c>
      <c r="H12" s="20">
        <f t="shared" si="0"/>
        <v>43.844061422226503</v>
      </c>
      <c r="I12" s="21"/>
      <c r="J12" s="22"/>
      <c r="K12" s="20" t="str">
        <f t="shared" si="1"/>
        <v/>
      </c>
      <c r="L12" s="21">
        <v>157.03</v>
      </c>
      <c r="M12" s="22"/>
      <c r="N12" s="22"/>
      <c r="O12" s="20">
        <f t="shared" si="2"/>
        <v>157.03</v>
      </c>
      <c r="P12" s="22">
        <v>1459.17</v>
      </c>
      <c r="Q12" s="20">
        <f t="shared" si="3"/>
        <v>10.761597346436673</v>
      </c>
    </row>
    <row r="13" spans="1:17" ht="23.1" customHeight="1" x14ac:dyDescent="0.3">
      <c r="A13" s="11" t="s">
        <v>31</v>
      </c>
      <c r="B13" s="12">
        <v>177</v>
      </c>
      <c r="C13" s="12">
        <v>218.08</v>
      </c>
      <c r="D13" s="11">
        <v>819.16</v>
      </c>
      <c r="E13" s="13">
        <v>8398</v>
      </c>
      <c r="F13" s="12">
        <v>3139.44</v>
      </c>
      <c r="G13" s="12">
        <v>4844.88</v>
      </c>
      <c r="H13" s="14">
        <f t="shared" si="0"/>
        <v>64.799128151780849</v>
      </c>
      <c r="I13" s="15"/>
      <c r="J13" s="16"/>
      <c r="K13" s="14" t="str">
        <f t="shared" si="1"/>
        <v/>
      </c>
      <c r="L13" s="15">
        <v>235.46</v>
      </c>
      <c r="M13" s="16"/>
      <c r="N13" s="16"/>
      <c r="O13" s="14">
        <f t="shared" si="2"/>
        <v>235.46</v>
      </c>
      <c r="P13" s="16">
        <v>1480.38</v>
      </c>
      <c r="Q13" s="14">
        <f t="shared" si="3"/>
        <v>15.90537564679339</v>
      </c>
    </row>
    <row r="14" spans="1:17" ht="23.1" customHeight="1" x14ac:dyDescent="0.3">
      <c r="A14" s="17" t="s">
        <v>32</v>
      </c>
      <c r="B14" s="18">
        <v>236</v>
      </c>
      <c r="C14" s="18">
        <v>280</v>
      </c>
      <c r="D14" s="17">
        <v>1277.2</v>
      </c>
      <c r="E14" s="19">
        <v>10081</v>
      </c>
      <c r="F14" s="18">
        <v>3763.2</v>
      </c>
      <c r="G14" s="18">
        <v>6253.9</v>
      </c>
      <c r="H14" s="20">
        <f t="shared" si="0"/>
        <v>60.173651641375784</v>
      </c>
      <c r="I14" s="21"/>
      <c r="J14" s="22"/>
      <c r="K14" s="20" t="str">
        <f t="shared" si="1"/>
        <v/>
      </c>
      <c r="L14" s="21">
        <v>282.2</v>
      </c>
      <c r="M14" s="22"/>
      <c r="N14" s="22"/>
      <c r="O14" s="20">
        <f t="shared" si="2"/>
        <v>282.2</v>
      </c>
      <c r="P14" s="22">
        <v>1910.9</v>
      </c>
      <c r="Q14" s="20">
        <f t="shared" si="3"/>
        <v>14.767910408707937</v>
      </c>
    </row>
    <row r="15" spans="1:17" ht="23.1" customHeight="1" x14ac:dyDescent="0.3">
      <c r="A15" s="24" t="s">
        <v>33</v>
      </c>
      <c r="B15" s="25">
        <v>243</v>
      </c>
      <c r="C15" s="25">
        <v>291.5</v>
      </c>
      <c r="D15" s="26">
        <v>1315.22</v>
      </c>
      <c r="E15" s="27">
        <v>10244</v>
      </c>
      <c r="F15" s="25">
        <v>3984.02</v>
      </c>
      <c r="G15" s="25">
        <v>6513.12</v>
      </c>
      <c r="H15" s="28">
        <f t="shared" si="0"/>
        <v>61.169147812415559</v>
      </c>
      <c r="I15" s="29"/>
      <c r="J15" s="30"/>
      <c r="K15" s="28" t="str">
        <f t="shared" si="1"/>
        <v/>
      </c>
      <c r="L15" s="29">
        <v>298.8</v>
      </c>
      <c r="M15" s="30"/>
      <c r="N15" s="30"/>
      <c r="O15" s="28">
        <f t="shared" si="2"/>
        <v>298.8</v>
      </c>
      <c r="P15" s="16">
        <v>1990.12</v>
      </c>
      <c r="Q15" s="14">
        <f t="shared" si="3"/>
        <v>15.014169999799009</v>
      </c>
    </row>
    <row r="16" spans="1:17" ht="23.1" customHeight="1" x14ac:dyDescent="0.3">
      <c r="A16" s="31" t="s">
        <v>34</v>
      </c>
      <c r="B16" s="32">
        <f t="shared" ref="B16:G16" si="4">SUM(B4:B15)</f>
        <v>1582</v>
      </c>
      <c r="C16" s="32">
        <f t="shared" si="4"/>
        <v>1838.3799999999999</v>
      </c>
      <c r="D16" s="32">
        <f t="shared" si="4"/>
        <v>6097.0680000000002</v>
      </c>
      <c r="E16" s="32">
        <f t="shared" si="4"/>
        <v>58518</v>
      </c>
      <c r="F16" s="32">
        <f t="shared" si="4"/>
        <v>22093.360000000001</v>
      </c>
      <c r="G16" s="32">
        <f t="shared" si="4"/>
        <v>43674.640000000007</v>
      </c>
      <c r="H16" s="33">
        <f t="shared" si="0"/>
        <v>50.586244099550669</v>
      </c>
      <c r="I16" s="33">
        <f>SUM(I4:I15)</f>
        <v>0</v>
      </c>
      <c r="J16" s="33">
        <f>SUM(J4:J15)</f>
        <v>0</v>
      </c>
      <c r="K16" s="33">
        <f t="shared" si="1"/>
        <v>0</v>
      </c>
      <c r="L16" s="33">
        <f>SUM(L4:L15)</f>
        <v>1656.9499999999998</v>
      </c>
      <c r="M16" s="33">
        <f>SUM(M4:M15)</f>
        <v>0</v>
      </c>
      <c r="N16" s="33">
        <f>SUM(N4:N15)</f>
        <v>0</v>
      </c>
      <c r="O16" s="33">
        <f t="shared" si="2"/>
        <v>1656.9499999999998</v>
      </c>
      <c r="P16" s="34">
        <f>SUM(P4:P15)</f>
        <v>13325.82</v>
      </c>
      <c r="Q16" s="34">
        <f t="shared" si="3"/>
        <v>12.434131633175294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2021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2021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0</v>
      </c>
      <c r="C54" s="116">
        <f t="shared" si="14"/>
        <v>0</v>
      </c>
      <c r="D54" s="116">
        <f t="shared" si="14"/>
        <v>0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0</v>
      </c>
      <c r="M54" s="117">
        <f>SUM(M42:M53)</f>
        <v>0</v>
      </c>
      <c r="N54" s="117">
        <f>SUM(N42:N53)</f>
        <v>0</v>
      </c>
      <c r="O54" s="117">
        <f t="shared" si="12"/>
        <v>0</v>
      </c>
      <c r="P54" s="118">
        <f>SUM(P42:P53)</f>
        <v>0</v>
      </c>
      <c r="Q54" s="117" t="str">
        <f t="shared" si="13"/>
        <v xml:space="preserve"> 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2021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0</v>
      </c>
      <c r="C73" s="138">
        <f t="shared" si="19"/>
        <v>0</v>
      </c>
      <c r="D73" s="138">
        <f t="shared" si="19"/>
        <v>0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17"/>
        <v>0</v>
      </c>
      <c r="P73" s="140">
        <f>SUM(P61:P72)</f>
        <v>0</v>
      </c>
      <c r="Q73" s="139" t="str">
        <f t="shared" si="18"/>
        <v xml:space="preserve"> 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2022-02-17T11:35:50Z</dcterms:created>
  <dcterms:modified xsi:type="dcterms:W3CDTF">2022-05-27T06:21:09Z</dcterms:modified>
</cp:coreProperties>
</file>