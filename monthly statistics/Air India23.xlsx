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<sst xmlns="http://schemas.openxmlformats.org/spreadsheetml/2006/main" count="153" uniqueCount="42">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</sst>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3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N3" sqref="N3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2023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8295</v>
      </c>
      <c r="C4" s="12">
        <v>16310.466666666671</v>
      </c>
      <c r="D4" s="13">
        <v>9174.4570000000003</v>
      </c>
      <c r="E4" s="14">
        <v>1154581</v>
      </c>
      <c r="F4" s="12">
        <v>1199173.8370000001</v>
      </c>
      <c r="G4" s="12">
        <v>1370587.0079999999</v>
      </c>
      <c r="H4" s="15">
        <f>IFERROR(F4/G4*100," ")</f>
        <v>87.493448427609792</v>
      </c>
      <c r="I4" s="16">
        <v>5669.7380999999941</v>
      </c>
      <c r="J4" s="17">
        <v>333.68269370100001</v>
      </c>
      <c r="K4" s="15">
        <f>IF(AND(ISBLANK(I4),ISBLANK(J4))=TRUE,"",I4+J4)</f>
        <v>6003.4207937009942</v>
      </c>
      <c r="L4" s="16">
        <v>109723.90863699996</v>
      </c>
      <c r="M4" s="17">
        <v>7017.1135838999971</v>
      </c>
      <c r="N4" s="17"/>
      <c r="O4" s="15">
        <f>IF(AND(ISBLANK(L4),ISBLANK(M4),ISBLANK(N4))=TRUE,"",L4+M4+N4)</f>
        <v>116741.02222089995</v>
      </c>
      <c r="P4" s="17">
        <v>145502.10404799986</v>
      </c>
      <c r="Q4" s="15">
        <f>IFERROR(O4/P4*100," ")</f>
        <v>80.233219295844762</v>
      </c>
    </row>
    <row r="5" spans="1:17" ht="23.1" customHeight="1" x14ac:dyDescent="0.3">
      <c r="A5" s="18" t="s">
        <v>23</v>
      </c>
      <c r="B5" s="19">
        <v>7624</v>
      </c>
      <c r="C5" s="19">
        <v>14934.633333333335</v>
      </c>
      <c r="D5" s="18">
        <v>8347.7260000000006</v>
      </c>
      <c r="E5" s="20">
        <v>1076299</v>
      </c>
      <c r="F5" s="19">
        <v>1117616.5279999999</v>
      </c>
      <c r="G5" s="19">
        <v>1256131.558</v>
      </c>
      <c r="H5" s="21">
        <f t="shared" ref="H5:H16" si="0">IFERROR(F5/G5*100," ")</f>
        <v>88.972888299968972</v>
      </c>
      <c r="I5" s="22">
        <v>5381.1907000000001</v>
      </c>
      <c r="J5" s="23">
        <v>440.61390485103396</v>
      </c>
      <c r="K5" s="21">
        <f t="shared" ref="K5:K16" si="1">IF(AND(ISBLANK(I5),ISBLANK(J5))=TRUE,"",I5+J5)</f>
        <v>5821.8046048510341</v>
      </c>
      <c r="L5" s="22">
        <v>102259.43730999994</v>
      </c>
      <c r="M5" s="23">
        <v>6674.8742474999954</v>
      </c>
      <c r="N5" s="23">
        <v>520.66028032793076</v>
      </c>
      <c r="O5" s="21">
        <f t="shared" ref="O5:O16" si="2">IF(AND(ISBLANK(L5),ISBLANK(M5),ISBLANK(N5))=TRUE,"",L5+M5+N5)</f>
        <v>109454.97183782785</v>
      </c>
      <c r="P5" s="23">
        <v>133060.02066399989</v>
      </c>
      <c r="Q5" s="21">
        <f t="shared" ref="Q5:Q16" si="3">IFERROR(O5/P5*100," ")</f>
        <v>82.25984881982022</v>
      </c>
    </row>
    <row r="6" spans="1:17" ht="23.1" customHeight="1" x14ac:dyDescent="0.3">
      <c r="A6" s="24" t="s">
        <v>24</v>
      </c>
      <c r="B6" s="25">
        <v>8434</v>
      </c>
      <c r="C6" s="25">
        <v>16537.919999999995</v>
      </c>
      <c r="D6" s="24">
        <v>9248.7639999999992</v>
      </c>
      <c r="E6" s="26">
        <v>1139044</v>
      </c>
      <c r="F6" s="25">
        <v>1186788.7560000001</v>
      </c>
      <c r="G6" s="25">
        <v>1394183.05</v>
      </c>
      <c r="H6" s="27">
        <f t="shared" si="0"/>
        <v>85.12431391272473</v>
      </c>
      <c r="I6" s="28">
        <v>6295.5920000000006</v>
      </c>
      <c r="J6" s="29">
        <v>350.56938393238204</v>
      </c>
      <c r="K6" s="27">
        <f t="shared" si="1"/>
        <v>6646.1613839323827</v>
      </c>
      <c r="L6" s="28">
        <v>108537.655</v>
      </c>
      <c r="M6" s="29">
        <v>7897.6130000000003</v>
      </c>
      <c r="N6" s="29">
        <v>388.06117432776267</v>
      </c>
      <c r="O6" s="27">
        <f t="shared" si="2"/>
        <v>116823.32917432777</v>
      </c>
      <c r="P6" s="29">
        <v>147556.57800000001</v>
      </c>
      <c r="Q6" s="27">
        <f t="shared" si="3"/>
        <v>79.171888341248845</v>
      </c>
    </row>
    <row r="7" spans="1:17" ht="23.1" customHeight="1" x14ac:dyDescent="0.3">
      <c r="A7" s="18" t="s">
        <v>25</v>
      </c>
      <c r="B7" s="19">
        <v>8062</v>
      </c>
      <c r="C7" s="19">
        <v>15384.749999999993</v>
      </c>
      <c r="D7" s="18">
        <v>8739.3369999999995</v>
      </c>
      <c r="E7" s="20">
        <v>1112789</v>
      </c>
      <c r="F7" s="19">
        <v>1168068.5549999999</v>
      </c>
      <c r="G7" s="19">
        <v>1328845.496</v>
      </c>
      <c r="H7" s="21">
        <f t="shared" si="0"/>
        <v>87.901005686217104</v>
      </c>
      <c r="I7" s="22">
        <v>5842.5134000000007</v>
      </c>
      <c r="J7" s="23">
        <v>341.5246643527463</v>
      </c>
      <c r="K7" s="21">
        <f t="shared" si="1"/>
        <v>6184.0380643527469</v>
      </c>
      <c r="L7" s="22">
        <v>106810.817121</v>
      </c>
      <c r="M7" s="23">
        <v>7334.5634951000056</v>
      </c>
      <c r="N7" s="23">
        <v>373.11954296986397</v>
      </c>
      <c r="O7" s="21">
        <f t="shared" si="2"/>
        <v>114518.50015906988</v>
      </c>
      <c r="P7" s="23">
        <v>142798.57667599994</v>
      </c>
      <c r="Q7" s="21">
        <f t="shared" si="3"/>
        <v>80.195827454852306</v>
      </c>
    </row>
    <row r="8" spans="1:17" s="30" customFormat="1" ht="30" customHeight="1" x14ac:dyDescent="0.25">
      <c r="A8" s="24" t="s">
        <v>26</v>
      </c>
      <c r="B8" s="25">
        <v>8763</v>
      </c>
      <c r="C8" s="25">
        <v>16525.566666666684</v>
      </c>
      <c r="D8" s="24">
        <v>9412.9680000000008</v>
      </c>
      <c r="E8" s="26">
        <v>1244034</v>
      </c>
      <c r="F8" s="25">
        <v>1295355.3370000001</v>
      </c>
      <c r="G8" s="25">
        <v>1438816.3540000001</v>
      </c>
      <c r="H8" s="27">
        <f t="shared" si="0"/>
        <v>90.029233640473336</v>
      </c>
      <c r="I8" s="28">
        <v>7057.3751999999986</v>
      </c>
      <c r="J8" s="29">
        <v>386.12256900799207</v>
      </c>
      <c r="K8" s="27">
        <f t="shared" si="1"/>
        <v>7443.4977690079904</v>
      </c>
      <c r="L8" s="28">
        <v>118499.80355900002</v>
      </c>
      <c r="M8" s="29">
        <v>8932.4045365000093</v>
      </c>
      <c r="N8" s="29">
        <v>426.61742000000027</v>
      </c>
      <c r="O8" s="27">
        <f t="shared" si="2"/>
        <v>127858.82551550002</v>
      </c>
      <c r="P8" s="29">
        <v>154946.65783199918</v>
      </c>
      <c r="Q8" s="27">
        <f t="shared" si="3"/>
        <v>82.517962829589308</v>
      </c>
    </row>
    <row r="9" spans="1:17" ht="23.1" customHeight="1" x14ac:dyDescent="0.3">
      <c r="A9" s="18" t="s">
        <v>27</v>
      </c>
      <c r="B9" s="19">
        <v>8676</v>
      </c>
      <c r="C9" s="19">
        <v>16441.103999999999</v>
      </c>
      <c r="D9" s="18">
        <v>9259.1990000000005</v>
      </c>
      <c r="E9" s="20">
        <v>1212719</v>
      </c>
      <c r="F9" s="19">
        <v>1254675.02</v>
      </c>
      <c r="G9" s="19">
        <v>1421735.906</v>
      </c>
      <c r="H9" s="21">
        <f t="shared" si="0"/>
        <v>88.249513478911894</v>
      </c>
      <c r="I9" s="22">
        <v>6885.0300000000007</v>
      </c>
      <c r="J9" s="23">
        <v>429.11823449178291</v>
      </c>
      <c r="K9" s="21">
        <f t="shared" si="1"/>
        <v>7314.148234491784</v>
      </c>
      <c r="L9" s="22">
        <v>114795.602</v>
      </c>
      <c r="M9" s="23">
        <v>8400.366</v>
      </c>
      <c r="N9" s="23">
        <v>177.16944904455713</v>
      </c>
      <c r="O9" s="21">
        <f t="shared" si="2"/>
        <v>123373.13744904455</v>
      </c>
      <c r="P9" s="23">
        <v>153218.86199999999</v>
      </c>
      <c r="Q9" s="21">
        <f t="shared" si="3"/>
        <v>80.52085483381579</v>
      </c>
    </row>
    <row r="10" spans="1:17" ht="23.1" customHeight="1" x14ac:dyDescent="0.3">
      <c r="A10" s="24" t="s">
        <v>28</v>
      </c>
      <c r="B10" s="25">
        <v>8958</v>
      </c>
      <c r="C10" s="25">
        <v>17257.314999999991</v>
      </c>
      <c r="D10" s="24">
        <v>9527.6149999999998</v>
      </c>
      <c r="E10" s="26">
        <v>1198026</v>
      </c>
      <c r="F10" s="25">
        <v>1224824.835</v>
      </c>
      <c r="G10" s="25">
        <v>1455026.202</v>
      </c>
      <c r="H10" s="27">
        <f t="shared" si="0"/>
        <v>84.178885116736879</v>
      </c>
      <c r="I10" s="28">
        <v>6405.0640000000003</v>
      </c>
      <c r="J10" s="29">
        <v>521.905037711413</v>
      </c>
      <c r="K10" s="27">
        <f t="shared" si="1"/>
        <v>6926.969037711413</v>
      </c>
      <c r="L10" s="28">
        <v>111984.88400000001</v>
      </c>
      <c r="M10" s="29">
        <v>7861.2280000000001</v>
      </c>
      <c r="N10" s="29">
        <v>551.53817455058083</v>
      </c>
      <c r="O10" s="27">
        <f t="shared" si="2"/>
        <v>120397.6501745506</v>
      </c>
      <c r="P10" s="29">
        <v>156178.97899999999</v>
      </c>
      <c r="Q10" s="27">
        <f t="shared" si="3"/>
        <v>77.089535957685186</v>
      </c>
    </row>
    <row r="11" spans="1:17" ht="23.1" customHeight="1" x14ac:dyDescent="0.3">
      <c r="A11" s="18" t="s">
        <v>29</v>
      </c>
      <c r="B11" s="19">
        <v>9027</v>
      </c>
      <c r="C11" s="19">
        <v>17161.633333333331</v>
      </c>
      <c r="D11" s="18">
        <v>9580.8070000000007</v>
      </c>
      <c r="E11" s="20">
        <v>1211611</v>
      </c>
      <c r="F11" s="19">
        <v>1236685.398</v>
      </c>
      <c r="G11" s="19">
        <v>1462597.828</v>
      </c>
      <c r="H11" s="21">
        <f t="shared" si="0"/>
        <v>84.554029434809195</v>
      </c>
      <c r="I11" s="22">
        <v>6831.5917000000109</v>
      </c>
      <c r="J11" s="23">
        <v>649.09463141173819</v>
      </c>
      <c r="K11" s="21">
        <f t="shared" si="1"/>
        <v>7480.6863314117491</v>
      </c>
      <c r="L11" s="22">
        <v>113062.853974</v>
      </c>
      <c r="M11" s="23">
        <v>8249.6424243999918</v>
      </c>
      <c r="N11" s="23">
        <v>658.57562891233727</v>
      </c>
      <c r="O11" s="21">
        <f t="shared" si="2"/>
        <v>121971.07202731233</v>
      </c>
      <c r="P11" s="23">
        <v>156659.83790799993</v>
      </c>
      <c r="Q11" s="21">
        <f t="shared" si="3"/>
        <v>77.857269390857581</v>
      </c>
    </row>
    <row r="12" spans="1:17" ht="23.1" customHeight="1" x14ac:dyDescent="0.3">
      <c r="A12" s="24" t="s">
        <v>30</v>
      </c>
      <c r="B12" s="25">
        <v>8622</v>
      </c>
      <c r="C12" s="25">
        <v>16786.966666666714</v>
      </c>
      <c r="D12" s="24">
        <v>9263.9169999999995</v>
      </c>
      <c r="E12" s="26">
        <v>1174442</v>
      </c>
      <c r="F12" s="25">
        <v>1200419.3759999999</v>
      </c>
      <c r="G12" s="25">
        <v>1413616.8019999999</v>
      </c>
      <c r="H12" s="27">
        <f t="shared" si="0"/>
        <v>84.918301360144696</v>
      </c>
      <c r="I12" s="28">
        <v>7037.9237000000094</v>
      </c>
      <c r="J12" s="29">
        <v>530.81557311359188</v>
      </c>
      <c r="K12" s="27">
        <f t="shared" si="1"/>
        <v>7568.7392731136015</v>
      </c>
      <c r="L12" s="28">
        <v>109760.03028900003</v>
      </c>
      <c r="M12" s="29">
        <v>8545.7553828000073</v>
      </c>
      <c r="N12" s="29">
        <v>540.65376059956589</v>
      </c>
      <c r="O12" s="27">
        <f t="shared" si="2"/>
        <v>118846.43943239961</v>
      </c>
      <c r="P12" s="29">
        <v>150748.44623999897</v>
      </c>
      <c r="Q12" s="27">
        <f t="shared" si="3"/>
        <v>78.837588311318456</v>
      </c>
    </row>
    <row r="13" spans="1:17" ht="23.1" customHeight="1" x14ac:dyDescent="0.3">
      <c r="A13" s="18" t="s">
        <v>31</v>
      </c>
      <c r="B13" s="19">
        <v>8776</v>
      </c>
      <c r="C13" s="19">
        <v>16890.483333333334</v>
      </c>
      <c r="D13" s="18">
        <v>9449.0949999999993</v>
      </c>
      <c r="E13" s="20">
        <v>1222165</v>
      </c>
      <c r="F13" s="19">
        <v>1263861.645</v>
      </c>
      <c r="G13" s="19">
        <v>1470628.264</v>
      </c>
      <c r="H13" s="21">
        <f t="shared" si="0"/>
        <v>85.940252607575346</v>
      </c>
      <c r="I13" s="22">
        <v>7505.0389000000032</v>
      </c>
      <c r="J13" s="23">
        <v>546.35330815354507</v>
      </c>
      <c r="K13" s="21">
        <f t="shared" si="1"/>
        <v>8051.3922081535484</v>
      </c>
      <c r="L13" s="22">
        <v>115558.85349699993</v>
      </c>
      <c r="M13" s="23">
        <v>9020.744649200009</v>
      </c>
      <c r="N13" s="23">
        <v>539.72939451300954</v>
      </c>
      <c r="O13" s="21">
        <f t="shared" si="2"/>
        <v>125119.32754071295</v>
      </c>
      <c r="P13" s="23">
        <v>157501.520628</v>
      </c>
      <c r="Q13" s="21">
        <f t="shared" si="3"/>
        <v>79.440075906460635</v>
      </c>
    </row>
    <row r="14" spans="1:17" ht="23.1" customHeight="1" x14ac:dyDescent="0.3">
      <c r="A14" s="24" t="s">
        <v>32</v>
      </c>
      <c r="B14" s="25">
        <v>8306</v>
      </c>
      <c r="C14" s="25">
        <v>16247.066666666662</v>
      </c>
      <c r="D14" s="24">
        <v>8888.4240000000009</v>
      </c>
      <c r="E14" s="26">
        <v>1189143</v>
      </c>
      <c r="F14" s="25">
        <v>1224911.3589999999</v>
      </c>
      <c r="G14" s="25">
        <v>1434987.4779999999</v>
      </c>
      <c r="H14" s="27">
        <f t="shared" si="0"/>
        <v>85.36042145170552</v>
      </c>
      <c r="I14" s="28">
        <v>7206.4299000000092</v>
      </c>
      <c r="J14" s="29">
        <v>586.18062471244468</v>
      </c>
      <c r="K14" s="27">
        <f t="shared" si="1"/>
        <v>7792.6105247124542</v>
      </c>
      <c r="L14" s="28">
        <v>112056.84413699991</v>
      </c>
      <c r="M14" s="29">
        <v>9072.6249511000115</v>
      </c>
      <c r="N14" s="29">
        <v>604.81817925843643</v>
      </c>
      <c r="O14" s="27">
        <f t="shared" si="2"/>
        <v>121734.28726735835</v>
      </c>
      <c r="P14" s="29">
        <v>155667.0019239985</v>
      </c>
      <c r="Q14" s="27">
        <f t="shared" si="3"/>
        <v>78.201729180081998</v>
      </c>
    </row>
    <row r="15" spans="1:17" ht="23.1" customHeight="1" x14ac:dyDescent="0.3">
      <c r="A15" s="31" t="s">
        <v>33</v>
      </c>
      <c r="B15" s="32">
        <v>8981</v>
      </c>
      <c r="C15" s="32">
        <v>17744.533333333326</v>
      </c>
      <c r="D15" s="33">
        <v>9556.7819999999992</v>
      </c>
      <c r="E15" s="34">
        <v>1339630</v>
      </c>
      <c r="F15" s="32">
        <v>1374497.4650000001</v>
      </c>
      <c r="G15" s="32">
        <v>1553528.63</v>
      </c>
      <c r="H15" s="35">
        <f t="shared" si="0"/>
        <v>88.475837423092756</v>
      </c>
      <c r="I15" s="36">
        <v>7141.1105000000025</v>
      </c>
      <c r="J15" s="37">
        <v>658.68836703238696</v>
      </c>
      <c r="K15" s="35">
        <f t="shared" si="1"/>
        <v>7799.7988670323894</v>
      </c>
      <c r="L15" s="36">
        <v>125741.86123699999</v>
      </c>
      <c r="M15" s="37">
        <v>8970.3928320000014</v>
      </c>
      <c r="N15" s="37">
        <v>731.45669559884152</v>
      </c>
      <c r="O15" s="35">
        <f t="shared" si="2"/>
        <v>135443.71076459883</v>
      </c>
      <c r="P15" s="23">
        <v>169863.16277599978</v>
      </c>
      <c r="Q15" s="21">
        <f t="shared" si="3"/>
        <v>79.736953292933663</v>
      </c>
    </row>
    <row r="16" spans="1:17" ht="23.1" customHeight="1" x14ac:dyDescent="0.3">
      <c r="A16" s="38" t="s">
        <v>34</v>
      </c>
      <c r="B16" s="39">
        <f t="shared" ref="B16:G16" si="4">SUM(B4:B15)</f>
        <v>102524</v>
      </c>
      <c r="C16" s="39">
        <f t="shared" si="4"/>
        <v>198222.43900000004</v>
      </c>
      <c r="D16" s="39">
        <f t="shared" si="4"/>
        <v>110449.09099999999</v>
      </c>
      <c r="E16" s="39">
        <f t="shared" si="4"/>
        <v>14274483</v>
      </c>
      <c r="F16" s="39">
        <f t="shared" si="4"/>
        <v>14746878.111</v>
      </c>
      <c r="G16" s="39">
        <f t="shared" si="4"/>
        <v>17000684.575999998</v>
      </c>
      <c r="H16" s="40">
        <f t="shared" si="0"/>
        <v>86.742848766327242</v>
      </c>
      <c r="I16" s="40">
        <f>SUM(I4:I15)</f>
        <v>79258.598100000032</v>
      </c>
      <c r="J16" s="40">
        <f>SUM(J4:J15)</f>
        <v>5774.6689924720577</v>
      </c>
      <c r="K16" s="40">
        <f t="shared" si="1"/>
        <v>85033.267092472088</v>
      </c>
      <c r="L16" s="40">
        <f>SUM(L4:L15)</f>
        <v>1348792.5507609996</v>
      </c>
      <c r="M16" s="40">
        <f>SUM(M4:M15)</f>
        <v>97977.323102500013</v>
      </c>
      <c r="N16" s="40">
        <f>SUM(N4:N15)</f>
        <v>5512.3997001028856</v>
      </c>
      <c r="O16" s="40">
        <f t="shared" si="2"/>
        <v>1452282.2735636025</v>
      </c>
      <c r="P16" s="41">
        <f>SUM(P4:P15)</f>
        <v>1823701.7476959962</v>
      </c>
      <c r="Q16" s="41">
        <f t="shared" si="3"/>
        <v>79.633760037701734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2023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3503</v>
      </c>
      <c r="C23" s="58">
        <v>23025.3</v>
      </c>
      <c r="D23" s="59">
        <v>17147.228999999999</v>
      </c>
      <c r="E23" s="57">
        <v>649594</v>
      </c>
      <c r="F23" s="58">
        <v>3680735.679</v>
      </c>
      <c r="G23" s="58">
        <v>4266836.6239999998</v>
      </c>
      <c r="H23" s="60">
        <f t="shared" ref="H23:H35" si="5">IFERROR(F23/G23*100," ")</f>
        <v>86.263806265669672</v>
      </c>
      <c r="I23" s="61">
        <v>7773.7900999999965</v>
      </c>
      <c r="J23" s="61">
        <v>418.77739136934991</v>
      </c>
      <c r="K23" s="61">
        <f>IF(AND(ISBLANK(I23),ISBLANK(J23))=TRUE,"",I23+J23)</f>
        <v>8192.5674913693456</v>
      </c>
      <c r="L23" s="62">
        <v>384911.22874499991</v>
      </c>
      <c r="M23" s="61">
        <v>47731.641779099977</v>
      </c>
      <c r="N23" s="61"/>
      <c r="O23" s="63">
        <f>IF(AND(ISBLANK(L23),ISBLANK(M23),ISBLANK(N23))=TRUE,"",L23+M23+N23)</f>
        <v>432642.87052409991</v>
      </c>
      <c r="P23" s="62">
        <v>616844.75567999994</v>
      </c>
      <c r="Q23" s="63">
        <f>IFERROR(O23/P23*100," ")</f>
        <v>70.13804795132954</v>
      </c>
    </row>
    <row r="24" spans="1:17" ht="23.1" customHeight="1" x14ac:dyDescent="0.3">
      <c r="A24" s="64" t="s">
        <v>23</v>
      </c>
      <c r="B24" s="65">
        <v>3220</v>
      </c>
      <c r="C24" s="64">
        <v>21208.51666666667</v>
      </c>
      <c r="D24" s="66">
        <v>15906.712</v>
      </c>
      <c r="E24" s="65">
        <v>599914</v>
      </c>
      <c r="F24" s="64">
        <v>3415406.3220000002</v>
      </c>
      <c r="G24" s="64">
        <v>3973160.49</v>
      </c>
      <c r="H24" s="67">
        <f t="shared" si="5"/>
        <v>85.961952219050687</v>
      </c>
      <c r="I24" s="68">
        <v>8657.5121999999992</v>
      </c>
      <c r="J24" s="68">
        <v>431.26503689404001</v>
      </c>
      <c r="K24" s="68">
        <f t="shared" ref="K24:K35" si="6">IF(AND(ISBLANK(I24),ISBLANK(J24))=TRUE,"",I24+J24)</f>
        <v>9088.7772368940387</v>
      </c>
      <c r="L24" s="69">
        <v>357837.79317099904</v>
      </c>
      <c r="M24" s="68">
        <v>53745.608984500002</v>
      </c>
      <c r="N24" s="68">
        <v>3338.4892433337104</v>
      </c>
      <c r="O24" s="67">
        <f t="shared" ref="O24:O35" si="7">IF(AND(ISBLANK(L24),ISBLANK(M24),ISBLANK(N24))=TRUE,"",L24+M24+N24)</f>
        <v>414921.89139883273</v>
      </c>
      <c r="P24" s="69">
        <v>573617.95979200001</v>
      </c>
      <c r="Q24" s="67">
        <f t="shared" ref="Q24:Q35" si="8">IFERROR(O24/P24*100," ")</f>
        <v>72.334187644558384</v>
      </c>
    </row>
    <row r="25" spans="1:17" ht="23.1" customHeight="1" x14ac:dyDescent="0.3">
      <c r="A25" s="56" t="s">
        <v>24</v>
      </c>
      <c r="B25" s="70">
        <v>3627</v>
      </c>
      <c r="C25" s="56">
        <v>24038.519999999993</v>
      </c>
      <c r="D25" s="71">
        <v>17941.674999999999</v>
      </c>
      <c r="E25" s="70">
        <v>663040</v>
      </c>
      <c r="F25" s="56">
        <v>3704444.213</v>
      </c>
      <c r="G25" s="56">
        <v>4484955.6059999997</v>
      </c>
      <c r="H25" s="60">
        <f t="shared" si="5"/>
        <v>82.597121096230538</v>
      </c>
      <c r="I25" s="72">
        <v>10134.782999999996</v>
      </c>
      <c r="J25" s="72">
        <v>451.085077016166</v>
      </c>
      <c r="K25" s="72">
        <f t="shared" si="6"/>
        <v>10585.868077016163</v>
      </c>
      <c r="L25" s="73">
        <v>387629.56599999999</v>
      </c>
      <c r="M25" s="72">
        <v>65822.221000000005</v>
      </c>
      <c r="N25" s="72">
        <v>3444.566103512102</v>
      </c>
      <c r="O25" s="60">
        <f t="shared" si="7"/>
        <v>456896.35310351214</v>
      </c>
      <c r="P25" s="73">
        <v>647580.902</v>
      </c>
      <c r="Q25" s="60">
        <f t="shared" si="8"/>
        <v>70.554327913690102</v>
      </c>
    </row>
    <row r="26" spans="1:17" ht="23.1" customHeight="1" x14ac:dyDescent="0.3">
      <c r="A26" s="64" t="s">
        <v>25</v>
      </c>
      <c r="B26" s="65">
        <v>3562</v>
      </c>
      <c r="C26" s="64">
        <v>23269.05</v>
      </c>
      <c r="D26" s="66">
        <v>17225.473000000002</v>
      </c>
      <c r="E26" s="65">
        <v>612239</v>
      </c>
      <c r="F26" s="64">
        <v>3432588.8</v>
      </c>
      <c r="G26" s="64">
        <v>4317200.8339999998</v>
      </c>
      <c r="H26" s="67">
        <f t="shared" si="5"/>
        <v>79.509592719586692</v>
      </c>
      <c r="I26" s="68">
        <v>8088.2866000000004</v>
      </c>
      <c r="J26" s="68">
        <v>460.06498036857806</v>
      </c>
      <c r="K26" s="68">
        <f t="shared" si="6"/>
        <v>8548.3515803685787</v>
      </c>
      <c r="L26" s="69">
        <v>359396.48185100016</v>
      </c>
      <c r="M26" s="68">
        <v>51826.905021799961</v>
      </c>
      <c r="N26" s="68">
        <v>3654.8382559495908</v>
      </c>
      <c r="O26" s="67">
        <f t="shared" si="7"/>
        <v>414878.22512874973</v>
      </c>
      <c r="P26" s="69">
        <v>615918.00937599991</v>
      </c>
      <c r="Q26" s="67">
        <f t="shared" si="8"/>
        <v>67.359326860578733</v>
      </c>
    </row>
    <row r="27" spans="1:17" s="30" customFormat="1" ht="30" customHeight="1" x14ac:dyDescent="0.25">
      <c r="A27" s="56" t="s">
        <v>26</v>
      </c>
      <c r="B27" s="70">
        <v>3620</v>
      </c>
      <c r="C27" s="56">
        <v>23661.049999999981</v>
      </c>
      <c r="D27" s="71">
        <v>17606.928</v>
      </c>
      <c r="E27" s="70">
        <v>657283</v>
      </c>
      <c r="F27" s="56">
        <v>3686218.1749999998</v>
      </c>
      <c r="G27" s="56">
        <v>4436083.6140000001</v>
      </c>
      <c r="H27" s="60">
        <f t="shared" si="5"/>
        <v>83.096228469781934</v>
      </c>
      <c r="I27" s="72">
        <v>8373.0350000000199</v>
      </c>
      <c r="J27" s="72">
        <v>476</v>
      </c>
      <c r="K27" s="72">
        <f t="shared" si="6"/>
        <v>8849.0350000000199</v>
      </c>
      <c r="L27" s="73">
        <v>388132.30392699991</v>
      </c>
      <c r="M27" s="72">
        <v>54389.395235099975</v>
      </c>
      <c r="N27" s="72">
        <v>3765.9574600000046</v>
      </c>
      <c r="O27" s="60">
        <f t="shared" si="7"/>
        <v>446287.65662209986</v>
      </c>
      <c r="P27" s="73">
        <v>636599.4231920006</v>
      </c>
      <c r="Q27" s="60">
        <f t="shared" si="8"/>
        <v>70.104942034717794</v>
      </c>
    </row>
    <row r="28" spans="1:17" ht="23.1" customHeight="1" x14ac:dyDescent="0.3">
      <c r="A28" s="64" t="s">
        <v>27</v>
      </c>
      <c r="B28" s="65">
        <v>3582</v>
      </c>
      <c r="C28" s="64">
        <v>23642.213999999993</v>
      </c>
      <c r="D28" s="66">
        <v>17705.296999999999</v>
      </c>
      <c r="E28" s="65">
        <v>679701</v>
      </c>
      <c r="F28" s="64">
        <v>3910076.324</v>
      </c>
      <c r="G28" s="64">
        <v>4462451.2779999999</v>
      </c>
      <c r="H28" s="67">
        <f t="shared" si="5"/>
        <v>87.621714623009495</v>
      </c>
      <c r="I28" s="68">
        <v>9561.2880000000023</v>
      </c>
      <c r="J28" s="68">
        <v>454.72051105138991</v>
      </c>
      <c r="K28" s="68">
        <f t="shared" si="6"/>
        <v>10016.008511051392</v>
      </c>
      <c r="L28" s="69">
        <v>409922.83399999997</v>
      </c>
      <c r="M28" s="68">
        <v>60126.076999999997</v>
      </c>
      <c r="N28" s="68">
        <v>572.16440818717194</v>
      </c>
      <c r="O28" s="67">
        <f t="shared" si="7"/>
        <v>470621.07540818711</v>
      </c>
      <c r="P28" s="69">
        <v>638720.59</v>
      </c>
      <c r="Q28" s="67">
        <f t="shared" si="8"/>
        <v>73.681838784653422</v>
      </c>
    </row>
    <row r="29" spans="1:17" ht="23.1" customHeight="1" x14ac:dyDescent="0.3">
      <c r="A29" s="56" t="s">
        <v>28</v>
      </c>
      <c r="B29" s="70">
        <v>3701</v>
      </c>
      <c r="C29" s="56">
        <v>24652.638000000061</v>
      </c>
      <c r="D29" s="71">
        <v>18468.82</v>
      </c>
      <c r="E29" s="70">
        <v>690192</v>
      </c>
      <c r="F29" s="56">
        <v>3994458.4330000002</v>
      </c>
      <c r="G29" s="56">
        <v>4676722.71</v>
      </c>
      <c r="H29" s="60">
        <f t="shared" si="5"/>
        <v>85.411487502965528</v>
      </c>
      <c r="I29" s="72">
        <v>9043.116</v>
      </c>
      <c r="J29" s="72">
        <v>454.12214283606301</v>
      </c>
      <c r="K29" s="72">
        <f t="shared" si="6"/>
        <v>9497.2381428360623</v>
      </c>
      <c r="L29" s="73">
        <v>419565.84</v>
      </c>
      <c r="M29" s="72">
        <v>57427.853999999999</v>
      </c>
      <c r="N29" s="72">
        <v>3451.8058343779667</v>
      </c>
      <c r="O29" s="60">
        <f t="shared" si="7"/>
        <v>480445.49983437796</v>
      </c>
      <c r="P29" s="73">
        <v>671282.15300000005</v>
      </c>
      <c r="Q29" s="60">
        <f t="shared" si="8"/>
        <v>71.571320299107953</v>
      </c>
    </row>
    <row r="30" spans="1:17" ht="23.1" customHeight="1" x14ac:dyDescent="0.3">
      <c r="A30" s="64" t="s">
        <v>29</v>
      </c>
      <c r="B30" s="65">
        <v>3737</v>
      </c>
      <c r="C30" s="64">
        <v>24832.516666666648</v>
      </c>
      <c r="D30" s="66">
        <v>18670.436000000002</v>
      </c>
      <c r="E30" s="65">
        <v>679775</v>
      </c>
      <c r="F30" s="64">
        <v>3949304.0959999999</v>
      </c>
      <c r="G30" s="64">
        <v>4705022.0439999998</v>
      </c>
      <c r="H30" s="67">
        <f t="shared" si="5"/>
        <v>83.938057230492333</v>
      </c>
      <c r="I30" s="68">
        <v>10218.109499999997</v>
      </c>
      <c r="J30" s="68">
        <v>405.21608803220016</v>
      </c>
      <c r="K30" s="68">
        <f t="shared" si="6"/>
        <v>10623.325588032198</v>
      </c>
      <c r="L30" s="69">
        <v>415244.7883190001</v>
      </c>
      <c r="M30" s="68">
        <v>66634.590635300003</v>
      </c>
      <c r="N30" s="68">
        <v>3380.0307076192839</v>
      </c>
      <c r="O30" s="67">
        <f t="shared" si="7"/>
        <v>485259.40966191934</v>
      </c>
      <c r="P30" s="69">
        <v>670913.48217199941</v>
      </c>
      <c r="Q30" s="67">
        <f t="shared" si="8"/>
        <v>72.328164891090282</v>
      </c>
    </row>
    <row r="31" spans="1:17" ht="23.1" customHeight="1" x14ac:dyDescent="0.3">
      <c r="A31" s="56" t="s">
        <v>30</v>
      </c>
      <c r="B31" s="70">
        <v>3600</v>
      </c>
      <c r="C31" s="56">
        <v>23928.749999999953</v>
      </c>
      <c r="D31" s="71">
        <v>17895.466</v>
      </c>
      <c r="E31" s="70">
        <v>654636</v>
      </c>
      <c r="F31" s="56">
        <v>3796918.2170000002</v>
      </c>
      <c r="G31" s="56">
        <v>4504174.29</v>
      </c>
      <c r="H31" s="60">
        <f t="shared" si="5"/>
        <v>84.297764085856457</v>
      </c>
      <c r="I31" s="72">
        <v>11443.286300000011</v>
      </c>
      <c r="J31" s="72">
        <v>348.31377368978667</v>
      </c>
      <c r="K31" s="72">
        <f t="shared" si="6"/>
        <v>11791.600073689797</v>
      </c>
      <c r="L31" s="73">
        <v>399280.13080199924</v>
      </c>
      <c r="M31" s="72">
        <v>74067.025961500025</v>
      </c>
      <c r="N31" s="72">
        <v>2844.8797693706024</v>
      </c>
      <c r="O31" s="60">
        <f t="shared" si="7"/>
        <v>476192.03653286985</v>
      </c>
      <c r="P31" s="73">
        <v>642382.77534399962</v>
      </c>
      <c r="Q31" s="60">
        <f t="shared" si="8"/>
        <v>74.129016967783159</v>
      </c>
    </row>
    <row r="32" spans="1:17" ht="23.1" customHeight="1" x14ac:dyDescent="0.3">
      <c r="A32" s="64" t="s">
        <v>31</v>
      </c>
      <c r="B32" s="65">
        <v>3798</v>
      </c>
      <c r="C32" s="64">
        <v>25091.050000000003</v>
      </c>
      <c r="D32" s="66">
        <v>18625.763999999999</v>
      </c>
      <c r="E32" s="65">
        <v>694937</v>
      </c>
      <c r="F32" s="64">
        <v>3941559.95</v>
      </c>
      <c r="G32" s="64">
        <v>4684543.5319999997</v>
      </c>
      <c r="H32" s="67">
        <f t="shared" si="5"/>
        <v>84.139680271413908</v>
      </c>
      <c r="I32" s="68">
        <v>12343.312900000006</v>
      </c>
      <c r="J32" s="68">
        <v>328.25102063680663</v>
      </c>
      <c r="K32" s="68">
        <f t="shared" si="6"/>
        <v>12671.563920636812</v>
      </c>
      <c r="L32" s="69">
        <v>412569.35694699996</v>
      </c>
      <c r="M32" s="68">
        <v>84010.622172000018</v>
      </c>
      <c r="N32" s="68">
        <v>2967.1701223847908</v>
      </c>
      <c r="O32" s="67">
        <f t="shared" si="7"/>
        <v>499547.14924138476</v>
      </c>
      <c r="P32" s="69">
        <v>670365.98795199941</v>
      </c>
      <c r="Q32" s="67">
        <f t="shared" si="8"/>
        <v>74.518570186940053</v>
      </c>
    </row>
    <row r="33" spans="1:17" ht="23.1" customHeight="1" x14ac:dyDescent="0.3">
      <c r="A33" s="56" t="s">
        <v>32</v>
      </c>
      <c r="B33" s="70">
        <v>3923</v>
      </c>
      <c r="C33" s="56">
        <v>25375.166666666631</v>
      </c>
      <c r="D33" s="71">
        <v>18659.239000000001</v>
      </c>
      <c r="E33" s="70">
        <v>718039</v>
      </c>
      <c r="F33" s="56">
        <v>3957527.645</v>
      </c>
      <c r="G33" s="56">
        <v>4653777.28</v>
      </c>
      <c r="H33" s="60">
        <f t="shared" si="5"/>
        <v>85.039042629044758</v>
      </c>
      <c r="I33" s="72">
        <v>11654.902900000021</v>
      </c>
      <c r="J33" s="72">
        <v>342.96785632661528</v>
      </c>
      <c r="K33" s="72">
        <f t="shared" si="6"/>
        <v>11997.870756326636</v>
      </c>
      <c r="L33" s="73">
        <v>413636.3852700002</v>
      </c>
      <c r="M33" s="72">
        <v>80837.470646300018</v>
      </c>
      <c r="N33" s="72">
        <v>3071.1452948158308</v>
      </c>
      <c r="O33" s="60">
        <f t="shared" si="7"/>
        <v>497545.00121111603</v>
      </c>
      <c r="P33" s="73">
        <v>666035.797196</v>
      </c>
      <c r="Q33" s="60">
        <f t="shared" si="8"/>
        <v>74.702441416178004</v>
      </c>
    </row>
    <row r="34" spans="1:17" ht="23.1" customHeight="1" x14ac:dyDescent="0.3">
      <c r="A34" s="64" t="s">
        <v>33</v>
      </c>
      <c r="B34" s="74">
        <v>4182</v>
      </c>
      <c r="C34" s="75">
        <v>27245.1</v>
      </c>
      <c r="D34" s="76">
        <v>20054.594000000001</v>
      </c>
      <c r="E34" s="74">
        <v>802809</v>
      </c>
      <c r="F34" s="75">
        <v>4483980.8830000004</v>
      </c>
      <c r="G34" s="75">
        <v>4995523.3339999998</v>
      </c>
      <c r="H34" s="67">
        <f t="shared" si="5"/>
        <v>89.759982752589835</v>
      </c>
      <c r="I34" s="77">
        <v>12194.811599999997</v>
      </c>
      <c r="J34" s="77">
        <v>321.77334052227599</v>
      </c>
      <c r="K34" s="77">
        <f t="shared" si="6"/>
        <v>12516.584940522273</v>
      </c>
      <c r="L34" s="78">
        <v>469378.03919200035</v>
      </c>
      <c r="M34" s="77">
        <v>81128.625632600058</v>
      </c>
      <c r="N34" s="77">
        <v>2646.0508957957923</v>
      </c>
      <c r="O34" s="79">
        <f t="shared" si="7"/>
        <v>553152.71572039626</v>
      </c>
      <c r="P34" s="78">
        <v>715376.8773919997</v>
      </c>
      <c r="Q34" s="79">
        <f t="shared" si="8"/>
        <v>77.323258998387971</v>
      </c>
    </row>
    <row r="35" spans="1:17" ht="23.1" customHeight="1" x14ac:dyDescent="0.3">
      <c r="A35" s="80" t="s">
        <v>34</v>
      </c>
      <c r="B35" s="81">
        <f t="shared" ref="B35:G35" si="9">SUM(B23:B34)</f>
        <v>44055</v>
      </c>
      <c r="C35" s="81">
        <f t="shared" si="9"/>
        <v>289969.87199999986</v>
      </c>
      <c r="D35" s="81">
        <f t="shared" si="9"/>
        <v>215907.63300000003</v>
      </c>
      <c r="E35" s="81">
        <f t="shared" si="9"/>
        <v>8102159</v>
      </c>
      <c r="F35" s="81">
        <f t="shared" si="9"/>
        <v>45953218.737000011</v>
      </c>
      <c r="G35" s="81">
        <f t="shared" si="9"/>
        <v>54160451.636</v>
      </c>
      <c r="H35" s="82">
        <f t="shared" si="5"/>
        <v>84.846446713260576</v>
      </c>
      <c r="I35" s="83">
        <f>SUM(I23:I34)</f>
        <v>119486.23410000003</v>
      </c>
      <c r="J35" s="83">
        <f>SUM(J23:J34)</f>
        <v>4892.5572187432717</v>
      </c>
      <c r="K35" s="83">
        <f t="shared" si="6"/>
        <v>124378.7913187433</v>
      </c>
      <c r="L35" s="83">
        <f>SUM(L23:L34)</f>
        <v>4817504.7482239986</v>
      </c>
      <c r="M35" s="83">
        <f>SUM(M23:M34)</f>
        <v>777748.0380682</v>
      </c>
      <c r="N35" s="83">
        <f>SUM(N23:N34)</f>
        <v>33137.098095346853</v>
      </c>
      <c r="O35" s="83">
        <f t="shared" si="7"/>
        <v>5628389.8843875462</v>
      </c>
      <c r="P35" s="83">
        <f>SUM(P23:P34)</f>
        <v>7765638.7130959984</v>
      </c>
      <c r="Q35" s="83">
        <f t="shared" si="8"/>
        <v>72.478132093575397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2023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>
        <v>4</v>
      </c>
      <c r="C46" s="113">
        <v>11.5</v>
      </c>
      <c r="D46" s="108">
        <v>7</v>
      </c>
      <c r="E46" s="106">
        <v>174</v>
      </c>
      <c r="F46" s="107">
        <v>305</v>
      </c>
      <c r="G46" s="107">
        <v>1262.2</v>
      </c>
      <c r="H46" s="109">
        <f t="shared" si="10"/>
        <v>24.164157819679925</v>
      </c>
      <c r="I46" s="110">
        <v>6.6</v>
      </c>
      <c r="J46" s="111"/>
      <c r="K46" s="109">
        <f t="shared" si="11"/>
        <v>6.6</v>
      </c>
      <c r="L46" s="110">
        <v>22.9</v>
      </c>
      <c r="M46" s="111">
        <v>11.5</v>
      </c>
      <c r="N46" s="111"/>
      <c r="O46" s="109">
        <f t="shared" si="12"/>
        <v>34.4</v>
      </c>
      <c r="P46" s="110">
        <v>110.1</v>
      </c>
      <c r="Q46" s="109">
        <f t="shared" si="13"/>
        <v>31.244323342415985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>
        <v>8</v>
      </c>
      <c r="C52" s="128">
        <v>15.549999999999997</v>
      </c>
      <c r="D52" s="129">
        <v>14.3</v>
      </c>
      <c r="E52" s="127">
        <v>492</v>
      </c>
      <c r="F52" s="128">
        <v>326.714</v>
      </c>
      <c r="G52" s="128">
        <v>1465.2719999999999</v>
      </c>
      <c r="H52" s="109">
        <f t="shared" si="10"/>
        <v>22.297157114856493</v>
      </c>
      <c r="I52" s="130"/>
      <c r="J52" s="131"/>
      <c r="K52" s="109" t="str">
        <f t="shared" si="11"/>
        <v/>
      </c>
      <c r="L52" s="130">
        <v>24.503550000000004</v>
      </c>
      <c r="M52" s="131">
        <v>0</v>
      </c>
      <c r="N52" s="131">
        <v>0</v>
      </c>
      <c r="O52" s="109">
        <f t="shared" si="12"/>
        <v>24.503550000000004</v>
      </c>
      <c r="P52" s="130">
        <v>131.49299999999999</v>
      </c>
      <c r="Q52" s="109">
        <f t="shared" si="13"/>
        <v>18.634870297278187</v>
      </c>
    </row>
    <row r="53" spans="1:17" ht="25.5" customHeight="1" x14ac:dyDescent="0.3">
      <c r="A53" s="99" t="s">
        <v>33</v>
      </c>
      <c r="B53" s="132">
        <v>67</v>
      </c>
      <c r="C53" s="133">
        <v>102.917</v>
      </c>
      <c r="D53" s="134">
        <v>54.369</v>
      </c>
      <c r="E53" s="132">
        <v>8782</v>
      </c>
      <c r="F53" s="133">
        <v>5296.768</v>
      </c>
      <c r="G53" s="133">
        <v>7730.82</v>
      </c>
      <c r="H53" s="135">
        <f t="shared" si="10"/>
        <v>68.514957016202686</v>
      </c>
      <c r="I53" s="136">
        <v>2.5779999999999998</v>
      </c>
      <c r="J53" s="137"/>
      <c r="K53" s="135">
        <f t="shared" si="11"/>
        <v>2.5779999999999998</v>
      </c>
      <c r="L53" s="136">
        <v>397.25759999999997</v>
      </c>
      <c r="M53" s="137">
        <v>3.7559999999999998</v>
      </c>
      <c r="N53" s="137"/>
      <c r="O53" s="135">
        <f t="shared" si="12"/>
        <v>401.01359999999994</v>
      </c>
      <c r="P53" s="136">
        <v>706.12599999999998</v>
      </c>
      <c r="Q53" s="135">
        <f t="shared" si="13"/>
        <v>56.790657757963871</v>
      </c>
    </row>
    <row r="54" spans="1:17" ht="25.5" customHeight="1" x14ac:dyDescent="0.3">
      <c r="A54" s="138" t="s">
        <v>34</v>
      </c>
      <c r="B54" s="139">
        <f t="shared" ref="B54:G54" si="14">SUM(B42:B53)</f>
        <v>79</v>
      </c>
      <c r="C54" s="139">
        <f t="shared" si="14"/>
        <v>129.96699999999998</v>
      </c>
      <c r="D54" s="139">
        <f t="shared" si="14"/>
        <v>75.668999999999997</v>
      </c>
      <c r="E54" s="139">
        <f t="shared" si="14"/>
        <v>9448</v>
      </c>
      <c r="F54" s="139">
        <f t="shared" si="14"/>
        <v>5928.482</v>
      </c>
      <c r="G54" s="139">
        <f t="shared" si="14"/>
        <v>10458.291999999999</v>
      </c>
      <c r="H54" s="140">
        <f t="shared" si="10"/>
        <v>56.686904515574824</v>
      </c>
      <c r="I54" s="140">
        <f>SUM(I42:I53)</f>
        <v>9.177999999999999</v>
      </c>
      <c r="J54" s="140">
        <f>SUM(J42:J53)</f>
        <v>0</v>
      </c>
      <c r="K54" s="140">
        <f t="shared" si="11"/>
        <v>9.177999999999999</v>
      </c>
      <c r="L54" s="140">
        <f>SUM(L42:L53)</f>
        <v>444.66114999999996</v>
      </c>
      <c r="M54" s="140">
        <f>SUM(M42:M53)</f>
        <v>15.256</v>
      </c>
      <c r="N54" s="140">
        <f>SUM(N42:N53)</f>
        <v>0</v>
      </c>
      <c r="O54" s="140">
        <f t="shared" si="12"/>
        <v>459.91714999999999</v>
      </c>
      <c r="P54" s="141">
        <f>SUM(P42:P53)</f>
        <v>947.71899999999994</v>
      </c>
      <c r="Q54" s="140">
        <f t="shared" si="13"/>
        <v>48.528851906525041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2023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>
        <v>2</v>
      </c>
      <c r="C69" s="160">
        <v>20.033999999999999</v>
      </c>
      <c r="D69" s="161">
        <v>14.868</v>
      </c>
      <c r="E69" s="159">
        <v>528</v>
      </c>
      <c r="F69" s="160">
        <v>4012.9639999999999</v>
      </c>
      <c r="G69" s="160">
        <v>5084.8559999999998</v>
      </c>
      <c r="H69" s="162">
        <f t="shared" si="15"/>
        <v>78.919914349590243</v>
      </c>
      <c r="I69" s="163">
        <v>0</v>
      </c>
      <c r="J69" s="164"/>
      <c r="K69" s="164">
        <f t="shared" si="16"/>
        <v>0</v>
      </c>
      <c r="L69" s="163">
        <v>300.97229999999996</v>
      </c>
      <c r="M69" s="164">
        <v>0</v>
      </c>
      <c r="N69" s="164">
        <v>0</v>
      </c>
      <c r="O69" s="165">
        <f t="shared" si="17"/>
        <v>300.97229999999996</v>
      </c>
      <c r="P69" s="164">
        <v>856.39700000000005</v>
      </c>
      <c r="Q69" s="162">
        <f t="shared" si="18"/>
        <v>35.144016151387724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>
        <v>2</v>
      </c>
      <c r="C71" s="160">
        <v>7.9829999999999997</v>
      </c>
      <c r="D71" s="161">
        <v>5.1079999999999997</v>
      </c>
      <c r="E71" s="159">
        <v>315</v>
      </c>
      <c r="F71" s="160">
        <v>804.51</v>
      </c>
      <c r="G71" s="160">
        <v>919.44</v>
      </c>
      <c r="H71" s="162">
        <f t="shared" si="15"/>
        <v>87.499999999999986</v>
      </c>
      <c r="I71" s="163"/>
      <c r="J71" s="164"/>
      <c r="K71" s="164" t="str">
        <f t="shared" si="16"/>
        <v/>
      </c>
      <c r="L71" s="163">
        <v>60.338250000000002</v>
      </c>
      <c r="M71" s="164">
        <v>0</v>
      </c>
      <c r="N71" s="164">
        <v>0</v>
      </c>
      <c r="O71" s="165">
        <f t="shared" si="17"/>
        <v>60.338250000000002</v>
      </c>
      <c r="P71" s="164">
        <v>80.195999999999998</v>
      </c>
      <c r="Q71" s="162">
        <f t="shared" si="18"/>
        <v>75.238478228340568</v>
      </c>
    </row>
    <row r="72" spans="1:17" ht="24.75" customHeight="1" x14ac:dyDescent="0.3">
      <c r="A72" s="99" t="s">
        <v>33</v>
      </c>
      <c r="B72" s="132">
        <v>2</v>
      </c>
      <c r="C72" s="133">
        <v>6.516</v>
      </c>
      <c r="D72" s="134">
        <v>9.4760000000000009</v>
      </c>
      <c r="E72" s="132">
        <v>307</v>
      </c>
      <c r="F72" s="133">
        <v>659.43600000000004</v>
      </c>
      <c r="G72" s="133">
        <v>773.28</v>
      </c>
      <c r="H72" s="135">
        <f t="shared" si="15"/>
        <v>85.277777777777786</v>
      </c>
      <c r="I72" s="136"/>
      <c r="J72" s="137"/>
      <c r="K72" s="137" t="str">
        <f t="shared" si="16"/>
        <v/>
      </c>
      <c r="L72" s="136">
        <v>49.457699999999996</v>
      </c>
      <c r="M72" s="137">
        <v>0</v>
      </c>
      <c r="N72" s="137"/>
      <c r="O72" s="135">
        <f t="shared" si="17"/>
        <v>49.457699999999996</v>
      </c>
      <c r="P72" s="137">
        <v>67.447999999999993</v>
      </c>
      <c r="Q72" s="135">
        <f t="shared" si="18"/>
        <v>73.327155734788292</v>
      </c>
    </row>
    <row r="73" spans="1:17" ht="24.75" customHeight="1" x14ac:dyDescent="0.3">
      <c r="A73" s="166" t="s">
        <v>34</v>
      </c>
      <c r="B73" s="167">
        <f t="shared" ref="B73:G73" si="19">SUM(B61:B72)</f>
        <v>6</v>
      </c>
      <c r="C73" s="167">
        <f t="shared" si="19"/>
        <v>34.533000000000001</v>
      </c>
      <c r="D73" s="167">
        <f t="shared" si="19"/>
        <v>29.451999999999998</v>
      </c>
      <c r="E73" s="167">
        <f t="shared" si="19"/>
        <v>1150</v>
      </c>
      <c r="F73" s="167">
        <f t="shared" si="19"/>
        <v>5476.91</v>
      </c>
      <c r="G73" s="167">
        <f t="shared" si="19"/>
        <v>6777.576</v>
      </c>
      <c r="H73" s="168">
        <f t="shared" si="15"/>
        <v>80.809274584305655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410.76824999999997</v>
      </c>
      <c r="M73" s="169">
        <f>SUM(M61:M72)</f>
        <v>0</v>
      </c>
      <c r="N73" s="169">
        <f>SUM(N61:N72)</f>
        <v>0</v>
      </c>
      <c r="O73" s="169">
        <f t="shared" si="17"/>
        <v>410.76824999999997</v>
      </c>
      <c r="P73" s="169">
        <f>SUM(P61:P72)</f>
        <v>1004.0410000000001</v>
      </c>
      <c r="Q73" s="168">
        <f t="shared" si="18"/>
        <v>40.91150162194571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2024-01-12T06:39:44Z</dcterms:created>
  <dcterms:modified xsi:type="dcterms:W3CDTF">2024-01-12T06:41:03Z</dcterms:modified>
</cp:coreProperties>
</file>