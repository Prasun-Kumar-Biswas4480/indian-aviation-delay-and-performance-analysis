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I73" i="2"/>
  <c r="K73" i="2" s="1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Q16" i="2" l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<sst xmlns="http://schemas.openxmlformats.org/spreadsheetml/2006/main" count="153" uniqueCount="42">
  <si>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</si>
  <si>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AKASA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</si>
  <si>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</si>
  <si>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</si>
  <si>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</si>
  <si>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</si>
  <si>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</si>
  <si>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</si>
  <si>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</si>
  <si>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</si>
  <si>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</si>
  <si>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</si>
  <si>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</si>
  <si>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</si>
  <si>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</si>
  <si>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</si>
  <si>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</si>
  <si>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</si>
  <si>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</si>
  <si>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</si>
  <si>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</si>
  <si>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</si>
  <si>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</si>
  <si>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</si>
  <si>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</si>
  <si>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</si>
  <si>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</si>
  <si>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</si>
  <si>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</si>
  <si>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</si>
  <si>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</si>
  <si>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</si>
  <si>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</si>
  <si>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</si>
  <si>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</si>
  <si>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AKASA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</si>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</sst>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\RAW%20DATA\mukesh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4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AKASA AIR</v>
          </cell>
        </row>
        <row r="34">
          <cell r="AT34" t="str">
            <v>INDIAONE AIR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 transitionEntry="1" codeName="Sheet12"/>
  <dimension ref="A1:Q494"/>
  <sheetViews>
    <sheetView showGridLines="0" tabSelected="1" view="pageBreakPreview" topLeftCell="A7" zoomScale="115" zoomScaleNormal="85" zoomScaleSheetLayoutView="115" workbookViewId="0">
      <selection activeCell="F13" sqref="F1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4">
        <v>2022</v>
      </c>
      <c r="B1" s="144"/>
      <c r="C1" s="145" t="s">
        <v>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 t="s">
        <v>1</v>
      </c>
      <c r="P1" s="146"/>
      <c r="Q1" s="146"/>
    </row>
    <row r="2" spans="1:17" ht="33" customHeight="1" x14ac:dyDescent="0.3">
      <c r="A2" s="147" t="s">
        <v>2</v>
      </c>
      <c r="B2" s="149" t="s">
        <v>3</v>
      </c>
      <c r="C2" s="149"/>
      <c r="D2" s="149"/>
      <c r="E2" s="150" t="s">
        <v>4</v>
      </c>
      <c r="F2" s="150" t="s">
        <v>5</v>
      </c>
      <c r="G2" s="150" t="s">
        <v>6</v>
      </c>
      <c r="H2" s="150" t="s">
        <v>7</v>
      </c>
      <c r="I2" s="149" t="s">
        <v>8</v>
      </c>
      <c r="J2" s="149"/>
      <c r="K2" s="149"/>
      <c r="L2" s="149" t="s">
        <v>9</v>
      </c>
      <c r="M2" s="149"/>
      <c r="N2" s="149"/>
      <c r="O2" s="149"/>
      <c r="P2" s="150" t="s">
        <v>10</v>
      </c>
      <c r="Q2" s="150" t="s">
        <v>11</v>
      </c>
    </row>
    <row r="3" spans="1:17" ht="155.25" customHeight="1" x14ac:dyDescent="0.3">
      <c r="A3" s="148"/>
      <c r="B3" s="2" t="s">
        <v>12</v>
      </c>
      <c r="C3" s="2" t="s">
        <v>13</v>
      </c>
      <c r="D3" s="2" t="s">
        <v>14</v>
      </c>
      <c r="E3" s="150"/>
      <c r="F3" s="150"/>
      <c r="G3" s="150"/>
      <c r="H3" s="150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50"/>
      <c r="Q3" s="150"/>
    </row>
    <row r="4" spans="1:17" ht="23.1" customHeight="1" x14ac:dyDescent="0.3">
      <c r="A4" s="4" t="s">
        <v>22</v>
      </c>
      <c r="B4" s="5"/>
      <c r="C4" s="5"/>
      <c r="D4" s="6"/>
      <c r="E4" s="7"/>
      <c r="F4" s="5"/>
      <c r="G4" s="5"/>
      <c r="H4" s="8" t="str">
        <f>IFERROR(F4/G4*100," ")</f>
        <v xml:space="preserve"> </v>
      </c>
      <c r="I4" s="9"/>
      <c r="J4" s="10"/>
      <c r="K4" s="8" t="str">
        <f>IF(AND(ISBLANK(I4),ISBLANK(J4))=TRUE,"",I4+J4)</f>
        <v/>
      </c>
      <c r="L4" s="9"/>
      <c r="M4" s="10"/>
      <c r="N4" s="10"/>
      <c r="O4" s="8" t="str">
        <f>IF(AND(ISBLANK(L4),ISBLANK(M4),ISBLANK(N4))=TRUE,"",L4+M4+N4)</f>
        <v/>
      </c>
      <c r="P4" s="10"/>
      <c r="Q4" s="8" t="str">
        <f>IFERROR(O4/P4*100," ")</f>
        <v xml:space="preserve"> </v>
      </c>
    </row>
    <row r="5" spans="1:17" ht="23.1" customHeight="1" x14ac:dyDescent="0.3">
      <c r="A5" s="11" t="s">
        <v>23</v>
      </c>
      <c r="B5" s="12"/>
      <c r="C5" s="12"/>
      <c r="D5" s="11"/>
      <c r="E5" s="13"/>
      <c r="F5" s="12"/>
      <c r="G5" s="12"/>
      <c r="H5" s="14" t="str">
        <f t="shared" ref="H5:H16" si="0">IFERROR(F5/G5*100," ")</f>
        <v xml:space="preserve"> </v>
      </c>
      <c r="I5" s="15"/>
      <c r="J5" s="16"/>
      <c r="K5" s="14" t="str">
        <f t="shared" ref="K5:K16" si="1">IF(AND(ISBLANK(I5),ISBLANK(J5))=TRUE,"",I5+J5)</f>
        <v/>
      </c>
      <c r="L5" s="15"/>
      <c r="M5" s="16"/>
      <c r="N5" s="16"/>
      <c r="O5" s="14" t="str">
        <f t="shared" ref="O5:O16" si="2">IF(AND(ISBLANK(L5),ISBLANK(M5),ISBLANK(N5))=TRUE,"",L5+M5+N5)</f>
        <v/>
      </c>
      <c r="P5" s="16"/>
      <c r="Q5" s="14" t="str">
        <f t="shared" ref="Q5:Q16" si="3">IFERROR(O5/P5*100," ")</f>
        <v xml:space="preserve"> </v>
      </c>
    </row>
    <row r="6" spans="1:17" ht="23.1" customHeight="1" x14ac:dyDescent="0.3">
      <c r="A6" s="17" t="s">
        <v>24</v>
      </c>
      <c r="B6" s="18"/>
      <c r="C6" s="18"/>
      <c r="D6" s="17"/>
      <c r="E6" s="19"/>
      <c r="F6" s="18"/>
      <c r="G6" s="18"/>
      <c r="H6" s="20" t="str">
        <f t="shared" si="0"/>
        <v xml:space="preserve"> </v>
      </c>
      <c r="I6" s="21"/>
      <c r="J6" s="22"/>
      <c r="K6" s="20" t="str">
        <f t="shared" si="1"/>
        <v/>
      </c>
      <c r="L6" s="21"/>
      <c r="M6" s="22"/>
      <c r="N6" s="22"/>
      <c r="O6" s="20" t="str">
        <f t="shared" si="2"/>
        <v/>
      </c>
      <c r="P6" s="22"/>
      <c r="Q6" s="20" t="str">
        <f t="shared" si="3"/>
        <v xml:space="preserve"> </v>
      </c>
    </row>
    <row r="7" spans="1:17" ht="23.1" customHeight="1" x14ac:dyDescent="0.3">
      <c r="A7" s="11" t="s">
        <v>25</v>
      </c>
      <c r="B7" s="12"/>
      <c r="C7" s="12"/>
      <c r="D7" s="11"/>
      <c r="E7" s="13"/>
      <c r="F7" s="12"/>
      <c r="G7" s="12"/>
      <c r="H7" s="14" t="str">
        <f t="shared" si="0"/>
        <v xml:space="preserve"> </v>
      </c>
      <c r="I7" s="15"/>
      <c r="J7" s="16"/>
      <c r="K7" s="14" t="str">
        <f t="shared" si="1"/>
        <v/>
      </c>
      <c r="L7" s="15"/>
      <c r="M7" s="16"/>
      <c r="N7" s="16"/>
      <c r="O7" s="14" t="str">
        <f t="shared" si="2"/>
        <v/>
      </c>
      <c r="P7" s="16"/>
      <c r="Q7" s="14" t="str">
        <f t="shared" si="3"/>
        <v xml:space="preserve"> </v>
      </c>
    </row>
    <row r="8" spans="1:17" s="23" customFormat="1" ht="30" customHeight="1" x14ac:dyDescent="0.25">
      <c r="A8" s="17" t="s">
        <v>26</v>
      </c>
      <c r="B8" s="18"/>
      <c r="C8" s="18"/>
      <c r="D8" s="17"/>
      <c r="E8" s="19"/>
      <c r="F8" s="18"/>
      <c r="G8" s="18"/>
      <c r="H8" s="20" t="str">
        <f t="shared" si="0"/>
        <v xml:space="preserve"> </v>
      </c>
      <c r="I8" s="21"/>
      <c r="J8" s="22"/>
      <c r="K8" s="20" t="str">
        <f t="shared" si="1"/>
        <v/>
      </c>
      <c r="L8" s="21"/>
      <c r="M8" s="22"/>
      <c r="N8" s="22"/>
      <c r="O8" s="20" t="str">
        <f t="shared" si="2"/>
        <v/>
      </c>
      <c r="P8" s="22"/>
      <c r="Q8" s="20" t="str">
        <f t="shared" si="3"/>
        <v xml:space="preserve"> </v>
      </c>
    </row>
    <row r="9" spans="1:17" ht="23.1" customHeight="1" x14ac:dyDescent="0.3">
      <c r="A9" s="11" t="s">
        <v>27</v>
      </c>
      <c r="B9" s="12"/>
      <c r="C9" s="12"/>
      <c r="D9" s="11"/>
      <c r="E9" s="13"/>
      <c r="F9" s="12"/>
      <c r="G9" s="12"/>
      <c r="H9" s="14" t="str">
        <f t="shared" si="0"/>
        <v xml:space="preserve"> </v>
      </c>
      <c r="I9" s="15"/>
      <c r="J9" s="16"/>
      <c r="K9" s="14" t="str">
        <f t="shared" si="1"/>
        <v/>
      </c>
      <c r="L9" s="15"/>
      <c r="M9" s="16"/>
      <c r="N9" s="16"/>
      <c r="O9" s="14" t="str">
        <f t="shared" si="2"/>
        <v/>
      </c>
      <c r="P9" s="16"/>
      <c r="Q9" s="14" t="str">
        <f t="shared" si="3"/>
        <v xml:space="preserve"> </v>
      </c>
    </row>
    <row r="10" spans="1:17" ht="23.1" customHeight="1" x14ac:dyDescent="0.3">
      <c r="A10" s="17" t="s">
        <v>28</v>
      </c>
      <c r="B10" s="18"/>
      <c r="C10" s="18"/>
      <c r="D10" s="17"/>
      <c r="E10" s="19"/>
      <c r="F10" s="18"/>
      <c r="G10" s="18"/>
      <c r="H10" s="20" t="str">
        <f t="shared" si="0"/>
        <v xml:space="preserve"> </v>
      </c>
      <c r="I10" s="21"/>
      <c r="J10" s="22"/>
      <c r="K10" s="20" t="str">
        <f t="shared" si="1"/>
        <v/>
      </c>
      <c r="L10" s="21"/>
      <c r="M10" s="22"/>
      <c r="N10" s="22"/>
      <c r="O10" s="20" t="str">
        <f t="shared" si="2"/>
        <v/>
      </c>
      <c r="P10" s="22"/>
      <c r="Q10" s="20" t="str">
        <f t="shared" si="3"/>
        <v xml:space="preserve"> </v>
      </c>
    </row>
    <row r="11" spans="1:17" ht="23.1" customHeight="1" x14ac:dyDescent="0.3">
      <c r="A11" s="11" t="s">
        <v>29</v>
      </c>
      <c r="B11" s="12">
        <v>246</v>
      </c>
      <c r="C11" s="12">
        <v>348.43</v>
      </c>
      <c r="D11" s="11">
        <v>141</v>
      </c>
      <c r="E11" s="13">
        <v>23744</v>
      </c>
      <c r="F11" s="12">
        <v>14059.87</v>
      </c>
      <c r="G11" s="12">
        <v>26592.111000000001</v>
      </c>
      <c r="H11" s="14">
        <f t="shared" si="0"/>
        <v>52.872334956784741</v>
      </c>
      <c r="I11" s="15">
        <v>73.042000000000002</v>
      </c>
      <c r="J11" s="16"/>
      <c r="K11" s="14">
        <f t="shared" si="1"/>
        <v>73.042000000000002</v>
      </c>
      <c r="L11" s="15">
        <v>1020.29946868318</v>
      </c>
      <c r="M11" s="16">
        <v>62.223973999999998</v>
      </c>
      <c r="N11" s="16">
        <v>0</v>
      </c>
      <c r="O11" s="14">
        <f t="shared" si="2"/>
        <v>1082.5234426831798</v>
      </c>
      <c r="P11" s="16">
        <v>2885.1736940000001</v>
      </c>
      <c r="Q11" s="14">
        <f t="shared" si="3"/>
        <v>37.520217411325802</v>
      </c>
    </row>
    <row r="12" spans="1:17" ht="23.1" customHeight="1" x14ac:dyDescent="0.3">
      <c r="A12" s="17" t="s">
        <v>30</v>
      </c>
      <c r="B12" s="18">
        <v>623</v>
      </c>
      <c r="C12" s="18">
        <v>933</v>
      </c>
      <c r="D12" s="17">
        <v>400</v>
      </c>
      <c r="E12" s="19">
        <v>92589</v>
      </c>
      <c r="F12" s="18">
        <v>61372</v>
      </c>
      <c r="G12" s="18">
        <v>75537</v>
      </c>
      <c r="H12" s="20">
        <f t="shared" si="0"/>
        <v>81.247600513655556</v>
      </c>
      <c r="I12" s="21">
        <v>597.17925000000002</v>
      </c>
      <c r="J12" s="22"/>
      <c r="K12" s="20">
        <f t="shared" si="1"/>
        <v>597.17925000000002</v>
      </c>
      <c r="L12" s="21">
        <v>4708</v>
      </c>
      <c r="M12" s="22">
        <v>484</v>
      </c>
      <c r="N12" s="22"/>
      <c r="O12" s="20">
        <f t="shared" si="2"/>
        <v>5192</v>
      </c>
      <c r="P12" s="22">
        <v>8207</v>
      </c>
      <c r="Q12" s="20">
        <f t="shared" si="3"/>
        <v>63.263068112586815</v>
      </c>
    </row>
    <row r="13" spans="1:17" ht="23.1" customHeight="1" x14ac:dyDescent="0.3">
      <c r="A13" s="11" t="s">
        <v>31</v>
      </c>
      <c r="B13" s="12">
        <v>1155</v>
      </c>
      <c r="C13" s="12">
        <v>1811.88</v>
      </c>
      <c r="D13" s="11">
        <v>798</v>
      </c>
      <c r="E13" s="13">
        <v>160617</v>
      </c>
      <c r="F13" s="12">
        <v>116847</v>
      </c>
      <c r="G13" s="12">
        <v>150836</v>
      </c>
      <c r="H13" s="14">
        <f t="shared" si="0"/>
        <v>77.466254740247692</v>
      </c>
      <c r="I13" s="15">
        <v>1169.98</v>
      </c>
      <c r="J13" s="16"/>
      <c r="K13" s="14">
        <f t="shared" si="1"/>
        <v>1169.98</v>
      </c>
      <c r="L13" s="15">
        <v>9180.4</v>
      </c>
      <c r="M13" s="16">
        <v>1069.8</v>
      </c>
      <c r="N13" s="16">
        <v>0</v>
      </c>
      <c r="O13" s="14">
        <f t="shared" si="2"/>
        <v>10250.199999999999</v>
      </c>
      <c r="P13" s="16">
        <v>16365.2</v>
      </c>
      <c r="Q13" s="14">
        <f t="shared" si="3"/>
        <v>62.634126072397521</v>
      </c>
    </row>
    <row r="14" spans="1:17" ht="23.1" customHeight="1" x14ac:dyDescent="0.3">
      <c r="A14" s="17" t="s">
        <v>32</v>
      </c>
      <c r="B14" s="18">
        <v>1483</v>
      </c>
      <c r="C14" s="18">
        <v>2416</v>
      </c>
      <c r="D14" s="17">
        <v>1090</v>
      </c>
      <c r="E14" s="19">
        <v>206775</v>
      </c>
      <c r="F14" s="18">
        <v>163281</v>
      </c>
      <c r="G14" s="18">
        <v>206035</v>
      </c>
      <c r="H14" s="20">
        <f t="shared" si="0"/>
        <v>79.249156696677744</v>
      </c>
      <c r="I14" s="21">
        <v>1385.7219999999998</v>
      </c>
      <c r="J14" s="22">
        <v>0</v>
      </c>
      <c r="K14" s="20">
        <f t="shared" si="1"/>
        <v>1385.7219999999998</v>
      </c>
      <c r="L14" s="21">
        <v>13387</v>
      </c>
      <c r="M14" s="22">
        <v>1364</v>
      </c>
      <c r="N14" s="22"/>
      <c r="O14" s="20">
        <f t="shared" si="2"/>
        <v>14751</v>
      </c>
      <c r="P14" s="22">
        <v>22355</v>
      </c>
      <c r="Q14" s="20">
        <f t="shared" si="3"/>
        <v>65.985238201744579</v>
      </c>
    </row>
    <row r="15" spans="1:17" ht="23.1" customHeight="1" x14ac:dyDescent="0.3">
      <c r="A15" s="24" t="s">
        <v>33</v>
      </c>
      <c r="B15" s="25">
        <v>1977</v>
      </c>
      <c r="C15" s="25">
        <v>3298.35</v>
      </c>
      <c r="D15" s="26">
        <v>1508</v>
      </c>
      <c r="E15" s="27">
        <v>292393</v>
      </c>
      <c r="F15" s="25">
        <v>235890</v>
      </c>
      <c r="G15" s="25">
        <v>281430</v>
      </c>
      <c r="H15" s="28">
        <f t="shared" si="0"/>
        <v>83.818356251998722</v>
      </c>
      <c r="I15" s="29">
        <v>1812.3300000000002</v>
      </c>
      <c r="J15" s="30"/>
      <c r="K15" s="28">
        <f t="shared" si="1"/>
        <v>1812.3300000000002</v>
      </c>
      <c r="L15" s="29">
        <v>19434</v>
      </c>
      <c r="M15" s="30">
        <v>1801</v>
      </c>
      <c r="N15" s="30">
        <v>0</v>
      </c>
      <c r="O15" s="28">
        <f t="shared" si="2"/>
        <v>21235</v>
      </c>
      <c r="P15" s="16">
        <v>30916</v>
      </c>
      <c r="Q15" s="14">
        <f t="shared" si="3"/>
        <v>68.686117220856516</v>
      </c>
    </row>
    <row r="16" spans="1:17" ht="23.1" customHeight="1" x14ac:dyDescent="0.3">
      <c r="A16" s="31" t="s">
        <v>34</v>
      </c>
      <c r="B16" s="32">
        <f t="shared" ref="B16:G16" si="4">SUM(B4:B15)</f>
        <v>5484</v>
      </c>
      <c r="C16" s="32">
        <f t="shared" si="4"/>
        <v>8807.66</v>
      </c>
      <c r="D16" s="32">
        <f t="shared" si="4"/>
        <v>3937</v>
      </c>
      <c r="E16" s="32">
        <f t="shared" si="4"/>
        <v>776118</v>
      </c>
      <c r="F16" s="32">
        <f t="shared" si="4"/>
        <v>591449.87</v>
      </c>
      <c r="G16" s="32">
        <f t="shared" si="4"/>
        <v>740430.11100000003</v>
      </c>
      <c r="H16" s="33">
        <f t="shared" si="0"/>
        <v>79.879229817005637</v>
      </c>
      <c r="I16" s="33">
        <f>SUM(I4:I15)</f>
        <v>5038.2532499999998</v>
      </c>
      <c r="J16" s="33">
        <f>SUM(J4:J15)</f>
        <v>0</v>
      </c>
      <c r="K16" s="33">
        <f t="shared" si="1"/>
        <v>5038.2532499999998</v>
      </c>
      <c r="L16" s="33">
        <f>SUM(L4:L15)</f>
        <v>47729.699468683175</v>
      </c>
      <c r="M16" s="33">
        <f>SUM(M4:M15)</f>
        <v>4781.0239739999997</v>
      </c>
      <c r="N16" s="33">
        <f>SUM(N4:N15)</f>
        <v>0</v>
      </c>
      <c r="O16" s="33">
        <f t="shared" si="2"/>
        <v>52510.723442683171</v>
      </c>
      <c r="P16" s="34">
        <f>SUM(P4:P15)</f>
        <v>80728.373694000009</v>
      </c>
      <c r="Q16" s="34">
        <f t="shared" si="3"/>
        <v>65.046180221249699</v>
      </c>
    </row>
    <row r="17" spans="1:17" ht="20.100000000000001" customHeight="1" x14ac:dyDescent="0.3">
      <c r="A17" s="151" t="s">
        <v>35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3">
        <v>2022</v>
      </c>
      <c r="B20" s="153"/>
      <c r="C20" s="154" t="s">
        <v>38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5" t="s">
        <v>1</v>
      </c>
      <c r="P20" s="155"/>
      <c r="Q20" s="156"/>
    </row>
    <row r="21" spans="1:17" ht="33" customHeight="1" x14ac:dyDescent="0.3">
      <c r="A21" s="157" t="s">
        <v>2</v>
      </c>
      <c r="B21" s="157" t="s">
        <v>3</v>
      </c>
      <c r="C21" s="157"/>
      <c r="D21" s="157"/>
      <c r="E21" s="158" t="s">
        <v>4</v>
      </c>
      <c r="F21" s="158" t="s">
        <v>5</v>
      </c>
      <c r="G21" s="158" t="s">
        <v>6</v>
      </c>
      <c r="H21" s="158" t="s">
        <v>7</v>
      </c>
      <c r="I21" s="157" t="s">
        <v>8</v>
      </c>
      <c r="J21" s="157"/>
      <c r="K21" s="157"/>
      <c r="L21" s="157" t="s">
        <v>9</v>
      </c>
      <c r="M21" s="157"/>
      <c r="N21" s="157"/>
      <c r="O21" s="157"/>
      <c r="P21" s="158" t="s">
        <v>10</v>
      </c>
      <c r="Q21" s="158" t="s">
        <v>11</v>
      </c>
    </row>
    <row r="22" spans="1:17" ht="150.75" customHeight="1" x14ac:dyDescent="0.3">
      <c r="A22" s="157"/>
      <c r="B22" s="36" t="s">
        <v>12</v>
      </c>
      <c r="C22" s="36" t="s">
        <v>13</v>
      </c>
      <c r="D22" s="36" t="s">
        <v>14</v>
      </c>
      <c r="E22" s="158"/>
      <c r="F22" s="158"/>
      <c r="G22" s="158"/>
      <c r="H22" s="158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59"/>
      <c r="Q22" s="159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1" t="s">
        <v>35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60">
        <v>2022</v>
      </c>
      <c r="B39" s="160"/>
      <c r="C39" s="161" t="s">
        <v>39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 t="s">
        <v>1</v>
      </c>
      <c r="P39" s="162"/>
      <c r="Q39" s="162"/>
    </row>
    <row r="40" spans="1:17" ht="28.9" customHeight="1" x14ac:dyDescent="0.3">
      <c r="A40" s="163" t="s">
        <v>2</v>
      </c>
      <c r="B40" s="163" t="s">
        <v>3</v>
      </c>
      <c r="C40" s="163"/>
      <c r="D40" s="163"/>
      <c r="E40" s="164" t="s">
        <v>4</v>
      </c>
      <c r="F40" s="164" t="s">
        <v>5</v>
      </c>
      <c r="G40" s="164" t="s">
        <v>6</v>
      </c>
      <c r="H40" s="164" t="s">
        <v>7</v>
      </c>
      <c r="I40" s="163" t="s">
        <v>8</v>
      </c>
      <c r="J40" s="163"/>
      <c r="K40" s="163"/>
      <c r="L40" s="163" t="s">
        <v>9</v>
      </c>
      <c r="M40" s="163"/>
      <c r="N40" s="163"/>
      <c r="O40" s="163"/>
      <c r="P40" s="164" t="s">
        <v>10</v>
      </c>
      <c r="Q40" s="164" t="s">
        <v>11</v>
      </c>
    </row>
    <row r="41" spans="1:17" ht="178.5" customHeight="1" x14ac:dyDescent="0.3">
      <c r="A41" s="163"/>
      <c r="B41" s="67" t="s">
        <v>12</v>
      </c>
      <c r="C41" s="67" t="s">
        <v>13</v>
      </c>
      <c r="D41" s="67" t="s">
        <v>14</v>
      </c>
      <c r="E41" s="165"/>
      <c r="F41" s="165"/>
      <c r="G41" s="165"/>
      <c r="H41" s="165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5"/>
      <c r="Q41" s="165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0"/>
        <v xml:space="preserve"> </v>
      </c>
      <c r="I46" s="87"/>
      <c r="J46" s="88"/>
      <c r="K46" s="86" t="str">
        <f t="shared" si="11"/>
        <v/>
      </c>
      <c r="L46" s="87"/>
      <c r="M46" s="88"/>
      <c r="N46" s="88"/>
      <c r="O46" s="86" t="str">
        <f t="shared" si="12"/>
        <v/>
      </c>
      <c r="P46" s="87"/>
      <c r="Q46" s="86" t="str">
        <f t="shared" si="13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0"/>
        <v xml:space="preserve"> </v>
      </c>
      <c r="I47" s="93"/>
      <c r="J47" s="94"/>
      <c r="K47" s="80" t="str">
        <f t="shared" si="11"/>
        <v/>
      </c>
      <c r="L47" s="93"/>
      <c r="M47" s="94"/>
      <c r="N47" s="94"/>
      <c r="O47" s="80" t="str">
        <f t="shared" si="12"/>
        <v/>
      </c>
      <c r="P47" s="93"/>
      <c r="Q47" s="80" t="str">
        <f t="shared" si="13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0</v>
      </c>
      <c r="C54" s="116">
        <f t="shared" si="14"/>
        <v>0</v>
      </c>
      <c r="D54" s="116">
        <f t="shared" si="14"/>
        <v>0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0</v>
      </c>
      <c r="M54" s="117">
        <f>SUM(M42:M53)</f>
        <v>0</v>
      </c>
      <c r="N54" s="117">
        <f>SUM(N42:N53)</f>
        <v>0</v>
      </c>
      <c r="O54" s="117">
        <f t="shared" si="12"/>
        <v>0</v>
      </c>
      <c r="P54" s="118">
        <f>SUM(P42:P53)</f>
        <v>0</v>
      </c>
      <c r="Q54" s="117" t="str">
        <f t="shared" si="13"/>
        <v xml:space="preserve"> </v>
      </c>
    </row>
    <row r="55" spans="1:17" ht="22.5" customHeight="1" x14ac:dyDescent="0.3">
      <c r="A55" s="151" t="s">
        <v>35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66">
        <v>2022</v>
      </c>
      <c r="B58" s="166"/>
      <c r="C58" s="167" t="s">
        <v>40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8" t="s">
        <v>1</v>
      </c>
      <c r="P58" s="168"/>
      <c r="Q58" s="168"/>
    </row>
    <row r="59" spans="1:17" ht="28.9" customHeight="1" x14ac:dyDescent="0.3">
      <c r="A59" s="169" t="s">
        <v>2</v>
      </c>
      <c r="B59" s="169" t="s">
        <v>3</v>
      </c>
      <c r="C59" s="169"/>
      <c r="D59" s="169"/>
      <c r="E59" s="170" t="s">
        <v>4</v>
      </c>
      <c r="F59" s="170" t="s">
        <v>5</v>
      </c>
      <c r="G59" s="170" t="s">
        <v>6</v>
      </c>
      <c r="H59" s="170" t="s">
        <v>7</v>
      </c>
      <c r="I59" s="169" t="s">
        <v>8</v>
      </c>
      <c r="J59" s="169"/>
      <c r="K59" s="169"/>
      <c r="L59" s="169" t="s">
        <v>9</v>
      </c>
      <c r="M59" s="169"/>
      <c r="N59" s="169"/>
      <c r="O59" s="169"/>
      <c r="P59" s="170" t="s">
        <v>10</v>
      </c>
      <c r="Q59" s="170" t="s">
        <v>11</v>
      </c>
    </row>
    <row r="60" spans="1:17" ht="164.25" customHeight="1" x14ac:dyDescent="0.3">
      <c r="A60" s="169"/>
      <c r="B60" s="119" t="s">
        <v>12</v>
      </c>
      <c r="C60" s="119" t="s">
        <v>13</v>
      </c>
      <c r="D60" s="119" t="s">
        <v>14</v>
      </c>
      <c r="E60" s="171"/>
      <c r="F60" s="171"/>
      <c r="G60" s="171"/>
      <c r="H60" s="171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71"/>
      <c r="Q60" s="171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51" t="s">
        <v>35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Terminal 2</dc:creator>
  <cp:lastModifiedBy>Windows User</cp:lastModifiedBy>
  <dcterms:created xsi:type="dcterms:W3CDTF">2022-12-15T06:40:30Z</dcterms:created>
  <dcterms:modified xsi:type="dcterms:W3CDTF">2023-01-13T11:31:54Z</dcterms:modified>
</cp:coreProperties>
</file>