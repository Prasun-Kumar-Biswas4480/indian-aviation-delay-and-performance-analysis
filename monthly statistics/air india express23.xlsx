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3\Excel December 2023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H73" i="2" s="1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<sst xmlns="http://schemas.openxmlformats.org/spreadsheetml/2006/main" count="153" uniqueCount="42">
  <si>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</si>
  <si>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AIR INDIA EXPRESS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</si>
  <si>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</si>
  <si>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</si>
  <si>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</si>
  <si>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</si>
  <si>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</si>
  <si>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</si>
  <si>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</si>
  <si>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</si>
  <si>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</si>
  <si>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</si>
  <si>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</si>
  <si>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</si>
  <si>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</si>
  <si>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</si>
  <si>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</si>
  <si>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</si>
  <si>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</si>
  <si>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</si>
  <si>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</si>
  <si>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</si>
  <si>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</si>
  <si>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</si>
  <si>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</si>
  <si>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</si>
  <si>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</si>
  <si>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</si>
  <si>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</si>
  <si>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</si>
  <si>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</si>
  <si>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</si>
  <si>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</si>
  <si>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</si>
  <si>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</si>
  <si>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 EXPRESS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</si>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</sst>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3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PivotTable"/>
      <sheetName val="Interface"/>
      <sheetName val="Sheet5"/>
      <sheetName val="Data"/>
      <sheetName val="Sheet2"/>
      <sheetName val="Sheet3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3" transitionEvaluation="1" transitionEntry="1" codeName="Sheet12"/>
  <dimension ref="A1:Q494"/>
  <sheetViews>
    <sheetView showGridLines="0" tabSelected="1" view="pageBreakPreview" topLeftCell="A43" zoomScale="55" zoomScaleNormal="85" zoomScaleSheetLayoutView="55" workbookViewId="0">
      <selection activeCell="R54" sqref="R54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2023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/>
      <c r="C4" s="5"/>
      <c r="D4" s="6"/>
      <c r="E4" s="7"/>
      <c r="F4" s="5"/>
      <c r="G4" s="5"/>
      <c r="H4" s="8" t="str">
        <f>IFERROR(F4/G4*100," ")</f>
        <v xml:space="preserve"> </v>
      </c>
      <c r="I4" s="9"/>
      <c r="J4" s="10"/>
      <c r="K4" s="8" t="str">
        <f>IF(AND(ISBLANK(I4),ISBLANK(J4))=TRUE,"",I4+J4)</f>
        <v/>
      </c>
      <c r="L4" s="9"/>
      <c r="M4" s="10"/>
      <c r="N4" s="10"/>
      <c r="O4" s="8" t="str">
        <f>IF(AND(ISBLANK(L4),ISBLANK(M4),ISBLANK(N4))=TRUE,"",L4+M4+N4)</f>
        <v/>
      </c>
      <c r="P4" s="10"/>
      <c r="Q4" s="8" t="str">
        <f>IFERROR(O4/P4*100," ")</f>
        <v xml:space="preserve"> </v>
      </c>
    </row>
    <row r="5" spans="1:17" ht="23.1" customHeight="1" x14ac:dyDescent="0.3">
      <c r="A5" s="11" t="s">
        <v>23</v>
      </c>
      <c r="B5" s="12"/>
      <c r="C5" s="12"/>
      <c r="D5" s="11"/>
      <c r="E5" s="13"/>
      <c r="F5" s="12"/>
      <c r="G5" s="12"/>
      <c r="H5" s="14" t="str">
        <f t="shared" ref="H5:H16" si="0">IFERROR(F5/G5*100," ")</f>
        <v xml:space="preserve"> </v>
      </c>
      <c r="I5" s="15"/>
      <c r="J5" s="16"/>
      <c r="K5" s="14" t="str">
        <f t="shared" ref="K5:K16" si="1">IF(AND(ISBLANK(I5),ISBLANK(J5))=TRUE,"",I5+J5)</f>
        <v/>
      </c>
      <c r="L5" s="15"/>
      <c r="M5" s="16"/>
      <c r="N5" s="16"/>
      <c r="O5" s="14" t="str">
        <f t="shared" ref="O5:O16" si="2">IF(AND(ISBLANK(L5),ISBLANK(M5),ISBLANK(N5))=TRUE,"",L5+M5+N5)</f>
        <v/>
      </c>
      <c r="P5" s="16"/>
      <c r="Q5" s="14" t="str">
        <f t="shared" ref="Q5:Q16" si="3">IFERROR(O5/P5*100," ")</f>
        <v xml:space="preserve"> </v>
      </c>
    </row>
    <row r="6" spans="1:17" ht="23.1" customHeight="1" x14ac:dyDescent="0.3">
      <c r="A6" s="17" t="s">
        <v>24</v>
      </c>
      <c r="B6" s="18"/>
      <c r="C6" s="18"/>
      <c r="D6" s="17"/>
      <c r="E6" s="19"/>
      <c r="F6" s="18"/>
      <c r="G6" s="18"/>
      <c r="H6" s="20" t="str">
        <f t="shared" si="0"/>
        <v xml:space="preserve"> </v>
      </c>
      <c r="I6" s="21"/>
      <c r="J6" s="22"/>
      <c r="K6" s="20" t="str">
        <f t="shared" si="1"/>
        <v/>
      </c>
      <c r="L6" s="21"/>
      <c r="M6" s="22"/>
      <c r="N6" s="22"/>
      <c r="O6" s="20" t="str">
        <f t="shared" si="2"/>
        <v/>
      </c>
      <c r="P6" s="22"/>
      <c r="Q6" s="20" t="str">
        <f t="shared" si="3"/>
        <v xml:space="preserve"> </v>
      </c>
    </row>
    <row r="7" spans="1:17" ht="23.1" customHeight="1" x14ac:dyDescent="0.3">
      <c r="A7" s="11" t="s">
        <v>25</v>
      </c>
      <c r="B7" s="12"/>
      <c r="C7" s="12"/>
      <c r="D7" s="11"/>
      <c r="E7" s="13"/>
      <c r="F7" s="12"/>
      <c r="G7" s="12"/>
      <c r="H7" s="14" t="str">
        <f t="shared" si="0"/>
        <v xml:space="preserve"> </v>
      </c>
      <c r="I7" s="15"/>
      <c r="J7" s="16"/>
      <c r="K7" s="14" t="str">
        <f t="shared" si="1"/>
        <v/>
      </c>
      <c r="L7" s="15"/>
      <c r="M7" s="16"/>
      <c r="N7" s="16"/>
      <c r="O7" s="14" t="str">
        <f t="shared" si="2"/>
        <v/>
      </c>
      <c r="P7" s="16"/>
      <c r="Q7" s="14" t="str">
        <f t="shared" si="3"/>
        <v xml:space="preserve"> </v>
      </c>
    </row>
    <row r="8" spans="1:17" s="23" customFormat="1" ht="30" customHeight="1" x14ac:dyDescent="0.25">
      <c r="A8" s="17" t="s">
        <v>26</v>
      </c>
      <c r="B8" s="18"/>
      <c r="C8" s="18"/>
      <c r="D8" s="17"/>
      <c r="E8" s="19"/>
      <c r="F8" s="18"/>
      <c r="G8" s="18"/>
      <c r="H8" s="20" t="str">
        <f t="shared" si="0"/>
        <v xml:space="preserve"> </v>
      </c>
      <c r="I8" s="21"/>
      <c r="J8" s="22"/>
      <c r="K8" s="20" t="str">
        <f t="shared" si="1"/>
        <v/>
      </c>
      <c r="L8" s="21"/>
      <c r="M8" s="22"/>
      <c r="N8" s="22"/>
      <c r="O8" s="20" t="str">
        <f t="shared" si="2"/>
        <v/>
      </c>
      <c r="P8" s="22"/>
      <c r="Q8" s="20" t="str">
        <f t="shared" si="3"/>
        <v xml:space="preserve"> </v>
      </c>
    </row>
    <row r="9" spans="1:17" ht="23.1" customHeight="1" x14ac:dyDescent="0.3">
      <c r="A9" s="11" t="s">
        <v>27</v>
      </c>
      <c r="B9" s="12"/>
      <c r="C9" s="12"/>
      <c r="D9" s="11"/>
      <c r="E9" s="13"/>
      <c r="F9" s="12"/>
      <c r="G9" s="12"/>
      <c r="H9" s="14" t="str">
        <f t="shared" si="0"/>
        <v xml:space="preserve"> </v>
      </c>
      <c r="I9" s="15"/>
      <c r="J9" s="16"/>
      <c r="K9" s="14" t="str">
        <f t="shared" si="1"/>
        <v/>
      </c>
      <c r="L9" s="15"/>
      <c r="M9" s="16"/>
      <c r="N9" s="16"/>
      <c r="O9" s="14" t="str">
        <f t="shared" si="2"/>
        <v/>
      </c>
      <c r="P9" s="16"/>
      <c r="Q9" s="14" t="str">
        <f t="shared" si="3"/>
        <v xml:space="preserve"> </v>
      </c>
    </row>
    <row r="10" spans="1:17" ht="23.1" customHeight="1" x14ac:dyDescent="0.3">
      <c r="A10" s="17" t="s">
        <v>28</v>
      </c>
      <c r="B10" s="18"/>
      <c r="C10" s="18"/>
      <c r="D10" s="17"/>
      <c r="E10" s="19"/>
      <c r="F10" s="18"/>
      <c r="G10" s="18"/>
      <c r="H10" s="20" t="str">
        <f t="shared" si="0"/>
        <v xml:space="preserve"> </v>
      </c>
      <c r="I10" s="21"/>
      <c r="J10" s="22"/>
      <c r="K10" s="20" t="str">
        <f t="shared" si="1"/>
        <v/>
      </c>
      <c r="L10" s="21"/>
      <c r="M10" s="22"/>
      <c r="N10" s="22"/>
      <c r="O10" s="20" t="str">
        <f t="shared" si="2"/>
        <v/>
      </c>
      <c r="P10" s="22"/>
      <c r="Q10" s="20" t="str">
        <f t="shared" si="3"/>
        <v xml:space="preserve"> </v>
      </c>
    </row>
    <row r="11" spans="1:17" ht="23.1" customHeight="1" x14ac:dyDescent="0.3">
      <c r="A11" s="11" t="s">
        <v>29</v>
      </c>
      <c r="B11" s="12"/>
      <c r="C11" s="12"/>
      <c r="D11" s="11"/>
      <c r="E11" s="13"/>
      <c r="F11" s="12"/>
      <c r="G11" s="12"/>
      <c r="H11" s="14" t="str">
        <f t="shared" si="0"/>
        <v xml:space="preserve"> </v>
      </c>
      <c r="I11" s="15"/>
      <c r="J11" s="16"/>
      <c r="K11" s="14" t="str">
        <f t="shared" si="1"/>
        <v/>
      </c>
      <c r="L11" s="15"/>
      <c r="M11" s="16"/>
      <c r="N11" s="16"/>
      <c r="O11" s="14" t="str">
        <f t="shared" si="2"/>
        <v/>
      </c>
      <c r="P11" s="16"/>
      <c r="Q11" s="14" t="str">
        <f t="shared" si="3"/>
        <v xml:space="preserve"> </v>
      </c>
    </row>
    <row r="12" spans="1:17" ht="23.1" customHeight="1" x14ac:dyDescent="0.3">
      <c r="A12" s="17" t="s">
        <v>30</v>
      </c>
      <c r="B12" s="18">
        <v>173</v>
      </c>
      <c r="C12" s="18">
        <v>316.47000000000003</v>
      </c>
      <c r="D12" s="17">
        <v>147.22</v>
      </c>
      <c r="E12" s="19">
        <v>23727</v>
      </c>
      <c r="F12" s="18">
        <v>20893.169999999998</v>
      </c>
      <c r="G12" s="18">
        <v>27382.66</v>
      </c>
      <c r="H12" s="20">
        <f t="shared" si="0"/>
        <v>76.300731923049099</v>
      </c>
      <c r="I12" s="21">
        <v>3.597</v>
      </c>
      <c r="J12" s="22"/>
      <c r="K12" s="20">
        <f t="shared" si="1"/>
        <v>3.597</v>
      </c>
      <c r="L12" s="21">
        <v>280.79000000000002</v>
      </c>
      <c r="M12" s="22">
        <v>4.25</v>
      </c>
      <c r="N12" s="22">
        <v>0</v>
      </c>
      <c r="O12" s="20">
        <f t="shared" si="2"/>
        <v>285.04000000000002</v>
      </c>
      <c r="P12" s="22">
        <v>375.38</v>
      </c>
      <c r="Q12" s="20">
        <f t="shared" si="3"/>
        <v>75.933720496563481</v>
      </c>
    </row>
    <row r="13" spans="1:17" ht="23.1" customHeight="1" x14ac:dyDescent="0.3">
      <c r="A13" s="11" t="s">
        <v>31</v>
      </c>
      <c r="B13" s="12">
        <v>731</v>
      </c>
      <c r="C13" s="12">
        <v>1223</v>
      </c>
      <c r="D13" s="11">
        <v>571.02763000000004</v>
      </c>
      <c r="E13" s="13">
        <v>106111</v>
      </c>
      <c r="F13" s="12">
        <v>87592.315600000002</v>
      </c>
      <c r="G13" s="12">
        <v>106211.14019999999</v>
      </c>
      <c r="H13" s="14">
        <f t="shared" si="0"/>
        <v>82.4699889626079</v>
      </c>
      <c r="I13" s="15">
        <v>40.21</v>
      </c>
      <c r="J13" s="16"/>
      <c r="K13" s="14">
        <f t="shared" si="1"/>
        <v>40.21</v>
      </c>
      <c r="L13" s="15">
        <v>7157.9870000000001</v>
      </c>
      <c r="M13" s="16">
        <v>26.171479999999999</v>
      </c>
      <c r="N13" s="16">
        <v>0</v>
      </c>
      <c r="O13" s="14">
        <f t="shared" si="2"/>
        <v>7184.1584800000001</v>
      </c>
      <c r="P13" s="16">
        <v>9899.6096400000006</v>
      </c>
      <c r="Q13" s="14">
        <f t="shared" si="3"/>
        <v>72.570118835513995</v>
      </c>
    </row>
    <row r="14" spans="1:17" ht="23.1" customHeight="1" x14ac:dyDescent="0.3">
      <c r="A14" s="17" t="s">
        <v>32</v>
      </c>
      <c r="B14" s="18">
        <v>1036</v>
      </c>
      <c r="C14" s="18">
        <v>1854.8166666666664</v>
      </c>
      <c r="D14" s="17">
        <v>4.0610000000000008</v>
      </c>
      <c r="E14" s="19">
        <v>145064</v>
      </c>
      <c r="F14" s="18">
        <v>137357.15799999997</v>
      </c>
      <c r="G14" s="18">
        <v>170747.75900000005</v>
      </c>
      <c r="H14" s="20">
        <f t="shared" si="0"/>
        <v>80.44448653642354</v>
      </c>
      <c r="I14" s="21">
        <v>265.63050000000004</v>
      </c>
      <c r="J14" s="22"/>
      <c r="K14" s="20">
        <f t="shared" si="1"/>
        <v>265.63050000000004</v>
      </c>
      <c r="L14" s="21">
        <v>10301.786849999995</v>
      </c>
      <c r="M14" s="22">
        <v>182.08438650000002</v>
      </c>
      <c r="N14" s="22"/>
      <c r="O14" s="20">
        <f t="shared" si="2"/>
        <v>10483.871236499996</v>
      </c>
      <c r="P14" s="22">
        <v>18776.900000000001</v>
      </c>
      <c r="Q14" s="20">
        <f t="shared" si="3"/>
        <v>55.833876925903617</v>
      </c>
    </row>
    <row r="15" spans="1:17" ht="23.1" customHeight="1" x14ac:dyDescent="0.3">
      <c r="A15" s="24" t="s">
        <v>33</v>
      </c>
      <c r="B15" s="25">
        <v>1398</v>
      </c>
      <c r="C15" s="25">
        <v>2481</v>
      </c>
      <c r="D15" s="26">
        <v>1194</v>
      </c>
      <c r="E15" s="27">
        <v>204851</v>
      </c>
      <c r="F15" s="25">
        <v>184082.95900000009</v>
      </c>
      <c r="G15" s="25">
        <v>220696.39299999992</v>
      </c>
      <c r="H15" s="28">
        <f t="shared" si="0"/>
        <v>83.410044223060837</v>
      </c>
      <c r="I15" s="29">
        <v>258.00400000000002</v>
      </c>
      <c r="J15" s="30"/>
      <c r="K15" s="28">
        <f t="shared" si="1"/>
        <v>258.00400000000002</v>
      </c>
      <c r="L15" s="29">
        <v>13806.221925000005</v>
      </c>
      <c r="M15" s="30">
        <v>325.32709700000004</v>
      </c>
      <c r="N15" s="30">
        <v>0</v>
      </c>
      <c r="O15" s="28">
        <f t="shared" si="2"/>
        <v>14131.549022000005</v>
      </c>
      <c r="P15" s="16">
        <v>24399.899999999991</v>
      </c>
      <c r="Q15" s="14">
        <f t="shared" si="3"/>
        <v>57.916421878778237</v>
      </c>
    </row>
    <row r="16" spans="1:17" ht="23.1" customHeight="1" x14ac:dyDescent="0.3">
      <c r="A16" s="31" t="s">
        <v>34</v>
      </c>
      <c r="B16" s="32">
        <f t="shared" ref="B16:G16" si="4">SUM(B4:B15)</f>
        <v>3338</v>
      </c>
      <c r="C16" s="32">
        <f t="shared" si="4"/>
        <v>5875.2866666666669</v>
      </c>
      <c r="D16" s="32">
        <f t="shared" si="4"/>
        <v>1916.30863</v>
      </c>
      <c r="E16" s="32">
        <f t="shared" si="4"/>
        <v>479753</v>
      </c>
      <c r="F16" s="32">
        <f t="shared" si="4"/>
        <v>429925.60260000004</v>
      </c>
      <c r="G16" s="32">
        <f t="shared" si="4"/>
        <v>525037.95219999994</v>
      </c>
      <c r="H16" s="33">
        <f t="shared" si="0"/>
        <v>81.884671536321761</v>
      </c>
      <c r="I16" s="33">
        <f>SUM(I4:I15)</f>
        <v>567.44150000000013</v>
      </c>
      <c r="J16" s="33">
        <f>SUM(J4:J15)</f>
        <v>0</v>
      </c>
      <c r="K16" s="33">
        <f t="shared" si="1"/>
        <v>567.44150000000013</v>
      </c>
      <c r="L16" s="33">
        <f>SUM(L4:L15)</f>
        <v>31546.785775</v>
      </c>
      <c r="M16" s="33">
        <f>SUM(M4:M15)</f>
        <v>537.83296350000001</v>
      </c>
      <c r="N16" s="33">
        <f>SUM(N4:N15)</f>
        <v>0</v>
      </c>
      <c r="O16" s="33">
        <f t="shared" si="2"/>
        <v>32084.618738500001</v>
      </c>
      <c r="P16" s="34">
        <f>SUM(P4:P15)</f>
        <v>53451.789639999988</v>
      </c>
      <c r="Q16" s="34">
        <f t="shared" si="3"/>
        <v>60.025340507008721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2023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>
        <v>2729</v>
      </c>
      <c r="C23" s="41">
        <v>10703.54849999999</v>
      </c>
      <c r="D23" s="42">
        <v>7083.34</v>
      </c>
      <c r="E23" s="40">
        <v>398219</v>
      </c>
      <c r="F23" s="41">
        <v>1079611.3019999999</v>
      </c>
      <c r="G23" s="41">
        <v>1317501.24</v>
      </c>
      <c r="H23" s="43">
        <f t="shared" ref="H23:H35" si="5">IFERROR(F23/G23*100," ")</f>
        <v>81.943854716979232</v>
      </c>
      <c r="I23" s="44">
        <v>2014.18</v>
      </c>
      <c r="J23" s="44">
        <v>2.4990000000000001</v>
      </c>
      <c r="K23" s="44">
        <f>IF(AND(ISBLANK(I23),ISBLANK(J23))=TRUE,"",I23+J23)</f>
        <v>2016.6790000000001</v>
      </c>
      <c r="L23" s="45">
        <v>101838.86056900001</v>
      </c>
      <c r="M23" s="44">
        <v>5634.5997390000002</v>
      </c>
      <c r="N23" s="44">
        <v>7.0479269999999996</v>
      </c>
      <c r="O23" s="46">
        <f>IF(AND(ISBLANK(L23),ISBLANK(M23),ISBLANK(N23))=TRUE,"",L23+M23+N23)</f>
        <v>107480.50823500002</v>
      </c>
      <c r="P23" s="45">
        <v>136744.30333000002</v>
      </c>
      <c r="Q23" s="46">
        <f>IFERROR(O23/P23*100," ")</f>
        <v>78.599623982595631</v>
      </c>
    </row>
    <row r="24" spans="1:17" ht="23.1" customHeight="1" x14ac:dyDescent="0.3">
      <c r="A24" s="47" t="s">
        <v>23</v>
      </c>
      <c r="B24" s="48">
        <v>2481</v>
      </c>
      <c r="C24" s="47">
        <v>9685.5355999999883</v>
      </c>
      <c r="D24" s="49">
        <v>6438.5929999999998</v>
      </c>
      <c r="E24" s="48">
        <v>353788</v>
      </c>
      <c r="F24" s="47">
        <v>960927.20299999998</v>
      </c>
      <c r="G24" s="47">
        <v>1197578.298</v>
      </c>
      <c r="H24" s="50">
        <f t="shared" si="5"/>
        <v>80.23919643540502</v>
      </c>
      <c r="I24" s="51">
        <v>1792.181</v>
      </c>
      <c r="J24" s="51">
        <v>3.3730000000000002</v>
      </c>
      <c r="K24" s="51">
        <f t="shared" ref="K24:K35" si="6">IF(AND(ISBLANK(I24),ISBLANK(J24))=TRUE,"",I24+J24)</f>
        <v>1795.5540000000001</v>
      </c>
      <c r="L24" s="52">
        <v>86661.218208000006</v>
      </c>
      <c r="M24" s="51">
        <v>4954.4835400000002</v>
      </c>
      <c r="N24" s="51">
        <v>9.2872310000000002</v>
      </c>
      <c r="O24" s="50">
        <f t="shared" ref="O24:O35" si="7">IF(AND(ISBLANK(L24),ISBLANK(M24),ISBLANK(N24))=TRUE,"",L24+M24+N24)</f>
        <v>91624.988979000002</v>
      </c>
      <c r="P24" s="52">
        <v>121642.479978</v>
      </c>
      <c r="Q24" s="50">
        <f t="shared" ref="Q24:Q35" si="8">IFERROR(O24/P24*100," ")</f>
        <v>75.323183969589493</v>
      </c>
    </row>
    <row r="25" spans="1:17" ht="23.1" customHeight="1" x14ac:dyDescent="0.3">
      <c r="A25" s="39" t="s">
        <v>24</v>
      </c>
      <c r="B25" s="53">
        <v>2759</v>
      </c>
      <c r="C25" s="39">
        <v>10904.45</v>
      </c>
      <c r="D25" s="54">
        <v>6497.81</v>
      </c>
      <c r="E25" s="53">
        <v>370356</v>
      </c>
      <c r="F25" s="39">
        <v>930298.36</v>
      </c>
      <c r="G25" s="39">
        <v>1208593.06</v>
      </c>
      <c r="H25" s="43">
        <f t="shared" si="5"/>
        <v>76.97366390636067</v>
      </c>
      <c r="I25" s="55">
        <v>2311.62</v>
      </c>
      <c r="J25" s="55">
        <v>2.5569999999999999</v>
      </c>
      <c r="K25" s="55">
        <f t="shared" si="6"/>
        <v>2314.1769999999997</v>
      </c>
      <c r="L25" s="56">
        <v>95511.679889999999</v>
      </c>
      <c r="M25" s="55">
        <v>6441.3777799999998</v>
      </c>
      <c r="N25" s="55">
        <v>7.3401199999999998</v>
      </c>
      <c r="O25" s="43">
        <f t="shared" si="7"/>
        <v>101960.39778999999</v>
      </c>
      <c r="P25" s="56">
        <v>141884.42887999999</v>
      </c>
      <c r="Q25" s="43">
        <f t="shared" si="8"/>
        <v>71.861583822023135</v>
      </c>
    </row>
    <row r="26" spans="1:17" ht="23.1" customHeight="1" x14ac:dyDescent="0.3">
      <c r="A26" s="47" t="s">
        <v>25</v>
      </c>
      <c r="B26" s="48">
        <v>2718</v>
      </c>
      <c r="C26" s="47">
        <v>10814</v>
      </c>
      <c r="D26" s="49">
        <v>7262.6650300000001</v>
      </c>
      <c r="E26" s="48">
        <v>368248</v>
      </c>
      <c r="F26" s="47">
        <v>1002871.9449999999</v>
      </c>
      <c r="G26" s="47">
        <v>1350855.696</v>
      </c>
      <c r="H26" s="50">
        <f t="shared" si="5"/>
        <v>74.239753955184867</v>
      </c>
      <c r="I26" s="51">
        <v>2101.9549999999999</v>
      </c>
      <c r="J26" s="51">
        <v>4.9569999999999999</v>
      </c>
      <c r="K26" s="51">
        <f t="shared" si="6"/>
        <v>2106.9119999999998</v>
      </c>
      <c r="L26" s="52">
        <v>83742.249179999999</v>
      </c>
      <c r="M26" s="51">
        <v>5949.2663700000003</v>
      </c>
      <c r="N26" s="51">
        <v>14.65052</v>
      </c>
      <c r="O26" s="50">
        <f t="shared" si="7"/>
        <v>89706.166069999992</v>
      </c>
      <c r="P26" s="52">
        <v>129897.03015000001</v>
      </c>
      <c r="Q26" s="50">
        <f t="shared" si="8"/>
        <v>69.059443442556628</v>
      </c>
    </row>
    <row r="27" spans="1:17" s="23" customFormat="1" ht="30" customHeight="1" x14ac:dyDescent="0.25">
      <c r="A27" s="39" t="s">
        <v>26</v>
      </c>
      <c r="B27" s="53">
        <v>2797</v>
      </c>
      <c r="C27" s="39">
        <v>11123.48</v>
      </c>
      <c r="D27" s="54">
        <v>7495.3364000000001</v>
      </c>
      <c r="E27" s="53">
        <v>444759</v>
      </c>
      <c r="F27" s="39">
        <v>1206214.557</v>
      </c>
      <c r="G27" s="39">
        <v>1394132.571</v>
      </c>
      <c r="H27" s="43">
        <f t="shared" si="5"/>
        <v>86.520793078867115</v>
      </c>
      <c r="I27" s="55">
        <v>2194.558</v>
      </c>
      <c r="J27" s="55">
        <v>1.9789999999999999</v>
      </c>
      <c r="K27" s="55">
        <f t="shared" si="6"/>
        <v>2196.5369999999998</v>
      </c>
      <c r="L27" s="56">
        <v>109018.02469999999</v>
      </c>
      <c r="M27" s="55">
        <v>6133.59638</v>
      </c>
      <c r="N27" s="55">
        <v>5.8902600000000005</v>
      </c>
      <c r="O27" s="43">
        <f t="shared" si="7"/>
        <v>115157.51134</v>
      </c>
      <c r="P27" s="56">
        <v>140309.73170999999</v>
      </c>
      <c r="Q27" s="43">
        <f t="shared" si="8"/>
        <v>82.073787709903115</v>
      </c>
    </row>
    <row r="28" spans="1:17" ht="23.1" customHeight="1" x14ac:dyDescent="0.3">
      <c r="A28" s="47" t="s">
        <v>27</v>
      </c>
      <c r="B28" s="48">
        <v>2658</v>
      </c>
      <c r="C28" s="47">
        <v>10473.017900000004</v>
      </c>
      <c r="D28" s="49">
        <v>7027.8770800000002</v>
      </c>
      <c r="E28" s="48">
        <v>402310</v>
      </c>
      <c r="F28" s="47">
        <v>1073445.6840000001</v>
      </c>
      <c r="G28" s="47">
        <v>1307185.1369999999</v>
      </c>
      <c r="H28" s="50">
        <f t="shared" si="5"/>
        <v>82.118871582610424</v>
      </c>
      <c r="I28" s="51">
        <v>2075.8159999999998</v>
      </c>
      <c r="J28" s="51">
        <v>2.4220000000000002</v>
      </c>
      <c r="K28" s="51">
        <f t="shared" si="6"/>
        <v>2078.2379999999998</v>
      </c>
      <c r="L28" s="52">
        <v>99288.458700000003</v>
      </c>
      <c r="M28" s="51">
        <v>5792.8643700000002</v>
      </c>
      <c r="N28" s="51">
        <v>7.2356699999999998</v>
      </c>
      <c r="O28" s="50">
        <f t="shared" si="7"/>
        <v>105088.55873999999</v>
      </c>
      <c r="P28" s="52">
        <v>137467.56851000001</v>
      </c>
      <c r="Q28" s="50">
        <f t="shared" si="8"/>
        <v>76.446073702362298</v>
      </c>
    </row>
    <row r="29" spans="1:17" ht="23.1" customHeight="1" x14ac:dyDescent="0.3">
      <c r="A29" s="39" t="s">
        <v>28</v>
      </c>
      <c r="B29" s="53">
        <v>2738</v>
      </c>
      <c r="C29" s="39">
        <v>10808.516600000001</v>
      </c>
      <c r="D29" s="54">
        <v>7248.7264299999997</v>
      </c>
      <c r="E29" s="53">
        <v>407541</v>
      </c>
      <c r="F29" s="39">
        <v>1089461.21</v>
      </c>
      <c r="G29" s="39">
        <v>1348263.11</v>
      </c>
      <c r="H29" s="43">
        <f t="shared" si="5"/>
        <v>80.804792619446502</v>
      </c>
      <c r="I29" s="55">
        <v>2141.924</v>
      </c>
      <c r="J29" s="55">
        <v>2.4770000000000003</v>
      </c>
      <c r="K29" s="55">
        <f t="shared" si="6"/>
        <v>2144.4009999999998</v>
      </c>
      <c r="L29" s="56">
        <v>98158.441500000001</v>
      </c>
      <c r="M29" s="55">
        <v>6021.0153099999998</v>
      </c>
      <c r="N29" s="55">
        <v>7.3978099999999998</v>
      </c>
      <c r="O29" s="43">
        <f t="shared" si="7"/>
        <v>104186.85462</v>
      </c>
      <c r="P29" s="56">
        <v>138565.90028</v>
      </c>
      <c r="Q29" s="43">
        <f t="shared" si="8"/>
        <v>75.189389604130383</v>
      </c>
    </row>
    <row r="30" spans="1:17" ht="23.1" customHeight="1" x14ac:dyDescent="0.3">
      <c r="A30" s="47" t="s">
        <v>29</v>
      </c>
      <c r="B30" s="48">
        <v>2835</v>
      </c>
      <c r="C30" s="47">
        <v>11271.49</v>
      </c>
      <c r="D30" s="49">
        <v>7572.5083800000002</v>
      </c>
      <c r="E30" s="48">
        <v>417544</v>
      </c>
      <c r="F30" s="47">
        <v>1130480.53</v>
      </c>
      <c r="G30" s="47">
        <v>1408486.56</v>
      </c>
      <c r="H30" s="50">
        <f t="shared" si="5"/>
        <v>80.262074350216011</v>
      </c>
      <c r="I30" s="51">
        <v>2429.5259999999998</v>
      </c>
      <c r="J30" s="51">
        <v>2.3810000000000002</v>
      </c>
      <c r="K30" s="51">
        <f t="shared" si="6"/>
        <v>2431.9069999999997</v>
      </c>
      <c r="L30" s="52">
        <v>104328.557</v>
      </c>
      <c r="M30" s="51">
        <v>6779.6195600000001</v>
      </c>
      <c r="N30" s="51">
        <v>7.0152900000000002</v>
      </c>
      <c r="O30" s="50">
        <f t="shared" si="7"/>
        <v>111115.19185</v>
      </c>
      <c r="P30" s="52">
        <v>142406.804</v>
      </c>
      <c r="Q30" s="50">
        <f t="shared" si="8"/>
        <v>78.026603174101155</v>
      </c>
    </row>
    <row r="31" spans="1:17" ht="23.1" customHeight="1" x14ac:dyDescent="0.3">
      <c r="A31" s="39" t="s">
        <v>30</v>
      </c>
      <c r="B31" s="53">
        <v>2742</v>
      </c>
      <c r="C31" s="39">
        <v>10972.48</v>
      </c>
      <c r="D31" s="54">
        <v>7310.06</v>
      </c>
      <c r="E31" s="53">
        <v>366910</v>
      </c>
      <c r="F31" s="39">
        <v>992059.42</v>
      </c>
      <c r="G31" s="39">
        <v>1359671.33</v>
      </c>
      <c r="H31" s="43">
        <f t="shared" si="5"/>
        <v>72.96317853521262</v>
      </c>
      <c r="I31" s="55">
        <v>1929.0139999999999</v>
      </c>
      <c r="J31" s="55">
        <v>0.81400000000000006</v>
      </c>
      <c r="K31" s="55">
        <f t="shared" si="6"/>
        <v>1929.828</v>
      </c>
      <c r="L31" s="56">
        <v>90831.29</v>
      </c>
      <c r="M31" s="55">
        <v>5394.78</v>
      </c>
      <c r="N31" s="55">
        <v>2.2200000000000002</v>
      </c>
      <c r="O31" s="43">
        <f t="shared" si="7"/>
        <v>96228.29</v>
      </c>
      <c r="P31" s="56">
        <v>129596.6</v>
      </c>
      <c r="Q31" s="43">
        <f t="shared" si="8"/>
        <v>74.25217173907339</v>
      </c>
    </row>
    <row r="32" spans="1:17" ht="23.1" customHeight="1" x14ac:dyDescent="0.3">
      <c r="A32" s="47" t="s">
        <v>31</v>
      </c>
      <c r="B32" s="48">
        <v>2777</v>
      </c>
      <c r="C32" s="47">
        <v>11126.59</v>
      </c>
      <c r="D32" s="49">
        <v>7425.56023</v>
      </c>
      <c r="E32" s="48">
        <v>387544</v>
      </c>
      <c r="F32" s="47">
        <v>1041403.62</v>
      </c>
      <c r="G32" s="47">
        <v>1381154.2</v>
      </c>
      <c r="H32" s="50">
        <f t="shared" si="5"/>
        <v>75.400966814567127</v>
      </c>
      <c r="I32" s="51">
        <v>2178.9659999999999</v>
      </c>
      <c r="J32" s="51">
        <v>0.32100000000000001</v>
      </c>
      <c r="K32" s="51">
        <f t="shared" si="6"/>
        <v>2179.2869999999998</v>
      </c>
      <c r="L32" s="52">
        <v>93446.2785</v>
      </c>
      <c r="M32" s="51">
        <v>6150.2697799999996</v>
      </c>
      <c r="N32" s="51">
        <v>0.88692000000000004</v>
      </c>
      <c r="O32" s="50">
        <f t="shared" si="7"/>
        <v>99597.435200000007</v>
      </c>
      <c r="P32" s="52">
        <v>136273.927</v>
      </c>
      <c r="Q32" s="50">
        <f t="shared" si="8"/>
        <v>73.086200267788584</v>
      </c>
    </row>
    <row r="33" spans="1:17" ht="23.1" customHeight="1" x14ac:dyDescent="0.3">
      <c r="A33" s="39" t="s">
        <v>32</v>
      </c>
      <c r="B33" s="53">
        <v>2736</v>
      </c>
      <c r="C33" s="39">
        <v>10821.59</v>
      </c>
      <c r="D33" s="54">
        <v>7307.5977700000003</v>
      </c>
      <c r="E33" s="53">
        <v>406427</v>
      </c>
      <c r="F33" s="39">
        <v>1092165.3799999999</v>
      </c>
      <c r="G33" s="39">
        <v>1359213.18</v>
      </c>
      <c r="H33" s="43">
        <f t="shared" si="5"/>
        <v>80.352765561028477</v>
      </c>
      <c r="I33" s="55">
        <v>2038.502</v>
      </c>
      <c r="J33" s="55">
        <v>1.5189999999999999</v>
      </c>
      <c r="K33" s="55">
        <f t="shared" si="6"/>
        <v>2040.021</v>
      </c>
      <c r="L33" s="56">
        <v>93797.641099999993</v>
      </c>
      <c r="M33" s="55">
        <v>5758.6580599999998</v>
      </c>
      <c r="N33" s="55">
        <v>4.4220699999999997</v>
      </c>
      <c r="O33" s="43">
        <f t="shared" si="7"/>
        <v>99560.721229999996</v>
      </c>
      <c r="P33" s="56">
        <v>129711.254</v>
      </c>
      <c r="Q33" s="43">
        <f t="shared" si="8"/>
        <v>76.755653931153873</v>
      </c>
    </row>
    <row r="34" spans="1:17" ht="23.1" customHeight="1" x14ac:dyDescent="0.3">
      <c r="A34" s="47" t="s">
        <v>33</v>
      </c>
      <c r="B34" s="57">
        <v>2940</v>
      </c>
      <c r="C34" s="58">
        <v>11746.4</v>
      </c>
      <c r="D34" s="59">
        <v>7995.4493400000001</v>
      </c>
      <c r="E34" s="57">
        <v>431203</v>
      </c>
      <c r="F34" s="58">
        <v>1182600.3899999999</v>
      </c>
      <c r="G34" s="58">
        <v>1487153.57</v>
      </c>
      <c r="H34" s="50">
        <f t="shared" si="5"/>
        <v>79.521067215674293</v>
      </c>
      <c r="I34" s="60">
        <v>1257.6170000000002</v>
      </c>
      <c r="J34" s="60"/>
      <c r="K34" s="60">
        <f t="shared" si="6"/>
        <v>1257.6170000000002</v>
      </c>
      <c r="L34" s="61">
        <v>56708.193599999999</v>
      </c>
      <c r="M34" s="60">
        <v>3627.12545</v>
      </c>
      <c r="N34" s="60">
        <v>0</v>
      </c>
      <c r="O34" s="62">
        <f t="shared" si="7"/>
        <v>60335.319049999998</v>
      </c>
      <c r="P34" s="61">
        <v>79139.557400000005</v>
      </c>
      <c r="Q34" s="62">
        <f t="shared" si="8"/>
        <v>76.239141375334498</v>
      </c>
    </row>
    <row r="35" spans="1:17" ht="23.1" customHeight="1" x14ac:dyDescent="0.3">
      <c r="A35" s="63" t="s">
        <v>34</v>
      </c>
      <c r="B35" s="64">
        <f t="shared" ref="B35:G35" si="9">SUM(B23:B34)</f>
        <v>32910</v>
      </c>
      <c r="C35" s="64">
        <f t="shared" si="9"/>
        <v>130451.09859999997</v>
      </c>
      <c r="D35" s="64">
        <f t="shared" si="9"/>
        <v>86665.523660000021</v>
      </c>
      <c r="E35" s="64">
        <f t="shared" si="9"/>
        <v>4754849</v>
      </c>
      <c r="F35" s="64">
        <f t="shared" si="9"/>
        <v>12781539.601</v>
      </c>
      <c r="G35" s="64">
        <f t="shared" si="9"/>
        <v>16119787.952</v>
      </c>
      <c r="H35" s="65">
        <f t="shared" si="5"/>
        <v>79.290990917868626</v>
      </c>
      <c r="I35" s="66">
        <f>SUM(I23:I34)</f>
        <v>24465.858999999997</v>
      </c>
      <c r="J35" s="66">
        <f>SUM(J23:J34)</f>
        <v>25.298999999999999</v>
      </c>
      <c r="K35" s="66">
        <f t="shared" si="6"/>
        <v>24491.157999999996</v>
      </c>
      <c r="L35" s="66">
        <f>SUM(L23:L34)</f>
        <v>1113330.892947</v>
      </c>
      <c r="M35" s="66">
        <f>SUM(M23:M34)</f>
        <v>68637.656339000008</v>
      </c>
      <c r="N35" s="66">
        <f>SUM(N23:N34)</f>
        <v>73.393817999999996</v>
      </c>
      <c r="O35" s="66">
        <f t="shared" si="7"/>
        <v>1182041.9431040001</v>
      </c>
      <c r="P35" s="66">
        <f>SUM(P23:P34)</f>
        <v>1563639.5852379999</v>
      </c>
      <c r="Q35" s="66">
        <f t="shared" si="8"/>
        <v>75.595549912103479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2023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/>
      <c r="C42" s="71"/>
      <c r="D42" s="72"/>
      <c r="E42" s="70"/>
      <c r="F42" s="71"/>
      <c r="G42" s="71"/>
      <c r="H42" s="73" t="str">
        <f t="shared" ref="H42:H54" si="10">IFERROR(F42/G42*100," ")</f>
        <v xml:space="preserve"> </v>
      </c>
      <c r="I42" s="74"/>
      <c r="J42" s="75"/>
      <c r="K42" s="73" t="str">
        <f>IF(AND(ISBLANK(I42),ISBLANK(J42))=TRUE,"",I42+J42)</f>
        <v/>
      </c>
      <c r="L42" s="74"/>
      <c r="M42" s="75"/>
      <c r="N42" s="75"/>
      <c r="O42" s="73" t="str">
        <f>IF(AND(ISBLANK(L42),ISBLANK(M42),ISBLANK(N42))=TRUE,"",L42+M42+N42)</f>
        <v/>
      </c>
      <c r="P42" s="74"/>
      <c r="Q42" s="73" t="str">
        <f>IFERROR(O42/P42*100," ")</f>
        <v xml:space="preserve"> </v>
      </c>
    </row>
    <row r="43" spans="1:17" ht="25.5" customHeight="1" x14ac:dyDescent="0.3">
      <c r="A43" s="76" t="s">
        <v>23</v>
      </c>
      <c r="B43" s="77"/>
      <c r="C43" s="78"/>
      <c r="D43" s="79"/>
      <c r="E43" s="77"/>
      <c r="F43" s="78"/>
      <c r="G43" s="78"/>
      <c r="H43" s="80" t="str">
        <f t="shared" si="10"/>
        <v xml:space="preserve"> </v>
      </c>
      <c r="I43" s="81"/>
      <c r="J43" s="82"/>
      <c r="K43" s="80" t="str">
        <f t="shared" ref="K43:K54" si="11">IF(AND(ISBLANK(I43),ISBLANK(J43))=TRUE,"",I43+J43)</f>
        <v/>
      </c>
      <c r="L43" s="81"/>
      <c r="M43" s="82"/>
      <c r="N43" s="82"/>
      <c r="O43" s="80" t="str">
        <f t="shared" ref="O43:O54" si="12">IF(AND(ISBLANK(L43),ISBLANK(M43),ISBLANK(N43))=TRUE,"",L43+M43+N43)</f>
        <v/>
      </c>
      <c r="P43" s="81"/>
      <c r="Q43" s="80" t="str">
        <f t="shared" ref="Q43:Q54" si="13">IFERROR(O43/P43*100," ")</f>
        <v xml:space="preserve"> </v>
      </c>
    </row>
    <row r="44" spans="1:17" ht="25.5" customHeight="1" x14ac:dyDescent="0.3">
      <c r="A44" s="69" t="s">
        <v>24</v>
      </c>
      <c r="B44" s="83"/>
      <c r="C44" s="84"/>
      <c r="D44" s="85"/>
      <c r="E44" s="83"/>
      <c r="F44" s="84"/>
      <c r="G44" s="84"/>
      <c r="H44" s="86" t="str">
        <f t="shared" si="10"/>
        <v xml:space="preserve"> </v>
      </c>
      <c r="I44" s="87"/>
      <c r="J44" s="88"/>
      <c r="K44" s="86" t="str">
        <f t="shared" si="11"/>
        <v/>
      </c>
      <c r="L44" s="87"/>
      <c r="M44" s="88"/>
      <c r="N44" s="88"/>
      <c r="O44" s="86" t="str">
        <f t="shared" si="12"/>
        <v/>
      </c>
      <c r="P44" s="87"/>
      <c r="Q44" s="86" t="str">
        <f t="shared" si="13"/>
        <v xml:space="preserve"> </v>
      </c>
    </row>
    <row r="45" spans="1:17" ht="25.5" customHeight="1" x14ac:dyDescent="0.3">
      <c r="A45" s="76" t="s">
        <v>25</v>
      </c>
      <c r="B45" s="77"/>
      <c r="C45" s="89"/>
      <c r="D45" s="79"/>
      <c r="E45" s="77"/>
      <c r="F45" s="78"/>
      <c r="G45" s="78"/>
      <c r="H45" s="80" t="str">
        <f t="shared" si="10"/>
        <v xml:space="preserve"> </v>
      </c>
      <c r="I45" s="81"/>
      <c r="J45" s="82"/>
      <c r="K45" s="80" t="str">
        <f t="shared" si="11"/>
        <v/>
      </c>
      <c r="L45" s="81"/>
      <c r="M45" s="82"/>
      <c r="N45" s="82"/>
      <c r="O45" s="80" t="str">
        <f t="shared" si="12"/>
        <v/>
      </c>
      <c r="P45" s="81"/>
      <c r="Q45" s="80" t="str">
        <f t="shared" si="13"/>
        <v xml:space="preserve"> </v>
      </c>
    </row>
    <row r="46" spans="1:17" ht="25.5" customHeight="1" x14ac:dyDescent="0.3">
      <c r="A46" s="69" t="s">
        <v>26</v>
      </c>
      <c r="B46" s="83"/>
      <c r="C46" s="90"/>
      <c r="D46" s="85"/>
      <c r="E46" s="83"/>
      <c r="F46" s="84"/>
      <c r="G46" s="84"/>
      <c r="H46" s="86" t="str">
        <f t="shared" si="10"/>
        <v xml:space="preserve"> </v>
      </c>
      <c r="I46" s="87"/>
      <c r="J46" s="88"/>
      <c r="K46" s="86" t="str">
        <f t="shared" si="11"/>
        <v/>
      </c>
      <c r="L46" s="87"/>
      <c r="M46" s="88"/>
      <c r="N46" s="88"/>
      <c r="O46" s="86" t="str">
        <f t="shared" si="12"/>
        <v/>
      </c>
      <c r="P46" s="87"/>
      <c r="Q46" s="86" t="str">
        <f t="shared" si="13"/>
        <v xml:space="preserve"> </v>
      </c>
    </row>
    <row r="47" spans="1:17" ht="25.5" customHeight="1" x14ac:dyDescent="0.3">
      <c r="A47" s="76" t="s">
        <v>27</v>
      </c>
      <c r="B47" s="91"/>
      <c r="C47" s="92"/>
      <c r="D47" s="79"/>
      <c r="E47" s="91"/>
      <c r="F47" s="92"/>
      <c r="G47" s="92"/>
      <c r="H47" s="80" t="str">
        <f t="shared" si="10"/>
        <v xml:space="preserve"> </v>
      </c>
      <c r="I47" s="93"/>
      <c r="J47" s="94"/>
      <c r="K47" s="80" t="str">
        <f t="shared" si="11"/>
        <v/>
      </c>
      <c r="L47" s="93"/>
      <c r="M47" s="94"/>
      <c r="N47" s="94"/>
      <c r="O47" s="80" t="str">
        <f t="shared" si="12"/>
        <v/>
      </c>
      <c r="P47" s="93"/>
      <c r="Q47" s="80" t="str">
        <f t="shared" si="13"/>
        <v xml:space="preserve"> </v>
      </c>
    </row>
    <row r="48" spans="1:17" s="102" customFormat="1" ht="25.5" customHeight="1" x14ac:dyDescent="0.3">
      <c r="A48" s="95" t="s">
        <v>28</v>
      </c>
      <c r="B48" s="96"/>
      <c r="C48" s="97"/>
      <c r="D48" s="98"/>
      <c r="E48" s="96"/>
      <c r="F48" s="97"/>
      <c r="G48" s="97"/>
      <c r="H48" s="99" t="str">
        <f t="shared" si="10"/>
        <v xml:space="preserve"> </v>
      </c>
      <c r="I48" s="100"/>
      <c r="J48" s="101"/>
      <c r="K48" s="99" t="str">
        <f t="shared" si="11"/>
        <v/>
      </c>
      <c r="L48" s="100"/>
      <c r="M48" s="101"/>
      <c r="N48" s="101"/>
      <c r="O48" s="99" t="str">
        <f t="shared" si="12"/>
        <v/>
      </c>
      <c r="P48" s="100"/>
      <c r="Q48" s="99" t="str">
        <f t="shared" si="13"/>
        <v xml:space="preserve"> </v>
      </c>
    </row>
    <row r="49" spans="1:17" ht="25.5" customHeight="1" x14ac:dyDescent="0.3">
      <c r="A49" s="76" t="s">
        <v>29</v>
      </c>
      <c r="B49" s="91"/>
      <c r="C49" s="92"/>
      <c r="D49" s="103"/>
      <c r="E49" s="91"/>
      <c r="F49" s="92"/>
      <c r="G49" s="92"/>
      <c r="H49" s="80" t="str">
        <f t="shared" si="10"/>
        <v xml:space="preserve"> </v>
      </c>
      <c r="I49" s="93"/>
      <c r="J49" s="94"/>
      <c r="K49" s="80" t="str">
        <f t="shared" si="11"/>
        <v/>
      </c>
      <c r="L49" s="93"/>
      <c r="M49" s="94"/>
      <c r="N49" s="94"/>
      <c r="O49" s="80" t="str">
        <f t="shared" si="12"/>
        <v/>
      </c>
      <c r="P49" s="93"/>
      <c r="Q49" s="80" t="str">
        <f t="shared" si="13"/>
        <v xml:space="preserve"> </v>
      </c>
    </row>
    <row r="50" spans="1:17" ht="25.5" customHeight="1" x14ac:dyDescent="0.3">
      <c r="A50" s="69" t="s">
        <v>30</v>
      </c>
      <c r="B50" s="104"/>
      <c r="C50" s="105"/>
      <c r="D50" s="106"/>
      <c r="E50" s="104"/>
      <c r="F50" s="105"/>
      <c r="G50" s="105"/>
      <c r="H50" s="86" t="str">
        <f t="shared" si="10"/>
        <v xml:space="preserve"> </v>
      </c>
      <c r="I50" s="107"/>
      <c r="J50" s="108"/>
      <c r="K50" s="86" t="str">
        <f t="shared" si="11"/>
        <v/>
      </c>
      <c r="L50" s="107"/>
      <c r="M50" s="108"/>
      <c r="N50" s="108"/>
      <c r="O50" s="86" t="str">
        <f t="shared" si="12"/>
        <v/>
      </c>
      <c r="P50" s="107"/>
      <c r="Q50" s="86" t="str">
        <f t="shared" si="13"/>
        <v xml:space="preserve"> </v>
      </c>
    </row>
    <row r="51" spans="1:17" ht="25.5" customHeight="1" x14ac:dyDescent="0.3">
      <c r="A51" s="76" t="s">
        <v>31</v>
      </c>
      <c r="B51" s="91">
        <v>18</v>
      </c>
      <c r="C51" s="92">
        <v>29.55</v>
      </c>
      <c r="D51" s="103">
        <v>17.469919999999998</v>
      </c>
      <c r="E51" s="91">
        <v>2076</v>
      </c>
      <c r="F51" s="92">
        <v>1103.35402</v>
      </c>
      <c r="G51" s="92">
        <v>3249.4064699999999</v>
      </c>
      <c r="H51" s="80">
        <f t="shared" si="10"/>
        <v>33.95555558181676</v>
      </c>
      <c r="I51" s="93">
        <v>0</v>
      </c>
      <c r="J51" s="94"/>
      <c r="K51" s="80">
        <f t="shared" si="11"/>
        <v>0</v>
      </c>
      <c r="L51" s="93">
        <v>152.53002000000001</v>
      </c>
      <c r="M51" s="94">
        <v>0</v>
      </c>
      <c r="N51" s="94">
        <v>0</v>
      </c>
      <c r="O51" s="80">
        <f t="shared" si="12"/>
        <v>152.53002000000001</v>
      </c>
      <c r="P51" s="93">
        <v>266.54151999999999</v>
      </c>
      <c r="Q51" s="80">
        <f t="shared" si="13"/>
        <v>57.225613480406359</v>
      </c>
    </row>
    <row r="52" spans="1:17" ht="25.5" customHeight="1" x14ac:dyDescent="0.3">
      <c r="A52" s="69" t="s">
        <v>32</v>
      </c>
      <c r="B52" s="104"/>
      <c r="C52" s="105"/>
      <c r="D52" s="106"/>
      <c r="E52" s="104"/>
      <c r="F52" s="105"/>
      <c r="G52" s="105"/>
      <c r="H52" s="86" t="str">
        <f t="shared" si="10"/>
        <v xml:space="preserve"> </v>
      </c>
      <c r="I52" s="107"/>
      <c r="J52" s="108"/>
      <c r="K52" s="86" t="str">
        <f t="shared" si="11"/>
        <v/>
      </c>
      <c r="L52" s="107"/>
      <c r="M52" s="108"/>
      <c r="N52" s="108"/>
      <c r="O52" s="86" t="str">
        <f t="shared" si="12"/>
        <v/>
      </c>
      <c r="P52" s="107"/>
      <c r="Q52" s="86" t="str">
        <f t="shared" si="13"/>
        <v xml:space="preserve"> </v>
      </c>
    </row>
    <row r="53" spans="1:17" ht="25.5" customHeight="1" x14ac:dyDescent="0.3">
      <c r="A53" s="76" t="s">
        <v>33</v>
      </c>
      <c r="B53" s="109"/>
      <c r="C53" s="110"/>
      <c r="D53" s="111"/>
      <c r="E53" s="109"/>
      <c r="F53" s="110"/>
      <c r="G53" s="110"/>
      <c r="H53" s="112" t="str">
        <f t="shared" si="10"/>
        <v xml:space="preserve"> </v>
      </c>
      <c r="I53" s="113"/>
      <c r="J53" s="114"/>
      <c r="K53" s="112" t="str">
        <f t="shared" si="11"/>
        <v/>
      </c>
      <c r="L53" s="113"/>
      <c r="M53" s="114"/>
      <c r="N53" s="114"/>
      <c r="O53" s="112" t="str">
        <f t="shared" si="12"/>
        <v/>
      </c>
      <c r="P53" s="113"/>
      <c r="Q53" s="112" t="str">
        <f t="shared" si="13"/>
        <v xml:space="preserve"> </v>
      </c>
    </row>
    <row r="54" spans="1:17" ht="25.5" customHeight="1" x14ac:dyDescent="0.3">
      <c r="A54" s="115" t="s">
        <v>34</v>
      </c>
      <c r="B54" s="116">
        <f t="shared" ref="B54:G54" si="14">SUM(B42:B53)</f>
        <v>18</v>
      </c>
      <c r="C54" s="116">
        <f t="shared" si="14"/>
        <v>29.55</v>
      </c>
      <c r="D54" s="116">
        <f t="shared" si="14"/>
        <v>17.469919999999998</v>
      </c>
      <c r="E54" s="116">
        <f t="shared" si="14"/>
        <v>2076</v>
      </c>
      <c r="F54" s="116">
        <f t="shared" si="14"/>
        <v>1103.35402</v>
      </c>
      <c r="G54" s="116">
        <f t="shared" si="14"/>
        <v>3249.4064699999999</v>
      </c>
      <c r="H54" s="117">
        <f t="shared" si="10"/>
        <v>33.95555558181676</v>
      </c>
      <c r="I54" s="117">
        <f>SUM(I42:I53)</f>
        <v>0</v>
      </c>
      <c r="J54" s="117">
        <f>SUM(J42:J53)</f>
        <v>0</v>
      </c>
      <c r="K54" s="117">
        <f t="shared" si="11"/>
        <v>0</v>
      </c>
      <c r="L54" s="117">
        <f>SUM(L42:L53)</f>
        <v>152.53002000000001</v>
      </c>
      <c r="M54" s="117">
        <f>SUM(M42:M53)</f>
        <v>0</v>
      </c>
      <c r="N54" s="117">
        <f>SUM(N42:N53)</f>
        <v>0</v>
      </c>
      <c r="O54" s="117">
        <f t="shared" si="12"/>
        <v>152.53002000000001</v>
      </c>
      <c r="P54" s="118">
        <f>SUM(P42:P53)</f>
        <v>266.54151999999999</v>
      </c>
      <c r="Q54" s="117">
        <f t="shared" si="13"/>
        <v>57.225613480406359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2023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/>
      <c r="C61" s="123"/>
      <c r="D61" s="124"/>
      <c r="E61" s="122"/>
      <c r="F61" s="123"/>
      <c r="G61" s="123"/>
      <c r="H61" s="125" t="str">
        <f t="shared" ref="H61:H73" si="15">IFERROR(F61/G61*100," ")</f>
        <v xml:space="preserve"> </v>
      </c>
      <c r="I61" s="126"/>
      <c r="J61" s="127"/>
      <c r="K61" s="127" t="str">
        <f>IF(AND(ISBLANK(I61),ISBLANK(J61))=TRUE,"",I61+J61)</f>
        <v/>
      </c>
      <c r="L61" s="126"/>
      <c r="M61" s="127"/>
      <c r="N61" s="127"/>
      <c r="O61" s="128" t="str">
        <f>IF(AND(ISBLANK(L61),ISBLANK(M61),ISBLANK(N61))=TRUE,"",L61+M61+N61)</f>
        <v/>
      </c>
      <c r="P61" s="127"/>
      <c r="Q61" s="125" t="str">
        <f>IFERROR(O61/P61*100," ")</f>
        <v xml:space="preserve"> </v>
      </c>
    </row>
    <row r="62" spans="1:17" ht="24.75" customHeight="1" x14ac:dyDescent="0.3">
      <c r="A62" s="76" t="s">
        <v>23</v>
      </c>
      <c r="B62" s="91"/>
      <c r="C62" s="92"/>
      <c r="D62" s="103"/>
      <c r="E62" s="91"/>
      <c r="F62" s="92"/>
      <c r="G62" s="92"/>
      <c r="H62" s="129" t="str">
        <f t="shared" si="15"/>
        <v xml:space="preserve"> </v>
      </c>
      <c r="I62" s="93"/>
      <c r="J62" s="94"/>
      <c r="K62" s="94" t="str">
        <f t="shared" ref="K62:K73" si="16">IF(AND(ISBLANK(I62),ISBLANK(J62))=TRUE,"",I62+J62)</f>
        <v/>
      </c>
      <c r="L62" s="93"/>
      <c r="M62" s="94"/>
      <c r="N62" s="94"/>
      <c r="O62" s="80" t="str">
        <f t="shared" ref="O62:O73" si="17">IF(AND(ISBLANK(L62),ISBLANK(M62),ISBLANK(N62))=TRUE,"",L62+M62+N62)</f>
        <v/>
      </c>
      <c r="P62" s="94"/>
      <c r="Q62" s="129" t="str">
        <f t="shared" ref="Q62:Q73" si="18">IFERROR(O62/P62*100," ")</f>
        <v xml:space="preserve"> </v>
      </c>
    </row>
    <row r="63" spans="1:17" ht="24.75" customHeight="1" x14ac:dyDescent="0.3">
      <c r="A63" s="121" t="s">
        <v>24</v>
      </c>
      <c r="B63" s="130"/>
      <c r="C63" s="131"/>
      <c r="D63" s="132"/>
      <c r="E63" s="130"/>
      <c r="F63" s="131"/>
      <c r="G63" s="131"/>
      <c r="H63" s="133" t="str">
        <f t="shared" si="15"/>
        <v xml:space="preserve"> </v>
      </c>
      <c r="I63" s="134"/>
      <c r="J63" s="135"/>
      <c r="K63" s="135" t="str">
        <f t="shared" si="16"/>
        <v/>
      </c>
      <c r="L63" s="134"/>
      <c r="M63" s="135"/>
      <c r="N63" s="135"/>
      <c r="O63" s="136" t="str">
        <f t="shared" si="17"/>
        <v/>
      </c>
      <c r="P63" s="135"/>
      <c r="Q63" s="133" t="str">
        <f t="shared" si="18"/>
        <v xml:space="preserve"> </v>
      </c>
    </row>
    <row r="64" spans="1:17" ht="24.75" customHeight="1" x14ac:dyDescent="0.3">
      <c r="A64" s="76" t="s">
        <v>25</v>
      </c>
      <c r="B64" s="91"/>
      <c r="C64" s="92"/>
      <c r="D64" s="103"/>
      <c r="E64" s="91"/>
      <c r="F64" s="92"/>
      <c r="G64" s="92"/>
      <c r="H64" s="129" t="str">
        <f t="shared" si="15"/>
        <v xml:space="preserve"> </v>
      </c>
      <c r="I64" s="93"/>
      <c r="J64" s="94"/>
      <c r="K64" s="94" t="str">
        <f t="shared" si="16"/>
        <v/>
      </c>
      <c r="L64" s="93"/>
      <c r="M64" s="94"/>
      <c r="N64" s="94"/>
      <c r="O64" s="80" t="str">
        <f t="shared" si="17"/>
        <v/>
      </c>
      <c r="P64" s="94"/>
      <c r="Q64" s="129" t="str">
        <f t="shared" si="18"/>
        <v xml:space="preserve"> </v>
      </c>
    </row>
    <row r="65" spans="1:17" ht="24.75" customHeight="1" x14ac:dyDescent="0.3">
      <c r="A65" s="121" t="s">
        <v>26</v>
      </c>
      <c r="B65" s="130"/>
      <c r="C65" s="131"/>
      <c r="D65" s="132"/>
      <c r="E65" s="130"/>
      <c r="F65" s="131"/>
      <c r="G65" s="131"/>
      <c r="H65" s="133" t="str">
        <f t="shared" si="15"/>
        <v xml:space="preserve"> </v>
      </c>
      <c r="I65" s="134"/>
      <c r="J65" s="135"/>
      <c r="K65" s="135" t="str">
        <f t="shared" si="16"/>
        <v/>
      </c>
      <c r="L65" s="134"/>
      <c r="M65" s="135"/>
      <c r="N65" s="135"/>
      <c r="O65" s="136" t="str">
        <f t="shared" si="17"/>
        <v/>
      </c>
      <c r="P65" s="135"/>
      <c r="Q65" s="133" t="str">
        <f t="shared" si="18"/>
        <v xml:space="preserve"> </v>
      </c>
    </row>
    <row r="66" spans="1:17" ht="24.75" customHeight="1" x14ac:dyDescent="0.3">
      <c r="A66" s="76" t="s">
        <v>27</v>
      </c>
      <c r="B66" s="91">
        <v>67</v>
      </c>
      <c r="C66" s="92">
        <v>395.35</v>
      </c>
      <c r="D66" s="103">
        <v>0.27677000000000002</v>
      </c>
      <c r="E66" s="91">
        <v>9748</v>
      </c>
      <c r="F66" s="92">
        <v>39.69</v>
      </c>
      <c r="G66" s="92">
        <v>51.48</v>
      </c>
      <c r="H66" s="129">
        <f t="shared" si="15"/>
        <v>77.097902097902093</v>
      </c>
      <c r="I66" s="93"/>
      <c r="J66" s="94"/>
      <c r="K66" s="94" t="str">
        <f t="shared" si="16"/>
        <v/>
      </c>
      <c r="L66" s="93">
        <v>3784.2665000000002</v>
      </c>
      <c r="M66" s="94">
        <v>0</v>
      </c>
      <c r="N66" s="94">
        <v>0</v>
      </c>
      <c r="O66" s="80">
        <f t="shared" si="17"/>
        <v>3784.2665000000002</v>
      </c>
      <c r="P66" s="94">
        <v>4850.6196799999998</v>
      </c>
      <c r="Q66" s="129">
        <f t="shared" si="18"/>
        <v>78.016145351556403</v>
      </c>
    </row>
    <row r="67" spans="1:17" ht="24.75" customHeight="1" x14ac:dyDescent="0.3">
      <c r="A67" s="121" t="s">
        <v>28</v>
      </c>
      <c r="B67" s="130">
        <v>57</v>
      </c>
      <c r="C67" s="131">
        <v>324.10000000000002</v>
      </c>
      <c r="D67" s="132">
        <v>172.4</v>
      </c>
      <c r="E67" s="130">
        <v>8473</v>
      </c>
      <c r="F67" s="131">
        <v>25695.692999999999</v>
      </c>
      <c r="G67" s="131">
        <v>32066.498500000002</v>
      </c>
      <c r="H67" s="133">
        <f t="shared" si="15"/>
        <v>80.132518990185346</v>
      </c>
      <c r="I67" s="134"/>
      <c r="J67" s="135"/>
      <c r="K67" s="135" t="str">
        <f t="shared" si="16"/>
        <v/>
      </c>
      <c r="L67" s="134">
        <v>2599.77574</v>
      </c>
      <c r="M67" s="135"/>
      <c r="N67" s="135"/>
      <c r="O67" s="136">
        <f t="shared" si="17"/>
        <v>2599.77574</v>
      </c>
      <c r="P67" s="135">
        <v>2865.8465000000001</v>
      </c>
      <c r="Q67" s="133">
        <f t="shared" si="18"/>
        <v>90.715805609267633</v>
      </c>
    </row>
    <row r="68" spans="1:17" ht="24.75" customHeight="1" x14ac:dyDescent="0.3">
      <c r="A68" s="76" t="s">
        <v>29</v>
      </c>
      <c r="B68" s="91">
        <v>6</v>
      </c>
      <c r="C68" s="92">
        <v>22.09</v>
      </c>
      <c r="D68" s="103">
        <v>13.78</v>
      </c>
      <c r="E68" s="91">
        <v>870</v>
      </c>
      <c r="F68" s="92">
        <v>1998</v>
      </c>
      <c r="G68" s="92">
        <v>2563</v>
      </c>
      <c r="H68" s="129">
        <f t="shared" si="15"/>
        <v>77.955520873975814</v>
      </c>
      <c r="I68" s="93"/>
      <c r="J68" s="94"/>
      <c r="K68" s="94" t="str">
        <f t="shared" si="16"/>
        <v/>
      </c>
      <c r="L68" s="93">
        <v>203.54183</v>
      </c>
      <c r="M68" s="94">
        <v>0</v>
      </c>
      <c r="N68" s="94">
        <v>0</v>
      </c>
      <c r="O68" s="80">
        <f t="shared" si="17"/>
        <v>203.54183</v>
      </c>
      <c r="P68" s="94">
        <v>255.51461</v>
      </c>
      <c r="Q68" s="129">
        <f t="shared" si="18"/>
        <v>79.659566237719247</v>
      </c>
    </row>
    <row r="69" spans="1:17" ht="24.75" customHeight="1" x14ac:dyDescent="0.3">
      <c r="A69" s="121" t="s">
        <v>30</v>
      </c>
      <c r="B69" s="130"/>
      <c r="C69" s="131"/>
      <c r="D69" s="132"/>
      <c r="E69" s="130"/>
      <c r="F69" s="131"/>
      <c r="G69" s="131"/>
      <c r="H69" s="133" t="str">
        <f t="shared" si="15"/>
        <v xml:space="preserve"> </v>
      </c>
      <c r="I69" s="134"/>
      <c r="J69" s="135"/>
      <c r="K69" s="135" t="str">
        <f t="shared" si="16"/>
        <v/>
      </c>
      <c r="L69" s="134"/>
      <c r="M69" s="135"/>
      <c r="N69" s="135"/>
      <c r="O69" s="136" t="str">
        <f t="shared" si="17"/>
        <v/>
      </c>
      <c r="P69" s="135"/>
      <c r="Q69" s="133" t="str">
        <f t="shared" si="18"/>
        <v xml:space="preserve"> </v>
      </c>
    </row>
    <row r="70" spans="1:17" ht="24.75" customHeight="1" x14ac:dyDescent="0.3">
      <c r="A70" s="76" t="s">
        <v>31</v>
      </c>
      <c r="B70" s="91"/>
      <c r="C70" s="92"/>
      <c r="D70" s="103"/>
      <c r="E70" s="91"/>
      <c r="F70" s="92"/>
      <c r="G70" s="92"/>
      <c r="H70" s="129" t="str">
        <f t="shared" si="15"/>
        <v xml:space="preserve"> </v>
      </c>
      <c r="I70" s="93"/>
      <c r="J70" s="94"/>
      <c r="K70" s="94" t="str">
        <f t="shared" si="16"/>
        <v/>
      </c>
      <c r="L70" s="93"/>
      <c r="M70" s="94"/>
      <c r="N70" s="94"/>
      <c r="O70" s="80" t="str">
        <f t="shared" si="17"/>
        <v/>
      </c>
      <c r="P70" s="94"/>
      <c r="Q70" s="129" t="str">
        <f t="shared" si="18"/>
        <v xml:space="preserve"> </v>
      </c>
    </row>
    <row r="71" spans="1:17" ht="24.75" customHeight="1" x14ac:dyDescent="0.3">
      <c r="A71" s="121" t="s">
        <v>32</v>
      </c>
      <c r="B71" s="130"/>
      <c r="C71" s="131"/>
      <c r="D71" s="132"/>
      <c r="E71" s="130"/>
      <c r="F71" s="131"/>
      <c r="G71" s="131"/>
      <c r="H71" s="133" t="str">
        <f t="shared" si="15"/>
        <v xml:space="preserve"> </v>
      </c>
      <c r="I71" s="134"/>
      <c r="J71" s="135"/>
      <c r="K71" s="135" t="str">
        <f t="shared" si="16"/>
        <v/>
      </c>
      <c r="L71" s="134"/>
      <c r="M71" s="135"/>
      <c r="N71" s="135"/>
      <c r="O71" s="136" t="str">
        <f t="shared" si="17"/>
        <v/>
      </c>
      <c r="P71" s="135"/>
      <c r="Q71" s="133" t="str">
        <f t="shared" si="18"/>
        <v xml:space="preserve"> </v>
      </c>
    </row>
    <row r="72" spans="1:17" ht="24.75" customHeight="1" x14ac:dyDescent="0.3">
      <c r="A72" s="76" t="s">
        <v>33</v>
      </c>
      <c r="B72" s="109"/>
      <c r="C72" s="110"/>
      <c r="D72" s="111"/>
      <c r="E72" s="109"/>
      <c r="F72" s="110"/>
      <c r="G72" s="110"/>
      <c r="H72" s="112" t="str">
        <f t="shared" si="15"/>
        <v xml:space="preserve"> </v>
      </c>
      <c r="I72" s="113"/>
      <c r="J72" s="114"/>
      <c r="K72" s="114" t="str">
        <f t="shared" si="16"/>
        <v/>
      </c>
      <c r="L72" s="113"/>
      <c r="M72" s="114"/>
      <c r="N72" s="114"/>
      <c r="O72" s="112" t="str">
        <f t="shared" si="17"/>
        <v/>
      </c>
      <c r="P72" s="114"/>
      <c r="Q72" s="112" t="str">
        <f t="shared" si="18"/>
        <v xml:space="preserve"> </v>
      </c>
    </row>
    <row r="73" spans="1:17" ht="24.75" customHeight="1" x14ac:dyDescent="0.3">
      <c r="A73" s="137" t="s">
        <v>34</v>
      </c>
      <c r="B73" s="138">
        <f t="shared" ref="B73:G73" si="19">SUM(B61:B72)</f>
        <v>130</v>
      </c>
      <c r="C73" s="138">
        <f t="shared" si="19"/>
        <v>741.54000000000008</v>
      </c>
      <c r="D73" s="138">
        <f t="shared" si="19"/>
        <v>186.45677000000001</v>
      </c>
      <c r="E73" s="138">
        <f t="shared" si="19"/>
        <v>19091</v>
      </c>
      <c r="F73" s="138">
        <f t="shared" si="19"/>
        <v>27733.382999999998</v>
      </c>
      <c r="G73" s="138">
        <f t="shared" si="19"/>
        <v>34680.978499999997</v>
      </c>
      <c r="H73" s="139">
        <f t="shared" si="15"/>
        <v>79.967129531826785</v>
      </c>
      <c r="I73" s="140">
        <f>SUM(I61:I72)</f>
        <v>0</v>
      </c>
      <c r="J73" s="140">
        <f>SUM(J61:J72)</f>
        <v>0</v>
      </c>
      <c r="K73" s="140">
        <f t="shared" si="16"/>
        <v>0</v>
      </c>
      <c r="L73" s="140">
        <f>SUM(L61:L72)</f>
        <v>6587.5840700000008</v>
      </c>
      <c r="M73" s="140">
        <f>SUM(M61:M72)</f>
        <v>0</v>
      </c>
      <c r="N73" s="140">
        <f>SUM(N61:N72)</f>
        <v>0</v>
      </c>
      <c r="O73" s="140">
        <f t="shared" si="17"/>
        <v>6587.5840700000008</v>
      </c>
      <c r="P73" s="140">
        <f>SUM(P61:P72)</f>
        <v>7971.9807899999996</v>
      </c>
      <c r="Q73" s="139">
        <f t="shared" si="18"/>
        <v>82.634219067153595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2024-01-12T06:41:25Z</dcterms:created>
  <dcterms:modified xsi:type="dcterms:W3CDTF">2024-01-12T08:53:13Z</dcterms:modified>
</cp:coreProperties>
</file>