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software at-ii\GENERATED REPORTS\"/>
    </mc:Choice>
  </mc:AlternateContent>
  <bookViews>
    <workbookView xWindow="0" yWindow="0" windowWidth="24000" windowHeight="79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  <definedName name="year">[1]Interface!$AU$7:$AU$20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H54" i="2"/>
  <c r="G54" i="2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H35" i="2"/>
  <c r="G35" i="2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H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<sst xmlns="http://schemas.openxmlformats.org/spreadsheetml/2006/main" count="153" uniqueCount="42">
  <si>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</si>
  <si>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AIR INDIA EXPRESS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</si>
  <si>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</si>
  <si>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</si>
  <si>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</si>
  <si>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</si>
  <si>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</si>
  <si>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</si>
  <si>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</si>
  <si>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</si>
  <si>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</si>
  <si>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</si>
  <si>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</si>
  <si>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</si>
  <si>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</si>
  <si>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</si>
  <si>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</si>
  <si>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</si>
  <si>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</si>
  <si>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</si>
  <si>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</si>
  <si>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</si>
  <si>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</si>
  <si>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</si>
  <si>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</si>
  <si>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</si>
  <si>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</si>
  <si>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</si>
  <si>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</si>
  <si>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</si>
  <si>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</si>
  <si>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</si>
  <si>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</si>
  <si>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</si>
  <si>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</si>
  <si>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AIR INDIA EXPRESS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</si>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</sst>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software%20at-ii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Table"/>
      <sheetName val="Interface"/>
      <sheetName val="Main Window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  <cell r="AU7">
            <v>2007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  <cell r="AU8">
            <v>2008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  <cell r="AU9">
            <v>2009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  <cell r="AU10">
            <v>2010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  <cell r="AU11">
            <v>2011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  <cell r="AU12">
            <v>2012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  <cell r="AU13">
            <v>2013</v>
          </cell>
        </row>
        <row r="14">
          <cell r="AR14" t="str">
            <v>MAIL</v>
          </cell>
          <cell r="AT14" t="str">
            <v>AIR ODISHA</v>
          </cell>
          <cell r="AU14">
            <v>2014</v>
          </cell>
        </row>
        <row r="15">
          <cell r="AR15" t="str">
            <v>CARGO</v>
          </cell>
          <cell r="AT15" t="str">
            <v>AIR PEGASUS</v>
          </cell>
          <cell r="AU15">
            <v>2015</v>
          </cell>
        </row>
        <row r="16">
          <cell r="AR16" t="str">
            <v>PTKM</v>
          </cell>
          <cell r="AT16" t="str">
            <v>ALLIANCE AIR</v>
          </cell>
          <cell r="AU16">
            <v>2016</v>
          </cell>
        </row>
        <row r="17">
          <cell r="AR17" t="str">
            <v>FTKM</v>
          </cell>
          <cell r="AT17" t="str">
            <v>BLUEDART</v>
          </cell>
          <cell r="AU17">
            <v>2017</v>
          </cell>
        </row>
        <row r="18">
          <cell r="AR18" t="str">
            <v>MTKM</v>
          </cell>
          <cell r="AT18" t="str">
            <v>DECCAN</v>
          </cell>
          <cell r="AU18">
            <v>2018</v>
          </cell>
        </row>
        <row r="19">
          <cell r="AR19" t="str">
            <v>RTKM</v>
          </cell>
          <cell r="AT19" t="str">
            <v>GO AIR</v>
          </cell>
          <cell r="AU19">
            <v>2019</v>
          </cell>
        </row>
        <row r="20">
          <cell r="AR20" t="str">
            <v>ATKM</v>
          </cell>
          <cell r="AT20" t="str">
            <v>INDIGO</v>
          </cell>
          <cell r="AU20">
            <v>2020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KINGFISHER</v>
          </cell>
        </row>
        <row r="24">
          <cell r="AT24" t="str">
            <v>MDLR</v>
          </cell>
        </row>
        <row r="25">
          <cell r="AT25" t="str">
            <v>PARAMOUNT</v>
          </cell>
        </row>
        <row r="26">
          <cell r="AT26" t="str">
            <v>QUIKJET CARGO</v>
          </cell>
        </row>
        <row r="27">
          <cell r="AT27" t="str">
            <v>SPICEJET</v>
          </cell>
        </row>
        <row r="28">
          <cell r="AT28" t="str">
            <v>STAR AIR</v>
          </cell>
        </row>
        <row r="29">
          <cell r="AT29" t="str">
            <v>TRUJET</v>
          </cell>
        </row>
        <row r="30">
          <cell r="AT30" t="str">
            <v>VISTARA</v>
          </cell>
        </row>
        <row r="31">
          <cell r="AT31" t="str">
            <v>ZOOM AIR</v>
          </cell>
        </row>
        <row r="32">
          <cell r="AT32" t="str">
            <v>PAWAN HANS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0" transitionEvaluation="1" transitionEntry="1" codeName="Sheet12"/>
  <dimension ref="A1:Q494"/>
  <sheetViews>
    <sheetView showGridLines="0" tabSelected="1" view="pageBreakPreview" topLeftCell="A70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2019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294</v>
      </c>
      <c r="C4" s="12">
        <v>440.57</v>
      </c>
      <c r="D4" s="13">
        <v>204.16</v>
      </c>
      <c r="E4" s="14">
        <v>18115</v>
      </c>
      <c r="F4" s="12">
        <v>24981</v>
      </c>
      <c r="G4" s="12">
        <v>37974</v>
      </c>
      <c r="H4" s="15">
        <f>IFERROR(F4/G4*100," ")</f>
        <v>65.784484120714168</v>
      </c>
      <c r="I4" s="16">
        <v>48.56</v>
      </c>
      <c r="J4" s="17">
        <v>0</v>
      </c>
      <c r="K4" s="15">
        <f>IF(AND(ISBLANK(I4),ISBLANK(J4))=TRUE,"",I4+J4)</f>
        <v>48.56</v>
      </c>
      <c r="L4" s="16">
        <v>2083.67</v>
      </c>
      <c r="M4" s="17">
        <v>7.92</v>
      </c>
      <c r="N4" s="17">
        <v>0</v>
      </c>
      <c r="O4" s="15">
        <f>IF(AND(ISBLANK(L4),ISBLANK(M4),ISBLANK(N4))=TRUE,"",L4+M4+N4)</f>
        <v>2091.59</v>
      </c>
      <c r="P4" s="17">
        <v>3748.94</v>
      </c>
      <c r="Q4" s="15">
        <f>IFERROR(O4/P4*100," ")</f>
        <v>55.791503731721505</v>
      </c>
    </row>
    <row r="5" spans="1:17" ht="23.1" customHeight="1" x14ac:dyDescent="0.3">
      <c r="A5" s="18" t="s">
        <v>23</v>
      </c>
      <c r="B5" s="19">
        <v>256</v>
      </c>
      <c r="C5" s="19">
        <v>380.87</v>
      </c>
      <c r="D5" s="18">
        <v>173.76</v>
      </c>
      <c r="E5" s="20">
        <v>14354</v>
      </c>
      <c r="F5" s="19">
        <v>20106</v>
      </c>
      <c r="G5" s="19">
        <v>32319.000000000004</v>
      </c>
      <c r="H5" s="21">
        <f t="shared" ref="H5:H16" si="0">IFERROR(F5/G5*100," ")</f>
        <v>62.211083263714841</v>
      </c>
      <c r="I5" s="22">
        <v>63.841000000000001</v>
      </c>
      <c r="J5" s="23">
        <v>0</v>
      </c>
      <c r="K5" s="21">
        <f t="shared" ref="K5:K16" si="1">IF(AND(ISBLANK(I5),ISBLANK(J5))=TRUE,"",I5+J5)</f>
        <v>63.841000000000001</v>
      </c>
      <c r="L5" s="22">
        <v>1666.12</v>
      </c>
      <c r="M5" s="23">
        <v>8.67</v>
      </c>
      <c r="N5" s="23">
        <v>0</v>
      </c>
      <c r="O5" s="21">
        <f t="shared" ref="O5:O16" si="2">IF(AND(ISBLANK(L5),ISBLANK(M5),ISBLANK(N5))=TRUE,"",L5+M5+N5)</f>
        <v>1674.79</v>
      </c>
      <c r="P5" s="23">
        <v>3211.27</v>
      </c>
      <c r="Q5" s="21">
        <f t="shared" ref="Q5:Q16" si="3">IFERROR(O5/P5*100," ")</f>
        <v>52.153509359225481</v>
      </c>
    </row>
    <row r="6" spans="1:17" ht="23.1" customHeight="1" x14ac:dyDescent="0.3">
      <c r="A6" s="24" t="s">
        <v>24</v>
      </c>
      <c r="B6" s="25">
        <v>277</v>
      </c>
      <c r="C6" s="25">
        <v>401.04</v>
      </c>
      <c r="D6" s="24">
        <v>188.33</v>
      </c>
      <c r="E6" s="26">
        <v>13074</v>
      </c>
      <c r="F6" s="25">
        <v>19537</v>
      </c>
      <c r="G6" s="25">
        <v>35030</v>
      </c>
      <c r="H6" s="27">
        <f t="shared" si="0"/>
        <v>55.772195261204679</v>
      </c>
      <c r="I6" s="28">
        <v>64.212999999999994</v>
      </c>
      <c r="J6" s="29">
        <v>0.10299999999999999</v>
      </c>
      <c r="K6" s="27">
        <f t="shared" si="1"/>
        <v>64.315999999999988</v>
      </c>
      <c r="L6" s="28">
        <v>1590.79</v>
      </c>
      <c r="M6" s="29">
        <v>12.13</v>
      </c>
      <c r="N6" s="29">
        <v>0.2</v>
      </c>
      <c r="O6" s="27">
        <f t="shared" si="2"/>
        <v>1603.1200000000001</v>
      </c>
      <c r="P6" s="29">
        <v>3383.82</v>
      </c>
      <c r="Q6" s="27">
        <f t="shared" si="3"/>
        <v>47.376042460887405</v>
      </c>
    </row>
    <row r="7" spans="1:17" ht="23.1" customHeight="1" x14ac:dyDescent="0.3">
      <c r="A7" s="18" t="s">
        <v>25</v>
      </c>
      <c r="B7" s="19">
        <v>276</v>
      </c>
      <c r="C7" s="19">
        <v>417.13</v>
      </c>
      <c r="D7" s="18">
        <v>196.12</v>
      </c>
      <c r="E7" s="20">
        <v>17066</v>
      </c>
      <c r="F7" s="19">
        <v>23536.19</v>
      </c>
      <c r="G7" s="19">
        <v>36477.58</v>
      </c>
      <c r="H7" s="21">
        <f t="shared" si="0"/>
        <v>64.522344958190743</v>
      </c>
      <c r="I7" s="22">
        <v>41.3</v>
      </c>
      <c r="J7" s="23">
        <v>8.0000000000000002E-3</v>
      </c>
      <c r="K7" s="21">
        <f t="shared" si="1"/>
        <v>41.308</v>
      </c>
      <c r="L7" s="22">
        <v>1950.67</v>
      </c>
      <c r="M7" s="23">
        <v>13.82</v>
      </c>
      <c r="N7" s="23">
        <v>0.02</v>
      </c>
      <c r="O7" s="21">
        <f t="shared" si="2"/>
        <v>1964.51</v>
      </c>
      <c r="P7" s="23">
        <v>3614.58</v>
      </c>
      <c r="Q7" s="21">
        <f t="shared" si="3"/>
        <v>54.349606316639829</v>
      </c>
    </row>
    <row r="8" spans="1:17" s="30" customFormat="1" ht="30" customHeight="1" x14ac:dyDescent="0.25">
      <c r="A8" s="24" t="s">
        <v>26</v>
      </c>
      <c r="B8" s="25">
        <v>291</v>
      </c>
      <c r="C8" s="25">
        <v>442.96</v>
      </c>
      <c r="D8" s="24">
        <v>203.858</v>
      </c>
      <c r="E8" s="26">
        <v>15861</v>
      </c>
      <c r="F8" s="25">
        <v>23121.101999999999</v>
      </c>
      <c r="G8" s="25">
        <v>37917.588000000003</v>
      </c>
      <c r="H8" s="27">
        <f t="shared" si="0"/>
        <v>60.977248869310984</v>
      </c>
      <c r="I8" s="28">
        <v>49.994</v>
      </c>
      <c r="J8" s="29">
        <v>6.0000000000000001E-3</v>
      </c>
      <c r="K8" s="27">
        <f t="shared" si="1"/>
        <v>50</v>
      </c>
      <c r="L8" s="28">
        <v>1865.1673510000001</v>
      </c>
      <c r="M8" s="29">
        <v>12.064026999999999</v>
      </c>
      <c r="N8" s="29">
        <v>1.1640000000000001E-2</v>
      </c>
      <c r="O8" s="27">
        <f t="shared" si="2"/>
        <v>1877.2430179999999</v>
      </c>
      <c r="P8" s="29">
        <v>3722.0747370000004</v>
      </c>
      <c r="Q8" s="27">
        <f t="shared" si="3"/>
        <v>50.43539290973672</v>
      </c>
    </row>
    <row r="9" spans="1:17" ht="23.1" customHeight="1" x14ac:dyDescent="0.3">
      <c r="A9" s="18" t="s">
        <v>27</v>
      </c>
      <c r="B9" s="19">
        <v>287</v>
      </c>
      <c r="C9" s="19">
        <v>431.93000000000018</v>
      </c>
      <c r="D9" s="18">
        <v>203.858</v>
      </c>
      <c r="E9" s="20">
        <v>14298</v>
      </c>
      <c r="F9" s="19">
        <v>21996.223000000002</v>
      </c>
      <c r="G9" s="19">
        <v>37917.588000000003</v>
      </c>
      <c r="H9" s="21">
        <f t="shared" si="0"/>
        <v>58.010607109291868</v>
      </c>
      <c r="I9" s="22">
        <v>82.441999999999993</v>
      </c>
      <c r="J9" s="23">
        <v>0.11499999999999999</v>
      </c>
      <c r="K9" s="21">
        <f t="shared" si="1"/>
        <v>82.556999999999988</v>
      </c>
      <c r="L9" s="22">
        <v>1858.4447359999999</v>
      </c>
      <c r="M9" s="23">
        <v>25.025706</v>
      </c>
      <c r="N9" s="23">
        <v>0.22620500000000002</v>
      </c>
      <c r="O9" s="21">
        <f t="shared" si="2"/>
        <v>1883.6966469999998</v>
      </c>
      <c r="P9" s="23">
        <v>3720.2991579999998</v>
      </c>
      <c r="Q9" s="21">
        <f t="shared" si="3"/>
        <v>50.632934799056819</v>
      </c>
    </row>
    <row r="10" spans="1:17" ht="23.1" customHeight="1" x14ac:dyDescent="0.3">
      <c r="A10" s="24" t="s">
        <v>28</v>
      </c>
      <c r="B10" s="25">
        <v>293</v>
      </c>
      <c r="C10" s="25">
        <v>456.62</v>
      </c>
      <c r="D10" s="24">
        <v>206.20699999999999</v>
      </c>
      <c r="E10" s="26">
        <v>12757</v>
      </c>
      <c r="F10" s="25">
        <v>19534.966</v>
      </c>
      <c r="G10" s="25">
        <v>38354.502</v>
      </c>
      <c r="H10" s="27">
        <f t="shared" si="0"/>
        <v>50.932654529056329</v>
      </c>
      <c r="I10" s="28">
        <v>84.13</v>
      </c>
      <c r="J10" s="29">
        <v>0</v>
      </c>
      <c r="K10" s="27">
        <f t="shared" si="1"/>
        <v>84.13</v>
      </c>
      <c r="L10" s="28">
        <v>1667.9264069999999</v>
      </c>
      <c r="M10" s="29">
        <v>19.819832999999999</v>
      </c>
      <c r="N10" s="29">
        <v>0</v>
      </c>
      <c r="O10" s="27">
        <f t="shared" si="2"/>
        <v>1687.7462399999999</v>
      </c>
      <c r="P10" s="29">
        <v>2237.6238530000001</v>
      </c>
      <c r="Q10" s="27">
        <f t="shared" si="3"/>
        <v>75.425824485077115</v>
      </c>
    </row>
    <row r="11" spans="1:17" ht="23.1" customHeight="1" x14ac:dyDescent="0.3">
      <c r="A11" s="18" t="s">
        <v>29</v>
      </c>
      <c r="B11" s="19">
        <v>298</v>
      </c>
      <c r="C11" s="19">
        <v>456.68000000000006</v>
      </c>
      <c r="D11" s="18">
        <v>201.92099999999999</v>
      </c>
      <c r="E11" s="20">
        <v>14903</v>
      </c>
      <c r="F11" s="19">
        <v>22263.226999999999</v>
      </c>
      <c r="G11" s="19">
        <v>37557.305999999997</v>
      </c>
      <c r="H11" s="21">
        <f t="shared" si="0"/>
        <v>59.278019035763641</v>
      </c>
      <c r="I11" s="22">
        <v>49.119</v>
      </c>
      <c r="J11" s="23">
        <v>4.0000000000000001E-3</v>
      </c>
      <c r="K11" s="21">
        <f t="shared" si="1"/>
        <v>49.122999999999998</v>
      </c>
      <c r="L11" s="22">
        <v>1881.3002009999998</v>
      </c>
      <c r="M11" s="23">
        <v>12.482256999999999</v>
      </c>
      <c r="N11" s="23">
        <v>8.3000000000000001E-3</v>
      </c>
      <c r="O11" s="21">
        <f t="shared" si="2"/>
        <v>1893.7907579999996</v>
      </c>
      <c r="P11" s="23">
        <v>2405.2202570000004</v>
      </c>
      <c r="Q11" s="21">
        <f t="shared" si="3"/>
        <v>78.736687523249955</v>
      </c>
    </row>
    <row r="12" spans="1:17" ht="23.1" customHeight="1" x14ac:dyDescent="0.3">
      <c r="A12" s="24" t="s">
        <v>30</v>
      </c>
      <c r="B12" s="25">
        <v>286</v>
      </c>
      <c r="C12" s="25">
        <v>436.99000000000018</v>
      </c>
      <c r="D12" s="24">
        <v>196.77500000000001</v>
      </c>
      <c r="E12" s="26">
        <v>13572</v>
      </c>
      <c r="F12" s="25">
        <v>19985.596000000001</v>
      </c>
      <c r="G12" s="25">
        <v>36600.15</v>
      </c>
      <c r="H12" s="27">
        <f t="shared" si="0"/>
        <v>54.605229759987331</v>
      </c>
      <c r="I12" s="28">
        <v>60.567999999999998</v>
      </c>
      <c r="J12" s="29">
        <v>0</v>
      </c>
      <c r="K12" s="27">
        <f t="shared" si="1"/>
        <v>60.567999999999998</v>
      </c>
      <c r="L12" s="28">
        <v>1698.670668</v>
      </c>
      <c r="M12" s="29">
        <v>13.704575</v>
      </c>
      <c r="N12" s="29">
        <v>0</v>
      </c>
      <c r="O12" s="27">
        <f t="shared" si="2"/>
        <v>1712.375243</v>
      </c>
      <c r="P12" s="29">
        <v>2244.218441</v>
      </c>
      <c r="Q12" s="27">
        <f t="shared" si="3"/>
        <v>76.301629632674434</v>
      </c>
    </row>
    <row r="13" spans="1:17" ht="23.1" customHeight="1" x14ac:dyDescent="0.3">
      <c r="A13" s="18" t="s">
        <v>31</v>
      </c>
      <c r="B13" s="19">
        <v>220</v>
      </c>
      <c r="C13" s="19">
        <v>196.07999999999998</v>
      </c>
      <c r="D13" s="18">
        <v>352.08</v>
      </c>
      <c r="E13" s="20">
        <v>14043</v>
      </c>
      <c r="F13" s="19">
        <v>21771.7</v>
      </c>
      <c r="G13" s="19">
        <v>36470.879999999997</v>
      </c>
      <c r="H13" s="21">
        <f t="shared" si="0"/>
        <v>59.696119205239917</v>
      </c>
      <c r="I13" s="22">
        <v>89.61</v>
      </c>
      <c r="J13" s="23">
        <v>0</v>
      </c>
      <c r="K13" s="21">
        <f t="shared" si="1"/>
        <v>89.61</v>
      </c>
      <c r="L13" s="22">
        <v>1823.7013570000001</v>
      </c>
      <c r="M13" s="23">
        <v>35.088529999999999</v>
      </c>
      <c r="N13" s="23">
        <v>0</v>
      </c>
      <c r="O13" s="21">
        <f t="shared" si="2"/>
        <v>1858.7898870000001</v>
      </c>
      <c r="P13" s="23">
        <v>3594.5339679999997</v>
      </c>
      <c r="Q13" s="21">
        <f t="shared" si="3"/>
        <v>51.711568274154651</v>
      </c>
    </row>
    <row r="14" spans="1:17" ht="23.1" customHeight="1" x14ac:dyDescent="0.3">
      <c r="A14" s="24" t="s">
        <v>32</v>
      </c>
      <c r="B14" s="25">
        <v>286</v>
      </c>
      <c r="C14" s="25">
        <v>433.19</v>
      </c>
      <c r="D14" s="24">
        <v>198.01600000000002</v>
      </c>
      <c r="E14" s="26">
        <v>16085</v>
      </c>
      <c r="F14" s="25">
        <v>24318.41</v>
      </c>
      <c r="G14" s="25">
        <v>36830.976000000002</v>
      </c>
      <c r="H14" s="27">
        <f t="shared" si="0"/>
        <v>66.027058310917425</v>
      </c>
      <c r="I14" s="28">
        <v>82.28</v>
      </c>
      <c r="J14" s="29">
        <v>0</v>
      </c>
      <c r="K14" s="27">
        <f t="shared" si="1"/>
        <v>82.28</v>
      </c>
      <c r="L14" s="28">
        <v>1942.549096</v>
      </c>
      <c r="M14" s="29">
        <v>26.681281999999999</v>
      </c>
      <c r="N14" s="29">
        <v>0</v>
      </c>
      <c r="O14" s="27">
        <f t="shared" si="2"/>
        <v>1969.230378</v>
      </c>
      <c r="P14" s="29">
        <v>3535.4965849999999</v>
      </c>
      <c r="Q14" s="27">
        <f t="shared" si="3"/>
        <v>55.698834114416208</v>
      </c>
    </row>
    <row r="15" spans="1:17" ht="23.1" customHeight="1" x14ac:dyDescent="0.3">
      <c r="A15" s="31" t="s">
        <v>33</v>
      </c>
      <c r="B15" s="32">
        <v>294</v>
      </c>
      <c r="C15" s="32">
        <v>451.89999999999975</v>
      </c>
      <c r="D15" s="33">
        <v>203.375</v>
      </c>
      <c r="E15" s="34">
        <v>17955</v>
      </c>
      <c r="F15" s="32">
        <v>27961.69</v>
      </c>
      <c r="G15" s="32">
        <v>37827.75</v>
      </c>
      <c r="H15" s="35">
        <f t="shared" si="0"/>
        <v>73.918459332104064</v>
      </c>
      <c r="I15" s="36">
        <v>76.325000000000003</v>
      </c>
      <c r="J15" s="37">
        <v>0</v>
      </c>
      <c r="K15" s="35">
        <f t="shared" si="1"/>
        <v>76.325000000000003</v>
      </c>
      <c r="L15" s="36">
        <v>2261.5319290000002</v>
      </c>
      <c r="M15" s="37">
        <v>26.325745999999999</v>
      </c>
      <c r="N15" s="37">
        <v>0</v>
      </c>
      <c r="O15" s="35">
        <f t="shared" si="2"/>
        <v>2287.8576750000002</v>
      </c>
      <c r="P15" s="23">
        <v>3644.9784289999998</v>
      </c>
      <c r="Q15" s="21">
        <f t="shared" si="3"/>
        <v>62.767385858787485</v>
      </c>
    </row>
    <row r="16" spans="1:17" ht="23.1" customHeight="1" x14ac:dyDescent="0.3">
      <c r="A16" s="38" t="s">
        <v>34</v>
      </c>
      <c r="B16" s="39">
        <f>SUM(B4:B15)</f>
        <v>3358</v>
      </c>
      <c r="C16" s="39">
        <f t="shared" ref="C16:G16" si="4">SUM(C4:C15)</f>
        <v>4945.96</v>
      </c>
      <c r="D16" s="39">
        <f t="shared" si="4"/>
        <v>2528.4600000000005</v>
      </c>
      <c r="E16" s="39">
        <f t="shared" si="4"/>
        <v>182083</v>
      </c>
      <c r="F16" s="39">
        <f t="shared" si="4"/>
        <v>269113.10400000005</v>
      </c>
      <c r="G16" s="39">
        <f t="shared" si="4"/>
        <v>441277.32000000007</v>
      </c>
      <c r="H16" s="40">
        <f t="shared" si="0"/>
        <v>60.985029550125077</v>
      </c>
      <c r="I16" s="40">
        <f t="shared" ref="I16:J16" si="5">SUM(I4:I15)</f>
        <v>792.38200000000006</v>
      </c>
      <c r="J16" s="40">
        <f t="shared" si="5"/>
        <v>0.23599999999999999</v>
      </c>
      <c r="K16" s="40">
        <f t="shared" si="1"/>
        <v>792.61800000000005</v>
      </c>
      <c r="L16" s="40">
        <f t="shared" ref="L16:N16" si="6">SUM(L4:L15)</f>
        <v>22290.541745000002</v>
      </c>
      <c r="M16" s="40">
        <f t="shared" si="6"/>
        <v>213.73195600000003</v>
      </c>
      <c r="N16" s="40">
        <f t="shared" si="6"/>
        <v>0.46614500000000003</v>
      </c>
      <c r="O16" s="40">
        <f t="shared" si="2"/>
        <v>22504.739846</v>
      </c>
      <c r="P16" s="41">
        <f>SUM(P4:P15)</f>
        <v>39063.055428</v>
      </c>
      <c r="Q16" s="41">
        <f t="shared" si="3"/>
        <v>57.611314832963203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2019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2451</v>
      </c>
      <c r="C23" s="58">
        <v>9804.6</v>
      </c>
      <c r="D23" s="59">
        <v>6546</v>
      </c>
      <c r="E23" s="57">
        <v>400642</v>
      </c>
      <c r="F23" s="58">
        <v>1064563</v>
      </c>
      <c r="G23" s="58">
        <v>1217556</v>
      </c>
      <c r="H23" s="60">
        <f t="shared" ref="H23:H35" si="7">IFERROR(F23/G23*100," ")</f>
        <v>87.434417800906076</v>
      </c>
      <c r="I23" s="61">
        <v>1382.69</v>
      </c>
      <c r="J23" s="61">
        <v>2.2200000000000002</v>
      </c>
      <c r="K23" s="61">
        <f>IF(AND(ISBLANK(I23),ISBLANK(J23))=TRUE,"",I23+J23)</f>
        <v>1384.91</v>
      </c>
      <c r="L23" s="62">
        <v>96416.54</v>
      </c>
      <c r="M23" s="61">
        <v>3801.06</v>
      </c>
      <c r="N23" s="61">
        <v>5.23</v>
      </c>
      <c r="O23" s="63">
        <f>IF(AND(ISBLANK(L23),ISBLANK(M23),ISBLANK(N23))=TRUE,"",L23+M23+N23)</f>
        <v>100222.82999999999</v>
      </c>
      <c r="P23" s="62">
        <v>116857.75</v>
      </c>
      <c r="Q23" s="63">
        <f>IFERROR(O23/P23*100," ")</f>
        <v>85.764812346635111</v>
      </c>
    </row>
    <row r="24" spans="1:17" ht="23.1" customHeight="1" x14ac:dyDescent="0.3">
      <c r="A24" s="64" t="s">
        <v>23</v>
      </c>
      <c r="B24" s="65">
        <v>2214</v>
      </c>
      <c r="C24" s="64">
        <v>8876.92</v>
      </c>
      <c r="D24" s="66">
        <v>5913.2</v>
      </c>
      <c r="E24" s="65">
        <v>346145</v>
      </c>
      <c r="F24" s="64">
        <v>917909</v>
      </c>
      <c r="G24" s="64">
        <v>1099854</v>
      </c>
      <c r="H24" s="67">
        <f t="shared" si="7"/>
        <v>83.45734979369989</v>
      </c>
      <c r="I24" s="68">
        <v>1334.29</v>
      </c>
      <c r="J24" s="68">
        <v>2.87</v>
      </c>
      <c r="K24" s="68">
        <f t="shared" ref="K24:K35" si="8">IF(AND(ISBLANK(I24),ISBLANK(J24))=TRUE,"",I24+J24)</f>
        <v>1337.1599999999999</v>
      </c>
      <c r="L24" s="69">
        <v>85652.45</v>
      </c>
      <c r="M24" s="68">
        <v>3702.24</v>
      </c>
      <c r="N24" s="68">
        <v>6.31</v>
      </c>
      <c r="O24" s="67">
        <f t="shared" ref="O24:O35" si="9">IF(AND(ISBLANK(L24),ISBLANK(M24),ISBLANK(N24))=TRUE,"",L24+M24+N24)</f>
        <v>89361</v>
      </c>
      <c r="P24" s="69">
        <v>108373.26</v>
      </c>
      <c r="Q24" s="67">
        <f t="shared" ref="Q24:Q35" si="10">IFERROR(O24/P24*100," ")</f>
        <v>82.456687193870522</v>
      </c>
    </row>
    <row r="25" spans="1:17" ht="23.1" customHeight="1" x14ac:dyDescent="0.3">
      <c r="A25" s="56" t="s">
        <v>24</v>
      </c>
      <c r="B25" s="70">
        <v>2463</v>
      </c>
      <c r="C25" s="56">
        <v>10096.23</v>
      </c>
      <c r="D25" s="71">
        <v>6544.51</v>
      </c>
      <c r="E25" s="70">
        <v>387322</v>
      </c>
      <c r="F25" s="56">
        <v>1024112.0000000001</v>
      </c>
      <c r="G25" s="56">
        <v>1217279</v>
      </c>
      <c r="H25" s="60">
        <f t="shared" si="7"/>
        <v>84.131246821805036</v>
      </c>
      <c r="I25" s="72">
        <v>1957.749</v>
      </c>
      <c r="J25" s="72">
        <v>0.52</v>
      </c>
      <c r="K25" s="72">
        <f t="shared" si="8"/>
        <v>1958.269</v>
      </c>
      <c r="L25" s="73">
        <v>92943.62</v>
      </c>
      <c r="M25" s="72">
        <v>5342.7</v>
      </c>
      <c r="N25" s="72">
        <v>1.1499999999999999</v>
      </c>
      <c r="O25" s="60">
        <f t="shared" si="9"/>
        <v>98287.469999999987</v>
      </c>
      <c r="P25" s="73">
        <v>117863.31</v>
      </c>
      <c r="Q25" s="60">
        <f t="shared" si="10"/>
        <v>83.391065463883535</v>
      </c>
    </row>
    <row r="26" spans="1:17" ht="23.1" customHeight="1" x14ac:dyDescent="0.3">
      <c r="A26" s="64" t="s">
        <v>25</v>
      </c>
      <c r="B26" s="65">
        <v>2491</v>
      </c>
      <c r="C26" s="64">
        <v>10054.83</v>
      </c>
      <c r="D26" s="66">
        <v>6614.05</v>
      </c>
      <c r="E26" s="65">
        <v>425124</v>
      </c>
      <c r="F26" s="64">
        <v>1119413.96</v>
      </c>
      <c r="G26" s="64">
        <v>1230212.74</v>
      </c>
      <c r="H26" s="67">
        <f t="shared" si="7"/>
        <v>90.993526859427575</v>
      </c>
      <c r="I26" s="68">
        <v>1867.9690000000001</v>
      </c>
      <c r="J26" s="68">
        <v>0.94199999999999995</v>
      </c>
      <c r="K26" s="68">
        <f t="shared" si="8"/>
        <v>1868.9110000000001</v>
      </c>
      <c r="L26" s="69">
        <v>101624.59</v>
      </c>
      <c r="M26" s="68">
        <v>5081.8</v>
      </c>
      <c r="N26" s="68">
        <v>1.93</v>
      </c>
      <c r="O26" s="67">
        <f t="shared" si="9"/>
        <v>106708.31999999999</v>
      </c>
      <c r="P26" s="69">
        <v>121322.13</v>
      </c>
      <c r="Q26" s="67">
        <f t="shared" si="10"/>
        <v>87.954538879262984</v>
      </c>
    </row>
    <row r="27" spans="1:17" s="30" customFormat="1" ht="30" customHeight="1" x14ac:dyDescent="0.25">
      <c r="A27" s="56" t="s">
        <v>26</v>
      </c>
      <c r="B27" s="70">
        <v>2590</v>
      </c>
      <c r="C27" s="56">
        <v>10415.549999999999</v>
      </c>
      <c r="D27" s="71">
        <v>6868.8409999999994</v>
      </c>
      <c r="E27" s="70">
        <v>427204</v>
      </c>
      <c r="F27" s="56">
        <v>1128310.709</v>
      </c>
      <c r="G27" s="56">
        <v>1277604.426</v>
      </c>
      <c r="H27" s="60">
        <f t="shared" si="7"/>
        <v>88.314558562745631</v>
      </c>
      <c r="I27" s="72">
        <v>1933.4829999999999</v>
      </c>
      <c r="J27" s="72">
        <v>2.2509999999999999</v>
      </c>
      <c r="K27" s="72">
        <f t="shared" si="8"/>
        <v>1935.7339999999999</v>
      </c>
      <c r="L27" s="73">
        <v>98689.730121000001</v>
      </c>
      <c r="M27" s="72">
        <v>5317.5258180000001</v>
      </c>
      <c r="N27" s="72">
        <v>4.4241980000000005</v>
      </c>
      <c r="O27" s="60">
        <f t="shared" si="9"/>
        <v>104011.68013699999</v>
      </c>
      <c r="P27" s="73">
        <v>121338.07330799999</v>
      </c>
      <c r="Q27" s="60">
        <f t="shared" si="10"/>
        <v>85.720563464841462</v>
      </c>
    </row>
    <row r="28" spans="1:17" ht="23.1" customHeight="1" x14ac:dyDescent="0.3">
      <c r="A28" s="64" t="s">
        <v>27</v>
      </c>
      <c r="B28" s="65">
        <v>2499</v>
      </c>
      <c r="C28" s="64">
        <v>10039.69000000001</v>
      </c>
      <c r="D28" s="66">
        <v>6661.2860000000001</v>
      </c>
      <c r="E28" s="65">
        <v>400611</v>
      </c>
      <c r="F28" s="64">
        <v>1050243.101</v>
      </c>
      <c r="G28" s="64">
        <v>1238999.196</v>
      </c>
      <c r="H28" s="67">
        <f t="shared" si="7"/>
        <v>84.76543845957427</v>
      </c>
      <c r="I28" s="68">
        <v>1775.308</v>
      </c>
      <c r="J28" s="68">
        <v>0.68399999999999994</v>
      </c>
      <c r="K28" s="68">
        <f t="shared" si="8"/>
        <v>1775.992</v>
      </c>
      <c r="L28" s="69">
        <v>94591.704562999992</v>
      </c>
      <c r="M28" s="68">
        <v>4978.0190429999993</v>
      </c>
      <c r="N28" s="68">
        <v>1.39141</v>
      </c>
      <c r="O28" s="67">
        <f t="shared" si="9"/>
        <v>99571.115015999982</v>
      </c>
      <c r="P28" s="69">
        <v>121491.766529</v>
      </c>
      <c r="Q28" s="67">
        <f t="shared" si="10"/>
        <v>81.957088830568964</v>
      </c>
    </row>
    <row r="29" spans="1:17" ht="23.1" customHeight="1" x14ac:dyDescent="0.3">
      <c r="A29" s="56" t="s">
        <v>28</v>
      </c>
      <c r="B29" s="70">
        <v>2576</v>
      </c>
      <c r="C29" s="56">
        <v>10252.920000000002</v>
      </c>
      <c r="D29" s="71">
        <v>6833.8089999999993</v>
      </c>
      <c r="E29" s="70">
        <v>403628</v>
      </c>
      <c r="F29" s="56">
        <v>1061415.196</v>
      </c>
      <c r="G29" s="56">
        <v>1271088.4739999999</v>
      </c>
      <c r="H29" s="60">
        <f t="shared" si="7"/>
        <v>83.504430864660648</v>
      </c>
      <c r="I29" s="72">
        <v>2002.3920000000001</v>
      </c>
      <c r="J29" s="72">
        <v>0.35499999999999998</v>
      </c>
      <c r="K29" s="72">
        <f t="shared" si="8"/>
        <v>2002.7470000000001</v>
      </c>
      <c r="L29" s="73">
        <v>96879.84560500001</v>
      </c>
      <c r="M29" s="72">
        <v>5690.3742029999994</v>
      </c>
      <c r="N29" s="72">
        <v>0.76251000000000002</v>
      </c>
      <c r="O29" s="60">
        <f t="shared" si="9"/>
        <v>102570.98231800001</v>
      </c>
      <c r="P29" s="73">
        <v>106689.79601999999</v>
      </c>
      <c r="Q29" s="60">
        <f t="shared" si="10"/>
        <v>96.139449267268375</v>
      </c>
    </row>
    <row r="30" spans="1:17" ht="23.1" customHeight="1" x14ac:dyDescent="0.3">
      <c r="A30" s="64" t="s">
        <v>29</v>
      </c>
      <c r="B30" s="65">
        <v>2603</v>
      </c>
      <c r="C30" s="64">
        <v>10217.090000000013</v>
      </c>
      <c r="D30" s="66">
        <v>6897.8720000000003</v>
      </c>
      <c r="E30" s="65">
        <v>406847</v>
      </c>
      <c r="F30" s="64">
        <v>1073155.838</v>
      </c>
      <c r="G30" s="64">
        <v>1283004.192</v>
      </c>
      <c r="H30" s="67">
        <f t="shared" si="7"/>
        <v>83.64398531910642</v>
      </c>
      <c r="I30" s="68">
        <v>2020.3989999999999</v>
      </c>
      <c r="J30" s="68">
        <v>1.7130000000000001</v>
      </c>
      <c r="K30" s="68">
        <f t="shared" si="8"/>
        <v>2022.1119999999999</v>
      </c>
      <c r="L30" s="69">
        <v>98449.423318000001</v>
      </c>
      <c r="M30" s="68">
        <v>5701.9776830000001</v>
      </c>
      <c r="N30" s="68">
        <v>3.395896</v>
      </c>
      <c r="O30" s="67">
        <f t="shared" si="9"/>
        <v>104154.79689700001</v>
      </c>
      <c r="P30" s="69">
        <v>109093.147382</v>
      </c>
      <c r="Q30" s="67">
        <f t="shared" si="10"/>
        <v>95.473271599995286</v>
      </c>
    </row>
    <row r="31" spans="1:17" ht="23.1" customHeight="1" x14ac:dyDescent="0.3">
      <c r="A31" s="56" t="s">
        <v>30</v>
      </c>
      <c r="B31" s="70">
        <v>2501</v>
      </c>
      <c r="C31" s="56">
        <v>9834.4400000000187</v>
      </c>
      <c r="D31" s="71">
        <v>6626.2409999999991</v>
      </c>
      <c r="E31" s="70">
        <v>366519</v>
      </c>
      <c r="F31" s="56">
        <v>971827.89300000004</v>
      </c>
      <c r="G31" s="56">
        <v>1232480.8259999999</v>
      </c>
      <c r="H31" s="60">
        <f t="shared" si="7"/>
        <v>78.851359996735567</v>
      </c>
      <c r="I31" s="72">
        <v>1979.873</v>
      </c>
      <c r="J31" s="72">
        <v>1.4019999999999999</v>
      </c>
      <c r="K31" s="72">
        <f t="shared" si="8"/>
        <v>1981.2750000000001</v>
      </c>
      <c r="L31" s="73">
        <v>88952.611542999992</v>
      </c>
      <c r="M31" s="72">
        <v>5497.3100800000002</v>
      </c>
      <c r="N31" s="72">
        <v>2.7870459999999997</v>
      </c>
      <c r="O31" s="60">
        <f t="shared" si="9"/>
        <v>94452.708668999985</v>
      </c>
      <c r="P31" s="73">
        <v>99405.477135000008</v>
      </c>
      <c r="Q31" s="60">
        <f t="shared" si="10"/>
        <v>95.017610086742209</v>
      </c>
    </row>
    <row r="32" spans="1:17" ht="23.1" customHeight="1" x14ac:dyDescent="0.3">
      <c r="A32" s="64" t="s">
        <v>31</v>
      </c>
      <c r="B32" s="65">
        <v>2642</v>
      </c>
      <c r="C32" s="64">
        <v>10153.379999999999</v>
      </c>
      <c r="D32" s="66">
        <v>6848.665</v>
      </c>
      <c r="E32" s="65">
        <v>378472</v>
      </c>
      <c r="F32" s="64">
        <v>1002418.96</v>
      </c>
      <c r="G32" s="64">
        <v>1273851.69</v>
      </c>
      <c r="H32" s="67">
        <f t="shared" si="7"/>
        <v>78.691967665403823</v>
      </c>
      <c r="I32" s="68">
        <v>2128.4549999999999</v>
      </c>
      <c r="J32" s="68">
        <v>1.6560000000000001</v>
      </c>
      <c r="K32" s="68">
        <f t="shared" si="8"/>
        <v>2130.1109999999999</v>
      </c>
      <c r="L32" s="69">
        <v>92856.76367</v>
      </c>
      <c r="M32" s="68">
        <v>5856.1773039999998</v>
      </c>
      <c r="N32" s="68">
        <v>4.0098599999999998</v>
      </c>
      <c r="O32" s="67">
        <f t="shared" si="9"/>
        <v>98716.950834000003</v>
      </c>
      <c r="P32" s="69">
        <v>124555.109096</v>
      </c>
      <c r="Q32" s="67">
        <f t="shared" si="10"/>
        <v>79.255641579434993</v>
      </c>
    </row>
    <row r="33" spans="1:17" ht="23.1" customHeight="1" x14ac:dyDescent="0.3">
      <c r="A33" s="56" t="s">
        <v>32</v>
      </c>
      <c r="B33" s="70">
        <v>2512</v>
      </c>
      <c r="C33" s="56">
        <v>9969.49</v>
      </c>
      <c r="D33" s="71">
        <v>6672.4</v>
      </c>
      <c r="E33" s="70">
        <v>391015</v>
      </c>
      <c r="F33" s="56">
        <v>1026858.681</v>
      </c>
      <c r="G33" s="56">
        <v>1241066.3999999999</v>
      </c>
      <c r="H33" s="60">
        <f t="shared" si="7"/>
        <v>82.740027527938878</v>
      </c>
      <c r="I33" s="72">
        <v>1756.1849999999999</v>
      </c>
      <c r="J33" s="72">
        <v>0.55799999999999994</v>
      </c>
      <c r="K33" s="72">
        <f t="shared" si="8"/>
        <v>1756.7429999999999</v>
      </c>
      <c r="L33" s="73">
        <v>92516.959216000003</v>
      </c>
      <c r="M33" s="72">
        <v>4818.94697</v>
      </c>
      <c r="N33" s="72">
        <v>1.513066</v>
      </c>
      <c r="O33" s="60">
        <f t="shared" si="9"/>
        <v>97337.419252000007</v>
      </c>
      <c r="P33" s="73">
        <v>120174.583277</v>
      </c>
      <c r="Q33" s="60">
        <f t="shared" si="10"/>
        <v>80.996677165619303</v>
      </c>
    </row>
    <row r="34" spans="1:17" ht="23.1" customHeight="1" x14ac:dyDescent="0.3">
      <c r="A34" s="64" t="s">
        <v>33</v>
      </c>
      <c r="B34" s="74">
        <v>2585</v>
      </c>
      <c r="C34" s="75">
        <v>10232.330000000009</v>
      </c>
      <c r="D34" s="76">
        <v>6858.5129999999999</v>
      </c>
      <c r="E34" s="74">
        <v>433537</v>
      </c>
      <c r="F34" s="75">
        <v>1138730.5020000001</v>
      </c>
      <c r="G34" s="75">
        <v>1275683.4180000001</v>
      </c>
      <c r="H34" s="67">
        <f t="shared" si="7"/>
        <v>89.26434928387539</v>
      </c>
      <c r="I34" s="77">
        <v>1788.972</v>
      </c>
      <c r="J34" s="77">
        <v>0.85899999999999999</v>
      </c>
      <c r="K34" s="77">
        <f t="shared" si="8"/>
        <v>1789.8309999999999</v>
      </c>
      <c r="L34" s="78">
        <v>104029.978084</v>
      </c>
      <c r="M34" s="77">
        <v>4905.0332230000004</v>
      </c>
      <c r="N34" s="77">
        <v>2.4105599999999998</v>
      </c>
      <c r="O34" s="79">
        <f t="shared" si="9"/>
        <v>108937.42186700001</v>
      </c>
      <c r="P34" s="78">
        <v>126154.45451000001</v>
      </c>
      <c r="Q34" s="79">
        <f t="shared" si="10"/>
        <v>86.352417986449112</v>
      </c>
    </row>
    <row r="35" spans="1:17" ht="23.1" customHeight="1" x14ac:dyDescent="0.3">
      <c r="A35" s="80" t="s">
        <v>34</v>
      </c>
      <c r="B35" s="81">
        <f>SUM(B23:B34)</f>
        <v>30127</v>
      </c>
      <c r="C35" s="81">
        <f t="shared" ref="C35:G35" si="11">SUM(C23:C34)</f>
        <v>119947.47000000006</v>
      </c>
      <c r="D35" s="81">
        <f t="shared" si="11"/>
        <v>79885.387000000002</v>
      </c>
      <c r="E35" s="81">
        <f t="shared" si="11"/>
        <v>4767066</v>
      </c>
      <c r="F35" s="81">
        <f t="shared" si="11"/>
        <v>12578958.839999998</v>
      </c>
      <c r="G35" s="81">
        <f t="shared" si="11"/>
        <v>14858680.361999998</v>
      </c>
      <c r="H35" s="82">
        <f t="shared" si="7"/>
        <v>84.657308277320354</v>
      </c>
      <c r="I35" s="83">
        <f t="shared" ref="I35:J35" si="12">SUM(I23:I34)</f>
        <v>21927.765000000003</v>
      </c>
      <c r="J35" s="83">
        <f t="shared" si="12"/>
        <v>16.03</v>
      </c>
      <c r="K35" s="83">
        <f t="shared" si="8"/>
        <v>21943.795000000002</v>
      </c>
      <c r="L35" s="83">
        <f t="shared" ref="L35:N35" si="13">SUM(L23:L34)</f>
        <v>1143604.21612</v>
      </c>
      <c r="M35" s="83">
        <f t="shared" si="13"/>
        <v>60693.16432399999</v>
      </c>
      <c r="N35" s="83">
        <f t="shared" si="13"/>
        <v>35.314546</v>
      </c>
      <c r="O35" s="83">
        <f t="shared" si="9"/>
        <v>1204332.69499</v>
      </c>
      <c r="P35" s="83">
        <f>SUM(P23:P34)</f>
        <v>1393318.8572570002</v>
      </c>
      <c r="Q35" s="83">
        <f t="shared" si="10"/>
        <v>86.436258916422503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2019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4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4"/>
        <v xml:space="preserve"> </v>
      </c>
      <c r="I43" s="104"/>
      <c r="J43" s="105"/>
      <c r="K43" s="103" t="str">
        <f t="shared" ref="K43:K54" si="15">IF(AND(ISBLANK(I43),ISBLANK(J43))=TRUE,"",I43+J43)</f>
        <v/>
      </c>
      <c r="L43" s="104"/>
      <c r="M43" s="105"/>
      <c r="N43" s="105"/>
      <c r="O43" s="103" t="str">
        <f t="shared" ref="O43:O54" si="16">IF(AND(ISBLANK(L43),ISBLANK(M43),ISBLANK(N43))=TRUE,"",L43+M43+N43)</f>
        <v/>
      </c>
      <c r="P43" s="104"/>
      <c r="Q43" s="103" t="str">
        <f t="shared" ref="Q43:Q54" si="17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4"/>
        <v xml:space="preserve"> </v>
      </c>
      <c r="I44" s="110"/>
      <c r="J44" s="111"/>
      <c r="K44" s="109" t="str">
        <f t="shared" si="15"/>
        <v/>
      </c>
      <c r="L44" s="110"/>
      <c r="M44" s="111"/>
      <c r="N44" s="111"/>
      <c r="O44" s="109" t="str">
        <f t="shared" si="16"/>
        <v/>
      </c>
      <c r="P44" s="110"/>
      <c r="Q44" s="109" t="str">
        <f t="shared" si="17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4"/>
        <v xml:space="preserve"> </v>
      </c>
      <c r="I45" s="104"/>
      <c r="J45" s="105"/>
      <c r="K45" s="103" t="str">
        <f t="shared" si="15"/>
        <v/>
      </c>
      <c r="L45" s="104"/>
      <c r="M45" s="105"/>
      <c r="N45" s="105"/>
      <c r="O45" s="103" t="str">
        <f t="shared" si="16"/>
        <v/>
      </c>
      <c r="P45" s="104"/>
      <c r="Q45" s="103" t="str">
        <f t="shared" si="17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4"/>
        <v xml:space="preserve"> </v>
      </c>
      <c r="I46" s="110"/>
      <c r="J46" s="111"/>
      <c r="K46" s="109" t="str">
        <f t="shared" si="15"/>
        <v/>
      </c>
      <c r="L46" s="110"/>
      <c r="M46" s="111"/>
      <c r="N46" s="111"/>
      <c r="O46" s="109" t="str">
        <f t="shared" si="16"/>
        <v/>
      </c>
      <c r="P46" s="110"/>
      <c r="Q46" s="109" t="str">
        <f t="shared" si="17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4"/>
        <v xml:space="preserve"> </v>
      </c>
      <c r="I47" s="116"/>
      <c r="J47" s="117"/>
      <c r="K47" s="103" t="str">
        <f t="shared" si="15"/>
        <v/>
      </c>
      <c r="L47" s="116"/>
      <c r="M47" s="117"/>
      <c r="N47" s="117"/>
      <c r="O47" s="103" t="str">
        <f t="shared" si="16"/>
        <v/>
      </c>
      <c r="P47" s="116"/>
      <c r="Q47" s="103" t="str">
        <f t="shared" si="17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4"/>
        <v xml:space="preserve"> </v>
      </c>
      <c r="I48" s="123"/>
      <c r="J48" s="124"/>
      <c r="K48" s="122" t="str">
        <f t="shared" si="15"/>
        <v/>
      </c>
      <c r="L48" s="123"/>
      <c r="M48" s="124"/>
      <c r="N48" s="124"/>
      <c r="O48" s="122" t="str">
        <f t="shared" si="16"/>
        <v/>
      </c>
      <c r="P48" s="123"/>
      <c r="Q48" s="122" t="str">
        <f t="shared" si="17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4"/>
        <v xml:space="preserve"> </v>
      </c>
      <c r="I49" s="116"/>
      <c r="J49" s="117"/>
      <c r="K49" s="103" t="str">
        <f t="shared" si="15"/>
        <v/>
      </c>
      <c r="L49" s="116"/>
      <c r="M49" s="117"/>
      <c r="N49" s="117"/>
      <c r="O49" s="103" t="str">
        <f t="shared" si="16"/>
        <v/>
      </c>
      <c r="P49" s="116"/>
      <c r="Q49" s="103" t="str">
        <f t="shared" si="17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4"/>
        <v xml:space="preserve"> </v>
      </c>
      <c r="I50" s="130"/>
      <c r="J50" s="131"/>
      <c r="K50" s="109" t="str">
        <f t="shared" si="15"/>
        <v/>
      </c>
      <c r="L50" s="130"/>
      <c r="M50" s="131"/>
      <c r="N50" s="131"/>
      <c r="O50" s="109" t="str">
        <f t="shared" si="16"/>
        <v/>
      </c>
      <c r="P50" s="130"/>
      <c r="Q50" s="109" t="str">
        <f t="shared" si="17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4"/>
        <v xml:space="preserve"> </v>
      </c>
      <c r="I51" s="116"/>
      <c r="J51" s="117"/>
      <c r="K51" s="103" t="str">
        <f t="shared" si="15"/>
        <v/>
      </c>
      <c r="L51" s="116"/>
      <c r="M51" s="117"/>
      <c r="N51" s="117"/>
      <c r="O51" s="103" t="str">
        <f t="shared" si="16"/>
        <v/>
      </c>
      <c r="P51" s="116"/>
      <c r="Q51" s="103" t="str">
        <f t="shared" si="17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4"/>
        <v xml:space="preserve"> </v>
      </c>
      <c r="I52" s="130"/>
      <c r="J52" s="131"/>
      <c r="K52" s="109" t="str">
        <f t="shared" si="15"/>
        <v/>
      </c>
      <c r="L52" s="130"/>
      <c r="M52" s="131"/>
      <c r="N52" s="131"/>
      <c r="O52" s="109" t="str">
        <f t="shared" si="16"/>
        <v/>
      </c>
      <c r="P52" s="130"/>
      <c r="Q52" s="109" t="str">
        <f t="shared" si="17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4"/>
        <v xml:space="preserve"> </v>
      </c>
      <c r="I53" s="136"/>
      <c r="J53" s="137"/>
      <c r="K53" s="135" t="str">
        <f t="shared" si="15"/>
        <v/>
      </c>
      <c r="L53" s="136"/>
      <c r="M53" s="137"/>
      <c r="N53" s="137"/>
      <c r="O53" s="135" t="str">
        <f t="shared" si="16"/>
        <v/>
      </c>
      <c r="P53" s="136"/>
      <c r="Q53" s="135" t="str">
        <f t="shared" si="17"/>
        <v xml:space="preserve"> </v>
      </c>
    </row>
    <row r="54" spans="1:17" ht="25.5" customHeight="1" x14ac:dyDescent="0.3">
      <c r="A54" s="138" t="s">
        <v>34</v>
      </c>
      <c r="B54" s="139">
        <f>SUM(B42:B53)</f>
        <v>0</v>
      </c>
      <c r="C54" s="139">
        <f t="shared" ref="C54:G54" si="18">SUM(C42:C53)</f>
        <v>0</v>
      </c>
      <c r="D54" s="139">
        <f t="shared" si="18"/>
        <v>0</v>
      </c>
      <c r="E54" s="139">
        <f t="shared" si="18"/>
        <v>0</v>
      </c>
      <c r="F54" s="139">
        <f t="shared" si="18"/>
        <v>0</v>
      </c>
      <c r="G54" s="139">
        <f t="shared" si="18"/>
        <v>0</v>
      </c>
      <c r="H54" s="140" t="str">
        <f t="shared" si="14"/>
        <v xml:space="preserve"> </v>
      </c>
      <c r="I54" s="140">
        <f t="shared" ref="I54:J54" si="19">SUM(I42:I53)</f>
        <v>0</v>
      </c>
      <c r="J54" s="140">
        <f t="shared" si="19"/>
        <v>0</v>
      </c>
      <c r="K54" s="140">
        <f t="shared" si="15"/>
        <v>0</v>
      </c>
      <c r="L54" s="140">
        <f t="shared" ref="L54:N54" si="20">SUM(L42:L53)</f>
        <v>0</v>
      </c>
      <c r="M54" s="140">
        <f t="shared" si="20"/>
        <v>0</v>
      </c>
      <c r="N54" s="140">
        <f t="shared" si="20"/>
        <v>0</v>
      </c>
      <c r="O54" s="140">
        <f t="shared" si="16"/>
        <v>0</v>
      </c>
      <c r="P54" s="141">
        <f>SUM(P42:P53)</f>
        <v>0</v>
      </c>
      <c r="Q54" s="140" t="str">
        <f t="shared" si="17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2019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21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21"/>
        <v xml:space="preserve"> </v>
      </c>
      <c r="I62" s="116"/>
      <c r="J62" s="117"/>
      <c r="K62" s="117" t="str">
        <f t="shared" ref="K62:K73" si="22">IF(AND(ISBLANK(I62),ISBLANK(J62))=TRUE,"",I62+J62)</f>
        <v/>
      </c>
      <c r="L62" s="116"/>
      <c r="M62" s="117"/>
      <c r="N62" s="117"/>
      <c r="O62" s="103" t="str">
        <f t="shared" ref="O62:O73" si="23">IF(AND(ISBLANK(L62),ISBLANK(M62),ISBLANK(N62))=TRUE,"",L62+M62+N62)</f>
        <v/>
      </c>
      <c r="P62" s="117"/>
      <c r="Q62" s="158" t="str">
        <f t="shared" ref="Q62:Q73" si="24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21"/>
        <v xml:space="preserve"> </v>
      </c>
      <c r="I63" s="163"/>
      <c r="J63" s="164"/>
      <c r="K63" s="164" t="str">
        <f t="shared" si="22"/>
        <v/>
      </c>
      <c r="L63" s="163"/>
      <c r="M63" s="164"/>
      <c r="N63" s="164"/>
      <c r="O63" s="165" t="str">
        <f t="shared" si="23"/>
        <v/>
      </c>
      <c r="P63" s="164"/>
      <c r="Q63" s="162" t="str">
        <f t="shared" si="24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21"/>
        <v xml:space="preserve"> </v>
      </c>
      <c r="I64" s="116"/>
      <c r="J64" s="117"/>
      <c r="K64" s="117" t="str">
        <f t="shared" si="22"/>
        <v/>
      </c>
      <c r="L64" s="116"/>
      <c r="M64" s="117"/>
      <c r="N64" s="117"/>
      <c r="O64" s="103" t="str">
        <f t="shared" si="23"/>
        <v/>
      </c>
      <c r="P64" s="117"/>
      <c r="Q64" s="158" t="str">
        <f t="shared" si="24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21"/>
        <v xml:space="preserve"> </v>
      </c>
      <c r="I65" s="163"/>
      <c r="J65" s="164"/>
      <c r="K65" s="164" t="str">
        <f t="shared" si="22"/>
        <v/>
      </c>
      <c r="L65" s="163"/>
      <c r="M65" s="164"/>
      <c r="N65" s="164"/>
      <c r="O65" s="165" t="str">
        <f t="shared" si="23"/>
        <v/>
      </c>
      <c r="P65" s="164"/>
      <c r="Q65" s="162" t="str">
        <f t="shared" si="24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21"/>
        <v xml:space="preserve"> </v>
      </c>
      <c r="I66" s="116"/>
      <c r="J66" s="117"/>
      <c r="K66" s="117" t="str">
        <f t="shared" si="22"/>
        <v/>
      </c>
      <c r="L66" s="116"/>
      <c r="M66" s="117"/>
      <c r="N66" s="117"/>
      <c r="O66" s="103" t="str">
        <f t="shared" si="23"/>
        <v/>
      </c>
      <c r="P66" s="117"/>
      <c r="Q66" s="158" t="str">
        <f t="shared" si="24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21"/>
        <v xml:space="preserve"> </v>
      </c>
      <c r="I67" s="163"/>
      <c r="J67" s="164"/>
      <c r="K67" s="164" t="str">
        <f t="shared" si="22"/>
        <v/>
      </c>
      <c r="L67" s="163"/>
      <c r="M67" s="164"/>
      <c r="N67" s="164"/>
      <c r="O67" s="165" t="str">
        <f t="shared" si="23"/>
        <v/>
      </c>
      <c r="P67" s="164"/>
      <c r="Q67" s="162" t="str">
        <f t="shared" si="24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21"/>
        <v xml:space="preserve"> </v>
      </c>
      <c r="I68" s="116"/>
      <c r="J68" s="117"/>
      <c r="K68" s="117" t="str">
        <f t="shared" si="22"/>
        <v/>
      </c>
      <c r="L68" s="116"/>
      <c r="M68" s="117"/>
      <c r="N68" s="117"/>
      <c r="O68" s="103" t="str">
        <f t="shared" si="23"/>
        <v/>
      </c>
      <c r="P68" s="117"/>
      <c r="Q68" s="158" t="str">
        <f t="shared" si="24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21"/>
        <v xml:space="preserve"> </v>
      </c>
      <c r="I69" s="163"/>
      <c r="J69" s="164"/>
      <c r="K69" s="164" t="str">
        <f t="shared" si="22"/>
        <v/>
      </c>
      <c r="L69" s="163"/>
      <c r="M69" s="164"/>
      <c r="N69" s="164"/>
      <c r="O69" s="165" t="str">
        <f t="shared" si="23"/>
        <v/>
      </c>
      <c r="P69" s="164"/>
      <c r="Q69" s="162" t="str">
        <f t="shared" si="24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21"/>
        <v xml:space="preserve"> </v>
      </c>
      <c r="I70" s="116"/>
      <c r="J70" s="117"/>
      <c r="K70" s="117" t="str">
        <f t="shared" si="22"/>
        <v/>
      </c>
      <c r="L70" s="116"/>
      <c r="M70" s="117"/>
      <c r="N70" s="117"/>
      <c r="O70" s="103" t="str">
        <f t="shared" si="23"/>
        <v/>
      </c>
      <c r="P70" s="117"/>
      <c r="Q70" s="158" t="str">
        <f t="shared" si="24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21"/>
        <v xml:space="preserve"> </v>
      </c>
      <c r="I71" s="163"/>
      <c r="J71" s="164"/>
      <c r="K71" s="164" t="str">
        <f t="shared" si="22"/>
        <v/>
      </c>
      <c r="L71" s="163"/>
      <c r="M71" s="164"/>
      <c r="N71" s="164"/>
      <c r="O71" s="165" t="str">
        <f t="shared" si="23"/>
        <v/>
      </c>
      <c r="P71" s="164"/>
      <c r="Q71" s="162" t="str">
        <f t="shared" si="24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21"/>
        <v xml:space="preserve"> </v>
      </c>
      <c r="I72" s="136"/>
      <c r="J72" s="137"/>
      <c r="K72" s="137" t="str">
        <f t="shared" si="22"/>
        <v/>
      </c>
      <c r="L72" s="136"/>
      <c r="M72" s="137"/>
      <c r="N72" s="137"/>
      <c r="O72" s="135" t="str">
        <f t="shared" si="23"/>
        <v/>
      </c>
      <c r="P72" s="137"/>
      <c r="Q72" s="135" t="str">
        <f t="shared" si="24"/>
        <v xml:space="preserve"> </v>
      </c>
    </row>
    <row r="73" spans="1:17" ht="24.75" customHeight="1" x14ac:dyDescent="0.3">
      <c r="A73" s="166" t="s">
        <v>34</v>
      </c>
      <c r="B73" s="167">
        <f>SUM(B61:B72)</f>
        <v>0</v>
      </c>
      <c r="C73" s="167">
        <f t="shared" ref="C73:G73" si="25">SUM(C61:C72)</f>
        <v>0</v>
      </c>
      <c r="D73" s="167">
        <f t="shared" si="25"/>
        <v>0</v>
      </c>
      <c r="E73" s="167">
        <f t="shared" si="25"/>
        <v>0</v>
      </c>
      <c r="F73" s="167">
        <f t="shared" si="25"/>
        <v>0</v>
      </c>
      <c r="G73" s="167">
        <f t="shared" si="25"/>
        <v>0</v>
      </c>
      <c r="H73" s="168" t="str">
        <f t="shared" si="21"/>
        <v xml:space="preserve"> </v>
      </c>
      <c r="I73" s="169">
        <f t="shared" ref="I73:J73" si="26">SUM(I61:I72)</f>
        <v>0</v>
      </c>
      <c r="J73" s="169">
        <f t="shared" si="26"/>
        <v>0</v>
      </c>
      <c r="K73" s="169">
        <f t="shared" si="22"/>
        <v>0</v>
      </c>
      <c r="L73" s="169">
        <f t="shared" ref="L73:N73" si="27">SUM(L61:L72)</f>
        <v>0</v>
      </c>
      <c r="M73" s="169">
        <f t="shared" si="27"/>
        <v>0</v>
      </c>
      <c r="N73" s="169">
        <f t="shared" si="27"/>
        <v>0</v>
      </c>
      <c r="O73" s="169">
        <f t="shared" si="23"/>
        <v>0</v>
      </c>
      <c r="P73" s="169">
        <f>SUM(P61:P72)</f>
        <v>0</v>
      </c>
      <c r="Q73" s="168" t="str">
        <f t="shared" si="24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2020-02-03T07:14:28Z</cp:lastPrinted>
  <dcterms:created xsi:type="dcterms:W3CDTF">2020-02-03T07:14:05Z</dcterms:created>
  <dcterms:modified xsi:type="dcterms:W3CDTF">2020-02-03T07:14:33Z</dcterms:modified>
</cp:coreProperties>
</file>