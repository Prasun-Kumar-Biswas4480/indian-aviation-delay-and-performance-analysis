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<sst xmlns="http://schemas.openxmlformats.org/spreadsheetml/2006/main" count="153" uniqueCount="42">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</sst>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10378</v>
      </c>
      <c r="C4" s="12">
        <v>19895.483</v>
      </c>
      <c r="D4" s="13">
        <v>11299.762000000001</v>
      </c>
      <c r="E4" s="14">
        <v>1343960</v>
      </c>
      <c r="F4" s="12">
        <v>1278677.7050000001</v>
      </c>
      <c r="G4" s="12">
        <v>1629893.95</v>
      </c>
      <c r="H4" s="15">
        <f>IFERROR(F4/G4*100," ")</f>
        <v>78.451589135599903</v>
      </c>
      <c r="I4" s="16">
        <v>5673.3379999999997</v>
      </c>
      <c r="J4" s="17">
        <v>750.61</v>
      </c>
      <c r="K4" s="15">
        <f>IF(AND(ISBLANK(I4),ISBLANK(J4))=TRUE,"",I4+J4)</f>
        <v>6423.9479999999994</v>
      </c>
      <c r="L4" s="16">
        <v>117812.696</v>
      </c>
      <c r="M4" s="17">
        <v>6776.848</v>
      </c>
      <c r="N4" s="17">
        <v>799.83500000000004</v>
      </c>
      <c r="O4" s="15">
        <f>IF(AND(ISBLANK(L4),ISBLANK(M4),ISBLANK(N4))=TRUE,"",L4+M4+N4)</f>
        <v>125389.379</v>
      </c>
      <c r="P4" s="17">
        <v>178332.44500000001</v>
      </c>
      <c r="Q4" s="15">
        <f>IFERROR(O4/P4*100," ")</f>
        <v>70.312151554923162</v>
      </c>
    </row>
    <row r="5" spans="1:17" ht="23.1" customHeight="1" x14ac:dyDescent="0.3">
      <c r="A5" s="18" t="s">
        <v>23</v>
      </c>
      <c r="B5" s="19">
        <v>9320</v>
      </c>
      <c r="C5" s="19">
        <v>17775</v>
      </c>
      <c r="D5" s="18">
        <v>10168</v>
      </c>
      <c r="E5" s="20">
        <v>1286834</v>
      </c>
      <c r="F5" s="19">
        <v>1235346</v>
      </c>
      <c r="G5" s="19">
        <v>1470423</v>
      </c>
      <c r="H5" s="21">
        <f t="shared" ref="H5:H16" si="0">IFERROR(F5/G5*100," ")</f>
        <v>84.012967697050442</v>
      </c>
      <c r="I5" s="22">
        <v>5283.3352000000004</v>
      </c>
      <c r="J5" s="23">
        <v>750.44299999999998</v>
      </c>
      <c r="K5" s="21">
        <f t="shared" ref="K5:K16" si="1">IF(AND(ISBLANK(I5),ISBLANK(J5))=TRUE,"",I5+J5)</f>
        <v>6033.7782000000007</v>
      </c>
      <c r="L5" s="22">
        <v>114024</v>
      </c>
      <c r="M5" s="23">
        <v>6115</v>
      </c>
      <c r="N5" s="23">
        <v>759.83399999999995</v>
      </c>
      <c r="O5" s="21">
        <f t="shared" ref="O5:O16" si="2">IF(AND(ISBLANK(L5),ISBLANK(M5),ISBLANK(N5))=TRUE,"",L5+M5+N5)</f>
        <v>120898.834</v>
      </c>
      <c r="P5" s="23">
        <v>160899</v>
      </c>
      <c r="Q5" s="21">
        <f t="shared" ref="Q5:Q16" si="3">IFERROR(O5/P5*100," ")</f>
        <v>75.139580730768998</v>
      </c>
    </row>
    <row r="6" spans="1:17" ht="23.1" customHeight="1" x14ac:dyDescent="0.3">
      <c r="A6" s="24" t="s">
        <v>24</v>
      </c>
      <c r="B6" s="25">
        <v>10247</v>
      </c>
      <c r="C6" s="25">
        <v>18983</v>
      </c>
      <c r="D6" s="24">
        <v>11230.325000000001</v>
      </c>
      <c r="E6" s="26">
        <v>1345336</v>
      </c>
      <c r="F6" s="25">
        <v>1275956.51</v>
      </c>
      <c r="G6" s="25">
        <v>1602803.247</v>
      </c>
      <c r="H6" s="27">
        <f t="shared" si="0"/>
        <v>79.607806659253669</v>
      </c>
      <c r="I6" s="28">
        <v>6417.616</v>
      </c>
      <c r="J6" s="29">
        <v>730.98</v>
      </c>
      <c r="K6" s="27">
        <f t="shared" si="1"/>
        <v>7148.5959999999995</v>
      </c>
      <c r="L6" s="28">
        <v>117614.80100000001</v>
      </c>
      <c r="M6" s="29">
        <v>7354.3630000000003</v>
      </c>
      <c r="N6" s="29">
        <v>698.98</v>
      </c>
      <c r="O6" s="27">
        <f t="shared" si="2"/>
        <v>125668.144</v>
      </c>
      <c r="P6" s="29">
        <v>173696.36900000001</v>
      </c>
      <c r="Q6" s="27">
        <f t="shared" si="3"/>
        <v>72.349321245742331</v>
      </c>
    </row>
    <row r="7" spans="1:17" ht="23.1" customHeight="1" x14ac:dyDescent="0.3">
      <c r="A7" s="18" t="s">
        <v>25</v>
      </c>
      <c r="B7" s="19">
        <v>10377</v>
      </c>
      <c r="C7" s="19">
        <v>18942</v>
      </c>
      <c r="D7" s="18">
        <v>11340</v>
      </c>
      <c r="E7" s="20">
        <v>1344054</v>
      </c>
      <c r="F7" s="19">
        <v>1314554.0900000001</v>
      </c>
      <c r="G7" s="19">
        <v>1600132</v>
      </c>
      <c r="H7" s="21">
        <f t="shared" si="0"/>
        <v>82.152853014626302</v>
      </c>
      <c r="I7" s="22">
        <v>6220.9102000000003</v>
      </c>
      <c r="J7" s="23">
        <v>803.55</v>
      </c>
      <c r="K7" s="21">
        <f t="shared" si="1"/>
        <v>7024.4602000000004</v>
      </c>
      <c r="L7" s="22">
        <v>129226.58</v>
      </c>
      <c r="M7" s="23">
        <v>7021</v>
      </c>
      <c r="N7" s="23">
        <v>832.16</v>
      </c>
      <c r="O7" s="21">
        <f t="shared" si="2"/>
        <v>137079.74000000002</v>
      </c>
      <c r="P7" s="23">
        <v>171407</v>
      </c>
      <c r="Q7" s="21">
        <f t="shared" si="3"/>
        <v>79.973244966658314</v>
      </c>
    </row>
    <row r="8" spans="1:17" s="30" customFormat="1" ht="30" customHeight="1" x14ac:dyDescent="0.25">
      <c r="A8" s="24" t="s">
        <v>26</v>
      </c>
      <c r="B8" s="25">
        <v>10757</v>
      </c>
      <c r="C8" s="25">
        <v>19769.950000000012</v>
      </c>
      <c r="D8" s="24">
        <v>11797.213</v>
      </c>
      <c r="E8" s="26">
        <v>1429384</v>
      </c>
      <c r="F8" s="25">
        <v>1387334.9750000001</v>
      </c>
      <c r="G8" s="25">
        <v>1665629.5060000001</v>
      </c>
      <c r="H8" s="27">
        <f t="shared" si="0"/>
        <v>83.29193076866639</v>
      </c>
      <c r="I8" s="28">
        <v>6954.6493999999966</v>
      </c>
      <c r="J8" s="29">
        <v>849.10699999999997</v>
      </c>
      <c r="K8" s="27">
        <f t="shared" si="1"/>
        <v>7803.7563999999966</v>
      </c>
      <c r="L8" s="28">
        <v>127838.13651400003</v>
      </c>
      <c r="M8" s="29">
        <v>8035.5917516999989</v>
      </c>
      <c r="N8" s="29">
        <v>809.65700000000004</v>
      </c>
      <c r="O8" s="27">
        <f t="shared" si="2"/>
        <v>136683.38526570002</v>
      </c>
      <c r="P8" s="29">
        <v>178631.81312799983</v>
      </c>
      <c r="Q8" s="27">
        <f t="shared" si="3"/>
        <v>76.516821316569533</v>
      </c>
    </row>
    <row r="9" spans="1:17" ht="23.1" customHeight="1" x14ac:dyDescent="0.3">
      <c r="A9" s="18" t="s">
        <v>27</v>
      </c>
      <c r="B9" s="19">
        <v>10359</v>
      </c>
      <c r="C9" s="19">
        <v>19353.950000000004</v>
      </c>
      <c r="D9" s="18">
        <v>11471.371999999999</v>
      </c>
      <c r="E9" s="20">
        <v>1354156</v>
      </c>
      <c r="F9" s="19">
        <v>1331384.26</v>
      </c>
      <c r="G9" s="19">
        <v>1629329.5379999999</v>
      </c>
      <c r="H9" s="21">
        <f t="shared" si="0"/>
        <v>81.713626921308531</v>
      </c>
      <c r="I9" s="22">
        <v>6208.2164000000012</v>
      </c>
      <c r="J9" s="23">
        <v>673.31299999999999</v>
      </c>
      <c r="K9" s="21">
        <f t="shared" si="1"/>
        <v>6881.5294000000013</v>
      </c>
      <c r="L9" s="22">
        <v>122445.19059399997</v>
      </c>
      <c r="M9" s="23">
        <v>7207.7329299000012</v>
      </c>
      <c r="N9" s="23">
        <v>627</v>
      </c>
      <c r="O9" s="21">
        <f t="shared" si="2"/>
        <v>130279.92352389997</v>
      </c>
      <c r="P9" s="23">
        <v>174883.70300000001</v>
      </c>
      <c r="Q9" s="21">
        <f t="shared" si="3"/>
        <v>74.495176674009443</v>
      </c>
    </row>
    <row r="10" spans="1:17" ht="23.1" customHeight="1" x14ac:dyDescent="0.3">
      <c r="A10" s="24" t="s">
        <v>28</v>
      </c>
      <c r="B10" s="25">
        <v>10171</v>
      </c>
      <c r="C10" s="25">
        <v>19329.83333333335</v>
      </c>
      <c r="D10" s="24">
        <v>11282.545</v>
      </c>
      <c r="E10" s="26">
        <v>1290205</v>
      </c>
      <c r="F10" s="25">
        <v>1256187.75</v>
      </c>
      <c r="G10" s="25">
        <v>1598272.5989999999</v>
      </c>
      <c r="H10" s="27">
        <f t="shared" si="0"/>
        <v>78.596589266810042</v>
      </c>
      <c r="I10" s="28">
        <v>6081.4328999999989</v>
      </c>
      <c r="J10" s="29">
        <v>709.64200000000005</v>
      </c>
      <c r="K10" s="27">
        <f t="shared" si="1"/>
        <v>6791.0748999999987</v>
      </c>
      <c r="L10" s="28">
        <v>115598.73001199994</v>
      </c>
      <c r="M10" s="29">
        <v>7099.3395760000012</v>
      </c>
      <c r="N10" s="29">
        <v>659.09699999999714</v>
      </c>
      <c r="O10" s="27">
        <f t="shared" si="2"/>
        <v>123357.16658799993</v>
      </c>
      <c r="P10" s="29">
        <v>171919.69468799999</v>
      </c>
      <c r="Q10" s="27">
        <f t="shared" si="3"/>
        <v>71.75278365394297</v>
      </c>
    </row>
    <row r="11" spans="1:17" ht="23.1" customHeight="1" x14ac:dyDescent="0.3">
      <c r="A11" s="18" t="s">
        <v>29</v>
      </c>
      <c r="B11" s="19">
        <v>10302</v>
      </c>
      <c r="C11" s="19">
        <v>19569</v>
      </c>
      <c r="D11" s="18">
        <v>11398</v>
      </c>
      <c r="E11" s="20">
        <v>1329262</v>
      </c>
      <c r="F11" s="19">
        <v>1286024.8470000001</v>
      </c>
      <c r="G11" s="19">
        <v>1617731.5719999999</v>
      </c>
      <c r="H11" s="21">
        <f t="shared" si="0"/>
        <v>79.495564607797618</v>
      </c>
      <c r="I11" s="22">
        <v>5940</v>
      </c>
      <c r="J11" s="23">
        <v>755.13900000000001</v>
      </c>
      <c r="K11" s="21">
        <f t="shared" si="1"/>
        <v>6695.1390000000001</v>
      </c>
      <c r="L11" s="22">
        <v>118446.29822900021</v>
      </c>
      <c r="M11" s="23">
        <v>7051</v>
      </c>
      <c r="N11" s="23">
        <v>714.39800000000002</v>
      </c>
      <c r="O11" s="21">
        <f t="shared" si="2"/>
        <v>126211.69622900021</v>
      </c>
      <c r="P11" s="23">
        <v>175400.94383200022</v>
      </c>
      <c r="Q11" s="21">
        <f t="shared" si="3"/>
        <v>71.956110082216156</v>
      </c>
    </row>
    <row r="12" spans="1:17" ht="23.1" customHeight="1" x14ac:dyDescent="0.3">
      <c r="A12" s="24" t="s">
        <v>30</v>
      </c>
      <c r="B12" s="25">
        <v>10344</v>
      </c>
      <c r="C12" s="25">
        <v>19591.099999999988</v>
      </c>
      <c r="D12" s="24">
        <v>11369.904</v>
      </c>
      <c r="E12" s="26">
        <v>1301642</v>
      </c>
      <c r="F12" s="25">
        <v>1257937.1740000001</v>
      </c>
      <c r="G12" s="25">
        <v>1609843.6869999999</v>
      </c>
      <c r="H12" s="27">
        <f t="shared" si="0"/>
        <v>78.140330279159599</v>
      </c>
      <c r="I12" s="28">
        <v>5936.3749999999982</v>
      </c>
      <c r="J12" s="29">
        <v>684.226</v>
      </c>
      <c r="K12" s="27">
        <f t="shared" si="1"/>
        <v>6620.6009999999978</v>
      </c>
      <c r="L12" s="28">
        <v>115853.43637199995</v>
      </c>
      <c r="M12" s="29">
        <v>7029.1750508000032</v>
      </c>
      <c r="N12" s="29">
        <v>664.72</v>
      </c>
      <c r="O12" s="27">
        <f t="shared" si="2"/>
        <v>123547.33142279995</v>
      </c>
      <c r="P12" s="29">
        <v>174103.56379999992</v>
      </c>
      <c r="Q12" s="27">
        <f t="shared" si="3"/>
        <v>70.961977300317628</v>
      </c>
    </row>
    <row r="13" spans="1:17" ht="23.1" customHeight="1" x14ac:dyDescent="0.3">
      <c r="A13" s="18" t="s">
        <v>31</v>
      </c>
      <c r="B13" s="19">
        <v>11262</v>
      </c>
      <c r="C13" s="19">
        <v>21297.283333333344</v>
      </c>
      <c r="D13" s="18">
        <v>12334.074000000001</v>
      </c>
      <c r="E13" s="20">
        <v>1352701</v>
      </c>
      <c r="F13" s="19">
        <v>1298576.8810000001</v>
      </c>
      <c r="G13" s="19">
        <v>1736752.1869999999</v>
      </c>
      <c r="H13" s="21">
        <f t="shared" si="0"/>
        <v>74.770418642346016</v>
      </c>
      <c r="I13" s="22">
        <v>6740.7732000000024</v>
      </c>
      <c r="J13" s="23">
        <v>630.83399999999995</v>
      </c>
      <c r="K13" s="21">
        <f t="shared" si="1"/>
        <v>7371.6072000000022</v>
      </c>
      <c r="L13" s="22">
        <v>119668.34945900005</v>
      </c>
      <c r="M13" s="23">
        <v>7963.5021923000058</v>
      </c>
      <c r="N13" s="23">
        <v>573.19600000000003</v>
      </c>
      <c r="O13" s="21">
        <f t="shared" si="2"/>
        <v>128205.04765130005</v>
      </c>
      <c r="P13" s="23">
        <v>187680.74890400007</v>
      </c>
      <c r="Q13" s="21">
        <f t="shared" si="3"/>
        <v>68.310174804810572</v>
      </c>
    </row>
    <row r="14" spans="1:17" ht="23.1" customHeight="1" x14ac:dyDescent="0.3">
      <c r="A14" s="24" t="s">
        <v>32</v>
      </c>
      <c r="B14" s="25">
        <v>10449</v>
      </c>
      <c r="C14" s="25">
        <v>19997</v>
      </c>
      <c r="D14" s="24">
        <v>11540.666999999999</v>
      </c>
      <c r="E14" s="26">
        <v>1377244</v>
      </c>
      <c r="F14" s="25">
        <v>1331702.4939999999</v>
      </c>
      <c r="G14" s="25">
        <v>1627585.7009999999</v>
      </c>
      <c r="H14" s="27">
        <f t="shared" si="0"/>
        <v>81.820729512540737</v>
      </c>
      <c r="I14" s="28">
        <v>5913.4394999999995</v>
      </c>
      <c r="J14" s="29">
        <v>755.92799999999886</v>
      </c>
      <c r="K14" s="27">
        <f t="shared" si="1"/>
        <v>6669.3674999999985</v>
      </c>
      <c r="L14" s="28">
        <v>122828.2744129999</v>
      </c>
      <c r="M14" s="29">
        <v>6975</v>
      </c>
      <c r="N14" s="29">
        <v>671.84399999999891</v>
      </c>
      <c r="O14" s="27">
        <f t="shared" si="2"/>
        <v>130475.1184129999</v>
      </c>
      <c r="P14" s="29">
        <v>177048.40724000029</v>
      </c>
      <c r="Q14" s="27">
        <f t="shared" si="3"/>
        <v>73.694601632949258</v>
      </c>
    </row>
    <row r="15" spans="1:17" ht="23.1" customHeight="1" x14ac:dyDescent="0.3">
      <c r="A15" s="31" t="s">
        <v>33</v>
      </c>
      <c r="B15" s="32">
        <v>10377</v>
      </c>
      <c r="C15" s="32">
        <v>20023.466666666704</v>
      </c>
      <c r="D15" s="33">
        <v>11598.632</v>
      </c>
      <c r="E15" s="34">
        <v>1349814</v>
      </c>
      <c r="F15" s="32">
        <v>1315463.7</v>
      </c>
      <c r="G15" s="32">
        <v>1657785.173</v>
      </c>
      <c r="H15" s="35">
        <f t="shared" si="0"/>
        <v>79.350673502494885</v>
      </c>
      <c r="I15" s="36">
        <v>7549.1854999999969</v>
      </c>
      <c r="J15" s="37">
        <v>659.7039999999995</v>
      </c>
      <c r="K15" s="35">
        <f t="shared" si="1"/>
        <v>8208.8894999999957</v>
      </c>
      <c r="L15" s="36">
        <v>121258.382471</v>
      </c>
      <c r="M15" s="37">
        <v>8935.8228258999989</v>
      </c>
      <c r="N15" s="37">
        <v>579.024</v>
      </c>
      <c r="O15" s="35">
        <f t="shared" si="2"/>
        <v>130773.22929690001</v>
      </c>
      <c r="P15" s="23">
        <v>181318.72440800024</v>
      </c>
      <c r="Q15" s="21">
        <f t="shared" si="3"/>
        <v>72.1234002301033</v>
      </c>
    </row>
    <row r="16" spans="1:17" ht="23.1" customHeight="1" x14ac:dyDescent="0.3">
      <c r="A16" s="38" t="s">
        <v>34</v>
      </c>
      <c r="B16" s="39">
        <f>SUM(B4:B15)</f>
        <v>124343</v>
      </c>
      <c r="C16" s="39">
        <f t="shared" ref="C16:G16" si="4">SUM(C4:C15)</f>
        <v>234527.06633333341</v>
      </c>
      <c r="D16" s="39">
        <f t="shared" si="4"/>
        <v>136830.49400000001</v>
      </c>
      <c r="E16" s="39">
        <f t="shared" si="4"/>
        <v>16104592</v>
      </c>
      <c r="F16" s="39">
        <f t="shared" si="4"/>
        <v>15569146.385999996</v>
      </c>
      <c r="G16" s="39">
        <f t="shared" si="4"/>
        <v>19446182.16</v>
      </c>
      <c r="H16" s="40">
        <f t="shared" si="0"/>
        <v>80.062740634123514</v>
      </c>
      <c r="I16" s="40">
        <f t="shared" ref="I16:J16" si="5">SUM(I4:I15)</f>
        <v>74919.271299999993</v>
      </c>
      <c r="J16" s="40">
        <f t="shared" si="5"/>
        <v>8753.4759999999969</v>
      </c>
      <c r="K16" s="40">
        <f t="shared" si="1"/>
        <v>83672.747299999988</v>
      </c>
      <c r="L16" s="40">
        <f t="shared" ref="L16:N16" si="6">SUM(L4:L15)</f>
        <v>1442614.8750640003</v>
      </c>
      <c r="M16" s="40">
        <f t="shared" si="6"/>
        <v>87564.375326600013</v>
      </c>
      <c r="N16" s="40">
        <f t="shared" si="6"/>
        <v>8389.7449999999972</v>
      </c>
      <c r="O16" s="40">
        <f t="shared" si="2"/>
        <v>1538568.9953906003</v>
      </c>
      <c r="P16" s="41">
        <f>SUM(P4:P15)</f>
        <v>2105322.4130000006</v>
      </c>
      <c r="Q16" s="41">
        <f t="shared" si="3"/>
        <v>73.079970359418752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3544</v>
      </c>
      <c r="C23" s="58">
        <v>22406</v>
      </c>
      <c r="D23" s="59">
        <v>21021</v>
      </c>
      <c r="E23" s="57">
        <v>624147</v>
      </c>
      <c r="F23" s="58">
        <v>3237285.673</v>
      </c>
      <c r="G23" s="58">
        <v>3855869.7790000001</v>
      </c>
      <c r="H23" s="60">
        <f t="shared" ref="H23:H35" si="7">IFERROR(F23/G23*100," ")</f>
        <v>83.957339291670095</v>
      </c>
      <c r="I23" s="61">
        <v>10743.253000000001</v>
      </c>
      <c r="J23" s="61">
        <v>506.55399999999997</v>
      </c>
      <c r="K23" s="61">
        <f>IF(AND(ISBLANK(I23),ISBLANK(J23))=TRUE,"",I23+J23)</f>
        <v>11249.807000000001</v>
      </c>
      <c r="L23" s="62">
        <v>330798.647</v>
      </c>
      <c r="M23" s="61">
        <v>59729.154999999999</v>
      </c>
      <c r="N23" s="61">
        <v>2837.3760000000002</v>
      </c>
      <c r="O23" s="63">
        <f>IF(AND(ISBLANK(L23),ISBLANK(M23),ISBLANK(N23))=TRUE,"",L23+M23+N23)</f>
        <v>393365.17800000001</v>
      </c>
      <c r="P23" s="62">
        <v>554848.4</v>
      </c>
      <c r="Q23" s="63">
        <f>IFERROR(O23/P23*100," ")</f>
        <v>70.89597410752198</v>
      </c>
    </row>
    <row r="24" spans="1:17" ht="23.1" customHeight="1" x14ac:dyDescent="0.3">
      <c r="A24" s="64" t="s">
        <v>23</v>
      </c>
      <c r="B24" s="65">
        <v>3243</v>
      </c>
      <c r="C24" s="64">
        <v>19299</v>
      </c>
      <c r="D24" s="66">
        <v>20537</v>
      </c>
      <c r="E24" s="65">
        <v>555271</v>
      </c>
      <c r="F24" s="64">
        <v>2800950</v>
      </c>
      <c r="G24" s="64">
        <v>3508021</v>
      </c>
      <c r="H24" s="67">
        <f t="shared" si="7"/>
        <v>79.844162848512028</v>
      </c>
      <c r="I24" s="68">
        <v>10643.017</v>
      </c>
      <c r="J24" s="68">
        <v>400.72399999999999</v>
      </c>
      <c r="K24" s="68">
        <f t="shared" ref="K24:K35" si="8">IF(AND(ISBLANK(I24),ISBLANK(J24))=TRUE,"",I24+J24)</f>
        <v>11043.741</v>
      </c>
      <c r="L24" s="69">
        <v>285101</v>
      </c>
      <c r="M24" s="68">
        <v>59898</v>
      </c>
      <c r="N24" s="68">
        <v>2271.4180000000001</v>
      </c>
      <c r="O24" s="67">
        <f t="shared" ref="O24:O35" si="9">IF(AND(ISBLANK(L24),ISBLANK(M24),ISBLANK(N24))=TRUE,"",L24+M24+N24)</f>
        <v>347270.41800000001</v>
      </c>
      <c r="P24" s="69">
        <v>506148</v>
      </c>
      <c r="Q24" s="67">
        <f t="shared" ref="Q24:Q35" si="10">IFERROR(O24/P24*100," ")</f>
        <v>68.610449512790723</v>
      </c>
    </row>
    <row r="25" spans="1:17" ht="23.1" customHeight="1" x14ac:dyDescent="0.3">
      <c r="A25" s="56" t="s">
        <v>24</v>
      </c>
      <c r="B25" s="70">
        <v>3550</v>
      </c>
      <c r="C25" s="56">
        <v>21798</v>
      </c>
      <c r="D25" s="71">
        <v>23501</v>
      </c>
      <c r="E25" s="70">
        <v>591249</v>
      </c>
      <c r="F25" s="56">
        <v>2888234</v>
      </c>
      <c r="G25" s="56">
        <v>3753949</v>
      </c>
      <c r="H25" s="60">
        <f t="shared" si="7"/>
        <v>76.938551908936432</v>
      </c>
      <c r="I25" s="72">
        <v>12647.425999999999</v>
      </c>
      <c r="J25" s="72">
        <v>443.32900000000001</v>
      </c>
      <c r="K25" s="72">
        <f t="shared" si="8"/>
        <v>13090.754999999999</v>
      </c>
      <c r="L25" s="73">
        <v>293229</v>
      </c>
      <c r="M25" s="72">
        <v>72343</v>
      </c>
      <c r="N25" s="72">
        <v>2114</v>
      </c>
      <c r="O25" s="60">
        <f t="shared" si="9"/>
        <v>367686</v>
      </c>
      <c r="P25" s="73">
        <v>541825</v>
      </c>
      <c r="Q25" s="60">
        <f t="shared" si="10"/>
        <v>67.86065611590459</v>
      </c>
    </row>
    <row r="26" spans="1:17" ht="23.1" customHeight="1" x14ac:dyDescent="0.3">
      <c r="A26" s="64" t="s">
        <v>25</v>
      </c>
      <c r="B26" s="65">
        <v>3377</v>
      </c>
      <c r="C26" s="64">
        <v>20466</v>
      </c>
      <c r="D26" s="66">
        <v>21691</v>
      </c>
      <c r="E26" s="65">
        <v>598024</v>
      </c>
      <c r="F26" s="64">
        <v>2847253.95</v>
      </c>
      <c r="G26" s="64">
        <v>3571847.59</v>
      </c>
      <c r="H26" s="67">
        <f t="shared" si="7"/>
        <v>79.713758167380263</v>
      </c>
      <c r="I26" s="68">
        <v>11976.2549</v>
      </c>
      <c r="J26" s="68">
        <v>361.94299999999998</v>
      </c>
      <c r="K26" s="68">
        <f t="shared" si="8"/>
        <v>12338.197899999999</v>
      </c>
      <c r="L26" s="69">
        <v>278208.28000000003</v>
      </c>
      <c r="M26" s="68">
        <v>69873.77</v>
      </c>
      <c r="N26" s="68">
        <v>1799.27</v>
      </c>
      <c r="O26" s="67">
        <f t="shared" si="9"/>
        <v>349881.32000000007</v>
      </c>
      <c r="P26" s="69">
        <v>515484.1</v>
      </c>
      <c r="Q26" s="67">
        <f t="shared" si="10"/>
        <v>67.874318528932335</v>
      </c>
    </row>
    <row r="27" spans="1:17" s="30" customFormat="1" ht="30" customHeight="1" x14ac:dyDescent="0.25">
      <c r="A27" s="56" t="s">
        <v>26</v>
      </c>
      <c r="B27" s="70">
        <v>3444</v>
      </c>
      <c r="C27" s="56">
        <v>21090.01666666667</v>
      </c>
      <c r="D27" s="71">
        <v>22978.25</v>
      </c>
      <c r="E27" s="70">
        <v>598769</v>
      </c>
      <c r="F27" s="56">
        <v>3033451.7609999999</v>
      </c>
      <c r="G27" s="56">
        <v>3699470.25</v>
      </c>
      <c r="H27" s="60">
        <f t="shared" si="7"/>
        <v>81.996922694539847</v>
      </c>
      <c r="I27" s="72">
        <v>12780.7667</v>
      </c>
      <c r="J27" s="72">
        <v>499.62299999999999</v>
      </c>
      <c r="K27" s="72">
        <f t="shared" si="8"/>
        <v>13280.3897</v>
      </c>
      <c r="L27" s="73">
        <v>309111.685963</v>
      </c>
      <c r="M27" s="72">
        <v>71505.873342300009</v>
      </c>
      <c r="N27" s="72">
        <v>2461.2669999999998</v>
      </c>
      <c r="O27" s="60">
        <f t="shared" si="9"/>
        <v>383078.8263053</v>
      </c>
      <c r="P27" s="73">
        <v>534654.32517600025</v>
      </c>
      <c r="Q27" s="60">
        <f t="shared" si="10"/>
        <v>71.649813396570977</v>
      </c>
    </row>
    <row r="28" spans="1:17" ht="23.1" customHeight="1" x14ac:dyDescent="0.3">
      <c r="A28" s="64" t="s">
        <v>27</v>
      </c>
      <c r="B28" s="65">
        <v>3432</v>
      </c>
      <c r="C28" s="64">
        <v>20627.799999999988</v>
      </c>
      <c r="D28" s="66">
        <v>21460.312000000002</v>
      </c>
      <c r="E28" s="65">
        <v>628878</v>
      </c>
      <c r="F28" s="64">
        <v>3178287.3280000002</v>
      </c>
      <c r="G28" s="64">
        <v>3635967.6880000001</v>
      </c>
      <c r="H28" s="67">
        <f t="shared" si="7"/>
        <v>87.412419491226245</v>
      </c>
      <c r="I28" s="68">
        <v>10441.590600000005</v>
      </c>
      <c r="J28" s="68">
        <v>529.48500000000001</v>
      </c>
      <c r="K28" s="68">
        <f t="shared" si="8"/>
        <v>10971.075600000006</v>
      </c>
      <c r="L28" s="69">
        <v>324297.22952399985</v>
      </c>
      <c r="M28" s="68">
        <v>57970.625595599988</v>
      </c>
      <c r="N28" s="68">
        <v>2633</v>
      </c>
      <c r="O28" s="67">
        <f t="shared" si="9"/>
        <v>384900.85511959984</v>
      </c>
      <c r="P28" s="69">
        <v>524457.03099999996</v>
      </c>
      <c r="Q28" s="67">
        <f t="shared" si="10"/>
        <v>73.390350852136805</v>
      </c>
    </row>
    <row r="29" spans="1:17" ht="23.1" customHeight="1" x14ac:dyDescent="0.3">
      <c r="A29" s="56" t="s">
        <v>28</v>
      </c>
      <c r="B29" s="70">
        <v>3570</v>
      </c>
      <c r="C29" s="56">
        <v>20627.799999999988</v>
      </c>
      <c r="D29" s="71">
        <v>22005.206999999999</v>
      </c>
      <c r="E29" s="70">
        <v>598692</v>
      </c>
      <c r="F29" s="56">
        <v>3073593.7560000001</v>
      </c>
      <c r="G29" s="56">
        <v>3676071.2960000001</v>
      </c>
      <c r="H29" s="60">
        <f t="shared" si="7"/>
        <v>83.61083092551641</v>
      </c>
      <c r="I29" s="72">
        <v>11276.227800000004</v>
      </c>
      <c r="J29" s="72">
        <v>618.28700000000015</v>
      </c>
      <c r="K29" s="72">
        <f t="shared" si="8"/>
        <v>11894.514800000004</v>
      </c>
      <c r="L29" s="73">
        <v>315165.31724399945</v>
      </c>
      <c r="M29" s="72">
        <v>61163.150191499968</v>
      </c>
      <c r="N29" s="72">
        <v>3239.2840000000042</v>
      </c>
      <c r="O29" s="60">
        <f t="shared" si="9"/>
        <v>379567.75143549941</v>
      </c>
      <c r="P29" s="73">
        <v>531316.3245720003</v>
      </c>
      <c r="Q29" s="60">
        <f t="shared" si="10"/>
        <v>71.439128421521531</v>
      </c>
    </row>
    <row r="30" spans="1:17" ht="23.1" customHeight="1" x14ac:dyDescent="0.3">
      <c r="A30" s="64" t="s">
        <v>29</v>
      </c>
      <c r="B30" s="65">
        <v>3646</v>
      </c>
      <c r="C30" s="64">
        <v>20729</v>
      </c>
      <c r="D30" s="66">
        <v>21977.857</v>
      </c>
      <c r="E30" s="65">
        <v>622467</v>
      </c>
      <c r="F30" s="64">
        <v>3125299.8509999998</v>
      </c>
      <c r="G30" s="64">
        <v>3753964.6469999999</v>
      </c>
      <c r="H30" s="67">
        <f t="shared" si="7"/>
        <v>83.253310696401982</v>
      </c>
      <c r="I30" s="68">
        <v>9777.9922999999999</v>
      </c>
      <c r="J30" s="68">
        <v>525.678</v>
      </c>
      <c r="K30" s="68">
        <f t="shared" si="8"/>
        <v>10303.6703</v>
      </c>
      <c r="L30" s="69">
        <v>317913.84925699997</v>
      </c>
      <c r="M30" s="68">
        <v>52482.428330799979</v>
      </c>
      <c r="N30" s="68">
        <v>2971.8380000000002</v>
      </c>
      <c r="O30" s="67">
        <f t="shared" si="9"/>
        <v>373368.11558779993</v>
      </c>
      <c r="P30" s="69">
        <v>540376.65082000033</v>
      </c>
      <c r="Q30" s="67">
        <f t="shared" si="10"/>
        <v>69.094050422280191</v>
      </c>
    </row>
    <row r="31" spans="1:17" ht="23.1" customHeight="1" x14ac:dyDescent="0.3">
      <c r="A31" s="56" t="s">
        <v>30</v>
      </c>
      <c r="B31" s="70">
        <v>3535</v>
      </c>
      <c r="C31" s="56">
        <v>20209.783333333322</v>
      </c>
      <c r="D31" s="71">
        <v>21114.621999999999</v>
      </c>
      <c r="E31" s="70">
        <v>556384</v>
      </c>
      <c r="F31" s="56">
        <v>2745510.74</v>
      </c>
      <c r="G31" s="56">
        <v>3688583.926</v>
      </c>
      <c r="H31" s="60">
        <f t="shared" si="7"/>
        <v>74.432649360300886</v>
      </c>
      <c r="I31" s="72">
        <v>9787.2104999999992</v>
      </c>
      <c r="J31" s="72">
        <v>657.08</v>
      </c>
      <c r="K31" s="72">
        <f t="shared" si="8"/>
        <v>10444.290499999999</v>
      </c>
      <c r="L31" s="73">
        <v>276778.50569400011</v>
      </c>
      <c r="M31" s="72">
        <v>53232.04035070003</v>
      </c>
      <c r="N31" s="72">
        <v>3584.83</v>
      </c>
      <c r="O31" s="60">
        <f t="shared" si="9"/>
        <v>333595.37604470016</v>
      </c>
      <c r="P31" s="73">
        <v>533128.03586800001</v>
      </c>
      <c r="Q31" s="60">
        <f t="shared" si="10"/>
        <v>62.573219489679367</v>
      </c>
    </row>
    <row r="32" spans="1:17" ht="23.1" customHeight="1" x14ac:dyDescent="0.3">
      <c r="A32" s="64" t="s">
        <v>31</v>
      </c>
      <c r="B32" s="65">
        <v>3733</v>
      </c>
      <c r="C32" s="64">
        <v>21673.349999999991</v>
      </c>
      <c r="D32" s="66">
        <v>21830.796999999999</v>
      </c>
      <c r="E32" s="65">
        <v>587118</v>
      </c>
      <c r="F32" s="64">
        <v>2920520.1340000001</v>
      </c>
      <c r="G32" s="64">
        <v>3983835.3119999999</v>
      </c>
      <c r="H32" s="67">
        <f t="shared" si="7"/>
        <v>73.309258673492067</v>
      </c>
      <c r="I32" s="68">
        <v>10530.912900000001</v>
      </c>
      <c r="J32" s="68">
        <v>583.93399999999997</v>
      </c>
      <c r="K32" s="68">
        <f t="shared" si="8"/>
        <v>11114.8469</v>
      </c>
      <c r="L32" s="69">
        <v>295101.34915700008</v>
      </c>
      <c r="M32" s="68">
        <v>59294.869637500036</v>
      </c>
      <c r="N32" s="68">
        <v>3108.6619999999998</v>
      </c>
      <c r="O32" s="67">
        <f t="shared" si="9"/>
        <v>357504.88079450012</v>
      </c>
      <c r="P32" s="69">
        <v>572728.20960000076</v>
      </c>
      <c r="Q32" s="67">
        <f t="shared" si="10"/>
        <v>62.421385013353046</v>
      </c>
    </row>
    <row r="33" spans="1:17" ht="23.1" customHeight="1" x14ac:dyDescent="0.3">
      <c r="A33" s="56" t="s">
        <v>32</v>
      </c>
      <c r="B33" s="70">
        <v>3762</v>
      </c>
      <c r="C33" s="56">
        <v>21881</v>
      </c>
      <c r="D33" s="71">
        <v>21666.84</v>
      </c>
      <c r="E33" s="70">
        <v>624138</v>
      </c>
      <c r="F33" s="56">
        <v>3090911.4530000002</v>
      </c>
      <c r="G33" s="56">
        <v>3938280.798</v>
      </c>
      <c r="H33" s="60">
        <f t="shared" si="7"/>
        <v>78.483775320684998</v>
      </c>
      <c r="I33" s="72">
        <v>11444.099700000004</v>
      </c>
      <c r="J33" s="72">
        <v>614.55499999999927</v>
      </c>
      <c r="K33" s="72">
        <f t="shared" si="8"/>
        <v>12058.654700000003</v>
      </c>
      <c r="L33" s="73">
        <v>313830.21394099982</v>
      </c>
      <c r="M33" s="72">
        <v>65637.603997700033</v>
      </c>
      <c r="N33" s="72">
        <v>3490.1250000000059</v>
      </c>
      <c r="O33" s="60">
        <f t="shared" si="9"/>
        <v>382957.94293869985</v>
      </c>
      <c r="P33" s="73">
        <v>564040.95904799993</v>
      </c>
      <c r="Q33" s="60">
        <f t="shared" si="10"/>
        <v>67.895413763047316</v>
      </c>
    </row>
    <row r="34" spans="1:17" ht="23.1" customHeight="1" x14ac:dyDescent="0.3">
      <c r="A34" s="64" t="s">
        <v>33</v>
      </c>
      <c r="B34" s="74">
        <v>3885</v>
      </c>
      <c r="C34" s="75">
        <v>22670.399999999998</v>
      </c>
      <c r="D34" s="76">
        <v>22430.362000000001</v>
      </c>
      <c r="E34" s="74">
        <v>680680</v>
      </c>
      <c r="F34" s="75">
        <v>3308630.43</v>
      </c>
      <c r="G34" s="75">
        <v>4075417.452</v>
      </c>
      <c r="H34" s="67">
        <f t="shared" si="7"/>
        <v>81.185068007604926</v>
      </c>
      <c r="I34" s="77">
        <v>12556.274000000001</v>
      </c>
      <c r="J34" s="77">
        <v>639.37599999999952</v>
      </c>
      <c r="K34" s="77">
        <f t="shared" si="8"/>
        <v>13195.650000000001</v>
      </c>
      <c r="L34" s="78">
        <v>334940.56753700005</v>
      </c>
      <c r="M34" s="77">
        <v>72526.41696019996</v>
      </c>
      <c r="N34" s="77">
        <v>3575.6990000000001</v>
      </c>
      <c r="O34" s="79">
        <f t="shared" si="9"/>
        <v>411042.68349720002</v>
      </c>
      <c r="P34" s="78">
        <v>584291.94234800048</v>
      </c>
      <c r="Q34" s="79">
        <f t="shared" si="10"/>
        <v>70.348853664729418</v>
      </c>
    </row>
    <row r="35" spans="1:17" ht="23.1" customHeight="1" x14ac:dyDescent="0.3">
      <c r="A35" s="80" t="s">
        <v>34</v>
      </c>
      <c r="B35" s="81">
        <f>SUM(B23:B34)</f>
        <v>42721</v>
      </c>
      <c r="C35" s="81">
        <f t="shared" ref="C35:G35" si="11">SUM(C23:C34)</f>
        <v>253478.14999999994</v>
      </c>
      <c r="D35" s="81">
        <f t="shared" si="11"/>
        <v>262214.24699999997</v>
      </c>
      <c r="E35" s="81">
        <f t="shared" si="11"/>
        <v>7265817</v>
      </c>
      <c r="F35" s="81">
        <f t="shared" si="11"/>
        <v>36249929.076000005</v>
      </c>
      <c r="G35" s="81">
        <f t="shared" si="11"/>
        <v>45141278.737999998</v>
      </c>
      <c r="H35" s="82">
        <f t="shared" si="7"/>
        <v>80.303283578638982</v>
      </c>
      <c r="I35" s="83">
        <f t="shared" ref="I35:J35" si="12">SUM(I23:I34)</f>
        <v>134605.02540000001</v>
      </c>
      <c r="J35" s="83">
        <f t="shared" si="12"/>
        <v>6380.5679999999993</v>
      </c>
      <c r="K35" s="83">
        <f t="shared" si="8"/>
        <v>140985.59340000001</v>
      </c>
      <c r="L35" s="83">
        <f t="shared" ref="L35:N35" si="13">SUM(L23:L34)</f>
        <v>3674475.6453169989</v>
      </c>
      <c r="M35" s="83">
        <f t="shared" si="13"/>
        <v>755656.93340629991</v>
      </c>
      <c r="N35" s="83">
        <f t="shared" si="13"/>
        <v>34086.769000000008</v>
      </c>
      <c r="O35" s="83">
        <f t="shared" si="9"/>
        <v>4464219.3477232987</v>
      </c>
      <c r="P35" s="83">
        <f>SUM(P23:P34)</f>
        <v>6503298.9784320025</v>
      </c>
      <c r="Q35" s="83">
        <f t="shared" si="10"/>
        <v>68.645457675077665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300</v>
      </c>
      <c r="C42" s="94">
        <v>443.37</v>
      </c>
      <c r="D42" s="95">
        <v>253.97</v>
      </c>
      <c r="E42" s="93">
        <v>28903</v>
      </c>
      <c r="F42" s="94">
        <v>15459.5</v>
      </c>
      <c r="G42" s="94">
        <v>26796.97</v>
      </c>
      <c r="H42" s="96">
        <f t="shared" ref="H42:H54" si="14">IFERROR(F42/G42*100," ")</f>
        <v>57.691224045106594</v>
      </c>
      <c r="I42" s="97">
        <v>0</v>
      </c>
      <c r="J42" s="98">
        <v>0</v>
      </c>
      <c r="K42" s="96">
        <f>IF(AND(ISBLANK(I42),ISBLANK(J42))=TRUE,"",I42+J42)</f>
        <v>0</v>
      </c>
      <c r="L42" s="97">
        <v>1159.46</v>
      </c>
      <c r="M42" s="98">
        <v>0</v>
      </c>
      <c r="N42" s="98">
        <v>0</v>
      </c>
      <c r="O42" s="96">
        <f>IF(AND(ISBLANK(L42),ISBLANK(M42),ISBLANK(N42))=TRUE,"",L42+M42+N42)</f>
        <v>1159.46</v>
      </c>
      <c r="P42" s="97">
        <v>2620.08</v>
      </c>
      <c r="Q42" s="96">
        <f>IFERROR(O42/P42*100," ")</f>
        <v>44.252847241305609</v>
      </c>
    </row>
    <row r="43" spans="1:17" ht="25.5" customHeight="1" x14ac:dyDescent="0.3">
      <c r="A43" s="99" t="s">
        <v>23</v>
      </c>
      <c r="B43" s="100">
        <v>207</v>
      </c>
      <c r="C43" s="101">
        <v>325.21699999999998</v>
      </c>
      <c r="D43" s="102">
        <v>166.44499999999999</v>
      </c>
      <c r="E43" s="100">
        <v>24088</v>
      </c>
      <c r="F43" s="101">
        <v>15594</v>
      </c>
      <c r="G43" s="101">
        <v>20705</v>
      </c>
      <c r="H43" s="103">
        <f t="shared" si="14"/>
        <v>75.315141270224586</v>
      </c>
      <c r="I43" s="104">
        <v>0</v>
      </c>
      <c r="J43" s="105">
        <v>0</v>
      </c>
      <c r="K43" s="103">
        <f t="shared" ref="K43:K54" si="15">IF(AND(ISBLANK(I43),ISBLANK(J43))=TRUE,"",I43+J43)</f>
        <v>0</v>
      </c>
      <c r="L43" s="104">
        <v>1170</v>
      </c>
      <c r="M43" s="105">
        <v>0</v>
      </c>
      <c r="N43" s="105">
        <v>0</v>
      </c>
      <c r="O43" s="103">
        <f t="shared" ref="O43:O54" si="16">IF(AND(ISBLANK(L43),ISBLANK(M43),ISBLANK(N43))=TRUE,"",L43+M43+N43)</f>
        <v>1170</v>
      </c>
      <c r="P43" s="104">
        <v>2020</v>
      </c>
      <c r="Q43" s="103">
        <f t="shared" ref="Q43:Q54" si="17">IFERROR(O43/P43*100," ")</f>
        <v>57.920792079207914</v>
      </c>
    </row>
    <row r="44" spans="1:17" ht="25.5" customHeight="1" x14ac:dyDescent="0.3">
      <c r="A44" s="92" t="s">
        <v>24</v>
      </c>
      <c r="B44" s="106">
        <v>282</v>
      </c>
      <c r="C44" s="107">
        <v>429.5</v>
      </c>
      <c r="D44" s="108">
        <v>227.995</v>
      </c>
      <c r="E44" s="106">
        <v>31276</v>
      </c>
      <c r="F44" s="107">
        <v>19832.509999999998</v>
      </c>
      <c r="G44" s="107">
        <v>28728.114000000001</v>
      </c>
      <c r="H44" s="109">
        <f t="shared" si="14"/>
        <v>69.035196671803789</v>
      </c>
      <c r="I44" s="110">
        <v>0</v>
      </c>
      <c r="J44" s="111">
        <v>0</v>
      </c>
      <c r="K44" s="109">
        <f t="shared" si="15"/>
        <v>0</v>
      </c>
      <c r="L44" s="110">
        <v>1487.4380000000001</v>
      </c>
      <c r="M44" s="111">
        <v>0</v>
      </c>
      <c r="N44" s="111">
        <v>0</v>
      </c>
      <c r="O44" s="109">
        <f t="shared" si="16"/>
        <v>1487.4380000000001</v>
      </c>
      <c r="P44" s="110">
        <v>2883.2049999999999</v>
      </c>
      <c r="Q44" s="109">
        <f t="shared" si="17"/>
        <v>51.589741277501957</v>
      </c>
    </row>
    <row r="45" spans="1:17" ht="25.5" customHeight="1" x14ac:dyDescent="0.3">
      <c r="A45" s="99" t="s">
        <v>25</v>
      </c>
      <c r="B45" s="100">
        <v>254</v>
      </c>
      <c r="C45" s="112">
        <v>382.37</v>
      </c>
      <c r="D45" s="102">
        <v>198</v>
      </c>
      <c r="E45" s="100">
        <v>27477</v>
      </c>
      <c r="F45" s="101">
        <v>17209.490000000002</v>
      </c>
      <c r="G45" s="101">
        <v>24926.46</v>
      </c>
      <c r="H45" s="103">
        <f t="shared" si="14"/>
        <v>69.041051156080741</v>
      </c>
      <c r="I45" s="104">
        <v>0</v>
      </c>
      <c r="J45" s="105">
        <v>0</v>
      </c>
      <c r="K45" s="103">
        <f t="shared" si="15"/>
        <v>0</v>
      </c>
      <c r="L45" s="104">
        <v>1290.71</v>
      </c>
      <c r="M45" s="105">
        <v>0</v>
      </c>
      <c r="N45" s="105">
        <v>0</v>
      </c>
      <c r="O45" s="103">
        <f t="shared" si="16"/>
        <v>1290.71</v>
      </c>
      <c r="P45" s="104">
        <v>2427.6799999999998</v>
      </c>
      <c r="Q45" s="103">
        <f t="shared" si="17"/>
        <v>53.166397548276542</v>
      </c>
    </row>
    <row r="46" spans="1:17" ht="25.5" customHeight="1" x14ac:dyDescent="0.3">
      <c r="A46" s="92" t="s">
        <v>26</v>
      </c>
      <c r="B46" s="106">
        <v>292</v>
      </c>
      <c r="C46" s="113">
        <v>451.88333333333298</v>
      </c>
      <c r="D46" s="108">
        <v>240.303</v>
      </c>
      <c r="E46" s="106">
        <v>34791</v>
      </c>
      <c r="F46" s="107">
        <v>23833.670999999998</v>
      </c>
      <c r="G46" s="107">
        <v>31230.923999999999</v>
      </c>
      <c r="H46" s="109">
        <f t="shared" si="14"/>
        <v>76.314331910256641</v>
      </c>
      <c r="I46" s="110">
        <v>0</v>
      </c>
      <c r="J46" s="111">
        <v>0</v>
      </c>
      <c r="K46" s="109">
        <f t="shared" si="15"/>
        <v>0</v>
      </c>
      <c r="L46" s="110">
        <v>1787.5253250000003</v>
      </c>
      <c r="M46" s="111">
        <v>0</v>
      </c>
      <c r="N46" s="111">
        <v>0</v>
      </c>
      <c r="O46" s="109">
        <f t="shared" si="16"/>
        <v>1787.5253250000003</v>
      </c>
      <c r="P46" s="110">
        <v>3127.9144599999977</v>
      </c>
      <c r="Q46" s="109">
        <f t="shared" si="17"/>
        <v>57.14751307489405</v>
      </c>
    </row>
    <row r="47" spans="1:17" ht="25.5" customHeight="1" x14ac:dyDescent="0.3">
      <c r="A47" s="99" t="s">
        <v>27</v>
      </c>
      <c r="B47" s="114">
        <v>294</v>
      </c>
      <c r="C47" s="115">
        <v>443.11666666666673</v>
      </c>
      <c r="D47" s="102">
        <v>235.17</v>
      </c>
      <c r="E47" s="114">
        <v>35524</v>
      </c>
      <c r="F47" s="115">
        <v>22326.876</v>
      </c>
      <c r="G47" s="115">
        <v>28898.024000000001</v>
      </c>
      <c r="H47" s="103">
        <f t="shared" si="14"/>
        <v>77.260908911972663</v>
      </c>
      <c r="I47" s="116">
        <v>0</v>
      </c>
      <c r="J47" s="117">
        <v>0</v>
      </c>
      <c r="K47" s="103">
        <f t="shared" si="15"/>
        <v>0</v>
      </c>
      <c r="L47" s="116">
        <v>1674.5157000000004</v>
      </c>
      <c r="M47" s="117">
        <v>0</v>
      </c>
      <c r="N47" s="117">
        <v>0</v>
      </c>
      <c r="O47" s="103">
        <f t="shared" si="16"/>
        <v>1674.5157000000004</v>
      </c>
      <c r="P47" s="116">
        <v>2863.0594599999927</v>
      </c>
      <c r="Q47" s="103">
        <f t="shared" si="17"/>
        <v>58.486934113481695</v>
      </c>
    </row>
    <row r="48" spans="1:17" s="125" customFormat="1" ht="25.5" customHeight="1" x14ac:dyDescent="0.3">
      <c r="A48" s="118" t="s">
        <v>28</v>
      </c>
      <c r="B48" s="119">
        <v>325</v>
      </c>
      <c r="C48" s="120">
        <v>465.58300000000003</v>
      </c>
      <c r="D48" s="121">
        <v>229.88</v>
      </c>
      <c r="E48" s="119">
        <v>39926</v>
      </c>
      <c r="F48" s="120">
        <v>22373.242999999999</v>
      </c>
      <c r="G48" s="120">
        <v>28898.024000000001</v>
      </c>
      <c r="H48" s="122">
        <f t="shared" si="14"/>
        <v>77.421359328928503</v>
      </c>
      <c r="I48" s="123">
        <v>0</v>
      </c>
      <c r="J48" s="124">
        <v>0</v>
      </c>
      <c r="K48" s="122">
        <f t="shared" si="15"/>
        <v>0</v>
      </c>
      <c r="L48" s="123">
        <v>1677.9932249999999</v>
      </c>
      <c r="M48" s="124">
        <v>0</v>
      </c>
      <c r="N48" s="124">
        <v>0</v>
      </c>
      <c r="O48" s="122">
        <f t="shared" si="16"/>
        <v>1677.9932249999999</v>
      </c>
      <c r="P48" s="123">
        <v>2746.5334199999911</v>
      </c>
      <c r="Q48" s="122">
        <f t="shared" si="17"/>
        <v>61.094950193615539</v>
      </c>
    </row>
    <row r="49" spans="1:17" ht="25.5" customHeight="1" x14ac:dyDescent="0.3">
      <c r="A49" s="99" t="s">
        <v>29</v>
      </c>
      <c r="B49" s="114">
        <v>309</v>
      </c>
      <c r="C49" s="115">
        <v>446.517</v>
      </c>
      <c r="D49" s="126">
        <v>217.53899999999999</v>
      </c>
      <c r="E49" s="114">
        <v>36266</v>
      </c>
      <c r="F49" s="115">
        <v>20646.010999999999</v>
      </c>
      <c r="G49" s="115">
        <v>26676.06</v>
      </c>
      <c r="H49" s="103">
        <f t="shared" si="14"/>
        <v>77.395278763055714</v>
      </c>
      <c r="I49" s="116">
        <v>0</v>
      </c>
      <c r="J49" s="117">
        <v>0</v>
      </c>
      <c r="K49" s="103">
        <f t="shared" si="15"/>
        <v>0</v>
      </c>
      <c r="L49" s="116">
        <v>1548.4508249999997</v>
      </c>
      <c r="M49" s="117">
        <v>0</v>
      </c>
      <c r="N49" s="117">
        <v>0</v>
      </c>
      <c r="O49" s="103">
        <f t="shared" si="16"/>
        <v>1548.4508249999997</v>
      </c>
      <c r="P49" s="116">
        <v>2608.7408199999941</v>
      </c>
      <c r="Q49" s="103">
        <f t="shared" si="17"/>
        <v>59.356253911034486</v>
      </c>
    </row>
    <row r="50" spans="1:17" ht="25.5" customHeight="1" x14ac:dyDescent="0.3">
      <c r="A50" s="92" t="s">
        <v>30</v>
      </c>
      <c r="B50" s="127">
        <v>319</v>
      </c>
      <c r="C50" s="128">
        <v>461.15</v>
      </c>
      <c r="D50" s="129">
        <v>229.40899999999999</v>
      </c>
      <c r="E50" s="127">
        <v>38019</v>
      </c>
      <c r="F50" s="128">
        <v>22630.493999999999</v>
      </c>
      <c r="G50" s="128">
        <v>28583.64</v>
      </c>
      <c r="H50" s="109">
        <f t="shared" si="14"/>
        <v>79.172890506597483</v>
      </c>
      <c r="I50" s="130">
        <v>0</v>
      </c>
      <c r="J50" s="131">
        <v>0</v>
      </c>
      <c r="K50" s="109">
        <f t="shared" si="15"/>
        <v>0</v>
      </c>
      <c r="L50" s="130">
        <v>1697.2870500000001</v>
      </c>
      <c r="M50" s="131">
        <v>0</v>
      </c>
      <c r="N50" s="131">
        <v>0</v>
      </c>
      <c r="O50" s="109">
        <f t="shared" si="16"/>
        <v>1697.2870500000001</v>
      </c>
      <c r="P50" s="130">
        <v>2811.1599399999968</v>
      </c>
      <c r="Q50" s="109">
        <f t="shared" si="17"/>
        <v>60.376751455842182</v>
      </c>
    </row>
    <row r="51" spans="1:17" ht="25.5" customHeight="1" x14ac:dyDescent="0.3">
      <c r="A51" s="99" t="s">
        <v>31</v>
      </c>
      <c r="B51" s="114">
        <v>308</v>
      </c>
      <c r="C51" s="115">
        <v>427.53300000000002</v>
      </c>
      <c r="D51" s="126">
        <v>226.60300000000001</v>
      </c>
      <c r="E51" s="114">
        <v>35182</v>
      </c>
      <c r="F51" s="115">
        <v>19639.34</v>
      </c>
      <c r="G51" s="115">
        <v>26293.18</v>
      </c>
      <c r="H51" s="103">
        <f t="shared" si="14"/>
        <v>74.693665809917249</v>
      </c>
      <c r="I51" s="116">
        <v>0</v>
      </c>
      <c r="J51" s="117">
        <v>14.061999999999999</v>
      </c>
      <c r="K51" s="103">
        <f t="shared" si="15"/>
        <v>14.061999999999999</v>
      </c>
      <c r="L51" s="116">
        <v>1472.9505000000001</v>
      </c>
      <c r="M51" s="117">
        <v>0</v>
      </c>
      <c r="N51" s="117">
        <v>5.9569999999999999</v>
      </c>
      <c r="O51" s="103">
        <f t="shared" si="16"/>
        <v>1478.9075000000003</v>
      </c>
      <c r="P51" s="116">
        <v>2611.313439999989</v>
      </c>
      <c r="Q51" s="103">
        <f t="shared" si="17"/>
        <v>56.634622153976522</v>
      </c>
    </row>
    <row r="52" spans="1:17" ht="25.5" customHeight="1" x14ac:dyDescent="0.3">
      <c r="A52" s="92" t="s">
        <v>32</v>
      </c>
      <c r="B52" s="127">
        <v>295</v>
      </c>
      <c r="C52" s="128">
        <v>430.3</v>
      </c>
      <c r="D52" s="129">
        <v>227.29</v>
      </c>
      <c r="E52" s="127">
        <v>36070</v>
      </c>
      <c r="F52" s="128">
        <v>20695.463</v>
      </c>
      <c r="G52" s="128">
        <v>25848.346000000001</v>
      </c>
      <c r="H52" s="109">
        <f t="shared" si="14"/>
        <v>80.064941099132596</v>
      </c>
      <c r="I52" s="130">
        <v>0</v>
      </c>
      <c r="J52" s="131">
        <v>8.5859999999999985</v>
      </c>
      <c r="K52" s="109">
        <f t="shared" si="15"/>
        <v>8.5859999999999985</v>
      </c>
      <c r="L52" s="130">
        <v>1552.1597249999998</v>
      </c>
      <c r="M52" s="131">
        <v>0</v>
      </c>
      <c r="N52" s="131">
        <v>5.9569999999999999</v>
      </c>
      <c r="O52" s="109">
        <f t="shared" si="16"/>
        <v>1558.1167249999999</v>
      </c>
      <c r="P52" s="130">
        <v>2590.1740799999898</v>
      </c>
      <c r="Q52" s="109">
        <f t="shared" si="17"/>
        <v>60.15490375843796</v>
      </c>
    </row>
    <row r="53" spans="1:17" ht="25.5" customHeight="1" x14ac:dyDescent="0.3">
      <c r="A53" s="99" t="s">
        <v>33</v>
      </c>
      <c r="B53" s="132">
        <v>279</v>
      </c>
      <c r="C53" s="133">
        <v>399.41666666666674</v>
      </c>
      <c r="D53" s="134">
        <v>200.97900000000001</v>
      </c>
      <c r="E53" s="132">
        <v>34733</v>
      </c>
      <c r="F53" s="133">
        <v>19113.275000000001</v>
      </c>
      <c r="G53" s="133">
        <v>23140.833999999999</v>
      </c>
      <c r="H53" s="135">
        <f t="shared" si="14"/>
        <v>82.595445782118333</v>
      </c>
      <c r="I53" s="136">
        <v>0</v>
      </c>
      <c r="J53" s="137">
        <v>9.1969999999999956</v>
      </c>
      <c r="K53" s="135">
        <f t="shared" si="15"/>
        <v>9.1969999999999956</v>
      </c>
      <c r="L53" s="136">
        <v>1433.495625</v>
      </c>
      <c r="M53" s="137">
        <v>0</v>
      </c>
      <c r="N53" s="137">
        <v>4.8310000000000004</v>
      </c>
      <c r="O53" s="135">
        <f t="shared" si="16"/>
        <v>1438.3266249999999</v>
      </c>
      <c r="P53" s="136">
        <v>2310.8648599999901</v>
      </c>
      <c r="Q53" s="135">
        <f t="shared" si="17"/>
        <v>62.241918594928393</v>
      </c>
    </row>
    <row r="54" spans="1:17" ht="25.5" customHeight="1" x14ac:dyDescent="0.3">
      <c r="A54" s="138" t="s">
        <v>34</v>
      </c>
      <c r="B54" s="139">
        <f>SUM(B42:B53)</f>
        <v>3464</v>
      </c>
      <c r="C54" s="139">
        <f t="shared" ref="C54:G54" si="18">SUM(C42:C53)</f>
        <v>5105.9566666666669</v>
      </c>
      <c r="D54" s="139">
        <f t="shared" si="18"/>
        <v>2653.5829999999996</v>
      </c>
      <c r="E54" s="139">
        <f t="shared" si="18"/>
        <v>402255</v>
      </c>
      <c r="F54" s="139">
        <f t="shared" si="18"/>
        <v>239353.87299999999</v>
      </c>
      <c r="G54" s="139">
        <f t="shared" si="18"/>
        <v>320725.576</v>
      </c>
      <c r="H54" s="140">
        <f t="shared" si="14"/>
        <v>74.628869947060281</v>
      </c>
      <c r="I54" s="140">
        <f t="shared" ref="I54:J54" si="19">SUM(I42:I53)</f>
        <v>0</v>
      </c>
      <c r="J54" s="140">
        <f t="shared" si="19"/>
        <v>31.844999999999992</v>
      </c>
      <c r="K54" s="140">
        <f t="shared" si="15"/>
        <v>31.844999999999992</v>
      </c>
      <c r="L54" s="140">
        <f t="shared" ref="L54:N54" si="20">SUM(L42:L53)</f>
        <v>17951.985975000003</v>
      </c>
      <c r="M54" s="140">
        <f t="shared" si="20"/>
        <v>0</v>
      </c>
      <c r="N54" s="140">
        <f t="shared" si="20"/>
        <v>16.745000000000001</v>
      </c>
      <c r="O54" s="140">
        <f t="shared" si="16"/>
        <v>17968.730975000002</v>
      </c>
      <c r="P54" s="141">
        <f>SUM(P42:P53)</f>
        <v>31620.725479999946</v>
      </c>
      <c r="Q54" s="140">
        <f t="shared" si="17"/>
        <v>56.825802388263334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2020-02-03T07:13:34Z</dcterms:created>
  <dcterms:modified xsi:type="dcterms:W3CDTF">2020-02-03T07:13:40Z</dcterms:modified>
</cp:coreProperties>
</file>