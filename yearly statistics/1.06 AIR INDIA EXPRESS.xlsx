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nnual Report 2024-25\01 Airline Wise Air Transport Operating and Traffic Statistics\AIR INDIA EXPRESS\"/>
    </mc:Choice>
  </mc:AlternateContent>
  <bookViews>
    <workbookView xWindow="0" yWindow="0" windowWidth="24000" windowHeight="10725"/>
  </bookViews>
  <sheets>
    <sheet name="AIR INDIA EXPRES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B18" i="1"/>
  <c r="B17" i="1"/>
  <c r="Q16" i="1" l="1"/>
  <c r="Q15" i="1"/>
  <c r="Q14" i="1"/>
  <c r="Q13" i="1"/>
  <c r="Q12" i="1"/>
  <c r="Q11" i="1"/>
  <c r="Q10" i="1"/>
  <c r="Q9" i="1"/>
  <c r="Q8" i="1"/>
  <c r="Q7" i="1"/>
  <c r="Q6" i="1"/>
  <c r="H16" i="1"/>
  <c r="H15" i="1"/>
  <c r="H14" i="1"/>
  <c r="H13" i="1"/>
  <c r="H12" i="1"/>
  <c r="H11" i="1"/>
  <c r="H10" i="1"/>
  <c r="H9" i="1"/>
  <c r="H8" i="1"/>
  <c r="H7" i="1"/>
  <c r="H6" i="1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<sst xmlns="http://schemas.openxmlformats.org/spreadsheetml/2006/main" count="40" uniqueCount="38">
  <si>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</si>
  <si>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</si>
  <si>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</si>
  <si>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</si>
  <si>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</si>
  <si>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</si>
  <si>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</si>
  <si>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</si>
  <si>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</si>
  <si>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</si>
  <si>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</si>
  <si>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</si>
  <si>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</si>
  <si>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</si>
  <si>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</si>
  <si>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</si>
  <si>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</si>
  <si>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</si>
  <si>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</si>
  <si>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</si>
  <si>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</si>
  <si>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</si>
  <si>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</si>
  <si>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2018-19</t>
  </si>
  <si>
    <t xml:space="preserve">SOURCE: ICAO ATR FORM 'A' FURNISHED BY AIR INDIA EXPRESSS </t>
  </si>
  <si>
    <t>2019-20</t>
  </si>
  <si>
    <t>YEAR ON YEAR GROWTH AND CAGR FOR LAST TEN YEARS OF  AIR INDIA EXPRESS ON TOTAL (DOMESTIC + INTERNATIONAL) SCHEDULED SERVICES (ALL AIR TRAFFIC AND OPERATING STATISTICS)</t>
  </si>
  <si>
    <t>* DENOTES that THE INTERNATIONAL OPERATIONS BY SCHEDULED INDIAN OPERATORS WERE CARRIED AS PER DGCA’S CIRCULAR DATED 26.03.2020 UNDER COVID-19 RESTRICTION.</t>
  </si>
  <si>
    <t>2020-21*</t>
  </si>
  <si>
    <t>2022-23</t>
  </si>
  <si>
    <t>Note: Growth has been calculated with respect to preceeding year while Compound Annual Growth Rate (CAGR) has been calculating taking 2012-13 as a Base Year</t>
  </si>
  <si>
    <t xml:space="preserve">TABLE - 1.06 AIR INDIA EXPRESS </t>
  </si>
  <si>
    <t>2021-22*</t>
  </si>
  <si>
    <t>2023-24</t>
  </si>
  <si>
    <t>YOY growth</t>
  </si>
  <si>
    <t>CAGR last 10 years</t>
  </si>
  <si>
    <t>2024-25</t>
  </si>
  <si>
    <t xml:space="preserve"> तालिका- 1.06 एयर इंडिया एक्सप्रेस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</si>
</sst>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0.0"/>
    <numFmt numFmtId="168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6">
    <xf numFmtId="0" fontId="0" fillId="0" borderId="0" xfId="0"/>
    <xf numFmtId="0" fontId="1" fillId="3" borderId="1" xfId="4" applyBorder="1" applyAlignment="1" applyProtection="1">
      <alignment horizontal="center" vertical="center" wrapText="1"/>
    </xf>
    <xf numFmtId="0" fontId="4" fillId="5" borderId="1" xfId="0" applyFont="1" applyFill="1" applyBorder="1" applyAlignment="1" applyProtection="1">
      <alignment horizontal="center" vertical="center" wrapText="1"/>
    </xf>
    <xf numFmtId="167" fontId="0" fillId="0" borderId="0" xfId="0" applyNumberFormat="1"/>
    <xf numFmtId="168" fontId="1" fillId="3" borderId="1" xfId="4" applyNumberFormat="1" applyBorder="1" applyAlignment="1" applyProtection="1">
      <alignment horizontal="right" vertical="center" wrapText="1"/>
    </xf>
    <xf numFmtId="168" fontId="4" fillId="5" borderId="1" xfId="2" applyNumberFormat="1" applyFont="1" applyFill="1" applyBorder="1" applyAlignment="1" applyProtection="1">
      <alignment horizontal="right" vertical="center" wrapText="1"/>
    </xf>
    <xf numFmtId="0" fontId="4" fillId="2" borderId="1" xfId="3" applyFont="1" applyBorder="1" applyAlignment="1" applyProtection="1">
      <alignment horizontal="center" vertical="center" textRotation="90" wrapText="1"/>
    </xf>
    <xf numFmtId="165" fontId="1" fillId="4" borderId="1" xfId="5" applyNumberFormat="1" applyBorder="1" applyAlignment="1">
      <alignment horizontal="right" vertical="center"/>
    </xf>
    <xf numFmtId="166" fontId="1" fillId="4" borderId="1" xfId="5" applyNumberFormat="1" applyBorder="1" applyAlignment="1">
      <alignment horizontal="right" vertical="center"/>
    </xf>
    <xf numFmtId="164" fontId="1" fillId="4" borderId="1" xfId="5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165" fontId="0" fillId="4" borderId="1" xfId="5" applyNumberFormat="1" applyFont="1" applyBorder="1" applyAlignment="1">
      <alignment horizontal="right" vertical="center"/>
    </xf>
    <xf numFmtId="0" fontId="4" fillId="4" borderId="1" xfId="5" applyFont="1" applyBorder="1" applyAlignment="1">
      <alignment horizontal="center" vertical="center" wrapText="1"/>
    </xf>
    <xf numFmtId="0" fontId="4" fillId="4" borderId="1" xfId="5" quotePrefix="1" applyFont="1" applyBorder="1" applyAlignment="1" applyProtection="1">
      <alignment horizontal="center" vertical="center" wrapText="1"/>
    </xf>
    <xf numFmtId="0" fontId="4" fillId="4" borderId="1" xfId="5" applyFont="1" applyBorder="1"/>
    <xf numFmtId="0" fontId="4" fillId="2" borderId="1" xfId="3" applyFont="1" applyBorder="1" applyAlignment="1" applyProtection="1">
      <alignment horizontal="center" vertical="center" wrapText="1"/>
    </xf>
    <xf numFmtId="0" fontId="4" fillId="2" borderId="1" xfId="3" applyFont="1" applyBorder="1"/>
    <xf numFmtId="0" fontId="4" fillId="2" borderId="1" xfId="3" applyFont="1" applyBorder="1" applyAlignment="1" applyProtection="1">
      <alignment horizontal="center" vertical="center" textRotation="90" wrapText="1"/>
    </xf>
    <xf numFmtId="0" fontId="4" fillId="2" borderId="1" xfId="3" applyFont="1" applyBorder="1" applyAlignment="1">
      <alignment textRotation="90"/>
    </xf>
    <xf numFmtId="0" fontId="2" fillId="0" borderId="1" xfId="0" applyFont="1" applyBorder="1" applyAlignment="1">
      <alignment horizontal="left" wrapText="1"/>
    </xf>
    <xf numFmtId="0" fontId="5" fillId="5" borderId="1" xfId="0" applyFont="1" applyFill="1" applyBorder="1" applyAlignment="1" applyProtection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</cellXfs>
  <cellStyles count="6">
    <cellStyle name="20% - Accent1" xfId="4" builtinId="30"/>
    <cellStyle name="40% - Accent1" xfId="5" builtinId="31"/>
    <cellStyle name="Accent1" xfId="3" builtinId="29"/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tabSelected="1" view="pageBreakPreview" zoomScaleNormal="85" zoomScaleSheetLayoutView="100" workbookViewId="0">
      <selection activeCell="J5" sqref="J5"/>
    </sheetView>
  </sheetViews>
  <sheetFormatPr defaultRowHeight="15" x14ac:dyDescent="0.25"/>
  <cols>
    <col min="1" max="1" width="10.7109375" customWidth="1"/>
    <col min="2" max="2" width="9.42578125" customWidth="1"/>
    <col min="3" max="3" width="11.140625" customWidth="1"/>
    <col min="4" max="4" width="9.7109375" customWidth="1"/>
    <col min="5" max="5" width="12.85546875" customWidth="1"/>
    <col min="6" max="6" width="9.7109375" customWidth="1"/>
    <col min="7" max="7" width="10" customWidth="1"/>
    <col min="8" max="8" width="8.140625" customWidth="1"/>
    <col min="9" max="9" width="11" customWidth="1"/>
    <col min="10" max="10" width="9.42578125" customWidth="1"/>
    <col min="11" max="11" width="11.140625" customWidth="1"/>
    <col min="12" max="12" width="9.28515625" customWidth="1"/>
    <col min="13" max="13" width="10.85546875" customWidth="1"/>
    <col min="14" max="14" width="11.140625" customWidth="1"/>
    <col min="15" max="15" width="10.42578125" customWidth="1"/>
    <col min="16" max="16" width="9.7109375" customWidth="1"/>
    <col min="17" max="17" width="7.5703125" customWidth="1"/>
  </cols>
  <sheetData>
    <row r="1" spans="1:17" x14ac:dyDescent="0.25">
      <c r="A1" s="14" t="s">
        <v>37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15" t="s">
        <v>31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33" customHeight="1" x14ac:dyDescent="0.25">
      <c r="A3" s="17" t="s">
        <v>26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ht="29.45" customHeight="1" x14ac:dyDescent="0.25">
      <c r="A4" s="17" t="s">
        <v>0</v>
      </c>
      <c r="B4" s="17" t="s">
        <v>1</v>
      </c>
      <c r="C4" s="17"/>
      <c r="D4" s="17"/>
      <c r="E4" s="17" t="s">
        <v>2</v>
      </c>
      <c r="F4" s="18"/>
      <c r="G4" s="19" t="s">
        <v>3</v>
      </c>
      <c r="H4" s="19" t="s">
        <v>4</v>
      </c>
      <c r="I4" s="17" t="s">
        <v>5</v>
      </c>
      <c r="J4" s="17"/>
      <c r="K4" s="17"/>
      <c r="L4" s="17" t="s">
        <v>6</v>
      </c>
      <c r="M4" s="17"/>
      <c r="N4" s="17"/>
      <c r="O4" s="17"/>
      <c r="P4" s="19" t="s">
        <v>7</v>
      </c>
      <c r="Q4" s="19" t="s">
        <v>8</v>
      </c>
    </row>
    <row r="5" spans="1:17" ht="119.25" customHeight="1" x14ac:dyDescent="0.25">
      <c r="A5" s="17"/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20"/>
      <c r="H5" s="20"/>
      <c r="I5" s="6" t="s">
        <v>14</v>
      </c>
      <c r="J5" s="6" t="s">
        <v>15</v>
      </c>
      <c r="K5" s="6" t="s">
        <v>16</v>
      </c>
      <c r="L5" s="6" t="s">
        <v>17</v>
      </c>
      <c r="M5" s="6" t="s">
        <v>18</v>
      </c>
      <c r="N5" s="6" t="s">
        <v>15</v>
      </c>
      <c r="O5" s="6" t="s">
        <v>16</v>
      </c>
      <c r="P5" s="20"/>
      <c r="Q5" s="20"/>
    </row>
    <row r="6" spans="1:17" x14ac:dyDescent="0.25">
      <c r="A6" s="7" t="s">
        <v>19</v>
      </c>
      <c r="B6" s="7">
        <v>19524</v>
      </c>
      <c r="C6" s="7">
        <v>66620</v>
      </c>
      <c r="D6" s="7">
        <v>43891</v>
      </c>
      <c r="E6" s="7">
        <v>2583255</v>
      </c>
      <c r="F6" s="7">
        <v>6639.1989999999996</v>
      </c>
      <c r="G6" s="7">
        <v>8160.7849999999999</v>
      </c>
      <c r="H6" s="8">
        <f>F6/G6*100</f>
        <v>81.354906421379809</v>
      </c>
      <c r="I6" s="8"/>
      <c r="J6" s="8"/>
      <c r="K6" s="8"/>
      <c r="L6" s="8">
        <v>529.77085</v>
      </c>
      <c r="M6" s="8">
        <v>11.570879999999999</v>
      </c>
      <c r="N6" s="9">
        <v>0.49462</v>
      </c>
      <c r="O6" s="8">
        <v>541.36682000000008</v>
      </c>
      <c r="P6" s="8">
        <v>659.40926999999999</v>
      </c>
      <c r="Q6" s="8">
        <f t="shared" ref="Q6:Q16" si="0">O6/P6*100</f>
        <v>82.098757877637979</v>
      </c>
    </row>
    <row r="7" spans="1:17" x14ac:dyDescent="0.25">
      <c r="A7" s="10" t="s">
        <v>20</v>
      </c>
      <c r="B7" s="10">
        <v>20101</v>
      </c>
      <c r="C7" s="10">
        <v>70395.48000000001</v>
      </c>
      <c r="D7" s="10">
        <v>46938</v>
      </c>
      <c r="E7" s="10">
        <v>2784008</v>
      </c>
      <c r="F7" s="10">
        <v>7189.0640000000003</v>
      </c>
      <c r="G7" s="10">
        <v>8729.6020000000008</v>
      </c>
      <c r="H7" s="11">
        <f t="shared" ref="H7:H16" si="1">F7/G7*100</f>
        <v>82.352712070951227</v>
      </c>
      <c r="I7" s="11">
        <v>4032.6599999999994</v>
      </c>
      <c r="J7" s="11">
        <v>2.5120000000000005</v>
      </c>
      <c r="K7" s="11">
        <v>4035.1719999999991</v>
      </c>
      <c r="L7" s="11">
        <v>658.18547999999998</v>
      </c>
      <c r="M7" s="11">
        <v>13.940390000000003</v>
      </c>
      <c r="N7" s="12">
        <v>0.12473000000000001</v>
      </c>
      <c r="O7" s="11">
        <v>672.15069999999992</v>
      </c>
      <c r="P7" s="11">
        <v>817.54653999999994</v>
      </c>
      <c r="Q7" s="11">
        <f t="shared" si="0"/>
        <v>82.215588607347044</v>
      </c>
    </row>
    <row r="8" spans="1:17" x14ac:dyDescent="0.25">
      <c r="A8" s="7" t="s">
        <v>21</v>
      </c>
      <c r="B8" s="7">
        <v>25963</v>
      </c>
      <c r="C8" s="7">
        <v>93964</v>
      </c>
      <c r="D8" s="7">
        <v>62227.070000000007</v>
      </c>
      <c r="E8" s="7">
        <v>3420763</v>
      </c>
      <c r="F8" s="7">
        <v>8786.464320000001</v>
      </c>
      <c r="G8" s="7">
        <v>11574.16136</v>
      </c>
      <c r="H8" s="8">
        <f t="shared" si="1"/>
        <v>75.914479215451351</v>
      </c>
      <c r="I8" s="8">
        <v>10567.600000000002</v>
      </c>
      <c r="J8" s="8">
        <v>9.8050000000000015</v>
      </c>
      <c r="K8" s="8">
        <v>10577.405000000001</v>
      </c>
      <c r="L8" s="8">
        <v>809.24037198999997</v>
      </c>
      <c r="M8" s="8">
        <v>26.899709999999999</v>
      </c>
      <c r="N8" s="9">
        <v>2.2650000000000007E-2</v>
      </c>
      <c r="O8" s="8">
        <v>836.16273199</v>
      </c>
      <c r="P8" s="8">
        <v>1079.7825004500003</v>
      </c>
      <c r="Q8" s="8">
        <f t="shared" si="0"/>
        <v>77.438070318932603</v>
      </c>
    </row>
    <row r="9" spans="1:17" x14ac:dyDescent="0.25">
      <c r="A9" s="10" t="s">
        <v>22</v>
      </c>
      <c r="B9" s="10">
        <v>28850</v>
      </c>
      <c r="C9" s="10">
        <v>105697.1</v>
      </c>
      <c r="D9" s="10">
        <v>70943.489999999991</v>
      </c>
      <c r="E9" s="10">
        <v>3889643</v>
      </c>
      <c r="F9" s="10">
        <v>10054.173306000001</v>
      </c>
      <c r="G9" s="10">
        <v>13195.490330000004</v>
      </c>
      <c r="H9" s="11">
        <f t="shared" si="1"/>
        <v>76.194010639694028</v>
      </c>
      <c r="I9" s="11">
        <v>14591.307999999997</v>
      </c>
      <c r="J9" s="11">
        <v>8.6300000000000008</v>
      </c>
      <c r="K9" s="11">
        <v>14599.938</v>
      </c>
      <c r="L9" s="11">
        <v>960.70587999999987</v>
      </c>
      <c r="M9" s="11">
        <v>38.34843</v>
      </c>
      <c r="N9" s="12">
        <v>2.0920100000000001E-2</v>
      </c>
      <c r="O9" s="11">
        <v>999.07523010000011</v>
      </c>
      <c r="P9" s="11">
        <v>1276.4202099999998</v>
      </c>
      <c r="Q9" s="11">
        <f t="shared" si="0"/>
        <v>78.271655546726279</v>
      </c>
    </row>
    <row r="10" spans="1:17" x14ac:dyDescent="0.25">
      <c r="A10" s="7" t="s">
        <v>23</v>
      </c>
      <c r="B10" s="7">
        <v>30851</v>
      </c>
      <c r="C10" s="7">
        <v>115278.77</v>
      </c>
      <c r="D10" s="7">
        <v>76177.896999999997</v>
      </c>
      <c r="E10" s="7">
        <v>4342507</v>
      </c>
      <c r="F10" s="7">
        <v>11291.995884</v>
      </c>
      <c r="G10" s="7">
        <v>14169.085090000002</v>
      </c>
      <c r="H10" s="8">
        <f t="shared" si="1"/>
        <v>79.694601396454729</v>
      </c>
      <c r="I10" s="8">
        <v>16628.414999999997</v>
      </c>
      <c r="J10" s="8">
        <v>12.044</v>
      </c>
      <c r="K10" s="8">
        <v>16640.458999999999</v>
      </c>
      <c r="L10" s="8">
        <v>986.9500939699999</v>
      </c>
      <c r="M10" s="8">
        <v>44.424835780999999</v>
      </c>
      <c r="N10" s="9">
        <v>2.1481374899999999E-2</v>
      </c>
      <c r="O10" s="8">
        <v>1031.400369856</v>
      </c>
      <c r="P10" s="8">
        <v>1298.8214877300002</v>
      </c>
      <c r="Q10" s="8">
        <f t="shared" si="0"/>
        <v>79.410479392254103</v>
      </c>
    </row>
    <row r="11" spans="1:17" x14ac:dyDescent="0.25">
      <c r="A11" s="10" t="s">
        <v>25</v>
      </c>
      <c r="B11" s="10">
        <v>32830</v>
      </c>
      <c r="C11" s="10">
        <v>121887.19000000003</v>
      </c>
      <c r="D11" s="10">
        <v>80712.766000000003</v>
      </c>
      <c r="E11" s="10">
        <v>4825454</v>
      </c>
      <c r="F11" s="10">
        <v>12511.808231000001</v>
      </c>
      <c r="G11" s="10">
        <v>14983.557176000002</v>
      </c>
      <c r="H11" s="11">
        <f t="shared" si="1"/>
        <v>83.503590529496293</v>
      </c>
      <c r="I11" s="11">
        <v>23396.446</v>
      </c>
      <c r="J11" s="11">
        <v>11.247000000000002</v>
      </c>
      <c r="K11" s="11">
        <v>23407.692999999999</v>
      </c>
      <c r="L11" s="11">
        <v>1130.252885315</v>
      </c>
      <c r="M11" s="11">
        <v>62.564753071000005</v>
      </c>
      <c r="N11" s="12">
        <v>2.4748469999999998E-2</v>
      </c>
      <c r="O11" s="11">
        <v>1192.8423868560001</v>
      </c>
      <c r="P11" s="11">
        <v>1379.0801002279998</v>
      </c>
      <c r="Q11" s="11">
        <f t="shared" si="0"/>
        <v>86.495511512260265</v>
      </c>
    </row>
    <row r="12" spans="1:17" x14ac:dyDescent="0.25">
      <c r="A12" s="7" t="s">
        <v>28</v>
      </c>
      <c r="B12" s="7">
        <v>13330</v>
      </c>
      <c r="C12" s="7">
        <v>49153.720000000008</v>
      </c>
      <c r="D12" s="7">
        <v>32937.135763440863</v>
      </c>
      <c r="E12" s="7">
        <v>1467037</v>
      </c>
      <c r="F12" s="7">
        <v>3992.7919209999995</v>
      </c>
      <c r="G12" s="7">
        <v>6119.4767840000004</v>
      </c>
      <c r="H12" s="8">
        <f t="shared" si="1"/>
        <v>65.247276228575018</v>
      </c>
      <c r="I12" s="8">
        <v>12320.663999999999</v>
      </c>
      <c r="J12" s="8">
        <v>52.059999999999995</v>
      </c>
      <c r="K12" s="8">
        <v>12372.724</v>
      </c>
      <c r="L12" s="8">
        <v>276.59173542100001</v>
      </c>
      <c r="M12" s="8">
        <v>34.521271173999992</v>
      </c>
      <c r="N12" s="9">
        <v>0.151630554</v>
      </c>
      <c r="O12" s="8">
        <v>311.26463714899995</v>
      </c>
      <c r="P12" s="8">
        <v>389.84276901199996</v>
      </c>
      <c r="Q12" s="8">
        <f t="shared" si="0"/>
        <v>79.843634893589297</v>
      </c>
    </row>
    <row r="13" spans="1:17" x14ac:dyDescent="0.25">
      <c r="A13" s="10" t="s">
        <v>32</v>
      </c>
      <c r="B13" s="10">
        <v>22254</v>
      </c>
      <c r="C13" s="10">
        <v>83110.23000000001</v>
      </c>
      <c r="D13" s="10">
        <v>56420.203999999998</v>
      </c>
      <c r="E13" s="10">
        <v>2291804</v>
      </c>
      <c r="F13" s="10">
        <v>6289.7222099999999</v>
      </c>
      <c r="G13" s="10">
        <v>10494.157941999998</v>
      </c>
      <c r="H13" s="11">
        <f t="shared" si="1"/>
        <v>59.935463567087233</v>
      </c>
      <c r="I13" s="11">
        <v>25249.669000000002</v>
      </c>
      <c r="J13" s="11">
        <v>72.328699999999969</v>
      </c>
      <c r="K13" s="11">
        <v>25321.997699999996</v>
      </c>
      <c r="L13" s="11">
        <v>430.73490774699991</v>
      </c>
      <c r="M13" s="11">
        <v>72.280491580999993</v>
      </c>
      <c r="N13" s="12">
        <v>0.20398349800000001</v>
      </c>
      <c r="O13" s="11">
        <v>503.21938282600013</v>
      </c>
      <c r="P13" s="11">
        <v>644.01651823300006</v>
      </c>
      <c r="Q13" s="11">
        <f t="shared" si="0"/>
        <v>78.137651532089947</v>
      </c>
    </row>
    <row r="14" spans="1:17" x14ac:dyDescent="0.25">
      <c r="A14" s="7" t="s">
        <v>29</v>
      </c>
      <c r="B14" s="7">
        <v>30951</v>
      </c>
      <c r="C14" s="7">
        <v>119826.72399999999</v>
      </c>
      <c r="D14" s="7">
        <v>79561.657999999996</v>
      </c>
      <c r="E14" s="7">
        <v>4106569</v>
      </c>
      <c r="F14" s="7">
        <v>11098.851442999998</v>
      </c>
      <c r="G14" s="7">
        <v>14798.468788000002</v>
      </c>
      <c r="H14" s="8">
        <f t="shared" si="1"/>
        <v>74.999998999896505</v>
      </c>
      <c r="I14" s="8">
        <v>26245.760000000002</v>
      </c>
      <c r="J14" s="8">
        <v>76.319000000000003</v>
      </c>
      <c r="K14" s="8">
        <v>26322.079000000002</v>
      </c>
      <c r="L14" s="8">
        <v>901.97111864999988</v>
      </c>
      <c r="M14" s="8">
        <v>72.217513453400002</v>
      </c>
      <c r="N14" s="9">
        <v>0.20660755300000003</v>
      </c>
      <c r="O14" s="8">
        <v>974.39523965639989</v>
      </c>
      <c r="P14" s="8">
        <v>1362.9516183170001</v>
      </c>
      <c r="Q14" s="8">
        <f t="shared" si="0"/>
        <v>71.49155014464877</v>
      </c>
    </row>
    <row r="15" spans="1:17" ht="19.5" customHeight="1" x14ac:dyDescent="0.25">
      <c r="A15" s="10" t="s">
        <v>33</v>
      </c>
      <c r="B15" s="10">
        <v>43854</v>
      </c>
      <c r="C15" s="10">
        <v>154951.08450000003</v>
      </c>
      <c r="D15" s="10">
        <v>99377.686290000012</v>
      </c>
      <c r="E15" s="10">
        <v>6351781</v>
      </c>
      <c r="F15" s="10">
        <v>14772.2382966</v>
      </c>
      <c r="G15" s="10">
        <v>18648.466774199998</v>
      </c>
      <c r="H15" s="11">
        <f t="shared" si="1"/>
        <v>79.214224286992177</v>
      </c>
      <c r="I15" s="11">
        <v>26015.749499999998</v>
      </c>
      <c r="J15" s="11">
        <v>16.87</v>
      </c>
      <c r="K15" s="11">
        <v>26032.619499999997</v>
      </c>
      <c r="L15" s="11">
        <v>1172.1572013299997</v>
      </c>
      <c r="M15" s="11">
        <v>72.191534990500003</v>
      </c>
      <c r="N15" s="12">
        <v>4.9718539999999999E-2</v>
      </c>
      <c r="O15" s="11">
        <v>1244.3984548604999</v>
      </c>
      <c r="P15" s="11">
        <v>1820.75826269</v>
      </c>
      <c r="Q15" s="11">
        <f t="shared" si="0"/>
        <v>68.345067017409406</v>
      </c>
    </row>
    <row r="16" spans="1:17" x14ac:dyDescent="0.25">
      <c r="A16" s="13" t="s">
        <v>36</v>
      </c>
      <c r="B16" s="7">
        <v>116190</v>
      </c>
      <c r="C16" s="7">
        <v>291469.11666666676</v>
      </c>
      <c r="D16" s="7">
        <v>191224.0322189093</v>
      </c>
      <c r="E16" s="7">
        <v>16650522</v>
      </c>
      <c r="F16" s="7">
        <v>27602.193018341593</v>
      </c>
      <c r="G16" s="7">
        <v>35390.344011056121</v>
      </c>
      <c r="H16" s="8">
        <f t="shared" si="1"/>
        <v>77.99357081614842</v>
      </c>
      <c r="I16" s="8">
        <v>83133.961236747302</v>
      </c>
      <c r="J16" s="8">
        <v>197.73745000000002</v>
      </c>
      <c r="K16" s="8">
        <v>83331.698686747302</v>
      </c>
      <c r="L16" s="8">
        <v>2293.9084458602001</v>
      </c>
      <c r="M16" s="8">
        <v>135.07785266760811</v>
      </c>
      <c r="N16" s="9">
        <v>0.15875813051103871</v>
      </c>
      <c r="O16" s="8">
        <v>2429.1450566583198</v>
      </c>
      <c r="P16" s="8">
        <v>3788.9224843781872</v>
      </c>
      <c r="Q16" s="8">
        <f t="shared" si="0"/>
        <v>64.111764404622676</v>
      </c>
    </row>
    <row r="17" spans="1:17" ht="30" x14ac:dyDescent="0.25">
      <c r="A17" s="1" t="s">
        <v>34</v>
      </c>
      <c r="B17" s="4">
        <f>IFERROR(((B16-B15)/B15),"-")</f>
        <v>1.6494732521548776</v>
      </c>
      <c r="C17" s="4">
        <f t="shared" ref="C17:Q17" si="2">IFERROR(((C16-C15)/C15),"-")</f>
        <v>0.8810395397178824</v>
      </c>
      <c r="D17" s="4">
        <f t="shared" si="2"/>
        <v>0.92421497579332779</v>
      </c>
      <c r="E17" s="4">
        <f t="shared" si="2"/>
        <v>1.6213942199833402</v>
      </c>
      <c r="F17" s="4">
        <f t="shared" si="2"/>
        <v>0.86851799058065249</v>
      </c>
      <c r="G17" s="4">
        <f t="shared" si="2"/>
        <v>0.8977615929272198</v>
      </c>
      <c r="H17" s="4">
        <f t="shared" si="2"/>
        <v>-1.540952375448814E-2</v>
      </c>
      <c r="I17" s="4">
        <f t="shared" si="2"/>
        <v>2.1955243586869297</v>
      </c>
      <c r="J17" s="4">
        <f t="shared" si="2"/>
        <v>10.721247777119148</v>
      </c>
      <c r="K17" s="4">
        <f t="shared" si="2"/>
        <v>2.2010493099531265</v>
      </c>
      <c r="L17" s="4">
        <f t="shared" si="2"/>
        <v>0.95699727242847155</v>
      </c>
      <c r="M17" s="4">
        <f t="shared" si="2"/>
        <v>0.87110376147817881</v>
      </c>
      <c r="N17" s="4">
        <f t="shared" si="2"/>
        <v>2.1931374193819591</v>
      </c>
      <c r="O17" s="4">
        <f t="shared" si="2"/>
        <v>0.95206370368776527</v>
      </c>
      <c r="P17" s="4">
        <f t="shared" si="2"/>
        <v>1.0809585555747574</v>
      </c>
      <c r="Q17" s="4">
        <f t="shared" si="2"/>
        <v>-6.1940134051055785E-2</v>
      </c>
    </row>
    <row r="18" spans="1:17" ht="37.5" customHeight="1" x14ac:dyDescent="0.25">
      <c r="A18" s="2" t="s">
        <v>35</v>
      </c>
      <c r="B18" s="5">
        <f>IFERROR((((B16/B6)^(1/10))-1),"-")</f>
        <v>0.19525342068239704</v>
      </c>
      <c r="C18" s="5">
        <f t="shared" ref="C18:Q18" si="3">IFERROR((((C16/C6)^(1/10))-1),"-")</f>
        <v>0.15904098036613945</v>
      </c>
      <c r="D18" s="5">
        <f t="shared" si="3"/>
        <v>0.15855511667788069</v>
      </c>
      <c r="E18" s="5">
        <f t="shared" si="3"/>
        <v>0.20483078965917967</v>
      </c>
      <c r="F18" s="5">
        <f t="shared" si="3"/>
        <v>0.15314199956367469</v>
      </c>
      <c r="G18" s="5">
        <f t="shared" si="3"/>
        <v>0.15801793270047004</v>
      </c>
      <c r="H18" s="5">
        <f t="shared" si="3"/>
        <v>-4.2105851723943655E-3</v>
      </c>
      <c r="I18" s="5" t="str">
        <f t="shared" si="3"/>
        <v>-</v>
      </c>
      <c r="J18" s="5" t="str">
        <f t="shared" si="3"/>
        <v>-</v>
      </c>
      <c r="K18" s="5" t="str">
        <f t="shared" si="3"/>
        <v>-</v>
      </c>
      <c r="L18" s="5">
        <f t="shared" si="3"/>
        <v>0.15784067485853837</v>
      </c>
      <c r="M18" s="5">
        <f t="shared" si="3"/>
        <v>0.27856195046002519</v>
      </c>
      <c r="N18" s="5">
        <f t="shared" si="3"/>
        <v>-0.10742148202047219</v>
      </c>
      <c r="O18" s="5">
        <f t="shared" si="3"/>
        <v>0.16197338723364929</v>
      </c>
      <c r="P18" s="5">
        <f t="shared" si="3"/>
        <v>0.19106665739931228</v>
      </c>
      <c r="Q18" s="5">
        <f t="shared" si="3"/>
        <v>-2.4426231718372549E-2</v>
      </c>
    </row>
    <row r="19" spans="1:17" x14ac:dyDescent="0.25">
      <c r="A19" s="22" t="s">
        <v>24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 spans="1:17" x14ac:dyDescent="0.25">
      <c r="A20" s="24" t="s">
        <v>30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</row>
    <row r="21" spans="1:17" x14ac:dyDescent="0.25">
      <c r="A21" s="21" t="s">
        <v>27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 spans="1:17" x14ac:dyDescent="0.25">
      <c r="K22" s="3"/>
    </row>
  </sheetData>
  <mergeCells count="15">
    <mergeCell ref="A21:Q21"/>
    <mergeCell ref="P4:P5"/>
    <mergeCell ref="Q4:Q5"/>
    <mergeCell ref="A19:Q19"/>
    <mergeCell ref="A20:Q2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2022-04-25T07:02:48Z</cp:lastPrinted>
  <dcterms:created xsi:type="dcterms:W3CDTF">2020-06-05T08:03:37Z</dcterms:created>
  <dcterms:modified xsi:type="dcterms:W3CDTF">2025-11-24T07:39:56Z</dcterms:modified>
</cp:coreProperties>
</file>