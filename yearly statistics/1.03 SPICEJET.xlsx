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PICEJET\"/>
    </mc:Choice>
  </mc:AlternateContent>
  <bookViews>
    <workbookView xWindow="0" yWindow="0" windowWidth="24000" windowHeight="9735"/>
  </bookViews>
  <sheets>
    <sheet name="SPICEJ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H6" i="1" l="1"/>
  <c r="P18" i="1" l="1"/>
  <c r="O18" i="1"/>
  <c r="M18" i="1"/>
  <c r="L18" i="1"/>
  <c r="K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18" i="1" l="1"/>
  <c r="H18" i="1"/>
</calcChain>
</file>

<file path=xl/sharedStrings.xml><?xml version="1.0" encoding="utf-8"?>
<sst xmlns="http://schemas.openxmlformats.org/spreadsheetml/2006/main" count="26" uniqueCount="24">
  <si>
    <t xml:space="preserve">तालिका 1.03 (स्पाइसजेट) </t>
  </si>
  <si>
    <t>Table 1.03 (SPICEJET)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</si>
  <si>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</si>
  <si>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</si>
  <si>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</si>
  <si>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</si>
  <si>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</si>
  <si>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</si>
  <si>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</si>
  <si>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</si>
  <si>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</si>
  <si>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</si>
  <si>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</si>
  <si>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</si>
  <si>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</si>
  <si>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</si>
  <si>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</si>
  <si>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</si>
  <si>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</si>
  <si>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</si>
  <si>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</si>
  <si>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SPICEJET</t>
  </si>
  <si>
    <t>MONTHLY TRAFFIC AND OPERATING STATISTICS OF SPICEJET ON SCHEDULED (DOMESTIC + INTERNATIONAL) SERVICES DURING 2023-24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</si>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</sst>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409]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0" fontId="2" fillId="3" borderId="1" xfId="3" applyFont="1" applyBorder="1" applyAlignment="1" applyProtection="1">
      <alignment horizontal="center" vertical="center" wrapText="1"/>
    </xf>
    <xf numFmtId="0" fontId="0" fillId="5" borderId="0" xfId="0" applyFill="1"/>
    <xf numFmtId="167" fontId="1" fillId="3" borderId="1" xfId="3" applyNumberForma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vertical="center"/>
    </xf>
    <xf numFmtId="165" fontId="1" fillId="3" borderId="1" xfId="3" applyNumberFormat="1" applyBorder="1" applyAlignment="1">
      <alignment vertical="center"/>
    </xf>
    <xf numFmtId="164" fontId="1" fillId="5" borderId="1" xfId="3" applyNumberForma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165" fontId="1" fillId="5" borderId="1" xfId="3" applyNumberFormat="1" applyFill="1" applyBorder="1" applyAlignment="1">
      <alignment vertical="center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4" fillId="4" borderId="2" xfId="0" applyFont="1" applyFill="1" applyBorder="1" applyAlignment="1" applyProtection="1">
      <alignment horizontal="left" vertical="center" wrapText="1"/>
    </xf>
    <xf numFmtId="0" fontId="4" fillId="4" borderId="3" xfId="0" applyFont="1" applyFill="1" applyBorder="1" applyAlignment="1" applyProtection="1">
      <alignment horizontal="left" vertical="center" wrapText="1"/>
    </xf>
    <xf numFmtId="0" fontId="4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00" zoomScaleSheetLayoutView="85" workbookViewId="0">
      <selection activeCell="H18" sqref="H18"/>
    </sheetView>
  </sheetViews>
  <sheetFormatPr defaultRowHeight="15" x14ac:dyDescent="0.25"/>
  <cols>
    <col min="1" max="1" width="13.57031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6" width="10.7109375" customWidth="1"/>
    <col min="7" max="7" width="11.85546875" customWidth="1"/>
    <col min="8" max="8" width="7.28515625" customWidth="1"/>
    <col min="9" max="9" width="9.42578125" customWidth="1"/>
    <col min="10" max="10" width="8.140625" bestFit="1" customWidth="1"/>
    <col min="11" max="11" width="9.85546875" customWidth="1"/>
    <col min="12" max="12" width="10.5703125" customWidth="1"/>
    <col min="13" max="13" width="9.7109375" customWidth="1"/>
    <col min="14" max="14" width="7.140625" customWidth="1"/>
    <col min="15" max="15" width="11.140625" customWidth="1"/>
    <col min="16" max="16" width="10.42578125" customWidth="1"/>
    <col min="17" max="17" width="7" customWidth="1"/>
  </cols>
  <sheetData>
    <row r="1" spans="1:17" ht="18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" customHeight="1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" customHeight="1" x14ac:dyDescent="0.25">
      <c r="A4" s="23" t="s">
        <v>2</v>
      </c>
      <c r="B4" s="23" t="s">
        <v>3</v>
      </c>
      <c r="C4" s="23"/>
      <c r="D4" s="23"/>
      <c r="E4" s="23" t="s">
        <v>4</v>
      </c>
      <c r="F4" s="24"/>
      <c r="G4" s="14" t="s">
        <v>5</v>
      </c>
      <c r="H4" s="14" t="s">
        <v>6</v>
      </c>
      <c r="I4" s="23" t="s">
        <v>7</v>
      </c>
      <c r="J4" s="23"/>
      <c r="K4" s="23"/>
      <c r="L4" s="23" t="s">
        <v>8</v>
      </c>
      <c r="M4" s="23"/>
      <c r="N4" s="23"/>
      <c r="O4" s="23"/>
      <c r="P4" s="14" t="s">
        <v>9</v>
      </c>
      <c r="Q4" s="14" t="s">
        <v>10</v>
      </c>
    </row>
    <row r="5" spans="1:17" ht="120.75" customHeight="1" x14ac:dyDescent="0.25">
      <c r="A5" s="23"/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5"/>
      <c r="H5" s="15"/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17</v>
      </c>
      <c r="O5" s="1" t="s">
        <v>18</v>
      </c>
      <c r="P5" s="15"/>
      <c r="Q5" s="15"/>
    </row>
    <row r="6" spans="1:17" ht="22.15" customHeight="1" x14ac:dyDescent="0.25">
      <c r="A6" s="4">
        <v>45017</v>
      </c>
      <c r="B6" s="9">
        <v>6151</v>
      </c>
      <c r="C6" s="9">
        <v>11852.45</v>
      </c>
      <c r="D6" s="9">
        <v>7681.2360000000008</v>
      </c>
      <c r="E6" s="9">
        <v>895499</v>
      </c>
      <c r="F6" s="9">
        <v>820.48390519999998</v>
      </c>
      <c r="G6" s="9">
        <v>896.49171200000001</v>
      </c>
      <c r="H6" s="10">
        <f t="shared" ref="H6:H18" si="0">F6/G6*100</f>
        <v>91.521638651802732</v>
      </c>
      <c r="I6" s="10">
        <v>4503.4250699999993</v>
      </c>
      <c r="J6" s="10"/>
      <c r="K6" s="10">
        <v>4503.4250699999993</v>
      </c>
      <c r="L6" s="10">
        <v>87.654953624999976</v>
      </c>
      <c r="M6" s="10">
        <v>5.7341663276799979</v>
      </c>
      <c r="N6" s="10">
        <v>0</v>
      </c>
      <c r="O6" s="10">
        <v>93.389119952679977</v>
      </c>
      <c r="P6" s="10">
        <v>128.88177000000002</v>
      </c>
      <c r="Q6" s="10">
        <f t="shared" ref="Q6:Q18" si="1">O6/P6*100</f>
        <v>72.461078050588512</v>
      </c>
    </row>
    <row r="7" spans="1:17" s="3" customFormat="1" ht="22.15" customHeight="1" x14ac:dyDescent="0.25">
      <c r="A7" s="5">
        <v>45047</v>
      </c>
      <c r="B7" s="11">
        <v>5923</v>
      </c>
      <c r="C7" s="11">
        <v>11131</v>
      </c>
      <c r="D7" s="11">
        <v>7183.8359999999993</v>
      </c>
      <c r="E7" s="11">
        <v>874790</v>
      </c>
      <c r="F7" s="11">
        <v>1130.0209060000002</v>
      </c>
      <c r="G7" s="11">
        <v>1231.5342470000001</v>
      </c>
      <c r="H7" s="12">
        <f t="shared" si="0"/>
        <v>91.757164589837032</v>
      </c>
      <c r="I7" s="13">
        <v>4533.9511200000034</v>
      </c>
      <c r="J7" s="13"/>
      <c r="K7" s="13">
        <v>4533.9511200000034</v>
      </c>
      <c r="L7" s="13">
        <v>84.751567950000037</v>
      </c>
      <c r="M7" s="13">
        <v>5.5427856641699975</v>
      </c>
      <c r="N7" s="13">
        <v>0</v>
      </c>
      <c r="O7" s="13">
        <v>90.294353614170035</v>
      </c>
      <c r="P7" s="13">
        <v>118.59018500000001</v>
      </c>
      <c r="Q7" s="12">
        <f t="shared" si="1"/>
        <v>76.139820183407281</v>
      </c>
    </row>
    <row r="8" spans="1:17" ht="22.15" customHeight="1" x14ac:dyDescent="0.25">
      <c r="A8" s="4">
        <v>45078</v>
      </c>
      <c r="B8" s="9">
        <v>4788</v>
      </c>
      <c r="C8" s="9">
        <v>8617.0333333333328</v>
      </c>
      <c r="D8" s="9">
        <v>5423.1210000000001</v>
      </c>
      <c r="E8" s="9">
        <v>665054</v>
      </c>
      <c r="F8" s="9">
        <v>807.5607040000001</v>
      </c>
      <c r="G8" s="9">
        <v>899.64388600000007</v>
      </c>
      <c r="H8" s="10">
        <f t="shared" si="0"/>
        <v>89.764485322140018</v>
      </c>
      <c r="I8" s="10">
        <v>4020.6936999999984</v>
      </c>
      <c r="J8" s="10"/>
      <c r="K8" s="10">
        <v>4020.6936999999984</v>
      </c>
      <c r="L8" s="10">
        <v>60.567052800000013</v>
      </c>
      <c r="M8" s="10">
        <v>4.8019712290500021</v>
      </c>
      <c r="N8" s="10">
        <v>0</v>
      </c>
      <c r="O8" s="10">
        <v>65.369024029050024</v>
      </c>
      <c r="P8" s="10">
        <v>85.150654500000002</v>
      </c>
      <c r="Q8" s="10">
        <f t="shared" si="1"/>
        <v>76.768668911464459</v>
      </c>
    </row>
    <row r="9" spans="1:17" s="3" customFormat="1" ht="22.15" customHeight="1" x14ac:dyDescent="0.25">
      <c r="A9" s="5">
        <v>45108</v>
      </c>
      <c r="B9" s="11">
        <v>4819</v>
      </c>
      <c r="C9" s="11">
        <v>9022.65</v>
      </c>
      <c r="D9" s="11">
        <v>5657.9430000000002</v>
      </c>
      <c r="E9" s="11">
        <v>639084</v>
      </c>
      <c r="F9" s="11">
        <v>819.42854299999999</v>
      </c>
      <c r="G9" s="11">
        <v>938.24777000000006</v>
      </c>
      <c r="H9" s="12">
        <f t="shared" si="0"/>
        <v>87.336050156559381</v>
      </c>
      <c r="I9" s="13">
        <v>3264.656469999999</v>
      </c>
      <c r="J9" s="13"/>
      <c r="K9" s="13">
        <v>3264.656469999999</v>
      </c>
      <c r="L9" s="13">
        <v>61.457140724999945</v>
      </c>
      <c r="M9" s="13">
        <v>3.8506384284999995</v>
      </c>
      <c r="N9" s="13">
        <v>0</v>
      </c>
      <c r="O9" s="13">
        <v>65.307779153499951</v>
      </c>
      <c r="P9" s="13">
        <v>88.057118000000003</v>
      </c>
      <c r="Q9" s="12">
        <f t="shared" si="1"/>
        <v>74.165247099615442</v>
      </c>
    </row>
    <row r="10" spans="1:17" ht="22.15" customHeight="1" x14ac:dyDescent="0.25">
      <c r="A10" s="4">
        <v>45139</v>
      </c>
      <c r="B10" s="9">
        <v>4941</v>
      </c>
      <c r="C10" s="9">
        <v>9283.7833333333328</v>
      </c>
      <c r="D10" s="9">
        <v>5982.0840000000007</v>
      </c>
      <c r="E10" s="9">
        <v>681717</v>
      </c>
      <c r="F10" s="9">
        <v>879.86516800000004</v>
      </c>
      <c r="G10" s="9">
        <v>1018.057308</v>
      </c>
      <c r="H10" s="10">
        <f t="shared" si="0"/>
        <v>86.425897745237734</v>
      </c>
      <c r="I10" s="10">
        <v>3415.6073900000024</v>
      </c>
      <c r="J10" s="10"/>
      <c r="K10" s="10">
        <v>3415.6073900000024</v>
      </c>
      <c r="L10" s="10">
        <v>65.989887600000003</v>
      </c>
      <c r="M10" s="10">
        <v>3.9399186098699994</v>
      </c>
      <c r="N10" s="10">
        <v>0</v>
      </c>
      <c r="O10" s="10">
        <v>69.929806209869994</v>
      </c>
      <c r="P10" s="10">
        <v>97.189702000000011</v>
      </c>
      <c r="Q10" s="10">
        <f t="shared" si="1"/>
        <v>71.9518681206266</v>
      </c>
    </row>
    <row r="11" spans="1:17" s="3" customFormat="1" ht="22.15" customHeight="1" x14ac:dyDescent="0.25">
      <c r="A11" s="5">
        <v>45170</v>
      </c>
      <c r="B11" s="11">
        <v>4952</v>
      </c>
      <c r="C11" s="11">
        <v>9211.7000000000007</v>
      </c>
      <c r="D11" s="11">
        <v>5862.9320000000007</v>
      </c>
      <c r="E11" s="11">
        <v>678632</v>
      </c>
      <c r="F11" s="11">
        <v>860.39945899999998</v>
      </c>
      <c r="G11" s="11">
        <v>988.39774499999999</v>
      </c>
      <c r="H11" s="12">
        <f t="shared" si="0"/>
        <v>87.049921284472376</v>
      </c>
      <c r="I11" s="13">
        <v>3286.2141500000007</v>
      </c>
      <c r="J11" s="13"/>
      <c r="K11" s="13">
        <v>3286.2141500000007</v>
      </c>
      <c r="L11" s="13">
        <v>64.529959425000044</v>
      </c>
      <c r="M11" s="13">
        <v>3.8608219781800015</v>
      </c>
      <c r="N11" s="13">
        <v>0</v>
      </c>
      <c r="O11" s="13">
        <v>68.390781403180029</v>
      </c>
      <c r="P11" s="13">
        <v>93.672093500000003</v>
      </c>
      <c r="Q11" s="12">
        <f t="shared" si="1"/>
        <v>73.010839031989846</v>
      </c>
    </row>
    <row r="12" spans="1:17" ht="22.15" customHeight="1" x14ac:dyDescent="0.25">
      <c r="A12" s="4">
        <v>45200</v>
      </c>
      <c r="B12" s="9">
        <v>5607</v>
      </c>
      <c r="C12" s="9">
        <v>10197.4</v>
      </c>
      <c r="D12" s="9">
        <v>6615.74</v>
      </c>
      <c r="E12" s="9">
        <v>777768</v>
      </c>
      <c r="F12" s="9">
        <v>990.75102800000002</v>
      </c>
      <c r="G12" s="9">
        <v>1142.625186</v>
      </c>
      <c r="H12" s="10">
        <f t="shared" si="0"/>
        <v>86.708313464394436</v>
      </c>
      <c r="I12" s="10">
        <v>2898.7506699999994</v>
      </c>
      <c r="J12" s="10"/>
      <c r="K12" s="10">
        <v>2898.7506699999994</v>
      </c>
      <c r="L12" s="10">
        <v>74.306327100000033</v>
      </c>
      <c r="M12" s="10">
        <v>3.6213930965899994</v>
      </c>
      <c r="N12" s="10">
        <v>0</v>
      </c>
      <c r="O12" s="10">
        <v>77.927720196590016</v>
      </c>
      <c r="P12" s="10">
        <v>107.16208749999998</v>
      </c>
      <c r="Q12" s="10">
        <f t="shared" si="1"/>
        <v>72.719486914241031</v>
      </c>
    </row>
    <row r="13" spans="1:17" s="3" customFormat="1" ht="22.15" customHeight="1" x14ac:dyDescent="0.25">
      <c r="A13" s="5">
        <v>45231</v>
      </c>
      <c r="B13" s="11">
        <v>6413</v>
      </c>
      <c r="C13" s="11">
        <v>11578.75</v>
      </c>
      <c r="D13" s="11">
        <v>7474.3829999999998</v>
      </c>
      <c r="E13" s="11">
        <v>936998</v>
      </c>
      <c r="F13" s="11">
        <v>1155.7246500000001</v>
      </c>
      <c r="G13" s="11">
        <v>1312.642664</v>
      </c>
      <c r="H13" s="12">
        <f t="shared" si="0"/>
        <v>88.045641186015885</v>
      </c>
      <c r="I13" s="13">
        <v>3274.9812300000035</v>
      </c>
      <c r="J13" s="13"/>
      <c r="K13" s="13">
        <v>3274.9812300000035</v>
      </c>
      <c r="L13" s="13">
        <v>86.679348750000003</v>
      </c>
      <c r="M13" s="13">
        <v>3.914134970070001</v>
      </c>
      <c r="N13" s="13">
        <v>0</v>
      </c>
      <c r="O13" s="13">
        <v>90.593483720069997</v>
      </c>
      <c r="P13" s="13">
        <v>125.7974165</v>
      </c>
      <c r="Q13" s="12">
        <f t="shared" si="1"/>
        <v>72.015376977213194</v>
      </c>
    </row>
    <row r="14" spans="1:17" ht="22.15" customHeight="1" x14ac:dyDescent="0.25">
      <c r="A14" s="4">
        <v>45261</v>
      </c>
      <c r="B14" s="9">
        <v>6301</v>
      </c>
      <c r="C14" s="9">
        <v>11596.083333333332</v>
      </c>
      <c r="D14" s="9">
        <v>7550.8590000000004</v>
      </c>
      <c r="E14" s="9">
        <v>948458</v>
      </c>
      <c r="F14" s="9">
        <v>1218.9635129999999</v>
      </c>
      <c r="G14" s="9">
        <v>1332.704303</v>
      </c>
      <c r="H14" s="10">
        <f t="shared" si="0"/>
        <v>91.465414365064888</v>
      </c>
      <c r="I14" s="10">
        <v>2473.9308199999996</v>
      </c>
      <c r="J14" s="10"/>
      <c r="K14" s="10">
        <v>2473.9308199999996</v>
      </c>
      <c r="L14" s="10">
        <v>91.422263475000022</v>
      </c>
      <c r="M14" s="10">
        <v>2.967170990160001</v>
      </c>
      <c r="N14" s="10">
        <v>0</v>
      </c>
      <c r="O14" s="10">
        <v>94.389434465160036</v>
      </c>
      <c r="P14" s="10">
        <v>128.4459195</v>
      </c>
      <c r="Q14" s="10">
        <f t="shared" si="1"/>
        <v>73.485740016178596</v>
      </c>
    </row>
    <row r="15" spans="1:17" s="3" customFormat="1" ht="22.15" customHeight="1" x14ac:dyDescent="0.25">
      <c r="A15" s="5">
        <v>45292</v>
      </c>
      <c r="B15" s="11">
        <v>6117</v>
      </c>
      <c r="C15" s="11">
        <v>11330.316666666666</v>
      </c>
      <c r="D15" s="11">
        <v>7296.0619999999999</v>
      </c>
      <c r="E15" s="11">
        <v>925862</v>
      </c>
      <c r="F15" s="11">
        <v>1178.777382</v>
      </c>
      <c r="G15" s="11">
        <v>1290.5682499999998</v>
      </c>
      <c r="H15" s="12">
        <f t="shared" si="0"/>
        <v>91.337856947898743</v>
      </c>
      <c r="I15" s="13">
        <v>3185.440540000001</v>
      </c>
      <c r="J15" s="13"/>
      <c r="K15" s="13">
        <v>3185.440540000001</v>
      </c>
      <c r="L15" s="13">
        <v>88.408303649999993</v>
      </c>
      <c r="M15" s="13">
        <v>4.4216120916099992</v>
      </c>
      <c r="N15" s="13">
        <v>0</v>
      </c>
      <c r="O15" s="13">
        <v>92.829915741609994</v>
      </c>
      <c r="P15" s="13">
        <v>124.2591875</v>
      </c>
      <c r="Q15" s="12">
        <f t="shared" si="1"/>
        <v>74.706681742635723</v>
      </c>
    </row>
    <row r="16" spans="1:17" ht="22.15" customHeight="1" x14ac:dyDescent="0.25">
      <c r="A16" s="4">
        <v>45323</v>
      </c>
      <c r="B16" s="9">
        <v>5387</v>
      </c>
      <c r="C16" s="9">
        <v>9865.1333333333332</v>
      </c>
      <c r="D16" s="9">
        <v>6292.2880000000005</v>
      </c>
      <c r="E16" s="9">
        <v>812004</v>
      </c>
      <c r="F16" s="9">
        <v>1025.4105669999999</v>
      </c>
      <c r="G16" s="9">
        <v>1108.318855</v>
      </c>
      <c r="H16" s="10">
        <f t="shared" si="0"/>
        <v>92.519455242868702</v>
      </c>
      <c r="I16" s="10">
        <v>3304.6050400000026</v>
      </c>
      <c r="J16" s="10"/>
      <c r="K16" s="10">
        <v>3304.6050400000026</v>
      </c>
      <c r="L16" s="10">
        <v>76.90579252500001</v>
      </c>
      <c r="M16" s="10">
        <v>4.042446996989999</v>
      </c>
      <c r="N16" s="10">
        <v>0</v>
      </c>
      <c r="O16" s="10">
        <v>80.948239521990004</v>
      </c>
      <c r="P16" s="10">
        <v>105.52920899999999</v>
      </c>
      <c r="Q16" s="10">
        <f t="shared" si="1"/>
        <v>76.706951837372344</v>
      </c>
    </row>
    <row r="17" spans="1:17" s="3" customFormat="1" ht="22.15" customHeight="1" x14ac:dyDescent="0.25">
      <c r="A17" s="5">
        <v>45352</v>
      </c>
      <c r="B17" s="11">
        <v>5741</v>
      </c>
      <c r="C17" s="11">
        <v>10543.333333333332</v>
      </c>
      <c r="D17" s="11">
        <v>6786.4510000000009</v>
      </c>
      <c r="E17" s="11">
        <v>859259</v>
      </c>
      <c r="F17" s="11">
        <v>1090.116399</v>
      </c>
      <c r="G17" s="11">
        <v>1197.159161</v>
      </c>
      <c r="H17" s="12">
        <f t="shared" si="0"/>
        <v>91.058602273854206</v>
      </c>
      <c r="I17" s="13">
        <v>3858.9634699999979</v>
      </c>
      <c r="J17" s="13"/>
      <c r="K17" s="13">
        <v>3858.9634699999979</v>
      </c>
      <c r="L17" s="13">
        <v>81.758729925000011</v>
      </c>
      <c r="M17" s="13">
        <v>5.3701742786599986</v>
      </c>
      <c r="N17" s="13">
        <v>0</v>
      </c>
      <c r="O17" s="13">
        <v>87.128904203660028</v>
      </c>
      <c r="P17" s="13">
        <v>114.86994349999999</v>
      </c>
      <c r="Q17" s="12">
        <f t="shared" si="1"/>
        <v>75.850045319870844</v>
      </c>
    </row>
    <row r="18" spans="1:17" ht="22.15" customHeight="1" x14ac:dyDescent="0.25">
      <c r="A18" s="2" t="s">
        <v>23</v>
      </c>
      <c r="B18" s="7">
        <f>SUM(B6:B17)</f>
        <v>67140</v>
      </c>
      <c r="C18" s="7">
        <f t="shared" ref="C18:P18" si="2">SUM(C6:C17)</f>
        <v>124229.63333333332</v>
      </c>
      <c r="D18" s="7">
        <f t="shared" si="2"/>
        <v>79806.935000000012</v>
      </c>
      <c r="E18" s="7">
        <f t="shared" si="2"/>
        <v>9695125</v>
      </c>
      <c r="F18" s="7">
        <f t="shared" si="2"/>
        <v>11977.5022242</v>
      </c>
      <c r="G18" s="7">
        <f t="shared" si="2"/>
        <v>13356.391087</v>
      </c>
      <c r="H18" s="8">
        <f t="shared" si="0"/>
        <v>89.676186824582459</v>
      </c>
      <c r="I18" s="8">
        <f t="shared" si="2"/>
        <v>42021.219670000006</v>
      </c>
      <c r="J18" s="6">
        <v>0</v>
      </c>
      <c r="K18" s="8">
        <f t="shared" si="2"/>
        <v>42021.219670000006</v>
      </c>
      <c r="L18" s="8">
        <f t="shared" si="2"/>
        <v>924.43132754999999</v>
      </c>
      <c r="M18" s="8">
        <f t="shared" si="2"/>
        <v>52.067234661529994</v>
      </c>
      <c r="N18" s="6">
        <v>0</v>
      </c>
      <c r="O18" s="8">
        <f t="shared" si="2"/>
        <v>976.49856221152993</v>
      </c>
      <c r="P18" s="8">
        <f t="shared" si="2"/>
        <v>1317.6052865000001</v>
      </c>
      <c r="Q18" s="8">
        <f t="shared" si="1"/>
        <v>74.111615384106145</v>
      </c>
    </row>
    <row r="19" spans="1:17" ht="22.15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2022-04-26T05:57:24Z</cp:lastPrinted>
  <dcterms:created xsi:type="dcterms:W3CDTF">2020-06-03T10:37:13Z</dcterms:created>
  <dcterms:modified xsi:type="dcterms:W3CDTF">2025-01-24T06:57:35Z</dcterms:modified>
</cp:coreProperties>
</file>