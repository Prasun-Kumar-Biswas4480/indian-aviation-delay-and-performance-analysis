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LLIANCE AIR (NATIONAL)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 l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<sst xmlns="http://schemas.openxmlformats.org/spreadsheetml/2006/main" count="26" uniqueCount="24">
  <si>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(एलाइंस एयर) </t>
  </si>
  <si>
    <t>Table 1.03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</si>
  <si>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</si>
  <si>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</si>
  <si>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</si>
  <si>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</si>
  <si>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</si>
  <si>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</si>
  <si>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</si>
  <si>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</si>
  <si>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</si>
  <si>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</si>
  <si>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</si>
  <si>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</si>
  <si>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</si>
  <si>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</si>
  <si>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</si>
  <si>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</si>
  <si>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</si>
  <si>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</si>
  <si>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</si>
  <si>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</si>
  <si>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MONTHLY TRAFFIC AND OPERATING STATISTICS OF ALLIANCE AIR ON SCHEDULED (DOMESTIC + INTERNATIONAL)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</si>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</sst>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right" vertical="center" wrapText="1"/>
    </xf>
    <xf numFmtId="4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5" borderId="1" xfId="3" applyNumberFormat="1" applyFill="1" applyBorder="1" applyAlignment="1">
      <alignment horizontal="center" vertical="center"/>
    </xf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8" zoomScaleSheetLayoutView="100" workbookViewId="0">
      <selection activeCell="I6" sqref="I6:P17"/>
    </sheetView>
  </sheetViews>
  <sheetFormatPr defaultRowHeight="18.600000000000001" customHeight="1" x14ac:dyDescent="0.25"/>
  <cols>
    <col min="1" max="1" width="15.28515625" customWidth="1"/>
    <col min="2" max="3" width="8.42578125" customWidth="1"/>
    <col min="4" max="4" width="12" customWidth="1"/>
    <col min="5" max="5" width="11.7109375" customWidth="1"/>
    <col min="6" max="17" width="8.140625" customWidth="1"/>
  </cols>
  <sheetData>
    <row r="1" spans="1:17" ht="18.600000000000001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2</v>
      </c>
      <c r="B4" s="23" t="s">
        <v>3</v>
      </c>
      <c r="C4" s="23"/>
      <c r="D4" s="23"/>
      <c r="E4" s="23" t="s">
        <v>4</v>
      </c>
      <c r="F4" s="24"/>
      <c r="G4" s="17" t="s">
        <v>5</v>
      </c>
      <c r="H4" s="17" t="s">
        <v>6</v>
      </c>
      <c r="I4" s="23" t="s">
        <v>7</v>
      </c>
      <c r="J4" s="23"/>
      <c r="K4" s="23"/>
      <c r="L4" s="23" t="s">
        <v>8</v>
      </c>
      <c r="M4" s="23"/>
      <c r="N4" s="23"/>
      <c r="O4" s="23"/>
      <c r="P4" s="17" t="s">
        <v>9</v>
      </c>
      <c r="Q4" s="17" t="s">
        <v>10</v>
      </c>
    </row>
    <row r="5" spans="1:17" ht="100.9" customHeight="1" x14ac:dyDescent="0.25">
      <c r="A5" s="23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8"/>
      <c r="H5" s="18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8"/>
      <c r="Q5" s="18"/>
    </row>
    <row r="6" spans="1:17" ht="18.600000000000001" customHeight="1" x14ac:dyDescent="0.25">
      <c r="A6" s="15">
        <v>45383</v>
      </c>
      <c r="B6" s="8">
        <v>2768</v>
      </c>
      <c r="C6" s="8">
        <v>3747</v>
      </c>
      <c r="D6" s="8">
        <v>1028.7169999999999</v>
      </c>
      <c r="E6" s="8">
        <v>130980</v>
      </c>
      <c r="F6" s="1">
        <v>51.940779999999997</v>
      </c>
      <c r="G6" s="1">
        <v>65.634069000000011</v>
      </c>
      <c r="H6" s="1">
        <f t="shared" ref="H6:H17" si="0">F6/G6*100</f>
        <v>79.136918968104794</v>
      </c>
      <c r="I6" s="1">
        <v>6.8540000000000001</v>
      </c>
      <c r="J6" s="1">
        <v>0.26200000000000001</v>
      </c>
      <c r="K6" s="1">
        <v>7.1159999999999997</v>
      </c>
      <c r="L6" s="1">
        <v>4.7321759000000005</v>
      </c>
      <c r="M6" s="6">
        <v>3.1409173289054016E-3</v>
      </c>
      <c r="N6" s="1">
        <v>1.0663400000000001E-4</v>
      </c>
      <c r="O6" s="1">
        <v>4.7354234513289057</v>
      </c>
      <c r="P6" s="1">
        <v>6.7264795999999976</v>
      </c>
      <c r="Q6" s="1">
        <f t="shared" ref="Q6:Q18" si="1">O6/P6*100</f>
        <v>70.39972961976882</v>
      </c>
    </row>
    <row r="7" spans="1:17" ht="18.600000000000001" customHeight="1" x14ac:dyDescent="0.25">
      <c r="A7" s="16">
        <v>45413</v>
      </c>
      <c r="B7" s="9">
        <v>2899</v>
      </c>
      <c r="C7" s="9">
        <v>3968</v>
      </c>
      <c r="D7" s="9">
        <v>1077.6550000000002</v>
      </c>
      <c r="E7" s="9">
        <v>138117</v>
      </c>
      <c r="F7" s="2">
        <v>54.573383</v>
      </c>
      <c r="G7" s="2">
        <v>68.819305999999997</v>
      </c>
      <c r="H7" s="2">
        <f t="shared" si="0"/>
        <v>79.299525339590033</v>
      </c>
      <c r="I7" s="2">
        <v>6.6289999999999996</v>
      </c>
      <c r="J7" s="2">
        <v>9.1999999999999998E-2</v>
      </c>
      <c r="K7" s="2">
        <v>6.7209999999999992</v>
      </c>
      <c r="L7" s="2">
        <v>4.9746354520065514</v>
      </c>
      <c r="M7" s="7">
        <v>3.215E-3</v>
      </c>
      <c r="N7" s="2">
        <v>3.7444000000000003E-5</v>
      </c>
      <c r="O7" s="2">
        <v>4.9778878960065507</v>
      </c>
      <c r="P7" s="2">
        <v>7.0728999999999997</v>
      </c>
      <c r="Q7" s="2">
        <f t="shared" si="1"/>
        <v>70.379729615950325</v>
      </c>
    </row>
    <row r="8" spans="1:17" ht="18.600000000000001" customHeight="1" x14ac:dyDescent="0.25">
      <c r="A8" s="15">
        <v>45444</v>
      </c>
      <c r="B8" s="8">
        <v>2929</v>
      </c>
      <c r="C8" s="8">
        <v>3966</v>
      </c>
      <c r="D8" s="8">
        <v>1073.6300000000001</v>
      </c>
      <c r="E8" s="8">
        <v>137060</v>
      </c>
      <c r="F8" s="1">
        <v>53.009915999999997</v>
      </c>
      <c r="G8" s="1">
        <v>67.339618999999999</v>
      </c>
      <c r="H8" s="1">
        <f t="shared" si="0"/>
        <v>78.720249367612254</v>
      </c>
      <c r="I8" s="1">
        <v>1.498</v>
      </c>
      <c r="J8" s="1">
        <v>0</v>
      </c>
      <c r="K8" s="1">
        <v>1.498</v>
      </c>
      <c r="L8" s="1">
        <v>4.8294725000000005</v>
      </c>
      <c r="M8" s="6">
        <v>7.7900000000000007E-4</v>
      </c>
      <c r="N8" s="1">
        <v>0</v>
      </c>
      <c r="O8" s="1">
        <v>4.830251500000001</v>
      </c>
      <c r="P8" s="1">
        <v>7.0273919999999963</v>
      </c>
      <c r="Q8" s="1">
        <f t="shared" si="1"/>
        <v>68.734624452428491</v>
      </c>
    </row>
    <row r="9" spans="1:17" ht="18.600000000000001" customHeight="1" x14ac:dyDescent="0.25">
      <c r="A9" s="16">
        <v>45474</v>
      </c>
      <c r="B9" s="9">
        <v>2700</v>
      </c>
      <c r="C9" s="9">
        <v>3702</v>
      </c>
      <c r="D9" s="9">
        <v>1006.292</v>
      </c>
      <c r="E9" s="9">
        <v>124247</v>
      </c>
      <c r="F9" s="2">
        <v>48.357993999999998</v>
      </c>
      <c r="G9" s="2">
        <v>63.679607000000004</v>
      </c>
      <c r="H9" s="2">
        <f t="shared" si="0"/>
        <v>75.939529589119473</v>
      </c>
      <c r="I9" s="2">
        <v>4.6459999999999999</v>
      </c>
      <c r="J9" s="2"/>
      <c r="K9" s="2">
        <v>4.6459999999999999</v>
      </c>
      <c r="L9" s="2">
        <v>4.4066520999999996</v>
      </c>
      <c r="M9" s="7">
        <v>2.3666186612247434E-3</v>
      </c>
      <c r="N9" s="2">
        <v>0</v>
      </c>
      <c r="O9" s="2">
        <v>4.4090187186612244</v>
      </c>
      <c r="P9" s="2">
        <v>6.5700356000000024</v>
      </c>
      <c r="Q9" s="2">
        <f t="shared" si="1"/>
        <v>67.107988252928536</v>
      </c>
    </row>
    <row r="10" spans="1:17" ht="18.600000000000001" customHeight="1" x14ac:dyDescent="0.25">
      <c r="A10" s="15">
        <v>45505</v>
      </c>
      <c r="B10" s="8">
        <v>2641</v>
      </c>
      <c r="C10" s="8">
        <v>3557</v>
      </c>
      <c r="D10" s="8">
        <v>970.79700000000003</v>
      </c>
      <c r="E10" s="8">
        <v>118188</v>
      </c>
      <c r="F10" s="1">
        <v>45.429539999999996</v>
      </c>
      <c r="G10" s="1">
        <v>61.769613</v>
      </c>
      <c r="H10" s="1">
        <f t="shared" si="0"/>
        <v>73.54674538757429</v>
      </c>
      <c r="I10" s="1">
        <v>1.1579999999999999</v>
      </c>
      <c r="J10" s="1"/>
      <c r="K10" s="1">
        <v>1.1579999999999999</v>
      </c>
      <c r="L10" s="1">
        <v>4.1397131999999983</v>
      </c>
      <c r="M10" s="6">
        <v>7.031626063694268E-4</v>
      </c>
      <c r="N10" s="1">
        <v>0</v>
      </c>
      <c r="O10" s="1">
        <v>4.1404163626063681</v>
      </c>
      <c r="P10" s="1">
        <v>6.3636156000000001</v>
      </c>
      <c r="Q10" s="1">
        <f t="shared" si="1"/>
        <v>65.063897992304376</v>
      </c>
    </row>
    <row r="11" spans="1:17" ht="18.600000000000001" customHeight="1" x14ac:dyDescent="0.25">
      <c r="A11" s="16">
        <v>45536</v>
      </c>
      <c r="B11" s="9">
        <v>2344</v>
      </c>
      <c r="C11" s="9">
        <v>3120</v>
      </c>
      <c r="D11" s="9">
        <v>840.47700000000009</v>
      </c>
      <c r="E11" s="9">
        <v>102988</v>
      </c>
      <c r="F11" s="2">
        <v>39.014015999999998</v>
      </c>
      <c r="G11" s="2">
        <v>53.830387000000002</v>
      </c>
      <c r="H11" s="2">
        <f t="shared" si="0"/>
        <v>72.47582299566227</v>
      </c>
      <c r="I11" s="2">
        <v>1.821</v>
      </c>
      <c r="J11" s="2"/>
      <c r="K11" s="2">
        <v>1.821</v>
      </c>
      <c r="L11" s="2">
        <v>3.5522259959999989</v>
      </c>
      <c r="M11" s="7">
        <v>9.3527254865785679E-4</v>
      </c>
      <c r="N11" s="2">
        <v>0</v>
      </c>
      <c r="O11" s="2">
        <v>3.5531612685486569</v>
      </c>
      <c r="P11" s="2">
        <v>5.5126476000000029</v>
      </c>
      <c r="Q11" s="2">
        <f t="shared" si="1"/>
        <v>64.454714437916465</v>
      </c>
    </row>
    <row r="12" spans="1:17" ht="18.600000000000001" customHeight="1" x14ac:dyDescent="0.25">
      <c r="A12" s="15">
        <v>45566</v>
      </c>
      <c r="B12" s="8">
        <v>2280</v>
      </c>
      <c r="C12" s="8">
        <v>3009</v>
      </c>
      <c r="D12" s="8">
        <v>824.798</v>
      </c>
      <c r="E12" s="8">
        <v>98406</v>
      </c>
      <c r="F12" s="1">
        <v>37.915196000000002</v>
      </c>
      <c r="G12" s="1">
        <v>51.573908000000003</v>
      </c>
      <c r="H12" s="1">
        <f t="shared" si="0"/>
        <v>73.516236155693306</v>
      </c>
      <c r="I12" s="1">
        <v>1.274</v>
      </c>
      <c r="J12" s="1"/>
      <c r="K12" s="1">
        <v>1.274</v>
      </c>
      <c r="L12" s="1">
        <v>3.4508121160000003</v>
      </c>
      <c r="M12" s="6">
        <v>8.5751152201257849E-4</v>
      </c>
      <c r="N12" s="1">
        <v>0</v>
      </c>
      <c r="O12" s="1">
        <v>3.4516696275220125</v>
      </c>
      <c r="P12" s="1">
        <v>5.2781624000000011</v>
      </c>
      <c r="Q12" s="1">
        <f t="shared" si="1"/>
        <v>65.39529036700371</v>
      </c>
    </row>
    <row r="13" spans="1:17" ht="18.600000000000001" customHeight="1" x14ac:dyDescent="0.25">
      <c r="A13" s="16">
        <v>45597</v>
      </c>
      <c r="B13" s="9">
        <v>2127</v>
      </c>
      <c r="C13" s="9">
        <v>2837</v>
      </c>
      <c r="D13" s="9">
        <v>797.89100000000008</v>
      </c>
      <c r="E13" s="9">
        <v>96965</v>
      </c>
      <c r="F13" s="2">
        <v>38.96970300000001</v>
      </c>
      <c r="G13" s="2">
        <v>52.433463000000003</v>
      </c>
      <c r="H13" s="2">
        <f t="shared" si="0"/>
        <v>74.322199546499547</v>
      </c>
      <c r="I13" s="2">
        <v>0.72499999999999998</v>
      </c>
      <c r="J13" s="2">
        <v>0</v>
      </c>
      <c r="K13" s="2">
        <v>0.72499999999999998</v>
      </c>
      <c r="L13" s="2">
        <v>3.5464287999999997</v>
      </c>
      <c r="M13" s="7">
        <v>6.9999999999999997E-7</v>
      </c>
      <c r="N13" s="2">
        <v>0</v>
      </c>
      <c r="O13" s="2">
        <v>3.5464294999999999</v>
      </c>
      <c r="P13" s="2">
        <v>5.0372991999999996</v>
      </c>
      <c r="Q13" s="2">
        <f t="shared" si="1"/>
        <v>70.403391960517254</v>
      </c>
    </row>
    <row r="14" spans="1:17" ht="18.600000000000001" customHeight="1" x14ac:dyDescent="0.25">
      <c r="A14" s="15">
        <v>45627</v>
      </c>
      <c r="B14" s="8">
        <v>2069</v>
      </c>
      <c r="C14" s="8">
        <v>2802</v>
      </c>
      <c r="D14" s="8">
        <v>795.96100000000001</v>
      </c>
      <c r="E14" s="8">
        <v>99952</v>
      </c>
      <c r="F14" s="1">
        <v>40.571822999999995</v>
      </c>
      <c r="G14" s="1">
        <v>52.22636</v>
      </c>
      <c r="H14" s="1">
        <f t="shared" si="0"/>
        <v>77.684569631121136</v>
      </c>
      <c r="I14" s="1">
        <v>0.86199999999999999</v>
      </c>
      <c r="J14" s="1"/>
      <c r="K14" s="1">
        <v>0.86199999999999999</v>
      </c>
      <c r="L14" s="1">
        <v>3.6920359</v>
      </c>
      <c r="M14" s="6">
        <v>8.9999999999999996E-7</v>
      </c>
      <c r="N14" s="1">
        <v>0</v>
      </c>
      <c r="O14" s="1">
        <v>3.6920367999999999</v>
      </c>
      <c r="P14" s="1">
        <v>5.0035020000000001</v>
      </c>
      <c r="Q14" s="1">
        <f t="shared" si="1"/>
        <v>73.789054146475806</v>
      </c>
    </row>
    <row r="15" spans="1:17" ht="18.600000000000001" customHeight="1" x14ac:dyDescent="0.25">
      <c r="A15" s="16">
        <v>45658</v>
      </c>
      <c r="B15" s="9">
        <v>1953</v>
      </c>
      <c r="C15" s="9">
        <v>2704</v>
      </c>
      <c r="D15" s="9">
        <v>782.94</v>
      </c>
      <c r="E15" s="9">
        <v>90895</v>
      </c>
      <c r="F15" s="2">
        <v>38.440168</v>
      </c>
      <c r="G15" s="2">
        <v>49.509391000000001</v>
      </c>
      <c r="H15" s="2">
        <f t="shared" si="0"/>
        <v>77.64217499665871</v>
      </c>
      <c r="I15" s="2">
        <v>4.8000000000000001E-2</v>
      </c>
      <c r="J15" s="14"/>
      <c r="K15" s="2">
        <v>4.8000000000000001E-2</v>
      </c>
      <c r="L15" s="2">
        <v>3.4980552999999999</v>
      </c>
      <c r="M15" s="7">
        <v>1.0000000000000001E-7</v>
      </c>
      <c r="N15" s="2">
        <v>0</v>
      </c>
      <c r="O15" s="2">
        <v>3.4980554000000001</v>
      </c>
      <c r="P15" s="2">
        <v>4.7593418000000005</v>
      </c>
      <c r="Q15" s="2">
        <f t="shared" si="1"/>
        <v>73.498722029167979</v>
      </c>
    </row>
    <row r="16" spans="1:17" ht="18.600000000000001" customHeight="1" x14ac:dyDescent="0.25">
      <c r="A16" s="15">
        <v>45689</v>
      </c>
      <c r="B16" s="8">
        <v>1710</v>
      </c>
      <c r="C16" s="8">
        <v>2497</v>
      </c>
      <c r="D16" s="8">
        <v>728.02</v>
      </c>
      <c r="E16" s="8">
        <v>85992</v>
      </c>
      <c r="F16" s="1">
        <v>38.733658000000005</v>
      </c>
      <c r="G16" s="1">
        <v>46.649684999999998</v>
      </c>
      <c r="H16" s="1">
        <f t="shared" si="0"/>
        <v>83.030910069382045</v>
      </c>
      <c r="I16" s="1"/>
      <c r="J16" s="1"/>
      <c r="K16" s="1">
        <v>0</v>
      </c>
      <c r="L16" s="1">
        <v>3.5247629000000003</v>
      </c>
      <c r="M16" s="6">
        <v>0</v>
      </c>
      <c r="N16" s="1">
        <v>0</v>
      </c>
      <c r="O16" s="1">
        <v>3.5247629000000003</v>
      </c>
      <c r="P16" s="1">
        <v>4.4744140999999997</v>
      </c>
      <c r="Q16" s="1">
        <f t="shared" si="1"/>
        <v>78.775965326946391</v>
      </c>
    </row>
    <row r="17" spans="1:17" ht="18.600000000000001" customHeight="1" x14ac:dyDescent="0.25">
      <c r="A17" s="16">
        <v>45717</v>
      </c>
      <c r="B17" s="9">
        <v>1697</v>
      </c>
      <c r="C17" s="9">
        <v>2346</v>
      </c>
      <c r="D17" s="9">
        <v>663.59699999999998</v>
      </c>
      <c r="E17" s="9">
        <v>77945</v>
      </c>
      <c r="F17" s="2">
        <v>32.129950000000001</v>
      </c>
      <c r="G17" s="2">
        <v>42.326895999999998</v>
      </c>
      <c r="H17" s="2">
        <f t="shared" si="0"/>
        <v>75.909062644234538</v>
      </c>
      <c r="I17" s="2">
        <v>6.9000000000000006E-2</v>
      </c>
      <c r="J17" s="14"/>
      <c r="K17" s="2">
        <v>6.9000000000000006E-2</v>
      </c>
      <c r="L17" s="2">
        <v>2.9238255</v>
      </c>
      <c r="M17" s="7">
        <v>1.0000000000000001E-7</v>
      </c>
      <c r="N17" s="2">
        <v>0</v>
      </c>
      <c r="O17" s="2">
        <v>2.9238256000000002</v>
      </c>
      <c r="P17" s="2">
        <v>4.0698084999999997</v>
      </c>
      <c r="Q17" s="2">
        <f t="shared" si="1"/>
        <v>71.841847104108226</v>
      </c>
    </row>
    <row r="18" spans="1:17" ht="18.600000000000001" customHeight="1" x14ac:dyDescent="0.25">
      <c r="A18" s="3" t="s">
        <v>23</v>
      </c>
      <c r="B18" s="4">
        <f>SUM(B6:B17)</f>
        <v>28117</v>
      </c>
      <c r="C18" s="4">
        <f t="shared" ref="C18:G18" si="2">SUM(C6:C17)</f>
        <v>38255</v>
      </c>
      <c r="D18" s="4">
        <f t="shared" si="2"/>
        <v>10590.775</v>
      </c>
      <c r="E18" s="4">
        <f t="shared" si="2"/>
        <v>1301735</v>
      </c>
      <c r="F18" s="4">
        <f t="shared" si="2"/>
        <v>519.08612699999992</v>
      </c>
      <c r="G18" s="4">
        <f t="shared" si="2"/>
        <v>675.79230400000006</v>
      </c>
      <c r="H18" s="5">
        <f>F18/G18*100</f>
        <v>76.811488371137159</v>
      </c>
      <c r="I18" s="5">
        <f t="shared" ref="I18" si="3">SUM(I6:I17)</f>
        <v>25.584</v>
      </c>
      <c r="J18" s="4">
        <f t="shared" ref="J18:P18" si="4">SUM(J6:J17)</f>
        <v>0.35399999999999998</v>
      </c>
      <c r="K18" s="12">
        <f t="shared" si="4"/>
        <v>25.937999999999999</v>
      </c>
      <c r="L18" s="12">
        <f t="shared" si="4"/>
        <v>47.270795664006549</v>
      </c>
      <c r="M18" s="11">
        <f t="shared" si="4"/>
        <v>1.1999282667170007E-2</v>
      </c>
      <c r="N18" s="10">
        <f t="shared" si="4"/>
        <v>1.4407800000000001E-4</v>
      </c>
      <c r="O18" s="12">
        <f t="shared" si="4"/>
        <v>47.282939024673709</v>
      </c>
      <c r="P18" s="12">
        <f t="shared" si="4"/>
        <v>67.895598399999997</v>
      </c>
      <c r="Q18" s="12">
        <f t="shared" si="1"/>
        <v>69.640654385444975</v>
      </c>
    </row>
    <row r="19" spans="1:17" ht="18.600000000000001" customHeight="1" x14ac:dyDescent="0.25">
      <c r="A19" s="19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2022-04-25T11:58:09Z</cp:lastPrinted>
  <dcterms:created xsi:type="dcterms:W3CDTF">2020-06-03T10:40:01Z</dcterms:created>
  <dcterms:modified xsi:type="dcterms:W3CDTF">2025-11-10T09:12:19Z</dcterms:modified>
</cp:coreProperties>
</file>