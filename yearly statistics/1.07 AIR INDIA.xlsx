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\"/>
    </mc:Choice>
  </mc:AlternateContent>
  <bookViews>
    <workbookView showHorizontalScroll="0" showVerticalScroll="0" showSheetTabs="0" xWindow="0" yWindow="0" windowWidth="17070" windowHeight="9660"/>
  </bookViews>
  <sheets>
    <sheet name="AIR INDIA" sheetId="5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5" l="1"/>
  <c r="I17" i="5"/>
  <c r="I16" i="5"/>
  <c r="I15" i="5"/>
  <c r="I14" i="5"/>
  <c r="I13" i="5"/>
</calcChain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<sst xmlns="http://schemas.openxmlformats.org/spreadsheetml/2006/main" count="62" uniqueCount="38">
  <si>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</si>
  <si>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</si>
  <si>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</si>
  <si>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</si>
  <si>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</si>
  <si>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</si>
  <si>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</si>
  <si>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</si>
  <si>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</si>
  <si>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</si>
  <si>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</si>
  <si>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</si>
  <si>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</si>
  <si>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</si>
  <si>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</si>
  <si>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</si>
  <si>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</si>
  <si>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</si>
  <si>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</si>
  <si>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</si>
  <si>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</si>
  <si>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AIR INDIA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</si>
  <si>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</si>
  <si>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</si>
  <si>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</si>
  <si>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</si>
  <si>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</si>
  <si>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</si>
  <si>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</si>
  <si>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</t>
  </si>
  <si>
    <t>2020-21*</t>
  </si>
  <si>
    <t>* DENOTES that THE INTERNATIONAL OPERATIONS BY SCHEDULED INDIAN OPERATORS WERE CARRIED AS PER DGCA’S CIRCULAR DATED 26.03.2020 UNDER COVID-19 RESTRICTION.</t>
  </si>
  <si>
    <t>2022-23</t>
  </si>
  <si>
    <t>TABLE - 1.07 AIR INDIA</t>
  </si>
  <si>
    <t>2021-22*</t>
  </si>
  <si>
    <t>2023-24</t>
  </si>
  <si>
    <t>2024-25</t>
  </si>
  <si>
    <t xml:space="preserve"> तालिका - 1.07  एयर इंडिया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</si>
</sst>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6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1" fillId="7" borderId="1" xfId="5" applyFont="1" applyBorder="1" applyAlignment="1" applyProtection="1">
      <alignment horizontal="right" vertical="center" wrapText="1"/>
    </xf>
    <xf numFmtId="164" fontId="4" fillId="3" borderId="5" xfId="1" applyNumberFormat="1" applyBorder="1" applyAlignment="1" applyProtection="1">
      <alignment horizontal="center" vertical="center" wrapText="1"/>
    </xf>
    <xf numFmtId="164" fontId="4" fillId="3" borderId="6" xfId="1" applyNumberFormat="1" applyBorder="1" applyAlignment="1" applyProtection="1">
      <alignment horizontal="center" vertical="center" wrapText="1"/>
    </xf>
    <xf numFmtId="164" fontId="4" fillId="3" borderId="7" xfId="1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5" xfId="5" applyFont="1" applyBorder="1" applyAlignment="1">
      <alignment horizontal="center" vertical="center"/>
    </xf>
    <xf numFmtId="0" fontId="1" fillId="7" borderId="6" xfId="5" applyFont="1" applyBorder="1" applyAlignment="1">
      <alignment horizontal="center" vertical="center"/>
    </xf>
    <xf numFmtId="0" fontId="1" fillId="7" borderId="7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8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0" fontId="1" fillId="7" borderId="8" xfId="5" applyFont="1" applyBorder="1" applyAlignment="1" applyProtection="1">
      <alignment horizontal="center" vertical="center"/>
    </xf>
    <xf numFmtId="0" fontId="0" fillId="0" borderId="1" xfId="0" applyBorder="1"/>
    <xf numFmtId="3" fontId="4" fillId="8" borderId="2" xfId="6" applyNumberFormat="1" applyBorder="1" applyAlignment="1" applyProtection="1">
      <alignment horizontal="center" vertical="center" wrapText="1"/>
    </xf>
    <xf numFmtId="3" fontId="4" fillId="8" borderId="0" xfId="6" applyNumberFormat="1" applyBorder="1" applyAlignment="1" applyProtection="1">
      <alignment horizontal="center" vertical="center" wrapText="1"/>
    </xf>
    <xf numFmtId="3" fontId="4" fillId="8" borderId="8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  <xf numFmtId="3" fontId="4" fillId="5" borderId="9" xfId="3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esktop/Annual%20Publication%20FY%202021-22/25-11-2022%20(Revised)/Domestic%20Tables_Final%20(25.11.2022)/PDF/03.%20AIR%20INDIA(national)/1.01%20air%20ind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INDIA"/>
    </sheetNames>
    <sheetDataSet>
      <sheetData sheetId="0" refreshError="1">
        <row r="18">
          <cell r="B18">
            <v>63150</v>
          </cell>
          <cell r="C18">
            <v>119241.43333333332</v>
          </cell>
          <cell r="D18">
            <v>74179.457999999999</v>
          </cell>
          <cell r="E18">
            <v>6375302</v>
          </cell>
          <cell r="F18">
            <v>6658.7504070000005</v>
          </cell>
          <cell r="H18">
            <v>65.338288140703696</v>
          </cell>
          <cell r="Q18">
            <v>62.652663738361994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view="pageBreakPreview" zoomScaleNormal="85" zoomScaleSheetLayoutView="100" workbookViewId="0">
      <selection activeCell="G15" sqref="G15"/>
    </sheetView>
  </sheetViews>
  <sheetFormatPr defaultRowHeight="15" x14ac:dyDescent="0.25"/>
  <cols>
    <col min="1" max="1" width="71.7109375" customWidth="1"/>
    <col min="2" max="9" width="9.140625" customWidth="1"/>
    <col min="11" max="11" width="10.42578125" customWidth="1"/>
    <col min="12" max="12" width="10.140625" customWidth="1"/>
  </cols>
  <sheetData>
    <row r="1" spans="1:12" ht="16.5" customHeight="1" x14ac:dyDescent="0.25">
      <c r="A1" s="20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ht="20.25" customHeight="1" x14ac:dyDescent="0.25">
      <c r="A2" s="23" t="s">
        <v>33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1:12" ht="14.25" customHeight="1" x14ac:dyDescent="0.25">
      <c r="A3" s="26" t="s">
        <v>29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8"/>
    </row>
    <row r="4" spans="1:12" x14ac:dyDescent="0.25">
      <c r="A4" s="8" t="s">
        <v>0</v>
      </c>
      <c r="B4" s="9" t="s">
        <v>1</v>
      </c>
      <c r="C4" s="10" t="s">
        <v>4</v>
      </c>
      <c r="D4" s="10" t="s">
        <v>3</v>
      </c>
      <c r="E4" s="10" t="s">
        <v>2</v>
      </c>
      <c r="F4" s="10" t="s">
        <v>20</v>
      </c>
      <c r="G4" s="10" t="s">
        <v>22</v>
      </c>
      <c r="H4" s="10" t="s">
        <v>30</v>
      </c>
      <c r="I4" s="10" t="s">
        <v>34</v>
      </c>
      <c r="J4" s="14" t="s">
        <v>32</v>
      </c>
      <c r="K4" s="14" t="s">
        <v>35</v>
      </c>
      <c r="L4" s="14" t="s">
        <v>36</v>
      </c>
    </row>
    <row r="5" spans="1:12" ht="10.5" customHeight="1" x14ac:dyDescent="0.25">
      <c r="A5" s="30" t="s">
        <v>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1:12" ht="20.100000000000001" customHeight="1" x14ac:dyDescent="0.25">
      <c r="A6" s="1" t="s">
        <v>6</v>
      </c>
      <c r="B6" s="1" t="s">
        <v>7</v>
      </c>
      <c r="C6" s="11">
        <v>73.913217725634468</v>
      </c>
      <c r="D6" s="11">
        <v>75.166017304925148</v>
      </c>
      <c r="E6" s="11">
        <v>79.417086971317957</v>
      </c>
      <c r="F6" s="11">
        <v>78.176330731502361</v>
      </c>
      <c r="G6" s="11">
        <v>80.3</v>
      </c>
      <c r="H6" s="11">
        <v>66.69321822930084</v>
      </c>
      <c r="I6" s="11">
        <v>72.527247894627521</v>
      </c>
      <c r="J6" s="11">
        <v>83.195283977380512</v>
      </c>
      <c r="K6" s="11">
        <v>86.002697671379664</v>
      </c>
      <c r="L6" s="11">
        <v>85.502149438006185</v>
      </c>
    </row>
    <row r="7" spans="1:12" ht="20.100000000000001" customHeight="1" x14ac:dyDescent="0.25">
      <c r="A7" s="1" t="s">
        <v>8</v>
      </c>
      <c r="B7" s="1" t="s">
        <v>7</v>
      </c>
      <c r="C7" s="11">
        <v>61.13967042413708</v>
      </c>
      <c r="D7" s="11">
        <v>63.774778388047757</v>
      </c>
      <c r="E7" s="11">
        <v>67.748499783040955</v>
      </c>
      <c r="F7" s="11">
        <v>66.938685295852906</v>
      </c>
      <c r="G7" s="11">
        <v>68.7</v>
      </c>
      <c r="H7" s="11">
        <v>51.034936872519957</v>
      </c>
      <c r="I7" s="11">
        <v>70.701221259794536</v>
      </c>
      <c r="J7" s="11">
        <v>69.889530336028187</v>
      </c>
      <c r="K7" s="11">
        <v>73.781734785357472</v>
      </c>
      <c r="L7" s="11">
        <v>82.333705484600799</v>
      </c>
    </row>
    <row r="8" spans="1:12" ht="20.100000000000001" customHeight="1" x14ac:dyDescent="0.25">
      <c r="A8" s="1" t="s">
        <v>9</v>
      </c>
      <c r="B8" s="1" t="s">
        <v>10</v>
      </c>
      <c r="C8" s="11">
        <v>1170.7911156003072</v>
      </c>
      <c r="D8" s="11">
        <v>1140.9299812099969</v>
      </c>
      <c r="E8" s="11">
        <v>1133.1221923793603</v>
      </c>
      <c r="F8" s="11">
        <v>1064.325949861269</v>
      </c>
      <c r="G8" s="11">
        <v>1028.5</v>
      </c>
      <c r="H8" s="11">
        <v>880.37868033464031</v>
      </c>
      <c r="I8" s="11">
        <v>804.17727001879609</v>
      </c>
      <c r="J8" s="11">
        <v>754.86258351948504</v>
      </c>
      <c r="K8" s="11">
        <v>741.2869658725765</v>
      </c>
      <c r="L8" s="11">
        <v>736.7431774405128</v>
      </c>
    </row>
    <row r="9" spans="1:12" ht="20.100000000000001" customHeight="1" x14ac:dyDescent="0.25">
      <c r="A9" s="1" t="s">
        <v>11</v>
      </c>
      <c r="B9" s="1" t="s">
        <v>12</v>
      </c>
      <c r="C9" s="11">
        <v>6200.2284504373993</v>
      </c>
      <c r="D9" s="11">
        <v>6405.104511675805</v>
      </c>
      <c r="E9" s="11">
        <v>6471.8851786139876</v>
      </c>
      <c r="F9" s="11">
        <v>6365.1817755278425</v>
      </c>
      <c r="G9" s="11">
        <v>6035.5</v>
      </c>
      <c r="H9" s="11">
        <v>6907.1260537149574</v>
      </c>
      <c r="I9" s="11">
        <v>5340.9628101387925</v>
      </c>
      <c r="J9" s="11">
        <v>4858.374499384865</v>
      </c>
      <c r="K9" s="11">
        <v>4884.5586330229207</v>
      </c>
      <c r="L9" s="11">
        <v>5025.4086892773084</v>
      </c>
    </row>
    <row r="10" spans="1:12" ht="20.100000000000001" customHeight="1" x14ac:dyDescent="0.25">
      <c r="A10" s="1" t="s">
        <v>13</v>
      </c>
      <c r="B10" s="1" t="s">
        <v>14</v>
      </c>
      <c r="C10" s="11">
        <v>159.73887000612916</v>
      </c>
      <c r="D10" s="11">
        <v>163.23757967101784</v>
      </c>
      <c r="E10" s="11">
        <v>169.93035510949872</v>
      </c>
      <c r="F10" s="11">
        <v>168.01007531794048</v>
      </c>
      <c r="G10" s="11">
        <v>168.9</v>
      </c>
      <c r="H10" s="11">
        <v>148.90256812389728</v>
      </c>
      <c r="I10" s="11">
        <v>158.65312684207706</v>
      </c>
      <c r="J10" s="11">
        <v>176.59301625526791</v>
      </c>
      <c r="K10" s="11">
        <v>186.09584978082131</v>
      </c>
      <c r="L10" s="11">
        <v>190.33383493459891</v>
      </c>
    </row>
    <row r="11" spans="1:12" ht="20.100000000000001" customHeight="1" x14ac:dyDescent="0.25">
      <c r="A11" s="1" t="s">
        <v>15</v>
      </c>
      <c r="B11" s="1" t="s">
        <v>16</v>
      </c>
      <c r="C11" s="11">
        <v>4.5868558463545233</v>
      </c>
      <c r="D11" s="11">
        <v>4.8217521576862463</v>
      </c>
      <c r="E11" s="11">
        <v>4.9393655058063795</v>
      </c>
      <c r="F11" s="11">
        <v>5.0123034010977756</v>
      </c>
      <c r="G11" s="11">
        <v>5</v>
      </c>
      <c r="H11" s="11">
        <v>7.2141309094044903</v>
      </c>
      <c r="I11" s="11">
        <v>5.8855491963523932</v>
      </c>
      <c r="J11" s="11">
        <v>5.6519864988394524</v>
      </c>
      <c r="K11" s="11">
        <v>5.6726554684472248</v>
      </c>
      <c r="L11" s="11">
        <v>5.7975667023861508</v>
      </c>
    </row>
    <row r="12" spans="1:12" ht="11.25" customHeight="1" x14ac:dyDescent="0.25">
      <c r="A12" s="33" t="s">
        <v>17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2" ht="20.100000000000001" customHeight="1" x14ac:dyDescent="0.25">
      <c r="A13" s="2" t="s">
        <v>6</v>
      </c>
      <c r="B13" s="3" t="s">
        <v>7</v>
      </c>
      <c r="C13" s="12">
        <v>79.19143994721469</v>
      </c>
      <c r="D13" s="12">
        <v>79.2088413992727</v>
      </c>
      <c r="E13" s="12">
        <v>80.45528599738725</v>
      </c>
      <c r="F13" s="12">
        <v>81.076750896378385</v>
      </c>
      <c r="G13" s="12">
        <v>78.599999999999994</v>
      </c>
      <c r="H13" s="12">
        <v>65.61181840433315</v>
      </c>
      <c r="I13" s="12">
        <f>'[1]AIR INDIA'!$H$18</f>
        <v>65.338288140703696</v>
      </c>
      <c r="J13" s="12">
        <v>81.83460940652472</v>
      </c>
      <c r="K13" s="12">
        <v>86.767764605375845</v>
      </c>
      <c r="L13" s="12">
        <v>83.779851324571908</v>
      </c>
    </row>
    <row r="14" spans="1:12" ht="20.100000000000001" customHeight="1" x14ac:dyDescent="0.25">
      <c r="A14" s="2" t="s">
        <v>8</v>
      </c>
      <c r="B14" s="3" t="s">
        <v>7</v>
      </c>
      <c r="C14" s="12">
        <v>71.079871925467202</v>
      </c>
      <c r="D14" s="12">
        <v>69.286775424006464</v>
      </c>
      <c r="E14" s="12">
        <v>73.898458688919405</v>
      </c>
      <c r="F14" s="12">
        <v>76.636861237587496</v>
      </c>
      <c r="G14" s="12">
        <v>72</v>
      </c>
      <c r="H14" s="12">
        <v>62.841333606336505</v>
      </c>
      <c r="I14" s="12">
        <f>'[1]AIR INDIA'!$Q$18</f>
        <v>62.652663738361994</v>
      </c>
      <c r="J14" s="12">
        <v>76.168258633919692</v>
      </c>
      <c r="K14" s="12">
        <v>78.612384194640299</v>
      </c>
      <c r="L14" s="12">
        <v>86.583052049090597</v>
      </c>
    </row>
    <row r="15" spans="1:12" ht="20.100000000000001" customHeight="1" x14ac:dyDescent="0.25">
      <c r="A15" s="2" t="s">
        <v>9</v>
      </c>
      <c r="B15" s="3" t="s">
        <v>10</v>
      </c>
      <c r="C15" s="12">
        <v>627.87358613978267</v>
      </c>
      <c r="D15" s="12">
        <v>569.62044366854286</v>
      </c>
      <c r="E15" s="12">
        <v>561.77298495572154</v>
      </c>
      <c r="F15" s="12">
        <v>581.64136386970267</v>
      </c>
      <c r="G15" s="12">
        <v>585.20000000000005</v>
      </c>
      <c r="H15" s="12">
        <v>627.54208270575157</v>
      </c>
      <c r="I15" s="12">
        <f>'[1]AIR INDIA'!$D$18/'[1]AIR INDIA'!$C$18*1000</f>
        <v>622.09465222239589</v>
      </c>
      <c r="J15" s="12">
        <v>576.13576096436395</v>
      </c>
      <c r="K15" s="12">
        <v>553.7662084465552</v>
      </c>
      <c r="L15" s="12">
        <v>522.38813228834442</v>
      </c>
    </row>
    <row r="16" spans="1:12" ht="20.100000000000001" customHeight="1" x14ac:dyDescent="0.25">
      <c r="A16" s="2" t="s">
        <v>11</v>
      </c>
      <c r="B16" s="3" t="s">
        <v>12</v>
      </c>
      <c r="C16" s="12">
        <v>1133.9678454121126</v>
      </c>
      <c r="D16" s="12">
        <v>1039.2557066759414</v>
      </c>
      <c r="E16" s="12">
        <v>1051.0066012303864</v>
      </c>
      <c r="F16" s="12">
        <v>1082.7321544029355</v>
      </c>
      <c r="G16" s="12">
        <v>1105.9000000000001</v>
      </c>
      <c r="H16" s="12">
        <v>1234.4666767580657</v>
      </c>
      <c r="I16" s="12">
        <f>'[1]AIR INDIA'!$D$18/'[1]AIR INDIA'!$B$18*100</f>
        <v>117.46549168646081</v>
      </c>
      <c r="J16" s="12">
        <v>1118.5337489181284</v>
      </c>
      <c r="K16" s="12">
        <v>1069.7186831573042</v>
      </c>
      <c r="L16" s="12">
        <v>1047.6824958949098</v>
      </c>
    </row>
    <row r="17" spans="1:12" ht="20.100000000000001" customHeight="1" x14ac:dyDescent="0.25">
      <c r="A17" s="2" t="s">
        <v>13</v>
      </c>
      <c r="B17" s="3" t="s">
        <v>14</v>
      </c>
      <c r="C17" s="12">
        <v>122.37724016058085</v>
      </c>
      <c r="D17" s="12">
        <v>125.70422303172307</v>
      </c>
      <c r="E17" s="12">
        <v>127.49173118130919</v>
      </c>
      <c r="F17" s="12">
        <v>129.97901604655263</v>
      </c>
      <c r="G17" s="12">
        <v>126.1</v>
      </c>
      <c r="H17" s="12">
        <v>103.3996842833665</v>
      </c>
      <c r="I17" s="12">
        <f>'[1]AIR INDIA'!$E$18/'[1]AIR INDIA'!$B$18</f>
        <v>100.95490102929533</v>
      </c>
      <c r="J17" s="12">
        <v>128.14753990600042</v>
      </c>
      <c r="K17" s="12">
        <v>142.43285071916799</v>
      </c>
      <c r="L17" s="12">
        <v>147.75163875205254</v>
      </c>
    </row>
    <row r="18" spans="1:12" ht="20.100000000000001" customHeight="1" x14ac:dyDescent="0.25">
      <c r="A18" s="2" t="s">
        <v>18</v>
      </c>
      <c r="B18" s="4" t="s">
        <v>16</v>
      </c>
      <c r="C18" s="12">
        <v>0.96131920459658227</v>
      </c>
      <c r="D18" s="12">
        <v>0.95259757545256396</v>
      </c>
      <c r="E18" s="12">
        <v>0.97121451879629284</v>
      </c>
      <c r="F18" s="12">
        <v>0.96992064676438527</v>
      </c>
      <c r="G18" s="12">
        <v>1</v>
      </c>
      <c r="H18" s="12">
        <v>1.0826317754566188</v>
      </c>
      <c r="I18" s="12">
        <f>'[1]AIR INDIA'!$F$18/'[1]AIR INDIA'!$E$18*1000</f>
        <v>1.0444603890137285</v>
      </c>
      <c r="J18" s="12">
        <v>1.0534324941696207</v>
      </c>
      <c r="K18" s="12">
        <v>1.0235088614473777</v>
      </c>
      <c r="L18" s="12">
        <v>1.0217896360674843</v>
      </c>
    </row>
    <row r="19" spans="1:12" ht="11.25" customHeight="1" x14ac:dyDescent="0.25">
      <c r="A19" s="15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20.100000000000001" customHeight="1" x14ac:dyDescent="0.25">
      <c r="A20" s="5" t="s">
        <v>6</v>
      </c>
      <c r="B20" s="6" t="s">
        <v>7</v>
      </c>
      <c r="C20" s="13">
        <v>75.512511963868818</v>
      </c>
      <c r="D20" s="13">
        <v>76.399424535101019</v>
      </c>
      <c r="E20" s="13">
        <v>79.737449616074642</v>
      </c>
      <c r="F20" s="13">
        <v>79.040675646092154</v>
      </c>
      <c r="G20" s="13">
        <v>79.8</v>
      </c>
      <c r="H20" s="13">
        <v>66.342416358568798</v>
      </c>
      <c r="I20" s="13">
        <v>70.37739845674048</v>
      </c>
      <c r="J20" s="13">
        <v>82.858809143535922</v>
      </c>
      <c r="K20" s="13">
        <v>86.185526218234529</v>
      </c>
      <c r="L20" s="13">
        <v>85.001234481966918</v>
      </c>
    </row>
    <row r="21" spans="1:12" ht="20.100000000000001" customHeight="1" x14ac:dyDescent="0.25">
      <c r="A21" s="5" t="s">
        <v>8</v>
      </c>
      <c r="B21" s="6" t="s">
        <v>7</v>
      </c>
      <c r="C21" s="13">
        <v>63.663848813725401</v>
      </c>
      <c r="D21" s="13">
        <v>65.186452414355074</v>
      </c>
      <c r="E21" s="13">
        <v>69.350376904871936</v>
      </c>
      <c r="F21" s="13">
        <v>69.318880629114716</v>
      </c>
      <c r="G21" s="13">
        <v>69.5</v>
      </c>
      <c r="H21" s="13">
        <v>54.3</v>
      </c>
      <c r="I21" s="13">
        <v>68.311644653914257</v>
      </c>
      <c r="J21" s="13">
        <v>71.10313477797304</v>
      </c>
      <c r="K21" s="13">
        <v>74.711805932494428</v>
      </c>
      <c r="L21" s="13">
        <v>83.343540285464343</v>
      </c>
    </row>
    <row r="22" spans="1:12" ht="20.100000000000001" customHeight="1" x14ac:dyDescent="0.25">
      <c r="A22" s="5" t="s">
        <v>9</v>
      </c>
      <c r="B22" s="6" t="s">
        <v>10</v>
      </c>
      <c r="C22" s="13">
        <v>900.79468972721384</v>
      </c>
      <c r="D22" s="13">
        <v>856.95976221882552</v>
      </c>
      <c r="E22" s="13">
        <v>846.89092965317082</v>
      </c>
      <c r="F22" s="13">
        <v>833.64438836500574</v>
      </c>
      <c r="G22" s="13">
        <v>813.5</v>
      </c>
      <c r="H22" s="13">
        <v>745.88222887995164</v>
      </c>
      <c r="I22" s="13">
        <v>704.51216478407912</v>
      </c>
      <c r="J22" s="13">
        <v>680.00337663850848</v>
      </c>
      <c r="K22" s="13">
        <v>665.88388566946981</v>
      </c>
      <c r="L22" s="13">
        <v>637.40879883117952</v>
      </c>
    </row>
    <row r="23" spans="1:12" ht="20.100000000000001" customHeight="1" x14ac:dyDescent="0.25">
      <c r="A23" s="5" t="s">
        <v>11</v>
      </c>
      <c r="B23" s="6" t="s">
        <v>12</v>
      </c>
      <c r="C23" s="13">
        <v>2432.7362587132898</v>
      </c>
      <c r="D23" s="13">
        <v>2367.1265333673123</v>
      </c>
      <c r="E23" s="13">
        <v>2384.6220496550468</v>
      </c>
      <c r="F23" s="13">
        <v>2423.1554835637212</v>
      </c>
      <c r="G23" s="13">
        <v>2362.3000000000002</v>
      </c>
      <c r="H23" s="13">
        <v>2259.7381036743081</v>
      </c>
      <c r="I23" s="13">
        <v>1943.0285111190387</v>
      </c>
      <c r="J23" s="13">
        <v>2221.9716249613839</v>
      </c>
      <c r="K23" s="13">
        <v>2227.8041166812327</v>
      </c>
      <c r="L23" s="13">
        <v>2057.9599282648319</v>
      </c>
    </row>
    <row r="24" spans="1:12" ht="20.100000000000001" customHeight="1" x14ac:dyDescent="0.25">
      <c r="A24" s="5" t="s">
        <v>13</v>
      </c>
      <c r="B24" s="6" t="s">
        <v>14</v>
      </c>
      <c r="C24" s="13">
        <v>131.95513369900584</v>
      </c>
      <c r="D24" s="13">
        <v>134.99249244078325</v>
      </c>
      <c r="E24" s="13">
        <v>137.93225363031681</v>
      </c>
      <c r="F24" s="13">
        <v>139.62940984798166</v>
      </c>
      <c r="G24" s="13">
        <v>137</v>
      </c>
      <c r="H24" s="13">
        <v>111.62383516989689</v>
      </c>
      <c r="I24" s="13">
        <v>114.83789194117414</v>
      </c>
      <c r="J24" s="13">
        <v>142.4413500154464</v>
      </c>
      <c r="K24" s="13">
        <v>155.68779296099149</v>
      </c>
      <c r="L24" s="13">
        <v>158.5668205248819</v>
      </c>
    </row>
    <row r="25" spans="1:12" ht="20.100000000000001" customHeight="1" x14ac:dyDescent="0.25">
      <c r="A25" s="5" t="s">
        <v>18</v>
      </c>
      <c r="B25" s="7" t="s">
        <v>16</v>
      </c>
      <c r="C25" s="13">
        <v>2.0864442896476101</v>
      </c>
      <c r="D25" s="13">
        <v>2.1104254749758344</v>
      </c>
      <c r="E25" s="13">
        <v>2.1739060684626064</v>
      </c>
      <c r="F25" s="13">
        <v>2.2041687556453038</v>
      </c>
      <c r="G25" s="13">
        <v>2.2000000000000002</v>
      </c>
      <c r="H25" s="13">
        <v>2.5609368483184221</v>
      </c>
      <c r="I25" s="13">
        <v>2.2671060713171882</v>
      </c>
      <c r="J25" s="13">
        <v>2.7355390840449103</v>
      </c>
      <c r="K25" s="13">
        <v>2.7105265812335557</v>
      </c>
      <c r="L25" s="13">
        <v>2.4777632090602042</v>
      </c>
    </row>
    <row r="26" spans="1:12" ht="16.5" customHeight="1" x14ac:dyDescent="0.25">
      <c r="A26" s="19" t="s">
        <v>21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25">
      <c r="A27" s="29" t="s">
        <v>23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 x14ac:dyDescent="0.25">
      <c r="A28" s="29" t="s">
        <v>24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 x14ac:dyDescent="0.25">
      <c r="A29" s="29" t="s">
        <v>25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 x14ac:dyDescent="0.25">
      <c r="A30" s="29" t="s">
        <v>26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 x14ac:dyDescent="0.25">
      <c r="A31" s="29" t="s">
        <v>27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 x14ac:dyDescent="0.25">
      <c r="A32" s="29" t="s">
        <v>28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 ht="15" customHeight="1" x14ac:dyDescent="0.25">
      <c r="A33" s="18" t="s">
        <v>31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</sheetData>
  <mergeCells count="14">
    <mergeCell ref="A19:L19"/>
    <mergeCell ref="A33:L33"/>
    <mergeCell ref="A26:L26"/>
    <mergeCell ref="A1:L1"/>
    <mergeCell ref="A2:L2"/>
    <mergeCell ref="A3:L3"/>
    <mergeCell ref="A32:L32"/>
    <mergeCell ref="A27:L27"/>
    <mergeCell ref="A28:L28"/>
    <mergeCell ref="A29:L29"/>
    <mergeCell ref="A30:L30"/>
    <mergeCell ref="A31:L31"/>
    <mergeCell ref="A5:L5"/>
    <mergeCell ref="A12:L12"/>
  </mergeCells>
  <phoneticPr fontId="5" type="noConversion"/>
  <pageMargins left="0.25" right="0.25" top="0.75" bottom="0.75" header="0.3" footer="0.3"/>
  <pageSetup paperSize="9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2024-10-07T09:52:25Z</cp:lastPrinted>
  <dcterms:created xsi:type="dcterms:W3CDTF">2018-10-29T04:00:17Z</dcterms:created>
  <dcterms:modified xsi:type="dcterms:W3CDTF">2025-11-24T07:28:36Z</dcterms:modified>
</cp:coreProperties>
</file>