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VISTARA\"/>
    </mc:Choice>
  </mc:AlternateContent>
  <bookViews>
    <workbookView xWindow="0" yWindow="0" windowWidth="11970" windowHeight="9495"/>
  </bookViews>
  <sheets>
    <sheet name="VISTARA" sheetId="1" r:id="rId1"/>
  </sheets>
  <definedNames>
    <definedName name="_xlnm._FilterDatabase" localSheetId="0" hidden="1">VISTARA!$A$9:$Q$20</definedName>
    <definedName name="_xlnm.Print_Area" localSheetId="0">VISTARA!$A$1:$Q$21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1" l="1"/>
  <c r="F17" i="1"/>
  <c r="G17" i="1"/>
  <c r="H17" i="1"/>
  <c r="I17" i="1"/>
  <c r="J17" i="1"/>
  <c r="K17" i="1"/>
  <c r="L17" i="1"/>
  <c r="M17" i="1"/>
  <c r="N17" i="1"/>
  <c r="O17" i="1"/>
  <c r="P17" i="1"/>
  <c r="Q17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C17" i="1"/>
  <c r="D17" i="1"/>
  <c r="C18" i="1"/>
  <c r="D18" i="1"/>
  <c r="B18" i="1"/>
  <c r="B17" i="1"/>
</calcChain>
</file>

<file path=xl/sharedStrings.xml><?xml version="1.0" encoding="utf-8"?>
<sst xmlns="http://schemas.openxmlformats.org/spreadsheetml/2006/main" count="40" uniqueCount="38">
  <si>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</si>
  <si>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</si>
  <si>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</si>
  <si>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</si>
  <si>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</si>
  <si>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</si>
  <si>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</si>
  <si>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</si>
  <si>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</si>
  <si>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</si>
  <si>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</si>
  <si>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</si>
  <si>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</si>
  <si>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</si>
  <si>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</si>
  <si>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</si>
  <si>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</si>
  <si>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</si>
  <si>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</si>
  <si>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</si>
  <si>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</si>
  <si>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</si>
  <si>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</si>
  <si>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>2018-19</t>
  </si>
  <si>
    <t>TABLE - 1.06 (VISTARA)</t>
  </si>
  <si>
    <t>SOURCE: ICAO ATR FORM 'A' FURNISHED BY VISTARA</t>
  </si>
  <si>
    <t xml:space="preserve"> तालिका- 1.06 (विस्तारा)</t>
  </si>
  <si>
    <t>2019-20</t>
  </si>
  <si>
    <t>2020-21*</t>
  </si>
  <si>
    <t>* DENOTES that THE INTERNATIONAL OPERATIONS BY SCHEDULED INDIAN OPERATORS WERE CARRIED AS PER DGCA’S CIRCULAR DATED 26.03.2020 UNDER COVID-19 RESTRICTION.</t>
  </si>
  <si>
    <t>YEAR ON YEAR GROWTH AND CAGR FOR LAST TEN YEARS OF  VISTARA ON TOTAL (DOMESTIC + INTERNATIONAL) SCHEDULED SERVICES (ALL AIR TRAFFIC AND OPERATING STATISTICS)</t>
  </si>
  <si>
    <t>2022-23</t>
  </si>
  <si>
    <t>2023-24</t>
  </si>
  <si>
    <t>YOY growth</t>
  </si>
  <si>
    <t>CAGR last 10 years</t>
  </si>
  <si>
    <t>2021-22*</t>
  </si>
  <si>
    <t>Note: Growth has been calculated with respect to preceeding year while Compound Annual Growth Rate (CAGR) has been calculating taking 2014-15 as a Base Year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</si>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</sst>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* #,##0.0_);_(* \(#,##0.0\);_(* &quot;-&quot;??_);_(@_)"/>
    <numFmt numFmtId="168" formatCode="[$-409]mmmm/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164" fontId="1" fillId="0" borderId="0" applyFont="0" applyFill="0" applyBorder="0" applyAlignment="0" applyProtection="0"/>
    <xf numFmtId="0" fontId="1" fillId="7" borderId="0" applyNumberFormat="0" applyBorder="0" applyAlignment="0" applyProtection="0"/>
  </cellStyleXfs>
  <cellXfs count="28">
    <xf numFmtId="0" fontId="0" fillId="0" borderId="0" xfId="0"/>
    <xf numFmtId="0" fontId="4" fillId="0" borderId="0" xfId="0" applyFont="1"/>
    <xf numFmtId="0" fontId="3" fillId="3" borderId="1" xfId="2" applyFont="1" applyBorder="1" applyAlignment="1" applyProtection="1">
      <alignment horizontal="center" vertical="center" textRotation="90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3" fillId="2" borderId="1" xfId="1" applyNumberFormat="1" applyFont="1" applyFill="1" applyBorder="1" applyAlignment="1" applyProtection="1">
      <alignment horizontal="right" vertical="center" wrapText="1"/>
    </xf>
    <xf numFmtId="0" fontId="4" fillId="6" borderId="1" xfId="3" applyFont="1" applyFill="1" applyBorder="1" applyAlignment="1" applyProtection="1">
      <alignment horizontal="center" vertical="center" wrapText="1"/>
    </xf>
    <xf numFmtId="165" fontId="3" fillId="6" borderId="1" xfId="1" applyNumberFormat="1" applyFont="1" applyFill="1" applyBorder="1" applyAlignment="1" applyProtection="1">
      <alignment horizontal="right" vertical="center" wrapText="1"/>
    </xf>
    <xf numFmtId="0" fontId="7" fillId="0" borderId="0" xfId="0" applyFont="1" applyBorder="1" applyAlignment="1">
      <alignment wrapText="1"/>
    </xf>
    <xf numFmtId="168" fontId="1" fillId="8" borderId="1" xfId="6" applyNumberFormat="1" applyFill="1" applyBorder="1" applyAlignment="1" applyProtection="1">
      <alignment horizontal="center" vertical="center" wrapText="1"/>
    </xf>
    <xf numFmtId="167" fontId="1" fillId="5" borderId="1" xfId="4" applyNumberFormat="1" applyBorder="1" applyAlignment="1">
      <alignment horizontal="center" vertical="center"/>
    </xf>
    <xf numFmtId="166" fontId="1" fillId="5" borderId="1" xfId="4" applyNumberFormat="1" applyBorder="1" applyAlignment="1">
      <alignment horizontal="center" vertical="center"/>
    </xf>
    <xf numFmtId="167" fontId="0" fillId="5" borderId="1" xfId="4" applyNumberFormat="1" applyFont="1" applyBorder="1" applyAlignment="1">
      <alignment horizontal="center" vertical="center"/>
    </xf>
    <xf numFmtId="168" fontId="1" fillId="9" borderId="1" xfId="6" applyNumberFormat="1" applyFill="1" applyBorder="1" applyAlignment="1" applyProtection="1">
      <alignment horizontal="center" vertical="center" wrapText="1"/>
    </xf>
    <xf numFmtId="167" fontId="1" fillId="9" borderId="1" xfId="4" applyNumberFormat="1" applyFill="1" applyBorder="1" applyAlignment="1">
      <alignment horizontal="center" vertical="center"/>
    </xf>
    <xf numFmtId="167" fontId="0" fillId="9" borderId="1" xfId="5" applyNumberFormat="1" applyFont="1" applyFill="1" applyBorder="1" applyAlignment="1">
      <alignment horizontal="center" vertical="center"/>
    </xf>
    <xf numFmtId="168" fontId="0" fillId="8" borderId="1" xfId="6" applyNumberFormat="1" applyFont="1" applyFill="1" applyBorder="1" applyAlignment="1" applyProtection="1">
      <alignment horizontal="center" vertical="center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7" fillId="0" borderId="2" xfId="0" applyFont="1" applyBorder="1" applyAlignment="1">
      <alignment horizontal="left" wrapText="1"/>
    </xf>
    <xf numFmtId="0" fontId="5" fillId="2" borderId="1" xfId="0" applyFont="1" applyFill="1" applyBorder="1" applyAlignment="1" applyProtection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8" fillId="2" borderId="1" xfId="0" applyFont="1" applyFill="1" applyBorder="1" applyAlignment="1" applyProtection="1">
      <alignment horizontal="left" vertical="center" wrapText="1"/>
    </xf>
    <xf numFmtId="0" fontId="7" fillId="0" borderId="1" xfId="0" applyFont="1" applyBorder="1" applyAlignment="1">
      <alignment vertical="center" wrapText="1"/>
    </xf>
  </cellXfs>
  <cellStyles count="7">
    <cellStyle name="20% - Accent1" xfId="3" builtinId="30"/>
    <cellStyle name="40% - Accent1" xfId="4" builtinId="31"/>
    <cellStyle name="40% - Accent6" xfId="6" builtinId="51"/>
    <cellStyle name="Accent1" xfId="2" builtinId="29"/>
    <cellStyle name="Comma" xfId="5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22"/>
  <sheetViews>
    <sheetView tabSelected="1" view="pageBreakPreview" zoomScale="85" zoomScaleNormal="100" zoomScaleSheetLayoutView="85" workbookViewId="0">
      <selection activeCell="J15" sqref="J15"/>
    </sheetView>
  </sheetViews>
  <sheetFormatPr defaultColWidth="9.140625" defaultRowHeight="12.75" x14ac:dyDescent="0.2"/>
  <cols>
    <col min="1" max="1" width="12" style="1" customWidth="1"/>
    <col min="2" max="2" width="12.85546875" style="1" customWidth="1"/>
    <col min="3" max="3" width="11.140625" style="1" customWidth="1"/>
    <col min="4" max="4" width="11.85546875" style="1" customWidth="1"/>
    <col min="5" max="5" width="14" style="1" customWidth="1"/>
    <col min="6" max="6" width="9.85546875" style="1" customWidth="1"/>
    <col min="7" max="7" width="9.7109375" style="1" customWidth="1"/>
    <col min="8" max="8" width="6.85546875" style="1" customWidth="1"/>
    <col min="9" max="9" width="11.28515625" style="1" customWidth="1"/>
    <col min="10" max="10" width="9" style="1" customWidth="1"/>
    <col min="11" max="11" width="10.85546875" style="1" customWidth="1"/>
    <col min="12" max="12" width="10" style="1" customWidth="1"/>
    <col min="13" max="13" width="9.5703125" style="1" customWidth="1"/>
    <col min="14" max="14" width="8" style="1" customWidth="1"/>
    <col min="15" max="15" width="10.140625" style="1" customWidth="1"/>
    <col min="16" max="16" width="10" style="1" customWidth="1"/>
    <col min="17" max="17" width="7.42578125" style="1" customWidth="1"/>
    <col min="18" max="16384" width="9.140625" style="1"/>
  </cols>
  <sheetData>
    <row r="1" spans="1:17" ht="21" customHeight="1" x14ac:dyDescent="0.2">
      <c r="A1" s="16" t="s">
        <v>26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21" customHeight="1" x14ac:dyDescent="0.2">
      <c r="A2" s="17" t="s">
        <v>24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ht="21" customHeight="1" x14ac:dyDescent="0.2">
      <c r="A3" s="19" t="s">
        <v>30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 ht="15" customHeight="1" x14ac:dyDescent="0.2">
      <c r="A4" s="19" t="s">
        <v>0</v>
      </c>
      <c r="B4" s="19" t="s">
        <v>1</v>
      </c>
      <c r="C4" s="19"/>
      <c r="D4" s="19"/>
      <c r="E4" s="19" t="s">
        <v>2</v>
      </c>
      <c r="F4" s="20"/>
      <c r="G4" s="21" t="s">
        <v>3</v>
      </c>
      <c r="H4" s="21" t="s">
        <v>4</v>
      </c>
      <c r="I4" s="19" t="s">
        <v>5</v>
      </c>
      <c r="J4" s="19"/>
      <c r="K4" s="19"/>
      <c r="L4" s="19" t="s">
        <v>6</v>
      </c>
      <c r="M4" s="19"/>
      <c r="N4" s="19"/>
      <c r="O4" s="19"/>
      <c r="P4" s="21" t="s">
        <v>7</v>
      </c>
      <c r="Q4" s="21" t="s">
        <v>8</v>
      </c>
    </row>
    <row r="5" spans="1:17" ht="132" customHeight="1" x14ac:dyDescent="0.2">
      <c r="A5" s="19"/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2"/>
      <c r="H5" s="22"/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15</v>
      </c>
      <c r="O5" s="2" t="s">
        <v>16</v>
      </c>
      <c r="P5" s="22"/>
      <c r="Q5" s="22"/>
    </row>
    <row r="6" spans="1:17" ht="24.95" customHeight="1" x14ac:dyDescent="0.2">
      <c r="A6" s="8" t="s">
        <v>19</v>
      </c>
      <c r="B6" s="9">
        <v>1304</v>
      </c>
      <c r="C6" s="10">
        <v>1980.64</v>
      </c>
      <c r="D6" s="10">
        <v>1311</v>
      </c>
      <c r="E6" s="10">
        <v>100919</v>
      </c>
      <c r="F6" s="9">
        <v>104.248</v>
      </c>
      <c r="G6" s="9">
        <v>193.96</v>
      </c>
      <c r="H6" s="11">
        <v>53.747164363786347</v>
      </c>
      <c r="I6" s="9">
        <v>1957</v>
      </c>
      <c r="J6" s="9">
        <v>0</v>
      </c>
      <c r="K6" s="9">
        <v>1957</v>
      </c>
      <c r="L6" s="9">
        <v>7.8183809999999996</v>
      </c>
      <c r="M6" s="9">
        <v>2.1248180000000003</v>
      </c>
      <c r="N6" s="9">
        <v>0</v>
      </c>
      <c r="O6" s="9">
        <v>9.9431989999999999</v>
      </c>
      <c r="P6" s="9">
        <v>19.540830000000003</v>
      </c>
      <c r="Q6" s="11">
        <v>50.884220373443704</v>
      </c>
    </row>
    <row r="7" spans="1:17" ht="24.95" customHeight="1" x14ac:dyDescent="0.2">
      <c r="A7" s="12" t="s">
        <v>20</v>
      </c>
      <c r="B7" s="13">
        <v>13920</v>
      </c>
      <c r="C7" s="13">
        <v>20665.93</v>
      </c>
      <c r="D7" s="13">
        <v>14235</v>
      </c>
      <c r="E7" s="13">
        <v>1422611</v>
      </c>
      <c r="F7" s="13">
        <v>1462.2139999999999</v>
      </c>
      <c r="G7" s="13">
        <v>2107.0390000000002</v>
      </c>
      <c r="H7" s="14">
        <v>69.396627210032648</v>
      </c>
      <c r="I7" s="13">
        <v>20414.741699999999</v>
      </c>
      <c r="J7" s="13">
        <v>0</v>
      </c>
      <c r="K7" s="13">
        <v>20414.741699999999</v>
      </c>
      <c r="L7" s="13">
        <v>109.66699999999999</v>
      </c>
      <c r="M7" s="13">
        <v>23.181415000000001</v>
      </c>
      <c r="N7" s="13">
        <v>0</v>
      </c>
      <c r="O7" s="13">
        <v>132.84841499999999</v>
      </c>
      <c r="P7" s="13">
        <v>213.54567000000003</v>
      </c>
      <c r="Q7" s="14">
        <v>62.210774397813815</v>
      </c>
    </row>
    <row r="8" spans="1:17" ht="24.95" customHeight="1" x14ac:dyDescent="0.2">
      <c r="A8" s="8" t="s">
        <v>21</v>
      </c>
      <c r="B8" s="9">
        <v>23982</v>
      </c>
      <c r="C8" s="10">
        <v>40723.776000000005</v>
      </c>
      <c r="D8" s="10">
        <v>26343</v>
      </c>
      <c r="E8" s="10">
        <v>2926586</v>
      </c>
      <c r="F8" s="9">
        <v>3175.2959999999998</v>
      </c>
      <c r="G8" s="9">
        <v>4071.1559999999999</v>
      </c>
      <c r="H8" s="11">
        <v>77.994947872299662</v>
      </c>
      <c r="I8" s="9">
        <v>31381</v>
      </c>
      <c r="J8" s="9">
        <v>0</v>
      </c>
      <c r="K8" s="9">
        <v>31381</v>
      </c>
      <c r="L8" s="9">
        <v>242.20099999999999</v>
      </c>
      <c r="M8" s="9">
        <v>33.417999999999999</v>
      </c>
      <c r="N8" s="9">
        <v>0</v>
      </c>
      <c r="O8" s="9">
        <v>275.61900000000003</v>
      </c>
      <c r="P8" s="9">
        <v>395.17099999999999</v>
      </c>
      <c r="Q8" s="11">
        <v>69.746767854928635</v>
      </c>
    </row>
    <row r="9" spans="1:17" ht="24.95" customHeight="1" x14ac:dyDescent="0.2">
      <c r="A9" s="12" t="s">
        <v>22</v>
      </c>
      <c r="B9" s="13">
        <v>32823</v>
      </c>
      <c r="C9" s="13">
        <v>57063.286600000007</v>
      </c>
      <c r="D9" s="13">
        <v>37197</v>
      </c>
      <c r="E9" s="13">
        <v>4434987</v>
      </c>
      <c r="F9" s="13">
        <v>5048.6270000000004</v>
      </c>
      <c r="G9" s="13">
        <v>5877.7309999999998</v>
      </c>
      <c r="H9" s="14">
        <v>85.89414860938686</v>
      </c>
      <c r="I9" s="13">
        <v>41388.8655</v>
      </c>
      <c r="J9" s="13">
        <v>0</v>
      </c>
      <c r="K9" s="13">
        <v>41388.8655</v>
      </c>
      <c r="L9" s="13">
        <v>378.64299999999997</v>
      </c>
      <c r="M9" s="13">
        <v>51.070999999999998</v>
      </c>
      <c r="N9" s="13">
        <v>0</v>
      </c>
      <c r="O9" s="13">
        <v>429.714</v>
      </c>
      <c r="P9" s="13">
        <v>558.01</v>
      </c>
      <c r="Q9" s="14">
        <v>77.008297342341535</v>
      </c>
    </row>
    <row r="10" spans="1:17" ht="24.95" customHeight="1" x14ac:dyDescent="0.2">
      <c r="A10" s="8" t="s">
        <v>23</v>
      </c>
      <c r="B10" s="9">
        <v>40645</v>
      </c>
      <c r="C10" s="10">
        <v>72019.224999999991</v>
      </c>
      <c r="D10" s="10">
        <v>47251.866000000002</v>
      </c>
      <c r="E10" s="10">
        <v>5438275</v>
      </c>
      <c r="F10" s="9">
        <v>6371.8714829999999</v>
      </c>
      <c r="G10" s="9">
        <v>7563.5130140000001</v>
      </c>
      <c r="H10" s="11">
        <v>84.244867050611518</v>
      </c>
      <c r="I10" s="9">
        <v>53703.477399999996</v>
      </c>
      <c r="J10" s="9">
        <v>0</v>
      </c>
      <c r="K10" s="9">
        <v>53703.477399999996</v>
      </c>
      <c r="L10" s="9">
        <v>557.06781009999997</v>
      </c>
      <c r="M10" s="9">
        <v>69.627595499999998</v>
      </c>
      <c r="N10" s="9">
        <v>0</v>
      </c>
      <c r="O10" s="9">
        <v>626.69540559999996</v>
      </c>
      <c r="P10" s="9">
        <v>795.26014060000011</v>
      </c>
      <c r="Q10" s="11">
        <v>78.803824510452259</v>
      </c>
    </row>
    <row r="11" spans="1:17" ht="24.95" customHeight="1" x14ac:dyDescent="0.2">
      <c r="A11" s="12" t="s">
        <v>27</v>
      </c>
      <c r="B11" s="13">
        <v>62771</v>
      </c>
      <c r="C11" s="13">
        <v>102848.34666666665</v>
      </c>
      <c r="D11" s="13">
        <v>70479.050999999992</v>
      </c>
      <c r="E11" s="13">
        <v>8372892</v>
      </c>
      <c r="F11" s="13">
        <v>9387.9665160000004</v>
      </c>
      <c r="G11" s="13">
        <v>11629.946199</v>
      </c>
      <c r="H11" s="14">
        <v>80.722355506745373</v>
      </c>
      <c r="I11" s="13">
        <v>24133.856660000001</v>
      </c>
      <c r="J11" s="13">
        <v>0</v>
      </c>
      <c r="K11" s="13">
        <v>24133.856660000001</v>
      </c>
      <c r="L11" s="13">
        <v>855.05863061999992</v>
      </c>
      <c r="M11" s="13">
        <v>30.343413709059998</v>
      </c>
      <c r="N11" s="13">
        <v>0</v>
      </c>
      <c r="O11" s="13">
        <v>885.40204432905989</v>
      </c>
      <c r="P11" s="13">
        <v>1180.1885886000009</v>
      </c>
      <c r="Q11" s="14">
        <v>75.022081460673022</v>
      </c>
    </row>
    <row r="12" spans="1:17" ht="24.95" customHeight="1" x14ac:dyDescent="0.2">
      <c r="A12" s="8" t="s">
        <v>28</v>
      </c>
      <c r="B12" s="9">
        <v>30014</v>
      </c>
      <c r="C12" s="10">
        <v>47794.930000000008</v>
      </c>
      <c r="D12" s="10">
        <v>33357.175000000003</v>
      </c>
      <c r="E12" s="10">
        <v>3371361</v>
      </c>
      <c r="F12" s="9">
        <v>3752.9261090000005</v>
      </c>
      <c r="G12" s="9">
        <v>5585.9638959999993</v>
      </c>
      <c r="H12" s="11">
        <v>67.184933144437224</v>
      </c>
      <c r="I12" s="9">
        <v>31527.971000000001</v>
      </c>
      <c r="J12" s="9"/>
      <c r="K12" s="9">
        <v>31527.971000000001</v>
      </c>
      <c r="L12" s="9">
        <v>337.76344525000002</v>
      </c>
      <c r="M12" s="9">
        <v>41.636489486000002</v>
      </c>
      <c r="N12" s="9">
        <v>0</v>
      </c>
      <c r="O12" s="9">
        <v>379.39993473600009</v>
      </c>
      <c r="P12" s="9">
        <v>571.32760110000015</v>
      </c>
      <c r="Q12" s="11">
        <v>66.406722518836133</v>
      </c>
    </row>
    <row r="13" spans="1:17" ht="24.95" customHeight="1" x14ac:dyDescent="0.2">
      <c r="A13" s="12" t="s">
        <v>35</v>
      </c>
      <c r="B13" s="13">
        <v>58331</v>
      </c>
      <c r="C13" s="13">
        <v>87580.860000000015</v>
      </c>
      <c r="D13" s="13">
        <v>71772.563999999998</v>
      </c>
      <c r="E13" s="13">
        <v>7157406</v>
      </c>
      <c r="F13" s="13">
        <v>9067.8328130000009</v>
      </c>
      <c r="G13" s="13">
        <v>12740.964846000001</v>
      </c>
      <c r="H13" s="14">
        <v>71.170691722352785</v>
      </c>
      <c r="I13" s="13">
        <v>56988.614800000003</v>
      </c>
      <c r="J13" s="13">
        <v>1817.0475500000002</v>
      </c>
      <c r="K13" s="13">
        <v>58805.662350000006</v>
      </c>
      <c r="L13" s="13">
        <v>839.5842185250001</v>
      </c>
      <c r="M13" s="13">
        <v>117.6480726377695</v>
      </c>
      <c r="N13" s="13">
        <v>2.3117829679799997</v>
      </c>
      <c r="O13" s="13">
        <v>959.54407413074944</v>
      </c>
      <c r="P13" s="13">
        <v>1442.1530764000001</v>
      </c>
      <c r="Q13" s="14">
        <v>66.535521771796098</v>
      </c>
    </row>
    <row r="14" spans="1:17" ht="24.95" customHeight="1" x14ac:dyDescent="0.2">
      <c r="A14" s="15" t="s">
        <v>31</v>
      </c>
      <c r="B14" s="9">
        <v>93526</v>
      </c>
      <c r="C14" s="10">
        <v>174254.21999999997</v>
      </c>
      <c r="D14" s="10">
        <v>119343.88399999999</v>
      </c>
      <c r="E14" s="10">
        <v>13775237</v>
      </c>
      <c r="F14" s="9">
        <v>18443.697426999999</v>
      </c>
      <c r="G14" s="9">
        <v>21476.318839</v>
      </c>
      <c r="H14" s="11">
        <v>85.879230818212193</v>
      </c>
      <c r="I14" s="9">
        <v>77705.236784000008</v>
      </c>
      <c r="J14" s="9">
        <v>5038.3771000000006</v>
      </c>
      <c r="K14" s="9">
        <v>82743.613884000006</v>
      </c>
      <c r="L14" s="9">
        <v>1730.8395077550001</v>
      </c>
      <c r="M14" s="9">
        <v>165.30747208654557</v>
      </c>
      <c r="N14" s="9">
        <v>7.5038480097700013</v>
      </c>
      <c r="O14" s="9">
        <v>1903.6508278513159</v>
      </c>
      <c r="P14" s="9">
        <v>2381.3750943320006</v>
      </c>
      <c r="Q14" s="11">
        <v>79.939142404834328</v>
      </c>
    </row>
    <row r="15" spans="1:17" ht="21.75" customHeight="1" x14ac:dyDescent="0.2">
      <c r="A15" s="12" t="s">
        <v>32</v>
      </c>
      <c r="B15" s="13">
        <v>107368</v>
      </c>
      <c r="C15" s="13">
        <v>210050.56666666668</v>
      </c>
      <c r="D15" s="13">
        <v>147812.52999999997</v>
      </c>
      <c r="E15" s="13">
        <v>16750505</v>
      </c>
      <c r="F15" s="13">
        <v>24150.666445999999</v>
      </c>
      <c r="G15" s="13">
        <v>27391.524562000002</v>
      </c>
      <c r="H15" s="14">
        <v>88.168390887975562</v>
      </c>
      <c r="I15" s="13">
        <v>107601.49962399999</v>
      </c>
      <c r="J15" s="13">
        <v>5369.2834800000001</v>
      </c>
      <c r="K15" s="13">
        <v>112970.783104</v>
      </c>
      <c r="L15" s="13">
        <v>2291.8489498200001</v>
      </c>
      <c r="M15" s="13">
        <v>111.42032870119407</v>
      </c>
      <c r="N15" s="13">
        <v>6.755056654521769</v>
      </c>
      <c r="O15" s="13">
        <v>2410.0243351757158</v>
      </c>
      <c r="P15" s="13">
        <v>3082.5102050669998</v>
      </c>
      <c r="Q15" s="14">
        <v>78.183823405163153</v>
      </c>
    </row>
    <row r="16" spans="1:17" ht="18.75" customHeight="1" x14ac:dyDescent="0.2">
      <c r="A16" s="15" t="s">
        <v>37</v>
      </c>
      <c r="B16" s="9">
        <v>72947</v>
      </c>
      <c r="C16" s="10">
        <v>147648.55986666668</v>
      </c>
      <c r="D16" s="10">
        <v>103950.902</v>
      </c>
      <c r="E16" s="10">
        <v>11111795</v>
      </c>
      <c r="F16" s="9">
        <v>16595.294547000001</v>
      </c>
      <c r="G16" s="9">
        <v>19859.044789</v>
      </c>
      <c r="H16" s="11">
        <v>83.565421818234682</v>
      </c>
      <c r="I16" s="9">
        <v>72776.525290000005</v>
      </c>
      <c r="J16" s="9">
        <v>2861.3550299999997</v>
      </c>
      <c r="K16" s="9">
        <v>75637.880320000011</v>
      </c>
      <c r="L16" s="9">
        <v>1592.4986379300001</v>
      </c>
      <c r="M16" s="9">
        <v>179.97882116180884</v>
      </c>
      <c r="N16" s="9">
        <v>3.4489269409699994</v>
      </c>
      <c r="O16" s="9">
        <v>1775.9263860327787</v>
      </c>
      <c r="P16" s="9">
        <v>2406.2896025279997</v>
      </c>
      <c r="Q16" s="11">
        <v>73.803518253456531</v>
      </c>
    </row>
    <row r="17" spans="1:17" ht="18" customHeight="1" x14ac:dyDescent="0.2">
      <c r="A17" s="5" t="s">
        <v>33</v>
      </c>
      <c r="B17" s="6">
        <f>IFERROR(((B16-B15)/B15),"-")</f>
        <v>-0.32058900230981296</v>
      </c>
      <c r="C17" s="6">
        <f t="shared" ref="C17:E17" si="0">IFERROR(((C16-C15)/C15),"-")</f>
        <v>-0.297080878144104</v>
      </c>
      <c r="D17" s="6">
        <f t="shared" si="0"/>
        <v>-0.29673822645482067</v>
      </c>
      <c r="E17" s="6">
        <f t="shared" si="0"/>
        <v>-0.33662925386428649</v>
      </c>
      <c r="F17" s="6">
        <f t="shared" ref="F17" si="1">IFERROR(((F16-F15)/F15),"-")</f>
        <v>-0.31284320521313691</v>
      </c>
      <c r="G17" s="6">
        <f t="shared" ref="G17:H17" si="2">IFERROR(((G16-G15)/G15),"-")</f>
        <v>-0.27499308247521714</v>
      </c>
      <c r="H17" s="6">
        <f t="shared" si="2"/>
        <v>-5.220656772095672E-2</v>
      </c>
      <c r="I17" s="6">
        <f t="shared" ref="I17" si="3">IFERROR(((I16-I15)/I15),"-")</f>
        <v>-0.32364766713931969</v>
      </c>
      <c r="J17" s="6">
        <f t="shared" ref="J17:K17" si="4">IFERROR(((J16-J15)/J15),"-")</f>
        <v>-0.46708810576714049</v>
      </c>
      <c r="K17" s="6">
        <f t="shared" si="4"/>
        <v>-0.33046511459189953</v>
      </c>
      <c r="L17" s="6">
        <f t="shared" ref="L17" si="5">IFERROR(((L16-L15)/L15),"-")</f>
        <v>-0.3051467732831723</v>
      </c>
      <c r="M17" s="6">
        <f t="shared" ref="M17:N17" si="6">IFERROR(((M16-M15)/M15),"-")</f>
        <v>0.61531403882745905</v>
      </c>
      <c r="N17" s="6">
        <f t="shared" si="6"/>
        <v>-0.4894303456860985</v>
      </c>
      <c r="O17" s="6">
        <f t="shared" ref="O17" si="7">IFERROR(((O16-O15)/O15),"-")</f>
        <v>-0.26310852545673763</v>
      </c>
      <c r="P17" s="6">
        <f t="shared" ref="P17:Q17" si="8">IFERROR(((P16-P15)/P15),"-")</f>
        <v>-0.21937335403705568</v>
      </c>
      <c r="Q17" s="6">
        <f t="shared" si="8"/>
        <v>-5.6025721957943447E-2</v>
      </c>
    </row>
    <row r="18" spans="1:17" ht="27.75" customHeight="1" x14ac:dyDescent="0.2">
      <c r="A18" s="3" t="s">
        <v>34</v>
      </c>
      <c r="B18" s="4">
        <f>IFERROR((((B16/B6)^(1/10))-1),"-")</f>
        <v>0.4954537442546747</v>
      </c>
      <c r="C18" s="4">
        <f t="shared" ref="C18:E18" si="9">IFERROR((((C16/C6)^(1/10))-1),"-")</f>
        <v>0.5390132787150006</v>
      </c>
      <c r="D18" s="4">
        <f t="shared" si="9"/>
        <v>0.54854046011166435</v>
      </c>
      <c r="E18" s="4">
        <f t="shared" si="9"/>
        <v>0.60022528440243517</v>
      </c>
      <c r="F18" s="4">
        <f t="shared" ref="F18:Q18" si="10">IFERROR((((F16/F6)^(1/10))-1),"-")</f>
        <v>0.66031970920277305</v>
      </c>
      <c r="G18" s="4">
        <f t="shared" si="10"/>
        <v>0.58863679793142265</v>
      </c>
      <c r="H18" s="4">
        <f t="shared" si="10"/>
        <v>4.5122278021439088E-2</v>
      </c>
      <c r="I18" s="4">
        <f t="shared" si="10"/>
        <v>0.43562181512244802</v>
      </c>
      <c r="J18" s="4" t="str">
        <f t="shared" si="10"/>
        <v>-</v>
      </c>
      <c r="K18" s="4">
        <f t="shared" si="10"/>
        <v>0.4411688030844374</v>
      </c>
      <c r="L18" s="4">
        <f t="shared" si="10"/>
        <v>0.70175182067078468</v>
      </c>
      <c r="M18" s="4">
        <f t="shared" si="10"/>
        <v>0.5587984548062408</v>
      </c>
      <c r="N18" s="4" t="str">
        <f t="shared" si="10"/>
        <v>-</v>
      </c>
      <c r="O18" s="4">
        <f t="shared" si="10"/>
        <v>0.67953818769710694</v>
      </c>
      <c r="P18" s="4">
        <f t="shared" si="10"/>
        <v>0.61823089650587448</v>
      </c>
      <c r="Q18" s="4">
        <f t="shared" si="10"/>
        <v>3.7885379227160065E-2</v>
      </c>
    </row>
    <row r="19" spans="1:17" ht="18.75" customHeight="1" x14ac:dyDescent="0.2">
      <c r="A19" s="24" t="s">
        <v>25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</row>
    <row r="20" spans="1:17" ht="18.75" customHeight="1" x14ac:dyDescent="0.2">
      <c r="A20" s="26" t="s">
        <v>36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</row>
    <row r="21" spans="1:17" ht="12.75" customHeight="1" x14ac:dyDescent="0.25">
      <c r="A21" s="23" t="s">
        <v>29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</row>
    <row r="22" spans="1:17" ht="12.75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</sheetData>
  <mergeCells count="15">
    <mergeCell ref="A21:Q21"/>
    <mergeCell ref="P4:P5"/>
    <mergeCell ref="Q4:Q5"/>
    <mergeCell ref="A19:Q19"/>
    <mergeCell ref="A20:Q2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5" right="0.25" top="0.75" bottom="0.75" header="0.3" footer="0.3"/>
  <pageSetup paperSize="9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VISTARA</vt:lpstr>
      <vt:lpstr>VISTARA!Print_Area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2023-11-09T11:12:57Z</cp:lastPrinted>
  <dcterms:created xsi:type="dcterms:W3CDTF">2018-10-29T04:00:16Z</dcterms:created>
  <dcterms:modified xsi:type="dcterms:W3CDTF">2025-11-20T07:23:03Z</dcterms:modified>
</cp:coreProperties>
</file>