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Draft Annual Report 2024-25\01 Airline Wise Air Transport Operating and Traffic Statistics\FLY91\"/>
    </mc:Choice>
  </mc:AlternateContent>
  <bookViews>
    <workbookView xWindow="0" yWindow="0" windowWidth="24000" windowHeight="10725"/>
  </bookViews>
  <sheets>
    <sheet name="FLY 91" sheetId="3" r:id="rId1"/>
  </sheets>
  <definedNames>
    <definedName name="_xlnm.Print_Area" localSheetId="0">'FLY 91'!$A$1:$Q$21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3" l="1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B18" i="3"/>
  <c r="B17" i="3"/>
</calcChain>
</file>

<file path=xl/sharedStrings.xml><?xml version="1.0" encoding="utf-8"?>
<sst xmlns="http://schemas.openxmlformats.org/spreadsheetml/2006/main" count="216" uniqueCount="39">
  <si>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</si>
  <si>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</si>
  <si>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</si>
  <si>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</si>
  <si>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</si>
  <si>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</si>
  <si>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</si>
  <si>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</si>
  <si>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</si>
  <si>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</si>
  <si>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</si>
  <si>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</si>
  <si>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</si>
  <si>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</si>
  <si>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</si>
  <si>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</si>
  <si>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</si>
  <si>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</si>
  <si>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</si>
  <si>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2014-15</t>
  </si>
  <si>
    <t>2015-16</t>
  </si>
  <si>
    <t>2016-17</t>
  </si>
  <si>
    <t>2017-18</t>
  </si>
  <si>
    <t>-</t>
  </si>
  <si>
    <t>2018-19</t>
  </si>
  <si>
    <t>2019-20</t>
  </si>
  <si>
    <t>2022-23</t>
  </si>
  <si>
    <t>TABLE - 1.05 (FLY 91)</t>
  </si>
  <si>
    <t>YEAR ON YEAR GROWTH AND CAGR FOR LAST TEN YEARS OF FLY 91 ON SCHEDULED INTERNATIONAL SERVICES (ALL AIR TRAFFIC AND OPERATING STATISTICS)</t>
  </si>
  <si>
    <t>SOURCE: ICAO ATR FORM 'A' FURNISHED BY FLY 91</t>
  </si>
  <si>
    <t xml:space="preserve">तालिका - 1.05 (फ्लाई 91 ) </t>
  </si>
  <si>
    <t>2023-24</t>
  </si>
  <si>
    <t>YOY growth</t>
  </si>
  <si>
    <t>CAGR last 10 years</t>
  </si>
  <si>
    <t>2020-21*</t>
  </si>
  <si>
    <t>2021-22*</t>
  </si>
  <si>
    <t>* DENOTES that THE INTERNATIONAL OPERATIONS BY SCHEDULED INDIAN OPERATORS WERE CARRIED AS PER DGCA’S CIRCULAR DATED 26.03.2020 UNDER COVID-19 RESTRICTION.</t>
  </si>
  <si>
    <t>2024-25</t>
  </si>
  <si>
    <t>Note: Growth has been calculated with respect to preceeding year while Compound Annual Growth Rate (CAGR) has been calculating taking 2014-15 as a Base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</si>
</sst>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* &quot;-&quot;??_);_(@_)"/>
    <numFmt numFmtId="165" formatCode="[$-1010409]mmmm/yy;@"/>
    <numFmt numFmtId="166" formatCode="_(* #,##0.0_);_(* \(#,##0.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164" fontId="3" fillId="0" borderId="0" applyFont="0" applyFill="0" applyBorder="0" applyAlignment="0" applyProtection="0"/>
  </cellStyleXfs>
  <cellXfs count="24">
    <xf numFmtId="0" fontId="0" fillId="0" borderId="0" xfId="0"/>
    <xf numFmtId="0" fontId="0" fillId="4" borderId="1" xfId="2" applyFont="1" applyBorder="1" applyAlignment="1" applyProtection="1">
      <alignment horizontal="center" vertical="center" wrapText="1"/>
    </xf>
    <xf numFmtId="3" fontId="0" fillId="4" borderId="1" xfId="2" applyNumberFormat="1" applyFont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3" borderId="1" xfId="1" applyFont="1" applyBorder="1" applyAlignment="1" applyProtection="1">
      <alignment horizontal="center" vertical="center" textRotation="90" wrapText="1"/>
    </xf>
    <xf numFmtId="165" fontId="3" fillId="5" borderId="1" xfId="3" applyNumberFormat="1" applyBorder="1" applyAlignment="1" applyProtection="1">
      <alignment horizontal="center" vertical="center" wrapText="1"/>
    </xf>
    <xf numFmtId="166" fontId="3" fillId="5" borderId="1" xfId="3" applyNumberFormat="1" applyBorder="1" applyAlignment="1">
      <alignment horizontal="center" vertical="center"/>
    </xf>
    <xf numFmtId="166" fontId="6" fillId="0" borderId="1" xfId="4" applyNumberFormat="1" applyFont="1" applyFill="1" applyBorder="1" applyAlignment="1">
      <alignment horizontal="center" vertical="center"/>
    </xf>
    <xf numFmtId="165" fontId="3" fillId="6" borderId="1" xfId="3" applyNumberFormat="1" applyFill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5" fontId="0" fillId="6" borderId="1" xfId="3" applyNumberFormat="1" applyFont="1" applyFill="1" applyBorder="1" applyAlignment="1" applyProtection="1">
      <alignment horizontal="center" vertical="center" wrapText="1"/>
    </xf>
    <xf numFmtId="165" fontId="0" fillId="5" borderId="1" xfId="3" applyNumberFormat="1" applyFont="1" applyBorder="1" applyAlignment="1" applyProtection="1">
      <alignment horizontal="center" vertical="center" wrapText="1"/>
    </xf>
    <xf numFmtId="0" fontId="5" fillId="5" borderId="1" xfId="3" applyFont="1" applyBorder="1" applyAlignment="1">
      <alignment horizontal="center" vertical="center" wrapText="1"/>
    </xf>
    <xf numFmtId="0" fontId="5" fillId="5" borderId="1" xfId="3" quotePrefix="1" applyFont="1" applyBorder="1" applyAlignment="1" applyProtection="1">
      <alignment horizontal="center" vertical="center" wrapText="1"/>
    </xf>
    <xf numFmtId="0" fontId="5" fillId="5" borderId="1" xfId="3" applyFont="1" applyBorder="1"/>
    <xf numFmtId="0" fontId="5" fillId="3" borderId="1" xfId="1" applyFont="1" applyBorder="1" applyAlignment="1" applyProtection="1">
      <alignment horizontal="center" vertical="center" wrapText="1"/>
    </xf>
    <xf numFmtId="0" fontId="5" fillId="3" borderId="1" xfId="1" applyFont="1" applyBorder="1"/>
    <xf numFmtId="0" fontId="5" fillId="3" borderId="1" xfId="1" applyFont="1" applyBorder="1" applyAlignment="1" applyProtection="1">
      <alignment horizontal="center" vertical="center" textRotation="90" wrapText="1"/>
    </xf>
    <xf numFmtId="0" fontId="5" fillId="3" borderId="1" xfId="1" applyFont="1" applyBorder="1" applyAlignment="1">
      <alignment textRotation="90"/>
    </xf>
    <xf numFmtId="0" fontId="1" fillId="0" borderId="2" xfId="0" applyFont="1" applyBorder="1" applyAlignment="1">
      <alignment horizontal="left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</cellXfs>
  <cellStyles count="5">
    <cellStyle name="20% - Accent6" xfId="2" builtinId="50"/>
    <cellStyle name="40% - Accent6" xfId="3" builtinId="51"/>
    <cellStyle name="Accent6" xfId="1" builtinId="49"/>
    <cellStyle name="Comma" xfId="4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"/>
  <sheetViews>
    <sheetView tabSelected="1" view="pageBreakPreview" topLeftCell="E1" zoomScaleNormal="100" zoomScaleSheetLayoutView="100" workbookViewId="0">
      <selection activeCell="Q26" sqref="Q26"/>
    </sheetView>
  </sheetViews>
  <sheetFormatPr defaultRowHeight="15" x14ac:dyDescent="0.25"/>
  <cols>
    <col min="1" max="1" width="12.5703125" customWidth="1"/>
    <col min="2" max="2" width="7.7109375" customWidth="1"/>
    <col min="3" max="3" width="12" customWidth="1"/>
    <col min="4" max="4" width="7.85546875" customWidth="1"/>
    <col min="5" max="5" width="9.7109375" customWidth="1"/>
    <col min="6" max="6" width="7.140625" customWidth="1"/>
    <col min="7" max="7" width="13" customWidth="1"/>
    <col min="8" max="8" width="6.42578125" customWidth="1"/>
    <col min="9" max="9" width="8" customWidth="1"/>
    <col min="10" max="10" width="7.28515625" customWidth="1"/>
    <col min="11" max="11" width="9.140625" customWidth="1"/>
    <col min="12" max="12" width="6.85546875" customWidth="1"/>
    <col min="13" max="13" width="6" customWidth="1"/>
    <col min="14" max="14" width="9.140625" customWidth="1"/>
    <col min="15" max="15" width="8.28515625" customWidth="1"/>
    <col min="16" max="16" width="13.85546875" customWidth="1"/>
    <col min="17" max="17" width="15.42578125" customWidth="1"/>
  </cols>
  <sheetData>
    <row r="1" spans="1:17" x14ac:dyDescent="0.25">
      <c r="A1" s="12" t="s">
        <v>30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17" x14ac:dyDescent="0.25">
      <c r="A2" s="13" t="s">
        <v>27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spans="1:17" ht="28.5" customHeight="1" x14ac:dyDescent="0.25">
      <c r="A3" s="15" t="s">
        <v>28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</row>
    <row r="4" spans="1:17" x14ac:dyDescent="0.25">
      <c r="A4" s="15" t="s">
        <v>0</v>
      </c>
      <c r="B4" s="15" t="s">
        <v>1</v>
      </c>
      <c r="C4" s="15"/>
      <c r="D4" s="15"/>
      <c r="E4" s="15" t="s">
        <v>2</v>
      </c>
      <c r="F4" s="16"/>
      <c r="G4" s="17" t="s">
        <v>3</v>
      </c>
      <c r="H4" s="17" t="s">
        <v>4</v>
      </c>
      <c r="I4" s="15" t="s">
        <v>5</v>
      </c>
      <c r="J4" s="15"/>
      <c r="K4" s="15"/>
      <c r="L4" s="15" t="s">
        <v>6</v>
      </c>
      <c r="M4" s="15"/>
      <c r="N4" s="15"/>
      <c r="O4" s="15"/>
      <c r="P4" s="17" t="s">
        <v>7</v>
      </c>
      <c r="Q4" s="17" t="s">
        <v>8</v>
      </c>
    </row>
    <row r="5" spans="1:17" ht="88.5" x14ac:dyDescent="0.25">
      <c r="A5" s="15"/>
      <c r="B5" s="4" t="s">
        <v>9</v>
      </c>
      <c r="C5" s="4" t="s">
        <v>10</v>
      </c>
      <c r="D5" s="4" t="s">
        <v>11</v>
      </c>
      <c r="E5" s="4" t="s">
        <v>12</v>
      </c>
      <c r="F5" s="4" t="s">
        <v>13</v>
      </c>
      <c r="G5" s="18"/>
      <c r="H5" s="18"/>
      <c r="I5" s="4" t="s">
        <v>14</v>
      </c>
      <c r="J5" s="4" t="s">
        <v>15</v>
      </c>
      <c r="K5" s="4" t="s">
        <v>16</v>
      </c>
      <c r="L5" s="4" t="s">
        <v>17</v>
      </c>
      <c r="M5" s="4" t="s">
        <v>18</v>
      </c>
      <c r="N5" s="4" t="s">
        <v>15</v>
      </c>
      <c r="O5" s="4" t="s">
        <v>16</v>
      </c>
      <c r="P5" s="18"/>
      <c r="Q5" s="18"/>
    </row>
    <row r="6" spans="1:17" x14ac:dyDescent="0.25">
      <c r="A6" s="5" t="s">
        <v>19</v>
      </c>
      <c r="B6" s="6" t="s">
        <v>23</v>
      </c>
      <c r="C6" s="6" t="s">
        <v>23</v>
      </c>
      <c r="D6" s="6" t="s">
        <v>23</v>
      </c>
      <c r="E6" s="6" t="s">
        <v>23</v>
      </c>
      <c r="F6" s="6" t="s">
        <v>23</v>
      </c>
      <c r="G6" s="6" t="s">
        <v>23</v>
      </c>
      <c r="H6" s="6" t="s">
        <v>23</v>
      </c>
      <c r="I6" s="6" t="s">
        <v>23</v>
      </c>
      <c r="J6" s="6" t="s">
        <v>23</v>
      </c>
      <c r="K6" s="6" t="s">
        <v>23</v>
      </c>
      <c r="L6" s="6" t="s">
        <v>23</v>
      </c>
      <c r="M6" s="6" t="s">
        <v>23</v>
      </c>
      <c r="N6" s="6" t="s">
        <v>23</v>
      </c>
      <c r="O6" s="6" t="s">
        <v>23</v>
      </c>
      <c r="P6" s="6" t="s">
        <v>23</v>
      </c>
      <c r="Q6" s="6" t="s">
        <v>23</v>
      </c>
    </row>
    <row r="7" spans="1:17" x14ac:dyDescent="0.25">
      <c r="A7" s="8" t="s">
        <v>20</v>
      </c>
      <c r="B7" s="7" t="s">
        <v>23</v>
      </c>
      <c r="C7" s="7" t="s">
        <v>23</v>
      </c>
      <c r="D7" s="7" t="s">
        <v>23</v>
      </c>
      <c r="E7" s="7" t="s">
        <v>23</v>
      </c>
      <c r="F7" s="7" t="s">
        <v>23</v>
      </c>
      <c r="G7" s="7" t="s">
        <v>23</v>
      </c>
      <c r="H7" s="7" t="s">
        <v>23</v>
      </c>
      <c r="I7" s="7" t="s">
        <v>23</v>
      </c>
      <c r="J7" s="7" t="s">
        <v>23</v>
      </c>
      <c r="K7" s="7" t="s">
        <v>23</v>
      </c>
      <c r="L7" s="7" t="s">
        <v>23</v>
      </c>
      <c r="M7" s="7" t="s">
        <v>23</v>
      </c>
      <c r="N7" s="7" t="s">
        <v>23</v>
      </c>
      <c r="O7" s="7" t="s">
        <v>23</v>
      </c>
      <c r="P7" s="7" t="s">
        <v>23</v>
      </c>
      <c r="Q7" s="7" t="s">
        <v>23</v>
      </c>
    </row>
    <row r="8" spans="1:17" x14ac:dyDescent="0.25">
      <c r="A8" s="5" t="s">
        <v>21</v>
      </c>
      <c r="B8" s="6" t="s">
        <v>23</v>
      </c>
      <c r="C8" s="6" t="s">
        <v>23</v>
      </c>
      <c r="D8" s="6" t="s">
        <v>23</v>
      </c>
      <c r="E8" s="6" t="s">
        <v>23</v>
      </c>
      <c r="F8" s="6" t="s">
        <v>23</v>
      </c>
      <c r="G8" s="6" t="s">
        <v>23</v>
      </c>
      <c r="H8" s="6" t="s">
        <v>23</v>
      </c>
      <c r="I8" s="6" t="s">
        <v>23</v>
      </c>
      <c r="J8" s="6" t="s">
        <v>23</v>
      </c>
      <c r="K8" s="6" t="s">
        <v>23</v>
      </c>
      <c r="L8" s="6" t="s">
        <v>23</v>
      </c>
      <c r="M8" s="6" t="s">
        <v>23</v>
      </c>
      <c r="N8" s="6" t="s">
        <v>23</v>
      </c>
      <c r="O8" s="6" t="s">
        <v>23</v>
      </c>
      <c r="P8" s="6" t="s">
        <v>23</v>
      </c>
      <c r="Q8" s="6" t="s">
        <v>23</v>
      </c>
    </row>
    <row r="9" spans="1:17" x14ac:dyDescent="0.25">
      <c r="A9" s="8" t="s">
        <v>22</v>
      </c>
      <c r="B9" s="7" t="s">
        <v>23</v>
      </c>
      <c r="C9" s="7" t="s">
        <v>23</v>
      </c>
      <c r="D9" s="7" t="s">
        <v>23</v>
      </c>
      <c r="E9" s="7" t="s">
        <v>23</v>
      </c>
      <c r="F9" s="7" t="s">
        <v>23</v>
      </c>
      <c r="G9" s="7" t="s">
        <v>23</v>
      </c>
      <c r="H9" s="7" t="s">
        <v>23</v>
      </c>
      <c r="I9" s="7" t="s">
        <v>23</v>
      </c>
      <c r="J9" s="7" t="s">
        <v>23</v>
      </c>
      <c r="K9" s="7" t="s">
        <v>23</v>
      </c>
      <c r="L9" s="7" t="s">
        <v>23</v>
      </c>
      <c r="M9" s="7" t="s">
        <v>23</v>
      </c>
      <c r="N9" s="7" t="s">
        <v>23</v>
      </c>
      <c r="O9" s="7" t="s">
        <v>23</v>
      </c>
      <c r="P9" s="7" t="s">
        <v>23</v>
      </c>
      <c r="Q9" s="7" t="s">
        <v>23</v>
      </c>
    </row>
    <row r="10" spans="1:17" x14ac:dyDescent="0.25">
      <c r="A10" s="5" t="s">
        <v>24</v>
      </c>
      <c r="B10" s="6" t="s">
        <v>23</v>
      </c>
      <c r="C10" s="6" t="s">
        <v>23</v>
      </c>
      <c r="D10" s="6" t="s">
        <v>23</v>
      </c>
      <c r="E10" s="6" t="s">
        <v>23</v>
      </c>
      <c r="F10" s="6" t="s">
        <v>23</v>
      </c>
      <c r="G10" s="6" t="s">
        <v>23</v>
      </c>
      <c r="H10" s="6" t="s">
        <v>23</v>
      </c>
      <c r="I10" s="6" t="s">
        <v>23</v>
      </c>
      <c r="J10" s="6" t="s">
        <v>23</v>
      </c>
      <c r="K10" s="6" t="s">
        <v>23</v>
      </c>
      <c r="L10" s="6" t="s">
        <v>23</v>
      </c>
      <c r="M10" s="6" t="s">
        <v>23</v>
      </c>
      <c r="N10" s="6" t="s">
        <v>23</v>
      </c>
      <c r="O10" s="6" t="s">
        <v>23</v>
      </c>
      <c r="P10" s="6" t="s">
        <v>23</v>
      </c>
      <c r="Q10" s="6" t="s">
        <v>23</v>
      </c>
    </row>
    <row r="11" spans="1:17" x14ac:dyDescent="0.25">
      <c r="A11" s="8" t="s">
        <v>25</v>
      </c>
      <c r="B11" s="7" t="s">
        <v>23</v>
      </c>
      <c r="C11" s="7" t="s">
        <v>23</v>
      </c>
      <c r="D11" s="7" t="s">
        <v>23</v>
      </c>
      <c r="E11" s="7" t="s">
        <v>23</v>
      </c>
      <c r="F11" s="7" t="s">
        <v>23</v>
      </c>
      <c r="G11" s="7" t="s">
        <v>23</v>
      </c>
      <c r="H11" s="7" t="s">
        <v>23</v>
      </c>
      <c r="I11" s="7" t="s">
        <v>23</v>
      </c>
      <c r="J11" s="7" t="s">
        <v>23</v>
      </c>
      <c r="K11" s="7" t="s">
        <v>23</v>
      </c>
      <c r="L11" s="7" t="s">
        <v>23</v>
      </c>
      <c r="M11" s="7" t="s">
        <v>23</v>
      </c>
      <c r="N11" s="7" t="s">
        <v>23</v>
      </c>
      <c r="O11" s="7" t="s">
        <v>23</v>
      </c>
      <c r="P11" s="7" t="s">
        <v>23</v>
      </c>
      <c r="Q11" s="7" t="s">
        <v>23</v>
      </c>
    </row>
    <row r="12" spans="1:17" x14ac:dyDescent="0.25">
      <c r="A12" s="5" t="s">
        <v>34</v>
      </c>
      <c r="B12" s="6" t="s">
        <v>23</v>
      </c>
      <c r="C12" s="6" t="s">
        <v>23</v>
      </c>
      <c r="D12" s="6" t="s">
        <v>23</v>
      </c>
      <c r="E12" s="6" t="s">
        <v>23</v>
      </c>
      <c r="F12" s="6" t="s">
        <v>23</v>
      </c>
      <c r="G12" s="6" t="s">
        <v>23</v>
      </c>
      <c r="H12" s="6" t="s">
        <v>23</v>
      </c>
      <c r="I12" s="6" t="s">
        <v>23</v>
      </c>
      <c r="J12" s="6" t="s">
        <v>23</v>
      </c>
      <c r="K12" s="6" t="s">
        <v>23</v>
      </c>
      <c r="L12" s="6" t="s">
        <v>23</v>
      </c>
      <c r="M12" s="6" t="s">
        <v>23</v>
      </c>
      <c r="N12" s="6" t="s">
        <v>23</v>
      </c>
      <c r="O12" s="6" t="s">
        <v>23</v>
      </c>
      <c r="P12" s="6" t="s">
        <v>23</v>
      </c>
      <c r="Q12" s="6" t="s">
        <v>23</v>
      </c>
    </row>
    <row r="13" spans="1:17" x14ac:dyDescent="0.25">
      <c r="A13" s="10" t="s">
        <v>35</v>
      </c>
      <c r="B13" s="7" t="s">
        <v>23</v>
      </c>
      <c r="C13" s="7" t="s">
        <v>23</v>
      </c>
      <c r="D13" s="7" t="s">
        <v>23</v>
      </c>
      <c r="E13" s="7" t="s">
        <v>23</v>
      </c>
      <c r="F13" s="7" t="s">
        <v>23</v>
      </c>
      <c r="G13" s="7" t="s">
        <v>23</v>
      </c>
      <c r="H13" s="7" t="s">
        <v>23</v>
      </c>
      <c r="I13" s="7" t="s">
        <v>23</v>
      </c>
      <c r="J13" s="7" t="s">
        <v>23</v>
      </c>
      <c r="K13" s="7" t="s">
        <v>23</v>
      </c>
      <c r="L13" s="7" t="s">
        <v>23</v>
      </c>
      <c r="M13" s="7" t="s">
        <v>23</v>
      </c>
      <c r="N13" s="7" t="s">
        <v>23</v>
      </c>
      <c r="O13" s="7" t="s">
        <v>23</v>
      </c>
      <c r="P13" s="7" t="s">
        <v>23</v>
      </c>
      <c r="Q13" s="7" t="s">
        <v>23</v>
      </c>
    </row>
    <row r="14" spans="1:17" x14ac:dyDescent="0.25">
      <c r="A14" s="11" t="s">
        <v>26</v>
      </c>
      <c r="B14" s="6" t="s">
        <v>23</v>
      </c>
      <c r="C14" s="6" t="s">
        <v>23</v>
      </c>
      <c r="D14" s="6" t="s">
        <v>23</v>
      </c>
      <c r="E14" s="6" t="s">
        <v>23</v>
      </c>
      <c r="F14" s="6" t="s">
        <v>23</v>
      </c>
      <c r="G14" s="6" t="s">
        <v>23</v>
      </c>
      <c r="H14" s="6" t="s">
        <v>23</v>
      </c>
      <c r="I14" s="6" t="s">
        <v>23</v>
      </c>
      <c r="J14" s="6" t="s">
        <v>23</v>
      </c>
      <c r="K14" s="6" t="s">
        <v>23</v>
      </c>
      <c r="L14" s="6" t="s">
        <v>23</v>
      </c>
      <c r="M14" s="6" t="s">
        <v>23</v>
      </c>
      <c r="N14" s="6" t="s">
        <v>23</v>
      </c>
      <c r="O14" s="6" t="s">
        <v>23</v>
      </c>
      <c r="P14" s="6" t="s">
        <v>23</v>
      </c>
      <c r="Q14" s="6" t="s">
        <v>23</v>
      </c>
    </row>
    <row r="15" spans="1:17" x14ac:dyDescent="0.25">
      <c r="A15" s="8" t="s">
        <v>31</v>
      </c>
      <c r="B15" s="7" t="s">
        <v>23</v>
      </c>
      <c r="C15" s="7" t="s">
        <v>23</v>
      </c>
      <c r="D15" s="7" t="s">
        <v>23</v>
      </c>
      <c r="E15" s="7" t="s">
        <v>23</v>
      </c>
      <c r="F15" s="7" t="s">
        <v>23</v>
      </c>
      <c r="G15" s="7" t="s">
        <v>23</v>
      </c>
      <c r="H15" s="7" t="s">
        <v>23</v>
      </c>
      <c r="I15" s="7" t="s">
        <v>23</v>
      </c>
      <c r="J15" s="7" t="s">
        <v>23</v>
      </c>
      <c r="K15" s="7" t="s">
        <v>23</v>
      </c>
      <c r="L15" s="7" t="s">
        <v>23</v>
      </c>
      <c r="M15" s="7" t="s">
        <v>23</v>
      </c>
      <c r="N15" s="7" t="s">
        <v>23</v>
      </c>
      <c r="O15" s="7" t="s">
        <v>23</v>
      </c>
      <c r="P15" s="7" t="s">
        <v>23</v>
      </c>
      <c r="Q15" s="7" t="s">
        <v>23</v>
      </c>
    </row>
    <row r="16" spans="1:17" x14ac:dyDescent="0.25">
      <c r="A16" s="11" t="s">
        <v>37</v>
      </c>
      <c r="B16" s="6" t="s">
        <v>23</v>
      </c>
      <c r="C16" s="6" t="s">
        <v>23</v>
      </c>
      <c r="D16" s="6" t="s">
        <v>23</v>
      </c>
      <c r="E16" s="6" t="s">
        <v>23</v>
      </c>
      <c r="F16" s="6" t="s">
        <v>23</v>
      </c>
      <c r="G16" s="6" t="s">
        <v>23</v>
      </c>
      <c r="H16" s="6" t="s">
        <v>23</v>
      </c>
      <c r="I16" s="6" t="s">
        <v>23</v>
      </c>
      <c r="J16" s="6" t="s">
        <v>23</v>
      </c>
      <c r="K16" s="6" t="s">
        <v>23</v>
      </c>
      <c r="L16" s="6" t="s">
        <v>23</v>
      </c>
      <c r="M16" s="6" t="s">
        <v>23</v>
      </c>
      <c r="N16" s="6" t="s">
        <v>23</v>
      </c>
      <c r="O16" s="6" t="s">
        <v>23</v>
      </c>
      <c r="P16" s="6" t="s">
        <v>23</v>
      </c>
      <c r="Q16" s="6" t="s">
        <v>23</v>
      </c>
    </row>
    <row r="17" spans="1:17" x14ac:dyDescent="0.25">
      <c r="A17" s="1" t="s">
        <v>32</v>
      </c>
      <c r="B17" s="2" t="str">
        <f>IFERROR(((B16-B15)/B15),"-")</f>
        <v>-</v>
      </c>
      <c r="C17" s="2" t="str">
        <f t="shared" ref="C17:Q17" si="0">IFERROR(((C16-C15)/C15),"-")</f>
        <v>-</v>
      </c>
      <c r="D17" s="2" t="str">
        <f t="shared" si="0"/>
        <v>-</v>
      </c>
      <c r="E17" s="2" t="str">
        <f t="shared" si="0"/>
        <v>-</v>
      </c>
      <c r="F17" s="2" t="str">
        <f t="shared" si="0"/>
        <v>-</v>
      </c>
      <c r="G17" s="2" t="str">
        <f t="shared" si="0"/>
        <v>-</v>
      </c>
      <c r="H17" s="2" t="str">
        <f t="shared" si="0"/>
        <v>-</v>
      </c>
      <c r="I17" s="2" t="str">
        <f t="shared" si="0"/>
        <v>-</v>
      </c>
      <c r="J17" s="2" t="str">
        <f t="shared" si="0"/>
        <v>-</v>
      </c>
      <c r="K17" s="2" t="str">
        <f t="shared" si="0"/>
        <v>-</v>
      </c>
      <c r="L17" s="2" t="str">
        <f t="shared" si="0"/>
        <v>-</v>
      </c>
      <c r="M17" s="2" t="str">
        <f t="shared" si="0"/>
        <v>-</v>
      </c>
      <c r="N17" s="2" t="str">
        <f t="shared" si="0"/>
        <v>-</v>
      </c>
      <c r="O17" s="2" t="str">
        <f t="shared" si="0"/>
        <v>-</v>
      </c>
      <c r="P17" s="2" t="str">
        <f t="shared" si="0"/>
        <v>-</v>
      </c>
      <c r="Q17" s="2" t="str">
        <f t="shared" si="0"/>
        <v>-</v>
      </c>
    </row>
    <row r="18" spans="1:17" ht="30" x14ac:dyDescent="0.25">
      <c r="A18" s="9" t="s">
        <v>33</v>
      </c>
      <c r="B18" s="3" t="str">
        <f>IFERROR((((B16/B6)^(1/10))-1),"-")</f>
        <v>-</v>
      </c>
      <c r="C18" s="3" t="str">
        <f t="shared" ref="C18:Q18" si="1">IFERROR((((C16/C6)^(1/10))-1),"-")</f>
        <v>-</v>
      </c>
      <c r="D18" s="3" t="str">
        <f t="shared" si="1"/>
        <v>-</v>
      </c>
      <c r="E18" s="3" t="str">
        <f t="shared" si="1"/>
        <v>-</v>
      </c>
      <c r="F18" s="3" t="str">
        <f t="shared" si="1"/>
        <v>-</v>
      </c>
      <c r="G18" s="3" t="str">
        <f t="shared" si="1"/>
        <v>-</v>
      </c>
      <c r="H18" s="3" t="str">
        <f t="shared" si="1"/>
        <v>-</v>
      </c>
      <c r="I18" s="3" t="str">
        <f t="shared" si="1"/>
        <v>-</v>
      </c>
      <c r="J18" s="3" t="str">
        <f t="shared" si="1"/>
        <v>-</v>
      </c>
      <c r="K18" s="3" t="str">
        <f t="shared" si="1"/>
        <v>-</v>
      </c>
      <c r="L18" s="3" t="str">
        <f t="shared" si="1"/>
        <v>-</v>
      </c>
      <c r="M18" s="3" t="str">
        <f t="shared" si="1"/>
        <v>-</v>
      </c>
      <c r="N18" s="3" t="str">
        <f t="shared" si="1"/>
        <v>-</v>
      </c>
      <c r="O18" s="3" t="str">
        <f t="shared" si="1"/>
        <v>-</v>
      </c>
      <c r="P18" s="3" t="str">
        <f t="shared" si="1"/>
        <v>-</v>
      </c>
      <c r="Q18" s="3" t="str">
        <f t="shared" si="1"/>
        <v>-</v>
      </c>
    </row>
    <row r="19" spans="1:17" x14ac:dyDescent="0.25">
      <c r="A19" s="22" t="s">
        <v>29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</row>
    <row r="20" spans="1:17" ht="28.5" customHeight="1" x14ac:dyDescent="0.25">
      <c r="A20" s="20" t="s">
        <v>38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</row>
    <row r="21" spans="1:17" x14ac:dyDescent="0.25">
      <c r="A21" s="19" t="s">
        <v>36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</row>
  </sheetData>
  <mergeCells count="15">
    <mergeCell ref="A21:Q21"/>
    <mergeCell ref="A20:Q20"/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conditionalFormatting sqref="L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FLY 91</vt:lpstr>
      <vt:lpstr>'FLY 91'!Print_Area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2020-05-20T06:31:48Z</cp:lastPrinted>
  <dcterms:created xsi:type="dcterms:W3CDTF">2018-10-29T04:00:15Z</dcterms:created>
  <dcterms:modified xsi:type="dcterms:W3CDTF">2025-11-19T12:07:58Z</dcterms:modified>
</cp:coreProperties>
</file>