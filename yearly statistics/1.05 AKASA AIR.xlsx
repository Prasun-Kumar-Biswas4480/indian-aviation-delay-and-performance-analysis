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KASA AIR\"/>
    </mc:Choice>
  </mc:AlternateContent>
  <bookViews>
    <workbookView xWindow="0" yWindow="0" windowWidth="24000" windowHeight="10725"/>
  </bookViews>
  <sheets>
    <sheet name="AKASA AIR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3" l="1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B18" i="3"/>
  <c r="B17" i="3"/>
</calcChain>
</file>

<file path=xl/sharedStrings.xml><?xml version="1.0" encoding="utf-8"?>
<sst xmlns="http://schemas.openxmlformats.org/spreadsheetml/2006/main" count="184" uniqueCount="39">
  <si>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</si>
  <si>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</si>
  <si>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</si>
  <si>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</si>
  <si>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</si>
  <si>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</si>
  <si>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</si>
  <si>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</si>
  <si>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</si>
  <si>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</si>
  <si>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</si>
  <si>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</si>
  <si>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</si>
  <si>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</si>
  <si>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</si>
  <si>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</si>
  <si>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</si>
  <si>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</si>
  <si>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</si>
  <si>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</si>
  <si>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</si>
  <si>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</si>
  <si>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</si>
  <si>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-</t>
  </si>
  <si>
    <t>2018-19</t>
  </si>
  <si>
    <t>2019-20</t>
  </si>
  <si>
    <t>2022-23</t>
  </si>
  <si>
    <t>TABLE - 1.05 (AKASA AIR)</t>
  </si>
  <si>
    <t xml:space="preserve">YEAR ON YEAR GROWTH AND CAGR FOR LAST TEN YEARS OF AKASA AIR ON SCHEDULED INTERNATIONAL SERVICES (ALL AIR TRAFFIC AND OPERATING STATISTICS) </t>
  </si>
  <si>
    <t>SOURCE: ICAO ATR FORM 'A' FURNISHED BY AKASA AIR</t>
  </si>
  <si>
    <t xml:space="preserve">तालिका - 1.05 (अकासा एयर) </t>
  </si>
  <si>
    <t>2023-24</t>
  </si>
  <si>
    <t>YOY growth</t>
  </si>
  <si>
    <t>CAGR last 10 years</t>
  </si>
  <si>
    <t>2020-21*</t>
  </si>
  <si>
    <t>2021-22*</t>
  </si>
  <si>
    <t>* DENOTES that THE INTERNATIONAL OPERATIONS BY SCHEDULED INDIAN OPERATORS WERE CARRIED AS PER DGCA’S CIRCULAR DATED 26.03.2020 UNDER COVID-19 RESTRICTION.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</si>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</sst>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5" fontId="3" fillId="5" borderId="1" xfId="3" applyNumberFormat="1" applyBorder="1" applyAlignment="1">
      <alignment horizontal="center" vertical="center"/>
    </xf>
    <xf numFmtId="165" fontId="6" fillId="0" borderId="1" xfId="4" applyNumberFormat="1" applyFont="1" applyFill="1" applyBorder="1" applyAlignment="1">
      <alignment horizontal="center" vertical="center"/>
    </xf>
    <xf numFmtId="166" fontId="6" fillId="0" borderId="1" xfId="4" applyNumberFormat="1" applyFont="1" applyFill="1" applyBorder="1" applyAlignment="1">
      <alignment horizontal="center" vertical="center"/>
    </xf>
    <xf numFmtId="166" fontId="3" fillId="5" borderId="1" xfId="3" applyNumberFormat="1" applyBorder="1" applyAlignment="1">
      <alignment horizontal="center" vertical="center"/>
    </xf>
    <xf numFmtId="165" fontId="7" fillId="5" borderId="1" xfId="3" applyNumberFormat="1" applyFont="1" applyBorder="1" applyAlignment="1">
      <alignment horizontal="center" vertical="center"/>
    </xf>
    <xf numFmtId="165" fontId="8" fillId="0" borderId="1" xfId="4" applyNumberFormat="1" applyFont="1" applyFill="1" applyBorder="1" applyAlignment="1">
      <alignment horizontal="center" vertical="center"/>
    </xf>
    <xf numFmtId="0" fontId="7" fillId="4" borderId="1" xfId="2" applyFont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0" fillId="4" borderId="1" xfId="5" applyNumberFormat="1" applyFont="1" applyFill="1" applyBorder="1" applyAlignment="1" applyProtection="1">
      <alignment horizontal="center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view="pageBreakPreview" zoomScaleNormal="100" zoomScaleSheetLayoutView="100" workbookViewId="0">
      <selection activeCell="Q4" sqref="Q4:Q5"/>
    </sheetView>
  </sheetViews>
  <sheetFormatPr defaultRowHeight="15" x14ac:dyDescent="0.25"/>
  <cols>
    <col min="1" max="1" width="10.85546875" customWidth="1"/>
    <col min="2" max="2" width="7.5703125" customWidth="1"/>
    <col min="3" max="3" width="8.7109375" customWidth="1"/>
    <col min="4" max="4" width="7.42578125" customWidth="1"/>
    <col min="5" max="5" width="10.5703125" customWidth="1"/>
    <col min="6" max="6" width="8.42578125" customWidth="1"/>
    <col min="7" max="7" width="9" customWidth="1"/>
    <col min="8" max="8" width="6.42578125" customWidth="1"/>
    <col min="9" max="9" width="8.28515625" customWidth="1"/>
    <col min="10" max="10" width="6" customWidth="1"/>
    <col min="11" max="11" width="8" customWidth="1"/>
    <col min="12" max="12" width="9.140625" customWidth="1"/>
    <col min="13" max="13" width="7.42578125" customWidth="1"/>
    <col min="14" max="14" width="8" customWidth="1"/>
    <col min="15" max="16" width="8.28515625" customWidth="1"/>
    <col min="17" max="17" width="6.85546875" customWidth="1"/>
  </cols>
  <sheetData>
    <row r="1" spans="1:17" x14ac:dyDescent="0.25">
      <c r="A1" s="12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5">
      <c r="A2" s="13" t="s">
        <v>27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28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17" t="s">
        <v>3</v>
      </c>
      <c r="H4" s="17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17" t="s">
        <v>7</v>
      </c>
      <c r="Q4" s="17" t="s">
        <v>8</v>
      </c>
    </row>
    <row r="5" spans="1:17" ht="117" customHeight="1" x14ac:dyDescent="0.25">
      <c r="A5" s="15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8"/>
      <c r="H5" s="18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8"/>
      <c r="Q5" s="18"/>
    </row>
    <row r="6" spans="1:17" ht="17.100000000000001" customHeight="1" x14ac:dyDescent="0.25">
      <c r="A6" s="7" t="s">
        <v>19</v>
      </c>
      <c r="B6" s="3" t="s">
        <v>23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</row>
    <row r="7" spans="1:17" ht="17.100000000000001" customHeight="1" x14ac:dyDescent="0.25">
      <c r="A7" s="8" t="s">
        <v>20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</row>
    <row r="8" spans="1:17" ht="17.100000000000001" customHeight="1" x14ac:dyDescent="0.25">
      <c r="A8" s="7" t="s">
        <v>21</v>
      </c>
      <c r="B8" s="3" t="s">
        <v>23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</row>
    <row r="9" spans="1:17" ht="17.100000000000001" customHeight="1" x14ac:dyDescent="0.25">
      <c r="A9" s="8" t="s">
        <v>22</v>
      </c>
      <c r="B9" s="4" t="s">
        <v>23</v>
      </c>
      <c r="C9" s="4" t="s">
        <v>23</v>
      </c>
      <c r="D9" s="4" t="s">
        <v>23</v>
      </c>
      <c r="E9" s="4" t="s">
        <v>23</v>
      </c>
      <c r="F9" s="4" t="s">
        <v>23</v>
      </c>
      <c r="G9" s="4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</row>
    <row r="10" spans="1:17" ht="17.100000000000001" customHeight="1" x14ac:dyDescent="0.25">
      <c r="A10" s="7" t="s">
        <v>24</v>
      </c>
      <c r="B10" s="3" t="s">
        <v>23</v>
      </c>
      <c r="C10" s="3" t="s">
        <v>23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</row>
    <row r="11" spans="1:17" ht="17.100000000000001" customHeight="1" x14ac:dyDescent="0.25">
      <c r="A11" s="8" t="s">
        <v>25</v>
      </c>
      <c r="B11" s="4" t="s">
        <v>23</v>
      </c>
      <c r="C11" s="4" t="s">
        <v>23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</row>
    <row r="12" spans="1:17" ht="17.100000000000001" customHeight="1" x14ac:dyDescent="0.25">
      <c r="A12" s="7" t="s">
        <v>34</v>
      </c>
      <c r="B12" s="3" t="s">
        <v>23</v>
      </c>
      <c r="C12" s="3" t="s">
        <v>23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</row>
    <row r="13" spans="1:17" ht="17.100000000000001" customHeight="1" x14ac:dyDescent="0.25">
      <c r="A13" s="8" t="s">
        <v>35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</row>
    <row r="14" spans="1:17" ht="17.100000000000001" customHeight="1" x14ac:dyDescent="0.25">
      <c r="A14" s="7" t="s">
        <v>26</v>
      </c>
      <c r="B14" s="3" t="s">
        <v>23</v>
      </c>
      <c r="C14" s="3" t="s">
        <v>23</v>
      </c>
      <c r="D14" s="3" t="s">
        <v>23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</row>
    <row r="15" spans="1:17" x14ac:dyDescent="0.25">
      <c r="A15" s="8" t="s">
        <v>31</v>
      </c>
      <c r="B15" s="5">
        <v>6</v>
      </c>
      <c r="C15" s="5">
        <v>21.916666666666668</v>
      </c>
      <c r="D15" s="5">
        <v>13.77</v>
      </c>
      <c r="E15" s="5">
        <v>459</v>
      </c>
      <c r="F15" s="5">
        <v>1.0534049999999999</v>
      </c>
      <c r="G15" s="5">
        <v>2.6025300000000002</v>
      </c>
      <c r="H15" s="5">
        <v>40.476190476190474</v>
      </c>
      <c r="I15" s="5">
        <v>0</v>
      </c>
      <c r="J15" s="5">
        <v>0</v>
      </c>
      <c r="K15" s="5">
        <v>0</v>
      </c>
      <c r="L15" s="5">
        <v>9.4108779999999989E-2</v>
      </c>
      <c r="M15" s="5">
        <v>0</v>
      </c>
      <c r="N15" s="5">
        <v>0</v>
      </c>
      <c r="O15" s="5">
        <v>9.4108779999999989E-2</v>
      </c>
      <c r="P15" s="5">
        <v>0.28236761999999999</v>
      </c>
      <c r="Q15" s="5">
        <v>33.328460253339244</v>
      </c>
    </row>
    <row r="16" spans="1:17" x14ac:dyDescent="0.25">
      <c r="A16" s="7" t="s">
        <v>37</v>
      </c>
      <c r="B16" s="6">
        <v>2793</v>
      </c>
      <c r="C16" s="6">
        <v>12180.349996666666</v>
      </c>
      <c r="D16" s="6">
        <v>7733.3200000000006</v>
      </c>
      <c r="E16" s="6">
        <v>391076</v>
      </c>
      <c r="F16" s="6">
        <v>1095.5914349999998</v>
      </c>
      <c r="G16" s="6">
        <v>1448.893401</v>
      </c>
      <c r="H16" s="6">
        <v>75.615737792983424</v>
      </c>
      <c r="I16" s="6">
        <v>1004.5913200000001</v>
      </c>
      <c r="J16" s="6">
        <v>0</v>
      </c>
      <c r="K16" s="6">
        <v>1004.5913200000001</v>
      </c>
      <c r="L16" s="6">
        <v>102.64085497000001</v>
      </c>
      <c r="M16" s="6">
        <v>2.5831293099999999</v>
      </c>
      <c r="N16" s="6">
        <v>0</v>
      </c>
      <c r="O16" s="6">
        <v>105.22398428</v>
      </c>
      <c r="P16" s="6">
        <v>158.57945989000001</v>
      </c>
      <c r="Q16" s="6">
        <v>66.35410686414842</v>
      </c>
    </row>
    <row r="17" spans="1:17" x14ac:dyDescent="0.25">
      <c r="A17" s="9" t="s">
        <v>32</v>
      </c>
      <c r="B17" s="11">
        <f>IFERROR(((B16-B15)/B15),"-")</f>
        <v>464.5</v>
      </c>
      <c r="C17" s="11">
        <f t="shared" ref="C17:Q17" si="0">IFERROR(((C16-C15)/C15),"-")</f>
        <v>554.75741429657796</v>
      </c>
      <c r="D17" s="11">
        <f t="shared" si="0"/>
        <v>560.60639070442994</v>
      </c>
      <c r="E17" s="11">
        <f t="shared" si="0"/>
        <v>851.01742919389983</v>
      </c>
      <c r="F17" s="11">
        <f t="shared" si="0"/>
        <v>1039.0476882110868</v>
      </c>
      <c r="G17" s="11">
        <f t="shared" si="0"/>
        <v>555.72495648465144</v>
      </c>
      <c r="H17" s="11">
        <f t="shared" si="0"/>
        <v>0.8681535219442964</v>
      </c>
      <c r="I17" s="11" t="str">
        <f t="shared" si="0"/>
        <v>-</v>
      </c>
      <c r="J17" s="11" t="str">
        <f t="shared" si="0"/>
        <v>-</v>
      </c>
      <c r="K17" s="11" t="str">
        <f t="shared" si="0"/>
        <v>-</v>
      </c>
      <c r="L17" s="11">
        <f t="shared" si="0"/>
        <v>1089.6618380346661</v>
      </c>
      <c r="M17" s="11" t="str">
        <f t="shared" si="0"/>
        <v>-</v>
      </c>
      <c r="N17" s="11" t="str">
        <f t="shared" si="0"/>
        <v>-</v>
      </c>
      <c r="O17" s="11">
        <f t="shared" si="0"/>
        <v>1117.1101729296672</v>
      </c>
      <c r="P17" s="11">
        <f t="shared" si="0"/>
        <v>560.6063905981855</v>
      </c>
      <c r="Q17" s="11">
        <f t="shared" si="0"/>
        <v>0.99091426245832259</v>
      </c>
    </row>
    <row r="18" spans="1:17" ht="25.5" x14ac:dyDescent="0.25">
      <c r="A18" s="10" t="s">
        <v>33</v>
      </c>
      <c r="B18" s="1" t="str">
        <f>IFERROR((((B16/B6)^(1/10))-1),"-")</f>
        <v>-</v>
      </c>
      <c r="C18" s="1" t="str">
        <f t="shared" ref="C18:Q18" si="1">IFERROR((((C16/C6)^(1/10))-1),"-")</f>
        <v>-</v>
      </c>
      <c r="D18" s="1" t="str">
        <f t="shared" si="1"/>
        <v>-</v>
      </c>
      <c r="E18" s="1" t="str">
        <f t="shared" si="1"/>
        <v>-</v>
      </c>
      <c r="F18" s="1" t="str">
        <f t="shared" si="1"/>
        <v>-</v>
      </c>
      <c r="G18" s="1" t="str">
        <f t="shared" si="1"/>
        <v>-</v>
      </c>
      <c r="H18" s="1" t="str">
        <f t="shared" si="1"/>
        <v>-</v>
      </c>
      <c r="I18" s="1" t="str">
        <f t="shared" si="1"/>
        <v>-</v>
      </c>
      <c r="J18" s="1" t="str">
        <f t="shared" si="1"/>
        <v>-</v>
      </c>
      <c r="K18" s="1" t="str">
        <f t="shared" si="1"/>
        <v>-</v>
      </c>
      <c r="L18" s="1" t="str">
        <f t="shared" si="1"/>
        <v>-</v>
      </c>
      <c r="M18" s="1" t="str">
        <f t="shared" si="1"/>
        <v>-</v>
      </c>
      <c r="N18" s="1" t="str">
        <f t="shared" si="1"/>
        <v>-</v>
      </c>
      <c r="O18" s="1" t="str">
        <f t="shared" si="1"/>
        <v>-</v>
      </c>
      <c r="P18" s="1" t="str">
        <f t="shared" si="1"/>
        <v>-</v>
      </c>
      <c r="Q18" s="1" t="str">
        <f t="shared" si="1"/>
        <v>-</v>
      </c>
    </row>
    <row r="19" spans="1:17" x14ac:dyDescent="0.25">
      <c r="A19" s="22" t="s">
        <v>29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28.9" customHeight="1" x14ac:dyDescent="0.25">
      <c r="A20" s="20" t="s">
        <v>38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19" t="s">
        <v>36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AKASA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2025-11-24T09:05:28Z</cp:lastPrinted>
  <dcterms:created xsi:type="dcterms:W3CDTF">2018-10-29T04:00:15Z</dcterms:created>
  <dcterms:modified xsi:type="dcterms:W3CDTF">2025-11-24T09:05:37Z</dcterms:modified>
</cp:coreProperties>
</file>