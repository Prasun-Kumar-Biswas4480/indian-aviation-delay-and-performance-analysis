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8" sheetId="2" r:id="rId1"/>
  </sheets>
  <externalReferences>
    <externalReference r:id="rId2"/>
    <externalReference r:id="rId3"/>
  </externalReferences>
  <definedNames>
    <definedName name="\a" localSheetId="0">'1.18'!#REF!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'1.18'!$A$1:$O$10</definedName>
    <definedName name="Print_Area_MI" localSheetId="0">'1.18'!$A$7:$O$14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9" i="2"/>
  <c r="C9" i="2"/>
  <c r="D9" i="2"/>
  <c r="E9" i="2"/>
  <c r="I9" i="2"/>
  <c r="J9" i="2"/>
  <c r="K9" i="2"/>
  <c r="L9" i="2"/>
  <c r="M9" i="2"/>
  <c r="N9" i="2"/>
</calcChain>
</file>

<file path=xl/sharedStrings.xml><?xml version="1.0" encoding="utf-8"?>
<sst xmlns="http://schemas.openxmlformats.org/spreadsheetml/2006/main" count="27" uniqueCount="24">
  <si>
    <t>*  AVERAGES  HAVE BEEN CALCULATED BY ASSUMING AIRCRAFTS ARE  AVAILABLE 365 DAYS IN A YEAR</t>
  </si>
  <si>
    <t>Grand Total</t>
  </si>
  <si>
    <t xml:space="preserve"> </t>
  </si>
  <si>
    <t>AT7-72-600</t>
  </si>
  <si>
    <t>180/186</t>
  </si>
  <si>
    <t>A320-200</t>
  </si>
  <si>
    <t>TOTAL (INCLUSIVE OF NON REVENUE)</t>
  </si>
  <si>
    <t>NON-SCHEDULED REVENUE</t>
  </si>
  <si>
    <t>SCHEDULED REVENUE</t>
  </si>
  <si>
    <t xml:space="preserve">  NUMBER OF HOURS FLOWN</t>
  </si>
  <si>
    <t xml:space="preserve">  NUMBER OF DEPARTURES</t>
  </si>
  <si>
    <t>AV. M.C.T.OM WEIGHT (IN TONNE)</t>
  </si>
  <si>
    <t>AV. PAYLOAD CAPACITY (TONNES)</t>
  </si>
  <si>
    <t>NO. OF INSTALLED PAX. SEATS</t>
  </si>
  <si>
    <t>AT THE END OF YEAR</t>
  </si>
  <si>
    <t xml:space="preserve"> DISPOSED OFF</t>
  </si>
  <si>
    <t>ACQUIRED</t>
  </si>
  <si>
    <t>AT BEGINNING OF YEAR</t>
  </si>
  <si>
    <t>AVERAGE DAILY REVENUE HOURS PER AIRCRAFT *</t>
  </si>
  <si>
    <t>UTILIZATION OF AIRCRAFT</t>
  </si>
  <si>
    <t>SIZE</t>
  </si>
  <si>
    <t xml:space="preserve"> NUMBER OF AIRCRAFT</t>
  </si>
  <si>
    <t>AIRCRAFT TYPE</t>
  </si>
  <si>
    <t xml:space="preserve"> ºÉÉ®hÉÉÒ - 1.18 (इंडिगो)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</si>
</sst>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_(* #,##0.0_);_(* \(#,##0.0\);_(* &quot;-&quot;_);_(@_)"/>
    <numFmt numFmtId="165" formatCode="#,##0.0"/>
    <numFmt numFmtId="166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sz val="10"/>
      <name val="Arial"/>
    </font>
    <font>
      <b/>
      <sz val="10"/>
      <name val="Arial"/>
      <family val="2"/>
    </font>
    <font>
      <sz val="12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b/>
      <sz val="12"/>
      <name val="Calibri Light"/>
      <family val="1"/>
      <scheme val="major"/>
    </font>
    <font>
      <b/>
      <sz val="18"/>
      <name val="Aryan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7" fillId="0" borderId="0"/>
  </cellStyleXfs>
  <cellXfs count="29">
    <xf numFmtId="0" fontId="0" fillId="0" borderId="0" xfId="0"/>
    <xf numFmtId="0" fontId="2" fillId="2" borderId="0" xfId="1" applyFont="1" applyFill="1"/>
    <xf numFmtId="0" fontId="2" fillId="3" borderId="0" xfId="1" applyFont="1" applyFill="1"/>
    <xf numFmtId="164" fontId="3" fillId="3" borderId="2" xfId="1" applyNumberFormat="1" applyFont="1" applyFill="1" applyBorder="1" applyAlignment="1">
      <alignment horizontal="left" vertical="center"/>
    </xf>
    <xf numFmtId="41" fontId="3" fillId="3" borderId="2" xfId="1" applyNumberFormat="1" applyFont="1" applyFill="1" applyBorder="1" applyAlignment="1">
      <alignment horizontal="center" vertical="center"/>
    </xf>
    <xf numFmtId="37" fontId="3" fillId="3" borderId="2" xfId="1" applyNumberFormat="1" applyFont="1" applyFill="1" applyBorder="1" applyAlignment="1">
      <alignment horizontal="center" vertical="center"/>
    </xf>
    <xf numFmtId="0" fontId="5" fillId="3" borderId="2" xfId="2" applyFont="1" applyFill="1" applyBorder="1" applyAlignment="1" applyProtection="1">
      <alignment vertical="center"/>
      <protection locked="0"/>
    </xf>
    <xf numFmtId="165" fontId="6" fillId="3" borderId="3" xfId="2" applyNumberFormat="1" applyFont="1" applyFill="1" applyBorder="1" applyAlignment="1" applyProtection="1">
      <alignment horizontal="center" vertical="center"/>
    </xf>
    <xf numFmtId="3" fontId="6" fillId="3" borderId="3" xfId="2" applyNumberFormat="1" applyFont="1" applyFill="1" applyBorder="1" applyAlignment="1" applyProtection="1">
      <alignment horizontal="center" vertical="center"/>
    </xf>
    <xf numFmtId="41" fontId="6" fillId="3" borderId="3" xfId="2" applyNumberFormat="1" applyFont="1" applyFill="1" applyBorder="1" applyAlignment="1" applyProtection="1">
      <alignment horizontal="center" vertical="center"/>
    </xf>
    <xf numFmtId="166" fontId="6" fillId="3" borderId="3" xfId="2" applyNumberFormat="1" applyFont="1" applyFill="1" applyBorder="1" applyAlignment="1" applyProtection="1">
      <alignment horizontal="center" vertical="center"/>
    </xf>
    <xf numFmtId="37" fontId="6" fillId="3" borderId="3" xfId="2" applyNumberFormat="1" applyFont="1" applyFill="1" applyBorder="1" applyAlignment="1" applyProtection="1">
      <alignment horizontal="center" vertical="center"/>
    </xf>
    <xf numFmtId="0" fontId="8" fillId="3" borderId="2" xfId="3" applyFont="1" applyFill="1" applyBorder="1" applyAlignment="1">
      <alignment horizontal="left" vertical="top" wrapText="1"/>
    </xf>
    <xf numFmtId="165" fontId="6" fillId="3" borderId="4" xfId="2" applyNumberFormat="1" applyFont="1" applyFill="1" applyBorder="1" applyAlignment="1" applyProtection="1">
      <alignment horizontal="center" vertical="center"/>
    </xf>
    <xf numFmtId="3" fontId="6" fillId="3" borderId="4" xfId="2" applyNumberFormat="1" applyFont="1" applyFill="1" applyBorder="1" applyAlignment="1" applyProtection="1">
      <alignment horizontal="center" vertical="center"/>
    </xf>
    <xf numFmtId="41" fontId="6" fillId="3" borderId="4" xfId="2" applyNumberFormat="1" applyFont="1" applyFill="1" applyBorder="1" applyAlignment="1" applyProtection="1">
      <alignment horizontal="center" vertical="center"/>
    </xf>
    <xf numFmtId="166" fontId="6" fillId="3" borderId="4" xfId="2" applyNumberFormat="1" applyFont="1" applyFill="1" applyBorder="1" applyAlignment="1" applyProtection="1">
      <alignment horizontal="center" vertical="center"/>
    </xf>
    <xf numFmtId="3" fontId="6" fillId="3" borderId="4" xfId="2" quotePrefix="1" applyNumberFormat="1" applyFont="1" applyFill="1" applyBorder="1" applyAlignment="1" applyProtection="1">
      <alignment horizontal="center" vertical="center"/>
    </xf>
    <xf numFmtId="0" fontId="9" fillId="2" borderId="2" xfId="1" applyFont="1" applyFill="1" applyBorder="1" applyAlignment="1" applyProtection="1">
      <alignment horizontal="center" vertical="center" textRotation="180" wrapText="1"/>
    </xf>
    <xf numFmtId="0" fontId="10" fillId="2" borderId="10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9" fillId="2" borderId="8" xfId="1" quotePrefix="1" applyFont="1" applyFill="1" applyBorder="1" applyAlignment="1" applyProtection="1">
      <alignment horizontal="center" vertical="center" wrapText="1"/>
    </xf>
    <xf numFmtId="0" fontId="9" fillId="2" borderId="7" xfId="1" applyFont="1" applyFill="1" applyBorder="1" applyAlignment="1" applyProtection="1">
      <alignment horizontal="center" vertical="center" wrapText="1"/>
    </xf>
    <xf numFmtId="0" fontId="9" fillId="2" borderId="6" xfId="1" applyFont="1" applyFill="1" applyBorder="1" applyAlignment="1" applyProtection="1">
      <alignment horizontal="center" vertical="center" wrapText="1"/>
    </xf>
    <xf numFmtId="0" fontId="9" fillId="2" borderId="5" xfId="1" applyFont="1" applyFill="1" applyBorder="1" applyAlignment="1" applyProtection="1">
      <alignment horizontal="center" vertical="center" wrapText="1"/>
    </xf>
    <xf numFmtId="0" fontId="9" fillId="2" borderId="2" xfId="1" applyFont="1" applyFill="1" applyBorder="1" applyAlignment="1" applyProtection="1">
      <alignment horizontal="center" vertical="center" wrapText="1"/>
    </xf>
    <xf numFmtId="0" fontId="9" fillId="2" borderId="2" xfId="1" applyFont="1" applyFill="1" applyBorder="1" applyAlignment="1" applyProtection="1">
      <alignment horizontal="center" vertical="center" textRotation="180" wrapText="1"/>
    </xf>
    <xf numFmtId="0" fontId="2" fillId="2" borderId="1" xfId="1" applyFont="1" applyFill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5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INDIGO\Indigo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>
        <row r="3">
          <cell r="A3" t="str">
            <v>Row Labels</v>
          </cell>
        </row>
      </sheetData>
      <sheetData sheetId="5"/>
      <sheetData sheetId="6"/>
      <sheetData sheetId="7">
        <row r="1">
          <cell r="B1" t="str">
            <v>2017-18</v>
          </cell>
        </row>
        <row r="2">
          <cell r="B2" t="str">
            <v>INDIGO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1">
    <tabColor theme="9" tint="0.39997558519241921"/>
  </sheetPr>
  <dimension ref="A1:S24"/>
  <sheetViews>
    <sheetView showGridLines="0" tabSelected="1" view="pageBreakPreview" zoomScaleNormal="100" zoomScaleSheetLayoutView="100" workbookViewId="0">
      <selection activeCell="S6" sqref="S6"/>
    </sheetView>
  </sheetViews>
  <sheetFormatPr defaultColWidth="11" defaultRowHeight="35.1" customHeight="1" x14ac:dyDescent="0.2"/>
  <cols>
    <col min="1" max="1" width="22.140625" style="1" customWidth="1"/>
    <col min="2" max="2" width="6.5703125" style="1" customWidth="1"/>
    <col min="3" max="4" width="5.85546875" style="1" customWidth="1"/>
    <col min="5" max="5" width="7.42578125" style="1" customWidth="1"/>
    <col min="6" max="6" width="9" style="1" customWidth="1"/>
    <col min="7" max="7" width="6.140625" style="1" customWidth="1"/>
    <col min="8" max="8" width="8.85546875" style="1" customWidth="1"/>
    <col min="9" max="9" width="11.28515625" style="1" customWidth="1"/>
    <col min="10" max="10" width="8.85546875" style="1" customWidth="1"/>
    <col min="11" max="11" width="11.42578125" style="1" customWidth="1"/>
    <col min="12" max="12" width="10.85546875" style="1" customWidth="1"/>
    <col min="13" max="13" width="9.140625" style="1" customWidth="1"/>
    <col min="14" max="14" width="10.85546875" style="1" customWidth="1"/>
    <col min="15" max="15" width="8.85546875" style="1" customWidth="1"/>
    <col min="16" max="16" width="11" style="1"/>
    <col min="17" max="17" width="17.85546875" style="1" customWidth="1"/>
    <col min="18" max="16384" width="11" style="1"/>
  </cols>
  <sheetData>
    <row r="1" spans="1:19" ht="24.95" customHeight="1" x14ac:dyDescent="0.2">
      <c r="A1" s="19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</row>
    <row r="2" spans="1:19" ht="24.95" customHeight="1" x14ac:dyDescent="0.2">
      <c r="A2" s="22" t="str">
        <f>"TABLE - 1.18 ("&amp;[2]Sheet1!B2&amp;")"</f>
        <v>TABLE - 1.18 (INDIGO)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9" ht="32.25" customHeight="1" x14ac:dyDescent="0.2">
      <c r="A3" s="25" t="str">
        <f>"TYPE OF AIRCRAFT WISE FLEET STATISTICS OF "&amp;[2]Sheet1!B2&amp;" DURING "&amp;[2]Sheet1!B1</f>
        <v>TYPE OF AIRCRAFT WISE FLEET STATISTICS OF INDIGO DURING 2017-18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9" ht="35.1" customHeight="1" x14ac:dyDescent="0.2">
      <c r="A4" s="27" t="s">
        <v>22</v>
      </c>
      <c r="B4" s="26" t="s">
        <v>21</v>
      </c>
      <c r="C4" s="26"/>
      <c r="D4" s="26"/>
      <c r="E4" s="26"/>
      <c r="F4" s="26" t="s">
        <v>20</v>
      </c>
      <c r="G4" s="26"/>
      <c r="H4" s="26"/>
      <c r="I4" s="26" t="s">
        <v>19</v>
      </c>
      <c r="J4" s="26"/>
      <c r="K4" s="26"/>
      <c r="L4" s="26"/>
      <c r="M4" s="26"/>
      <c r="N4" s="26"/>
      <c r="O4" s="27" t="s">
        <v>18</v>
      </c>
    </row>
    <row r="5" spans="1:19" ht="35.1" customHeight="1" x14ac:dyDescent="0.2">
      <c r="A5" s="27"/>
      <c r="B5" s="27" t="s">
        <v>17</v>
      </c>
      <c r="C5" s="27" t="s">
        <v>16</v>
      </c>
      <c r="D5" s="27" t="s">
        <v>15</v>
      </c>
      <c r="E5" s="27" t="s">
        <v>14</v>
      </c>
      <c r="F5" s="27" t="s">
        <v>13</v>
      </c>
      <c r="G5" s="27" t="s">
        <v>12</v>
      </c>
      <c r="H5" s="27" t="s">
        <v>11</v>
      </c>
      <c r="I5" s="26" t="s">
        <v>10</v>
      </c>
      <c r="J5" s="26"/>
      <c r="K5" s="26"/>
      <c r="L5" s="26" t="s">
        <v>9</v>
      </c>
      <c r="M5" s="26"/>
      <c r="N5" s="26"/>
      <c r="O5" s="27"/>
    </row>
    <row r="6" spans="1:19" ht="95.25" customHeight="1" x14ac:dyDescent="0.2">
      <c r="A6" s="27"/>
      <c r="B6" s="27"/>
      <c r="C6" s="27"/>
      <c r="D6" s="27"/>
      <c r="E6" s="27"/>
      <c r="F6" s="27"/>
      <c r="G6" s="27"/>
      <c r="H6" s="27"/>
      <c r="I6" s="18" t="s">
        <v>8</v>
      </c>
      <c r="J6" s="18" t="s">
        <v>7</v>
      </c>
      <c r="K6" s="18" t="s">
        <v>6</v>
      </c>
      <c r="L6" s="18" t="s">
        <v>8</v>
      </c>
      <c r="M6" s="18" t="s">
        <v>7</v>
      </c>
      <c r="N6" s="18" t="s">
        <v>6</v>
      </c>
      <c r="O6" s="27"/>
    </row>
    <row r="7" spans="1:19" ht="22.5" customHeight="1" x14ac:dyDescent="0.2">
      <c r="A7" s="12" t="s">
        <v>5</v>
      </c>
      <c r="B7" s="15">
        <v>131</v>
      </c>
      <c r="C7" s="14">
        <v>25</v>
      </c>
      <c r="D7" s="14">
        <v>3</v>
      </c>
      <c r="E7" s="14">
        <v>153</v>
      </c>
      <c r="F7" s="17" t="s">
        <v>4</v>
      </c>
      <c r="G7" s="15">
        <v>14.9</v>
      </c>
      <c r="H7" s="16">
        <v>74.599999999999994</v>
      </c>
      <c r="I7" s="15">
        <v>345282</v>
      </c>
      <c r="J7" s="14">
        <v>0</v>
      </c>
      <c r="K7" s="14">
        <v>345282</v>
      </c>
      <c r="L7" s="14">
        <v>650631</v>
      </c>
      <c r="M7" s="14">
        <v>0</v>
      </c>
      <c r="N7" s="14">
        <v>650631</v>
      </c>
      <c r="O7" s="13">
        <v>11.650658071447758</v>
      </c>
    </row>
    <row r="8" spans="1:19" ht="20.100000000000001" customHeight="1" x14ac:dyDescent="0.2">
      <c r="A8" s="12" t="s">
        <v>3</v>
      </c>
      <c r="B8" s="11">
        <v>0</v>
      </c>
      <c r="C8" s="8">
        <v>6</v>
      </c>
      <c r="D8" s="8">
        <v>0</v>
      </c>
      <c r="E8" s="8">
        <v>6</v>
      </c>
      <c r="F8" s="8">
        <v>74</v>
      </c>
      <c r="G8" s="9">
        <v>5.3</v>
      </c>
      <c r="H8" s="10">
        <v>23</v>
      </c>
      <c r="I8" s="9">
        <v>2358</v>
      </c>
      <c r="J8" s="8">
        <v>0</v>
      </c>
      <c r="K8" s="8">
        <v>2358</v>
      </c>
      <c r="L8" s="8">
        <v>3408</v>
      </c>
      <c r="M8" s="8">
        <v>0</v>
      </c>
      <c r="N8" s="8">
        <v>3408</v>
      </c>
      <c r="O8" s="7">
        <v>1.5561643835616439</v>
      </c>
      <c r="S8" s="1" t="s">
        <v>2</v>
      </c>
    </row>
    <row r="9" spans="1:19" ht="35.1" customHeight="1" x14ac:dyDescent="0.2">
      <c r="A9" s="6" t="s">
        <v>1</v>
      </c>
      <c r="B9" s="4">
        <f t="shared" ref="B9:N9" si="0">B7+B8</f>
        <v>131</v>
      </c>
      <c r="C9" s="4">
        <f t="shared" si="0"/>
        <v>31</v>
      </c>
      <c r="D9" s="4">
        <f t="shared" si="0"/>
        <v>3</v>
      </c>
      <c r="E9" s="4">
        <f t="shared" si="0"/>
        <v>159</v>
      </c>
      <c r="F9" s="4"/>
      <c r="G9" s="4"/>
      <c r="H9" s="4"/>
      <c r="I9" s="4">
        <f t="shared" si="0"/>
        <v>347640</v>
      </c>
      <c r="J9" s="5">
        <f t="shared" si="0"/>
        <v>0</v>
      </c>
      <c r="K9" s="4">
        <f t="shared" si="0"/>
        <v>347640</v>
      </c>
      <c r="L9" s="4">
        <f t="shared" si="0"/>
        <v>654039</v>
      </c>
      <c r="M9" s="5">
        <f t="shared" si="0"/>
        <v>0</v>
      </c>
      <c r="N9" s="4">
        <f t="shared" si="0"/>
        <v>654039</v>
      </c>
      <c r="O9" s="3">
        <v>11.269733781338847</v>
      </c>
    </row>
    <row r="10" spans="1:19" ht="35.1" customHeight="1" x14ac:dyDescent="0.2">
      <c r="A10" s="28" t="s">
        <v>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9" ht="35.1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9" ht="35.1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9" ht="35.1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9" ht="35.1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9" ht="35.1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9" ht="35.1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35.1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35.1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35.1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35.1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35.1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35.1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35.1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35.1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</sheetData>
  <mergeCells count="18">
    <mergeCell ref="A10:O10"/>
    <mergeCell ref="B5:B6"/>
    <mergeCell ref="L5:N5"/>
    <mergeCell ref="A4:A6"/>
    <mergeCell ref="D5:D6"/>
    <mergeCell ref="I5:K5"/>
    <mergeCell ref="E5:E6"/>
    <mergeCell ref="C5:C6"/>
    <mergeCell ref="A1:O1"/>
    <mergeCell ref="A2:O2"/>
    <mergeCell ref="A3:O3"/>
    <mergeCell ref="B4:E4"/>
    <mergeCell ref="F4:H4"/>
    <mergeCell ref="O4:O6"/>
    <mergeCell ref="G5:G6"/>
    <mergeCell ref="F5:F6"/>
    <mergeCell ref="H5:H6"/>
    <mergeCell ref="I4:N4"/>
  </mergeCells>
  <printOptions gridLines="1"/>
  <pageMargins left="0.43" right="0.5" top="0.48" bottom="0.5" header="0.5" footer="0.75"/>
  <pageSetup scale="77" firstPageNumber="132" fitToWidth="0" fitToHeight="0" orientation="landscape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1.18</vt:lpstr>
      <vt:lpstr>'1.18'!Print_Area</vt:lpstr>
      <vt:lpstr>'1.18'!Print_Area_MI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2019-04-18T06:24:48Z</dcterms:modified>
</cp:coreProperties>
</file>