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0" sheetId="2" r:id="rId1"/>
  </sheets>
  <externalReferences>
    <externalReference r:id="rId2"/>
    <externalReference r:id="rId3"/>
  </externalReferences>
  <definedNames>
    <definedName name="\a" localSheetId="0">'1.20'!#REF!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'1.20'!$A$1:$G$17</definedName>
    <definedName name="Print_Area_MI" localSheetId="0">'1.20'!$A$6:$G$17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16" i="2"/>
  <c r="G16" i="2" s="1"/>
  <c r="C16" i="2"/>
  <c r="D16" i="2"/>
  <c r="E16" i="2"/>
  <c r="F16" i="2"/>
  <c r="A17" i="2"/>
</calcChain>
</file>

<file path=xl/sharedStrings.xml><?xml version="1.0" encoding="utf-8"?>
<sst xmlns="http://schemas.openxmlformats.org/spreadsheetml/2006/main" count="20" uniqueCount="20">
  <si>
    <t>2017-18</t>
  </si>
  <si>
    <t>2016-17</t>
  </si>
  <si>
    <t>2015-16</t>
  </si>
  <si>
    <t>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</si>
  <si>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</si>
  <si>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</si>
  <si>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</si>
  <si>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</si>
  <si>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</si>
  <si>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</si>
  <si>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</si>
  <si>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GRAND TOTAL</t>
  </si>
  <si>
    <t>OTHERS</t>
  </si>
  <si>
    <t>TICKETING  AND SALES PERSONNEL</t>
  </si>
  <si>
    <t>MAINTENANCE  AND OVERHAUL PERSONNEL</t>
  </si>
  <si>
    <t>OTHER FLIGHT PERSONNEL</t>
  </si>
  <si>
    <t xml:space="preserve"> PILOTS  &amp; CO-PILOTS</t>
  </si>
  <si>
    <t xml:space="preserve"> CATEGORY OF STAFF</t>
  </si>
  <si>
    <t xml:space="preserve"> YEAR</t>
  </si>
  <si>
    <t xml:space="preserve"> ºÉÉ®hÉÉÒ - 1.20 (विस्तारा)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</si>
</sst>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</font>
    <font>
      <sz val="14"/>
      <name val="Arial"/>
      <family val="2"/>
    </font>
    <font>
      <b/>
      <sz val="12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8"/>
      <name val="Aryan_Key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37" fontId="1" fillId="0" borderId="0"/>
    <xf numFmtId="0" fontId="3" fillId="0" borderId="0"/>
    <xf numFmtId="0" fontId="1" fillId="0" borderId="0"/>
  </cellStyleXfs>
  <cellXfs count="17">
    <xf numFmtId="0" fontId="0" fillId="0" borderId="0" xfId="0"/>
    <xf numFmtId="37" fontId="2" fillId="2" borderId="0" xfId="1" applyFont="1" applyFill="1" applyBorder="1"/>
    <xf numFmtId="0" fontId="4" fillId="2" borderId="0" xfId="2" applyFont="1" applyFill="1" applyBorder="1" applyAlignment="1">
      <alignment horizontal="left" indent="1"/>
    </xf>
    <xf numFmtId="37" fontId="4" fillId="2" borderId="0" xfId="2" applyNumberFormat="1" applyFont="1" applyFill="1" applyBorder="1" applyAlignment="1">
      <alignment horizontal="left" indent="1"/>
    </xf>
    <xf numFmtId="37" fontId="2" fillId="2" borderId="2" xfId="1" applyFont="1" applyFill="1" applyBorder="1" applyAlignment="1">
      <alignment horizontal="center" vertical="center"/>
    </xf>
    <xf numFmtId="37" fontId="5" fillId="2" borderId="2" xfId="1" quotePrefix="1" applyFont="1" applyFill="1" applyBorder="1" applyAlignment="1" applyProtection="1">
      <alignment horizontal="center" vertical="center" wrapText="1"/>
    </xf>
    <xf numFmtId="37" fontId="2" fillId="2" borderId="2" xfId="1" applyFont="1" applyFill="1" applyBorder="1" applyAlignment="1" applyProtection="1">
      <alignment horizontal="center" vertical="center" wrapText="1"/>
    </xf>
    <xf numFmtId="37" fontId="2" fillId="2" borderId="2" xfId="1" applyNumberFormat="1" applyFont="1" applyFill="1" applyBorder="1" applyAlignment="1" applyProtection="1">
      <alignment horizontal="center" vertical="center" wrapText="1"/>
    </xf>
    <xf numFmtId="37" fontId="5" fillId="2" borderId="2" xfId="1" applyFont="1" applyFill="1" applyBorder="1" applyAlignment="1" applyProtection="1">
      <alignment horizontal="center" vertical="center" wrapText="1"/>
    </xf>
    <xf numFmtId="0" fontId="5" fillId="2" borderId="1" xfId="3" applyFont="1" applyFill="1" applyBorder="1" applyAlignment="1" applyProtection="1">
      <alignment horizontal="left" vertical="center" wrapText="1"/>
    </xf>
    <xf numFmtId="37" fontId="6" fillId="2" borderId="5" xfId="1" quotePrefix="1" applyFont="1" applyFill="1" applyBorder="1" applyAlignment="1" applyProtection="1">
      <alignment horizontal="center" vertical="center" wrapText="1"/>
    </xf>
    <xf numFmtId="37" fontId="6" fillId="2" borderId="4" xfId="1" applyFont="1" applyFill="1" applyBorder="1" applyAlignment="1" applyProtection="1">
      <alignment horizontal="center" vertical="center" wrapText="1"/>
    </xf>
    <xf numFmtId="37" fontId="6" fillId="2" borderId="3" xfId="1" applyFont="1" applyFill="1" applyBorder="1" applyAlignment="1" applyProtection="1">
      <alignment horizontal="center" vertical="center" wrapText="1"/>
    </xf>
    <xf numFmtId="37" fontId="5" fillId="2" borderId="2" xfId="1" applyFont="1" applyFill="1" applyBorder="1" applyAlignment="1" applyProtection="1">
      <alignment horizontal="center" vertical="center" wrapText="1"/>
    </xf>
    <xf numFmtId="37" fontId="7" fillId="2" borderId="7" xfId="1" applyFont="1" applyFill="1" applyBorder="1" applyAlignment="1">
      <alignment horizontal="center" vertical="center"/>
    </xf>
    <xf numFmtId="37" fontId="7" fillId="2" borderId="1" xfId="1" applyFont="1" applyFill="1" applyBorder="1" applyAlignment="1">
      <alignment horizontal="center" vertical="center"/>
    </xf>
    <xf numFmtId="37" fontId="7" fillId="2" borderId="6" xfId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VISTARA\Vistara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8"/>
      <sheetName val="1.17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>
        <row r="3">
          <cell r="V3" t="str">
            <v>key</v>
          </cell>
          <cell r="W3" t="str">
            <v>Name of the Airlines</v>
          </cell>
          <cell r="X3" t="str">
            <v>table</v>
          </cell>
          <cell r="Y3" t="str">
            <v>Sum of Number of personnel Mid-year</v>
          </cell>
          <cell r="Z3" t="str">
            <v>Sum of Number of personnel Year-end</v>
          </cell>
          <cell r="AA3" t="str">
            <v>Sum of Total annual expenditures for each category (Rs.in Million)</v>
          </cell>
        </row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/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/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/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/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/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40206.197791999999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7938.7822440000018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8749.2473230000014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1458.6508450000001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14496.599790999999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2676.78404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501.42914100000002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22.86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18.14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254.75856800000003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37529.413752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7437.3531030000022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8726.3873230000008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1440.510845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14241.841222999999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/>
      <sheetData sheetId="7">
        <row r="2">
          <cell r="B2" t="str">
            <v>VISTARA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G18"/>
  <sheetViews>
    <sheetView showGridLines="0" tabSelected="1" view="pageBreakPreview" zoomScaleNormal="75" zoomScaleSheetLayoutView="100" workbookViewId="0">
      <selection activeCell="L9" sqref="L9"/>
    </sheetView>
  </sheetViews>
  <sheetFormatPr defaultColWidth="11" defaultRowHeight="15.75" x14ac:dyDescent="0.25"/>
  <cols>
    <col min="1" max="1" width="17.85546875" style="1" customWidth="1"/>
    <col min="2" max="7" width="18.5703125" style="1" customWidth="1"/>
    <col min="8" max="16384" width="11" style="1"/>
  </cols>
  <sheetData>
    <row r="1" spans="1:7" ht="24.95" customHeight="1" x14ac:dyDescent="0.25">
      <c r="A1" s="14" t="s">
        <v>19</v>
      </c>
      <c r="B1" s="15"/>
      <c r="C1" s="15"/>
      <c r="D1" s="15"/>
      <c r="E1" s="15"/>
      <c r="F1" s="15"/>
      <c r="G1" s="16"/>
    </row>
    <row r="2" spans="1:7" ht="19.5" customHeight="1" x14ac:dyDescent="0.25">
      <c r="A2" s="10" t="str">
        <f>"TABLE - 1.20 ("&amp;[2]Sheet1!B2&amp;")"</f>
        <v>TABLE - 1.20 (VISTARA)</v>
      </c>
      <c r="B2" s="11"/>
      <c r="C2" s="11"/>
      <c r="D2" s="11"/>
      <c r="E2" s="11"/>
      <c r="F2" s="11"/>
      <c r="G2" s="12"/>
    </row>
    <row r="3" spans="1:7" ht="31.5" customHeight="1" x14ac:dyDescent="0.25">
      <c r="A3" s="13" t="str">
        <f>"TIME SERIES DATA OF STAFF STRENGTH OF "&amp;[2]Sheet1!B2&amp;" (AS ON 31ST MARCH)"</f>
        <v>TIME SERIES DATA OF STAFF STRENGTH OF VISTARA (AS ON 31ST MARCH)</v>
      </c>
      <c r="B3" s="13"/>
      <c r="C3" s="13"/>
      <c r="D3" s="13"/>
      <c r="E3" s="13"/>
      <c r="F3" s="13"/>
      <c r="G3" s="13"/>
    </row>
    <row r="4" spans="1:7" ht="21" customHeight="1" x14ac:dyDescent="0.25">
      <c r="A4" s="13" t="s">
        <v>18</v>
      </c>
      <c r="B4" s="13" t="s">
        <v>17</v>
      </c>
      <c r="C4" s="13"/>
      <c r="D4" s="13"/>
      <c r="E4" s="13"/>
      <c r="F4" s="13"/>
      <c r="G4" s="13"/>
    </row>
    <row r="5" spans="1:7" ht="62.25" customHeight="1" x14ac:dyDescent="0.25">
      <c r="A5" s="13"/>
      <c r="B5" s="8" t="s">
        <v>16</v>
      </c>
      <c r="C5" s="8" t="s">
        <v>15</v>
      </c>
      <c r="D5" s="8" t="s">
        <v>14</v>
      </c>
      <c r="E5" s="8" t="s">
        <v>13</v>
      </c>
      <c r="F5" s="8" t="s">
        <v>12</v>
      </c>
      <c r="G5" s="8" t="s">
        <v>11</v>
      </c>
    </row>
    <row r="6" spans="1:7" ht="24" customHeight="1" x14ac:dyDescent="0.25">
      <c r="A6" s="5" t="s">
        <v>10</v>
      </c>
      <c r="B6" s="6"/>
      <c r="C6" s="6"/>
      <c r="D6" s="6"/>
      <c r="E6" s="6"/>
      <c r="F6" s="6"/>
      <c r="G6" s="6"/>
    </row>
    <row r="7" spans="1:7" ht="24" customHeight="1" x14ac:dyDescent="0.25">
      <c r="A7" s="5" t="s">
        <v>9</v>
      </c>
      <c r="B7" s="6"/>
      <c r="C7" s="6"/>
      <c r="D7" s="6"/>
      <c r="E7" s="6"/>
      <c r="F7" s="6"/>
      <c r="G7" s="6"/>
    </row>
    <row r="8" spans="1:7" ht="24" customHeight="1" x14ac:dyDescent="0.25">
      <c r="A8" s="5" t="s">
        <v>8</v>
      </c>
      <c r="B8" s="7"/>
      <c r="C8" s="7"/>
      <c r="D8" s="6"/>
      <c r="E8" s="7"/>
      <c r="F8" s="7"/>
      <c r="G8" s="6"/>
    </row>
    <row r="9" spans="1:7" ht="24" customHeight="1" x14ac:dyDescent="0.25">
      <c r="A9" s="5" t="s">
        <v>7</v>
      </c>
      <c r="B9" s="7"/>
      <c r="C9" s="7"/>
      <c r="D9" s="6"/>
      <c r="E9" s="7"/>
      <c r="F9" s="7"/>
      <c r="G9" s="6"/>
    </row>
    <row r="10" spans="1:7" ht="24" customHeight="1" x14ac:dyDescent="0.25">
      <c r="A10" s="5" t="s">
        <v>6</v>
      </c>
      <c r="B10" s="7"/>
      <c r="C10" s="7"/>
      <c r="D10" s="6"/>
      <c r="E10" s="7"/>
      <c r="F10" s="7"/>
      <c r="G10" s="6"/>
    </row>
    <row r="11" spans="1:7" ht="24" customHeight="1" x14ac:dyDescent="0.25">
      <c r="A11" s="5" t="s">
        <v>5</v>
      </c>
      <c r="B11" s="4"/>
      <c r="C11" s="4"/>
      <c r="D11" s="4"/>
      <c r="E11" s="4"/>
      <c r="F11" s="4"/>
      <c r="G11" s="6"/>
    </row>
    <row r="12" spans="1:7" ht="24" customHeight="1" x14ac:dyDescent="0.25">
      <c r="A12" s="5" t="s">
        <v>4</v>
      </c>
      <c r="B12" s="4"/>
      <c r="C12" s="4"/>
      <c r="D12" s="4"/>
      <c r="E12" s="4"/>
      <c r="F12" s="4"/>
      <c r="G12" s="6"/>
    </row>
    <row r="13" spans="1:7" ht="24" customHeight="1" x14ac:dyDescent="0.25">
      <c r="A13" s="5" t="s">
        <v>3</v>
      </c>
      <c r="B13" s="4">
        <v>62</v>
      </c>
      <c r="C13" s="4">
        <v>210</v>
      </c>
      <c r="D13" s="4">
        <v>17</v>
      </c>
      <c r="E13" s="4">
        <v>35</v>
      </c>
      <c r="F13" s="4">
        <v>348</v>
      </c>
      <c r="G13" s="6">
        <v>672</v>
      </c>
    </row>
    <row r="14" spans="1:7" ht="22.5" customHeight="1" x14ac:dyDescent="0.25">
      <c r="A14" s="5" t="s">
        <v>2</v>
      </c>
      <c r="B14" s="4">
        <v>114</v>
      </c>
      <c r="C14" s="4">
        <v>274</v>
      </c>
      <c r="D14" s="4">
        <v>17</v>
      </c>
      <c r="E14" s="4">
        <v>46</v>
      </c>
      <c r="F14" s="4">
        <v>497</v>
      </c>
      <c r="G14" s="4">
        <v>948</v>
      </c>
    </row>
    <row r="15" spans="1:7" ht="21" customHeight="1" x14ac:dyDescent="0.25">
      <c r="A15" s="5" t="s">
        <v>1</v>
      </c>
      <c r="B15" s="4">
        <v>168</v>
      </c>
      <c r="C15" s="4">
        <v>435</v>
      </c>
      <c r="D15" s="4">
        <v>79</v>
      </c>
      <c r="E15" s="4">
        <v>55</v>
      </c>
      <c r="F15" s="4">
        <v>749</v>
      </c>
      <c r="G15" s="4">
        <v>1486</v>
      </c>
    </row>
    <row r="16" spans="1:7" ht="21" customHeight="1" x14ac:dyDescent="0.25">
      <c r="A16" s="5" t="s">
        <v>0</v>
      </c>
      <c r="B16" s="4">
        <f>VLOOKUP([2]Sheet1!$B$2&amp;"P1",'[2]Form D -Personnel processing'!$V$3:$AA$344,5,0)</f>
        <v>249</v>
      </c>
      <c r="C16" s="4">
        <f>VLOOKUP([2]Sheet1!$B$2&amp;"P2",'[2]Form D -Personnel processing'!$V$4:$AB$344,5,0)+VLOOKUP([2]Sheet1!$B$2&amp;"P3",'[2]Form D -Personnel processing'!$V$4:$AB$344,5,0)</f>
        <v>511</v>
      </c>
      <c r="D16" s="4">
        <f>VLOOKUP([2]Sheet1!$B$2&amp;"P4",'[2]Form D -Personnel processing'!$V$4:$AB$344,5,0)</f>
        <v>135</v>
      </c>
      <c r="E16" s="4">
        <f>VLOOKUP([2]Sheet1!$B$2&amp;"P5",'[2]Form D -Personnel processing'!$V$4:$AB$344,5,0)</f>
        <v>55</v>
      </c>
      <c r="F16" s="4">
        <f>VLOOKUP([2]Sheet1!$B$2&amp;"P6",'[2]Form D -Personnel processing'!$V$4:$AB$344,5,0)</f>
        <v>971</v>
      </c>
      <c r="G16" s="4">
        <f>SUM(B16:F16)</f>
        <v>1921</v>
      </c>
    </row>
    <row r="17" spans="1:7" ht="15.75" customHeight="1" x14ac:dyDescent="0.25">
      <c r="A17" s="9" t="str">
        <f>"SOURCE : ICAO ATR FORM-D FURNISHED BY  " &amp;[2]Sheet1!$B$2</f>
        <v>SOURCE : ICAO ATR FORM-D FURNISHED BY  VISTARA</v>
      </c>
      <c r="B17" s="9"/>
      <c r="C17" s="9"/>
      <c r="D17" s="9"/>
      <c r="E17" s="9"/>
      <c r="F17" s="9"/>
      <c r="G17" s="9"/>
    </row>
    <row r="18" spans="1:7" ht="18" x14ac:dyDescent="0.25">
      <c r="B18" s="2"/>
      <c r="C18" s="3"/>
      <c r="D18" s="2"/>
      <c r="E18" s="2"/>
      <c r="F18" s="2"/>
      <c r="G18" s="2"/>
    </row>
  </sheetData>
  <mergeCells count="6">
    <mergeCell ref="A17:G17"/>
    <mergeCell ref="A2:G2"/>
    <mergeCell ref="A3:G3"/>
    <mergeCell ref="A1:G1"/>
    <mergeCell ref="A4:A5"/>
    <mergeCell ref="B4:G4"/>
  </mergeCells>
  <pageMargins left="0.48" right="0.4" top="0.57999999999999996" bottom="0.44" header="0.32" footer="0.22"/>
  <pageSetup scale="99"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1.20</vt:lpstr>
      <vt:lpstr>'1.20'!Print_Area</vt:lpstr>
      <vt:lpstr>'1.20'!Print_Area_MI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2019-04-22T09:53:34Z</dcterms:modified>
</cp:coreProperties>
</file>