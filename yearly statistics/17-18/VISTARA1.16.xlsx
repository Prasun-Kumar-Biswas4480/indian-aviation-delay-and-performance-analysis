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6" sheetId="2" r:id="rId1"/>
  </sheets>
  <externalReferences>
    <externalReference r:id="rId2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'1.16'!$A$1:$C$21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<sst xmlns="http://schemas.openxmlformats.org/spreadsheetml/2006/main" count="20" uniqueCount="20">
  <si>
    <t>Profit or loss  after tax and after extra ordinary items  (Rs. In million)</t>
  </si>
  <si>
    <t>Net Profit /Loss After Income Tax (Rs. In million)</t>
  </si>
  <si>
    <t>Net Profit /Loss Before Income Tax (Rs. In million)</t>
  </si>
  <si>
    <t>Balance of Non Operating items (Rs. In Million)</t>
  </si>
  <si>
    <t xml:space="preserve">Operating Results (Rs. In million) </t>
  </si>
  <si>
    <t>Operating Expenses per RPKM (Rs.)</t>
  </si>
  <si>
    <t xml:space="preserve">Operating Revenue per RPKM (Rs.) </t>
  </si>
  <si>
    <t>Operating Expenses per Employee (Rs. In million)</t>
  </si>
  <si>
    <t>Operating Revenue per Employee (Rs. In Million)</t>
  </si>
  <si>
    <t>No. of Employees per aircraft</t>
  </si>
  <si>
    <t>All other personnel</t>
  </si>
  <si>
    <t>Ticketing and sales personnel</t>
  </si>
  <si>
    <t>Maintenance and overhaul personnel</t>
  </si>
  <si>
    <t>Cabin crew</t>
  </si>
  <si>
    <t>Other flight crew</t>
  </si>
  <si>
    <t>Pilots and co -pilots</t>
  </si>
  <si>
    <t>Total Number of Employees (as on 31st March)</t>
  </si>
  <si>
    <r>
      <t>Fleet Size (As on 31</t>
    </r>
    <r>
      <rPr>
        <b/>
        <vertAlign val="superscript"/>
        <sz val="14"/>
        <rFont val="Calibri Light"/>
        <family val="1"/>
        <scheme val="major"/>
      </rPr>
      <t>st</t>
    </r>
    <r>
      <rPr>
        <b/>
        <sz val="14"/>
        <rFont val="Calibri Light"/>
        <family val="1"/>
        <scheme val="major"/>
      </rPr>
      <t xml:space="preserve"> March)</t>
    </r>
  </si>
  <si>
    <t>1.</t>
  </si>
  <si>
    <t xml:space="preserve"> ºÉÉ®hÉÉÒ - 1.16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</si>
</sst>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Arial"/>
      <family val="2"/>
    </font>
    <font>
      <b/>
      <sz val="14"/>
      <name val="Calibri Light"/>
      <family val="1"/>
      <scheme val="maj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  <family val="2"/>
    </font>
    <font>
      <b/>
      <vertAlign val="superscript"/>
      <sz val="14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20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4" fillId="0" borderId="0"/>
    <xf numFmtId="0" fontId="6" fillId="0" borderId="0"/>
  </cellStyleXfs>
  <cellXfs count="30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>
      <alignment horizontal="left" indent="1"/>
    </xf>
    <xf numFmtId="4" fontId="3" fillId="2" borderId="1" xfId="1" applyNumberFormat="1" applyFont="1" applyFill="1" applyBorder="1" applyAlignment="1">
      <alignment vertical="center"/>
    </xf>
    <xf numFmtId="164" fontId="3" fillId="2" borderId="1" xfId="2" quotePrefix="1" applyFont="1" applyFill="1" applyBorder="1" applyAlignment="1" applyProtection="1">
      <alignment horizontal="left" vertical="center" wrapText="1"/>
    </xf>
    <xf numFmtId="0" fontId="3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1" xfId="1" quotePrefix="1" applyFont="1" applyFill="1" applyBorder="1" applyAlignment="1">
      <alignment horizontal="left" vertical="center"/>
    </xf>
    <xf numFmtId="4" fontId="3" fillId="3" borderId="1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quotePrefix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vertical="center" wrapText="1"/>
    </xf>
    <xf numFmtId="1" fontId="5" fillId="0" borderId="1" xfId="3" applyNumberFormat="1" applyFont="1" applyFill="1" applyBorder="1" applyAlignment="1" applyProtection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0" fontId="3" fillId="2" borderId="4" xfId="1" applyFont="1" applyFill="1" applyBorder="1" applyAlignment="1">
      <alignment horizontal="left" vertical="center"/>
    </xf>
    <xf numFmtId="0" fontId="3" fillId="2" borderId="4" xfId="1" quotePrefix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3" fillId="2" borderId="7" xfId="1" quotePrefix="1" applyFont="1" applyFill="1" applyBorder="1" applyAlignment="1">
      <alignment horizontal="center" vertical="center"/>
    </xf>
    <xf numFmtId="0" fontId="3" fillId="2" borderId="6" xfId="1" quotePrefix="1" applyFont="1" applyFill="1" applyBorder="1" applyAlignment="1">
      <alignment horizontal="center" vertical="center"/>
    </xf>
    <xf numFmtId="0" fontId="3" fillId="2" borderId="5" xfId="1" quotePrefix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</row>
      </sheetData>
      <sheetData sheetId="4"/>
      <sheetData sheetId="5">
        <row r="4">
          <cell r="V4" t="str">
            <v>AIR ASIAP1</v>
          </cell>
        </row>
      </sheetData>
      <sheetData sheetId="6">
        <row r="3">
          <cell r="A3" t="str">
            <v>Row Labels</v>
          </cell>
        </row>
      </sheetData>
      <sheetData sheetId="7">
        <row r="1">
          <cell r="B1" t="str">
            <v>2017-18</v>
          </cell>
        </row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>
        <row r="9">
          <cell r="E9">
            <v>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J17" sqref="J17"/>
    </sheetView>
  </sheetViews>
  <sheetFormatPr defaultRowHeight="45" customHeight="1" x14ac:dyDescent="0.25"/>
  <cols>
    <col min="1" max="1" width="7.5703125" style="1" customWidth="1"/>
    <col min="2" max="2" width="63.7109375" style="1" customWidth="1"/>
    <col min="3" max="3" width="19.42578125" style="2" customWidth="1"/>
    <col min="4" max="4" width="17.5703125" style="1" customWidth="1"/>
    <col min="5" max="5" width="10.7109375" style="1" bestFit="1" customWidth="1"/>
    <col min="6" max="12" width="9.140625" style="1"/>
    <col min="13" max="13" width="11.7109375" style="1" customWidth="1"/>
    <col min="14" max="14" width="12.42578125" style="1" bestFit="1" customWidth="1"/>
    <col min="15" max="16384" width="9.140625" style="1"/>
  </cols>
  <sheetData>
    <row r="1" spans="1:3" ht="24.95" customHeight="1" x14ac:dyDescent="0.25">
      <c r="A1" s="20" t="s">
        <v>19</v>
      </c>
      <c r="B1" s="21"/>
      <c r="C1" s="22"/>
    </row>
    <row r="2" spans="1:3" ht="24.95" customHeight="1" x14ac:dyDescent="0.25">
      <c r="A2" s="23" t="str">
        <f>"TABLE - 1.16 ("&amp;[1]Sheet1!B2&amp;")"</f>
        <v>TABLE - 1.16 (VISTARA)</v>
      </c>
      <c r="B2" s="24"/>
      <c r="C2" s="25"/>
    </row>
    <row r="3" spans="1:3" ht="54.95" customHeight="1" x14ac:dyDescent="0.25">
      <c r="A3" s="29" t="str">
        <f>"OPERATING TRAFFIC STATISTICS AND OTHER PERFORMANCE INDICATORS RELATING TO SCHEDULED TRAFFIC OF "&amp;[1]Sheet1!B2&amp;" DURING "&amp;[1]Sheet1!B1</f>
        <v>OPERATING TRAFFIC STATISTICS AND OTHER PERFORMANCE INDICATORS RELATING TO SCHEDULED TRAFFIC OF VISTARA DURING 2017-18</v>
      </c>
      <c r="B3" s="29"/>
      <c r="C3" s="29"/>
    </row>
    <row r="4" spans="1:3" ht="30" customHeight="1" x14ac:dyDescent="0.25">
      <c r="A4" s="19" t="s">
        <v>18</v>
      </c>
      <c r="B4" s="6" t="s">
        <v>17</v>
      </c>
      <c r="C4" s="18">
        <v>19</v>
      </c>
    </row>
    <row r="5" spans="1:3" ht="30" customHeight="1" x14ac:dyDescent="0.25">
      <c r="A5" s="17">
        <v>2</v>
      </c>
      <c r="B5" s="16" t="s">
        <v>16</v>
      </c>
      <c r="C5" s="15">
        <v>1921</v>
      </c>
    </row>
    <row r="6" spans="1:3" ht="30" customHeight="1" x14ac:dyDescent="0.25">
      <c r="A6" s="26"/>
      <c r="B6" s="14" t="s">
        <v>15</v>
      </c>
      <c r="C6" s="13">
        <v>249</v>
      </c>
    </row>
    <row r="7" spans="1:3" ht="30" customHeight="1" x14ac:dyDescent="0.25">
      <c r="A7" s="27"/>
      <c r="B7" s="14" t="s">
        <v>14</v>
      </c>
      <c r="C7" s="13">
        <v>0</v>
      </c>
    </row>
    <row r="8" spans="1:3" ht="30" customHeight="1" x14ac:dyDescent="0.25">
      <c r="A8" s="27"/>
      <c r="B8" s="14" t="s">
        <v>13</v>
      </c>
      <c r="C8" s="13">
        <v>511</v>
      </c>
    </row>
    <row r="9" spans="1:3" ht="30" customHeight="1" x14ac:dyDescent="0.25">
      <c r="A9" s="27"/>
      <c r="B9" s="14" t="s">
        <v>12</v>
      </c>
      <c r="C9" s="13">
        <v>135</v>
      </c>
    </row>
    <row r="10" spans="1:3" ht="30" customHeight="1" x14ac:dyDescent="0.25">
      <c r="A10" s="27"/>
      <c r="B10" s="14" t="s">
        <v>11</v>
      </c>
      <c r="C10" s="13">
        <v>55</v>
      </c>
    </row>
    <row r="11" spans="1:3" ht="30" customHeight="1" x14ac:dyDescent="0.25">
      <c r="A11" s="28"/>
      <c r="B11" s="14" t="s">
        <v>10</v>
      </c>
      <c r="C11" s="13">
        <v>971</v>
      </c>
    </row>
    <row r="12" spans="1:3" ht="30" customHeight="1" x14ac:dyDescent="0.25">
      <c r="A12" s="12">
        <v>3</v>
      </c>
      <c r="B12" s="11" t="s">
        <v>9</v>
      </c>
      <c r="C12" s="10">
        <v>101.10526315789474</v>
      </c>
    </row>
    <row r="13" spans="1:3" ht="30" customHeight="1" x14ac:dyDescent="0.25">
      <c r="A13" s="5">
        <v>4</v>
      </c>
      <c r="B13" s="8" t="s">
        <v>8</v>
      </c>
      <c r="C13" s="3">
        <v>11.126658656949507</v>
      </c>
    </row>
    <row r="14" spans="1:3" ht="30" customHeight="1" x14ac:dyDescent="0.25">
      <c r="A14" s="5">
        <v>5</v>
      </c>
      <c r="B14" s="8" t="s">
        <v>7</v>
      </c>
      <c r="C14" s="3">
        <v>13.81551003071317</v>
      </c>
    </row>
    <row r="15" spans="1:3" ht="30" customHeight="1" x14ac:dyDescent="0.25">
      <c r="A15" s="5">
        <v>6</v>
      </c>
      <c r="B15" s="8" t="s">
        <v>6</v>
      </c>
      <c r="C15" s="9">
        <v>4.2336879472379332</v>
      </c>
    </row>
    <row r="16" spans="1:3" ht="30" customHeight="1" x14ac:dyDescent="0.25">
      <c r="A16" s="5">
        <v>7</v>
      </c>
      <c r="B16" s="8" t="s">
        <v>5</v>
      </c>
      <c r="C16" s="9">
        <v>5.2567945243330518</v>
      </c>
    </row>
    <row r="17" spans="1:3" ht="30" customHeight="1" x14ac:dyDescent="0.25">
      <c r="A17" s="5">
        <v>8</v>
      </c>
      <c r="B17" s="8" t="s">
        <v>4</v>
      </c>
      <c r="C17" s="3">
        <v>-5165.2834890000004</v>
      </c>
    </row>
    <row r="18" spans="1:3" ht="30" customHeight="1" x14ac:dyDescent="0.25">
      <c r="A18" s="5">
        <v>9</v>
      </c>
      <c r="B18" s="7" t="s">
        <v>3</v>
      </c>
      <c r="C18" s="3">
        <v>854.39416500000004</v>
      </c>
    </row>
    <row r="19" spans="1:3" ht="30" customHeight="1" x14ac:dyDescent="0.25">
      <c r="A19" s="5">
        <v>10</v>
      </c>
      <c r="B19" s="6" t="s">
        <v>2</v>
      </c>
      <c r="C19" s="3">
        <v>-4310.8893239999998</v>
      </c>
    </row>
    <row r="20" spans="1:3" ht="30" customHeight="1" x14ac:dyDescent="0.25">
      <c r="A20" s="5">
        <v>11</v>
      </c>
      <c r="B20" s="6" t="s">
        <v>1</v>
      </c>
      <c r="C20" s="3">
        <v>-4310.8893239999998</v>
      </c>
    </row>
    <row r="21" spans="1:3" ht="34.5" customHeight="1" x14ac:dyDescent="0.25">
      <c r="A21" s="5">
        <v>12</v>
      </c>
      <c r="B21" s="4" t="s">
        <v>0</v>
      </c>
      <c r="C21" s="3">
        <v>-4310.8893239999998</v>
      </c>
    </row>
  </sheetData>
  <mergeCells count="4">
    <mergeCell ref="A1:C1"/>
    <mergeCell ref="A2:C2"/>
    <mergeCell ref="A6:A11"/>
    <mergeCell ref="A3:C3"/>
  </mergeCells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1.16</vt:lpstr>
      <vt:lpstr>'1.16'!Print_Area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2019-04-22T09:44:06Z</dcterms:modified>
</cp:coreProperties>
</file>