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3" sheetId="2" r:id="rId1"/>
  </sheets>
  <externalReferences>
    <externalReference r:id="rId2"/>
    <externalReference r:id="rId3"/>
  </externalReferences>
  <definedNames>
    <definedName name="\a" localSheetId="0">'1.23'!#REF!</definedName>
    <definedName name="\a">'[1]1.17'!#REF!</definedName>
    <definedName name="\b" localSheetId="0">'1.23'!#REF!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'1.23'!$B$1:$H$34</definedName>
    <definedName name="Print_Area_MI" localSheetId="0">'1.23'!$B$7:$C$24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34" i="2"/>
</calcChain>
</file>

<file path=xl/sharedStrings.xml><?xml version="1.0" encoding="utf-8"?>
<sst xmlns="http://schemas.openxmlformats.org/spreadsheetml/2006/main" count="39" uniqueCount="39">
  <si>
    <t>Profit or loss after tax and after extra ordinary items</t>
  </si>
  <si>
    <t>Profit or loss after Income Tax</t>
  </si>
  <si>
    <t>Provision for Income Tax</t>
  </si>
  <si>
    <t>NET PROFIT OR LOSS(-) (Before Income tax)</t>
  </si>
  <si>
    <t>TOTAL NON-OPRATING ITEMS(BALANCE)</t>
  </si>
  <si>
    <t>OPERATING RESULT</t>
  </si>
  <si>
    <t>Total Operating Expenses</t>
  </si>
  <si>
    <t>Other Operating Expenses</t>
  </si>
  <si>
    <t>General &amp; Administrative</t>
  </si>
  <si>
    <t>Ticketing, Sales &amp; Promotion</t>
  </si>
  <si>
    <t>Passenger Services</t>
  </si>
  <si>
    <t>Station Expenses</t>
  </si>
  <si>
    <t xml:space="preserve">User Charges </t>
  </si>
  <si>
    <t>Depreciation &amp; Amortization</t>
  </si>
  <si>
    <t>Flight Equipment Maintenance &amp; Overhaul</t>
  </si>
  <si>
    <t>Flight Operations</t>
  </si>
  <si>
    <t>OPERATING EXPENSES</t>
  </si>
  <si>
    <t>B</t>
  </si>
  <si>
    <t>Total Operating Revenue</t>
  </si>
  <si>
    <t>Other Operating Revenue</t>
  </si>
  <si>
    <t>Non-Scheduled Services</t>
  </si>
  <si>
    <t>Sub-Total Scheduled Services</t>
  </si>
  <si>
    <t>Others</t>
  </si>
  <si>
    <t>Mail</t>
  </si>
  <si>
    <t>Freight</t>
  </si>
  <si>
    <t>Ex.baggage</t>
  </si>
  <si>
    <t>Passenger</t>
  </si>
  <si>
    <t>Scheduled Services</t>
  </si>
  <si>
    <t>OPERATING REVENUE</t>
  </si>
  <si>
    <t>2017-18</t>
  </si>
  <si>
    <t>2016-17</t>
  </si>
  <si>
    <t>2015-16</t>
  </si>
  <si>
    <t>2014-15</t>
  </si>
  <si>
    <t>2013-14</t>
  </si>
  <si>
    <t>2012-13</t>
  </si>
  <si>
    <t>FINANCIAL ITEM</t>
  </si>
  <si>
    <t>Code</t>
  </si>
  <si>
    <t>(RS. IN MILLION)</t>
  </si>
  <si>
    <t xml:space="preserve"> ºÉÉ®hÉÉÒ - 1.23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</si>
</sst>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_)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sz val="12"/>
      <name val="Calibri Light"/>
      <family val="1"/>
      <scheme val="major"/>
    </font>
    <font>
      <b/>
      <sz val="12"/>
      <name val="Arial"/>
      <family val="2"/>
    </font>
    <font>
      <b/>
      <sz val="12"/>
      <name val="Calibri Light"/>
      <family val="1"/>
      <scheme val="major"/>
    </font>
    <font>
      <sz val="10"/>
      <name val="Courier"/>
      <family val="3"/>
    </font>
    <font>
      <sz val="10"/>
      <name val="Arial"/>
      <family val="2"/>
    </font>
    <font>
      <b/>
      <sz val="14"/>
      <name val="Calibri Light"/>
      <family val="1"/>
      <scheme val="major"/>
    </font>
    <font>
      <b/>
      <sz val="16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0" fontId="1" fillId="0" borderId="0"/>
    <xf numFmtId="0" fontId="6" fillId="0" borderId="0"/>
    <xf numFmtId="0" fontId="7" fillId="0" borderId="0"/>
  </cellStyleXfs>
  <cellXfs count="46">
    <xf numFmtId="0" fontId="0" fillId="0" borderId="0" xfId="0"/>
    <xf numFmtId="164" fontId="2" fillId="2" borderId="0" xfId="1" applyFont="1" applyFill="1" applyBorder="1"/>
    <xf numFmtId="164" fontId="2" fillId="2" borderId="0" xfId="1" applyFont="1" applyFill="1" applyBorder="1" applyAlignment="1">
      <alignment vertical="center"/>
    </xf>
    <xf numFmtId="164" fontId="3" fillId="2" borderId="0" xfId="1" applyFont="1" applyFill="1" applyBorder="1"/>
    <xf numFmtId="0" fontId="4" fillId="2" borderId="1" xfId="2" applyFont="1" applyFill="1" applyBorder="1" applyAlignment="1" applyProtection="1">
      <alignment vertical="center"/>
    </xf>
    <xf numFmtId="165" fontId="3" fillId="2" borderId="2" xfId="1" applyNumberFormat="1" applyFont="1" applyFill="1" applyBorder="1" applyAlignment="1">
      <alignment horizontal="center" vertical="center"/>
    </xf>
    <xf numFmtId="164" fontId="3" fillId="2" borderId="2" xfId="1" quotePrefix="1" applyFont="1" applyFill="1" applyBorder="1" applyAlignment="1" applyProtection="1">
      <alignment horizontal="left" vertical="center" wrapText="1" indent="1"/>
    </xf>
    <xf numFmtId="166" fontId="3" fillId="2" borderId="3" xfId="1" applyNumberFormat="1" applyFont="1" applyFill="1" applyBorder="1" applyAlignment="1">
      <alignment vertical="center"/>
    </xf>
    <xf numFmtId="165" fontId="3" fillId="2" borderId="2" xfId="1" quotePrefix="1" applyNumberFormat="1" applyFont="1" applyFill="1" applyBorder="1" applyAlignment="1" applyProtection="1">
      <alignment horizontal="center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164" fontId="5" fillId="2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 applyProtection="1">
      <alignment horizontal="center" vertical="center" wrapText="1"/>
    </xf>
    <xf numFmtId="165" fontId="5" fillId="4" borderId="2" xfId="1" applyNumberFormat="1" applyFont="1" applyFill="1" applyBorder="1" applyAlignment="1" applyProtection="1">
      <alignment horizontal="center" vertical="center" wrapText="1"/>
    </xf>
    <xf numFmtId="164" fontId="5" fillId="4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>
      <alignment horizontal="right"/>
    </xf>
    <xf numFmtId="165" fontId="3" fillId="2" borderId="2" xfId="1" applyNumberFormat="1" applyFont="1" applyFill="1" applyBorder="1"/>
    <xf numFmtId="0" fontId="5" fillId="2" borderId="4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3" xfId="3" applyFont="1" applyFill="1" applyBorder="1" applyAlignment="1" applyProtection="1">
      <alignment vertical="center" wrapText="1"/>
    </xf>
    <xf numFmtId="164" fontId="5" fillId="2" borderId="3" xfId="1" applyFont="1" applyFill="1" applyBorder="1" applyAlignment="1">
      <alignment horizontal="center" vertical="center"/>
    </xf>
    <xf numFmtId="0" fontId="2" fillId="0" borderId="0" xfId="4" applyFont="1" applyBorder="1"/>
    <xf numFmtId="164" fontId="5" fillId="2" borderId="2" xfId="1" applyFont="1" applyFill="1" applyBorder="1" applyAlignment="1" applyProtection="1">
      <alignment horizontal="left" vertical="center" wrapText="1" indent="1"/>
    </xf>
    <xf numFmtId="164" fontId="5" fillId="2" borderId="2" xfId="1" quotePrefix="1" applyFont="1" applyFill="1" applyBorder="1" applyAlignment="1" applyProtection="1">
      <alignment horizontal="left" vertical="center" wrapText="1" indent="1"/>
    </xf>
    <xf numFmtId="165" fontId="5" fillId="2" borderId="2" xfId="1" applyNumberFormat="1" applyFont="1" applyFill="1" applyBorder="1" applyAlignment="1" applyProtection="1">
      <alignment horizontal="center" vertical="center" wrapText="1"/>
    </xf>
    <xf numFmtId="164" fontId="3" fillId="2" borderId="3" xfId="1" applyFont="1" applyFill="1" applyBorder="1"/>
    <xf numFmtId="164" fontId="3" fillId="2" borderId="2" xfId="1" applyFont="1" applyFill="1" applyBorder="1" applyAlignment="1" applyProtection="1">
      <alignment horizontal="left" vertical="center" wrapText="1" indent="3"/>
    </xf>
    <xf numFmtId="164" fontId="3" fillId="2" borderId="3" xfId="1" applyFont="1" applyFill="1" applyBorder="1" applyAlignment="1"/>
    <xf numFmtId="0" fontId="5" fillId="2" borderId="2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0" fontId="5" fillId="2" borderId="0" xfId="3" applyFont="1" applyFill="1" applyBorder="1" applyAlignment="1" applyProtection="1">
      <alignment vertical="center" wrapText="1"/>
    </xf>
    <xf numFmtId="164" fontId="3" fillId="2" borderId="0" xfId="1" quotePrefix="1" applyFont="1" applyFill="1" applyBorder="1"/>
    <xf numFmtId="0" fontId="5" fillId="2" borderId="0" xfId="3" applyFont="1" applyFill="1" applyBorder="1" applyAlignment="1" applyProtection="1">
      <alignment horizontal="right" vertical="center" wrapText="1"/>
    </xf>
    <xf numFmtId="164" fontId="9" fillId="2" borderId="10" xfId="1" applyFont="1" applyFill="1" applyBorder="1" applyAlignment="1">
      <alignment horizontal="center" vertical="center" wrapText="1"/>
    </xf>
    <xf numFmtId="164" fontId="9" fillId="2" borderId="1" xfId="1" applyFont="1" applyFill="1" applyBorder="1" applyAlignment="1">
      <alignment horizontal="center" vertical="center" wrapText="1"/>
    </xf>
    <xf numFmtId="164" fontId="9" fillId="2" borderId="9" xfId="1" applyFont="1" applyFill="1" applyBorder="1" applyAlignment="1">
      <alignment horizontal="center" vertical="center" wrapText="1"/>
    </xf>
    <xf numFmtId="0" fontId="8" fillId="2" borderId="8" xfId="3" quotePrefix="1" applyFont="1" applyFill="1" applyBorder="1" applyAlignment="1" applyProtection="1">
      <alignment horizontal="center" vertical="center" wrapText="1"/>
    </xf>
    <xf numFmtId="0" fontId="8" fillId="2" borderId="7" xfId="3" quotePrefix="1" applyFont="1" applyFill="1" applyBorder="1" applyAlignment="1" applyProtection="1">
      <alignment horizontal="center" vertical="center" wrapText="1"/>
    </xf>
    <xf numFmtId="0" fontId="8" fillId="2" borderId="6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164" fontId="5" fillId="2" borderId="3" xfId="1" quotePrefix="1" applyFont="1" applyFill="1" applyBorder="1" applyAlignment="1" applyProtection="1">
      <alignment horizontal="left" vertical="center" wrapText="1" indent="1"/>
    </xf>
    <xf numFmtId="164" fontId="5" fillId="2" borderId="5" xfId="1" quotePrefix="1" applyFont="1" applyFill="1" applyBorder="1" applyAlignment="1" applyProtection="1">
      <alignment horizontal="left" vertical="center" wrapText="1" indent="1"/>
    </xf>
    <xf numFmtId="164" fontId="5" fillId="2" borderId="4" xfId="1" quotePrefix="1" applyFont="1" applyFill="1" applyBorder="1" applyAlignment="1" applyProtection="1">
      <alignment horizontal="left" vertical="center" wrapText="1" indent="1"/>
    </xf>
    <xf numFmtId="0" fontId="5" fillId="2" borderId="3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4" xfId="3" applyFont="1" applyFill="1" applyBorder="1" applyAlignment="1" applyProtection="1">
      <alignment vertical="center" wrapText="1"/>
    </xf>
  </cellXfs>
  <cellStyles count="5">
    <cellStyle name="Normal" xfId="0" builtinId="0"/>
    <cellStyle name="Normal 2" xfId="2"/>
    <cellStyle name="Normal 4" xfId="1"/>
    <cellStyle name="Normal 5" xfId="4"/>
    <cellStyle name="Normal_2-2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Row Labels</v>
          </cell>
        </row>
      </sheetData>
      <sheetData sheetId="7"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M1212"/>
  <sheetViews>
    <sheetView showGridLines="0" tabSelected="1" view="pageBreakPreview" topLeftCell="B1" zoomScale="75" zoomScaleNormal="75" zoomScaleSheetLayoutView="75" workbookViewId="0">
      <selection activeCell="L32" sqref="L32"/>
    </sheetView>
  </sheetViews>
  <sheetFormatPr defaultColWidth="11" defaultRowHeight="15" x14ac:dyDescent="0.2"/>
  <cols>
    <col min="1" max="1" width="6.140625" style="1" hidden="1" customWidth="1"/>
    <col min="2" max="2" width="30.42578125" style="1" customWidth="1"/>
    <col min="3" max="3" width="12.5703125" style="1" customWidth="1"/>
    <col min="4" max="4" width="12.7109375" style="1" customWidth="1"/>
    <col min="5" max="5" width="13.42578125" style="1" customWidth="1"/>
    <col min="6" max="6" width="12" style="1" bestFit="1" customWidth="1"/>
    <col min="7" max="7" width="12" style="1" customWidth="1"/>
    <col min="8" max="8" width="12" style="1" bestFit="1" customWidth="1"/>
    <col min="9" max="16384" width="11" style="1"/>
  </cols>
  <sheetData>
    <row r="1" spans="1:13" ht="33" customHeight="1" x14ac:dyDescent="0.2">
      <c r="B1" s="33" t="s">
        <v>38</v>
      </c>
      <c r="C1" s="34"/>
      <c r="D1" s="34"/>
      <c r="E1" s="34"/>
      <c r="F1" s="34"/>
      <c r="G1" s="34"/>
      <c r="H1" s="35"/>
    </row>
    <row r="2" spans="1:13" ht="30.75" customHeight="1" x14ac:dyDescent="0.25">
      <c r="A2" s="3"/>
      <c r="B2" s="36" t="str">
        <f>"TABLE - 1.23 ("&amp;[2]Sheet1!B2&amp;")"</f>
        <v>TABLE - 1.23 (VISTARA)</v>
      </c>
      <c r="C2" s="37"/>
      <c r="D2" s="37"/>
      <c r="E2" s="37"/>
      <c r="F2" s="37"/>
      <c r="G2" s="37"/>
      <c r="H2" s="38"/>
    </row>
    <row r="3" spans="1:13" ht="30" customHeight="1" x14ac:dyDescent="0.25">
      <c r="A3" s="3"/>
      <c r="B3" s="39" t="str">
        <f>"YEAR-WISE DETAILED FINANCIAL RESULTS OF "&amp;[2]Sheet1!B2</f>
        <v>YEAR-WISE DETAILED FINANCIAL RESULTS OF VISTARA</v>
      </c>
      <c r="C3" s="39"/>
      <c r="D3" s="39"/>
      <c r="E3" s="39"/>
      <c r="F3" s="39"/>
      <c r="G3" s="39"/>
      <c r="H3" s="39"/>
    </row>
    <row r="4" spans="1:13" ht="26.25" customHeight="1" x14ac:dyDescent="0.25">
      <c r="A4" s="3"/>
      <c r="B4" s="32"/>
      <c r="C4" s="32"/>
      <c r="G4" s="31" t="s">
        <v>37</v>
      </c>
    </row>
    <row r="5" spans="1:13" ht="24" customHeight="1" x14ac:dyDescent="0.2">
      <c r="A5" s="30" t="s">
        <v>36</v>
      </c>
      <c r="B5" s="29" t="s">
        <v>35</v>
      </c>
      <c r="C5" s="28" t="s">
        <v>34</v>
      </c>
      <c r="D5" s="28" t="s">
        <v>33</v>
      </c>
      <c r="E5" s="28" t="s">
        <v>32</v>
      </c>
      <c r="F5" s="28" t="s">
        <v>31</v>
      </c>
      <c r="G5" s="28" t="s">
        <v>30</v>
      </c>
      <c r="H5" s="28" t="s">
        <v>29</v>
      </c>
    </row>
    <row r="6" spans="1:13" ht="20.25" customHeight="1" x14ac:dyDescent="0.2">
      <c r="A6" s="20"/>
      <c r="B6" s="43" t="s">
        <v>28</v>
      </c>
      <c r="C6" s="44"/>
      <c r="D6" s="44"/>
      <c r="E6" s="44"/>
      <c r="F6" s="44"/>
      <c r="G6" s="44"/>
      <c r="H6" s="45"/>
    </row>
    <row r="7" spans="1:13" ht="20.25" customHeight="1" x14ac:dyDescent="0.2">
      <c r="A7" s="7">
        <v>1</v>
      </c>
      <c r="B7" s="40" t="s">
        <v>27</v>
      </c>
      <c r="C7" s="41"/>
      <c r="D7" s="41"/>
      <c r="E7" s="41"/>
      <c r="F7" s="41"/>
      <c r="G7" s="41"/>
      <c r="H7" s="42"/>
    </row>
    <row r="8" spans="1:13" ht="20.25" customHeight="1" x14ac:dyDescent="0.25">
      <c r="A8" s="27">
        <v>1.1000000000000001</v>
      </c>
      <c r="B8" s="26" t="s">
        <v>26</v>
      </c>
      <c r="C8" s="5"/>
      <c r="D8" s="16"/>
      <c r="E8" s="16">
        <v>554.29999999999995</v>
      </c>
      <c r="F8" s="16">
        <v>6184.7</v>
      </c>
      <c r="G8" s="16">
        <v>12395.93</v>
      </c>
      <c r="H8" s="15">
        <v>19362.899189</v>
      </c>
    </row>
    <row r="9" spans="1:13" ht="20.25" customHeight="1" x14ac:dyDescent="0.25">
      <c r="A9" s="27">
        <v>1.2</v>
      </c>
      <c r="B9" s="26" t="s">
        <v>25</v>
      </c>
      <c r="C9" s="5"/>
      <c r="D9" s="16"/>
      <c r="E9" s="16">
        <v>2.4900000000000002</v>
      </c>
      <c r="F9" s="16">
        <v>28.54</v>
      </c>
      <c r="G9" s="16">
        <v>59.32</v>
      </c>
      <c r="H9" s="15">
        <v>121.67352099999999</v>
      </c>
    </row>
    <row r="10" spans="1:13" ht="20.25" customHeight="1" x14ac:dyDescent="0.25">
      <c r="A10" s="27">
        <v>1.3</v>
      </c>
      <c r="B10" s="26" t="s">
        <v>24</v>
      </c>
      <c r="C10" s="5"/>
      <c r="D10" s="16"/>
      <c r="E10" s="16">
        <v>36.619999999999997</v>
      </c>
      <c r="F10" s="16">
        <v>0</v>
      </c>
      <c r="G10" s="16">
        <v>0</v>
      </c>
      <c r="H10" s="15">
        <v>0</v>
      </c>
    </row>
    <row r="11" spans="1:13" ht="20.25" customHeight="1" x14ac:dyDescent="0.25">
      <c r="A11" s="27">
        <v>1.4</v>
      </c>
      <c r="B11" s="26" t="s">
        <v>23</v>
      </c>
      <c r="C11" s="5"/>
      <c r="D11" s="16"/>
      <c r="E11" s="16">
        <v>0</v>
      </c>
      <c r="F11" s="16">
        <v>440.77</v>
      </c>
      <c r="G11" s="16">
        <v>793.46</v>
      </c>
      <c r="H11" s="15">
        <v>772.96185500000001</v>
      </c>
    </row>
    <row r="12" spans="1:13" ht="20.25" customHeight="1" x14ac:dyDescent="0.25">
      <c r="A12" s="27">
        <v>1.5</v>
      </c>
      <c r="B12" s="26" t="s">
        <v>22</v>
      </c>
      <c r="C12" s="5"/>
      <c r="D12" s="16"/>
      <c r="E12" s="16">
        <v>0</v>
      </c>
      <c r="F12" s="16">
        <v>0</v>
      </c>
      <c r="G12" s="16">
        <v>0</v>
      </c>
      <c r="H12" s="15">
        <v>0</v>
      </c>
    </row>
    <row r="13" spans="1:13" ht="20.25" customHeight="1" x14ac:dyDescent="0.25">
      <c r="A13" s="25"/>
      <c r="B13" s="22" t="s">
        <v>21</v>
      </c>
      <c r="C13" s="24"/>
      <c r="D13" s="24"/>
      <c r="E13" s="24">
        <v>593.41</v>
      </c>
      <c r="F13" s="24">
        <v>6654.01</v>
      </c>
      <c r="G13" s="24">
        <v>13248.71</v>
      </c>
      <c r="H13" s="24">
        <v>20257.534565000002</v>
      </c>
    </row>
    <row r="14" spans="1:13" ht="20.25" customHeight="1" x14ac:dyDescent="0.25">
      <c r="A14" s="7">
        <v>2</v>
      </c>
      <c r="B14" s="23" t="s">
        <v>20</v>
      </c>
      <c r="C14" s="5"/>
      <c r="D14" s="16"/>
      <c r="E14" s="16">
        <v>0</v>
      </c>
      <c r="F14" s="16">
        <v>0</v>
      </c>
      <c r="G14" s="16">
        <v>0</v>
      </c>
      <c r="H14" s="15">
        <v>0</v>
      </c>
    </row>
    <row r="15" spans="1:13" ht="20.25" customHeight="1" x14ac:dyDescent="0.25">
      <c r="A15" s="7">
        <v>3</v>
      </c>
      <c r="B15" s="22" t="s">
        <v>19</v>
      </c>
      <c r="C15" s="5"/>
      <c r="D15" s="16"/>
      <c r="E15" s="16">
        <v>0</v>
      </c>
      <c r="F15" s="16">
        <v>259.71999999999997</v>
      </c>
      <c r="G15" s="16">
        <v>650.49</v>
      </c>
      <c r="H15" s="15">
        <v>1116.776715</v>
      </c>
    </row>
    <row r="16" spans="1:13" ht="20.25" customHeight="1" x14ac:dyDescent="0.2">
      <c r="A16" s="7">
        <v>4</v>
      </c>
      <c r="B16" s="14" t="s">
        <v>18</v>
      </c>
      <c r="C16" s="13"/>
      <c r="D16" s="13"/>
      <c r="E16" s="13">
        <v>691.28</v>
      </c>
      <c r="F16" s="13">
        <v>6913.7300000000005</v>
      </c>
      <c r="G16" s="13">
        <v>13899.22</v>
      </c>
      <c r="H16" s="13">
        <v>21374.311280000002</v>
      </c>
      <c r="L16" s="21"/>
      <c r="M16" s="21"/>
    </row>
    <row r="17" spans="1:8" ht="20.25" customHeight="1" x14ac:dyDescent="0.2">
      <c r="A17" s="20" t="s">
        <v>17</v>
      </c>
      <c r="B17" s="19" t="s">
        <v>16</v>
      </c>
      <c r="C17" s="18"/>
      <c r="D17" s="18"/>
      <c r="E17" s="18"/>
      <c r="F17" s="18"/>
      <c r="G17" s="18"/>
      <c r="H17" s="17"/>
    </row>
    <row r="18" spans="1:8" ht="20.25" customHeight="1" x14ac:dyDescent="0.25">
      <c r="A18" s="7">
        <v>5</v>
      </c>
      <c r="B18" s="6" t="s">
        <v>15</v>
      </c>
      <c r="C18" s="5"/>
      <c r="D18" s="16"/>
      <c r="E18" s="16">
        <v>932.72</v>
      </c>
      <c r="F18" s="16">
        <v>5110.07</v>
      </c>
      <c r="G18" s="16">
        <v>9457.06</v>
      </c>
      <c r="H18" s="15">
        <v>12290.818982000001</v>
      </c>
    </row>
    <row r="19" spans="1:8" ht="20.25" customHeight="1" x14ac:dyDescent="0.25">
      <c r="A19" s="7">
        <v>6</v>
      </c>
      <c r="B19" s="6" t="s">
        <v>14</v>
      </c>
      <c r="C19" s="5"/>
      <c r="D19" s="16"/>
      <c r="E19" s="16">
        <v>463.85</v>
      </c>
      <c r="F19" s="16">
        <v>1962.1</v>
      </c>
      <c r="G19" s="16">
        <v>3365.06</v>
      </c>
      <c r="H19" s="15">
        <v>3752.7552799999999</v>
      </c>
    </row>
    <row r="20" spans="1:8" ht="20.25" customHeight="1" x14ac:dyDescent="0.25">
      <c r="A20" s="7">
        <v>7</v>
      </c>
      <c r="B20" s="6" t="s">
        <v>13</v>
      </c>
      <c r="C20" s="5"/>
      <c r="D20" s="16"/>
      <c r="E20" s="16">
        <v>20.92</v>
      </c>
      <c r="F20" s="16">
        <v>101.32</v>
      </c>
      <c r="G20" s="16">
        <v>157.63999999999999</v>
      </c>
      <c r="H20" s="15">
        <v>175.72062099999999</v>
      </c>
    </row>
    <row r="21" spans="1:8" ht="20.25" customHeight="1" x14ac:dyDescent="0.25">
      <c r="A21" s="7">
        <v>8</v>
      </c>
      <c r="B21" s="6" t="s">
        <v>12</v>
      </c>
      <c r="C21" s="5"/>
      <c r="D21" s="16"/>
      <c r="E21" s="16">
        <v>104.49</v>
      </c>
      <c r="F21" s="16">
        <v>1002.61</v>
      </c>
      <c r="G21" s="16">
        <v>1754.76</v>
      </c>
      <c r="H21" s="15">
        <v>2434.300021</v>
      </c>
    </row>
    <row r="22" spans="1:8" ht="20.25" customHeight="1" x14ac:dyDescent="0.25">
      <c r="A22" s="7">
        <v>9</v>
      </c>
      <c r="B22" s="6" t="s">
        <v>11</v>
      </c>
      <c r="C22" s="5"/>
      <c r="D22" s="16"/>
      <c r="E22" s="16">
        <v>12.23</v>
      </c>
      <c r="F22" s="16">
        <v>43.96</v>
      </c>
      <c r="G22" s="16">
        <v>192.51</v>
      </c>
      <c r="H22" s="15">
        <v>93.200113000000002</v>
      </c>
    </row>
    <row r="23" spans="1:8" ht="20.25" customHeight="1" x14ac:dyDescent="0.25">
      <c r="A23" s="7">
        <v>10</v>
      </c>
      <c r="B23" s="6" t="s">
        <v>10</v>
      </c>
      <c r="C23" s="5"/>
      <c r="D23" s="16"/>
      <c r="E23" s="16">
        <v>55.5</v>
      </c>
      <c r="F23" s="16">
        <v>682.24</v>
      </c>
      <c r="G23" s="16">
        <v>411.89</v>
      </c>
      <c r="H23" s="15">
        <v>1840.065382</v>
      </c>
    </row>
    <row r="24" spans="1:8" ht="20.25" customHeight="1" x14ac:dyDescent="0.25">
      <c r="A24" s="7">
        <v>11</v>
      </c>
      <c r="B24" s="6" t="s">
        <v>9</v>
      </c>
      <c r="C24" s="5"/>
      <c r="D24" s="16"/>
      <c r="E24" s="16">
        <v>186.68</v>
      </c>
      <c r="F24" s="16">
        <v>891.6400000000001</v>
      </c>
      <c r="G24" s="16">
        <v>1300.45</v>
      </c>
      <c r="H24" s="15">
        <v>1483.5396069999999</v>
      </c>
    </row>
    <row r="25" spans="1:8" ht="20.25" customHeight="1" x14ac:dyDescent="0.25">
      <c r="A25" s="7">
        <v>12</v>
      </c>
      <c r="B25" s="6" t="s">
        <v>8</v>
      </c>
      <c r="C25" s="5"/>
      <c r="D25" s="16"/>
      <c r="E25" s="16">
        <v>905.55</v>
      </c>
      <c r="F25" s="16">
        <v>1238.0999999999999</v>
      </c>
      <c r="G25" s="16">
        <v>967.95</v>
      </c>
      <c r="H25" s="15">
        <v>1980.792727</v>
      </c>
    </row>
    <row r="26" spans="1:8" ht="20.25" customHeight="1" x14ac:dyDescent="0.25">
      <c r="A26" s="7">
        <v>13</v>
      </c>
      <c r="B26" s="6" t="s">
        <v>7</v>
      </c>
      <c r="C26" s="5"/>
      <c r="D26" s="16"/>
      <c r="E26" s="16">
        <v>0</v>
      </c>
      <c r="F26" s="16">
        <v>122.65</v>
      </c>
      <c r="G26" s="16">
        <v>1784.75</v>
      </c>
      <c r="H26" s="15">
        <v>2488.4020369999998</v>
      </c>
    </row>
    <row r="27" spans="1:8" ht="20.25" customHeight="1" x14ac:dyDescent="0.2">
      <c r="A27" s="7">
        <v>14</v>
      </c>
      <c r="B27" s="14" t="s">
        <v>6</v>
      </c>
      <c r="C27" s="13"/>
      <c r="D27" s="13"/>
      <c r="E27" s="13">
        <v>2681.9400000000005</v>
      </c>
      <c r="F27" s="13">
        <v>11154.689999999999</v>
      </c>
      <c r="G27" s="13">
        <v>19392.07</v>
      </c>
      <c r="H27" s="13">
        <v>26539.59477</v>
      </c>
    </row>
    <row r="28" spans="1:8" ht="20.25" customHeight="1" x14ac:dyDescent="0.2">
      <c r="A28" s="7">
        <v>15</v>
      </c>
      <c r="B28" s="11" t="s">
        <v>5</v>
      </c>
      <c r="C28" s="12"/>
      <c r="D28" s="12"/>
      <c r="E28" s="12">
        <v>-1990.66</v>
      </c>
      <c r="F28" s="5">
        <v>-4240.9599999999982</v>
      </c>
      <c r="G28" s="5">
        <v>-5492.85</v>
      </c>
      <c r="H28" s="5">
        <v>-5165.2834890000004</v>
      </c>
    </row>
    <row r="29" spans="1:8" ht="29.25" customHeight="1" x14ac:dyDescent="0.2">
      <c r="A29" s="7">
        <v>21</v>
      </c>
      <c r="B29" s="11" t="s">
        <v>4</v>
      </c>
      <c r="C29" s="5"/>
      <c r="D29" s="5"/>
      <c r="E29" s="5">
        <v>0</v>
      </c>
      <c r="F29" s="5">
        <v>231.87</v>
      </c>
      <c r="G29" s="5">
        <v>308.08</v>
      </c>
      <c r="H29" s="5">
        <v>854.39416500000004</v>
      </c>
    </row>
    <row r="30" spans="1:8" ht="27" customHeight="1" x14ac:dyDescent="0.2">
      <c r="A30" s="7">
        <v>22</v>
      </c>
      <c r="B30" s="11" t="s">
        <v>3</v>
      </c>
      <c r="C30" s="10"/>
      <c r="D30" s="9"/>
      <c r="E30" s="9">
        <v>-1990.66</v>
      </c>
      <c r="F30" s="5">
        <v>-4009.0899999999983</v>
      </c>
      <c r="G30" s="5">
        <v>-5184.76</v>
      </c>
      <c r="H30" s="5">
        <v>-4310.8893239999998</v>
      </c>
    </row>
    <row r="31" spans="1:8" ht="20.25" customHeight="1" x14ac:dyDescent="0.2">
      <c r="A31" s="7">
        <v>23</v>
      </c>
      <c r="B31" s="6" t="s">
        <v>2</v>
      </c>
      <c r="C31" s="8"/>
      <c r="D31" s="5"/>
      <c r="E31" s="5">
        <v>0</v>
      </c>
      <c r="F31" s="5">
        <v>0</v>
      </c>
      <c r="G31" s="5">
        <v>0.17</v>
      </c>
      <c r="H31" s="5">
        <v>0</v>
      </c>
    </row>
    <row r="32" spans="1:8" ht="20.25" customHeight="1" x14ac:dyDescent="0.2">
      <c r="A32" s="7">
        <v>24</v>
      </c>
      <c r="B32" s="6" t="s">
        <v>1</v>
      </c>
      <c r="C32" s="5"/>
      <c r="D32" s="5"/>
      <c r="E32" s="5">
        <v>-1990.66</v>
      </c>
      <c r="F32" s="5">
        <v>-4009.0899999999983</v>
      </c>
      <c r="G32" s="5">
        <v>-5184.59</v>
      </c>
      <c r="H32" s="5">
        <v>-4310.8893239999998</v>
      </c>
    </row>
    <row r="33" spans="1:8" ht="30.75" customHeight="1" x14ac:dyDescent="0.2">
      <c r="A33" s="7">
        <v>26</v>
      </c>
      <c r="B33" s="6" t="s">
        <v>0</v>
      </c>
      <c r="C33" s="5"/>
      <c r="D33" s="5"/>
      <c r="E33" s="5">
        <v>-1990.66</v>
      </c>
      <c r="F33" s="5">
        <v>-4009.0899999999983</v>
      </c>
      <c r="G33" s="5">
        <v>-5184.59</v>
      </c>
      <c r="H33" s="5">
        <v>-4310.8893239999998</v>
      </c>
    </row>
    <row r="34" spans="1:8" ht="24.95" customHeight="1" x14ac:dyDescent="0.25">
      <c r="A34" s="3"/>
      <c r="B34" s="4" t="str">
        <f>"SOURCE : ICAO ATR FORM-D FURNISHED BY  " &amp;[2]Sheet1!$B$2</f>
        <v>SOURCE : ICAO ATR FORM-D FURNISHED BY  VISTARA</v>
      </c>
      <c r="C34" s="4"/>
      <c r="D34" s="4"/>
      <c r="E34" s="3"/>
    </row>
    <row r="35" spans="1:8" x14ac:dyDescent="0.2">
      <c r="B35" s="2"/>
      <c r="C35" s="2"/>
    </row>
    <row r="36" spans="1:8" x14ac:dyDescent="0.2">
      <c r="B36" s="2"/>
      <c r="C36" s="2"/>
    </row>
    <row r="37" spans="1:8" x14ac:dyDescent="0.2">
      <c r="B37" s="2"/>
      <c r="C37" s="2"/>
    </row>
    <row r="38" spans="1:8" x14ac:dyDescent="0.2">
      <c r="B38" s="2"/>
      <c r="C38" s="2"/>
    </row>
    <row r="39" spans="1:8" x14ac:dyDescent="0.2">
      <c r="B39" s="2"/>
      <c r="C39" s="2"/>
    </row>
    <row r="40" spans="1:8" x14ac:dyDescent="0.2">
      <c r="B40" s="2"/>
      <c r="C40" s="2"/>
    </row>
    <row r="41" spans="1:8" x14ac:dyDescent="0.2">
      <c r="B41" s="2"/>
      <c r="C41" s="2"/>
    </row>
    <row r="42" spans="1:8" x14ac:dyDescent="0.2">
      <c r="B42" s="2"/>
      <c r="C42" s="2"/>
    </row>
    <row r="43" spans="1:8" x14ac:dyDescent="0.2">
      <c r="B43" s="2"/>
      <c r="C43" s="2"/>
    </row>
    <row r="44" spans="1:8" x14ac:dyDescent="0.2">
      <c r="B44" s="2"/>
      <c r="C44" s="2"/>
    </row>
    <row r="45" spans="1:8" x14ac:dyDescent="0.2">
      <c r="B45" s="2"/>
      <c r="C45" s="2"/>
    </row>
    <row r="46" spans="1:8" x14ac:dyDescent="0.2">
      <c r="B46" s="2"/>
      <c r="C46" s="2"/>
    </row>
    <row r="47" spans="1:8" x14ac:dyDescent="0.2">
      <c r="B47" s="2"/>
      <c r="C47" s="2"/>
    </row>
    <row r="48" spans="1:8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  <row r="827" spans="2:3" x14ac:dyDescent="0.2">
      <c r="B827" s="2"/>
      <c r="C827" s="2"/>
    </row>
    <row r="828" spans="2:3" x14ac:dyDescent="0.2">
      <c r="B828" s="2"/>
      <c r="C828" s="2"/>
    </row>
    <row r="829" spans="2:3" x14ac:dyDescent="0.2">
      <c r="B829" s="2"/>
      <c r="C829" s="2"/>
    </row>
    <row r="830" spans="2:3" x14ac:dyDescent="0.2">
      <c r="B830" s="2"/>
      <c r="C830" s="2"/>
    </row>
    <row r="831" spans="2:3" x14ac:dyDescent="0.2">
      <c r="B831" s="2"/>
      <c r="C831" s="2"/>
    </row>
    <row r="832" spans="2:3" x14ac:dyDescent="0.2">
      <c r="B832" s="2"/>
      <c r="C832" s="2"/>
    </row>
    <row r="833" spans="2:3" x14ac:dyDescent="0.2">
      <c r="B833" s="2"/>
      <c r="C833" s="2"/>
    </row>
    <row r="834" spans="2:3" x14ac:dyDescent="0.2">
      <c r="B834" s="2"/>
      <c r="C834" s="2"/>
    </row>
    <row r="835" spans="2:3" x14ac:dyDescent="0.2">
      <c r="B835" s="2"/>
      <c r="C835" s="2"/>
    </row>
    <row r="836" spans="2:3" x14ac:dyDescent="0.2">
      <c r="B836" s="2"/>
      <c r="C836" s="2"/>
    </row>
    <row r="837" spans="2:3" x14ac:dyDescent="0.2">
      <c r="B837" s="2"/>
      <c r="C837" s="2"/>
    </row>
    <row r="838" spans="2:3" x14ac:dyDescent="0.2">
      <c r="B838" s="2"/>
      <c r="C838" s="2"/>
    </row>
    <row r="839" spans="2:3" x14ac:dyDescent="0.2">
      <c r="B839" s="2"/>
      <c r="C839" s="2"/>
    </row>
    <row r="840" spans="2:3" x14ac:dyDescent="0.2">
      <c r="B840" s="2"/>
      <c r="C840" s="2"/>
    </row>
    <row r="841" spans="2:3" x14ac:dyDescent="0.2">
      <c r="B841" s="2"/>
      <c r="C841" s="2"/>
    </row>
    <row r="842" spans="2:3" x14ac:dyDescent="0.2">
      <c r="B842" s="2"/>
      <c r="C842" s="2"/>
    </row>
    <row r="843" spans="2:3" x14ac:dyDescent="0.2">
      <c r="B843" s="2"/>
      <c r="C843" s="2"/>
    </row>
    <row r="844" spans="2:3" x14ac:dyDescent="0.2">
      <c r="B844" s="2"/>
      <c r="C844" s="2"/>
    </row>
    <row r="845" spans="2:3" x14ac:dyDescent="0.2">
      <c r="B845" s="2"/>
      <c r="C845" s="2"/>
    </row>
    <row r="846" spans="2:3" x14ac:dyDescent="0.2">
      <c r="B846" s="2"/>
      <c r="C846" s="2"/>
    </row>
    <row r="847" spans="2:3" x14ac:dyDescent="0.2">
      <c r="B847" s="2"/>
      <c r="C847" s="2"/>
    </row>
    <row r="848" spans="2:3" x14ac:dyDescent="0.2">
      <c r="B848" s="2"/>
      <c r="C848" s="2"/>
    </row>
    <row r="849" spans="2:3" x14ac:dyDescent="0.2">
      <c r="B849" s="2"/>
      <c r="C849" s="2"/>
    </row>
    <row r="850" spans="2:3" x14ac:dyDescent="0.2">
      <c r="B850" s="2"/>
      <c r="C850" s="2"/>
    </row>
    <row r="851" spans="2:3" x14ac:dyDescent="0.2">
      <c r="B851" s="2"/>
      <c r="C851" s="2"/>
    </row>
    <row r="852" spans="2:3" x14ac:dyDescent="0.2">
      <c r="B852" s="2"/>
      <c r="C852" s="2"/>
    </row>
    <row r="853" spans="2:3" x14ac:dyDescent="0.2">
      <c r="B853" s="2"/>
      <c r="C853" s="2"/>
    </row>
    <row r="854" spans="2:3" x14ac:dyDescent="0.2">
      <c r="B854" s="2"/>
      <c r="C854" s="2"/>
    </row>
    <row r="855" spans="2:3" x14ac:dyDescent="0.2">
      <c r="B855" s="2"/>
      <c r="C855" s="2"/>
    </row>
    <row r="856" spans="2:3" x14ac:dyDescent="0.2">
      <c r="B856" s="2"/>
      <c r="C856" s="2"/>
    </row>
    <row r="857" spans="2:3" x14ac:dyDescent="0.2">
      <c r="B857" s="2"/>
      <c r="C857" s="2"/>
    </row>
    <row r="858" spans="2:3" x14ac:dyDescent="0.2">
      <c r="B858" s="2"/>
      <c r="C858" s="2"/>
    </row>
    <row r="859" spans="2:3" x14ac:dyDescent="0.2">
      <c r="B859" s="2"/>
      <c r="C859" s="2"/>
    </row>
    <row r="860" spans="2:3" x14ac:dyDescent="0.2">
      <c r="B860" s="2"/>
      <c r="C860" s="2"/>
    </row>
    <row r="861" spans="2:3" x14ac:dyDescent="0.2">
      <c r="B861" s="2"/>
      <c r="C861" s="2"/>
    </row>
    <row r="862" spans="2:3" x14ac:dyDescent="0.2">
      <c r="B862" s="2"/>
      <c r="C862" s="2"/>
    </row>
    <row r="863" spans="2:3" x14ac:dyDescent="0.2">
      <c r="B863" s="2"/>
      <c r="C863" s="2"/>
    </row>
    <row r="864" spans="2:3" x14ac:dyDescent="0.2">
      <c r="B864" s="2"/>
      <c r="C864" s="2"/>
    </row>
    <row r="865" spans="2:3" x14ac:dyDescent="0.2">
      <c r="B865" s="2"/>
      <c r="C865" s="2"/>
    </row>
    <row r="866" spans="2:3" x14ac:dyDescent="0.2">
      <c r="B866" s="2"/>
      <c r="C866" s="2"/>
    </row>
    <row r="867" spans="2:3" x14ac:dyDescent="0.2">
      <c r="B867" s="2"/>
      <c r="C867" s="2"/>
    </row>
    <row r="868" spans="2:3" x14ac:dyDescent="0.2">
      <c r="B868" s="2"/>
      <c r="C868" s="2"/>
    </row>
    <row r="869" spans="2:3" x14ac:dyDescent="0.2">
      <c r="B869" s="2"/>
      <c r="C869" s="2"/>
    </row>
    <row r="870" spans="2:3" x14ac:dyDescent="0.2">
      <c r="B870" s="2"/>
      <c r="C870" s="2"/>
    </row>
    <row r="871" spans="2:3" x14ac:dyDescent="0.2">
      <c r="B871" s="2"/>
      <c r="C871" s="2"/>
    </row>
    <row r="872" spans="2:3" x14ac:dyDescent="0.2">
      <c r="B872" s="2"/>
      <c r="C872" s="2"/>
    </row>
    <row r="873" spans="2:3" x14ac:dyDescent="0.2">
      <c r="B873" s="2"/>
      <c r="C873" s="2"/>
    </row>
    <row r="874" spans="2:3" x14ac:dyDescent="0.2">
      <c r="B874" s="2"/>
      <c r="C874" s="2"/>
    </row>
    <row r="875" spans="2:3" x14ac:dyDescent="0.2">
      <c r="B875" s="2"/>
      <c r="C875" s="2"/>
    </row>
    <row r="876" spans="2:3" x14ac:dyDescent="0.2">
      <c r="B876" s="2"/>
      <c r="C876" s="2"/>
    </row>
    <row r="877" spans="2:3" x14ac:dyDescent="0.2">
      <c r="B877" s="2"/>
      <c r="C877" s="2"/>
    </row>
    <row r="878" spans="2:3" x14ac:dyDescent="0.2">
      <c r="B878" s="2"/>
      <c r="C878" s="2"/>
    </row>
    <row r="879" spans="2:3" x14ac:dyDescent="0.2">
      <c r="B879" s="2"/>
      <c r="C879" s="2"/>
    </row>
    <row r="880" spans="2:3" x14ac:dyDescent="0.2">
      <c r="B880" s="2"/>
      <c r="C880" s="2"/>
    </row>
    <row r="881" spans="2:3" x14ac:dyDescent="0.2">
      <c r="B881" s="2"/>
      <c r="C881" s="2"/>
    </row>
    <row r="882" spans="2:3" x14ac:dyDescent="0.2">
      <c r="B882" s="2"/>
      <c r="C882" s="2"/>
    </row>
    <row r="883" spans="2:3" x14ac:dyDescent="0.2">
      <c r="B883" s="2"/>
      <c r="C883" s="2"/>
    </row>
    <row r="884" spans="2:3" x14ac:dyDescent="0.2">
      <c r="B884" s="2"/>
      <c r="C884" s="2"/>
    </row>
    <row r="885" spans="2:3" x14ac:dyDescent="0.2">
      <c r="B885" s="2"/>
      <c r="C885" s="2"/>
    </row>
    <row r="886" spans="2:3" x14ac:dyDescent="0.2">
      <c r="B886" s="2"/>
      <c r="C886" s="2"/>
    </row>
    <row r="887" spans="2:3" x14ac:dyDescent="0.2">
      <c r="B887" s="2"/>
      <c r="C887" s="2"/>
    </row>
    <row r="888" spans="2:3" x14ac:dyDescent="0.2">
      <c r="B888" s="2"/>
      <c r="C888" s="2"/>
    </row>
    <row r="889" spans="2:3" x14ac:dyDescent="0.2">
      <c r="B889" s="2"/>
      <c r="C889" s="2"/>
    </row>
    <row r="890" spans="2:3" x14ac:dyDescent="0.2">
      <c r="B890" s="2"/>
      <c r="C890" s="2"/>
    </row>
    <row r="891" spans="2:3" x14ac:dyDescent="0.2">
      <c r="B891" s="2"/>
      <c r="C891" s="2"/>
    </row>
    <row r="892" spans="2:3" x14ac:dyDescent="0.2">
      <c r="B892" s="2"/>
      <c r="C892" s="2"/>
    </row>
    <row r="893" spans="2:3" x14ac:dyDescent="0.2">
      <c r="B893" s="2"/>
      <c r="C893" s="2"/>
    </row>
    <row r="894" spans="2:3" x14ac:dyDescent="0.2">
      <c r="B894" s="2"/>
      <c r="C894" s="2"/>
    </row>
    <row r="895" spans="2:3" x14ac:dyDescent="0.2">
      <c r="B895" s="2"/>
      <c r="C895" s="2"/>
    </row>
    <row r="896" spans="2:3" x14ac:dyDescent="0.2">
      <c r="B896" s="2"/>
      <c r="C896" s="2"/>
    </row>
    <row r="897" spans="2:3" x14ac:dyDescent="0.2">
      <c r="B897" s="2"/>
      <c r="C897" s="2"/>
    </row>
    <row r="898" spans="2:3" x14ac:dyDescent="0.2">
      <c r="B898" s="2"/>
      <c r="C898" s="2"/>
    </row>
    <row r="899" spans="2:3" x14ac:dyDescent="0.2">
      <c r="B899" s="2"/>
      <c r="C899" s="2"/>
    </row>
    <row r="900" spans="2:3" x14ac:dyDescent="0.2">
      <c r="B900" s="2"/>
      <c r="C900" s="2"/>
    </row>
    <row r="901" spans="2:3" x14ac:dyDescent="0.2">
      <c r="B901" s="2"/>
      <c r="C901" s="2"/>
    </row>
    <row r="902" spans="2:3" x14ac:dyDescent="0.2">
      <c r="B902" s="2"/>
      <c r="C902" s="2"/>
    </row>
    <row r="903" spans="2:3" x14ac:dyDescent="0.2">
      <c r="B903" s="2"/>
      <c r="C903" s="2"/>
    </row>
    <row r="904" spans="2:3" x14ac:dyDescent="0.2">
      <c r="B904" s="2"/>
      <c r="C904" s="2"/>
    </row>
    <row r="905" spans="2:3" x14ac:dyDescent="0.2">
      <c r="B905" s="2"/>
      <c r="C905" s="2"/>
    </row>
    <row r="906" spans="2:3" x14ac:dyDescent="0.2">
      <c r="B906" s="2"/>
      <c r="C906" s="2"/>
    </row>
    <row r="907" spans="2:3" x14ac:dyDescent="0.2">
      <c r="B907" s="2"/>
      <c r="C907" s="2"/>
    </row>
    <row r="908" spans="2:3" x14ac:dyDescent="0.2">
      <c r="B908" s="2"/>
      <c r="C908" s="2"/>
    </row>
    <row r="909" spans="2:3" x14ac:dyDescent="0.2">
      <c r="B909" s="2"/>
      <c r="C909" s="2"/>
    </row>
    <row r="910" spans="2:3" x14ac:dyDescent="0.2">
      <c r="B910" s="2"/>
      <c r="C910" s="2"/>
    </row>
    <row r="911" spans="2:3" x14ac:dyDescent="0.2">
      <c r="B911" s="2"/>
      <c r="C911" s="2"/>
    </row>
    <row r="912" spans="2:3" x14ac:dyDescent="0.2">
      <c r="B912" s="2"/>
      <c r="C912" s="2"/>
    </row>
    <row r="913" spans="2:3" x14ac:dyDescent="0.2">
      <c r="B913" s="2"/>
      <c r="C913" s="2"/>
    </row>
    <row r="914" spans="2:3" x14ac:dyDescent="0.2">
      <c r="B914" s="2"/>
      <c r="C914" s="2"/>
    </row>
    <row r="915" spans="2:3" x14ac:dyDescent="0.2">
      <c r="B915" s="2"/>
      <c r="C915" s="2"/>
    </row>
    <row r="916" spans="2:3" x14ac:dyDescent="0.2">
      <c r="B916" s="2"/>
      <c r="C916" s="2"/>
    </row>
    <row r="917" spans="2:3" x14ac:dyDescent="0.2">
      <c r="B917" s="2"/>
      <c r="C917" s="2"/>
    </row>
    <row r="918" spans="2:3" x14ac:dyDescent="0.2">
      <c r="B918" s="2"/>
      <c r="C918" s="2"/>
    </row>
    <row r="919" spans="2:3" x14ac:dyDescent="0.2">
      <c r="B919" s="2"/>
      <c r="C919" s="2"/>
    </row>
    <row r="920" spans="2:3" x14ac:dyDescent="0.2">
      <c r="B920" s="2"/>
      <c r="C920" s="2"/>
    </row>
    <row r="921" spans="2:3" x14ac:dyDescent="0.2">
      <c r="B921" s="2"/>
      <c r="C921" s="2"/>
    </row>
    <row r="922" spans="2:3" x14ac:dyDescent="0.2">
      <c r="B922" s="2"/>
      <c r="C922" s="2"/>
    </row>
    <row r="923" spans="2:3" x14ac:dyDescent="0.2">
      <c r="B923" s="2"/>
      <c r="C923" s="2"/>
    </row>
    <row r="924" spans="2:3" x14ac:dyDescent="0.2">
      <c r="B924" s="2"/>
      <c r="C924" s="2"/>
    </row>
    <row r="925" spans="2:3" x14ac:dyDescent="0.2">
      <c r="B925" s="2"/>
      <c r="C925" s="2"/>
    </row>
    <row r="926" spans="2:3" x14ac:dyDescent="0.2">
      <c r="B926" s="2"/>
      <c r="C926" s="2"/>
    </row>
    <row r="927" spans="2:3" x14ac:dyDescent="0.2">
      <c r="B927" s="2"/>
      <c r="C927" s="2"/>
    </row>
    <row r="928" spans="2:3" x14ac:dyDescent="0.2">
      <c r="B928" s="2"/>
      <c r="C928" s="2"/>
    </row>
    <row r="929" spans="2:3" x14ac:dyDescent="0.2">
      <c r="B929" s="2"/>
      <c r="C929" s="2"/>
    </row>
    <row r="930" spans="2:3" x14ac:dyDescent="0.2">
      <c r="B930" s="2"/>
      <c r="C930" s="2"/>
    </row>
    <row r="931" spans="2:3" x14ac:dyDescent="0.2">
      <c r="B931" s="2"/>
      <c r="C931" s="2"/>
    </row>
    <row r="932" spans="2:3" x14ac:dyDescent="0.2">
      <c r="B932" s="2"/>
      <c r="C932" s="2"/>
    </row>
    <row r="933" spans="2:3" x14ac:dyDescent="0.2">
      <c r="B933" s="2"/>
      <c r="C933" s="2"/>
    </row>
    <row r="934" spans="2:3" x14ac:dyDescent="0.2">
      <c r="B934" s="2"/>
      <c r="C934" s="2"/>
    </row>
    <row r="935" spans="2:3" x14ac:dyDescent="0.2">
      <c r="B935" s="2"/>
      <c r="C935" s="2"/>
    </row>
    <row r="936" spans="2:3" x14ac:dyDescent="0.2">
      <c r="B936" s="2"/>
      <c r="C936" s="2"/>
    </row>
    <row r="937" spans="2:3" x14ac:dyDescent="0.2">
      <c r="B937" s="2"/>
      <c r="C937" s="2"/>
    </row>
    <row r="938" spans="2:3" x14ac:dyDescent="0.2">
      <c r="B938" s="2"/>
      <c r="C938" s="2"/>
    </row>
    <row r="939" spans="2:3" x14ac:dyDescent="0.2">
      <c r="B939" s="2"/>
      <c r="C939" s="2"/>
    </row>
    <row r="940" spans="2:3" x14ac:dyDescent="0.2">
      <c r="B940" s="2"/>
      <c r="C940" s="2"/>
    </row>
    <row r="941" spans="2:3" x14ac:dyDescent="0.2">
      <c r="B941" s="2"/>
      <c r="C941" s="2"/>
    </row>
    <row r="942" spans="2:3" x14ac:dyDescent="0.2">
      <c r="B942" s="2"/>
      <c r="C942" s="2"/>
    </row>
    <row r="943" spans="2:3" x14ac:dyDescent="0.2">
      <c r="B943" s="2"/>
      <c r="C943" s="2"/>
    </row>
    <row r="944" spans="2:3" x14ac:dyDescent="0.2">
      <c r="B944" s="2"/>
      <c r="C944" s="2"/>
    </row>
    <row r="945" spans="2:3" x14ac:dyDescent="0.2">
      <c r="B945" s="2"/>
      <c r="C945" s="2"/>
    </row>
    <row r="946" spans="2:3" x14ac:dyDescent="0.2">
      <c r="B946" s="2"/>
      <c r="C946" s="2"/>
    </row>
    <row r="947" spans="2:3" x14ac:dyDescent="0.2">
      <c r="B947" s="2"/>
      <c r="C947" s="2"/>
    </row>
    <row r="948" spans="2:3" x14ac:dyDescent="0.2">
      <c r="B948" s="2"/>
      <c r="C948" s="2"/>
    </row>
    <row r="949" spans="2:3" x14ac:dyDescent="0.2">
      <c r="B949" s="2"/>
      <c r="C949" s="2"/>
    </row>
    <row r="950" spans="2:3" x14ac:dyDescent="0.2">
      <c r="B950" s="2"/>
      <c r="C950" s="2"/>
    </row>
    <row r="951" spans="2:3" x14ac:dyDescent="0.2">
      <c r="B951" s="2"/>
      <c r="C951" s="2"/>
    </row>
    <row r="952" spans="2:3" x14ac:dyDescent="0.2">
      <c r="B952" s="2"/>
      <c r="C952" s="2"/>
    </row>
    <row r="953" spans="2:3" x14ac:dyDescent="0.2">
      <c r="B953" s="2"/>
      <c r="C953" s="2"/>
    </row>
    <row r="954" spans="2:3" x14ac:dyDescent="0.2">
      <c r="B954" s="2"/>
      <c r="C954" s="2"/>
    </row>
    <row r="955" spans="2:3" x14ac:dyDescent="0.2">
      <c r="B955" s="2"/>
      <c r="C955" s="2"/>
    </row>
    <row r="956" spans="2:3" x14ac:dyDescent="0.2">
      <c r="B956" s="2"/>
      <c r="C956" s="2"/>
    </row>
    <row r="957" spans="2:3" x14ac:dyDescent="0.2">
      <c r="B957" s="2"/>
      <c r="C957" s="2"/>
    </row>
    <row r="958" spans="2:3" x14ac:dyDescent="0.2">
      <c r="B958" s="2"/>
      <c r="C958" s="2"/>
    </row>
    <row r="959" spans="2:3" x14ac:dyDescent="0.2">
      <c r="B959" s="2"/>
      <c r="C959" s="2"/>
    </row>
    <row r="960" spans="2:3" x14ac:dyDescent="0.2">
      <c r="B960" s="2"/>
      <c r="C960" s="2"/>
    </row>
    <row r="961" spans="2:3" x14ac:dyDescent="0.2">
      <c r="B961" s="2"/>
      <c r="C961" s="2"/>
    </row>
    <row r="962" spans="2:3" x14ac:dyDescent="0.2">
      <c r="B962" s="2"/>
      <c r="C962" s="2"/>
    </row>
    <row r="963" spans="2:3" x14ac:dyDescent="0.2">
      <c r="B963" s="2"/>
      <c r="C963" s="2"/>
    </row>
    <row r="964" spans="2:3" x14ac:dyDescent="0.2">
      <c r="B964" s="2"/>
      <c r="C964" s="2"/>
    </row>
    <row r="965" spans="2:3" x14ac:dyDescent="0.2">
      <c r="B965" s="2"/>
      <c r="C965" s="2"/>
    </row>
    <row r="966" spans="2:3" x14ac:dyDescent="0.2">
      <c r="B966" s="2"/>
      <c r="C966" s="2"/>
    </row>
    <row r="967" spans="2:3" x14ac:dyDescent="0.2">
      <c r="B967" s="2"/>
      <c r="C967" s="2"/>
    </row>
    <row r="968" spans="2:3" x14ac:dyDescent="0.2">
      <c r="B968" s="2"/>
      <c r="C968" s="2"/>
    </row>
    <row r="969" spans="2:3" x14ac:dyDescent="0.2">
      <c r="B969" s="2"/>
      <c r="C969" s="2"/>
    </row>
    <row r="970" spans="2:3" x14ac:dyDescent="0.2">
      <c r="B970" s="2"/>
      <c r="C970" s="2"/>
    </row>
    <row r="971" spans="2:3" x14ac:dyDescent="0.2">
      <c r="B971" s="2"/>
      <c r="C971" s="2"/>
    </row>
    <row r="972" spans="2:3" x14ac:dyDescent="0.2">
      <c r="B972" s="2"/>
      <c r="C972" s="2"/>
    </row>
    <row r="973" spans="2:3" x14ac:dyDescent="0.2">
      <c r="B973" s="2"/>
      <c r="C973" s="2"/>
    </row>
    <row r="974" spans="2:3" x14ac:dyDescent="0.2">
      <c r="B974" s="2"/>
      <c r="C974" s="2"/>
    </row>
    <row r="975" spans="2:3" x14ac:dyDescent="0.2">
      <c r="B975" s="2"/>
      <c r="C975" s="2"/>
    </row>
    <row r="976" spans="2:3" x14ac:dyDescent="0.2">
      <c r="B976" s="2"/>
      <c r="C976" s="2"/>
    </row>
    <row r="977" spans="2:3" x14ac:dyDescent="0.2">
      <c r="B977" s="2"/>
      <c r="C977" s="2"/>
    </row>
    <row r="978" spans="2:3" x14ac:dyDescent="0.2">
      <c r="B978" s="2"/>
      <c r="C978" s="2"/>
    </row>
    <row r="979" spans="2:3" x14ac:dyDescent="0.2">
      <c r="B979" s="2"/>
      <c r="C979" s="2"/>
    </row>
    <row r="980" spans="2:3" x14ac:dyDescent="0.2">
      <c r="B980" s="2"/>
      <c r="C980" s="2"/>
    </row>
    <row r="981" spans="2:3" x14ac:dyDescent="0.2">
      <c r="B981" s="2"/>
      <c r="C981" s="2"/>
    </row>
    <row r="982" spans="2:3" x14ac:dyDescent="0.2">
      <c r="B982" s="2"/>
      <c r="C982" s="2"/>
    </row>
    <row r="983" spans="2:3" x14ac:dyDescent="0.2">
      <c r="B983" s="2"/>
      <c r="C983" s="2"/>
    </row>
    <row r="984" spans="2:3" x14ac:dyDescent="0.2">
      <c r="B984" s="2"/>
      <c r="C984" s="2"/>
    </row>
    <row r="985" spans="2:3" x14ac:dyDescent="0.2">
      <c r="B985" s="2"/>
      <c r="C985" s="2"/>
    </row>
    <row r="986" spans="2:3" x14ac:dyDescent="0.2">
      <c r="B986" s="2"/>
      <c r="C986" s="2"/>
    </row>
    <row r="987" spans="2:3" x14ac:dyDescent="0.2">
      <c r="B987" s="2"/>
      <c r="C987" s="2"/>
    </row>
    <row r="988" spans="2:3" x14ac:dyDescent="0.2">
      <c r="B988" s="2"/>
      <c r="C988" s="2"/>
    </row>
    <row r="989" spans="2:3" x14ac:dyDescent="0.2">
      <c r="B989" s="2"/>
      <c r="C989" s="2"/>
    </row>
    <row r="990" spans="2:3" x14ac:dyDescent="0.2">
      <c r="B990" s="2"/>
      <c r="C990" s="2"/>
    </row>
    <row r="991" spans="2:3" x14ac:dyDescent="0.2">
      <c r="B991" s="2"/>
      <c r="C991" s="2"/>
    </row>
    <row r="992" spans="2:3" x14ac:dyDescent="0.2">
      <c r="B992" s="2"/>
      <c r="C992" s="2"/>
    </row>
    <row r="993" spans="2:3" x14ac:dyDescent="0.2">
      <c r="B993" s="2"/>
      <c r="C993" s="2"/>
    </row>
    <row r="994" spans="2:3" x14ac:dyDescent="0.2">
      <c r="B994" s="2"/>
      <c r="C994" s="2"/>
    </row>
    <row r="995" spans="2:3" x14ac:dyDescent="0.2">
      <c r="B995" s="2"/>
      <c r="C995" s="2"/>
    </row>
    <row r="996" spans="2:3" x14ac:dyDescent="0.2">
      <c r="B996" s="2"/>
      <c r="C996" s="2"/>
    </row>
    <row r="997" spans="2:3" x14ac:dyDescent="0.2">
      <c r="B997" s="2"/>
      <c r="C997" s="2"/>
    </row>
    <row r="998" spans="2:3" x14ac:dyDescent="0.2">
      <c r="B998" s="2"/>
      <c r="C998" s="2"/>
    </row>
    <row r="999" spans="2:3" x14ac:dyDescent="0.2">
      <c r="B999" s="2"/>
      <c r="C999" s="2"/>
    </row>
    <row r="1000" spans="2:3" x14ac:dyDescent="0.2">
      <c r="B1000" s="2"/>
      <c r="C1000" s="2"/>
    </row>
    <row r="1001" spans="2:3" x14ac:dyDescent="0.2">
      <c r="B1001" s="2"/>
      <c r="C1001" s="2"/>
    </row>
    <row r="1002" spans="2:3" x14ac:dyDescent="0.2">
      <c r="B1002" s="2"/>
      <c r="C1002" s="2"/>
    </row>
    <row r="1003" spans="2:3" x14ac:dyDescent="0.2">
      <c r="B1003" s="2"/>
      <c r="C1003" s="2"/>
    </row>
    <row r="1004" spans="2:3" x14ac:dyDescent="0.2">
      <c r="B1004" s="2"/>
      <c r="C1004" s="2"/>
    </row>
    <row r="1005" spans="2:3" x14ac:dyDescent="0.2">
      <c r="B1005" s="2"/>
      <c r="C1005" s="2"/>
    </row>
    <row r="1006" spans="2:3" x14ac:dyDescent="0.2">
      <c r="B1006" s="2"/>
      <c r="C1006" s="2"/>
    </row>
    <row r="1007" spans="2:3" x14ac:dyDescent="0.2">
      <c r="B1007" s="2"/>
      <c r="C1007" s="2"/>
    </row>
    <row r="1008" spans="2:3" x14ac:dyDescent="0.2">
      <c r="B1008" s="2"/>
      <c r="C1008" s="2"/>
    </row>
    <row r="1009" spans="2:3" x14ac:dyDescent="0.2">
      <c r="B1009" s="2"/>
      <c r="C1009" s="2"/>
    </row>
    <row r="1010" spans="2:3" x14ac:dyDescent="0.2">
      <c r="B1010" s="2"/>
      <c r="C1010" s="2"/>
    </row>
    <row r="1011" spans="2:3" x14ac:dyDescent="0.2">
      <c r="B1011" s="2"/>
      <c r="C1011" s="2"/>
    </row>
    <row r="1012" spans="2:3" x14ac:dyDescent="0.2">
      <c r="B1012" s="2"/>
      <c r="C1012" s="2"/>
    </row>
    <row r="1013" spans="2:3" x14ac:dyDescent="0.2">
      <c r="B1013" s="2"/>
      <c r="C1013" s="2"/>
    </row>
    <row r="1014" spans="2:3" x14ac:dyDescent="0.2">
      <c r="B1014" s="2"/>
      <c r="C1014" s="2"/>
    </row>
    <row r="1015" spans="2:3" x14ac:dyDescent="0.2">
      <c r="B1015" s="2"/>
      <c r="C1015" s="2"/>
    </row>
    <row r="1016" spans="2:3" x14ac:dyDescent="0.2">
      <c r="B1016" s="2"/>
      <c r="C1016" s="2"/>
    </row>
    <row r="1017" spans="2:3" x14ac:dyDescent="0.2">
      <c r="B1017" s="2"/>
      <c r="C1017" s="2"/>
    </row>
    <row r="1018" spans="2:3" x14ac:dyDescent="0.2">
      <c r="B1018" s="2"/>
      <c r="C1018" s="2"/>
    </row>
    <row r="1019" spans="2:3" x14ac:dyDescent="0.2">
      <c r="B1019" s="2"/>
      <c r="C1019" s="2"/>
    </row>
    <row r="1020" spans="2:3" x14ac:dyDescent="0.2">
      <c r="B1020" s="2"/>
      <c r="C1020" s="2"/>
    </row>
    <row r="1021" spans="2:3" x14ac:dyDescent="0.2">
      <c r="B1021" s="2"/>
      <c r="C1021" s="2"/>
    </row>
    <row r="1022" spans="2:3" x14ac:dyDescent="0.2">
      <c r="B1022" s="2"/>
      <c r="C1022" s="2"/>
    </row>
    <row r="1023" spans="2:3" x14ac:dyDescent="0.2">
      <c r="B1023" s="2"/>
      <c r="C1023" s="2"/>
    </row>
    <row r="1024" spans="2:3" x14ac:dyDescent="0.2">
      <c r="B1024" s="2"/>
      <c r="C1024" s="2"/>
    </row>
    <row r="1025" spans="2:3" x14ac:dyDescent="0.2">
      <c r="B1025" s="2"/>
      <c r="C1025" s="2"/>
    </row>
    <row r="1026" spans="2:3" x14ac:dyDescent="0.2">
      <c r="B1026" s="2"/>
      <c r="C1026" s="2"/>
    </row>
    <row r="1027" spans="2:3" x14ac:dyDescent="0.2">
      <c r="B1027" s="2"/>
      <c r="C1027" s="2"/>
    </row>
    <row r="1028" spans="2:3" x14ac:dyDescent="0.2">
      <c r="B1028" s="2"/>
      <c r="C1028" s="2"/>
    </row>
    <row r="1029" spans="2:3" x14ac:dyDescent="0.2">
      <c r="B1029" s="2"/>
      <c r="C1029" s="2"/>
    </row>
    <row r="1030" spans="2:3" x14ac:dyDescent="0.2">
      <c r="B1030" s="2"/>
      <c r="C1030" s="2"/>
    </row>
    <row r="1031" spans="2:3" x14ac:dyDescent="0.2">
      <c r="B1031" s="2"/>
      <c r="C1031" s="2"/>
    </row>
    <row r="1032" spans="2:3" x14ac:dyDescent="0.2">
      <c r="B1032" s="2"/>
      <c r="C1032" s="2"/>
    </row>
    <row r="1033" spans="2:3" x14ac:dyDescent="0.2">
      <c r="B1033" s="2"/>
      <c r="C1033" s="2"/>
    </row>
    <row r="1034" spans="2:3" x14ac:dyDescent="0.2">
      <c r="B1034" s="2"/>
      <c r="C1034" s="2"/>
    </row>
    <row r="1035" spans="2:3" x14ac:dyDescent="0.2">
      <c r="B1035" s="2"/>
      <c r="C1035" s="2"/>
    </row>
    <row r="1036" spans="2:3" x14ac:dyDescent="0.2">
      <c r="B1036" s="2"/>
      <c r="C1036" s="2"/>
    </row>
    <row r="1037" spans="2:3" x14ac:dyDescent="0.2">
      <c r="B1037" s="2"/>
      <c r="C1037" s="2"/>
    </row>
    <row r="1038" spans="2:3" x14ac:dyDescent="0.2">
      <c r="B1038" s="2"/>
      <c r="C1038" s="2"/>
    </row>
    <row r="1039" spans="2:3" x14ac:dyDescent="0.2">
      <c r="B1039" s="2"/>
      <c r="C1039" s="2"/>
    </row>
    <row r="1040" spans="2:3" x14ac:dyDescent="0.2">
      <c r="B1040" s="2"/>
      <c r="C1040" s="2"/>
    </row>
    <row r="1041" spans="2:3" x14ac:dyDescent="0.2">
      <c r="B1041" s="2"/>
      <c r="C1041" s="2"/>
    </row>
    <row r="1042" spans="2:3" x14ac:dyDescent="0.2">
      <c r="B1042" s="2"/>
      <c r="C1042" s="2"/>
    </row>
    <row r="1043" spans="2:3" x14ac:dyDescent="0.2">
      <c r="B1043" s="2"/>
      <c r="C1043" s="2"/>
    </row>
    <row r="1044" spans="2:3" x14ac:dyDescent="0.2">
      <c r="B1044" s="2"/>
      <c r="C1044" s="2"/>
    </row>
    <row r="1045" spans="2:3" x14ac:dyDescent="0.2">
      <c r="B1045" s="2"/>
      <c r="C1045" s="2"/>
    </row>
    <row r="1046" spans="2:3" x14ac:dyDescent="0.2">
      <c r="B1046" s="2"/>
      <c r="C1046" s="2"/>
    </row>
    <row r="1047" spans="2:3" x14ac:dyDescent="0.2">
      <c r="B1047" s="2"/>
      <c r="C1047" s="2"/>
    </row>
    <row r="1048" spans="2:3" x14ac:dyDescent="0.2">
      <c r="B1048" s="2"/>
      <c r="C1048" s="2"/>
    </row>
    <row r="1049" spans="2:3" x14ac:dyDescent="0.2">
      <c r="B1049" s="2"/>
      <c r="C1049" s="2"/>
    </row>
    <row r="1050" spans="2:3" x14ac:dyDescent="0.2">
      <c r="B1050" s="2"/>
      <c r="C1050" s="2"/>
    </row>
    <row r="1051" spans="2:3" x14ac:dyDescent="0.2">
      <c r="B1051" s="2"/>
      <c r="C1051" s="2"/>
    </row>
    <row r="1052" spans="2:3" x14ac:dyDescent="0.2">
      <c r="B1052" s="2"/>
      <c r="C1052" s="2"/>
    </row>
    <row r="1053" spans="2:3" x14ac:dyDescent="0.2">
      <c r="B1053" s="2"/>
      <c r="C1053" s="2"/>
    </row>
    <row r="1054" spans="2:3" x14ac:dyDescent="0.2">
      <c r="B1054" s="2"/>
      <c r="C1054" s="2"/>
    </row>
    <row r="1055" spans="2:3" x14ac:dyDescent="0.2">
      <c r="B1055" s="2"/>
      <c r="C1055" s="2"/>
    </row>
    <row r="1056" spans="2:3" x14ac:dyDescent="0.2">
      <c r="B1056" s="2"/>
      <c r="C1056" s="2"/>
    </row>
    <row r="1057" spans="2:3" x14ac:dyDescent="0.2">
      <c r="B1057" s="2"/>
      <c r="C1057" s="2"/>
    </row>
    <row r="1058" spans="2:3" x14ac:dyDescent="0.2">
      <c r="B1058" s="2"/>
      <c r="C1058" s="2"/>
    </row>
    <row r="1059" spans="2:3" x14ac:dyDescent="0.2">
      <c r="B1059" s="2"/>
      <c r="C1059" s="2"/>
    </row>
    <row r="1060" spans="2:3" x14ac:dyDescent="0.2">
      <c r="B1060" s="2"/>
      <c r="C1060" s="2"/>
    </row>
    <row r="1061" spans="2:3" x14ac:dyDescent="0.2">
      <c r="B1061" s="2"/>
      <c r="C1061" s="2"/>
    </row>
    <row r="1062" spans="2:3" x14ac:dyDescent="0.2">
      <c r="B1062" s="2"/>
      <c r="C1062" s="2"/>
    </row>
    <row r="1063" spans="2:3" x14ac:dyDescent="0.2">
      <c r="B1063" s="2"/>
      <c r="C1063" s="2"/>
    </row>
    <row r="1064" spans="2:3" x14ac:dyDescent="0.2">
      <c r="B1064" s="2"/>
      <c r="C1064" s="2"/>
    </row>
    <row r="1065" spans="2:3" x14ac:dyDescent="0.2">
      <c r="B1065" s="2"/>
      <c r="C1065" s="2"/>
    </row>
    <row r="1066" spans="2:3" x14ac:dyDescent="0.2">
      <c r="B1066" s="2"/>
      <c r="C1066" s="2"/>
    </row>
    <row r="1067" spans="2:3" x14ac:dyDescent="0.2">
      <c r="B1067" s="2"/>
      <c r="C1067" s="2"/>
    </row>
    <row r="1068" spans="2:3" x14ac:dyDescent="0.2">
      <c r="B1068" s="2"/>
      <c r="C1068" s="2"/>
    </row>
    <row r="1069" spans="2:3" x14ac:dyDescent="0.2">
      <c r="B1069" s="2"/>
      <c r="C1069" s="2"/>
    </row>
    <row r="1070" spans="2:3" x14ac:dyDescent="0.2">
      <c r="B1070" s="2"/>
      <c r="C1070" s="2"/>
    </row>
    <row r="1071" spans="2:3" x14ac:dyDescent="0.2">
      <c r="B1071" s="2"/>
      <c r="C1071" s="2"/>
    </row>
    <row r="1072" spans="2:3" x14ac:dyDescent="0.2">
      <c r="B1072" s="2"/>
      <c r="C1072" s="2"/>
    </row>
    <row r="1073" spans="2:3" x14ac:dyDescent="0.2">
      <c r="B1073" s="2"/>
      <c r="C1073" s="2"/>
    </row>
    <row r="1074" spans="2:3" x14ac:dyDescent="0.2">
      <c r="B1074" s="2"/>
      <c r="C1074" s="2"/>
    </row>
    <row r="1075" spans="2:3" x14ac:dyDescent="0.2">
      <c r="B1075" s="2"/>
      <c r="C1075" s="2"/>
    </row>
    <row r="1076" spans="2:3" x14ac:dyDescent="0.2">
      <c r="B1076" s="2"/>
      <c r="C1076" s="2"/>
    </row>
    <row r="1077" spans="2:3" x14ac:dyDescent="0.2">
      <c r="B1077" s="2"/>
      <c r="C1077" s="2"/>
    </row>
    <row r="1078" spans="2:3" x14ac:dyDescent="0.2">
      <c r="B1078" s="2"/>
      <c r="C1078" s="2"/>
    </row>
    <row r="1079" spans="2:3" x14ac:dyDescent="0.2">
      <c r="B1079" s="2"/>
      <c r="C1079" s="2"/>
    </row>
    <row r="1080" spans="2:3" x14ac:dyDescent="0.2">
      <c r="B1080" s="2"/>
      <c r="C1080" s="2"/>
    </row>
    <row r="1081" spans="2:3" x14ac:dyDescent="0.2">
      <c r="B1081" s="2"/>
      <c r="C1081" s="2"/>
    </row>
    <row r="1082" spans="2:3" x14ac:dyDescent="0.2">
      <c r="B1082" s="2"/>
      <c r="C1082" s="2"/>
    </row>
    <row r="1083" spans="2:3" x14ac:dyDescent="0.2">
      <c r="B1083" s="2"/>
      <c r="C1083" s="2"/>
    </row>
    <row r="1084" spans="2:3" x14ac:dyDescent="0.2">
      <c r="B1084" s="2"/>
      <c r="C1084" s="2"/>
    </row>
    <row r="1085" spans="2:3" x14ac:dyDescent="0.2">
      <c r="B1085" s="2"/>
      <c r="C1085" s="2"/>
    </row>
    <row r="1086" spans="2:3" x14ac:dyDescent="0.2">
      <c r="B1086" s="2"/>
      <c r="C1086" s="2"/>
    </row>
    <row r="1087" spans="2:3" x14ac:dyDescent="0.2">
      <c r="B1087" s="2"/>
      <c r="C1087" s="2"/>
    </row>
    <row r="1088" spans="2:3" x14ac:dyDescent="0.2">
      <c r="B1088" s="2"/>
      <c r="C1088" s="2"/>
    </row>
    <row r="1089" spans="2:3" x14ac:dyDescent="0.2">
      <c r="B1089" s="2"/>
      <c r="C1089" s="2"/>
    </row>
    <row r="1090" spans="2:3" x14ac:dyDescent="0.2">
      <c r="B1090" s="2"/>
      <c r="C1090" s="2"/>
    </row>
    <row r="1091" spans="2:3" x14ac:dyDescent="0.2">
      <c r="B1091" s="2"/>
      <c r="C1091" s="2"/>
    </row>
    <row r="1092" spans="2:3" x14ac:dyDescent="0.2">
      <c r="B1092" s="2"/>
      <c r="C1092" s="2"/>
    </row>
    <row r="1093" spans="2:3" x14ac:dyDescent="0.2">
      <c r="B1093" s="2"/>
      <c r="C1093" s="2"/>
    </row>
    <row r="1094" spans="2:3" x14ac:dyDescent="0.2">
      <c r="B1094" s="2"/>
      <c r="C1094" s="2"/>
    </row>
    <row r="1095" spans="2:3" x14ac:dyDescent="0.2">
      <c r="B1095" s="2"/>
      <c r="C1095" s="2"/>
    </row>
    <row r="1096" spans="2:3" x14ac:dyDescent="0.2">
      <c r="B1096" s="2"/>
      <c r="C1096" s="2"/>
    </row>
    <row r="1097" spans="2:3" x14ac:dyDescent="0.2">
      <c r="B1097" s="2"/>
      <c r="C1097" s="2"/>
    </row>
    <row r="1098" spans="2:3" x14ac:dyDescent="0.2">
      <c r="B1098" s="2"/>
      <c r="C1098" s="2"/>
    </row>
    <row r="1099" spans="2:3" x14ac:dyDescent="0.2">
      <c r="B1099" s="2"/>
      <c r="C1099" s="2"/>
    </row>
    <row r="1100" spans="2:3" x14ac:dyDescent="0.2">
      <c r="B1100" s="2"/>
      <c r="C1100" s="2"/>
    </row>
    <row r="1101" spans="2:3" x14ac:dyDescent="0.2">
      <c r="B1101" s="2"/>
      <c r="C1101" s="2"/>
    </row>
    <row r="1102" spans="2:3" x14ac:dyDescent="0.2">
      <c r="B1102" s="2"/>
      <c r="C1102" s="2"/>
    </row>
    <row r="1103" spans="2:3" x14ac:dyDescent="0.2">
      <c r="B1103" s="2"/>
      <c r="C1103" s="2"/>
    </row>
    <row r="1104" spans="2:3" x14ac:dyDescent="0.2">
      <c r="B1104" s="2"/>
      <c r="C1104" s="2"/>
    </row>
    <row r="1105" spans="2:3" x14ac:dyDescent="0.2">
      <c r="B1105" s="2"/>
      <c r="C1105" s="2"/>
    </row>
    <row r="1106" spans="2:3" x14ac:dyDescent="0.2">
      <c r="B1106" s="2"/>
      <c r="C1106" s="2"/>
    </row>
    <row r="1107" spans="2:3" x14ac:dyDescent="0.2">
      <c r="B1107" s="2"/>
      <c r="C1107" s="2"/>
    </row>
    <row r="1108" spans="2:3" x14ac:dyDescent="0.2">
      <c r="B1108" s="2"/>
      <c r="C1108" s="2"/>
    </row>
    <row r="1109" spans="2:3" x14ac:dyDescent="0.2">
      <c r="B1109" s="2"/>
      <c r="C1109" s="2"/>
    </row>
    <row r="1110" spans="2:3" x14ac:dyDescent="0.2">
      <c r="B1110" s="2"/>
      <c r="C1110" s="2"/>
    </row>
    <row r="1111" spans="2:3" x14ac:dyDescent="0.2">
      <c r="B1111" s="2"/>
      <c r="C1111" s="2"/>
    </row>
    <row r="1112" spans="2:3" x14ac:dyDescent="0.2">
      <c r="B1112" s="2"/>
      <c r="C1112" s="2"/>
    </row>
    <row r="1113" spans="2:3" x14ac:dyDescent="0.2">
      <c r="B1113" s="2"/>
      <c r="C1113" s="2"/>
    </row>
    <row r="1114" spans="2:3" x14ac:dyDescent="0.2">
      <c r="B1114" s="2"/>
      <c r="C1114" s="2"/>
    </row>
    <row r="1115" spans="2:3" x14ac:dyDescent="0.2">
      <c r="B1115" s="2"/>
      <c r="C1115" s="2"/>
    </row>
    <row r="1116" spans="2:3" x14ac:dyDescent="0.2">
      <c r="B1116" s="2"/>
      <c r="C1116" s="2"/>
    </row>
    <row r="1117" spans="2:3" x14ac:dyDescent="0.2">
      <c r="B1117" s="2"/>
      <c r="C1117" s="2"/>
    </row>
    <row r="1118" spans="2:3" x14ac:dyDescent="0.2">
      <c r="B1118" s="2"/>
      <c r="C1118" s="2"/>
    </row>
    <row r="1119" spans="2:3" x14ac:dyDescent="0.2">
      <c r="B1119" s="2"/>
      <c r="C1119" s="2"/>
    </row>
    <row r="1120" spans="2:3" x14ac:dyDescent="0.2">
      <c r="B1120" s="2"/>
      <c r="C1120" s="2"/>
    </row>
    <row r="1121" spans="2:3" x14ac:dyDescent="0.2">
      <c r="B1121" s="2"/>
      <c r="C1121" s="2"/>
    </row>
    <row r="1122" spans="2:3" x14ac:dyDescent="0.2">
      <c r="B1122" s="2"/>
      <c r="C1122" s="2"/>
    </row>
    <row r="1123" spans="2:3" x14ac:dyDescent="0.2">
      <c r="B1123" s="2"/>
      <c r="C1123" s="2"/>
    </row>
    <row r="1124" spans="2:3" x14ac:dyDescent="0.2">
      <c r="B1124" s="2"/>
      <c r="C1124" s="2"/>
    </row>
    <row r="1125" spans="2:3" x14ac:dyDescent="0.2">
      <c r="B1125" s="2"/>
      <c r="C1125" s="2"/>
    </row>
    <row r="1126" spans="2:3" x14ac:dyDescent="0.2">
      <c r="B1126" s="2"/>
      <c r="C1126" s="2"/>
    </row>
    <row r="1127" spans="2:3" x14ac:dyDescent="0.2">
      <c r="B1127" s="2"/>
      <c r="C1127" s="2"/>
    </row>
    <row r="1128" spans="2:3" x14ac:dyDescent="0.2">
      <c r="B1128" s="2"/>
      <c r="C1128" s="2"/>
    </row>
    <row r="1129" spans="2:3" x14ac:dyDescent="0.2">
      <c r="B1129" s="2"/>
      <c r="C1129" s="2"/>
    </row>
    <row r="1130" spans="2:3" x14ac:dyDescent="0.2">
      <c r="B1130" s="2"/>
      <c r="C1130" s="2"/>
    </row>
    <row r="1131" spans="2:3" x14ac:dyDescent="0.2">
      <c r="B1131" s="2"/>
      <c r="C1131" s="2"/>
    </row>
    <row r="1132" spans="2:3" x14ac:dyDescent="0.2">
      <c r="B1132" s="2"/>
      <c r="C1132" s="2"/>
    </row>
    <row r="1133" spans="2:3" x14ac:dyDescent="0.2">
      <c r="B1133" s="2"/>
      <c r="C1133" s="2"/>
    </row>
    <row r="1134" spans="2:3" x14ac:dyDescent="0.2">
      <c r="B1134" s="2"/>
      <c r="C1134" s="2"/>
    </row>
    <row r="1135" spans="2:3" x14ac:dyDescent="0.2">
      <c r="B1135" s="2"/>
      <c r="C1135" s="2"/>
    </row>
    <row r="1136" spans="2:3" x14ac:dyDescent="0.2">
      <c r="B1136" s="2"/>
      <c r="C1136" s="2"/>
    </row>
    <row r="1137" spans="2:3" x14ac:dyDescent="0.2">
      <c r="B1137" s="2"/>
      <c r="C1137" s="2"/>
    </row>
    <row r="1138" spans="2:3" x14ac:dyDescent="0.2">
      <c r="B1138" s="2"/>
      <c r="C1138" s="2"/>
    </row>
    <row r="1139" spans="2:3" x14ac:dyDescent="0.2">
      <c r="B1139" s="2"/>
      <c r="C1139" s="2"/>
    </row>
    <row r="1140" spans="2:3" x14ac:dyDescent="0.2">
      <c r="B1140" s="2"/>
      <c r="C1140" s="2"/>
    </row>
    <row r="1141" spans="2:3" x14ac:dyDescent="0.2">
      <c r="B1141" s="2"/>
      <c r="C1141" s="2"/>
    </row>
    <row r="1142" spans="2:3" x14ac:dyDescent="0.2">
      <c r="B1142" s="2"/>
      <c r="C1142" s="2"/>
    </row>
    <row r="1143" spans="2:3" x14ac:dyDescent="0.2">
      <c r="B1143" s="2"/>
      <c r="C1143" s="2"/>
    </row>
    <row r="1144" spans="2:3" x14ac:dyDescent="0.2">
      <c r="B1144" s="2"/>
      <c r="C1144" s="2"/>
    </row>
    <row r="1145" spans="2:3" x14ac:dyDescent="0.2">
      <c r="B1145" s="2"/>
      <c r="C1145" s="2"/>
    </row>
    <row r="1146" spans="2:3" x14ac:dyDescent="0.2">
      <c r="B1146" s="2"/>
      <c r="C1146" s="2"/>
    </row>
    <row r="1147" spans="2:3" x14ac:dyDescent="0.2">
      <c r="B1147" s="2"/>
      <c r="C1147" s="2"/>
    </row>
    <row r="1148" spans="2:3" x14ac:dyDescent="0.2">
      <c r="B1148" s="2"/>
      <c r="C1148" s="2"/>
    </row>
    <row r="1149" spans="2:3" x14ac:dyDescent="0.2">
      <c r="B1149" s="2"/>
      <c r="C1149" s="2"/>
    </row>
    <row r="1150" spans="2:3" x14ac:dyDescent="0.2">
      <c r="B1150" s="2"/>
      <c r="C1150" s="2"/>
    </row>
    <row r="1151" spans="2:3" x14ac:dyDescent="0.2">
      <c r="B1151" s="2"/>
      <c r="C1151" s="2"/>
    </row>
    <row r="1152" spans="2:3" x14ac:dyDescent="0.2">
      <c r="B1152" s="2"/>
      <c r="C1152" s="2"/>
    </row>
    <row r="1153" spans="2:3" x14ac:dyDescent="0.2">
      <c r="B1153" s="2"/>
      <c r="C1153" s="2"/>
    </row>
    <row r="1154" spans="2:3" x14ac:dyDescent="0.2">
      <c r="B1154" s="2"/>
      <c r="C1154" s="2"/>
    </row>
    <row r="1155" spans="2:3" x14ac:dyDescent="0.2">
      <c r="B1155" s="2"/>
      <c r="C1155" s="2"/>
    </row>
    <row r="1156" spans="2:3" x14ac:dyDescent="0.2">
      <c r="B1156" s="2"/>
      <c r="C1156" s="2"/>
    </row>
    <row r="1157" spans="2:3" x14ac:dyDescent="0.2">
      <c r="B1157" s="2"/>
      <c r="C1157" s="2"/>
    </row>
    <row r="1158" spans="2:3" x14ac:dyDescent="0.2">
      <c r="B1158" s="2"/>
      <c r="C1158" s="2"/>
    </row>
    <row r="1159" spans="2:3" x14ac:dyDescent="0.2">
      <c r="B1159" s="2"/>
      <c r="C1159" s="2"/>
    </row>
    <row r="1160" spans="2:3" x14ac:dyDescent="0.2">
      <c r="B1160" s="2"/>
      <c r="C1160" s="2"/>
    </row>
    <row r="1161" spans="2:3" x14ac:dyDescent="0.2">
      <c r="B1161" s="2"/>
      <c r="C1161" s="2"/>
    </row>
    <row r="1162" spans="2:3" x14ac:dyDescent="0.2">
      <c r="B1162" s="2"/>
      <c r="C1162" s="2"/>
    </row>
    <row r="1163" spans="2:3" x14ac:dyDescent="0.2">
      <c r="B1163" s="2"/>
      <c r="C1163" s="2"/>
    </row>
    <row r="1164" spans="2:3" x14ac:dyDescent="0.2">
      <c r="B1164" s="2"/>
      <c r="C1164" s="2"/>
    </row>
    <row r="1165" spans="2:3" x14ac:dyDescent="0.2">
      <c r="B1165" s="2"/>
      <c r="C1165" s="2"/>
    </row>
    <row r="1166" spans="2:3" x14ac:dyDescent="0.2">
      <c r="B1166" s="2"/>
      <c r="C1166" s="2"/>
    </row>
    <row r="1167" spans="2:3" x14ac:dyDescent="0.2">
      <c r="B1167" s="2"/>
      <c r="C1167" s="2"/>
    </row>
    <row r="1168" spans="2:3" x14ac:dyDescent="0.2">
      <c r="B1168" s="2"/>
      <c r="C1168" s="2"/>
    </row>
    <row r="1169" spans="2:3" x14ac:dyDescent="0.2">
      <c r="B1169" s="2"/>
      <c r="C1169" s="2"/>
    </row>
    <row r="1170" spans="2:3" x14ac:dyDescent="0.2">
      <c r="B1170" s="2"/>
      <c r="C1170" s="2"/>
    </row>
    <row r="1171" spans="2:3" x14ac:dyDescent="0.2">
      <c r="B1171" s="2"/>
      <c r="C1171" s="2"/>
    </row>
    <row r="1172" spans="2:3" x14ac:dyDescent="0.2">
      <c r="B1172" s="2"/>
      <c r="C1172" s="2"/>
    </row>
    <row r="1173" spans="2:3" x14ac:dyDescent="0.2">
      <c r="B1173" s="2"/>
      <c r="C1173" s="2"/>
    </row>
    <row r="1174" spans="2:3" x14ac:dyDescent="0.2">
      <c r="B1174" s="2"/>
      <c r="C1174" s="2"/>
    </row>
    <row r="1175" spans="2:3" x14ac:dyDescent="0.2">
      <c r="B1175" s="2"/>
      <c r="C1175" s="2"/>
    </row>
    <row r="1176" spans="2:3" x14ac:dyDescent="0.2">
      <c r="B1176" s="2"/>
      <c r="C1176" s="2"/>
    </row>
    <row r="1177" spans="2:3" x14ac:dyDescent="0.2">
      <c r="B1177" s="2"/>
      <c r="C1177" s="2"/>
    </row>
    <row r="1178" spans="2:3" x14ac:dyDescent="0.2">
      <c r="B1178" s="2"/>
      <c r="C1178" s="2"/>
    </row>
    <row r="1179" spans="2:3" x14ac:dyDescent="0.2">
      <c r="B1179" s="2"/>
      <c r="C1179" s="2"/>
    </row>
    <row r="1180" spans="2:3" x14ac:dyDescent="0.2">
      <c r="B1180" s="2"/>
      <c r="C1180" s="2"/>
    </row>
    <row r="1181" spans="2:3" x14ac:dyDescent="0.2">
      <c r="B1181" s="2"/>
      <c r="C1181" s="2"/>
    </row>
    <row r="1182" spans="2:3" x14ac:dyDescent="0.2">
      <c r="B1182" s="2"/>
      <c r="C1182" s="2"/>
    </row>
    <row r="1183" spans="2:3" x14ac:dyDescent="0.2">
      <c r="B1183" s="2"/>
      <c r="C1183" s="2"/>
    </row>
    <row r="1184" spans="2:3" x14ac:dyDescent="0.2">
      <c r="B1184" s="2"/>
      <c r="C1184" s="2"/>
    </row>
    <row r="1185" spans="2:3" x14ac:dyDescent="0.2">
      <c r="B1185" s="2"/>
      <c r="C1185" s="2"/>
    </row>
    <row r="1186" spans="2:3" x14ac:dyDescent="0.2">
      <c r="B1186" s="2"/>
      <c r="C1186" s="2"/>
    </row>
    <row r="1187" spans="2:3" x14ac:dyDescent="0.2">
      <c r="B1187" s="2"/>
      <c r="C1187" s="2"/>
    </row>
    <row r="1188" spans="2:3" x14ac:dyDescent="0.2">
      <c r="B1188" s="2"/>
      <c r="C1188" s="2"/>
    </row>
    <row r="1189" spans="2:3" x14ac:dyDescent="0.2">
      <c r="B1189" s="2"/>
      <c r="C1189" s="2"/>
    </row>
    <row r="1190" spans="2:3" x14ac:dyDescent="0.2">
      <c r="B1190" s="2"/>
      <c r="C1190" s="2"/>
    </row>
    <row r="1191" spans="2:3" x14ac:dyDescent="0.2">
      <c r="B1191" s="2"/>
      <c r="C1191" s="2"/>
    </row>
    <row r="1192" spans="2:3" x14ac:dyDescent="0.2">
      <c r="B1192" s="2"/>
      <c r="C1192" s="2"/>
    </row>
    <row r="1193" spans="2:3" x14ac:dyDescent="0.2">
      <c r="B1193" s="2"/>
      <c r="C1193" s="2"/>
    </row>
    <row r="1194" spans="2:3" x14ac:dyDescent="0.2">
      <c r="B1194" s="2"/>
      <c r="C1194" s="2"/>
    </row>
    <row r="1195" spans="2:3" x14ac:dyDescent="0.2">
      <c r="B1195" s="2"/>
      <c r="C1195" s="2"/>
    </row>
    <row r="1196" spans="2:3" x14ac:dyDescent="0.2">
      <c r="B1196" s="2"/>
      <c r="C1196" s="2"/>
    </row>
    <row r="1197" spans="2:3" x14ac:dyDescent="0.2">
      <c r="B1197" s="2"/>
      <c r="C1197" s="2"/>
    </row>
    <row r="1198" spans="2:3" x14ac:dyDescent="0.2">
      <c r="B1198" s="2"/>
      <c r="C1198" s="2"/>
    </row>
    <row r="1199" spans="2:3" x14ac:dyDescent="0.2">
      <c r="B1199" s="2"/>
      <c r="C1199" s="2"/>
    </row>
    <row r="1200" spans="2:3" x14ac:dyDescent="0.2">
      <c r="B1200" s="2"/>
      <c r="C1200" s="2"/>
    </row>
    <row r="1201" spans="2:3" x14ac:dyDescent="0.2">
      <c r="B1201" s="2"/>
      <c r="C1201" s="2"/>
    </row>
    <row r="1202" spans="2:3" x14ac:dyDescent="0.2">
      <c r="B1202" s="2"/>
      <c r="C1202" s="2"/>
    </row>
    <row r="1203" spans="2:3" x14ac:dyDescent="0.2">
      <c r="B1203" s="2"/>
      <c r="C1203" s="2"/>
    </row>
    <row r="1204" spans="2:3" x14ac:dyDescent="0.2">
      <c r="B1204" s="2"/>
      <c r="C1204" s="2"/>
    </row>
    <row r="1205" spans="2:3" x14ac:dyDescent="0.2">
      <c r="B1205" s="2"/>
      <c r="C1205" s="2"/>
    </row>
    <row r="1206" spans="2:3" x14ac:dyDescent="0.2">
      <c r="B1206" s="2"/>
      <c r="C1206" s="2"/>
    </row>
    <row r="1207" spans="2:3" x14ac:dyDescent="0.2">
      <c r="B1207" s="2"/>
      <c r="C1207" s="2"/>
    </row>
    <row r="1208" spans="2:3" x14ac:dyDescent="0.2">
      <c r="B1208" s="2"/>
      <c r="C1208" s="2"/>
    </row>
    <row r="1209" spans="2:3" x14ac:dyDescent="0.2">
      <c r="B1209" s="2"/>
      <c r="C1209" s="2"/>
    </row>
    <row r="1210" spans="2:3" x14ac:dyDescent="0.2">
      <c r="B1210" s="2"/>
      <c r="C1210" s="2"/>
    </row>
    <row r="1211" spans="2:3" x14ac:dyDescent="0.2">
      <c r="B1211" s="2"/>
      <c r="C1211" s="2"/>
    </row>
    <row r="1212" spans="2:3" x14ac:dyDescent="0.2">
      <c r="B1212" s="2"/>
      <c r="C1212" s="2"/>
    </row>
  </sheetData>
  <mergeCells count="6">
    <mergeCell ref="B4:C4"/>
    <mergeCell ref="B1:H1"/>
    <mergeCell ref="B2:H2"/>
    <mergeCell ref="B3:H3"/>
    <mergeCell ref="B7:H7"/>
    <mergeCell ref="B6:H6"/>
  </mergeCells>
  <printOptions gridLines="1"/>
  <pageMargins left="0.5" right="0.5" top="0.5" bottom="0.5" header="0.5" footer="0.5"/>
  <pageSetup scale="90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1.23</vt:lpstr>
      <vt:lpstr>'1.23'!Print_Area</vt:lpstr>
      <vt:lpstr>'1.23'!Print_Area_MI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2019-04-22T10:01:07Z</dcterms:modified>
</cp:coreProperties>
</file>