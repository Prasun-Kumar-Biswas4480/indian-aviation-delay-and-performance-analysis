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1.19" sheetId="2" r:id="rId1"/>
  </sheets>
  <externalReferences>
    <externalReference r:id="rId2"/>
    <externalReference r:id="rId3"/>
  </externalReferences>
  <definedNames>
    <definedName name="\a" localSheetId="0">'1.19'!#REF!</definedName>
    <definedName name="\a">'[1]1.17'!#REF!</definedName>
    <definedName name="\b">#REF!</definedName>
    <definedName name="_Regression_Int" localSheetId="0" hidden="1">1</definedName>
    <definedName name="D_Fleet">OFFSET(#REF!,COUNTA(#REF!)-1,COUNTA(#REF!),0,0)</definedName>
    <definedName name="name_Operator">OFFSET([2]Sheet1!$O$2,0,0,20,0)</definedName>
    <definedName name="Operator">[2]Sheet1!$O$2:$O$26</definedName>
    <definedName name="_xlnm.Print_Area" localSheetId="0">'1.19'!$A$1:$D$14</definedName>
    <definedName name="Print_Area_MI" localSheetId="0">'1.19'!$A$6:$D$13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2" l="1"/>
  <c r="A3" i="2"/>
  <c r="B6" i="2"/>
  <c r="C6" i="2"/>
  <c r="D6" i="2"/>
  <c r="B7" i="2"/>
  <c r="C7" i="2"/>
  <c r="D7" i="2"/>
  <c r="B8" i="2"/>
  <c r="C8" i="2"/>
  <c r="D8" i="2"/>
  <c r="B9" i="2"/>
  <c r="C9" i="2"/>
  <c r="D9" i="2"/>
  <c r="B10" i="2"/>
  <c r="B12" i="2" s="1"/>
  <c r="C10" i="2"/>
  <c r="D10" i="2"/>
  <c r="B11" i="2"/>
  <c r="C11" i="2"/>
  <c r="D11" i="2"/>
  <c r="A13" i="2"/>
  <c r="D12" i="2" l="1"/>
  <c r="C12" i="2"/>
</calcChain>
</file>

<file path=xl/sharedStrings.xml><?xml version="1.0" encoding="utf-8"?>
<sst xmlns="http://schemas.openxmlformats.org/spreadsheetml/2006/main" count="14" uniqueCount="14">
  <si>
    <r>
      <t>Year end on 31</t>
    </r>
    <r>
      <rPr>
        <b/>
        <vertAlign val="superscript"/>
        <sz val="12"/>
        <rFont val="Calibri Light"/>
        <family val="1"/>
        <scheme val="major"/>
      </rPr>
      <t xml:space="preserve">st </t>
    </r>
    <r>
      <rPr>
        <b/>
        <sz val="12"/>
        <rFont val="Calibri Light"/>
        <family val="1"/>
        <scheme val="major"/>
      </rPr>
      <t>March</t>
    </r>
  </si>
  <si>
    <t>TOTAL</t>
  </si>
  <si>
    <t>ALL OTHER PERSONNEL</t>
  </si>
  <si>
    <t>TICKETING AND SALES PERSONNEL</t>
  </si>
  <si>
    <t>MAINTENANCE AND OVERHAUL PERSONNEL</t>
  </si>
  <si>
    <t>CABIN ATTENDANTS</t>
  </si>
  <si>
    <t>OTHER COCKPIT PERSONNEL</t>
  </si>
  <si>
    <t>PILOTS AND CO-PILOTS</t>
  </si>
  <si>
    <t xml:space="preserve"> YEAR-END</t>
  </si>
  <si>
    <t>MID-YEAR</t>
  </si>
  <si>
    <t>TOTAL EXPENDITURE (in Rs.Million)</t>
  </si>
  <si>
    <t xml:space="preserve">   NUMBER OF PERSONNEL</t>
  </si>
  <si>
    <t>CATEGORY OF STAFF</t>
  </si>
  <si>
    <t xml:space="preserve"> ºÉÉ®hÉÉÒ - 1.19 (स्पाइस जेट)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</si>
</sst>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10" x14ac:knownFonts="1">
    <font>
      <sz val="11"/>
      <color theme="1"/>
      <name val="Calibri"/>
      <family val="2"/>
      <scheme val="minor"/>
    </font>
    <font>
      <sz val="10"/>
      <name val="Courier"/>
    </font>
    <font>
      <sz val="12"/>
      <name val="Arial"/>
      <family val="2"/>
    </font>
    <font>
      <b/>
      <sz val="12"/>
      <name val="Calibri Light"/>
      <family val="1"/>
      <scheme val="major"/>
    </font>
    <font>
      <b/>
      <vertAlign val="superscript"/>
      <sz val="12"/>
      <name val="Calibri Light"/>
      <family val="1"/>
      <scheme val="major"/>
    </font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b/>
      <sz val="14"/>
      <name val="Calibri Light"/>
      <family val="1"/>
      <scheme val="major"/>
    </font>
    <font>
      <b/>
      <sz val="18"/>
      <name val="Aryan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19">
    <xf numFmtId="0" fontId="0" fillId="0" borderId="0" xfId="0"/>
    <xf numFmtId="0" fontId="2" fillId="2" borderId="0" xfId="1" applyFont="1" applyFill="1"/>
    <xf numFmtId="0" fontId="3" fillId="2" borderId="0" xfId="1" applyFont="1" applyFill="1" applyBorder="1" applyAlignment="1">
      <alignment vertical="center" wrapText="1"/>
    </xf>
    <xf numFmtId="164" fontId="6" fillId="2" borderId="2" xfId="2" applyNumberFormat="1" applyFont="1" applyFill="1" applyBorder="1" applyAlignment="1">
      <alignment horizontal="center" vertical="center"/>
    </xf>
    <xf numFmtId="3" fontId="6" fillId="2" borderId="2" xfId="2" applyNumberFormat="1" applyFont="1" applyFill="1" applyBorder="1" applyAlignment="1">
      <alignment horizontal="center" vertical="center"/>
    </xf>
    <xf numFmtId="0" fontId="3" fillId="2" borderId="2" xfId="1" applyFont="1" applyFill="1" applyBorder="1" applyAlignment="1" applyProtection="1">
      <alignment horizontal="center" vertical="center" wrapText="1"/>
    </xf>
    <xf numFmtId="0" fontId="7" fillId="2" borderId="0" xfId="2" applyFont="1" applyFill="1" applyBorder="1" applyAlignment="1">
      <alignment horizontal="left" indent="1"/>
    </xf>
    <xf numFmtId="164" fontId="7" fillId="2" borderId="2" xfId="2" applyNumberFormat="1" applyFont="1" applyFill="1" applyBorder="1" applyAlignment="1">
      <alignment horizontal="center" vertical="center"/>
    </xf>
    <xf numFmtId="3" fontId="7" fillId="2" borderId="2" xfId="2" applyNumberFormat="1" applyFont="1" applyFill="1" applyBorder="1" applyAlignment="1">
      <alignment horizontal="center" vertical="center"/>
    </xf>
    <xf numFmtId="0" fontId="3" fillId="2" borderId="0" xfId="1" applyFont="1" applyFill="1" applyBorder="1" applyAlignment="1">
      <alignment horizontal="left" vertical="center" wrapText="1"/>
    </xf>
    <xf numFmtId="0" fontId="3" fillId="2" borderId="3" xfId="1" applyFont="1" applyFill="1" applyBorder="1" applyAlignment="1" applyProtection="1">
      <alignment horizontal="center" vertical="center" wrapText="1"/>
    </xf>
    <xf numFmtId="0" fontId="3" fillId="2" borderId="2" xfId="1" applyFont="1" applyFill="1" applyBorder="1" applyAlignment="1" applyProtection="1">
      <alignment horizontal="center" vertical="center" wrapText="1"/>
    </xf>
    <xf numFmtId="0" fontId="9" fillId="2" borderId="8" xfId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9" fillId="2" borderId="7" xfId="1" applyFont="1" applyFill="1" applyBorder="1" applyAlignment="1">
      <alignment horizontal="center" vertical="center"/>
    </xf>
    <xf numFmtId="0" fontId="8" fillId="2" borderId="6" xfId="1" quotePrefix="1" applyFont="1" applyFill="1" applyBorder="1" applyAlignment="1" applyProtection="1">
      <alignment horizontal="center" vertical="center" wrapText="1"/>
    </xf>
    <xf numFmtId="0" fontId="8" fillId="2" borderId="5" xfId="1" applyFont="1" applyFill="1" applyBorder="1" applyAlignment="1" applyProtection="1">
      <alignment horizontal="center" vertical="center" wrapText="1"/>
    </xf>
    <xf numFmtId="0" fontId="8" fillId="2" borderId="4" xfId="1" applyFont="1" applyFill="1" applyBorder="1" applyAlignment="1" applyProtection="1">
      <alignment horizontal="center" vertical="center" wrapText="1"/>
    </xf>
    <xf numFmtId="0" fontId="3" fillId="2" borderId="1" xfId="1" applyFont="1" applyFill="1" applyBorder="1" applyAlignment="1" applyProtection="1">
      <alignment horizontal="left" vertical="center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NI\Desktop\publication%20D&amp;EF%202018-19\TablesD%20&amp;%20EF%202018-19%20-%2015-02-2019\SPICEJET\SPICEJET%201.1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NI\Desktop\publication%20D&amp;EF%202018-19\TablesD%20&amp;%20EF%202018-19%20-%2015-02-2019\SPICEJET\Spice%20Jet%2007-02-201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7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EF"/>
      <sheetName val="Form D-Fleet"/>
      <sheetName val="Form D-Personnel"/>
      <sheetName val="RPKM"/>
      <sheetName val="Form D-Fleet _Process"/>
      <sheetName val="Form D -Personnel processing"/>
      <sheetName val="FormEF_Processing"/>
      <sheetName val="Sheet1"/>
      <sheetName val="1.16"/>
      <sheetName val="1.17"/>
      <sheetName val="1.18"/>
      <sheetName val="1.19"/>
      <sheetName val="1.20"/>
      <sheetName val="1.21"/>
      <sheetName val="1.22"/>
      <sheetName val="1.23"/>
      <sheetName val="1.24"/>
    </sheetNames>
    <sheetDataSet>
      <sheetData sheetId="0"/>
      <sheetData sheetId="1"/>
      <sheetData sheetId="2"/>
      <sheetData sheetId="3">
        <row r="4">
          <cell r="A4" t="str">
            <v>AIR INDIA</v>
          </cell>
        </row>
      </sheetData>
      <sheetData sheetId="4"/>
      <sheetData sheetId="5">
        <row r="4">
          <cell r="V4" t="str">
            <v>AIR ASIAP1</v>
          </cell>
          <cell r="W4" t="str">
            <v>AIR ASIA</v>
          </cell>
          <cell r="X4" t="str">
            <v>P1</v>
          </cell>
          <cell r="Y4">
            <v>76</v>
          </cell>
          <cell r="Z4">
            <v>116</v>
          </cell>
          <cell r="AA4">
            <v>1497.0107579999999</v>
          </cell>
        </row>
        <row r="5">
          <cell r="V5" t="str">
            <v>AIR ASIAP2</v>
          </cell>
          <cell r="W5" t="str">
            <v>AIR ASIA</v>
          </cell>
          <cell r="X5" t="str">
            <v>P2</v>
          </cell>
          <cell r="Y5">
            <v>67</v>
          </cell>
          <cell r="Z5">
            <v>132</v>
          </cell>
          <cell r="AA5"/>
        </row>
        <row r="6">
          <cell r="V6" t="str">
            <v>AIR ASIAP3</v>
          </cell>
          <cell r="W6" t="str">
            <v>AIR ASIA</v>
          </cell>
          <cell r="X6" t="str">
            <v>P3</v>
          </cell>
          <cell r="Y6">
            <v>442</v>
          </cell>
          <cell r="Z6">
            <v>503</v>
          </cell>
          <cell r="AA6">
            <v>270.56694700000003</v>
          </cell>
        </row>
        <row r="7">
          <cell r="V7" t="str">
            <v>AIR ASIAP4</v>
          </cell>
          <cell r="W7" t="str">
            <v>AIR ASIA</v>
          </cell>
          <cell r="X7" t="str">
            <v>P4</v>
          </cell>
          <cell r="Y7">
            <v>140</v>
          </cell>
          <cell r="Z7">
            <v>170</v>
          </cell>
          <cell r="AA7">
            <v>230.15995599999999</v>
          </cell>
        </row>
        <row r="8">
          <cell r="V8" t="str">
            <v>AIR ASIAP4.1</v>
          </cell>
          <cell r="W8" t="str">
            <v>AIR ASIA</v>
          </cell>
          <cell r="X8" t="str">
            <v>P4.1</v>
          </cell>
          <cell r="Y8">
            <v>40</v>
          </cell>
          <cell r="Z8">
            <v>50</v>
          </cell>
          <cell r="AA8"/>
        </row>
        <row r="9">
          <cell r="V9" t="str">
            <v>AIR ASIAP4.2</v>
          </cell>
          <cell r="W9" t="str">
            <v>AIR ASIA</v>
          </cell>
          <cell r="X9" t="str">
            <v>P4.2</v>
          </cell>
          <cell r="Y9">
            <v>100</v>
          </cell>
          <cell r="Z9">
            <v>120</v>
          </cell>
          <cell r="AA9">
            <v>230.15995599999999</v>
          </cell>
        </row>
        <row r="10">
          <cell r="V10" t="str">
            <v>AIR ASIAP5</v>
          </cell>
          <cell r="W10" t="str">
            <v>AIR ASIA</v>
          </cell>
          <cell r="X10" t="str">
            <v>P5</v>
          </cell>
          <cell r="Y10">
            <v>14</v>
          </cell>
          <cell r="Z10">
            <v>14</v>
          </cell>
          <cell r="AA10">
            <v>21.251818</v>
          </cell>
        </row>
        <row r="11">
          <cell r="V11" t="str">
            <v>AIR ASIAP6</v>
          </cell>
          <cell r="W11" t="str">
            <v>AIR ASIA</v>
          </cell>
          <cell r="X11" t="str">
            <v>P6</v>
          </cell>
          <cell r="Y11"/>
          <cell r="Z11"/>
          <cell r="AA11">
            <v>561.795705</v>
          </cell>
        </row>
        <row r="12">
          <cell r="V12" t="str">
            <v>AIR COSTAP1</v>
          </cell>
          <cell r="W12" t="str">
            <v>AIR COSTA</v>
          </cell>
          <cell r="X12" t="str">
            <v>P1</v>
          </cell>
          <cell r="Y12"/>
          <cell r="Z12"/>
          <cell r="AA12"/>
        </row>
        <row r="13">
          <cell r="V13" t="str">
            <v>AIR COSTAP2</v>
          </cell>
          <cell r="W13" t="str">
            <v>AIR COSTA</v>
          </cell>
          <cell r="X13" t="str">
            <v>P2</v>
          </cell>
          <cell r="Y13"/>
          <cell r="Z13"/>
          <cell r="AA13"/>
        </row>
        <row r="14">
          <cell r="V14" t="str">
            <v>AIR COSTAP3</v>
          </cell>
          <cell r="W14" t="str">
            <v>AIR COSTA</v>
          </cell>
          <cell r="X14" t="str">
            <v>P3</v>
          </cell>
          <cell r="Y14"/>
          <cell r="Z14"/>
          <cell r="AA14"/>
        </row>
        <row r="15">
          <cell r="V15" t="str">
            <v>AIR COSTAP4</v>
          </cell>
          <cell r="W15" t="str">
            <v>AIR COSTA</v>
          </cell>
          <cell r="X15" t="str">
            <v>P4</v>
          </cell>
          <cell r="Y15"/>
          <cell r="Z15"/>
          <cell r="AA15"/>
        </row>
        <row r="16">
          <cell r="V16" t="str">
            <v>AIR COSTAP4.1</v>
          </cell>
          <cell r="W16" t="str">
            <v>AIR COSTA</v>
          </cell>
          <cell r="X16" t="str">
            <v>P4.1</v>
          </cell>
          <cell r="Y16"/>
          <cell r="Z16"/>
          <cell r="AA16"/>
        </row>
        <row r="17">
          <cell r="V17" t="str">
            <v>AIR COSTAP4.2</v>
          </cell>
          <cell r="W17" t="str">
            <v>AIR COSTA</v>
          </cell>
          <cell r="X17" t="str">
            <v>P4.2</v>
          </cell>
          <cell r="Y17"/>
          <cell r="Z17"/>
          <cell r="AA17"/>
        </row>
        <row r="18">
          <cell r="V18" t="str">
            <v>AIR COSTAP5</v>
          </cell>
          <cell r="W18" t="str">
            <v>AIR COSTA</v>
          </cell>
          <cell r="X18" t="str">
            <v>P5</v>
          </cell>
          <cell r="Y18"/>
          <cell r="Z18"/>
          <cell r="AA18"/>
        </row>
        <row r="19">
          <cell r="V19" t="str">
            <v>AIR COSTAP6</v>
          </cell>
          <cell r="W19" t="str">
            <v>AIR COSTA</v>
          </cell>
          <cell r="X19" t="str">
            <v>P6</v>
          </cell>
          <cell r="Y19"/>
          <cell r="Z19"/>
          <cell r="AA19"/>
        </row>
        <row r="20">
          <cell r="V20" t="str">
            <v>AIR INDIAP1</v>
          </cell>
          <cell r="W20" t="str">
            <v>AIR INDIA</v>
          </cell>
          <cell r="X20" t="str">
            <v>P1</v>
          </cell>
          <cell r="Y20">
            <v>1350</v>
          </cell>
          <cell r="Z20">
            <v>1340</v>
          </cell>
          <cell r="AA20">
            <v>11120.33</v>
          </cell>
        </row>
        <row r="21">
          <cell r="V21" t="str">
            <v>AIR INDIAP2</v>
          </cell>
          <cell r="W21" t="str">
            <v>AIR INDIA</v>
          </cell>
          <cell r="X21" t="str">
            <v>P2</v>
          </cell>
          <cell r="Y21"/>
          <cell r="Z21"/>
          <cell r="AA21"/>
        </row>
        <row r="22">
          <cell r="V22" t="str">
            <v>AIR INDIAP3</v>
          </cell>
          <cell r="W22" t="str">
            <v>AIR INDIA</v>
          </cell>
          <cell r="X22" t="str">
            <v>P3</v>
          </cell>
          <cell r="Y22">
            <v>2007</v>
          </cell>
          <cell r="Z22">
            <v>1829</v>
          </cell>
          <cell r="AA22">
            <v>5986.59</v>
          </cell>
        </row>
        <row r="23">
          <cell r="V23" t="str">
            <v>AIR INDIAP4</v>
          </cell>
          <cell r="W23" t="str">
            <v>AIR INDIA</v>
          </cell>
          <cell r="X23" t="str">
            <v>P4</v>
          </cell>
          <cell r="Y23">
            <v>778</v>
          </cell>
          <cell r="Z23">
            <v>611</v>
          </cell>
          <cell r="AA23">
            <v>209.01</v>
          </cell>
        </row>
        <row r="24">
          <cell r="V24" t="str">
            <v>AIR INDIAP4.1</v>
          </cell>
          <cell r="W24" t="str">
            <v>AIR INDIA</v>
          </cell>
          <cell r="X24" t="str">
            <v>P4.1</v>
          </cell>
          <cell r="Y24"/>
          <cell r="Z24"/>
          <cell r="AA24"/>
        </row>
        <row r="25">
          <cell r="V25" t="str">
            <v>AIR INDIAP4.2</v>
          </cell>
          <cell r="W25" t="str">
            <v>AIR INDIA</v>
          </cell>
          <cell r="X25" t="str">
            <v>P4.2</v>
          </cell>
          <cell r="Y25"/>
          <cell r="Z25"/>
          <cell r="AA25"/>
        </row>
        <row r="26">
          <cell r="V26" t="str">
            <v>AIR INDIAP5</v>
          </cell>
          <cell r="W26" t="str">
            <v>AIR INDIA</v>
          </cell>
          <cell r="X26" t="str">
            <v>P5</v>
          </cell>
          <cell r="Y26">
            <v>2140</v>
          </cell>
          <cell r="Z26">
            <v>2212</v>
          </cell>
          <cell r="AA26">
            <v>4692.6499999999996</v>
          </cell>
        </row>
        <row r="27">
          <cell r="V27" t="str">
            <v>AIR INDIAP6</v>
          </cell>
          <cell r="W27" t="str">
            <v>AIR INDIA</v>
          </cell>
          <cell r="X27" t="str">
            <v>P6</v>
          </cell>
          <cell r="Y27">
            <v>5125</v>
          </cell>
          <cell r="Z27">
            <v>4895</v>
          </cell>
          <cell r="AA27">
            <v>7117.87</v>
          </cell>
        </row>
        <row r="28">
          <cell r="V28" t="str">
            <v>AIR INDIA EXPRESSP1</v>
          </cell>
          <cell r="W28" t="str">
            <v>AIR INDIA EXPRESS</v>
          </cell>
          <cell r="X28" t="str">
            <v>P1</v>
          </cell>
          <cell r="Y28">
            <v>215</v>
          </cell>
          <cell r="Z28">
            <v>290</v>
          </cell>
          <cell r="AA28">
            <v>1840.14</v>
          </cell>
        </row>
        <row r="29">
          <cell r="V29" t="str">
            <v>AIR INDIA EXPRESSP2</v>
          </cell>
          <cell r="W29" t="str">
            <v>AIR INDIA EXPRESS</v>
          </cell>
          <cell r="X29" t="str">
            <v>P2</v>
          </cell>
          <cell r="Y29"/>
          <cell r="Z29"/>
          <cell r="AA29"/>
        </row>
        <row r="30">
          <cell r="V30" t="str">
            <v>AIR INDIA EXPRESSP3</v>
          </cell>
          <cell r="W30" t="str">
            <v>AIR INDIA EXPRESS</v>
          </cell>
          <cell r="X30" t="str">
            <v>P3</v>
          </cell>
          <cell r="Y30">
            <v>613</v>
          </cell>
          <cell r="Z30">
            <v>630</v>
          </cell>
          <cell r="AA30">
            <v>406.54</v>
          </cell>
        </row>
        <row r="31">
          <cell r="V31" t="str">
            <v>AIR INDIA EXPRESSP4</v>
          </cell>
          <cell r="W31" t="str">
            <v>AIR INDIA EXPRESS</v>
          </cell>
          <cell r="X31" t="str">
            <v>P4</v>
          </cell>
          <cell r="Y31">
            <v>84</v>
          </cell>
          <cell r="Z31">
            <v>84</v>
          </cell>
          <cell r="AA31">
            <v>22.86</v>
          </cell>
        </row>
        <row r="32">
          <cell r="V32" t="str">
            <v>AIR INDIA EXPRESSP4.1</v>
          </cell>
          <cell r="W32" t="str">
            <v>AIR INDIA EXPRESS</v>
          </cell>
          <cell r="X32" t="str">
            <v>P4.1</v>
          </cell>
          <cell r="Y32">
            <v>16</v>
          </cell>
          <cell r="Z32">
            <v>16</v>
          </cell>
          <cell r="AA32">
            <v>11.28</v>
          </cell>
        </row>
        <row r="33">
          <cell r="V33" t="str">
            <v>AIR INDIA EXPRESSP4.2</v>
          </cell>
          <cell r="W33" t="str">
            <v>AIR INDIA EXPRESS</v>
          </cell>
          <cell r="X33" t="str">
            <v>P4.2</v>
          </cell>
          <cell r="Y33">
            <v>68</v>
          </cell>
          <cell r="Z33">
            <v>68</v>
          </cell>
          <cell r="AA33">
            <v>11.58</v>
          </cell>
        </row>
        <row r="34">
          <cell r="V34" t="str">
            <v>AIR INDIA EXPRESSP5</v>
          </cell>
          <cell r="W34" t="str">
            <v>AIR INDIA EXPRESS</v>
          </cell>
          <cell r="X34" t="str">
            <v>P5</v>
          </cell>
          <cell r="Y34">
            <v>59</v>
          </cell>
          <cell r="Z34">
            <v>59</v>
          </cell>
          <cell r="AA34">
            <v>18.14</v>
          </cell>
        </row>
        <row r="35">
          <cell r="V35" t="str">
            <v>AIR INDIA EXPRESSP6</v>
          </cell>
          <cell r="W35" t="str">
            <v>AIR INDIA EXPRESS</v>
          </cell>
          <cell r="X35" t="str">
            <v>P6</v>
          </cell>
          <cell r="Y35">
            <v>143</v>
          </cell>
          <cell r="Z35">
            <v>213</v>
          </cell>
          <cell r="AA35">
            <v>96.61</v>
          </cell>
        </row>
        <row r="36">
          <cell r="V36" t="str">
            <v>AIR PEGASUSP1</v>
          </cell>
          <cell r="W36" t="str">
            <v>AIR PEGASUS</v>
          </cell>
          <cell r="X36" t="str">
            <v>P1</v>
          </cell>
          <cell r="Y36"/>
          <cell r="Z36"/>
          <cell r="AA36"/>
        </row>
        <row r="37">
          <cell r="V37" t="str">
            <v>AIR PEGASUSP2</v>
          </cell>
          <cell r="W37" t="str">
            <v>AIR PEGASUS</v>
          </cell>
          <cell r="X37" t="str">
            <v>P2</v>
          </cell>
          <cell r="Y37"/>
          <cell r="Z37"/>
          <cell r="AA37"/>
        </row>
        <row r="38">
          <cell r="V38" t="str">
            <v>AIR PEGASUSP3</v>
          </cell>
          <cell r="W38" t="str">
            <v>AIR PEGASUS</v>
          </cell>
          <cell r="X38" t="str">
            <v>P3</v>
          </cell>
          <cell r="Y38"/>
          <cell r="Z38"/>
          <cell r="AA38"/>
        </row>
        <row r="39">
          <cell r="V39" t="str">
            <v>AIR PEGASUSP4</v>
          </cell>
          <cell r="W39" t="str">
            <v>AIR PEGASUS</v>
          </cell>
          <cell r="X39" t="str">
            <v>P4</v>
          </cell>
          <cell r="Y39"/>
          <cell r="Z39"/>
          <cell r="AA39"/>
        </row>
        <row r="40">
          <cell r="V40" t="str">
            <v>AIR PEGASUSP4.1</v>
          </cell>
          <cell r="W40" t="str">
            <v>AIR PEGASUS</v>
          </cell>
          <cell r="X40" t="str">
            <v>P4.1</v>
          </cell>
          <cell r="Y40"/>
          <cell r="Z40"/>
          <cell r="AA40"/>
        </row>
        <row r="41">
          <cell r="V41" t="str">
            <v>AIR PEGASUSP4.2</v>
          </cell>
          <cell r="W41" t="str">
            <v>AIR PEGASUS</v>
          </cell>
          <cell r="X41" t="str">
            <v>P4.2</v>
          </cell>
          <cell r="Y41"/>
          <cell r="Z41"/>
          <cell r="AA41"/>
        </row>
        <row r="42">
          <cell r="V42" t="str">
            <v>AIR PEGASUSP5</v>
          </cell>
          <cell r="W42" t="str">
            <v>AIR PEGASUS</v>
          </cell>
          <cell r="X42" t="str">
            <v>P5</v>
          </cell>
          <cell r="Y42"/>
          <cell r="Z42"/>
          <cell r="AA42"/>
        </row>
        <row r="43">
          <cell r="V43" t="str">
            <v>AIR PEGASUSP6</v>
          </cell>
          <cell r="W43" t="str">
            <v>AIR PEGASUS</v>
          </cell>
          <cell r="X43" t="str">
            <v>P6</v>
          </cell>
          <cell r="Y43"/>
          <cell r="Z43"/>
          <cell r="AA43"/>
        </row>
        <row r="44">
          <cell r="V44" t="str">
            <v>ALL SCHEDULED INDIAN AIRLINESP1</v>
          </cell>
          <cell r="W44" t="str">
            <v>ALL SCHEDULED INDIAN AIRLINES</v>
          </cell>
          <cell r="X44" t="str">
            <v>P1</v>
          </cell>
          <cell r="Y44">
            <v>7203</v>
          </cell>
          <cell r="Z44">
            <v>7681</v>
          </cell>
          <cell r="AA44">
            <v>51326.527791999993</v>
          </cell>
        </row>
        <row r="45">
          <cell r="V45" t="str">
            <v>ALL SCHEDULED INDIAN AIRLINESP2</v>
          </cell>
          <cell r="W45" t="str">
            <v>ALL SCHEDULED INDIAN AIRLINES</v>
          </cell>
          <cell r="X45" t="str">
            <v>P2</v>
          </cell>
          <cell r="Y45">
            <v>888</v>
          </cell>
          <cell r="Z45">
            <v>1005</v>
          </cell>
          <cell r="AA45">
            <v>1279.2065490000002</v>
          </cell>
        </row>
        <row r="46">
          <cell r="V46" t="str">
            <v>ALL SCHEDULED INDIAN AIRLINESP3</v>
          </cell>
          <cell r="W46" t="str">
            <v>ALL SCHEDULED INDIAN AIRLINES</v>
          </cell>
          <cell r="X46" t="str">
            <v>P3</v>
          </cell>
          <cell r="Y46">
            <v>13503</v>
          </cell>
          <cell r="Z46">
            <v>14539</v>
          </cell>
          <cell r="AA46">
            <v>13925.372243999998</v>
          </cell>
        </row>
        <row r="47">
          <cell r="V47" t="str">
            <v>ALL SCHEDULED INDIAN AIRLINESP4</v>
          </cell>
          <cell r="W47" t="str">
            <v>ALL SCHEDULED INDIAN AIRLINES</v>
          </cell>
          <cell r="X47" t="str">
            <v>P4</v>
          </cell>
          <cell r="Y47">
            <v>5846</v>
          </cell>
          <cell r="Z47">
            <v>6014</v>
          </cell>
          <cell r="AA47">
            <v>8958.2573229999998</v>
          </cell>
        </row>
        <row r="48">
          <cell r="V48" t="str">
            <v>ALL SCHEDULED INDIAN AIRLINESP4.1</v>
          </cell>
          <cell r="W48" t="str">
            <v>ALL SCHEDULED INDIAN AIRLINES</v>
          </cell>
          <cell r="X48" t="str">
            <v>P4.1</v>
          </cell>
          <cell r="Y48">
            <v>1836</v>
          </cell>
          <cell r="Z48">
            <v>1963</v>
          </cell>
          <cell r="AA48">
            <v>6382.1102409999985</v>
          </cell>
        </row>
        <row r="49">
          <cell r="V49" t="str">
            <v>ALL SCHEDULED INDIAN AIRLINESP4.2</v>
          </cell>
          <cell r="W49" t="str">
            <v>ALL SCHEDULED INDIAN AIRLINES</v>
          </cell>
          <cell r="X49" t="str">
            <v>P4.2</v>
          </cell>
          <cell r="Y49">
            <v>3240</v>
          </cell>
          <cell r="Z49">
            <v>3448</v>
          </cell>
          <cell r="AA49">
            <v>2372.5374540000003</v>
          </cell>
        </row>
        <row r="50">
          <cell r="V50" t="str">
            <v>ALL SCHEDULED INDIAN AIRLINESP5</v>
          </cell>
          <cell r="W50" t="str">
            <v>ALL SCHEDULED INDIAN AIRLINES</v>
          </cell>
          <cell r="X50" t="str">
            <v>P5</v>
          </cell>
          <cell r="Y50">
            <v>4453</v>
          </cell>
          <cell r="Z50">
            <v>4640</v>
          </cell>
          <cell r="AA50">
            <v>6151.3008449999998</v>
          </cell>
        </row>
        <row r="51">
          <cell r="V51" t="str">
            <v>ALL SCHEDULED INDIAN AIRLINESP6</v>
          </cell>
          <cell r="W51" t="str">
            <v>ALL SCHEDULED INDIAN AIRLINES</v>
          </cell>
          <cell r="X51" t="str">
            <v>P6</v>
          </cell>
          <cell r="Y51">
            <v>28276</v>
          </cell>
          <cell r="Z51">
            <v>30197</v>
          </cell>
          <cell r="AA51">
            <v>21614.469790999996</v>
          </cell>
        </row>
        <row r="52">
          <cell r="V52" t="str">
            <v>ALLIANCE AIRP1</v>
          </cell>
          <cell r="W52" t="str">
            <v>ALLIANCE AIR</v>
          </cell>
          <cell r="X52" t="str">
            <v>P1</v>
          </cell>
          <cell r="Y52">
            <v>172</v>
          </cell>
          <cell r="Z52">
            <v>187</v>
          </cell>
          <cell r="AA52">
            <v>836.64404000000002</v>
          </cell>
        </row>
        <row r="53">
          <cell r="V53" t="str">
            <v>ALLIANCE AIRP2</v>
          </cell>
          <cell r="W53" t="str">
            <v>ALLIANCE AIR</v>
          </cell>
          <cell r="X53" t="str">
            <v>P2</v>
          </cell>
          <cell r="Y53"/>
          <cell r="Z53"/>
          <cell r="AA53"/>
        </row>
        <row r="54">
          <cell r="V54" t="str">
            <v>ALLIANCE AIRP3</v>
          </cell>
          <cell r="W54" t="str">
            <v>ALLIANCE AIR</v>
          </cell>
          <cell r="X54" t="str">
            <v>P3</v>
          </cell>
          <cell r="Y54">
            <v>132</v>
          </cell>
          <cell r="Z54">
            <v>147</v>
          </cell>
          <cell r="AA54">
            <v>94.889140999999995</v>
          </cell>
        </row>
        <row r="55">
          <cell r="V55" t="str">
            <v>ALLIANCE AIRP4</v>
          </cell>
          <cell r="W55" t="str">
            <v>ALLIANCE AIR</v>
          </cell>
          <cell r="X55" t="str">
            <v>P4</v>
          </cell>
          <cell r="Y55"/>
          <cell r="Z55"/>
          <cell r="AA55"/>
        </row>
        <row r="56">
          <cell r="V56" t="str">
            <v>ALLIANCE AIRP4.1</v>
          </cell>
          <cell r="W56" t="str">
            <v>ALLIANCE AIR</v>
          </cell>
          <cell r="X56" t="str">
            <v>P4.1</v>
          </cell>
          <cell r="Y56"/>
          <cell r="Z56"/>
          <cell r="AA56"/>
        </row>
        <row r="57">
          <cell r="V57" t="str">
            <v>ALLIANCE AIRP4.2</v>
          </cell>
          <cell r="W57" t="str">
            <v>ALLIANCE AIR</v>
          </cell>
          <cell r="X57" t="str">
            <v>P4.2</v>
          </cell>
          <cell r="Y57"/>
          <cell r="Z57"/>
          <cell r="AA57"/>
        </row>
        <row r="58">
          <cell r="V58" t="str">
            <v>ALLIANCE AIRP5</v>
          </cell>
          <cell r="W58" t="str">
            <v>ALLIANCE AIR</v>
          </cell>
          <cell r="X58" t="str">
            <v>P5</v>
          </cell>
          <cell r="Y58"/>
          <cell r="Z58"/>
          <cell r="AA58"/>
        </row>
        <row r="59">
          <cell r="V59" t="str">
            <v>ALLIANCE AIRP6</v>
          </cell>
          <cell r="W59" t="str">
            <v>ALLIANCE AIR</v>
          </cell>
          <cell r="X59" t="str">
            <v>P6</v>
          </cell>
          <cell r="Y59">
            <v>272</v>
          </cell>
          <cell r="Z59">
            <v>268</v>
          </cell>
          <cell r="AA59">
            <v>158.14856800000001</v>
          </cell>
        </row>
        <row r="60">
          <cell r="V60" t="str">
            <v>Blue Dart P1</v>
          </cell>
          <cell r="W60" t="str">
            <v xml:space="preserve">Blue Dart </v>
          </cell>
          <cell r="X60" t="str">
            <v>P1</v>
          </cell>
          <cell r="Y60">
            <v>65</v>
          </cell>
          <cell r="Z60">
            <v>57</v>
          </cell>
          <cell r="AA60">
            <v>398</v>
          </cell>
        </row>
        <row r="61">
          <cell r="V61" t="str">
            <v>Blue Dart P2</v>
          </cell>
          <cell r="W61" t="str">
            <v xml:space="preserve">Blue Dart </v>
          </cell>
          <cell r="X61" t="str">
            <v>P2</v>
          </cell>
          <cell r="Y61"/>
          <cell r="Z61"/>
          <cell r="AA61"/>
        </row>
        <row r="62">
          <cell r="V62" t="str">
            <v>Blue Dart P3</v>
          </cell>
          <cell r="W62" t="str">
            <v xml:space="preserve">Blue Dart </v>
          </cell>
          <cell r="X62" t="str">
            <v>P3</v>
          </cell>
          <cell r="Y62"/>
          <cell r="Z62"/>
          <cell r="AA62"/>
        </row>
        <row r="63">
          <cell r="V63" t="str">
            <v>Blue Dart P4</v>
          </cell>
          <cell r="W63" t="str">
            <v xml:space="preserve">Blue Dart </v>
          </cell>
          <cell r="X63" t="str">
            <v>P4</v>
          </cell>
          <cell r="Y63">
            <v>151</v>
          </cell>
          <cell r="Z63">
            <v>151</v>
          </cell>
          <cell r="AA63">
            <v>259</v>
          </cell>
        </row>
        <row r="64">
          <cell r="V64" t="str">
            <v>Blue Dart P4.1</v>
          </cell>
          <cell r="W64" t="str">
            <v xml:space="preserve">Blue Dart </v>
          </cell>
          <cell r="X64" t="str">
            <v>P4.1</v>
          </cell>
          <cell r="Y64">
            <v>54</v>
          </cell>
          <cell r="Z64">
            <v>54</v>
          </cell>
          <cell r="AA64">
            <v>195</v>
          </cell>
        </row>
        <row r="65">
          <cell r="V65" t="str">
            <v>Blue Dart P4.2</v>
          </cell>
          <cell r="W65" t="str">
            <v xml:space="preserve">Blue Dart </v>
          </cell>
          <cell r="X65" t="str">
            <v>P4.2</v>
          </cell>
          <cell r="Y65">
            <v>97</v>
          </cell>
          <cell r="Z65">
            <v>97</v>
          </cell>
          <cell r="AA65">
            <v>64</v>
          </cell>
        </row>
        <row r="66">
          <cell r="V66" t="str">
            <v>Blue Dart P5</v>
          </cell>
          <cell r="W66" t="str">
            <v xml:space="preserve">Blue Dart </v>
          </cell>
          <cell r="X66" t="str">
            <v>P5</v>
          </cell>
          <cell r="Y66"/>
          <cell r="Z66"/>
          <cell r="AA66"/>
        </row>
        <row r="67">
          <cell r="V67" t="str">
            <v>Blue Dart P6</v>
          </cell>
          <cell r="W67" t="str">
            <v xml:space="preserve">Blue Dart </v>
          </cell>
          <cell r="X67" t="str">
            <v>P6</v>
          </cell>
          <cell r="Y67">
            <v>888</v>
          </cell>
          <cell r="Z67">
            <v>888</v>
          </cell>
          <cell r="AA67">
            <v>487</v>
          </cell>
        </row>
        <row r="68">
          <cell r="V68" t="str">
            <v>GO AIRP1</v>
          </cell>
          <cell r="W68" t="str">
            <v>GO AIR</v>
          </cell>
          <cell r="X68" t="str">
            <v>P1</v>
          </cell>
          <cell r="Y68">
            <v>400</v>
          </cell>
          <cell r="Z68">
            <v>423</v>
          </cell>
          <cell r="AA68">
            <v>2163</v>
          </cell>
        </row>
        <row r="69">
          <cell r="V69" t="str">
            <v>GO AIRP2</v>
          </cell>
          <cell r="W69" t="str">
            <v>GO AIR</v>
          </cell>
          <cell r="X69" t="str">
            <v>P2</v>
          </cell>
          <cell r="Y69">
            <v>118</v>
          </cell>
          <cell r="Z69">
            <v>137</v>
          </cell>
          <cell r="AA69">
            <v>94</v>
          </cell>
        </row>
        <row r="70">
          <cell r="V70" t="str">
            <v>GO AIRP3</v>
          </cell>
          <cell r="W70" t="str">
            <v>GO AIR</v>
          </cell>
          <cell r="X70" t="str">
            <v>P3</v>
          </cell>
          <cell r="Y70">
            <v>563</v>
          </cell>
          <cell r="Z70">
            <v>698</v>
          </cell>
          <cell r="AA70">
            <v>338</v>
          </cell>
        </row>
        <row r="71">
          <cell r="V71" t="str">
            <v>GO AIRP4</v>
          </cell>
          <cell r="W71" t="str">
            <v>GO AIR</v>
          </cell>
          <cell r="X71" t="str">
            <v>P4</v>
          </cell>
          <cell r="Y71">
            <v>418</v>
          </cell>
          <cell r="Z71">
            <v>440</v>
          </cell>
          <cell r="AA71">
            <v>527</v>
          </cell>
        </row>
        <row r="72">
          <cell r="V72" t="str">
            <v>GO AIRP4.1</v>
          </cell>
          <cell r="W72" t="str">
            <v>GO AIR</v>
          </cell>
          <cell r="X72" t="str">
            <v>P4.1</v>
          </cell>
          <cell r="Y72">
            <v>158</v>
          </cell>
          <cell r="Z72">
            <v>176</v>
          </cell>
          <cell r="AA72">
            <v>387</v>
          </cell>
        </row>
        <row r="73">
          <cell r="V73" t="str">
            <v>GO AIRP4.2</v>
          </cell>
          <cell r="W73" t="str">
            <v>GO AIR</v>
          </cell>
          <cell r="X73" t="str">
            <v>P4.2</v>
          </cell>
          <cell r="Y73">
            <v>260</v>
          </cell>
          <cell r="Z73">
            <v>264</v>
          </cell>
          <cell r="AA73">
            <v>140</v>
          </cell>
        </row>
        <row r="74">
          <cell r="V74" t="str">
            <v>GO AIRP5</v>
          </cell>
          <cell r="W74" t="str">
            <v>GO AIR</v>
          </cell>
          <cell r="X74" t="str">
            <v>P5</v>
          </cell>
          <cell r="Y74">
            <v>531</v>
          </cell>
          <cell r="Z74">
            <v>555</v>
          </cell>
          <cell r="AA74">
            <v>247</v>
          </cell>
        </row>
        <row r="75">
          <cell r="V75" t="str">
            <v>GO AIRP6</v>
          </cell>
          <cell r="W75" t="str">
            <v>GO AIR</v>
          </cell>
          <cell r="X75" t="str">
            <v>P6</v>
          </cell>
          <cell r="Y75">
            <v>979</v>
          </cell>
          <cell r="Z75">
            <v>1134</v>
          </cell>
          <cell r="AA75">
            <v>513</v>
          </cell>
        </row>
        <row r="76">
          <cell r="V76" t="str">
            <v>INDIGOP1</v>
          </cell>
          <cell r="W76" t="str">
            <v>INDIGO</v>
          </cell>
          <cell r="X76" t="str">
            <v>P1</v>
          </cell>
          <cell r="Y76">
            <v>2171</v>
          </cell>
          <cell r="Z76">
            <v>2350</v>
          </cell>
          <cell r="AA76">
            <v>15085.8</v>
          </cell>
        </row>
        <row r="77">
          <cell r="V77" t="str">
            <v>INDIGOP2</v>
          </cell>
          <cell r="W77" t="str">
            <v>INDIGO</v>
          </cell>
          <cell r="X77" t="str">
            <v>P2</v>
          </cell>
          <cell r="Y77">
            <v>141</v>
          </cell>
          <cell r="Z77">
            <v>162</v>
          </cell>
          <cell r="AA77">
            <v>205.23</v>
          </cell>
        </row>
        <row r="78">
          <cell r="V78" t="str">
            <v>INDIGOP3</v>
          </cell>
          <cell r="W78" t="str">
            <v>INDIGO</v>
          </cell>
          <cell r="X78" t="str">
            <v>P3</v>
          </cell>
          <cell r="Y78">
            <v>4006</v>
          </cell>
          <cell r="Z78">
            <v>4635</v>
          </cell>
          <cell r="AA78">
            <v>2856.33</v>
          </cell>
        </row>
        <row r="79">
          <cell r="V79" t="str">
            <v>INDIGOP4</v>
          </cell>
          <cell r="W79" t="str">
            <v>INDIGO</v>
          </cell>
          <cell r="X79" t="str">
            <v>P4</v>
          </cell>
          <cell r="Y79">
            <v>1065</v>
          </cell>
          <cell r="Z79">
            <v>1273</v>
          </cell>
          <cell r="AA79">
            <v>1457.17</v>
          </cell>
        </row>
        <row r="80">
          <cell r="V80" t="str">
            <v>INDIGOP4.1</v>
          </cell>
          <cell r="W80" t="str">
            <v>INDIGO</v>
          </cell>
          <cell r="X80" t="str">
            <v>P4.1</v>
          </cell>
          <cell r="Y80">
            <v>550</v>
          </cell>
          <cell r="Z80">
            <v>636</v>
          </cell>
          <cell r="AA80">
            <v>1245.78</v>
          </cell>
        </row>
        <row r="81">
          <cell r="V81" t="str">
            <v>INDIGOP4.2</v>
          </cell>
          <cell r="W81" t="str">
            <v>INDIGO</v>
          </cell>
          <cell r="X81" t="str">
            <v>P4.2</v>
          </cell>
          <cell r="Y81">
            <v>515</v>
          </cell>
          <cell r="Z81">
            <v>637</v>
          </cell>
          <cell r="AA81">
            <v>211.39</v>
          </cell>
        </row>
        <row r="82">
          <cell r="V82" t="str">
            <v>INDIGOP5</v>
          </cell>
          <cell r="W82" t="str">
            <v>INDIGO</v>
          </cell>
          <cell r="X82" t="str">
            <v>P5</v>
          </cell>
          <cell r="Y82">
            <v>226</v>
          </cell>
          <cell r="Z82">
            <v>248</v>
          </cell>
          <cell r="AA82">
            <v>263.58999999999997</v>
          </cell>
        </row>
        <row r="83">
          <cell r="V83" t="str">
            <v>INDIGOP6</v>
          </cell>
          <cell r="W83" t="str">
            <v>INDIGO</v>
          </cell>
          <cell r="X83" t="str">
            <v>P6</v>
          </cell>
          <cell r="Y83">
            <v>8398</v>
          </cell>
          <cell r="Z83">
            <v>9392</v>
          </cell>
          <cell r="AA83">
            <v>4682.12</v>
          </cell>
        </row>
        <row r="84">
          <cell r="V84" t="str">
            <v>JET AIRWAYSP1</v>
          </cell>
          <cell r="W84" t="str">
            <v>JET AIRWAYS</v>
          </cell>
          <cell r="X84" t="str">
            <v>P1</v>
          </cell>
          <cell r="Y84">
            <v>1735</v>
          </cell>
          <cell r="Z84">
            <v>1777</v>
          </cell>
          <cell r="AA84">
            <v>12845.611999999999</v>
          </cell>
        </row>
        <row r="85">
          <cell r="V85" t="str">
            <v>JET AIRWAYSP2</v>
          </cell>
          <cell r="W85" t="str">
            <v>JET AIRWAYS</v>
          </cell>
          <cell r="X85" t="str">
            <v>P2</v>
          </cell>
          <cell r="Y85">
            <v>484</v>
          </cell>
          <cell r="Z85">
            <v>485</v>
          </cell>
          <cell r="AA85">
            <v>428.57984699999997</v>
          </cell>
        </row>
        <row r="86">
          <cell r="V86" t="str">
            <v>JET AIRWAYSP3</v>
          </cell>
          <cell r="W86" t="str">
            <v>JET AIRWAYS</v>
          </cell>
          <cell r="X86" t="str">
            <v>P3</v>
          </cell>
          <cell r="Y86">
            <v>3704</v>
          </cell>
          <cell r="Z86">
            <v>4035</v>
          </cell>
          <cell r="AA86">
            <v>2828.1885860000002</v>
          </cell>
        </row>
        <row r="87">
          <cell r="V87" t="str">
            <v>JET AIRWAYSP4</v>
          </cell>
          <cell r="W87" t="str">
            <v>JET AIRWAYS</v>
          </cell>
          <cell r="X87" t="str">
            <v>P4</v>
          </cell>
          <cell r="Y87">
            <v>2077</v>
          </cell>
          <cell r="Z87">
            <v>2039</v>
          </cell>
          <cell r="AA87">
            <v>4709.1967569999997</v>
          </cell>
        </row>
        <row r="88">
          <cell r="V88" t="str">
            <v>JET AIRWAYSP4.1</v>
          </cell>
          <cell r="W88" t="str">
            <v>JET AIRWAYS</v>
          </cell>
          <cell r="X88" t="str">
            <v>P4.1</v>
          </cell>
          <cell r="Y88">
            <v>588</v>
          </cell>
          <cell r="Z88">
            <v>588</v>
          </cell>
          <cell r="AA88">
            <v>3462.8723279999999</v>
          </cell>
        </row>
        <row r="89">
          <cell r="V89" t="str">
            <v>JET AIRWAYSP4.2</v>
          </cell>
          <cell r="W89" t="str">
            <v>JET AIRWAYS</v>
          </cell>
          <cell r="X89" t="str">
            <v>P4.2</v>
          </cell>
          <cell r="Y89">
            <v>1489</v>
          </cell>
          <cell r="Z89">
            <v>1451</v>
          </cell>
          <cell r="AA89">
            <v>1246.324429</v>
          </cell>
        </row>
        <row r="90">
          <cell r="V90" t="str">
            <v>JET AIRWAYSP5</v>
          </cell>
          <cell r="W90" t="str">
            <v>JET AIRWAYS</v>
          </cell>
          <cell r="X90" t="str">
            <v>P5</v>
          </cell>
          <cell r="Y90">
            <v>921</v>
          </cell>
          <cell r="Z90">
            <v>923</v>
          </cell>
          <cell r="AA90">
            <v>656.15214000000003</v>
          </cell>
        </row>
        <row r="91">
          <cell r="V91" t="str">
            <v>JET AIRWAYSP6</v>
          </cell>
          <cell r="W91" t="str">
            <v>JET AIRWAYS</v>
          </cell>
          <cell r="X91" t="str">
            <v>P6</v>
          </cell>
          <cell r="Y91">
            <v>6238</v>
          </cell>
          <cell r="Z91">
            <v>6548</v>
          </cell>
          <cell r="AA91">
            <v>5194.0003960000004</v>
          </cell>
        </row>
        <row r="92">
          <cell r="V92" t="str">
            <v>JETLITEP1</v>
          </cell>
          <cell r="W92" t="str">
            <v>JETLITE</v>
          </cell>
          <cell r="X92" t="str">
            <v>P1</v>
          </cell>
          <cell r="Y92">
            <v>135</v>
          </cell>
          <cell r="Z92">
            <v>127</v>
          </cell>
          <cell r="AA92">
            <v>900.17022999999995</v>
          </cell>
        </row>
        <row r="93">
          <cell r="V93" t="str">
            <v>JETLITEP2</v>
          </cell>
          <cell r="W93" t="str">
            <v>JETLITE</v>
          </cell>
          <cell r="X93" t="str">
            <v>P2</v>
          </cell>
          <cell r="Y93">
            <v>1</v>
          </cell>
          <cell r="Z93">
            <v>1</v>
          </cell>
          <cell r="AA93">
            <v>0.74990699999999999</v>
          </cell>
        </row>
        <row r="94">
          <cell r="V94" t="str">
            <v>JETLITEP3</v>
          </cell>
          <cell r="W94" t="str">
            <v>JETLITE</v>
          </cell>
          <cell r="X94" t="str">
            <v>P3</v>
          </cell>
          <cell r="Y94">
            <v>263</v>
          </cell>
          <cell r="Z94">
            <v>264</v>
          </cell>
          <cell r="AA94">
            <v>172.290166</v>
          </cell>
        </row>
        <row r="95">
          <cell r="V95" t="str">
            <v>JETLITEP4</v>
          </cell>
          <cell r="W95" t="str">
            <v>JETLITE</v>
          </cell>
          <cell r="X95" t="str">
            <v>P4</v>
          </cell>
          <cell r="Y95">
            <v>298</v>
          </cell>
          <cell r="Z95">
            <v>295</v>
          </cell>
          <cell r="AA95">
            <v>603.22160599999995</v>
          </cell>
        </row>
        <row r="96">
          <cell r="V96" t="str">
            <v>JETLITEP4.1</v>
          </cell>
          <cell r="W96" t="str">
            <v>JETLITE</v>
          </cell>
          <cell r="X96" t="str">
            <v>P4.1</v>
          </cell>
          <cell r="Y96">
            <v>72</v>
          </cell>
          <cell r="Z96">
            <v>71</v>
          </cell>
          <cell r="AA96">
            <v>365.36055199999998</v>
          </cell>
        </row>
        <row r="97">
          <cell r="V97" t="str">
            <v>JETLITEP4.2</v>
          </cell>
          <cell r="W97" t="str">
            <v>JETLITE</v>
          </cell>
          <cell r="X97" t="str">
            <v>P4.2</v>
          </cell>
          <cell r="Y97">
            <v>226</v>
          </cell>
          <cell r="Z97">
            <v>224</v>
          </cell>
          <cell r="AA97">
            <v>237.861054</v>
          </cell>
        </row>
        <row r="98">
          <cell r="V98" t="str">
            <v>JETLITEP5</v>
          </cell>
          <cell r="W98" t="str">
            <v>JETLITE</v>
          </cell>
          <cell r="X98" t="str">
            <v>P5</v>
          </cell>
          <cell r="Y98"/>
          <cell r="Z98"/>
          <cell r="AA98"/>
        </row>
        <row r="99">
          <cell r="V99" t="str">
            <v>JETLITEP6</v>
          </cell>
          <cell r="W99" t="str">
            <v>JETLITE</v>
          </cell>
          <cell r="X99" t="str">
            <v>P6</v>
          </cell>
          <cell r="Y99">
            <v>10</v>
          </cell>
          <cell r="Z99">
            <v>32</v>
          </cell>
          <cell r="AA99">
            <v>6.4014309999999996</v>
          </cell>
        </row>
        <row r="100">
          <cell r="V100" t="str">
            <v>SCHEDULED NATIONAL AIRLINESP1</v>
          </cell>
          <cell r="W100" t="str">
            <v>SCHEDULED NATIONAL AIRLINES</v>
          </cell>
          <cell r="X100" t="str">
            <v>P1</v>
          </cell>
          <cell r="Y100">
            <v>1737</v>
          </cell>
          <cell r="Z100">
            <v>1817</v>
          </cell>
          <cell r="AA100">
            <v>13797.114039999999</v>
          </cell>
        </row>
        <row r="101">
          <cell r="V101" t="str">
            <v>SCHEDULED NATIONAL AIRLINESP2</v>
          </cell>
          <cell r="W101" t="str">
            <v>SCHEDULED NATIONAL AIRLINES</v>
          </cell>
          <cell r="X101" t="str">
            <v>P2</v>
          </cell>
          <cell r="Y101">
            <v>0</v>
          </cell>
          <cell r="Z101">
            <v>0</v>
          </cell>
          <cell r="AA101">
            <v>0</v>
          </cell>
        </row>
        <row r="102">
          <cell r="V102" t="str">
            <v>SCHEDULED NATIONAL AIRLINESP3</v>
          </cell>
          <cell r="W102" t="str">
            <v>SCHEDULED NATIONAL AIRLINES</v>
          </cell>
          <cell r="X102" t="str">
            <v>P3</v>
          </cell>
          <cell r="Y102">
            <v>2752</v>
          </cell>
          <cell r="Z102">
            <v>2606</v>
          </cell>
          <cell r="AA102">
            <v>6488.0191409999998</v>
          </cell>
        </row>
        <row r="103">
          <cell r="V103" t="str">
            <v>SCHEDULED NATIONAL AIRLINESP4</v>
          </cell>
          <cell r="W103" t="str">
            <v>SCHEDULED NATIONAL AIRLINES</v>
          </cell>
          <cell r="X103" t="str">
            <v>P4</v>
          </cell>
          <cell r="Y103">
            <v>862</v>
          </cell>
          <cell r="Z103">
            <v>695</v>
          </cell>
          <cell r="AA103">
            <v>231.87</v>
          </cell>
        </row>
        <row r="104">
          <cell r="V104" t="str">
            <v>SCHEDULED NATIONAL AIRLINESP4.1</v>
          </cell>
          <cell r="W104" t="str">
            <v>SCHEDULED NATIONAL AIRLINES</v>
          </cell>
          <cell r="X104" t="str">
            <v>P4.1</v>
          </cell>
          <cell r="Y104">
            <v>16</v>
          </cell>
          <cell r="Z104">
            <v>16</v>
          </cell>
          <cell r="AA104">
            <v>11.28</v>
          </cell>
        </row>
        <row r="105">
          <cell r="V105" t="str">
            <v>SCHEDULED NATIONAL AIRLINESP4.2</v>
          </cell>
          <cell r="W105" t="str">
            <v>SCHEDULED NATIONAL AIRLINES</v>
          </cell>
          <cell r="X105" t="str">
            <v>P4.2</v>
          </cell>
          <cell r="Y105">
            <v>68</v>
          </cell>
          <cell r="Z105">
            <v>68</v>
          </cell>
          <cell r="AA105">
            <v>11.58</v>
          </cell>
        </row>
        <row r="106">
          <cell r="V106" t="str">
            <v>SCHEDULED NATIONAL AIRLINESP5</v>
          </cell>
          <cell r="W106" t="str">
            <v>SCHEDULED NATIONAL AIRLINES</v>
          </cell>
          <cell r="X106" t="str">
            <v>P5</v>
          </cell>
          <cell r="Y106">
            <v>2199</v>
          </cell>
          <cell r="Z106">
            <v>2271</v>
          </cell>
          <cell r="AA106">
            <v>4710.79</v>
          </cell>
        </row>
        <row r="107">
          <cell r="V107" t="str">
            <v>SCHEDULED NATIONAL AIRLINESP6</v>
          </cell>
          <cell r="W107" t="str">
            <v>SCHEDULED NATIONAL AIRLINES</v>
          </cell>
          <cell r="X107" t="str">
            <v>P6</v>
          </cell>
          <cell r="Y107">
            <v>5540</v>
          </cell>
          <cell r="Z107">
            <v>5376</v>
          </cell>
          <cell r="AA107">
            <v>7372.6285679999992</v>
          </cell>
        </row>
        <row r="108">
          <cell r="V108" t="str">
            <v>SCHEDULED PRIVATE AIRLINESP1</v>
          </cell>
          <cell r="W108" t="str">
            <v>SCHEDULED PRIVATE AIRLINES</v>
          </cell>
          <cell r="X108" t="str">
            <v>P1</v>
          </cell>
          <cell r="Y108">
            <v>5466</v>
          </cell>
          <cell r="Z108">
            <v>5864</v>
          </cell>
          <cell r="AA108">
            <v>37529.413751999993</v>
          </cell>
        </row>
        <row r="109">
          <cell r="V109" t="str">
            <v>SCHEDULED PRIVATE AIRLINESP2</v>
          </cell>
          <cell r="W109" t="str">
            <v>SCHEDULED PRIVATE AIRLINES</v>
          </cell>
          <cell r="X109" t="str">
            <v>P2</v>
          </cell>
          <cell r="Y109">
            <v>888</v>
          </cell>
          <cell r="Z109">
            <v>1005</v>
          </cell>
          <cell r="AA109">
            <v>1279.2065490000002</v>
          </cell>
        </row>
        <row r="110">
          <cell r="V110" t="str">
            <v>SCHEDULED PRIVATE AIRLINESP3</v>
          </cell>
          <cell r="W110" t="str">
            <v>SCHEDULED PRIVATE AIRLINES</v>
          </cell>
          <cell r="X110" t="str">
            <v>P3</v>
          </cell>
          <cell r="Y110">
            <v>10751</v>
          </cell>
          <cell r="Z110">
            <v>11933</v>
          </cell>
          <cell r="AA110">
            <v>7437.3531029999986</v>
          </cell>
        </row>
        <row r="111">
          <cell r="V111" t="str">
            <v>SCHEDULED PRIVATE AIRLINESP4</v>
          </cell>
          <cell r="W111" t="str">
            <v>SCHEDULED PRIVATE AIRLINES</v>
          </cell>
          <cell r="X111" t="str">
            <v>P4</v>
          </cell>
          <cell r="Y111">
            <v>4984</v>
          </cell>
          <cell r="Z111">
            <v>5319</v>
          </cell>
          <cell r="AA111">
            <v>8726.387322999999</v>
          </cell>
        </row>
        <row r="112">
          <cell r="V112" t="str">
            <v>SCHEDULED PRIVATE AIRLINESP4.1</v>
          </cell>
          <cell r="W112" t="str">
            <v>SCHEDULED PRIVATE AIRLINES</v>
          </cell>
          <cell r="X112" t="str">
            <v>P4.1</v>
          </cell>
          <cell r="Y112">
            <v>1820</v>
          </cell>
          <cell r="Z112">
            <v>1947</v>
          </cell>
          <cell r="AA112">
            <v>6370.8302409999988</v>
          </cell>
        </row>
        <row r="113">
          <cell r="V113" t="str">
            <v>SCHEDULED PRIVATE AIRLINESP4.2</v>
          </cell>
          <cell r="W113" t="str">
            <v>SCHEDULED PRIVATE AIRLINES</v>
          </cell>
          <cell r="X113" t="str">
            <v>P4.2</v>
          </cell>
          <cell r="Y113">
            <v>3172</v>
          </cell>
          <cell r="Z113">
            <v>3380</v>
          </cell>
          <cell r="AA113">
            <v>2360.9574540000003</v>
          </cell>
        </row>
        <row r="114">
          <cell r="V114" t="str">
            <v>SCHEDULED PRIVATE AIRLINESP5</v>
          </cell>
          <cell r="W114" t="str">
            <v>SCHEDULED PRIVATE AIRLINES</v>
          </cell>
          <cell r="X114" t="str">
            <v>P5</v>
          </cell>
          <cell r="Y114">
            <v>2254</v>
          </cell>
          <cell r="Z114">
            <v>2369</v>
          </cell>
          <cell r="AA114">
            <v>1440.5108449999998</v>
          </cell>
        </row>
        <row r="115">
          <cell r="V115" t="str">
            <v>SCHEDULED PRIVATE AIRLINESP6</v>
          </cell>
          <cell r="W115" t="str">
            <v>SCHEDULED PRIVATE AIRLINES</v>
          </cell>
          <cell r="X115" t="str">
            <v>P6</v>
          </cell>
          <cell r="Y115">
            <v>22736</v>
          </cell>
          <cell r="Z115">
            <v>24821</v>
          </cell>
          <cell r="AA115">
            <v>14241.841222999996</v>
          </cell>
        </row>
        <row r="116">
          <cell r="V116" t="str">
            <v>SPICEJETP1</v>
          </cell>
          <cell r="W116" t="str">
            <v>SPICEJET</v>
          </cell>
          <cell r="X116" t="str">
            <v>P1</v>
          </cell>
          <cell r="Y116">
            <v>615</v>
          </cell>
          <cell r="Z116">
            <v>674</v>
          </cell>
          <cell r="AA116">
            <v>2898.8</v>
          </cell>
        </row>
        <row r="117">
          <cell r="V117" t="str">
            <v>SPICEJETP2</v>
          </cell>
          <cell r="W117" t="str">
            <v>SPICEJET</v>
          </cell>
          <cell r="X117" t="str">
            <v>P2</v>
          </cell>
          <cell r="Y117">
            <v>41</v>
          </cell>
          <cell r="Z117">
            <v>53</v>
          </cell>
          <cell r="AA117">
            <v>529.20000000000005</v>
          </cell>
        </row>
        <row r="118">
          <cell r="V118" t="str">
            <v>SPICEJETP3</v>
          </cell>
          <cell r="W118" t="str">
            <v>SPICEJET</v>
          </cell>
          <cell r="X118" t="str">
            <v>P3</v>
          </cell>
          <cell r="Y118">
            <v>1213</v>
          </cell>
          <cell r="Z118">
            <v>1202</v>
          </cell>
          <cell r="AA118">
            <v>695.6</v>
          </cell>
        </row>
        <row r="119">
          <cell r="V119" t="str">
            <v>SPICEJETP4</v>
          </cell>
          <cell r="W119" t="str">
            <v>SPICEJET</v>
          </cell>
          <cell r="X119" t="str">
            <v>P4</v>
          </cell>
          <cell r="Y119">
            <v>607</v>
          </cell>
          <cell r="Z119">
            <v>638</v>
          </cell>
          <cell r="AA119">
            <v>633.5</v>
          </cell>
        </row>
        <row r="120">
          <cell r="V120" t="str">
            <v>SPICEJETP4.1</v>
          </cell>
          <cell r="W120" t="str">
            <v>SPICEJET</v>
          </cell>
          <cell r="X120" t="str">
            <v>P4.1</v>
          </cell>
          <cell r="Y120">
            <v>224</v>
          </cell>
          <cell r="Z120">
            <v>228</v>
          </cell>
          <cell r="AA120">
            <v>492.2</v>
          </cell>
        </row>
        <row r="121">
          <cell r="V121" t="str">
            <v>SPICEJETP4.2</v>
          </cell>
          <cell r="W121" t="str">
            <v>SPICEJET</v>
          </cell>
          <cell r="X121" t="str">
            <v>P4.2</v>
          </cell>
          <cell r="Y121">
            <v>383</v>
          </cell>
          <cell r="Z121">
            <v>410</v>
          </cell>
          <cell r="AA121">
            <v>141.30000000000001</v>
          </cell>
        </row>
        <row r="122">
          <cell r="V122" t="str">
            <v>SPICEJETP5</v>
          </cell>
          <cell r="W122" t="str">
            <v>SPICEJET</v>
          </cell>
          <cell r="X122" t="str">
            <v>P5</v>
          </cell>
          <cell r="Y122">
            <v>429</v>
          </cell>
          <cell r="Z122">
            <v>468</v>
          </cell>
          <cell r="AA122">
            <v>170.9</v>
          </cell>
        </row>
        <row r="123">
          <cell r="V123" t="str">
            <v>SPICEJETP6</v>
          </cell>
          <cell r="W123" t="str">
            <v>SPICEJET</v>
          </cell>
          <cell r="X123" t="str">
            <v>P6</v>
          </cell>
          <cell r="Y123">
            <v>5097</v>
          </cell>
          <cell r="Z123">
            <v>5464</v>
          </cell>
          <cell r="AA123">
            <v>1982.8</v>
          </cell>
        </row>
        <row r="124">
          <cell r="V124" t="str">
            <v>TRUEJETP1</v>
          </cell>
          <cell r="W124" t="str">
            <v>TRUEJET</v>
          </cell>
          <cell r="X124" t="str">
            <v>P1</v>
          </cell>
          <cell r="Y124">
            <v>35</v>
          </cell>
          <cell r="Z124">
            <v>49</v>
          </cell>
          <cell r="AA124">
            <v>119.516453</v>
          </cell>
        </row>
        <row r="125">
          <cell r="V125" t="str">
            <v>TRUEJETP2</v>
          </cell>
          <cell r="W125" t="str">
            <v>TRUEJET</v>
          </cell>
          <cell r="X125" t="str">
            <v>P2</v>
          </cell>
          <cell r="Y125">
            <v>34</v>
          </cell>
          <cell r="Z125">
            <v>33</v>
          </cell>
          <cell r="AA125">
            <v>20.726794999999999</v>
          </cell>
        </row>
        <row r="126">
          <cell r="V126" t="str">
            <v>TRUEJETP3</v>
          </cell>
          <cell r="W126" t="str">
            <v>TRUEJET</v>
          </cell>
          <cell r="X126" t="str">
            <v>P3</v>
          </cell>
          <cell r="Y126">
            <v>64</v>
          </cell>
          <cell r="Z126">
            <v>58</v>
          </cell>
          <cell r="AA126">
            <v>26.570936</v>
          </cell>
        </row>
        <row r="127">
          <cell r="V127" t="str">
            <v>TRUEJETP4</v>
          </cell>
          <cell r="W127" t="str">
            <v>TRUEJET</v>
          </cell>
          <cell r="X127" t="str">
            <v>P4</v>
          </cell>
          <cell r="Y127">
            <v>111</v>
          </cell>
          <cell r="Z127">
            <v>125</v>
          </cell>
          <cell r="AA127">
            <v>72.69</v>
          </cell>
        </row>
        <row r="128">
          <cell r="V128" t="str">
            <v>TRUEJETP4.1</v>
          </cell>
          <cell r="W128" t="str">
            <v>TRUEJET</v>
          </cell>
          <cell r="X128" t="str">
            <v>P4.1</v>
          </cell>
          <cell r="Y128">
            <v>82</v>
          </cell>
          <cell r="Z128">
            <v>82</v>
          </cell>
          <cell r="AA128">
            <v>46.252361000000001</v>
          </cell>
        </row>
        <row r="129">
          <cell r="V129" t="str">
            <v>TRUEJETP4.2</v>
          </cell>
          <cell r="W129" t="str">
            <v>TRUEJET</v>
          </cell>
          <cell r="X129" t="str">
            <v>P4.2</v>
          </cell>
          <cell r="Y129">
            <v>29</v>
          </cell>
          <cell r="Z129">
            <v>43</v>
          </cell>
          <cell r="AA129">
            <v>26.438010999999999</v>
          </cell>
        </row>
        <row r="130">
          <cell r="V130" t="str">
            <v>TRUEJETP5</v>
          </cell>
          <cell r="W130" t="str">
            <v>TRUEJET</v>
          </cell>
          <cell r="X130" t="str">
            <v>P5</v>
          </cell>
          <cell r="Y130">
            <v>44</v>
          </cell>
          <cell r="Z130">
            <v>44</v>
          </cell>
          <cell r="AA130">
            <v>11.631755</v>
          </cell>
        </row>
        <row r="131">
          <cell r="V131" t="str">
            <v>TRUEJETP6</v>
          </cell>
          <cell r="W131" t="str">
            <v>TRUEJET</v>
          </cell>
          <cell r="X131" t="str">
            <v>P6</v>
          </cell>
          <cell r="Y131">
            <v>274</v>
          </cell>
          <cell r="Z131">
            <v>286</v>
          </cell>
          <cell r="AA131">
            <v>68.326841000000002</v>
          </cell>
        </row>
        <row r="132">
          <cell r="V132" t="str">
            <v>VISTARAP1</v>
          </cell>
          <cell r="W132" t="str">
            <v>VISTARA</v>
          </cell>
          <cell r="X132" t="str">
            <v>P1</v>
          </cell>
          <cell r="Y132">
            <v>206</v>
          </cell>
          <cell r="Z132">
            <v>249</v>
          </cell>
          <cell r="AA132">
            <v>1514.767151</v>
          </cell>
        </row>
        <row r="133">
          <cell r="V133" t="str">
            <v>VISTARAP2</v>
          </cell>
          <cell r="W133" t="str">
            <v>VISTARA</v>
          </cell>
          <cell r="X133" t="str">
            <v>P2</v>
          </cell>
          <cell r="Y133"/>
          <cell r="Z133"/>
          <cell r="AA133"/>
        </row>
        <row r="134">
          <cell r="V134" t="str">
            <v>VISTARAP3</v>
          </cell>
          <cell r="W134" t="str">
            <v>VISTARA</v>
          </cell>
          <cell r="X134" t="str">
            <v>P3</v>
          </cell>
          <cell r="Y134">
            <v>478</v>
          </cell>
          <cell r="Z134">
            <v>511</v>
          </cell>
          <cell r="AA134">
            <v>240.224084</v>
          </cell>
        </row>
        <row r="135">
          <cell r="V135" t="str">
            <v>VISTARAP4</v>
          </cell>
          <cell r="W135" t="str">
            <v>VISTARA</v>
          </cell>
          <cell r="X135" t="str">
            <v>P4</v>
          </cell>
          <cell r="Y135">
            <v>103</v>
          </cell>
          <cell r="Z135">
            <v>135</v>
          </cell>
          <cell r="AA135">
            <v>212.25700000000001</v>
          </cell>
        </row>
        <row r="136">
          <cell r="V136" t="str">
            <v>VISTARAP4.1</v>
          </cell>
          <cell r="W136" t="str">
            <v>VISTARA</v>
          </cell>
          <cell r="X136" t="str">
            <v>P4.1</v>
          </cell>
          <cell r="Y136">
            <v>49</v>
          </cell>
          <cell r="Z136">
            <v>56</v>
          </cell>
          <cell r="AA136">
            <v>169.02500000000001</v>
          </cell>
        </row>
        <row r="137">
          <cell r="V137" t="str">
            <v>VISTARAP4.2</v>
          </cell>
          <cell r="W137" t="str">
            <v>VISTARA</v>
          </cell>
          <cell r="X137" t="str">
            <v>P4.2</v>
          </cell>
          <cell r="Y137">
            <v>54</v>
          </cell>
          <cell r="Z137">
            <v>79</v>
          </cell>
          <cell r="AA137">
            <v>43.231999999999999</v>
          </cell>
        </row>
        <row r="138">
          <cell r="V138" t="str">
            <v>VISTARAP5</v>
          </cell>
          <cell r="W138" t="str">
            <v>VISTARA</v>
          </cell>
          <cell r="X138" t="str">
            <v>P5</v>
          </cell>
          <cell r="Y138">
            <v>50</v>
          </cell>
          <cell r="Z138">
            <v>55</v>
          </cell>
          <cell r="AA138">
            <v>48.070999999999998</v>
          </cell>
        </row>
        <row r="139">
          <cell r="V139" t="str">
            <v>VISTARAP6</v>
          </cell>
          <cell r="W139" t="str">
            <v>VISTARA</v>
          </cell>
          <cell r="X139" t="str">
            <v>P6</v>
          </cell>
          <cell r="Y139">
            <v>810</v>
          </cell>
          <cell r="Z139">
            <v>971</v>
          </cell>
          <cell r="AA139">
            <v>707.59685400000001</v>
          </cell>
        </row>
        <row r="140">
          <cell r="V140" t="str">
            <v>(blank)(blank)</v>
          </cell>
          <cell r="W140" t="str">
            <v>(blank)</v>
          </cell>
          <cell r="X140" t="str">
            <v>(blank)</v>
          </cell>
          <cell r="Y140"/>
          <cell r="Z140"/>
          <cell r="AA140"/>
        </row>
        <row r="141">
          <cell r="V141" t="str">
            <v>ZOOM AIRP1</v>
          </cell>
          <cell r="W141" t="str">
            <v>ZOOM AIR</v>
          </cell>
          <cell r="X141" t="str">
            <v>P1</v>
          </cell>
          <cell r="Y141">
            <v>24</v>
          </cell>
          <cell r="Z141">
            <v>30</v>
          </cell>
          <cell r="AA141">
            <v>79.995999999999995</v>
          </cell>
        </row>
        <row r="142">
          <cell r="V142" t="str">
            <v>ZOOM AIRP2</v>
          </cell>
          <cell r="W142" t="str">
            <v>ZOOM AIR</v>
          </cell>
          <cell r="X142" t="str">
            <v>P2</v>
          </cell>
          <cell r="Y142">
            <v>0</v>
          </cell>
          <cell r="Z142">
            <v>0</v>
          </cell>
          <cell r="AA142">
            <v>0</v>
          </cell>
        </row>
        <row r="143">
          <cell r="V143" t="str">
            <v>ZOOM AIRP3</v>
          </cell>
          <cell r="W143" t="str">
            <v>ZOOM AIR</v>
          </cell>
          <cell r="X143" t="str">
            <v>P3</v>
          </cell>
          <cell r="Y143">
            <v>18</v>
          </cell>
          <cell r="Z143">
            <v>18</v>
          </cell>
          <cell r="AA143">
            <v>6.1920000000000002</v>
          </cell>
        </row>
        <row r="144">
          <cell r="V144" t="str">
            <v>ZOOM AIRP4</v>
          </cell>
          <cell r="W144" t="str">
            <v>ZOOM AIR</v>
          </cell>
          <cell r="X144" t="str">
            <v>P4</v>
          </cell>
          <cell r="Y144">
            <v>14</v>
          </cell>
          <cell r="Z144">
            <v>15</v>
          </cell>
          <cell r="AA144">
            <v>7.6120040000000007</v>
          </cell>
        </row>
        <row r="145">
          <cell r="V145" t="str">
            <v>ZOOM AIRP4.1</v>
          </cell>
          <cell r="W145" t="str">
            <v>ZOOM AIR</v>
          </cell>
          <cell r="X145" t="str">
            <v>P4.1</v>
          </cell>
          <cell r="Y145">
            <v>1</v>
          </cell>
          <cell r="Z145">
            <v>1</v>
          </cell>
          <cell r="AA145">
            <v>0.32</v>
          </cell>
        </row>
        <row r="146">
          <cell r="V146" t="str">
            <v>ZOOM AIRP4.2</v>
          </cell>
          <cell r="W146" t="str">
            <v>ZOOM AIR</v>
          </cell>
          <cell r="X146" t="str">
            <v>P4.2</v>
          </cell>
          <cell r="Y146">
            <v>13</v>
          </cell>
          <cell r="Z146">
            <v>14</v>
          </cell>
          <cell r="AA146">
            <v>7.2920040000000004</v>
          </cell>
        </row>
        <row r="147">
          <cell r="V147" t="str">
            <v>ZOOM AIRP5</v>
          </cell>
          <cell r="W147" t="str">
            <v>ZOOM AIR</v>
          </cell>
          <cell r="X147" t="str">
            <v>P5</v>
          </cell>
          <cell r="Y147">
            <v>29</v>
          </cell>
          <cell r="Z147">
            <v>38</v>
          </cell>
          <cell r="AA147">
            <v>15.114132</v>
          </cell>
        </row>
        <row r="148">
          <cell r="V148" t="str">
            <v>ZOOM AIRP6</v>
          </cell>
          <cell r="W148" t="str">
            <v>ZOOM AIR</v>
          </cell>
          <cell r="X148" t="str">
            <v>P6</v>
          </cell>
          <cell r="Y148">
            <v>22</v>
          </cell>
          <cell r="Z148">
            <v>26</v>
          </cell>
          <cell r="AA148">
            <v>18.219995999999998</v>
          </cell>
        </row>
        <row r="149">
          <cell r="V149" t="str">
            <v>AIR DECCANP1</v>
          </cell>
          <cell r="W149" t="str">
            <v>AIR DECCAN</v>
          </cell>
          <cell r="X149" t="str">
            <v>P1</v>
          </cell>
          <cell r="Y149"/>
          <cell r="Z149">
            <v>4</v>
          </cell>
          <cell r="AA149">
            <v>2.1</v>
          </cell>
        </row>
        <row r="150">
          <cell r="V150" t="str">
            <v>AIR DECCANP2</v>
          </cell>
          <cell r="W150" t="str">
            <v>AIR DECCAN</v>
          </cell>
          <cell r="X150" t="str">
            <v>P2</v>
          </cell>
          <cell r="Y150"/>
          <cell r="Z150"/>
          <cell r="AA150"/>
        </row>
        <row r="151">
          <cell r="V151" t="str">
            <v>AIR DECCANP3</v>
          </cell>
          <cell r="W151" t="str">
            <v>AIR DECCAN</v>
          </cell>
          <cell r="X151" t="str">
            <v>P3</v>
          </cell>
          <cell r="Y151"/>
          <cell r="Z151">
            <v>5</v>
          </cell>
          <cell r="AA151">
            <v>1.5</v>
          </cell>
        </row>
        <row r="152">
          <cell r="V152" t="str">
            <v>AIR DECCANP4</v>
          </cell>
          <cell r="W152" t="str">
            <v>AIR DECCAN</v>
          </cell>
          <cell r="X152" t="str">
            <v>P4</v>
          </cell>
          <cell r="Y152"/>
          <cell r="Z152">
            <v>38</v>
          </cell>
          <cell r="AA152">
            <v>14.58</v>
          </cell>
        </row>
        <row r="153">
          <cell r="V153" t="str">
            <v>AIR DECCANP4.1</v>
          </cell>
          <cell r="W153" t="str">
            <v>AIR DECCAN</v>
          </cell>
          <cell r="X153" t="str">
            <v>P4.1</v>
          </cell>
          <cell r="Y153"/>
          <cell r="Z153">
            <v>3</v>
          </cell>
          <cell r="AA153">
            <v>3.78</v>
          </cell>
        </row>
        <row r="154">
          <cell r="V154" t="str">
            <v>AIR DECCANP4.2</v>
          </cell>
          <cell r="W154" t="str">
            <v>AIR DECCAN</v>
          </cell>
          <cell r="X154" t="str">
            <v>P4.2</v>
          </cell>
          <cell r="Y154"/>
          <cell r="Z154">
            <v>35</v>
          </cell>
          <cell r="AA154">
            <v>10.8</v>
          </cell>
        </row>
        <row r="155">
          <cell r="V155" t="str">
            <v>AIR DECCANP5</v>
          </cell>
          <cell r="W155" t="str">
            <v>AIR DECCAN</v>
          </cell>
          <cell r="X155" t="str">
            <v>P5</v>
          </cell>
          <cell r="Y155"/>
          <cell r="Z155">
            <v>4</v>
          </cell>
          <cell r="AA155">
            <v>2</v>
          </cell>
        </row>
        <row r="156">
          <cell r="V156" t="str">
            <v>AIR DECCANP6</v>
          </cell>
          <cell r="W156" t="str">
            <v>AIR DECCAN</v>
          </cell>
          <cell r="X156" t="str">
            <v>P6</v>
          </cell>
          <cell r="Y156"/>
          <cell r="Z156">
            <v>60</v>
          </cell>
          <cell r="AA156">
            <v>7.5</v>
          </cell>
        </row>
        <row r="157">
          <cell r="V157" t="str">
            <v>AIR ODDISAP1</v>
          </cell>
          <cell r="W157" t="str">
            <v>AIR ODDISA</v>
          </cell>
          <cell r="X157" t="str">
            <v>P1</v>
          </cell>
          <cell r="Y157">
            <v>4</v>
          </cell>
          <cell r="Z157">
            <v>8</v>
          </cell>
          <cell r="AA157">
            <v>24.641159999999999</v>
          </cell>
        </row>
        <row r="158">
          <cell r="V158" t="str">
            <v>AIR ODDISAP2</v>
          </cell>
          <cell r="W158" t="str">
            <v>AIR ODDISA</v>
          </cell>
          <cell r="X158" t="str">
            <v>P2</v>
          </cell>
          <cell r="Y158">
            <v>2</v>
          </cell>
          <cell r="Z158">
            <v>2</v>
          </cell>
          <cell r="AA158">
            <v>0.72</v>
          </cell>
        </row>
        <row r="159">
          <cell r="V159" t="str">
            <v>AIR ODDISAP3</v>
          </cell>
          <cell r="W159" t="str">
            <v>AIR ODDISA</v>
          </cell>
          <cell r="X159" t="str">
            <v>P3</v>
          </cell>
          <cell r="Y159">
            <v>0</v>
          </cell>
          <cell r="Z159">
            <v>4</v>
          </cell>
          <cell r="AA159">
            <v>1.8903840000000001</v>
          </cell>
        </row>
        <row r="160">
          <cell r="V160" t="str">
            <v>AIR ODDISAP4</v>
          </cell>
          <cell r="W160" t="str">
            <v>AIR ODDISA</v>
          </cell>
          <cell r="X160" t="str">
            <v>P4</v>
          </cell>
          <cell r="Y160"/>
          <cell r="Z160"/>
          <cell r="AA160"/>
        </row>
        <row r="161">
          <cell r="V161" t="str">
            <v>AIR ODDISAP4.1</v>
          </cell>
          <cell r="W161" t="str">
            <v>AIR ODDISA</v>
          </cell>
          <cell r="X161" t="str">
            <v>P4.1</v>
          </cell>
          <cell r="Y161">
            <v>2</v>
          </cell>
          <cell r="Z161">
            <v>2</v>
          </cell>
          <cell r="AA161">
            <v>3.24</v>
          </cell>
        </row>
        <row r="162">
          <cell r="V162" t="str">
            <v>AIR ODDISAP4.2</v>
          </cell>
          <cell r="W162" t="str">
            <v>AIR ODDISA</v>
          </cell>
          <cell r="X162" t="str">
            <v>P4.2</v>
          </cell>
          <cell r="Y162">
            <v>6</v>
          </cell>
          <cell r="Z162">
            <v>6</v>
          </cell>
          <cell r="AA162">
            <v>2.16</v>
          </cell>
        </row>
        <row r="163">
          <cell r="V163" t="str">
            <v>AIR ODDISAP5</v>
          </cell>
          <cell r="W163" t="str">
            <v>AIR ODDISA</v>
          </cell>
          <cell r="X163" t="str">
            <v>P5</v>
          </cell>
          <cell r="Y163">
            <v>10</v>
          </cell>
          <cell r="Z163">
            <v>20</v>
          </cell>
          <cell r="AA163">
            <v>4.8</v>
          </cell>
        </row>
        <row r="164">
          <cell r="V164" t="str">
            <v>AIR ODDISAP6</v>
          </cell>
          <cell r="W164" t="str">
            <v>AIR ODDISA</v>
          </cell>
          <cell r="X164" t="str">
            <v>P6</v>
          </cell>
          <cell r="Y164">
            <v>20</v>
          </cell>
          <cell r="Z164">
            <v>20</v>
          </cell>
          <cell r="AA164">
            <v>13.08</v>
          </cell>
        </row>
        <row r="165">
          <cell r="V165" t="str">
            <v/>
          </cell>
        </row>
        <row r="166">
          <cell r="V166" t="str">
            <v/>
          </cell>
        </row>
        <row r="167">
          <cell r="V167" t="str">
            <v/>
          </cell>
        </row>
        <row r="168">
          <cell r="V168" t="str">
            <v/>
          </cell>
        </row>
        <row r="169">
          <cell r="V169" t="str">
            <v/>
          </cell>
        </row>
        <row r="170">
          <cell r="V170" t="str">
            <v/>
          </cell>
        </row>
        <row r="171">
          <cell r="V171" t="str">
            <v/>
          </cell>
        </row>
        <row r="172">
          <cell r="V172" t="str">
            <v/>
          </cell>
        </row>
        <row r="173">
          <cell r="V173" t="str">
            <v/>
          </cell>
        </row>
        <row r="174">
          <cell r="V174" t="str">
            <v/>
          </cell>
        </row>
        <row r="175">
          <cell r="V175" t="str">
            <v/>
          </cell>
        </row>
        <row r="176">
          <cell r="V176" t="str">
            <v/>
          </cell>
        </row>
        <row r="177">
          <cell r="V177" t="str">
            <v/>
          </cell>
        </row>
        <row r="178">
          <cell r="V178" t="str">
            <v/>
          </cell>
        </row>
        <row r="179">
          <cell r="V179" t="str">
            <v/>
          </cell>
        </row>
        <row r="180">
          <cell r="V180" t="str">
            <v/>
          </cell>
        </row>
        <row r="181">
          <cell r="V181" t="str">
            <v/>
          </cell>
        </row>
        <row r="182">
          <cell r="V182" t="str">
            <v/>
          </cell>
        </row>
        <row r="183">
          <cell r="V183" t="str">
            <v/>
          </cell>
        </row>
        <row r="184">
          <cell r="V184" t="str">
            <v/>
          </cell>
        </row>
        <row r="185">
          <cell r="V185" t="str">
            <v/>
          </cell>
        </row>
        <row r="186">
          <cell r="V186" t="str">
            <v/>
          </cell>
        </row>
        <row r="187">
          <cell r="V187" t="str">
            <v/>
          </cell>
        </row>
        <row r="188">
          <cell r="V188" t="str">
            <v/>
          </cell>
        </row>
        <row r="189">
          <cell r="V189" t="str">
            <v/>
          </cell>
        </row>
        <row r="190">
          <cell r="V190" t="str">
            <v/>
          </cell>
        </row>
        <row r="191">
          <cell r="V191" t="str">
            <v/>
          </cell>
        </row>
        <row r="192">
          <cell r="V192" t="str">
            <v/>
          </cell>
        </row>
        <row r="193">
          <cell r="V193" t="str">
            <v/>
          </cell>
        </row>
        <row r="194">
          <cell r="V194" t="str">
            <v/>
          </cell>
        </row>
        <row r="195">
          <cell r="V195" t="str">
            <v/>
          </cell>
        </row>
        <row r="196">
          <cell r="V196" t="str">
            <v/>
          </cell>
        </row>
        <row r="197">
          <cell r="V197" t="str">
            <v/>
          </cell>
        </row>
        <row r="198">
          <cell r="V198" t="str">
            <v/>
          </cell>
        </row>
        <row r="199">
          <cell r="V199" t="str">
            <v/>
          </cell>
        </row>
        <row r="200">
          <cell r="V200" t="str">
            <v/>
          </cell>
        </row>
        <row r="201">
          <cell r="V201" t="str">
            <v/>
          </cell>
        </row>
        <row r="202">
          <cell r="V202" t="str">
            <v/>
          </cell>
        </row>
        <row r="203">
          <cell r="V203" t="str">
            <v/>
          </cell>
        </row>
        <row r="204">
          <cell r="V204" t="str">
            <v/>
          </cell>
        </row>
        <row r="205">
          <cell r="V205" t="str">
            <v/>
          </cell>
        </row>
        <row r="206">
          <cell r="V206" t="str">
            <v/>
          </cell>
        </row>
        <row r="207">
          <cell r="V207" t="str">
            <v/>
          </cell>
        </row>
        <row r="208">
          <cell r="V208" t="str">
            <v/>
          </cell>
        </row>
        <row r="209">
          <cell r="V209" t="str">
            <v/>
          </cell>
        </row>
        <row r="210">
          <cell r="V210" t="str">
            <v/>
          </cell>
        </row>
        <row r="211">
          <cell r="V211" t="str">
            <v/>
          </cell>
        </row>
        <row r="212">
          <cell r="V212" t="str">
            <v/>
          </cell>
        </row>
        <row r="213">
          <cell r="V213" t="str">
            <v/>
          </cell>
        </row>
        <row r="214">
          <cell r="V214" t="str">
            <v/>
          </cell>
        </row>
        <row r="215">
          <cell r="V215" t="str">
            <v/>
          </cell>
        </row>
        <row r="216">
          <cell r="V216" t="str">
            <v/>
          </cell>
        </row>
        <row r="217">
          <cell r="V217" t="str">
            <v/>
          </cell>
        </row>
        <row r="218">
          <cell r="V218" t="str">
            <v/>
          </cell>
        </row>
        <row r="219">
          <cell r="V219" t="str">
            <v/>
          </cell>
        </row>
        <row r="220">
          <cell r="V220" t="str">
            <v/>
          </cell>
        </row>
        <row r="221">
          <cell r="V221" t="str">
            <v/>
          </cell>
        </row>
        <row r="222">
          <cell r="V222" t="str">
            <v/>
          </cell>
        </row>
        <row r="223">
          <cell r="V223" t="str">
            <v/>
          </cell>
        </row>
        <row r="224">
          <cell r="V224" t="str">
            <v/>
          </cell>
        </row>
        <row r="225">
          <cell r="V225" t="str">
            <v/>
          </cell>
        </row>
        <row r="226">
          <cell r="V226" t="str">
            <v/>
          </cell>
        </row>
        <row r="227">
          <cell r="V227" t="str">
            <v/>
          </cell>
        </row>
        <row r="228">
          <cell r="V228" t="str">
            <v/>
          </cell>
        </row>
        <row r="229">
          <cell r="V229" t="str">
            <v/>
          </cell>
        </row>
        <row r="230">
          <cell r="V230" t="str">
            <v/>
          </cell>
        </row>
        <row r="231">
          <cell r="V231" t="str">
            <v/>
          </cell>
        </row>
        <row r="232">
          <cell r="V232" t="str">
            <v/>
          </cell>
        </row>
        <row r="233">
          <cell r="V233" t="str">
            <v/>
          </cell>
        </row>
        <row r="234">
          <cell r="V234" t="str">
            <v/>
          </cell>
        </row>
        <row r="235">
          <cell r="V235" t="str">
            <v/>
          </cell>
        </row>
        <row r="236">
          <cell r="V236" t="str">
            <v/>
          </cell>
        </row>
        <row r="237">
          <cell r="V237" t="str">
            <v/>
          </cell>
        </row>
        <row r="238">
          <cell r="V238" t="str">
            <v/>
          </cell>
        </row>
        <row r="239">
          <cell r="V239" t="str">
            <v/>
          </cell>
        </row>
        <row r="240">
          <cell r="V240" t="str">
            <v/>
          </cell>
        </row>
        <row r="241">
          <cell r="V241" t="str">
            <v/>
          </cell>
        </row>
        <row r="242">
          <cell r="V242" t="str">
            <v/>
          </cell>
        </row>
        <row r="243">
          <cell r="V243" t="str">
            <v/>
          </cell>
        </row>
        <row r="244">
          <cell r="V244" t="str">
            <v/>
          </cell>
        </row>
        <row r="245">
          <cell r="V245" t="str">
            <v/>
          </cell>
        </row>
        <row r="246">
          <cell r="V246" t="str">
            <v/>
          </cell>
        </row>
        <row r="247">
          <cell r="V247" t="str">
            <v/>
          </cell>
        </row>
        <row r="248">
          <cell r="V248" t="str">
            <v/>
          </cell>
        </row>
        <row r="249">
          <cell r="V249" t="str">
            <v/>
          </cell>
        </row>
        <row r="250">
          <cell r="V250" t="str">
            <v/>
          </cell>
        </row>
        <row r="251">
          <cell r="V251" t="str">
            <v/>
          </cell>
        </row>
        <row r="252">
          <cell r="V252" t="str">
            <v/>
          </cell>
        </row>
        <row r="253">
          <cell r="V253" t="str">
            <v/>
          </cell>
        </row>
        <row r="254">
          <cell r="V254" t="str">
            <v/>
          </cell>
        </row>
        <row r="255">
          <cell r="V255" t="str">
            <v/>
          </cell>
        </row>
        <row r="256">
          <cell r="V256" t="str">
            <v/>
          </cell>
        </row>
        <row r="257">
          <cell r="V257" t="str">
            <v/>
          </cell>
        </row>
        <row r="258">
          <cell r="V258" t="str">
            <v/>
          </cell>
        </row>
        <row r="259">
          <cell r="V259" t="str">
            <v/>
          </cell>
        </row>
        <row r="260">
          <cell r="V260" t="str">
            <v/>
          </cell>
        </row>
        <row r="261">
          <cell r="V261" t="str">
            <v/>
          </cell>
        </row>
        <row r="262">
          <cell r="V262" t="str">
            <v/>
          </cell>
        </row>
        <row r="263">
          <cell r="V263" t="str">
            <v/>
          </cell>
        </row>
        <row r="264">
          <cell r="V264" t="str">
            <v/>
          </cell>
        </row>
        <row r="265">
          <cell r="V265" t="str">
            <v/>
          </cell>
        </row>
        <row r="266">
          <cell r="V266" t="str">
            <v/>
          </cell>
        </row>
        <row r="267">
          <cell r="V267" t="str">
            <v/>
          </cell>
        </row>
        <row r="268">
          <cell r="V268" t="str">
            <v/>
          </cell>
        </row>
        <row r="269">
          <cell r="V269" t="str">
            <v/>
          </cell>
        </row>
        <row r="270">
          <cell r="V270" t="str">
            <v/>
          </cell>
        </row>
        <row r="271">
          <cell r="V271" t="str">
            <v/>
          </cell>
        </row>
        <row r="272">
          <cell r="V272" t="str">
            <v/>
          </cell>
        </row>
        <row r="273">
          <cell r="V273" t="str">
            <v/>
          </cell>
        </row>
        <row r="274">
          <cell r="V274" t="str">
            <v/>
          </cell>
        </row>
        <row r="275">
          <cell r="V275" t="str">
            <v/>
          </cell>
        </row>
        <row r="276">
          <cell r="V276" t="str">
            <v/>
          </cell>
        </row>
        <row r="277">
          <cell r="V277" t="str">
            <v/>
          </cell>
        </row>
        <row r="278">
          <cell r="V278" t="str">
            <v/>
          </cell>
        </row>
        <row r="279">
          <cell r="V279" t="str">
            <v/>
          </cell>
        </row>
        <row r="280">
          <cell r="V280" t="str">
            <v/>
          </cell>
        </row>
        <row r="281">
          <cell r="V281" t="str">
            <v/>
          </cell>
        </row>
        <row r="282">
          <cell r="V282" t="str">
            <v/>
          </cell>
        </row>
        <row r="283">
          <cell r="V283" t="str">
            <v/>
          </cell>
        </row>
        <row r="284">
          <cell r="V284" t="str">
            <v/>
          </cell>
        </row>
        <row r="285">
          <cell r="V285" t="str">
            <v/>
          </cell>
        </row>
        <row r="286">
          <cell r="V286" t="str">
            <v/>
          </cell>
        </row>
        <row r="287">
          <cell r="V287" t="str">
            <v/>
          </cell>
        </row>
        <row r="288">
          <cell r="V288" t="str">
            <v/>
          </cell>
        </row>
        <row r="289">
          <cell r="V289" t="str">
            <v/>
          </cell>
        </row>
        <row r="290">
          <cell r="V290" t="str">
            <v/>
          </cell>
        </row>
        <row r="291">
          <cell r="V291" t="str">
            <v/>
          </cell>
        </row>
        <row r="292">
          <cell r="V292" t="str">
            <v/>
          </cell>
        </row>
        <row r="293">
          <cell r="V293" t="str">
            <v/>
          </cell>
        </row>
        <row r="294">
          <cell r="V294" t="str">
            <v/>
          </cell>
        </row>
        <row r="295">
          <cell r="V295" t="str">
            <v/>
          </cell>
        </row>
        <row r="296">
          <cell r="V296" t="str">
            <v/>
          </cell>
        </row>
        <row r="297">
          <cell r="V297" t="str">
            <v/>
          </cell>
        </row>
        <row r="298">
          <cell r="V298" t="str">
            <v/>
          </cell>
        </row>
        <row r="299">
          <cell r="V299" t="str">
            <v/>
          </cell>
        </row>
        <row r="300">
          <cell r="V300" t="str">
            <v/>
          </cell>
        </row>
        <row r="301">
          <cell r="V301" t="str">
            <v/>
          </cell>
        </row>
        <row r="302">
          <cell r="V302" t="str">
            <v/>
          </cell>
        </row>
        <row r="303">
          <cell r="V303" t="str">
            <v/>
          </cell>
        </row>
        <row r="304">
          <cell r="V304" t="str">
            <v/>
          </cell>
        </row>
        <row r="305">
          <cell r="V305" t="str">
            <v/>
          </cell>
        </row>
        <row r="306">
          <cell r="V306" t="str">
            <v/>
          </cell>
        </row>
        <row r="307">
          <cell r="V307" t="str">
            <v/>
          </cell>
        </row>
        <row r="308">
          <cell r="V308" t="str">
            <v/>
          </cell>
        </row>
        <row r="309">
          <cell r="V309" t="str">
            <v/>
          </cell>
        </row>
        <row r="310">
          <cell r="V310" t="str">
            <v/>
          </cell>
        </row>
        <row r="311">
          <cell r="V311" t="str">
            <v/>
          </cell>
        </row>
        <row r="312">
          <cell r="V312" t="str">
            <v/>
          </cell>
        </row>
        <row r="313">
          <cell r="V313" t="str">
            <v/>
          </cell>
        </row>
        <row r="314">
          <cell r="V314" t="str">
            <v/>
          </cell>
        </row>
        <row r="315">
          <cell r="V315" t="str">
            <v/>
          </cell>
        </row>
        <row r="316">
          <cell r="V316" t="str">
            <v/>
          </cell>
        </row>
        <row r="317">
          <cell r="V317" t="str">
            <v/>
          </cell>
        </row>
        <row r="318">
          <cell r="V318" t="str">
            <v/>
          </cell>
        </row>
        <row r="319">
          <cell r="V319" t="str">
            <v/>
          </cell>
        </row>
        <row r="320">
          <cell r="V320" t="str">
            <v/>
          </cell>
        </row>
        <row r="321">
          <cell r="V321" t="str">
            <v/>
          </cell>
        </row>
        <row r="322">
          <cell r="V322" t="str">
            <v/>
          </cell>
        </row>
        <row r="323">
          <cell r="V323" t="str">
            <v/>
          </cell>
        </row>
        <row r="324">
          <cell r="V324" t="str">
            <v/>
          </cell>
        </row>
        <row r="325">
          <cell r="V325" t="str">
            <v/>
          </cell>
        </row>
        <row r="326">
          <cell r="V326" t="str">
            <v/>
          </cell>
        </row>
        <row r="327">
          <cell r="V327" t="str">
            <v/>
          </cell>
        </row>
        <row r="328">
          <cell r="V328" t="str">
            <v/>
          </cell>
        </row>
        <row r="329">
          <cell r="V329" t="str">
            <v/>
          </cell>
        </row>
        <row r="330">
          <cell r="V330" t="str">
            <v/>
          </cell>
        </row>
        <row r="331">
          <cell r="V331" t="str">
            <v/>
          </cell>
        </row>
        <row r="332">
          <cell r="V332" t="str">
            <v/>
          </cell>
        </row>
        <row r="333">
          <cell r="V333" t="str">
            <v/>
          </cell>
        </row>
        <row r="334">
          <cell r="V334" t="str">
            <v/>
          </cell>
        </row>
        <row r="335">
          <cell r="V335" t="str">
            <v/>
          </cell>
        </row>
        <row r="336">
          <cell r="V336" t="str">
            <v/>
          </cell>
        </row>
        <row r="337">
          <cell r="V337" t="str">
            <v/>
          </cell>
        </row>
        <row r="338">
          <cell r="V338" t="str">
            <v/>
          </cell>
        </row>
        <row r="339">
          <cell r="V339" t="str">
            <v/>
          </cell>
        </row>
        <row r="340">
          <cell r="V340" t="str">
            <v/>
          </cell>
        </row>
        <row r="341">
          <cell r="V341" t="str">
            <v/>
          </cell>
        </row>
        <row r="342">
          <cell r="V342" t="str">
            <v/>
          </cell>
        </row>
        <row r="343">
          <cell r="V343" t="str">
            <v/>
          </cell>
        </row>
        <row r="344">
          <cell r="V344" t="str">
            <v/>
          </cell>
        </row>
      </sheetData>
      <sheetData sheetId="6">
        <row r="3">
          <cell r="A3" t="str">
            <v>Row Labels</v>
          </cell>
        </row>
      </sheetData>
      <sheetData sheetId="7">
        <row r="1">
          <cell r="B1" t="str">
            <v>2017-18</v>
          </cell>
        </row>
        <row r="2">
          <cell r="B2" t="str">
            <v>SPICEJET</v>
          </cell>
          <cell r="O2" t="str">
            <v>AIR ASIA</v>
          </cell>
        </row>
        <row r="3">
          <cell r="O3" t="str">
            <v>AIR COSTA</v>
          </cell>
        </row>
        <row r="4">
          <cell r="O4" t="str">
            <v>AIR INDIA</v>
          </cell>
        </row>
        <row r="5">
          <cell r="O5" t="str">
            <v>AIR INDIA EXPRESS</v>
          </cell>
        </row>
        <row r="6">
          <cell r="O6" t="str">
            <v>AIR PEGASUS</v>
          </cell>
        </row>
        <row r="7">
          <cell r="O7" t="str">
            <v>ALLIANCE AIR</v>
          </cell>
        </row>
        <row r="8">
          <cell r="O8" t="str">
            <v xml:space="preserve">Blue Dart </v>
          </cell>
        </row>
        <row r="9">
          <cell r="O9" t="str">
            <v>GO AIR</v>
          </cell>
        </row>
        <row r="10">
          <cell r="O10" t="str">
            <v>INDIGO</v>
          </cell>
        </row>
        <row r="11">
          <cell r="O11" t="str">
            <v>JET AIRWAYS</v>
          </cell>
        </row>
        <row r="12">
          <cell r="O12" t="str">
            <v>JETLITE</v>
          </cell>
        </row>
        <row r="13">
          <cell r="O13" t="str">
            <v>SPICEJET</v>
          </cell>
        </row>
        <row r="14">
          <cell r="O14" t="str">
            <v>TRUEJET</v>
          </cell>
        </row>
        <row r="15">
          <cell r="O15" t="str">
            <v>VISTARA</v>
          </cell>
        </row>
        <row r="16">
          <cell r="O16" t="str">
            <v>ZOOM AIR</v>
          </cell>
        </row>
        <row r="17">
          <cell r="O17" t="str">
            <v>AIR CARNIVAL</v>
          </cell>
        </row>
        <row r="18">
          <cell r="O18" t="str">
            <v>QUICK JET CARGO</v>
          </cell>
        </row>
        <row r="19">
          <cell r="O19" t="str">
            <v>AIR ODDISA</v>
          </cell>
        </row>
        <row r="20">
          <cell r="O20" t="str">
            <v>AIR DECCAN</v>
          </cell>
        </row>
        <row r="21">
          <cell r="O21" t="str">
            <v>SCHEDULED NATIONAL AIRLINES</v>
          </cell>
        </row>
        <row r="22">
          <cell r="O22" t="str">
            <v>SCHEDULED PRIVATE AIRLINES</v>
          </cell>
        </row>
        <row r="23">
          <cell r="O23" t="str">
            <v>ALL SCHEDULED INDIAN AIRLINES</v>
          </cell>
        </row>
        <row r="24">
          <cell r="O24"/>
        </row>
        <row r="25">
          <cell r="O25"/>
        </row>
        <row r="26">
          <cell r="O26"/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 codeName="Sheet12">
    <tabColor theme="9" tint="0.59999389629810485"/>
  </sheetPr>
  <dimension ref="A1:E14"/>
  <sheetViews>
    <sheetView showGridLines="0" tabSelected="1" view="pageBreakPreview" zoomScaleNormal="100" zoomScaleSheetLayoutView="100" workbookViewId="0">
      <selection activeCell="G5" sqref="G5"/>
    </sheetView>
  </sheetViews>
  <sheetFormatPr defaultColWidth="11" defaultRowHeight="15" x14ac:dyDescent="0.2"/>
  <cols>
    <col min="1" max="1" width="38.28515625" style="1" customWidth="1"/>
    <col min="2" max="3" width="17.5703125" style="1" customWidth="1"/>
    <col min="4" max="4" width="18.28515625" style="1" customWidth="1"/>
    <col min="5" max="5" width="11" style="1"/>
    <col min="6" max="7" width="11" style="1" customWidth="1"/>
    <col min="8" max="16384" width="11" style="1"/>
  </cols>
  <sheetData>
    <row r="1" spans="1:5" ht="24.95" customHeight="1" x14ac:dyDescent="0.2">
      <c r="A1" s="12" t="s">
        <v>13</v>
      </c>
      <c r="B1" s="13"/>
      <c r="C1" s="13"/>
      <c r="D1" s="14"/>
    </row>
    <row r="2" spans="1:5" ht="24.95" customHeight="1" x14ac:dyDescent="0.2">
      <c r="A2" s="15" t="str">
        <f>"TABLE - 1.19 ("&amp;[2]Sheet1!B2&amp;")"</f>
        <v>TABLE - 1.19 (SPICEJET)</v>
      </c>
      <c r="B2" s="16"/>
      <c r="C2" s="16"/>
      <c r="D2" s="17"/>
    </row>
    <row r="3" spans="1:5" ht="45" customHeight="1" x14ac:dyDescent="0.2">
      <c r="A3" s="10" t="str">
        <f>"PERSONNEL STATISTICS OF "&amp;[2]Sheet1!B2&amp;" DURING "&amp;[2]Sheet1!B1</f>
        <v>PERSONNEL STATISTICS OF SPICEJET DURING 2017-18</v>
      </c>
      <c r="B3" s="10"/>
      <c r="C3" s="10"/>
      <c r="D3" s="10"/>
    </row>
    <row r="4" spans="1:5" ht="36" customHeight="1" x14ac:dyDescent="0.2">
      <c r="A4" s="11" t="s">
        <v>12</v>
      </c>
      <c r="B4" s="11" t="s">
        <v>11</v>
      </c>
      <c r="C4" s="11"/>
      <c r="D4" s="11" t="s">
        <v>10</v>
      </c>
    </row>
    <row r="5" spans="1:5" ht="36" customHeight="1" x14ac:dyDescent="0.2">
      <c r="A5" s="11"/>
      <c r="B5" s="5" t="s">
        <v>9</v>
      </c>
      <c r="C5" s="5" t="s">
        <v>8</v>
      </c>
      <c r="D5" s="11"/>
    </row>
    <row r="6" spans="1:5" ht="50.1" customHeight="1" x14ac:dyDescent="0.25">
      <c r="A6" s="5" t="s">
        <v>7</v>
      </c>
      <c r="B6" s="8">
        <f>VLOOKUP([2]Sheet1!$B$2&amp;"P1",'[2]Form D -Personnel processing'!$V$4:$AB$344,4,0)</f>
        <v>615</v>
      </c>
      <c r="C6" s="8">
        <f>VLOOKUP([2]Sheet1!$B$2&amp;"P1",'[2]Form D -Personnel processing'!$V$4:$AB$344,5,0)</f>
        <v>674</v>
      </c>
      <c r="D6" s="7">
        <f>VLOOKUP([2]Sheet1!$B$2&amp;"P1",'[2]Form D -Personnel processing'!$V$4:$AB$344,6,0)</f>
        <v>2898.8</v>
      </c>
      <c r="E6" s="6"/>
    </row>
    <row r="7" spans="1:5" ht="50.1" customHeight="1" x14ac:dyDescent="0.25">
      <c r="A7" s="5" t="s">
        <v>6</v>
      </c>
      <c r="B7" s="8">
        <f>VLOOKUP([2]Sheet1!$B$2&amp;"P2",'[2]Form D -Personnel processing'!$V$4:$AB$344,4,0)</f>
        <v>41</v>
      </c>
      <c r="C7" s="8">
        <f>VLOOKUP([2]Sheet1!$B$2&amp;"P2",'[2]Form D -Personnel processing'!$V$4:$AB$344,5,0)</f>
        <v>53</v>
      </c>
      <c r="D7" s="7">
        <f>VLOOKUP([2]Sheet1!$B$2&amp;"P2",'[2]Form D -Personnel processing'!$V$4:$AB$344,6,0)</f>
        <v>529.20000000000005</v>
      </c>
      <c r="E7" s="6"/>
    </row>
    <row r="8" spans="1:5" ht="50.1" customHeight="1" x14ac:dyDescent="0.25">
      <c r="A8" s="5" t="s">
        <v>5</v>
      </c>
      <c r="B8" s="8">
        <f>VLOOKUP([2]Sheet1!$B$2&amp;"P3",'[2]Form D -Personnel processing'!$V$4:$AB$344,4,0)</f>
        <v>1213</v>
      </c>
      <c r="C8" s="8">
        <f>VLOOKUP([2]Sheet1!$B$2&amp;"P3",'[2]Form D -Personnel processing'!$V$4:$AB$344,5,0)</f>
        <v>1202</v>
      </c>
      <c r="D8" s="7">
        <f>VLOOKUP([2]Sheet1!$B$2&amp;"P3",'[2]Form D -Personnel processing'!$V$4:$AB$344,6,0)</f>
        <v>695.6</v>
      </c>
      <c r="E8" s="6"/>
    </row>
    <row r="9" spans="1:5" ht="50.1" customHeight="1" x14ac:dyDescent="0.25">
      <c r="A9" s="5" t="s">
        <v>4</v>
      </c>
      <c r="B9" s="8">
        <f>VLOOKUP([2]Sheet1!$B$2&amp;"P4",'[2]Form D -Personnel processing'!$V$4:$AB$344,4,0)</f>
        <v>607</v>
      </c>
      <c r="C9" s="8">
        <f>VLOOKUP([2]Sheet1!$B$2&amp;"P4",'[2]Form D -Personnel processing'!$V$4:$AB$344,5,0)</f>
        <v>638</v>
      </c>
      <c r="D9" s="7">
        <f>VLOOKUP([2]Sheet1!$B$2&amp;"P4",'[2]Form D -Personnel processing'!$V$4:$AB$344,6,0)</f>
        <v>633.5</v>
      </c>
      <c r="E9" s="6"/>
    </row>
    <row r="10" spans="1:5" ht="50.1" customHeight="1" x14ac:dyDescent="0.25">
      <c r="A10" s="5" t="s">
        <v>3</v>
      </c>
      <c r="B10" s="8">
        <f>VLOOKUP([2]Sheet1!$B$2&amp;"P5",'[2]Form D -Personnel processing'!$V$4:$AB$344,4,0)</f>
        <v>429</v>
      </c>
      <c r="C10" s="8">
        <f>VLOOKUP([2]Sheet1!$B$2&amp;"P5",'[2]Form D -Personnel processing'!$V$4:$AB$344,5,0)</f>
        <v>468</v>
      </c>
      <c r="D10" s="7">
        <f>VLOOKUP([2]Sheet1!$B$2&amp;"P5",'[2]Form D -Personnel processing'!$V$4:$AB$344,6,0)</f>
        <v>170.9</v>
      </c>
      <c r="E10" s="6"/>
    </row>
    <row r="11" spans="1:5" ht="50.1" customHeight="1" x14ac:dyDescent="0.25">
      <c r="A11" s="5" t="s">
        <v>2</v>
      </c>
      <c r="B11" s="8">
        <f>VLOOKUP([2]Sheet1!$B$2&amp;"P6",'[2]Form D -Personnel processing'!$V$4:$AB$344,4,0)</f>
        <v>5097</v>
      </c>
      <c r="C11" s="8">
        <f>VLOOKUP([2]Sheet1!$B$2&amp;"P6",'[2]Form D -Personnel processing'!$V$4:$AB$344,5,0)</f>
        <v>5464</v>
      </c>
      <c r="D11" s="7">
        <f>VLOOKUP([2]Sheet1!$B$2&amp;"P6",'[2]Form D -Personnel processing'!$V$4:$AB$344,6,0)</f>
        <v>1982.8</v>
      </c>
      <c r="E11" s="6"/>
    </row>
    <row r="12" spans="1:5" ht="50.1" customHeight="1" x14ac:dyDescent="0.2">
      <c r="A12" s="5" t="s">
        <v>1</v>
      </c>
      <c r="B12" s="4">
        <f>SUM($B$6:$B$11)</f>
        <v>8002</v>
      </c>
      <c r="C12" s="4">
        <f>SUM($C$6:$C$11)</f>
        <v>8499</v>
      </c>
      <c r="D12" s="3">
        <f>SUM($D$6:$D$11)</f>
        <v>6910.8</v>
      </c>
    </row>
    <row r="13" spans="1:5" ht="32.25" customHeight="1" x14ac:dyDescent="0.2">
      <c r="A13" s="18" t="str">
        <f>"SOURCE : ICAO ATR FORM-D FURNISHED BY  " &amp;[2]Sheet1!B2</f>
        <v>SOURCE : ICAO ATR FORM-D FURNISHED BY  SPICEJET</v>
      </c>
      <c r="B13" s="18"/>
      <c r="C13" s="18"/>
      <c r="D13" s="18"/>
    </row>
    <row r="14" spans="1:5" ht="20.100000000000001" customHeight="1" x14ac:dyDescent="0.2">
      <c r="A14" s="9" t="s">
        <v>0</v>
      </c>
      <c r="B14" s="9"/>
      <c r="C14" s="9"/>
      <c r="D14" s="2"/>
    </row>
  </sheetData>
  <mergeCells count="8">
    <mergeCell ref="A14:C14"/>
    <mergeCell ref="A3:D3"/>
    <mergeCell ref="A4:A5"/>
    <mergeCell ref="A1:D1"/>
    <mergeCell ref="D4:D5"/>
    <mergeCell ref="B4:C4"/>
    <mergeCell ref="A2:D2"/>
    <mergeCell ref="A13:D13"/>
  </mergeCells>
  <printOptions gridLines="1"/>
  <pageMargins left="0.54" right="0.53" top="1.25" bottom="1" header="0.5" footer="0.75"/>
  <pageSetup firstPageNumber="147" fitToWidth="0" fitToHeight="0" orientation="portrait" useFirstPageNumber="1" horizontalDpi="4294967294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1.19</vt:lpstr>
      <vt:lpstr>'1.19'!Print_Area</vt:lpstr>
      <vt:lpstr>'1.19'!Print_Area_MI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2019-04-22T07:14:49Z</dcterms:modified>
</cp:coreProperties>
</file>