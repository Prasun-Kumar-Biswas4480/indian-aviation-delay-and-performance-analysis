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9" sheetId="2" r:id="rId1"/>
  </sheets>
  <externalReferences>
    <externalReference r:id="rId2"/>
    <externalReference r:id="rId3"/>
  </externalReferences>
  <definedNames>
    <definedName name="\a" localSheetId="0">'1.19'!#REF!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'1.19'!$A$1:$D$14</definedName>
    <definedName name="Print_Area_MI" localSheetId="0">'1.19'!$A$6:$D$13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6" i="2"/>
  <c r="C6" i="2"/>
  <c r="B7" i="2"/>
  <c r="C7" i="2"/>
  <c r="B8" i="2"/>
  <c r="C8" i="2"/>
  <c r="B9" i="2"/>
  <c r="C9" i="2"/>
  <c r="B10" i="2"/>
  <c r="C10" i="2"/>
  <c r="B11" i="2"/>
  <c r="C11" i="2"/>
  <c r="A13" i="2"/>
  <c r="B12" i="2" l="1"/>
  <c r="C12" i="2"/>
</calcChain>
</file>

<file path=xl/sharedStrings.xml><?xml version="1.0" encoding="utf-8"?>
<sst xmlns="http://schemas.openxmlformats.org/spreadsheetml/2006/main" count="14" uniqueCount="14">
  <si>
    <r>
      <t>Year end on 31</t>
    </r>
    <r>
      <rPr>
        <b/>
        <vertAlign val="superscript"/>
        <sz val="12"/>
        <rFont val="Calibri Light"/>
        <family val="1"/>
        <scheme val="major"/>
      </rPr>
      <t xml:space="preserve">st </t>
    </r>
    <r>
      <rPr>
        <b/>
        <sz val="12"/>
        <rFont val="Calibri Light"/>
        <family val="1"/>
        <scheme val="major"/>
      </rPr>
      <t>March</t>
    </r>
  </si>
  <si>
    <t>TOTAL</t>
  </si>
  <si>
    <t>ALL OTHER PERSONNEL</t>
  </si>
  <si>
    <t>TICKETING AND SALES PERSONNEL</t>
  </si>
  <si>
    <t>MAINTENANCE AND OVERHAUL PERSONNEL</t>
  </si>
  <si>
    <t>CABIN ATTENDANTS</t>
  </si>
  <si>
    <t>OTHER COCKPIT PERSONNEL</t>
  </si>
  <si>
    <t>PILOTS AND CO-PILOTS</t>
  </si>
  <si>
    <t xml:space="preserve"> YEAR-END</t>
  </si>
  <si>
    <t>MID-YEAR</t>
  </si>
  <si>
    <t>TOTAL EXPENDITURE (in Rs.Million)</t>
  </si>
  <si>
    <t xml:space="preserve">   NUMBER OF PERSONNEL</t>
  </si>
  <si>
    <t>CATEGORY OF STAFF</t>
  </si>
  <si>
    <t xml:space="preserve"> ºÉÉ®hÉÉÒ - 1.19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</si>
</sst>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b/>
      <vertAlign val="superscript"/>
      <sz val="12"/>
      <name val="Calibri Light"/>
      <family val="1"/>
      <scheme val="major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 applyBorder="1" applyAlignment="1">
      <alignment vertical="center" wrapText="1"/>
    </xf>
    <xf numFmtId="164" fontId="6" fillId="2" borderId="2" xfId="2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7" fillId="2" borderId="0" xfId="2" applyFont="1" applyFill="1" applyBorder="1" applyAlignment="1">
      <alignment horizontal="left" indent="1"/>
    </xf>
    <xf numFmtId="164" fontId="7" fillId="2" borderId="2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8" fillId="2" borderId="6" xfId="1" quotePrefix="1" applyFont="1" applyFill="1" applyBorder="1" applyAlignment="1" applyProtection="1">
      <alignment horizontal="center" vertical="center" wrapText="1"/>
    </xf>
    <xf numFmtId="0" fontId="8" fillId="2" borderId="5" xfId="1" applyFont="1" applyFill="1" applyBorder="1" applyAlignment="1" applyProtection="1">
      <alignment horizontal="center" vertical="center" wrapText="1"/>
    </xf>
    <xf numFmtId="0" fontId="8" fillId="2" borderId="4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/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/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/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/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/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40206.197791999999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7938.7822440000018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8749.2473230000014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1458.6508450000001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14496.599790999999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2676.78404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501.42914100000002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22.86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18.14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254.75856800000003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37529.413752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7437.3531030000022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8726.3873230000008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1440.510845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14241.841222999999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/>
      <sheetData sheetId="7">
        <row r="1">
          <cell r="B1" t="str">
            <v>2017-18</v>
          </cell>
        </row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Normal="100" zoomScaleSheetLayoutView="100" workbookViewId="0">
      <selection activeCell="H9" sqref="H9"/>
    </sheetView>
  </sheetViews>
  <sheetFormatPr defaultColWidth="11" defaultRowHeight="15" x14ac:dyDescent="0.2"/>
  <cols>
    <col min="1" max="1" width="38.28515625" style="1" customWidth="1"/>
    <col min="2" max="3" width="17.5703125" style="1" customWidth="1"/>
    <col min="4" max="4" width="18.28515625" style="1" customWidth="1"/>
    <col min="5" max="5" width="11" style="1"/>
    <col min="6" max="7" width="11" style="1" customWidth="1"/>
    <col min="8" max="16384" width="11" style="1"/>
  </cols>
  <sheetData>
    <row r="1" spans="1:5" ht="24.95" customHeight="1" x14ac:dyDescent="0.2">
      <c r="A1" s="12" t="s">
        <v>13</v>
      </c>
      <c r="B1" s="13"/>
      <c r="C1" s="13"/>
      <c r="D1" s="14"/>
    </row>
    <row r="2" spans="1:5" ht="24.95" customHeight="1" x14ac:dyDescent="0.2">
      <c r="A2" s="15" t="str">
        <f>"TABLE - 1.19 ("&amp;[2]Sheet1!B2&amp;")"</f>
        <v>TABLE - 1.19 (VISTARA)</v>
      </c>
      <c r="B2" s="16"/>
      <c r="C2" s="16"/>
      <c r="D2" s="17"/>
    </row>
    <row r="3" spans="1:5" ht="45" customHeight="1" x14ac:dyDescent="0.2">
      <c r="A3" s="10" t="str">
        <f>"PERSONNEL STATISTICS OF "&amp;[2]Sheet1!B2&amp;" DURING "&amp;[2]Sheet1!B1</f>
        <v>PERSONNEL STATISTICS OF VISTARA DURING 2017-18</v>
      </c>
      <c r="B3" s="10"/>
      <c r="C3" s="10"/>
      <c r="D3" s="10"/>
    </row>
    <row r="4" spans="1:5" ht="36" customHeight="1" x14ac:dyDescent="0.2">
      <c r="A4" s="11" t="s">
        <v>12</v>
      </c>
      <c r="B4" s="11" t="s">
        <v>11</v>
      </c>
      <c r="C4" s="11"/>
      <c r="D4" s="11" t="s">
        <v>10</v>
      </c>
    </row>
    <row r="5" spans="1:5" ht="36" customHeight="1" x14ac:dyDescent="0.2">
      <c r="A5" s="11"/>
      <c r="B5" s="5" t="s">
        <v>9</v>
      </c>
      <c r="C5" s="5" t="s">
        <v>8</v>
      </c>
      <c r="D5" s="11"/>
    </row>
    <row r="6" spans="1:5" ht="50.1" customHeight="1" x14ac:dyDescent="0.25">
      <c r="A6" s="5" t="s">
        <v>7</v>
      </c>
      <c r="B6" s="8">
        <f>VLOOKUP([2]Sheet1!$B$2&amp;"P1",'[2]Form D -Personnel processing'!$V$4:$AB$344,4,0)</f>
        <v>206</v>
      </c>
      <c r="C6" s="8">
        <f>VLOOKUP([2]Sheet1!$B$2&amp;"P1",'[2]Form D -Personnel processing'!$V$4:$AB$344,5,0)</f>
        <v>249</v>
      </c>
      <c r="D6" s="7">
        <v>1514.767151</v>
      </c>
      <c r="E6" s="6"/>
    </row>
    <row r="7" spans="1:5" ht="50.1" customHeight="1" x14ac:dyDescent="0.25">
      <c r="A7" s="5" t="s">
        <v>6</v>
      </c>
      <c r="B7" s="8">
        <f>VLOOKUP([2]Sheet1!$B$2&amp;"P2",'[2]Form D -Personnel processing'!$V$4:$AB$344,4,0)</f>
        <v>0</v>
      </c>
      <c r="C7" s="8">
        <f>VLOOKUP([2]Sheet1!$B$2&amp;"P2",'[2]Form D -Personnel processing'!$V$4:$AB$344,5,0)</f>
        <v>0</v>
      </c>
      <c r="D7" s="7">
        <v>0</v>
      </c>
      <c r="E7" s="6"/>
    </row>
    <row r="8" spans="1:5" ht="50.1" customHeight="1" x14ac:dyDescent="0.25">
      <c r="A8" s="5" t="s">
        <v>5</v>
      </c>
      <c r="B8" s="8">
        <f>VLOOKUP([2]Sheet1!$B$2&amp;"P3",'[2]Form D -Personnel processing'!$V$4:$AB$344,4,0)</f>
        <v>478</v>
      </c>
      <c r="C8" s="8">
        <f>VLOOKUP([2]Sheet1!$B$2&amp;"P3",'[2]Form D -Personnel processing'!$V$4:$AB$344,5,0)</f>
        <v>511</v>
      </c>
      <c r="D8" s="7">
        <v>240.224084</v>
      </c>
      <c r="E8" s="6"/>
    </row>
    <row r="9" spans="1:5" ht="50.1" customHeight="1" x14ac:dyDescent="0.25">
      <c r="A9" s="5" t="s">
        <v>4</v>
      </c>
      <c r="B9" s="8">
        <f>VLOOKUP([2]Sheet1!$B$2&amp;"P4",'[2]Form D -Personnel processing'!$V$4:$AB$344,4,0)</f>
        <v>103</v>
      </c>
      <c r="C9" s="8">
        <f>VLOOKUP([2]Sheet1!$B$2&amp;"P4",'[2]Form D -Personnel processing'!$V$4:$AB$344,5,0)</f>
        <v>135</v>
      </c>
      <c r="D9" s="7">
        <v>212.25700000000001</v>
      </c>
      <c r="E9" s="6"/>
    </row>
    <row r="10" spans="1:5" ht="50.1" customHeight="1" x14ac:dyDescent="0.25">
      <c r="A10" s="5" t="s">
        <v>3</v>
      </c>
      <c r="B10" s="8">
        <f>VLOOKUP([2]Sheet1!$B$2&amp;"P5",'[2]Form D -Personnel processing'!$V$4:$AB$344,4,0)</f>
        <v>50</v>
      </c>
      <c r="C10" s="8">
        <f>VLOOKUP([2]Sheet1!$B$2&amp;"P5",'[2]Form D -Personnel processing'!$V$4:$AB$344,5,0)</f>
        <v>55</v>
      </c>
      <c r="D10" s="7">
        <v>48.070999999999998</v>
      </c>
      <c r="E10" s="6"/>
    </row>
    <row r="11" spans="1:5" ht="50.1" customHeight="1" x14ac:dyDescent="0.25">
      <c r="A11" s="5" t="s">
        <v>2</v>
      </c>
      <c r="B11" s="8">
        <f>VLOOKUP([2]Sheet1!$B$2&amp;"P6",'[2]Form D -Personnel processing'!$V$4:$AB$344,4,0)</f>
        <v>810</v>
      </c>
      <c r="C11" s="8">
        <f>VLOOKUP([2]Sheet1!$B$2&amp;"P6",'[2]Form D -Personnel processing'!$V$4:$AB$344,5,0)</f>
        <v>971</v>
      </c>
      <c r="D11" s="7">
        <v>707.59685400000001</v>
      </c>
      <c r="E11" s="6"/>
    </row>
    <row r="12" spans="1:5" ht="50.1" customHeight="1" x14ac:dyDescent="0.2">
      <c r="A12" s="5" t="s">
        <v>1</v>
      </c>
      <c r="B12" s="4">
        <f>SUM($B$6:$B$11)</f>
        <v>1647</v>
      </c>
      <c r="C12" s="4">
        <f>SUM($C$6:$C$11)</f>
        <v>1921</v>
      </c>
      <c r="D12" s="3">
        <v>2722.9160889999998</v>
      </c>
    </row>
    <row r="13" spans="1:5" ht="32.25" customHeight="1" x14ac:dyDescent="0.2">
      <c r="A13" s="18" t="str">
        <f>"SOURCE : ICAO ATR FORM-D FURNISHED BY  " &amp;[2]Sheet1!B2</f>
        <v>SOURCE : ICAO ATR FORM-D FURNISHED BY  VISTARA</v>
      </c>
      <c r="B13" s="18"/>
      <c r="C13" s="18"/>
      <c r="D13" s="18"/>
    </row>
    <row r="14" spans="1:5" ht="20.100000000000001" customHeight="1" x14ac:dyDescent="0.2">
      <c r="A14" s="9" t="s">
        <v>0</v>
      </c>
      <c r="B14" s="9"/>
      <c r="C14" s="9"/>
      <c r="D14" s="2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1.19</vt:lpstr>
      <vt:lpstr>'1.19'!Print_Area</vt:lpstr>
      <vt:lpstr>'1.19'!Print_Area_MI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2019-04-22T09:51:54Z</dcterms:modified>
</cp:coreProperties>
</file>