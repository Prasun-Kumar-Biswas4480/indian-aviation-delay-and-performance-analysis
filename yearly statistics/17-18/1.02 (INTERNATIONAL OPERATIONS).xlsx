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.02 (IO)" sheetId="1" r:id="rId1"/>
  </sheets>
  <definedNames>
    <definedName name="_xlnm._FilterDatabase" localSheetId="0" hidden="1">'1.02 (IO)'!#REF!</definedName>
    <definedName name="_xlnm.Print_Area" localSheetId="0">'1.02 (IO)'!$A$1:$H$66</definedName>
    <definedName name="_xlnm.Print_Titles" localSheetId="0">'1.02 (IO)'!$3:$6</definedName>
  </definedNames>
  <calcPr calcId="152511"/>
</workbook>
</file>

<file path=xl/calcChain.xml><?xml version="1.0" encoding="utf-8"?>
<calcChain xmlns="http://schemas.openxmlformats.org/spreadsheetml/2006/main">
  <c r="D63" i="1" l="1"/>
  <c r="E63" i="1"/>
  <c r="F63" i="1"/>
  <c r="G63" i="1"/>
  <c r="H63" i="1"/>
  <c r="C63" i="1"/>
  <c r="H46" i="1"/>
  <c r="E46" i="1"/>
</calcChain>
</file>

<file path=xl/sharedStrings.xml><?xml version="1.0" encoding="utf-8"?>
<sst xmlns="http://schemas.openxmlformats.org/spreadsheetml/2006/main" count="74" uniqueCount="70">
  <si>
    <t>IRAN</t>
  </si>
  <si>
    <t>OMAN</t>
  </si>
  <si>
    <t>COUNTRY</t>
  </si>
  <si>
    <t>FREIGHT</t>
  </si>
  <si>
    <t>TO INDIA</t>
  </si>
  <si>
    <t>FROM INDIA</t>
  </si>
  <si>
    <t>TOTAL</t>
  </si>
  <si>
    <t>AFGHANISTAN</t>
  </si>
  <si>
    <t>BAHRAIN</t>
  </si>
  <si>
    <t>BANGLADESH</t>
  </si>
  <si>
    <t>BELGIUM</t>
  </si>
  <si>
    <t>BHUTAN</t>
  </si>
  <si>
    <t>BURMA</t>
  </si>
  <si>
    <t>CANADA</t>
  </si>
  <si>
    <t>CHINA</t>
  </si>
  <si>
    <t>EGYPT</t>
  </si>
  <si>
    <t>ETHIOPIA</t>
  </si>
  <si>
    <t>FINLAND</t>
  </si>
  <si>
    <t>FRANCE</t>
  </si>
  <si>
    <t>HONG KONG</t>
  </si>
  <si>
    <t>ISRAEL</t>
  </si>
  <si>
    <t>ITALY</t>
  </si>
  <si>
    <t>JAPAN</t>
  </si>
  <si>
    <t>KENYA</t>
  </si>
  <si>
    <t>KOREA</t>
  </si>
  <si>
    <t>KUWAIT</t>
  </si>
  <si>
    <t>MALAYSIA</t>
  </si>
  <si>
    <t>MALDIVES</t>
  </si>
  <si>
    <t>MAURITIUS</t>
  </si>
  <si>
    <t>NEPAL</t>
  </si>
  <si>
    <t>PAKISTAN</t>
  </si>
  <si>
    <t>QATAR</t>
  </si>
  <si>
    <t>SAUDI ARABIA</t>
  </si>
  <si>
    <t>SINGAPORE</t>
  </si>
  <si>
    <t>SRI LANKA</t>
  </si>
  <si>
    <t>SWITZERLAND</t>
  </si>
  <si>
    <t>TAIWAN</t>
  </si>
  <si>
    <t>THAILAND</t>
  </si>
  <si>
    <t>TURKEY</t>
  </si>
  <si>
    <t>TURKMENISTAN</t>
  </si>
  <si>
    <t>RUSSIA</t>
  </si>
  <si>
    <t>UNITED KINGDOM</t>
  </si>
  <si>
    <t>UNITED STATES</t>
  </si>
  <si>
    <t>UZBEKISTAN</t>
  </si>
  <si>
    <t>YEMEN</t>
  </si>
  <si>
    <t>GERMANY</t>
  </si>
  <si>
    <t>AUSTRIA</t>
  </si>
  <si>
    <t>AUSTRALIA</t>
  </si>
  <si>
    <t>TAJIKISTAN</t>
  </si>
  <si>
    <t>KYRGYZSTAN</t>
  </si>
  <si>
    <t>KAZAKHSTAN</t>
  </si>
  <si>
    <t>NETHERLANDS</t>
  </si>
  <si>
    <t>SEYCHELLES</t>
  </si>
  <si>
    <t>SL. No.</t>
  </si>
  <si>
    <t>*UNITED ARAB EMIRATES includes Ajman, Dubai, Fujairah, Ras al-Khaimah, Sharjah, Umm al-Quwain.</t>
  </si>
  <si>
    <t>(PASSENGERS IN NUMBER AND FREIGHT IN TONNES)</t>
  </si>
  <si>
    <t>PASSENGERS</t>
  </si>
  <si>
    <t>SOURCE :- MONTHLY TRAFFIC STATISTICS FURNISHED BY ALL SCHEDULED INDIAN AND FOREIGN CARRIERS.</t>
  </si>
  <si>
    <t>UNITED ARAB EMIRATES*</t>
  </si>
  <si>
    <t>सारणी 1.02 (अन्तर्राष्ट्रीय प्रचालन)</t>
  </si>
  <si>
    <t>TABLE 1.02 (INTERNATIONAL OPERATIONS)</t>
  </si>
  <si>
    <t>IRAQ</t>
  </si>
  <si>
    <t>REUNION</t>
  </si>
  <si>
    <t>INDONESIA</t>
  </si>
  <si>
    <t>SPAIN</t>
  </si>
  <si>
    <t>NOTE: 1. THIS TABLE DOES NOT INCLUDE PASSENGERS AND FREIGHT CARRIED BY SCHEDULED DOMESTIC AIRLINES ENTIRELY OUTSIDE THE
                   INDIAN TERRITORY.</t>
  </si>
  <si>
    <t>COUNTRYWISE SCHEDULED INTERNATIONAL PASSENGERS AND FREIGHT CARRIED BY ALL SCHEDULED DOMESTIC AND FOREIGN AIRLINES DURING 2017-18</t>
  </si>
  <si>
    <t>DENMARK</t>
  </si>
  <si>
    <t>RWANDA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</si>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</sst>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name val="APS-C-DV-Akanksh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7" fillId="4" borderId="1" xfId="0" applyNumberFormat="1" applyFont="1" applyFill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2"/>
  <sheetViews>
    <sheetView tabSelected="1" view="pageBreakPreview" topLeftCell="A49" zoomScale="79" zoomScaleSheetLayoutView="79" workbookViewId="0">
      <selection activeCell="L60" sqref="L60"/>
    </sheetView>
  </sheetViews>
  <sheetFormatPr defaultRowHeight="15"/>
  <cols>
    <col min="1" max="1" width="8.7109375" customWidth="1"/>
    <col min="2" max="2" width="30.140625" customWidth="1"/>
    <col min="3" max="3" width="20.140625" style="1" customWidth="1"/>
    <col min="4" max="8" width="20.140625" customWidth="1"/>
    <col min="10" max="13" width="16.7109375" customWidth="1"/>
  </cols>
  <sheetData>
    <row r="1" spans="1:8" ht="39" customHeight="1">
      <c r="A1" s="28" t="s">
        <v>59</v>
      </c>
      <c r="B1" s="29"/>
      <c r="C1" s="29"/>
      <c r="D1" s="29"/>
      <c r="E1" s="29"/>
      <c r="F1" s="29"/>
      <c r="G1" s="29"/>
      <c r="H1" s="30"/>
    </row>
    <row r="2" spans="1:8" ht="32.25" customHeight="1">
      <c r="A2" s="31" t="s">
        <v>60</v>
      </c>
      <c r="B2" s="32"/>
      <c r="C2" s="32"/>
      <c r="D2" s="32"/>
      <c r="E2" s="32"/>
      <c r="F2" s="32"/>
      <c r="G2" s="32"/>
      <c r="H2" s="33"/>
    </row>
    <row r="3" spans="1:8" ht="47.25" customHeight="1">
      <c r="A3" s="25" t="s">
        <v>66</v>
      </c>
      <c r="B3" s="26"/>
      <c r="C3" s="26"/>
      <c r="D3" s="26"/>
      <c r="E3" s="26"/>
      <c r="F3" s="26"/>
      <c r="G3" s="26"/>
      <c r="H3" s="27"/>
    </row>
    <row r="4" spans="1:8" ht="26.25" customHeight="1">
      <c r="A4" s="34" t="s">
        <v>55</v>
      </c>
      <c r="B4" s="35"/>
      <c r="C4" s="35"/>
      <c r="D4" s="35"/>
      <c r="E4" s="35"/>
      <c r="F4" s="35"/>
      <c r="G4" s="35"/>
      <c r="H4" s="36"/>
    </row>
    <row r="5" spans="1:8" s="2" customFormat="1" ht="27" customHeight="1">
      <c r="A5" s="39" t="s">
        <v>53</v>
      </c>
      <c r="B5" s="40" t="s">
        <v>2</v>
      </c>
      <c r="C5" s="37" t="s">
        <v>56</v>
      </c>
      <c r="D5" s="37"/>
      <c r="E5" s="37"/>
      <c r="F5" s="37" t="s">
        <v>3</v>
      </c>
      <c r="G5" s="37"/>
      <c r="H5" s="38"/>
    </row>
    <row r="6" spans="1:8" s="3" customFormat="1" ht="27" customHeight="1">
      <c r="A6" s="39"/>
      <c r="B6" s="40"/>
      <c r="C6" s="6" t="s">
        <v>4</v>
      </c>
      <c r="D6" s="7" t="s">
        <v>5</v>
      </c>
      <c r="E6" s="7" t="s">
        <v>6</v>
      </c>
      <c r="F6" s="7" t="s">
        <v>4</v>
      </c>
      <c r="G6" s="7" t="s">
        <v>5</v>
      </c>
      <c r="H6" s="13" t="s">
        <v>6</v>
      </c>
    </row>
    <row r="7" spans="1:8" s="4" customFormat="1" ht="21" customHeight="1">
      <c r="A7" s="14">
        <v>1</v>
      </c>
      <c r="B7" s="5" t="s">
        <v>7</v>
      </c>
      <c r="C7" s="10">
        <v>151954</v>
      </c>
      <c r="D7" s="10">
        <v>149121</v>
      </c>
      <c r="E7" s="10">
        <v>301075</v>
      </c>
      <c r="F7" s="8">
        <v>736.78161999999998</v>
      </c>
      <c r="G7" s="8">
        <v>4060.3352999999993</v>
      </c>
      <c r="H7" s="15">
        <v>4797.1169199999995</v>
      </c>
    </row>
    <row r="8" spans="1:8" s="4" customFormat="1" ht="21" customHeight="1">
      <c r="A8" s="14">
        <v>2</v>
      </c>
      <c r="B8" s="5" t="s">
        <v>47</v>
      </c>
      <c r="C8" s="10">
        <v>74035</v>
      </c>
      <c r="D8" s="10">
        <v>80919</v>
      </c>
      <c r="E8" s="10">
        <v>154954</v>
      </c>
      <c r="F8" s="8">
        <v>922.46169999999984</v>
      </c>
      <c r="G8" s="8">
        <v>1614.1203</v>
      </c>
      <c r="H8" s="15">
        <v>2536.5819999999999</v>
      </c>
    </row>
    <row r="9" spans="1:8" s="4" customFormat="1" ht="21" customHeight="1">
      <c r="A9" s="14">
        <v>3</v>
      </c>
      <c r="B9" s="5" t="s">
        <v>46</v>
      </c>
      <c r="C9" s="10">
        <v>29617</v>
      </c>
      <c r="D9" s="10">
        <v>27193</v>
      </c>
      <c r="E9" s="10">
        <v>56810</v>
      </c>
      <c r="F9" s="8">
        <v>1055.6115</v>
      </c>
      <c r="G9" s="8">
        <v>543.39530000000002</v>
      </c>
      <c r="H9" s="15">
        <v>1599.0068000000001</v>
      </c>
    </row>
    <row r="10" spans="1:8" s="4" customFormat="1" ht="21" customHeight="1">
      <c r="A10" s="14">
        <v>4</v>
      </c>
      <c r="B10" s="5" t="s">
        <v>8</v>
      </c>
      <c r="C10" s="10">
        <v>540321</v>
      </c>
      <c r="D10" s="10">
        <v>522861</v>
      </c>
      <c r="E10" s="10">
        <v>1063182</v>
      </c>
      <c r="F10" s="8">
        <v>1097.536233</v>
      </c>
      <c r="G10" s="8">
        <v>9617.6373000000003</v>
      </c>
      <c r="H10" s="15">
        <v>10715.173533000001</v>
      </c>
    </row>
    <row r="11" spans="1:8" s="4" customFormat="1" ht="21" customHeight="1">
      <c r="A11" s="14">
        <v>5</v>
      </c>
      <c r="B11" s="5" t="s">
        <v>9</v>
      </c>
      <c r="C11" s="10">
        <v>507850</v>
      </c>
      <c r="D11" s="10">
        <v>537034</v>
      </c>
      <c r="E11" s="10">
        <v>1044884</v>
      </c>
      <c r="F11" s="8">
        <v>2830.1080999999995</v>
      </c>
      <c r="G11" s="8">
        <v>3677.9925000052576</v>
      </c>
      <c r="H11" s="15">
        <v>6508.1006000052566</v>
      </c>
    </row>
    <row r="12" spans="1:8" s="4" customFormat="1" ht="21" customHeight="1">
      <c r="A12" s="14">
        <v>6</v>
      </c>
      <c r="B12" s="5" t="s">
        <v>10</v>
      </c>
      <c r="C12" s="10">
        <v>51166</v>
      </c>
      <c r="D12" s="10">
        <v>56103</v>
      </c>
      <c r="E12" s="10">
        <v>107269</v>
      </c>
      <c r="F12" s="8">
        <v>2487.9319999999998</v>
      </c>
      <c r="G12" s="8">
        <v>3491.799</v>
      </c>
      <c r="H12" s="15">
        <v>5979.7309999999998</v>
      </c>
    </row>
    <row r="13" spans="1:8" s="4" customFormat="1" ht="21" customHeight="1">
      <c r="A13" s="14">
        <v>7</v>
      </c>
      <c r="B13" s="5" t="s">
        <v>11</v>
      </c>
      <c r="C13" s="10">
        <v>54521</v>
      </c>
      <c r="D13" s="10">
        <v>53727</v>
      </c>
      <c r="E13" s="10">
        <v>108248</v>
      </c>
      <c r="F13" s="8">
        <v>3.1259999999999999</v>
      </c>
      <c r="G13" s="8">
        <v>94.780050000000003</v>
      </c>
      <c r="H13" s="15">
        <v>97.906050000000008</v>
      </c>
    </row>
    <row r="14" spans="1:8" s="4" customFormat="1" ht="21" customHeight="1">
      <c r="A14" s="14">
        <v>8</v>
      </c>
      <c r="B14" s="5" t="s">
        <v>12</v>
      </c>
      <c r="C14" s="10">
        <v>33138</v>
      </c>
      <c r="D14" s="10">
        <v>32939</v>
      </c>
      <c r="E14" s="10">
        <v>66077</v>
      </c>
      <c r="F14" s="8">
        <v>19.722000000000001</v>
      </c>
      <c r="G14" s="8">
        <v>234.74620000000007</v>
      </c>
      <c r="H14" s="15">
        <v>254.46820000000008</v>
      </c>
    </row>
    <row r="15" spans="1:8" s="4" customFormat="1" ht="21" customHeight="1">
      <c r="A15" s="14">
        <v>9</v>
      </c>
      <c r="B15" s="5" t="s">
        <v>13</v>
      </c>
      <c r="C15" s="10">
        <v>191445</v>
      </c>
      <c r="D15" s="10">
        <v>201523</v>
      </c>
      <c r="E15" s="10">
        <v>392968</v>
      </c>
      <c r="F15" s="8">
        <v>2127.3199999999997</v>
      </c>
      <c r="G15" s="8">
        <v>3186.4007000000006</v>
      </c>
      <c r="H15" s="15">
        <v>5313.7206999999999</v>
      </c>
    </row>
    <row r="16" spans="1:8" s="4" customFormat="1" ht="21" customHeight="1">
      <c r="A16" s="14">
        <v>10</v>
      </c>
      <c r="B16" s="5" t="s">
        <v>14</v>
      </c>
      <c r="C16" s="10">
        <v>321794</v>
      </c>
      <c r="D16" s="10">
        <v>327053</v>
      </c>
      <c r="E16" s="10">
        <v>648847</v>
      </c>
      <c r="F16" s="8">
        <v>24108.6571</v>
      </c>
      <c r="G16" s="8">
        <v>9444.1807000000008</v>
      </c>
      <c r="H16" s="15">
        <v>33552.837800000001</v>
      </c>
    </row>
    <row r="17" spans="1:8" s="4" customFormat="1" ht="21" customHeight="1">
      <c r="A17" s="14">
        <v>11</v>
      </c>
      <c r="B17" s="5" t="s">
        <v>67</v>
      </c>
      <c r="C17" s="10">
        <v>17506</v>
      </c>
      <c r="D17" s="10">
        <v>15764</v>
      </c>
      <c r="E17" s="10">
        <v>33270</v>
      </c>
      <c r="F17" s="8">
        <v>274.94470000000001</v>
      </c>
      <c r="G17" s="8">
        <v>553.89969999999994</v>
      </c>
      <c r="H17" s="15">
        <v>828.84439999999995</v>
      </c>
    </row>
    <row r="18" spans="1:8" s="4" customFormat="1" ht="21" customHeight="1">
      <c r="A18" s="14">
        <v>12</v>
      </c>
      <c r="B18" s="5" t="s">
        <v>15</v>
      </c>
      <c r="C18" s="10">
        <v>20298</v>
      </c>
      <c r="D18" s="10">
        <v>23725</v>
      </c>
      <c r="E18" s="10">
        <v>44023</v>
      </c>
      <c r="F18" s="8">
        <v>301.41000000000003</v>
      </c>
      <c r="G18" s="8">
        <v>745.57899999999995</v>
      </c>
      <c r="H18" s="15">
        <v>1046.989</v>
      </c>
    </row>
    <row r="19" spans="1:8" s="4" customFormat="1" ht="21" customHeight="1">
      <c r="A19" s="14">
        <v>13</v>
      </c>
      <c r="B19" s="5" t="s">
        <v>16</v>
      </c>
      <c r="C19" s="10">
        <v>196908</v>
      </c>
      <c r="D19" s="10">
        <v>220276</v>
      </c>
      <c r="E19" s="10">
        <v>417184</v>
      </c>
      <c r="F19" s="8">
        <v>3231.2860000000001</v>
      </c>
      <c r="G19" s="8">
        <v>14454.287</v>
      </c>
      <c r="H19" s="15">
        <v>17685.573</v>
      </c>
    </row>
    <row r="20" spans="1:8" s="4" customFormat="1" ht="21" customHeight="1">
      <c r="A20" s="14">
        <v>14</v>
      </c>
      <c r="B20" s="5" t="s">
        <v>17</v>
      </c>
      <c r="C20" s="10">
        <v>54013</v>
      </c>
      <c r="D20" s="10">
        <v>52415</v>
      </c>
      <c r="E20" s="10">
        <v>106428</v>
      </c>
      <c r="F20" s="8">
        <v>1841.2560000000001</v>
      </c>
      <c r="G20" s="8">
        <v>2500.1109999999999</v>
      </c>
      <c r="H20" s="15">
        <v>4341.3670000000002</v>
      </c>
    </row>
    <row r="21" spans="1:8" s="4" customFormat="1" ht="21" customHeight="1">
      <c r="A21" s="14">
        <v>15</v>
      </c>
      <c r="B21" s="5" t="s">
        <v>18</v>
      </c>
      <c r="C21" s="10">
        <v>417759</v>
      </c>
      <c r="D21" s="10">
        <v>428674</v>
      </c>
      <c r="E21" s="10">
        <v>846433</v>
      </c>
      <c r="F21" s="8">
        <v>20759.837299999999</v>
      </c>
      <c r="G21" s="8">
        <v>20600.260389999996</v>
      </c>
      <c r="H21" s="15">
        <v>41360.097689999995</v>
      </c>
    </row>
    <row r="22" spans="1:8" s="4" customFormat="1" ht="21" customHeight="1">
      <c r="A22" s="14">
        <v>16</v>
      </c>
      <c r="B22" s="5" t="s">
        <v>45</v>
      </c>
      <c r="C22" s="10">
        <v>717608</v>
      </c>
      <c r="D22" s="10">
        <v>720869</v>
      </c>
      <c r="E22" s="10">
        <v>1438477</v>
      </c>
      <c r="F22" s="8">
        <v>54219.402027999997</v>
      </c>
      <c r="G22" s="8">
        <v>68186.417024000009</v>
      </c>
      <c r="H22" s="15">
        <v>122405.81905200001</v>
      </c>
    </row>
    <row r="23" spans="1:8" s="4" customFormat="1" ht="21" customHeight="1">
      <c r="A23" s="14">
        <v>17</v>
      </c>
      <c r="B23" s="5" t="s">
        <v>19</v>
      </c>
      <c r="C23" s="10">
        <v>723166</v>
      </c>
      <c r="D23" s="10">
        <v>750788</v>
      </c>
      <c r="E23" s="10">
        <v>1473954</v>
      </c>
      <c r="F23" s="8">
        <v>114838.27500000001</v>
      </c>
      <c r="G23" s="8">
        <v>65024.627900000007</v>
      </c>
      <c r="H23" s="15">
        <v>179862.90290000002</v>
      </c>
    </row>
    <row r="24" spans="1:8" s="4" customFormat="1" ht="21" customHeight="1">
      <c r="A24" s="14">
        <v>18</v>
      </c>
      <c r="B24" s="5" t="s">
        <v>63</v>
      </c>
      <c r="C24" s="10">
        <v>37437</v>
      </c>
      <c r="D24" s="10">
        <v>38811</v>
      </c>
      <c r="E24" s="10">
        <v>76248</v>
      </c>
      <c r="F24" s="8">
        <v>26.265999999999998</v>
      </c>
      <c r="G24" s="8">
        <v>353.07499999999999</v>
      </c>
      <c r="H24" s="15">
        <v>379.34100000000001</v>
      </c>
    </row>
    <row r="25" spans="1:8" s="4" customFormat="1" ht="21" customHeight="1">
      <c r="A25" s="14">
        <v>19</v>
      </c>
      <c r="B25" s="5" t="s">
        <v>0</v>
      </c>
      <c r="C25" s="10">
        <v>33600</v>
      </c>
      <c r="D25" s="10">
        <v>32972</v>
      </c>
      <c r="E25" s="10">
        <v>66572</v>
      </c>
      <c r="F25" s="8">
        <v>138.89099999999999</v>
      </c>
      <c r="G25" s="8">
        <v>1219.356</v>
      </c>
      <c r="H25" s="15">
        <v>1358.2470000000001</v>
      </c>
    </row>
    <row r="26" spans="1:8" s="4" customFormat="1" ht="21" customHeight="1">
      <c r="A26" s="14">
        <v>20</v>
      </c>
      <c r="B26" s="5" t="s">
        <v>61</v>
      </c>
      <c r="C26" s="10">
        <v>27137</v>
      </c>
      <c r="D26" s="10">
        <v>26478</v>
      </c>
      <c r="E26" s="10">
        <v>53615</v>
      </c>
      <c r="F26" s="8">
        <v>0</v>
      </c>
      <c r="G26" s="8">
        <v>0</v>
      </c>
      <c r="H26" s="15">
        <v>0</v>
      </c>
    </row>
    <row r="27" spans="1:8" s="4" customFormat="1" ht="21" customHeight="1">
      <c r="A27" s="14">
        <v>21</v>
      </c>
      <c r="B27" s="5" t="s">
        <v>20</v>
      </c>
      <c r="C27" s="10">
        <v>28764</v>
      </c>
      <c r="D27" s="10">
        <v>29059</v>
      </c>
      <c r="E27" s="10">
        <v>57823</v>
      </c>
      <c r="F27" s="8">
        <v>1051.999</v>
      </c>
      <c r="G27" s="8">
        <v>1254.4103</v>
      </c>
      <c r="H27" s="15">
        <v>2306.4093000000003</v>
      </c>
    </row>
    <row r="28" spans="1:8" s="4" customFormat="1" ht="21" customHeight="1">
      <c r="A28" s="14">
        <v>22</v>
      </c>
      <c r="B28" s="5" t="s">
        <v>21</v>
      </c>
      <c r="C28" s="10">
        <v>75704</v>
      </c>
      <c r="D28" s="10">
        <v>71450</v>
      </c>
      <c r="E28" s="10">
        <v>147154</v>
      </c>
      <c r="F28" s="8">
        <v>3085.6986999999999</v>
      </c>
      <c r="G28" s="8">
        <v>2010.1382000000003</v>
      </c>
      <c r="H28" s="15">
        <v>5095.8369000000002</v>
      </c>
    </row>
    <row r="29" spans="1:8" s="4" customFormat="1" ht="21" customHeight="1">
      <c r="A29" s="14">
        <v>23</v>
      </c>
      <c r="B29" s="5" t="s">
        <v>22</v>
      </c>
      <c r="C29" s="10">
        <v>179224</v>
      </c>
      <c r="D29" s="10">
        <v>194523</v>
      </c>
      <c r="E29" s="10">
        <v>373747</v>
      </c>
      <c r="F29" s="8">
        <v>14313.380699999992</v>
      </c>
      <c r="G29" s="8">
        <v>9199.4452999999976</v>
      </c>
      <c r="H29" s="15">
        <v>23512.82599999999</v>
      </c>
    </row>
    <row r="30" spans="1:8" s="4" customFormat="1" ht="21" customHeight="1">
      <c r="A30" s="14">
        <v>24</v>
      </c>
      <c r="B30" s="5" t="s">
        <v>50</v>
      </c>
      <c r="C30" s="10">
        <v>55275</v>
      </c>
      <c r="D30" s="10">
        <v>57308</v>
      </c>
      <c r="E30" s="10">
        <v>112583</v>
      </c>
      <c r="F30" s="8">
        <v>51.786999999999999</v>
      </c>
      <c r="G30" s="8">
        <v>641.98699999999997</v>
      </c>
      <c r="H30" s="15">
        <v>693.774</v>
      </c>
    </row>
    <row r="31" spans="1:8" s="4" customFormat="1" ht="21" customHeight="1">
      <c r="A31" s="14">
        <v>25</v>
      </c>
      <c r="B31" s="5" t="s">
        <v>23</v>
      </c>
      <c r="C31" s="10">
        <v>92049</v>
      </c>
      <c r="D31" s="10">
        <v>94497</v>
      </c>
      <c r="E31" s="10">
        <v>186546</v>
      </c>
      <c r="F31" s="8">
        <v>116.673</v>
      </c>
      <c r="G31" s="8">
        <v>908.72199999999998</v>
      </c>
      <c r="H31" s="15">
        <v>1025.395</v>
      </c>
    </row>
    <row r="32" spans="1:8" s="4" customFormat="1" ht="21" customHeight="1">
      <c r="A32" s="14">
        <v>26</v>
      </c>
      <c r="B32" s="5" t="s">
        <v>24</v>
      </c>
      <c r="C32" s="10">
        <v>134730</v>
      </c>
      <c r="D32" s="10">
        <v>137877</v>
      </c>
      <c r="E32" s="10">
        <v>272607</v>
      </c>
      <c r="F32" s="8">
        <v>5616.8182999999999</v>
      </c>
      <c r="G32" s="8">
        <v>3452.3613000000005</v>
      </c>
      <c r="H32" s="15">
        <v>9069.1795999999995</v>
      </c>
    </row>
    <row r="33" spans="1:8" s="4" customFormat="1" ht="21" customHeight="1">
      <c r="A33" s="14">
        <v>27</v>
      </c>
      <c r="B33" s="5" t="s">
        <v>25</v>
      </c>
      <c r="C33" s="10">
        <v>580345</v>
      </c>
      <c r="D33" s="10">
        <v>584621</v>
      </c>
      <c r="E33" s="10">
        <v>1164966</v>
      </c>
      <c r="F33" s="8">
        <v>7223.8892000000005</v>
      </c>
      <c r="G33" s="8">
        <v>25683.161899999992</v>
      </c>
      <c r="H33" s="15">
        <v>32907.05109999999</v>
      </c>
    </row>
    <row r="34" spans="1:8" s="4" customFormat="1" ht="21" customHeight="1">
      <c r="A34" s="14">
        <v>28</v>
      </c>
      <c r="B34" s="5" t="s">
        <v>49</v>
      </c>
      <c r="C34" s="10">
        <v>17368</v>
      </c>
      <c r="D34" s="10">
        <v>18856</v>
      </c>
      <c r="E34" s="10">
        <v>36224</v>
      </c>
      <c r="F34" s="8">
        <v>10.398999999999999</v>
      </c>
      <c r="G34" s="8">
        <v>246.595</v>
      </c>
      <c r="H34" s="15">
        <v>256.99399999999997</v>
      </c>
    </row>
    <row r="35" spans="1:8" s="4" customFormat="1" ht="21" customHeight="1">
      <c r="A35" s="14">
        <v>29</v>
      </c>
      <c r="B35" s="5" t="s">
        <v>26</v>
      </c>
      <c r="C35" s="10">
        <v>1372538</v>
      </c>
      <c r="D35" s="10">
        <v>1406478</v>
      </c>
      <c r="E35" s="10">
        <v>2779016</v>
      </c>
      <c r="F35" s="8">
        <v>17934.663800000002</v>
      </c>
      <c r="G35" s="8">
        <v>20343.710999999999</v>
      </c>
      <c r="H35" s="15">
        <v>38278.374800000005</v>
      </c>
    </row>
    <row r="36" spans="1:8" s="4" customFormat="1" ht="21" customHeight="1">
      <c r="A36" s="14">
        <v>30</v>
      </c>
      <c r="B36" s="5" t="s">
        <v>27</v>
      </c>
      <c r="C36" s="10">
        <v>128901</v>
      </c>
      <c r="D36" s="10">
        <v>134952</v>
      </c>
      <c r="E36" s="10">
        <v>263853</v>
      </c>
      <c r="F36" s="8">
        <v>8.5832000000000015</v>
      </c>
      <c r="G36" s="8">
        <v>2442.4828999999995</v>
      </c>
      <c r="H36" s="15">
        <v>2451.0660999999996</v>
      </c>
    </row>
    <row r="37" spans="1:8" s="4" customFormat="1" ht="21" customHeight="1">
      <c r="A37" s="14">
        <v>31</v>
      </c>
      <c r="B37" s="5" t="s">
        <v>28</v>
      </c>
      <c r="C37" s="10">
        <v>104950</v>
      </c>
      <c r="D37" s="10">
        <v>106137</v>
      </c>
      <c r="E37" s="10">
        <v>211087</v>
      </c>
      <c r="F37" s="8">
        <v>480.57299999999998</v>
      </c>
      <c r="G37" s="8">
        <v>3806.9549999999999</v>
      </c>
      <c r="H37" s="15">
        <v>4287.5280000000002</v>
      </c>
    </row>
    <row r="38" spans="1:8" s="4" customFormat="1" ht="21" customHeight="1">
      <c r="A38" s="14">
        <v>32</v>
      </c>
      <c r="B38" s="5" t="s">
        <v>29</v>
      </c>
      <c r="C38" s="10">
        <v>501701</v>
      </c>
      <c r="D38" s="10">
        <v>501734</v>
      </c>
      <c r="E38" s="10">
        <v>1003435</v>
      </c>
      <c r="F38" s="8">
        <v>661.77850000000001</v>
      </c>
      <c r="G38" s="8">
        <v>2031.7075799999993</v>
      </c>
      <c r="H38" s="15">
        <v>2693.4860799999992</v>
      </c>
    </row>
    <row r="39" spans="1:8" s="4" customFormat="1" ht="21" customHeight="1">
      <c r="A39" s="14">
        <v>33</v>
      </c>
      <c r="B39" s="5" t="s">
        <v>51</v>
      </c>
      <c r="C39" s="10">
        <v>331001</v>
      </c>
      <c r="D39" s="10">
        <v>339256</v>
      </c>
      <c r="E39" s="10">
        <v>670257</v>
      </c>
      <c r="F39" s="8">
        <v>18388.1211</v>
      </c>
      <c r="G39" s="8">
        <v>20887.168100000003</v>
      </c>
      <c r="H39" s="15">
        <v>39275.289199999999</v>
      </c>
    </row>
    <row r="40" spans="1:8" s="4" customFormat="1" ht="21" customHeight="1">
      <c r="A40" s="14">
        <v>34</v>
      </c>
      <c r="B40" s="5" t="s">
        <v>1</v>
      </c>
      <c r="C40" s="10">
        <v>1713622</v>
      </c>
      <c r="D40" s="10">
        <v>1681318</v>
      </c>
      <c r="E40" s="10">
        <v>3394940</v>
      </c>
      <c r="F40" s="8">
        <v>2719.3090000000002</v>
      </c>
      <c r="G40" s="8">
        <v>30292.086585039666</v>
      </c>
      <c r="H40" s="15">
        <v>33011.395585039667</v>
      </c>
    </row>
    <row r="41" spans="1:8" s="4" customFormat="1" ht="21" customHeight="1">
      <c r="A41" s="14">
        <v>35</v>
      </c>
      <c r="B41" s="5" t="s">
        <v>30</v>
      </c>
      <c r="C41" s="10">
        <v>2533</v>
      </c>
      <c r="D41" s="10">
        <v>5546</v>
      </c>
      <c r="E41" s="10">
        <v>8079</v>
      </c>
      <c r="F41" s="8">
        <v>4.766</v>
      </c>
      <c r="G41" s="8">
        <v>21.576000000000001</v>
      </c>
      <c r="H41" s="15">
        <v>26.341999999999999</v>
      </c>
    </row>
    <row r="42" spans="1:8" s="4" customFormat="1" ht="21" customHeight="1">
      <c r="A42" s="14">
        <v>36</v>
      </c>
      <c r="B42" s="5" t="s">
        <v>31</v>
      </c>
      <c r="C42" s="10">
        <v>1602931</v>
      </c>
      <c r="D42" s="10">
        <v>1620991</v>
      </c>
      <c r="E42" s="10">
        <v>3223922</v>
      </c>
      <c r="F42" s="8">
        <v>71450.670499999993</v>
      </c>
      <c r="G42" s="8">
        <v>123664.02903000003</v>
      </c>
      <c r="H42" s="15">
        <v>195114.69953000004</v>
      </c>
    </row>
    <row r="43" spans="1:8" s="4" customFormat="1" ht="21" customHeight="1">
      <c r="A43" s="14">
        <v>37</v>
      </c>
      <c r="B43" s="5" t="s">
        <v>62</v>
      </c>
      <c r="C43" s="10">
        <v>5479</v>
      </c>
      <c r="D43" s="10">
        <v>5862</v>
      </c>
      <c r="E43" s="10">
        <v>11341</v>
      </c>
      <c r="F43" s="8">
        <v>3.4169999999999998</v>
      </c>
      <c r="G43" s="8">
        <v>45.598999999999997</v>
      </c>
      <c r="H43" s="15">
        <v>49.015999999999998</v>
      </c>
    </row>
    <row r="44" spans="1:8" s="4" customFormat="1" ht="21" customHeight="1">
      <c r="A44" s="14">
        <v>38</v>
      </c>
      <c r="B44" s="5" t="s">
        <v>40</v>
      </c>
      <c r="C44" s="10">
        <v>208676</v>
      </c>
      <c r="D44" s="10">
        <v>215020</v>
      </c>
      <c r="E44" s="10">
        <v>423696</v>
      </c>
      <c r="F44" s="8">
        <v>525.45010000000002</v>
      </c>
      <c r="G44" s="8">
        <v>7096.5490000000009</v>
      </c>
      <c r="H44" s="15">
        <v>7621.9991000000009</v>
      </c>
    </row>
    <row r="45" spans="1:8" s="4" customFormat="1" ht="21" customHeight="1">
      <c r="A45" s="14">
        <v>39</v>
      </c>
      <c r="B45" s="5" t="s">
        <v>68</v>
      </c>
      <c r="C45" s="10">
        <v>12695</v>
      </c>
      <c r="D45" s="10">
        <v>14333</v>
      </c>
      <c r="E45" s="10">
        <v>27028</v>
      </c>
      <c r="F45" s="8">
        <v>0</v>
      </c>
      <c r="G45" s="8">
        <v>0</v>
      </c>
      <c r="H45" s="15">
        <v>0</v>
      </c>
    </row>
    <row r="46" spans="1:8" s="4" customFormat="1" ht="21" customHeight="1">
      <c r="A46" s="14">
        <v>40</v>
      </c>
      <c r="B46" s="5" t="s">
        <v>32</v>
      </c>
      <c r="C46" s="10">
        <v>1684653</v>
      </c>
      <c r="D46" s="10">
        <v>1611691</v>
      </c>
      <c r="E46" s="10">
        <f>C46+D46</f>
        <v>3296344</v>
      </c>
      <c r="F46" s="8">
        <v>9942.6052999999993</v>
      </c>
      <c r="G46" s="8">
        <v>54461.477700000025</v>
      </c>
      <c r="H46" s="15">
        <f>F46+G46</f>
        <v>64404.083000000028</v>
      </c>
    </row>
    <row r="47" spans="1:8" s="4" customFormat="1" ht="21" customHeight="1">
      <c r="A47" s="14">
        <v>41</v>
      </c>
      <c r="B47" s="5" t="s">
        <v>52</v>
      </c>
      <c r="C47" s="10">
        <v>28719</v>
      </c>
      <c r="D47" s="10">
        <v>29826</v>
      </c>
      <c r="E47" s="10">
        <v>58545</v>
      </c>
      <c r="F47" s="8">
        <v>24.873000000000001</v>
      </c>
      <c r="G47" s="8">
        <v>303.76900000000001</v>
      </c>
      <c r="H47" s="15">
        <v>328.642</v>
      </c>
    </row>
    <row r="48" spans="1:8" s="4" customFormat="1" ht="21" customHeight="1">
      <c r="A48" s="14">
        <v>42</v>
      </c>
      <c r="B48" s="5" t="s">
        <v>33</v>
      </c>
      <c r="C48" s="10">
        <v>2091137</v>
      </c>
      <c r="D48" s="10">
        <v>2164033</v>
      </c>
      <c r="E48" s="10">
        <v>4255170</v>
      </c>
      <c r="F48" s="8">
        <v>57823.421224999962</v>
      </c>
      <c r="G48" s="8">
        <v>66547.600999999995</v>
      </c>
      <c r="H48" s="15">
        <v>124371.02222499996</v>
      </c>
    </row>
    <row r="49" spans="1:16" s="4" customFormat="1" ht="21" customHeight="1">
      <c r="A49" s="14">
        <v>43</v>
      </c>
      <c r="B49" s="5" t="s">
        <v>64</v>
      </c>
      <c r="C49" s="10">
        <v>29409</v>
      </c>
      <c r="D49" s="10">
        <v>27418</v>
      </c>
      <c r="E49" s="10">
        <v>56827</v>
      </c>
      <c r="F49" s="8">
        <v>370.45150000000001</v>
      </c>
      <c r="G49" s="8">
        <v>1184.7448999999999</v>
      </c>
      <c r="H49" s="15">
        <v>1555.1963999999998</v>
      </c>
    </row>
    <row r="50" spans="1:16" s="4" customFormat="1" ht="21" customHeight="1">
      <c r="A50" s="14">
        <v>44</v>
      </c>
      <c r="B50" s="5" t="s">
        <v>34</v>
      </c>
      <c r="C50" s="10">
        <v>1259005</v>
      </c>
      <c r="D50" s="10">
        <v>1286677</v>
      </c>
      <c r="E50" s="10">
        <v>2545682</v>
      </c>
      <c r="F50" s="8">
        <v>15131.026900000001</v>
      </c>
      <c r="G50" s="8">
        <v>24130.486100000002</v>
      </c>
      <c r="H50" s="15">
        <v>39261.513000000006</v>
      </c>
    </row>
    <row r="51" spans="1:16" s="4" customFormat="1" ht="21" customHeight="1">
      <c r="A51" s="14">
        <v>45</v>
      </c>
      <c r="B51" s="5" t="s">
        <v>69</v>
      </c>
      <c r="C51" s="10">
        <v>17726</v>
      </c>
      <c r="D51" s="10">
        <v>18643</v>
      </c>
      <c r="E51" s="10">
        <v>36369</v>
      </c>
      <c r="F51" s="8">
        <v>353.55620000000005</v>
      </c>
      <c r="G51" s="8">
        <v>293.48359999999997</v>
      </c>
      <c r="H51" s="15">
        <v>647.03980000000001</v>
      </c>
    </row>
    <row r="52" spans="1:16" s="4" customFormat="1" ht="21" customHeight="1">
      <c r="A52" s="14">
        <v>46</v>
      </c>
      <c r="B52" s="5" t="s">
        <v>35</v>
      </c>
      <c r="C52" s="10">
        <v>135394</v>
      </c>
      <c r="D52" s="10">
        <v>150785</v>
      </c>
      <c r="E52" s="10">
        <v>286179</v>
      </c>
      <c r="F52" s="8">
        <v>9978.83</v>
      </c>
      <c r="G52" s="8">
        <v>12578.143</v>
      </c>
      <c r="H52" s="15">
        <v>22556.972999999998</v>
      </c>
    </row>
    <row r="53" spans="1:16" s="4" customFormat="1" ht="21" customHeight="1">
      <c r="A53" s="14">
        <v>47</v>
      </c>
      <c r="B53" s="5" t="s">
        <v>36</v>
      </c>
      <c r="C53" s="10">
        <v>27573</v>
      </c>
      <c r="D53" s="10">
        <v>29295</v>
      </c>
      <c r="E53" s="10">
        <v>56868</v>
      </c>
      <c r="F53" s="8">
        <v>3651.0079999999998</v>
      </c>
      <c r="G53" s="8">
        <v>1324.9190000000001</v>
      </c>
      <c r="H53" s="15">
        <v>4975.9269999999997</v>
      </c>
    </row>
    <row r="54" spans="1:16" s="4" customFormat="1" ht="21" customHeight="1">
      <c r="A54" s="14">
        <v>48</v>
      </c>
      <c r="B54" s="5" t="s">
        <v>48</v>
      </c>
      <c r="C54" s="10">
        <v>5996</v>
      </c>
      <c r="D54" s="10">
        <v>6180</v>
      </c>
      <c r="E54" s="10">
        <v>12176</v>
      </c>
      <c r="F54" s="8">
        <v>6.41</v>
      </c>
      <c r="G54" s="8">
        <v>162.441</v>
      </c>
      <c r="H54" s="15">
        <v>168.851</v>
      </c>
    </row>
    <row r="55" spans="1:16" s="4" customFormat="1" ht="21" customHeight="1">
      <c r="A55" s="14">
        <v>49</v>
      </c>
      <c r="B55" s="5" t="s">
        <v>37</v>
      </c>
      <c r="C55" s="10">
        <v>1720651</v>
      </c>
      <c r="D55" s="10">
        <v>1732178</v>
      </c>
      <c r="E55" s="10">
        <v>3452829</v>
      </c>
      <c r="F55" s="8">
        <v>45203.97280000001</v>
      </c>
      <c r="G55" s="8">
        <v>32901.985186052785</v>
      </c>
      <c r="H55" s="15">
        <v>78105.957986052788</v>
      </c>
    </row>
    <row r="56" spans="1:16" s="4" customFormat="1" ht="21" customHeight="1">
      <c r="A56" s="14">
        <v>50</v>
      </c>
      <c r="B56" s="5" t="s">
        <v>38</v>
      </c>
      <c r="C56" s="10">
        <v>244372</v>
      </c>
      <c r="D56" s="10">
        <v>252358</v>
      </c>
      <c r="E56" s="10">
        <v>496730</v>
      </c>
      <c r="F56" s="8">
        <v>13637.473</v>
      </c>
      <c r="G56" s="8">
        <v>17510.898000000001</v>
      </c>
      <c r="H56" s="15">
        <v>31148.370999999999</v>
      </c>
    </row>
    <row r="57" spans="1:16" s="4" customFormat="1" ht="21" customHeight="1">
      <c r="A57" s="14">
        <v>51</v>
      </c>
      <c r="B57" s="5" t="s">
        <v>39</v>
      </c>
      <c r="C57" s="10">
        <v>52567</v>
      </c>
      <c r="D57" s="10">
        <v>52207</v>
      </c>
      <c r="E57" s="10">
        <v>104774</v>
      </c>
      <c r="F57" s="8">
        <v>6.8840000000000003</v>
      </c>
      <c r="G57" s="8">
        <v>362.96499999999997</v>
      </c>
      <c r="H57" s="15">
        <v>369.84899999999999</v>
      </c>
    </row>
    <row r="58" spans="1:16" s="4" customFormat="1" ht="21" customHeight="1">
      <c r="A58" s="14">
        <v>52</v>
      </c>
      <c r="B58" s="5" t="s">
        <v>58</v>
      </c>
      <c r="C58" s="10">
        <v>9502308</v>
      </c>
      <c r="D58" s="10">
        <v>9592192</v>
      </c>
      <c r="E58" s="10">
        <v>19094500</v>
      </c>
      <c r="F58" s="8">
        <v>91759.672819834188</v>
      </c>
      <c r="G58" s="8">
        <v>270481.61937980005</v>
      </c>
      <c r="H58" s="15">
        <v>362241.29219963425</v>
      </c>
    </row>
    <row r="59" spans="1:16" s="4" customFormat="1" ht="27" customHeight="1">
      <c r="A59" s="14">
        <v>53</v>
      </c>
      <c r="B59" s="5" t="s">
        <v>41</v>
      </c>
      <c r="C59" s="10">
        <v>1347167</v>
      </c>
      <c r="D59" s="10">
        <v>1350091</v>
      </c>
      <c r="E59" s="10">
        <v>2697258</v>
      </c>
      <c r="F59" s="8">
        <v>54086.504319999993</v>
      </c>
      <c r="G59" s="8">
        <v>81967.100299999962</v>
      </c>
      <c r="H59" s="15">
        <v>136053.60461999994</v>
      </c>
    </row>
    <row r="60" spans="1:16" ht="23.25" customHeight="1">
      <c r="A60" s="14">
        <v>54</v>
      </c>
      <c r="B60" s="5" t="s">
        <v>42</v>
      </c>
      <c r="C60" s="10">
        <v>560570</v>
      </c>
      <c r="D60" s="10">
        <v>591680</v>
      </c>
      <c r="E60" s="10">
        <v>1152250</v>
      </c>
      <c r="F60" s="8">
        <v>8506.8131999999969</v>
      </c>
      <c r="G60" s="8">
        <v>12008.988299999997</v>
      </c>
      <c r="H60" s="15">
        <v>20515.801499999994</v>
      </c>
      <c r="I60" s="4"/>
    </row>
    <row r="61" spans="1:16" ht="22.5" customHeight="1">
      <c r="A61" s="14">
        <v>55</v>
      </c>
      <c r="B61" s="5" t="s">
        <v>43</v>
      </c>
      <c r="C61" s="10">
        <v>52926</v>
      </c>
      <c r="D61" s="10">
        <v>50743</v>
      </c>
      <c r="E61" s="10">
        <v>103669</v>
      </c>
      <c r="F61" s="8">
        <v>3495.1350000000002</v>
      </c>
      <c r="G61" s="8">
        <v>5238.7740000000003</v>
      </c>
      <c r="H61" s="15">
        <v>8733.9089999999997</v>
      </c>
      <c r="I61" s="4"/>
    </row>
    <row r="62" spans="1:16" ht="22.5" customHeight="1">
      <c r="A62" s="14">
        <v>56</v>
      </c>
      <c r="B62" s="5" t="s">
        <v>44</v>
      </c>
      <c r="C62" s="10">
        <v>7789</v>
      </c>
      <c r="D62" s="10">
        <v>7995</v>
      </c>
      <c r="E62" s="10">
        <v>15784</v>
      </c>
      <c r="F62" s="8">
        <v>0.12</v>
      </c>
      <c r="G62" s="8">
        <v>30.696999999999999</v>
      </c>
      <c r="H62" s="16">
        <v>30.817</v>
      </c>
      <c r="I62" s="4"/>
      <c r="J62" s="12"/>
      <c r="K62" s="12"/>
      <c r="L62" s="12"/>
      <c r="M62" s="12"/>
      <c r="N62" s="12"/>
      <c r="O62" s="12"/>
      <c r="P62" s="12"/>
    </row>
    <row r="63" spans="1:16" ht="24.75" customHeight="1">
      <c r="A63" s="23" t="s">
        <v>6</v>
      </c>
      <c r="B63" s="24"/>
      <c r="C63" s="11">
        <f>SUM(C7:C62)</f>
        <v>30117721</v>
      </c>
      <c r="D63" s="11">
        <f t="shared" ref="D63:H63" si="0">SUM(D7:D62)</f>
        <v>30473055</v>
      </c>
      <c r="E63" s="11">
        <f t="shared" si="0"/>
        <v>60590776</v>
      </c>
      <c r="F63" s="9">
        <f t="shared" si="0"/>
        <v>688647.5586458341</v>
      </c>
      <c r="G63" s="9">
        <f t="shared" si="0"/>
        <v>1045121.7780248978</v>
      </c>
      <c r="H63" s="9">
        <f t="shared" si="0"/>
        <v>1733769.3366707317</v>
      </c>
      <c r="I63" s="4"/>
    </row>
    <row r="64" spans="1:16" ht="27" customHeight="1">
      <c r="A64" s="20" t="s">
        <v>54</v>
      </c>
      <c r="B64" s="21"/>
      <c r="C64" s="21"/>
      <c r="D64" s="21"/>
      <c r="E64" s="21"/>
      <c r="F64" s="21"/>
      <c r="G64" s="21"/>
      <c r="H64" s="22"/>
      <c r="I64" s="4"/>
    </row>
    <row r="65" spans="1:9" ht="37.5" customHeight="1">
      <c r="A65" s="20" t="s">
        <v>65</v>
      </c>
      <c r="B65" s="21"/>
      <c r="C65" s="21"/>
      <c r="D65" s="21"/>
      <c r="E65" s="21"/>
      <c r="F65" s="21"/>
      <c r="G65" s="21"/>
      <c r="H65" s="22"/>
      <c r="I65" s="4"/>
    </row>
    <row r="66" spans="1:9" ht="25.5" customHeight="1" thickBot="1">
      <c r="A66" s="17" t="s">
        <v>57</v>
      </c>
      <c r="B66" s="18"/>
      <c r="C66" s="18"/>
      <c r="D66" s="18"/>
      <c r="E66" s="18"/>
      <c r="F66" s="18"/>
      <c r="G66" s="18"/>
      <c r="H66" s="19"/>
      <c r="I66" s="4"/>
    </row>
    <row r="67" spans="1:9" ht="15.75">
      <c r="I67" s="4"/>
    </row>
    <row r="68" spans="1:9" ht="15.75">
      <c r="I68" s="4"/>
    </row>
    <row r="69" spans="1:9" ht="15.75">
      <c r="I69" s="4"/>
    </row>
    <row r="70" spans="1:9" ht="15.75">
      <c r="I70" s="4"/>
    </row>
    <row r="71" spans="1:9" ht="15.75">
      <c r="I71" s="4"/>
    </row>
    <row r="72" spans="1:9" ht="15.75">
      <c r="I72" s="4"/>
    </row>
    <row r="73" spans="1:9" ht="15.75">
      <c r="I73" s="4"/>
    </row>
    <row r="74" spans="1:9" ht="15.75">
      <c r="I74" s="4"/>
    </row>
    <row r="75" spans="1:9" ht="15.75">
      <c r="I75" s="4"/>
    </row>
    <row r="76" spans="1:9" ht="15.75">
      <c r="I76" s="4"/>
    </row>
    <row r="77" spans="1:9" ht="15.75">
      <c r="I77" s="4"/>
    </row>
    <row r="78" spans="1:9" ht="15.75">
      <c r="I78" s="4"/>
    </row>
    <row r="79" spans="1:9" ht="15.75">
      <c r="I79" s="4"/>
    </row>
    <row r="80" spans="1:9" ht="15.75">
      <c r="I80" s="4"/>
    </row>
    <row r="81" spans="9:9" ht="15.75">
      <c r="I81" s="4"/>
    </row>
    <row r="82" spans="9:9" ht="15.75">
      <c r="I82" s="4"/>
    </row>
    <row r="83" spans="9:9" ht="15.75">
      <c r="I83" s="4"/>
    </row>
    <row r="84" spans="9:9" ht="15.75">
      <c r="I84" s="4"/>
    </row>
    <row r="85" spans="9:9" ht="15.75">
      <c r="I85" s="4"/>
    </row>
    <row r="86" spans="9:9" ht="15.75">
      <c r="I86" s="4"/>
    </row>
    <row r="87" spans="9:9" ht="15.75">
      <c r="I87" s="4"/>
    </row>
    <row r="88" spans="9:9" ht="15.75">
      <c r="I88" s="4"/>
    </row>
    <row r="89" spans="9:9" ht="15.75">
      <c r="I89" s="4"/>
    </row>
    <row r="90" spans="9:9" ht="15.75">
      <c r="I90" s="4"/>
    </row>
    <row r="91" spans="9:9" ht="15.75">
      <c r="I91" s="4"/>
    </row>
    <row r="92" spans="9:9" ht="15.75">
      <c r="I92" s="4"/>
    </row>
    <row r="93" spans="9:9" ht="15.75">
      <c r="I93" s="4"/>
    </row>
    <row r="94" spans="9:9" ht="15.75">
      <c r="I94" s="4"/>
    </row>
    <row r="95" spans="9:9" ht="15.75">
      <c r="I95" s="4"/>
    </row>
    <row r="96" spans="9:9" ht="15.75">
      <c r="I96" s="4"/>
    </row>
    <row r="97" spans="9:9" ht="15.75">
      <c r="I97" s="4"/>
    </row>
    <row r="98" spans="9:9" ht="15.75">
      <c r="I98" s="4"/>
    </row>
    <row r="99" spans="9:9" ht="15.75">
      <c r="I99" s="4"/>
    </row>
    <row r="100" spans="9:9" ht="15.75">
      <c r="I100" s="4"/>
    </row>
    <row r="101" spans="9:9" ht="15.75">
      <c r="I101" s="4"/>
    </row>
    <row r="102" spans="9:9" ht="15.75">
      <c r="I102" s="4"/>
    </row>
    <row r="103" spans="9:9" ht="15.75">
      <c r="I103" s="4"/>
    </row>
    <row r="104" spans="9:9" ht="15.75">
      <c r="I104" s="4"/>
    </row>
    <row r="105" spans="9:9" ht="15.75">
      <c r="I105" s="4"/>
    </row>
    <row r="106" spans="9:9" ht="15.75">
      <c r="I106" s="4"/>
    </row>
    <row r="107" spans="9:9" ht="15.75">
      <c r="I107" s="4"/>
    </row>
    <row r="108" spans="9:9" ht="15.75">
      <c r="I108" s="4"/>
    </row>
    <row r="109" spans="9:9" ht="15.75">
      <c r="I109" s="4"/>
    </row>
    <row r="110" spans="9:9" ht="15.75">
      <c r="I110" s="4"/>
    </row>
    <row r="111" spans="9:9" ht="15.75">
      <c r="I111" s="4"/>
    </row>
    <row r="112" spans="9:9" ht="15.75">
      <c r="I112" s="4"/>
    </row>
  </sheetData>
  <mergeCells count="12">
    <mergeCell ref="A1:H1"/>
    <mergeCell ref="A2:H2"/>
    <mergeCell ref="A4:H4"/>
    <mergeCell ref="C5:E5"/>
    <mergeCell ref="F5:H5"/>
    <mergeCell ref="A5:A6"/>
    <mergeCell ref="B5:B6"/>
    <mergeCell ref="A66:H66"/>
    <mergeCell ref="A65:H65"/>
    <mergeCell ref="A63:B63"/>
    <mergeCell ref="A3:H3"/>
    <mergeCell ref="A64:H64"/>
  </mergeCells>
  <printOptions horizontalCentered="1"/>
  <pageMargins left="0" right="0" top="0.19685039370078741" bottom="0.19685039370078741" header="0.31496062992125984" footer="0.31496062992125984"/>
  <pageSetup scale="48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1.02 (IO)</vt:lpstr>
      <vt:lpstr>'1.02 (IO)'!Print_Area</vt:lpstr>
      <vt:lpstr>'1.02 (IO)'!Print_Titles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2018-10-23T11:47:31Z</dcterms:modified>
</cp:coreProperties>
</file>