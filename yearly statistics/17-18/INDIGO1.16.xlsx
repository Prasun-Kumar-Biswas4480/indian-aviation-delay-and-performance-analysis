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6" sheetId="2" r:id="rId1"/>
  </sheets>
  <externalReferences>
    <externalReference r:id="rId2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'1.16'!$A$1:$C$21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C6" i="2"/>
  <c r="C7" i="2"/>
  <c r="C8" i="2"/>
  <c r="C9" i="2"/>
  <c r="C10" i="2"/>
  <c r="C11" i="2"/>
  <c r="C17" i="2"/>
  <c r="C18" i="2"/>
  <c r="C19" i="2"/>
  <c r="C20" i="2"/>
  <c r="C21" i="2"/>
  <c r="C5" i="2" l="1"/>
</calcChain>
</file>

<file path=xl/sharedStrings.xml><?xml version="1.0" encoding="utf-8"?>
<sst xmlns="http://schemas.openxmlformats.org/spreadsheetml/2006/main" count="20" uniqueCount="20">
  <si>
    <t>Profit or loss  after tax and after extra ordinary items  (Rs. In million)</t>
  </si>
  <si>
    <t>Net Profit /Loss After Income Tax (Rs. In million)</t>
  </si>
  <si>
    <t>Net Profit /Loss Before Income Tax (Rs. In million)</t>
  </si>
  <si>
    <t>Balance of Non Operating items (Rs. In Million)</t>
  </si>
  <si>
    <t xml:space="preserve">Operating Results (Rs. In million) </t>
  </si>
  <si>
    <t>Operating Expenses per RPKM (Rs.)</t>
  </si>
  <si>
    <t xml:space="preserve">Operating Revenue per RPKM (Rs.) </t>
  </si>
  <si>
    <t>Operating Expenses per Employee (Rs. In million)</t>
  </si>
  <si>
    <t>Operating Revenue per Employee (Rs. In Million)</t>
  </si>
  <si>
    <t>No. of Employees per aircraft</t>
  </si>
  <si>
    <t>All other personnel</t>
  </si>
  <si>
    <t>Ticketing and sales personnel</t>
  </si>
  <si>
    <t>Maintenance and overhaul personnel</t>
  </si>
  <si>
    <t>Cabin crew</t>
  </si>
  <si>
    <t>Other flight crew</t>
  </si>
  <si>
    <t>Pilots and co -pilots</t>
  </si>
  <si>
    <t>Total Number of Employees (as on 31st March)</t>
  </si>
  <si>
    <r>
      <t>Fleet Size (As on 31</t>
    </r>
    <r>
      <rPr>
        <b/>
        <vertAlign val="superscript"/>
        <sz val="14"/>
        <rFont val="Calibri Light"/>
        <family val="1"/>
        <scheme val="major"/>
      </rPr>
      <t>st</t>
    </r>
    <r>
      <rPr>
        <b/>
        <sz val="14"/>
        <rFont val="Calibri Light"/>
        <family val="1"/>
        <scheme val="major"/>
      </rPr>
      <t xml:space="preserve"> March)</t>
    </r>
  </si>
  <si>
    <t>1.</t>
  </si>
  <si>
    <t xml:space="preserve"> ºÉÉ®hÉÉÒ - 1.16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</si>
</sst>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Arial"/>
      <family val="2"/>
    </font>
    <font>
      <b/>
      <sz val="14"/>
      <name val="Calibri Light"/>
      <family val="1"/>
      <scheme val="maj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  <family val="2"/>
    </font>
    <font>
      <b/>
      <vertAlign val="superscript"/>
      <sz val="14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20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4" fillId="0" borderId="0"/>
    <xf numFmtId="0" fontId="6" fillId="0" borderId="0"/>
  </cellStyleXfs>
  <cellXfs count="30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>
      <alignment horizontal="left" indent="1"/>
    </xf>
    <xf numFmtId="4" fontId="3" fillId="2" borderId="1" xfId="1" applyNumberFormat="1" applyFont="1" applyFill="1" applyBorder="1" applyAlignment="1">
      <alignment vertical="center"/>
    </xf>
    <xf numFmtId="164" fontId="3" fillId="2" borderId="1" xfId="2" quotePrefix="1" applyFont="1" applyFill="1" applyBorder="1" applyAlignment="1" applyProtection="1">
      <alignment horizontal="left" vertical="center" wrapText="1"/>
    </xf>
    <xf numFmtId="0" fontId="3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1" xfId="1" quotePrefix="1" applyFont="1" applyFill="1" applyBorder="1" applyAlignment="1">
      <alignment horizontal="left" vertical="center"/>
    </xf>
    <xf numFmtId="4" fontId="3" fillId="3" borderId="1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quotePrefix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vertical="center" wrapText="1"/>
    </xf>
    <xf numFmtId="1" fontId="5" fillId="0" borderId="1" xfId="3" applyNumberFormat="1" applyFont="1" applyFill="1" applyBorder="1" applyAlignment="1" applyProtection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0" fontId="3" fillId="2" borderId="4" xfId="1" applyFont="1" applyFill="1" applyBorder="1" applyAlignment="1">
      <alignment horizontal="left" vertical="center"/>
    </xf>
    <xf numFmtId="0" fontId="3" fillId="2" borderId="4" xfId="1" quotePrefix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3" fillId="2" borderId="7" xfId="1" quotePrefix="1" applyFont="1" applyFill="1" applyBorder="1" applyAlignment="1">
      <alignment horizontal="center" vertical="center"/>
    </xf>
    <xf numFmtId="0" fontId="3" fillId="2" borderId="6" xfId="1" quotePrefix="1" applyFont="1" applyFill="1" applyBorder="1" applyAlignment="1">
      <alignment horizontal="center" vertical="center"/>
    </xf>
    <xf numFmtId="0" fontId="3" fillId="2" borderId="5" xfId="1" quotePrefix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8" fillId="2" borderId="2" xfId="1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</row>
      </sheetData>
      <sheetData sheetId="4"/>
      <sheetData sheetId="5"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/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/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/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/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/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40206.197791999999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7938.7822440000018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8749.2473230000014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1458.6508450000001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14496.599790999999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2676.78404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501.42914100000002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22.86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18.14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254.75856800000003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37529.413752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7437.3531030000022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8726.3873230000008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1440.510845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14241.841222999999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>
        <row r="3">
          <cell r="A3" t="str">
            <v>Row Labels</v>
          </cell>
          <cell r="B3" t="str">
            <v>Sum of P1-1.1</v>
          </cell>
          <cell r="C3" t="str">
            <v>Sum of P1-1.2</v>
          </cell>
          <cell r="D3" t="str">
            <v>Sum of P1-1.3</v>
          </cell>
          <cell r="E3" t="str">
            <v>Sum of P1-1.4</v>
          </cell>
          <cell r="F3" t="str">
            <v>Sum of P1-1.5</v>
          </cell>
          <cell r="G3" t="str">
            <v>Sum of P1-2</v>
          </cell>
          <cell r="H3" t="str">
            <v>Sum of P1-3</v>
          </cell>
          <cell r="I3" t="str">
            <v>Sum of P1-4</v>
          </cell>
          <cell r="J3" t="str">
            <v>Sum of P1-5</v>
          </cell>
          <cell r="K3" t="str">
            <v>Sum of P1-6</v>
          </cell>
          <cell r="L3" t="str">
            <v>Sum of P1-7</v>
          </cell>
          <cell r="M3" t="str">
            <v>Sum of P1-8</v>
          </cell>
          <cell r="N3" t="str">
            <v>Sum of P1-9</v>
          </cell>
          <cell r="O3" t="str">
            <v>Sum of P1-10</v>
          </cell>
          <cell r="P3" t="str">
            <v>Sum of P1-11</v>
          </cell>
          <cell r="Q3" t="str">
            <v>Sum of P1-12</v>
          </cell>
          <cell r="R3" t="str">
            <v>Sum of P1-13</v>
          </cell>
          <cell r="S3" t="str">
            <v>Sum of P1-14</v>
          </cell>
          <cell r="T3" t="str">
            <v>Sum of P1-15</v>
          </cell>
          <cell r="U3" t="str">
            <v>Sum of P1-21</v>
          </cell>
          <cell r="V3" t="str">
            <v>Sum of P1-22</v>
          </cell>
          <cell r="W3" t="str">
            <v>Sum of P1-23</v>
          </cell>
          <cell r="X3" t="str">
            <v>Sum of P1-24</v>
          </cell>
          <cell r="Y3" t="str">
            <v>Sum of P1-26</v>
          </cell>
        </row>
        <row r="4">
          <cell r="A4" t="str">
            <v>AIR ASIA</v>
          </cell>
          <cell r="B4">
            <v>17342.36</v>
          </cell>
          <cell r="C4">
            <v>150.79</v>
          </cell>
          <cell r="D4">
            <v>222.22</v>
          </cell>
          <cell r="E4"/>
          <cell r="F4"/>
          <cell r="G4"/>
          <cell r="H4">
            <v>295.95999999999998</v>
          </cell>
          <cell r="I4">
            <v>18011.330000000002</v>
          </cell>
          <cell r="J4">
            <v>11736.7</v>
          </cell>
          <cell r="K4">
            <v>2270.4499999999998</v>
          </cell>
          <cell r="L4">
            <v>95</v>
          </cell>
          <cell r="M4">
            <v>2084.65</v>
          </cell>
          <cell r="N4"/>
          <cell r="O4">
            <v>550.28</v>
          </cell>
          <cell r="P4">
            <v>849.8</v>
          </cell>
          <cell r="Q4">
            <v>1838.6</v>
          </cell>
          <cell r="R4"/>
          <cell r="S4">
            <v>19425.740000000002</v>
          </cell>
          <cell r="T4">
            <v>-1414.41</v>
          </cell>
          <cell r="U4">
            <v>164.11</v>
          </cell>
          <cell r="V4">
            <v>-1250.31</v>
          </cell>
          <cell r="W4"/>
          <cell r="X4">
            <v>-1250.31</v>
          </cell>
          <cell r="Y4">
            <v>-1250.31</v>
          </cell>
        </row>
        <row r="5">
          <cell r="A5" t="str">
            <v>AIR COSTA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</row>
        <row r="6">
          <cell r="A6" t="str">
            <v>AIR INDIA</v>
          </cell>
          <cell r="B6">
            <v>177440.9</v>
          </cell>
          <cell r="C6">
            <v>1110.0999999999999</v>
          </cell>
          <cell r="D6">
            <v>12095.2</v>
          </cell>
          <cell r="E6">
            <v>713.4</v>
          </cell>
          <cell r="F6"/>
          <cell r="G6">
            <v>13085.9</v>
          </cell>
          <cell r="H6">
            <v>25591.200000000001</v>
          </cell>
          <cell r="I6">
            <v>230036.7</v>
          </cell>
          <cell r="J6">
            <v>109070.39999999999</v>
          </cell>
          <cell r="K6">
            <v>27746</v>
          </cell>
          <cell r="L6">
            <v>16673.8</v>
          </cell>
          <cell r="M6">
            <v>18113.400000000001</v>
          </cell>
          <cell r="N6">
            <v>8897.7000000000007</v>
          </cell>
          <cell r="O6"/>
          <cell r="P6">
            <v>6435.4</v>
          </cell>
          <cell r="Q6">
            <v>33562.1</v>
          </cell>
          <cell r="R6">
            <v>26118.6</v>
          </cell>
          <cell r="S6">
            <v>246617.4</v>
          </cell>
          <cell r="T6">
            <v>-16580.7</v>
          </cell>
          <cell r="U6">
            <v>36796.699999999997</v>
          </cell>
          <cell r="V6">
            <v>-53377.4</v>
          </cell>
          <cell r="W6"/>
          <cell r="X6">
            <v>-53377.4</v>
          </cell>
          <cell r="Y6">
            <v>-53481.7</v>
          </cell>
        </row>
        <row r="7">
          <cell r="A7" t="str">
            <v>AIR INDIA EXPRESS</v>
          </cell>
          <cell r="B7">
            <v>33219.78</v>
          </cell>
          <cell r="C7">
            <v>672.61</v>
          </cell>
          <cell r="D7">
            <v>548.24</v>
          </cell>
          <cell r="E7"/>
          <cell r="F7"/>
          <cell r="G7"/>
          <cell r="H7">
            <v>1756.14</v>
          </cell>
          <cell r="I7">
            <v>36196.769999999997</v>
          </cell>
          <cell r="J7">
            <v>21999.08</v>
          </cell>
          <cell r="K7">
            <v>731.2</v>
          </cell>
          <cell r="L7">
            <v>2431.5500000000002</v>
          </cell>
          <cell r="M7">
            <v>4862.47</v>
          </cell>
          <cell r="N7"/>
          <cell r="O7"/>
          <cell r="P7">
            <v>100.44</v>
          </cell>
          <cell r="Q7"/>
          <cell r="R7">
            <v>600.63</v>
          </cell>
          <cell r="S7">
            <v>30725.37</v>
          </cell>
          <cell r="T7">
            <v>5471.4</v>
          </cell>
          <cell r="U7">
            <v>2850.95</v>
          </cell>
          <cell r="V7">
            <v>2620.4499999999998</v>
          </cell>
          <cell r="W7">
            <v>0</v>
          </cell>
          <cell r="X7">
            <v>2620.4499999999998</v>
          </cell>
          <cell r="Y7">
            <v>2620.4499999999998</v>
          </cell>
        </row>
        <row r="8">
          <cell r="A8" t="str">
            <v>AIR PEGASUS</v>
          </cell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</row>
        <row r="9">
          <cell r="A9" t="str">
            <v>ALLIANCE AIR</v>
          </cell>
          <cell r="B9">
            <v>4942.5</v>
          </cell>
          <cell r="C9">
            <v>1.5</v>
          </cell>
          <cell r="D9">
            <v>3.3</v>
          </cell>
          <cell r="E9">
            <v>775.2</v>
          </cell>
          <cell r="F9"/>
          <cell r="G9">
            <v>0</v>
          </cell>
          <cell r="H9">
            <v>0</v>
          </cell>
          <cell r="I9">
            <v>5931.4</v>
          </cell>
          <cell r="J9">
            <v>4129.3999999999996</v>
          </cell>
          <cell r="K9">
            <v>1591.9</v>
          </cell>
          <cell r="L9">
            <v>10.7</v>
          </cell>
          <cell r="M9">
            <v>245.9</v>
          </cell>
          <cell r="N9">
            <v>100.9</v>
          </cell>
          <cell r="O9">
            <v>250.4</v>
          </cell>
          <cell r="P9">
            <v>109.7</v>
          </cell>
          <cell r="Q9">
            <v>42.3</v>
          </cell>
          <cell r="R9">
            <v>797.3</v>
          </cell>
          <cell r="S9">
            <v>7278.5</v>
          </cell>
          <cell r="T9">
            <v>-1347.1</v>
          </cell>
          <cell r="U9">
            <v>1290.5</v>
          </cell>
          <cell r="V9">
            <v>-2637.6</v>
          </cell>
          <cell r="W9"/>
          <cell r="X9">
            <v>-2367.6</v>
          </cell>
          <cell r="Y9">
            <v>-2637.6</v>
          </cell>
        </row>
        <row r="10">
          <cell r="A10" t="str">
            <v xml:space="preserve">Blue Dart </v>
          </cell>
          <cell r="B10"/>
          <cell r="C10"/>
          <cell r="D10">
            <v>6571</v>
          </cell>
          <cell r="E10"/>
          <cell r="F10"/>
          <cell r="G10"/>
          <cell r="H10"/>
          <cell r="I10">
            <v>6713</v>
          </cell>
          <cell r="J10">
            <v>4198</v>
          </cell>
          <cell r="K10">
            <v>284</v>
          </cell>
          <cell r="L10">
            <v>694</v>
          </cell>
          <cell r="M10">
            <v>411</v>
          </cell>
          <cell r="N10"/>
          <cell r="O10"/>
          <cell r="P10"/>
          <cell r="Q10">
            <v>851</v>
          </cell>
          <cell r="R10"/>
          <cell r="S10">
            <v>6438</v>
          </cell>
          <cell r="T10">
            <v>275</v>
          </cell>
          <cell r="U10">
            <v>-224</v>
          </cell>
          <cell r="V10">
            <v>51</v>
          </cell>
          <cell r="W10">
            <v>-26</v>
          </cell>
          <cell r="X10">
            <v>25</v>
          </cell>
          <cell r="Y10">
            <v>25</v>
          </cell>
        </row>
        <row r="11">
          <cell r="A11" t="str">
            <v>GO AIR</v>
          </cell>
          <cell r="B11">
            <v>40250.438362000001</v>
          </cell>
          <cell r="C11">
            <v>292.85363999999998</v>
          </cell>
          <cell r="D11">
            <v>0</v>
          </cell>
          <cell r="E11">
            <v>0</v>
          </cell>
          <cell r="F11"/>
          <cell r="G11"/>
          <cell r="H11">
            <v>6208.943859</v>
          </cell>
          <cell r="I11">
            <v>46752.235861000001</v>
          </cell>
          <cell r="J11">
            <v>23584.178080999998</v>
          </cell>
          <cell r="K11">
            <v>4720.3647639999999</v>
          </cell>
          <cell r="L11">
            <v>150.18913000000001</v>
          </cell>
          <cell r="M11">
            <v>4508.9975059999997</v>
          </cell>
          <cell r="N11"/>
          <cell r="O11"/>
          <cell r="P11">
            <v>1155.888228</v>
          </cell>
          <cell r="Q11">
            <v>7273.8368170000003</v>
          </cell>
          <cell r="R11">
            <v>0</v>
          </cell>
          <cell r="S11">
            <v>41393.454526000001</v>
          </cell>
          <cell r="T11">
            <v>5358.7813349999997</v>
          </cell>
          <cell r="U11">
            <v>1403.955753</v>
          </cell>
          <cell r="V11">
            <v>3954.8255819999999</v>
          </cell>
          <cell r="W11">
            <v>1667.474342</v>
          </cell>
          <cell r="X11">
            <v>2287.35124</v>
          </cell>
          <cell r="Y11">
            <v>2948.8185760000001</v>
          </cell>
        </row>
        <row r="12">
          <cell r="A12" t="str">
            <v>INDIGO</v>
          </cell>
          <cell r="B12">
            <v>209515.18</v>
          </cell>
          <cell r="C12">
            <v>3908.19</v>
          </cell>
          <cell r="D12">
            <v>10085.209999999999</v>
          </cell>
          <cell r="E12">
            <v>0</v>
          </cell>
          <cell r="F12"/>
          <cell r="G12">
            <v>0</v>
          </cell>
          <cell r="H12">
            <v>6700.29</v>
          </cell>
          <cell r="I12">
            <v>230208.87</v>
          </cell>
          <cell r="J12">
            <v>129141.43</v>
          </cell>
          <cell r="K12">
            <v>12298.2</v>
          </cell>
          <cell r="L12">
            <v>4368.7700000000004</v>
          </cell>
          <cell r="M12">
            <v>23768.35</v>
          </cell>
          <cell r="N12">
            <v>0</v>
          </cell>
          <cell r="O12">
            <v>3937.07</v>
          </cell>
          <cell r="P12">
            <v>8845.33</v>
          </cell>
          <cell r="Q12">
            <v>4647.3</v>
          </cell>
          <cell r="R12">
            <v>17436.03</v>
          </cell>
          <cell r="S12">
            <v>204442.48</v>
          </cell>
          <cell r="T12">
            <v>25766.39</v>
          </cell>
          <cell r="U12">
            <v>5500.38</v>
          </cell>
          <cell r="V12">
            <v>31266.77</v>
          </cell>
          <cell r="W12">
            <v>-8843.0300000000007</v>
          </cell>
          <cell r="X12">
            <v>22423.74</v>
          </cell>
          <cell r="Y12">
            <v>22423.74</v>
          </cell>
        </row>
        <row r="13">
          <cell r="A13" t="str">
            <v>JET AIRWAYS</v>
          </cell>
          <cell r="B13">
            <v>200871.68799999999</v>
          </cell>
          <cell r="C13">
            <v>1720.654</v>
          </cell>
          <cell r="D13">
            <v>17407.562999999998</v>
          </cell>
          <cell r="E13">
            <v>483.89</v>
          </cell>
          <cell r="F13"/>
          <cell r="G13">
            <v>966.25800000000004</v>
          </cell>
          <cell r="H13">
            <v>11120.362999999999</v>
          </cell>
          <cell r="I13">
            <v>232570.416</v>
          </cell>
          <cell r="J13">
            <v>104751.59699999999</v>
          </cell>
          <cell r="K13">
            <v>25300.449000000001</v>
          </cell>
          <cell r="L13">
            <v>5639.1949999999997</v>
          </cell>
          <cell r="M13">
            <v>23718.82</v>
          </cell>
          <cell r="N13">
            <v>2944.433</v>
          </cell>
          <cell r="O13">
            <v>11664.635</v>
          </cell>
          <cell r="P13">
            <v>28265.391</v>
          </cell>
          <cell r="Q13">
            <v>37106.773000000001</v>
          </cell>
          <cell r="R13">
            <v>393.22500000000002</v>
          </cell>
          <cell r="S13">
            <v>239784.51699999999</v>
          </cell>
          <cell r="T13">
            <v>-7214.1009999999997</v>
          </cell>
          <cell r="U13">
            <v>-455.61</v>
          </cell>
          <cell r="V13">
            <v>-7669.7110000000002</v>
          </cell>
          <cell r="W13">
            <v>-6.4790000000000001</v>
          </cell>
          <cell r="X13">
            <v>-7676.19</v>
          </cell>
          <cell r="Y13"/>
        </row>
        <row r="14">
          <cell r="A14" t="str">
            <v>JETLITE</v>
          </cell>
          <cell r="B14">
            <v>11950.942999999999</v>
          </cell>
          <cell r="C14">
            <v>162.565</v>
          </cell>
          <cell r="D14">
            <v>497.03199999999998</v>
          </cell>
          <cell r="E14">
            <v>58.143999999999998</v>
          </cell>
          <cell r="F14"/>
          <cell r="G14">
            <v>26.419</v>
          </cell>
          <cell r="H14">
            <v>242.49799999999999</v>
          </cell>
          <cell r="I14">
            <v>12937.601000000001</v>
          </cell>
          <cell r="J14">
            <v>7023.35</v>
          </cell>
          <cell r="K14">
            <v>1448.1089999999999</v>
          </cell>
          <cell r="L14">
            <v>5.6829999999999998</v>
          </cell>
          <cell r="M14">
            <v>1094.5</v>
          </cell>
          <cell r="N14">
            <v>117.328</v>
          </cell>
          <cell r="O14">
            <v>328.517</v>
          </cell>
          <cell r="P14">
            <v>888.28200000000004</v>
          </cell>
          <cell r="Q14">
            <v>2243.9850000000001</v>
          </cell>
          <cell r="R14"/>
          <cell r="S14">
            <v>13149.754999999999</v>
          </cell>
          <cell r="T14">
            <v>-212.154</v>
          </cell>
          <cell r="U14">
            <v>-2997.9250000000002</v>
          </cell>
          <cell r="V14">
            <v>-3210.0790000000002</v>
          </cell>
          <cell r="W14"/>
          <cell r="X14">
            <v>-3210.0790000000002</v>
          </cell>
          <cell r="Y14"/>
        </row>
        <row r="15">
          <cell r="A15" t="str">
            <v>SPICEJET</v>
          </cell>
          <cell r="B15">
            <v>73166.67</v>
          </cell>
          <cell r="C15">
            <v>928.29</v>
          </cell>
          <cell r="D15">
            <v>2700.6</v>
          </cell>
          <cell r="E15"/>
          <cell r="F15"/>
          <cell r="G15"/>
          <cell r="H15">
            <v>1155.3699999999999</v>
          </cell>
          <cell r="I15">
            <v>77950.929999999993</v>
          </cell>
          <cell r="J15">
            <v>34922.769999999997</v>
          </cell>
          <cell r="K15">
            <v>11880.45</v>
          </cell>
          <cell r="L15">
            <v>2312</v>
          </cell>
          <cell r="M15">
            <v>6605.56</v>
          </cell>
          <cell r="N15"/>
          <cell r="O15"/>
          <cell r="P15">
            <v>2216.6</v>
          </cell>
          <cell r="Q15">
            <v>4015.84</v>
          </cell>
          <cell r="R15">
            <v>10782.44</v>
          </cell>
          <cell r="S15">
            <v>72735.66</v>
          </cell>
          <cell r="T15">
            <v>5215.2700000000004</v>
          </cell>
          <cell r="U15">
            <v>451.25</v>
          </cell>
          <cell r="V15">
            <v>5666.52</v>
          </cell>
          <cell r="W15"/>
          <cell r="X15">
            <v>5666.52</v>
          </cell>
          <cell r="Y15"/>
        </row>
        <row r="16">
          <cell r="A16" t="str">
            <v>TRUEJET</v>
          </cell>
          <cell r="B16">
            <v>1915.748916</v>
          </cell>
          <cell r="C16">
            <v>8.7854209999999995</v>
          </cell>
          <cell r="D16">
            <v>0</v>
          </cell>
          <cell r="E16">
            <v>0</v>
          </cell>
          <cell r="F16"/>
          <cell r="G16">
            <v>0</v>
          </cell>
          <cell r="H16">
            <v>32.227756999999997</v>
          </cell>
          <cell r="I16">
            <v>1956.7620939999999</v>
          </cell>
          <cell r="J16">
            <v>1460.0236339999999</v>
          </cell>
          <cell r="K16">
            <v>252.022469</v>
          </cell>
          <cell r="L16">
            <v>22.453683000000002</v>
          </cell>
          <cell r="M16">
            <v>299.19781</v>
          </cell>
          <cell r="N16"/>
          <cell r="O16">
            <v>343.16577799999999</v>
          </cell>
          <cell r="P16">
            <v>19.664449999999999</v>
          </cell>
          <cell r="Q16">
            <v>411.70124600000003</v>
          </cell>
          <cell r="R16"/>
          <cell r="S16">
            <v>2808.229069</v>
          </cell>
          <cell r="T16">
            <v>-851.46697500000005</v>
          </cell>
          <cell r="U16"/>
          <cell r="V16"/>
          <cell r="W16"/>
          <cell r="X16"/>
          <cell r="Y16"/>
        </row>
        <row r="17">
          <cell r="A17" t="str">
            <v>VISTARA</v>
          </cell>
          <cell r="B17">
            <v>19362.899189</v>
          </cell>
          <cell r="C17">
            <v>121.67352099999999</v>
          </cell>
          <cell r="D17">
            <v>0</v>
          </cell>
          <cell r="E17">
            <v>772.96185500000001</v>
          </cell>
          <cell r="F17"/>
          <cell r="G17"/>
          <cell r="H17">
            <v>1116.776715</v>
          </cell>
          <cell r="I17">
            <v>21374.311280000002</v>
          </cell>
          <cell r="J17">
            <v>12290.818982000001</v>
          </cell>
          <cell r="K17">
            <v>3752.7552799999999</v>
          </cell>
          <cell r="L17">
            <v>175.72062099999999</v>
          </cell>
          <cell r="M17">
            <v>2434.300021</v>
          </cell>
          <cell r="N17">
            <v>93.200113000000002</v>
          </cell>
          <cell r="O17">
            <v>1840.065382</v>
          </cell>
          <cell r="P17">
            <v>1483.5396069999999</v>
          </cell>
          <cell r="Q17">
            <v>1980.792727</v>
          </cell>
          <cell r="R17">
            <v>2488.4020369999998</v>
          </cell>
          <cell r="S17">
            <v>26539.594768999999</v>
          </cell>
          <cell r="T17">
            <v>-5165.2834890000004</v>
          </cell>
          <cell r="U17">
            <v>854.39416500000004</v>
          </cell>
          <cell r="V17">
            <v>-4310.8893239999998</v>
          </cell>
          <cell r="W17">
            <v>0</v>
          </cell>
          <cell r="X17">
            <v>-4310.8893239999998</v>
          </cell>
          <cell r="Y17">
            <v>-4310.8893239999998</v>
          </cell>
        </row>
        <row r="18">
          <cell r="A18" t="str">
            <v>(blank)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</row>
        <row r="19">
          <cell r="A19" t="str">
            <v>SCHEDULED NATIONAL AIRLINES</v>
          </cell>
          <cell r="B19">
            <v>215603.18</v>
          </cell>
          <cell r="C19">
            <v>1784.21</v>
          </cell>
          <cell r="D19">
            <v>12646.74</v>
          </cell>
          <cell r="E19">
            <v>1488.6</v>
          </cell>
          <cell r="F19">
            <v>0</v>
          </cell>
          <cell r="G19">
            <v>13085.9</v>
          </cell>
          <cell r="H19">
            <v>27347.34</v>
          </cell>
          <cell r="I19">
            <v>272164.87000000005</v>
          </cell>
          <cell r="J19">
            <v>135198.88</v>
          </cell>
          <cell r="K19">
            <v>30069.100000000002</v>
          </cell>
          <cell r="L19">
            <v>19116.05</v>
          </cell>
          <cell r="M19">
            <v>23221.770000000004</v>
          </cell>
          <cell r="N19">
            <v>8998.6</v>
          </cell>
          <cell r="O19">
            <v>250.4</v>
          </cell>
          <cell r="P19">
            <v>6645.5399999999991</v>
          </cell>
          <cell r="Q19">
            <v>33604.400000000001</v>
          </cell>
          <cell r="R19">
            <v>27516.53</v>
          </cell>
          <cell r="S19">
            <v>284621.27</v>
          </cell>
          <cell r="T19">
            <v>-12456.400000000001</v>
          </cell>
          <cell r="U19">
            <v>40938.149999999994</v>
          </cell>
          <cell r="V19">
            <v>-53394.55</v>
          </cell>
          <cell r="W19">
            <v>0</v>
          </cell>
          <cell r="X19">
            <v>-53124.55</v>
          </cell>
          <cell r="Y19">
            <v>-53498.85</v>
          </cell>
        </row>
        <row r="20">
          <cell r="A20" t="str">
            <v>SCHEDULED PRIVATE AIRLINES</v>
          </cell>
          <cell r="B20">
            <v>574530.26581500005</v>
          </cell>
          <cell r="C20">
            <v>7294.4286020000009</v>
          </cell>
          <cell r="D20">
            <v>37483.624999999993</v>
          </cell>
          <cell r="E20">
            <v>1314.9958549999997</v>
          </cell>
          <cell r="F20">
            <v>0</v>
          </cell>
          <cell r="G20">
            <v>1619.4930039999999</v>
          </cell>
          <cell r="H20">
            <v>26907.816589999999</v>
          </cell>
          <cell r="I20">
            <v>649292.62486642995</v>
          </cell>
          <cell r="J20">
            <v>329792.68857418001</v>
          </cell>
          <cell r="K20">
            <v>62282.665588999982</v>
          </cell>
          <cell r="L20">
            <v>13493.234270000001</v>
          </cell>
          <cell r="M20">
            <v>64949.865339999989</v>
          </cell>
          <cell r="N20">
            <v>3157.9611129999994</v>
          </cell>
          <cell r="O20">
            <v>18665.623543999995</v>
          </cell>
          <cell r="P20">
            <v>43729.295284999993</v>
          </cell>
          <cell r="Q20">
            <v>60531.83565500001</v>
          </cell>
          <cell r="R20">
            <v>31100.097037</v>
          </cell>
          <cell r="S20">
            <v>627703.52469117998</v>
          </cell>
          <cell r="T20">
            <v>21589.100175249998</v>
          </cell>
          <cell r="U20">
            <v>4671.0653700100011</v>
          </cell>
          <cell r="V20">
            <v>24291.599490239998</v>
          </cell>
          <cell r="W20">
            <v>-7207.0915820000018</v>
          </cell>
          <cell r="X20">
            <v>13747.67307224001</v>
          </cell>
          <cell r="Y20">
            <v>19628.88940824</v>
          </cell>
        </row>
        <row r="21">
          <cell r="A21" t="str">
            <v>ALL SCHEDULED INDIAN AIRLINES</v>
          </cell>
          <cell r="B21">
            <v>790133.4458150001</v>
          </cell>
          <cell r="C21">
            <v>9078.6386020000009</v>
          </cell>
          <cell r="D21">
            <v>50130.364999999991</v>
          </cell>
          <cell r="E21">
            <v>2803.5958549999996</v>
          </cell>
          <cell r="F21">
            <v>0</v>
          </cell>
          <cell r="G21">
            <v>14705.393004</v>
          </cell>
          <cell r="H21">
            <v>54255.156589999999</v>
          </cell>
          <cell r="I21">
            <v>921457.49486642994</v>
          </cell>
          <cell r="J21">
            <v>464991.56857418001</v>
          </cell>
          <cell r="K21">
            <v>92351.765588999988</v>
          </cell>
          <cell r="L21">
            <v>32609.28427</v>
          </cell>
          <cell r="M21">
            <v>88171.635339999993</v>
          </cell>
          <cell r="N21">
            <v>12156.561113</v>
          </cell>
          <cell r="O21">
            <v>18916.023543999996</v>
          </cell>
          <cell r="P21">
            <v>50374.835284999994</v>
          </cell>
          <cell r="Q21">
            <v>94136.235655000011</v>
          </cell>
          <cell r="R21">
            <v>58616.627036999998</v>
          </cell>
          <cell r="S21">
            <v>912324.79469118</v>
          </cell>
          <cell r="T21">
            <v>9132.7001752499964</v>
          </cell>
          <cell r="U21">
            <v>45609.215370009995</v>
          </cell>
          <cell r="V21">
            <v>-29102.950509760005</v>
          </cell>
          <cell r="W21">
            <v>-7207.0915820000018</v>
          </cell>
          <cell r="X21">
            <v>-39376.876927759993</v>
          </cell>
          <cell r="Y21">
            <v>-33869.960591759998</v>
          </cell>
        </row>
        <row r="22">
          <cell r="A22" t="str">
            <v>ZOOM AIR</v>
          </cell>
          <cell r="B22">
            <v>144.00636299999999</v>
          </cell>
          <cell r="C22">
            <v>0.62702000000000002</v>
          </cell>
          <cell r="D22"/>
          <cell r="E22"/>
          <cell r="F22"/>
          <cell r="G22"/>
          <cell r="H22">
            <v>29.356470000000002</v>
          </cell>
          <cell r="I22">
            <v>173.98985343000001</v>
          </cell>
          <cell r="J22">
            <v>165.78959417999999</v>
          </cell>
          <cell r="K22"/>
          <cell r="L22">
            <v>0.10835599999999999</v>
          </cell>
          <cell r="M22"/>
          <cell r="N22"/>
          <cell r="O22"/>
          <cell r="P22"/>
          <cell r="Q22"/>
          <cell r="R22"/>
          <cell r="S22">
            <v>165.89795018000001</v>
          </cell>
          <cell r="T22">
            <v>8.0919032499999997</v>
          </cell>
          <cell r="U22">
            <v>6.0557620099999996</v>
          </cell>
          <cell r="V22">
            <v>2.0361412400000001</v>
          </cell>
          <cell r="W22">
            <v>0.94307600000000003</v>
          </cell>
          <cell r="X22">
            <v>1.09306524</v>
          </cell>
          <cell r="Y22">
            <v>1.09306524</v>
          </cell>
        </row>
        <row r="23">
          <cell r="A23" t="str">
            <v>AIR CARNIVAL</v>
          </cell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</row>
        <row r="24">
          <cell r="A24" t="str">
            <v>QUICK JET CARGO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</row>
        <row r="25">
          <cell r="A25" t="str">
            <v>AIR ODDISA</v>
          </cell>
          <cell r="B25">
            <v>0.482823</v>
          </cell>
          <cell r="C25"/>
          <cell r="D25"/>
          <cell r="E25"/>
          <cell r="F25"/>
          <cell r="G25">
            <v>11.168866</v>
          </cell>
          <cell r="H25">
            <v>2.2028669999999999</v>
          </cell>
          <cell r="I25">
            <v>13.854556000000001</v>
          </cell>
          <cell r="J25">
            <v>31.941282999999999</v>
          </cell>
          <cell r="K25">
            <v>5.4</v>
          </cell>
          <cell r="L25">
            <v>0.11627700000000001</v>
          </cell>
          <cell r="M25">
            <v>1.6100030000000001</v>
          </cell>
          <cell r="N25">
            <v>3</v>
          </cell>
          <cell r="O25">
            <v>1.8903840000000001</v>
          </cell>
          <cell r="P25">
            <v>4.8</v>
          </cell>
          <cell r="Q25">
            <v>6.5724799999999997</v>
          </cell>
          <cell r="R25"/>
          <cell r="S25">
            <v>55.330427</v>
          </cell>
          <cell r="T25">
            <v>-41.475870999999998</v>
          </cell>
          <cell r="U25">
            <v>-5.0641020000000001</v>
          </cell>
          <cell r="V25">
            <v>-46.539973000000003</v>
          </cell>
          <cell r="W25"/>
          <cell r="X25">
            <v>-46.539973000000003</v>
          </cell>
          <cell r="Y25">
            <v>-46.539973000000003</v>
          </cell>
        </row>
        <row r="26">
          <cell r="A26" t="str">
            <v>AIR DECCAN</v>
          </cell>
          <cell r="B26">
            <v>9.8491619999999998</v>
          </cell>
          <cell r="C26"/>
          <cell r="D26"/>
          <cell r="E26"/>
          <cell r="F26"/>
          <cell r="G26">
            <v>615.64713800000004</v>
          </cell>
          <cell r="H26">
            <v>3.827922</v>
          </cell>
          <cell r="I26">
            <v>629.32422199999996</v>
          </cell>
          <cell r="J26">
            <v>486.09</v>
          </cell>
          <cell r="K26">
            <v>70.465075999999996</v>
          </cell>
          <cell r="L26">
            <v>29.998203</v>
          </cell>
          <cell r="M26">
            <v>22.88</v>
          </cell>
          <cell r="N26"/>
          <cell r="O26"/>
          <cell r="P26"/>
          <cell r="Q26">
            <v>155.43438499999999</v>
          </cell>
          <cell r="R26"/>
          <cell r="S26">
            <v>764.86595</v>
          </cell>
          <cell r="T26">
            <v>-135.54172800000001</v>
          </cell>
          <cell r="U26">
            <v>-26.481207999999999</v>
          </cell>
          <cell r="V26">
            <v>-162.02293599999999</v>
          </cell>
          <cell r="W26"/>
          <cell r="X26">
            <v>-162.02293599999999</v>
          </cell>
          <cell r="Y26">
            <v>-162.02293599999999</v>
          </cell>
        </row>
        <row r="27">
          <cell r="A27" t="str">
            <v>Grand Total</v>
          </cell>
          <cell r="B27">
            <v>2370400.3374450002</v>
          </cell>
          <cell r="C27">
            <v>27235.915806000005</v>
          </cell>
          <cell r="D27">
            <v>150391.09499999997</v>
          </cell>
          <cell r="E27">
            <v>8410.7875649999987</v>
          </cell>
          <cell r="F27">
            <v>0</v>
          </cell>
          <cell r="G27">
            <v>44116.179012000001</v>
          </cell>
          <cell r="H27">
            <v>162765.46977</v>
          </cell>
          <cell r="I27">
            <v>2764372.4845992899</v>
          </cell>
          <cell r="J27">
            <v>1394974.7057225402</v>
          </cell>
          <cell r="K27">
            <v>277055.29676700005</v>
          </cell>
          <cell r="L27">
            <v>97827.852809999982</v>
          </cell>
          <cell r="M27">
            <v>264514.90601999999</v>
          </cell>
          <cell r="N27">
            <v>36469.683338999996</v>
          </cell>
          <cell r="O27">
            <v>56748.070631999988</v>
          </cell>
          <cell r="P27">
            <v>151124.50585499997</v>
          </cell>
          <cell r="Q27">
            <v>282408.70696499996</v>
          </cell>
          <cell r="R27">
            <v>175849.881111</v>
          </cell>
          <cell r="S27">
            <v>2736974.3840735396</v>
          </cell>
          <cell r="T27">
            <v>27398.100525749993</v>
          </cell>
          <cell r="U27">
            <v>136827.64611002995</v>
          </cell>
          <cell r="V27">
            <v>-87308.851529280015</v>
          </cell>
          <cell r="W27">
            <v>-21621.274746000006</v>
          </cell>
          <cell r="X27">
            <v>-118130.63078327998</v>
          </cell>
          <cell r="Y27">
            <v>-101609.88177527998</v>
          </cell>
        </row>
        <row r="29">
          <cell r="B29"/>
        </row>
      </sheetData>
      <sheetData sheetId="7">
        <row r="1">
          <cell r="B1" t="str">
            <v>2017-18</v>
          </cell>
        </row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K16" sqref="K16"/>
    </sheetView>
  </sheetViews>
  <sheetFormatPr defaultRowHeight="45" customHeight="1" x14ac:dyDescent="0.25"/>
  <cols>
    <col min="1" max="1" width="7.5703125" style="1" customWidth="1"/>
    <col min="2" max="2" width="63.7109375" style="1" customWidth="1"/>
    <col min="3" max="3" width="19.42578125" style="2" customWidth="1"/>
    <col min="4" max="4" width="17.5703125" style="1" customWidth="1"/>
    <col min="5" max="5" width="10.7109375" style="1" bestFit="1" customWidth="1"/>
    <col min="6" max="12" width="9.140625" style="1"/>
    <col min="13" max="13" width="11.7109375" style="1" customWidth="1"/>
    <col min="14" max="14" width="12.42578125" style="1" bestFit="1" customWidth="1"/>
    <col min="15" max="16384" width="9.140625" style="1"/>
  </cols>
  <sheetData>
    <row r="1" spans="1:3" ht="24.95" customHeight="1" x14ac:dyDescent="0.25">
      <c r="A1" s="20" t="s">
        <v>19</v>
      </c>
      <c r="B1" s="21"/>
      <c r="C1" s="22"/>
    </row>
    <row r="2" spans="1:3" ht="24.95" customHeight="1" x14ac:dyDescent="0.25">
      <c r="A2" s="23" t="str">
        <f>"TABLE - 1.16 ("&amp;[1]Sheet1!B2&amp;")"</f>
        <v>TABLE - 1.16 (INDIGO)</v>
      </c>
      <c r="B2" s="24"/>
      <c r="C2" s="25"/>
    </row>
    <row r="3" spans="1:3" ht="54.95" customHeight="1" x14ac:dyDescent="0.25">
      <c r="A3" s="29" t="str">
        <f>"OPERATING TRAFFIC STATISTICS AND OTHER PERFORMANCE INDICATORS RELATING TO SCHEDULED TRAFFIC OF "&amp;[1]Sheet1!B2&amp;" DURING "&amp;[1]Sheet1!B1</f>
        <v>OPERATING TRAFFIC STATISTICS AND OTHER PERFORMANCE INDICATORS RELATING TO SCHEDULED TRAFFIC OF INDIGO DURING 2017-18</v>
      </c>
      <c r="B3" s="29"/>
      <c r="C3" s="29"/>
    </row>
    <row r="4" spans="1:3" ht="30" customHeight="1" x14ac:dyDescent="0.25">
      <c r="A4" s="19" t="s">
        <v>18</v>
      </c>
      <c r="B4" s="6" t="s">
        <v>17</v>
      </c>
      <c r="C4" s="18">
        <v>159</v>
      </c>
    </row>
    <row r="5" spans="1:3" ht="30" customHeight="1" x14ac:dyDescent="0.25">
      <c r="A5" s="17">
        <v>2</v>
      </c>
      <c r="B5" s="16" t="s">
        <v>16</v>
      </c>
      <c r="C5" s="15">
        <f>SUM(C6:C11)</f>
        <v>18060</v>
      </c>
    </row>
    <row r="6" spans="1:3" ht="30" customHeight="1" x14ac:dyDescent="0.25">
      <c r="A6" s="26"/>
      <c r="B6" s="14" t="s">
        <v>15</v>
      </c>
      <c r="C6" s="13">
        <f>VLOOKUP([1]Sheet1!$B$2&amp;"P1",'[1]Form D -Personnel processing'!$V$4:$AB$344,5,0)</f>
        <v>2350</v>
      </c>
    </row>
    <row r="7" spans="1:3" ht="30" customHeight="1" x14ac:dyDescent="0.25">
      <c r="A7" s="27"/>
      <c r="B7" s="14" t="s">
        <v>14</v>
      </c>
      <c r="C7" s="13">
        <f>VLOOKUP([1]Sheet1!$B$2&amp;"P2",'[1]Form D -Personnel processing'!$V$4:$AB$344,5,0)</f>
        <v>162</v>
      </c>
    </row>
    <row r="8" spans="1:3" ht="30" customHeight="1" x14ac:dyDescent="0.25">
      <c r="A8" s="27"/>
      <c r="B8" s="14" t="s">
        <v>13</v>
      </c>
      <c r="C8" s="13">
        <f>VLOOKUP([1]Sheet1!$B$2&amp;"P3",'[1]Form D -Personnel processing'!$V$4:$AB$344,5,0)</f>
        <v>4635</v>
      </c>
    </row>
    <row r="9" spans="1:3" ht="30" customHeight="1" x14ac:dyDescent="0.25">
      <c r="A9" s="27"/>
      <c r="B9" s="14" t="s">
        <v>12</v>
      </c>
      <c r="C9" s="13">
        <f>VLOOKUP([1]Sheet1!$B$2&amp;"P4",'[1]Form D -Personnel processing'!$V$4:$AB$344,5,0)</f>
        <v>1273</v>
      </c>
    </row>
    <row r="10" spans="1:3" ht="30" customHeight="1" x14ac:dyDescent="0.25">
      <c r="A10" s="27"/>
      <c r="B10" s="14" t="s">
        <v>11</v>
      </c>
      <c r="C10" s="13">
        <f>VLOOKUP([1]Sheet1!$B$2&amp;"P5",'[1]Form D -Personnel processing'!$V$4:$AB$344,5,0)</f>
        <v>248</v>
      </c>
    </row>
    <row r="11" spans="1:3" ht="30" customHeight="1" x14ac:dyDescent="0.25">
      <c r="A11" s="28"/>
      <c r="B11" s="14" t="s">
        <v>10</v>
      </c>
      <c r="C11" s="13">
        <f>VLOOKUP([1]Sheet1!$B$2&amp;"P6",'[1]Form D -Personnel processing'!$V$4:$AB$344,5,0)</f>
        <v>9392</v>
      </c>
    </row>
    <row r="12" spans="1:3" ht="30" customHeight="1" x14ac:dyDescent="0.25">
      <c r="A12" s="12">
        <v>3</v>
      </c>
      <c r="B12" s="11" t="s">
        <v>9</v>
      </c>
      <c r="C12" s="10">
        <v>113.58490566037736</v>
      </c>
    </row>
    <row r="13" spans="1:3" ht="30" customHeight="1" x14ac:dyDescent="0.25">
      <c r="A13" s="5">
        <v>4</v>
      </c>
      <c r="B13" s="8" t="s">
        <v>8</v>
      </c>
      <c r="C13" s="3">
        <v>12.746892026578072</v>
      </c>
    </row>
    <row r="14" spans="1:3" ht="30" customHeight="1" x14ac:dyDescent="0.25">
      <c r="A14" s="5">
        <v>5</v>
      </c>
      <c r="B14" s="8" t="s">
        <v>7</v>
      </c>
      <c r="C14" s="3">
        <v>11.32018161683278</v>
      </c>
    </row>
    <row r="15" spans="1:3" ht="30" customHeight="1" x14ac:dyDescent="0.25">
      <c r="A15" s="5">
        <v>6</v>
      </c>
      <c r="B15" s="8" t="s">
        <v>6</v>
      </c>
      <c r="C15" s="9">
        <v>4.1461284675773804</v>
      </c>
    </row>
    <row r="16" spans="1:3" ht="30" customHeight="1" x14ac:dyDescent="0.25">
      <c r="A16" s="5">
        <v>7</v>
      </c>
      <c r="B16" s="8" t="s">
        <v>5</v>
      </c>
      <c r="C16" s="9">
        <v>3.6820683160910321</v>
      </c>
    </row>
    <row r="17" spans="1:3" ht="30" customHeight="1" x14ac:dyDescent="0.25">
      <c r="A17" s="5">
        <v>8</v>
      </c>
      <c r="B17" s="8" t="s">
        <v>4</v>
      </c>
      <c r="C17" s="3">
        <f>VLOOKUP([1]Sheet1!$B$2,[1]FormEF_Processing!$A$3:$Z$35,20,0)</f>
        <v>25766.39</v>
      </c>
    </row>
    <row r="18" spans="1:3" ht="30" customHeight="1" x14ac:dyDescent="0.25">
      <c r="A18" s="5">
        <v>9</v>
      </c>
      <c r="B18" s="7" t="s">
        <v>3</v>
      </c>
      <c r="C18" s="3">
        <f>VLOOKUP([1]Sheet1!$B$2,[1]FormEF_Processing!$A$3:$Z$35,21,0)</f>
        <v>5500.38</v>
      </c>
    </row>
    <row r="19" spans="1:3" ht="30" customHeight="1" x14ac:dyDescent="0.25">
      <c r="A19" s="5">
        <v>10</v>
      </c>
      <c r="B19" s="6" t="s">
        <v>2</v>
      </c>
      <c r="C19" s="3">
        <f>VLOOKUP([1]Sheet1!$B$2,[1]FormEF_Processing!$A$3:$Z$35,22,0)</f>
        <v>31266.77</v>
      </c>
    </row>
    <row r="20" spans="1:3" ht="30" customHeight="1" x14ac:dyDescent="0.25">
      <c r="A20" s="5">
        <v>11</v>
      </c>
      <c r="B20" s="6" t="s">
        <v>1</v>
      </c>
      <c r="C20" s="3">
        <f>VLOOKUP([1]Sheet1!$B$2,[1]FormEF_Processing!$A$3:$Z$35,24,0)</f>
        <v>22423.74</v>
      </c>
    </row>
    <row r="21" spans="1:3" ht="34.5" customHeight="1" x14ac:dyDescent="0.25">
      <c r="A21" s="5">
        <v>12</v>
      </c>
      <c r="B21" s="4" t="s">
        <v>0</v>
      </c>
      <c r="C21" s="3">
        <f>VLOOKUP([1]Sheet1!$B$2,[1]FormEF_Processing!$A$3:$Z$35,25,0)</f>
        <v>22423.74</v>
      </c>
    </row>
  </sheetData>
  <mergeCells count="4">
    <mergeCell ref="A1:C1"/>
    <mergeCell ref="A2:C2"/>
    <mergeCell ref="A6:A11"/>
    <mergeCell ref="A3:C3"/>
  </mergeCells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1.16</vt:lpstr>
      <vt:lpstr>'1.16'!Print_Area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2019-04-18T06:19:36Z</dcterms:modified>
</cp:coreProperties>
</file>