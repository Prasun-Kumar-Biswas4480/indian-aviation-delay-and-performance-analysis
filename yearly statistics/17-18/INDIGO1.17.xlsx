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7" sheetId="2" r:id="rId1"/>
  </sheets>
  <externalReferences>
    <externalReference r:id="rId2"/>
  </externalReferences>
  <definedNames>
    <definedName name="\a">'1.17'!#REF!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'1.17'!$A$1:$K$19</definedName>
    <definedName name="Print_Area_MI" localSheetId="0">'1.17'!$A$8:$K$28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C18" i="2"/>
  <c r="D18" i="2"/>
  <c r="E18" i="2"/>
  <c r="F18" i="2"/>
  <c r="G18" i="2"/>
  <c r="H18" i="2"/>
  <c r="I18" i="2"/>
  <c r="J18" i="2"/>
  <c r="K18" i="2" s="1"/>
</calcChain>
</file>

<file path=xl/sharedStrings.xml><?xml version="1.0" encoding="utf-8"?>
<sst xmlns="http://schemas.openxmlformats.org/spreadsheetml/2006/main" count="29" uniqueCount="24">
  <si>
    <r>
      <t xml:space="preserve">   NOTE : YEAR-END AS ON 31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MARCH</t>
    </r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</si>
  <si>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</si>
  <si>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</si>
  <si>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</si>
  <si>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</si>
  <si>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</si>
  <si>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</si>
  <si>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</si>
  <si>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</si>
  <si>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</si>
  <si>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</si>
  <si>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</si>
  <si>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NON-SCHEDULED</t>
  </si>
  <si>
    <t>SCHEDULED</t>
  </si>
  <si>
    <t>ALL FLIGHTS</t>
  </si>
  <si>
    <t>NON REVENUE FLIGHTS</t>
  </si>
  <si>
    <t>REVENUE FLIGHTS</t>
  </si>
  <si>
    <t>HOURS FLOWN PER AIRCRAFT</t>
  </si>
  <si>
    <t>AIRCRAFT HOURS FLOWN</t>
  </si>
  <si>
    <t>NUMBER OF AIRCRAFT DEPARTURES</t>
  </si>
  <si>
    <t>UTILIZATION OF AIRCRAFT DURING THE YEAR</t>
  </si>
  <si>
    <t>NO. OF AIRCRAFT AT  YEAR END</t>
  </si>
  <si>
    <t>YEAR</t>
  </si>
  <si>
    <t xml:space="preserve"> ºÉÉ®hÉÉÒ - 1.17 (इंडिगो)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</si>
</sst>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/>
    <xf numFmtId="164" fontId="5" fillId="2" borderId="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6" fillId="2" borderId="1" xfId="1" quotePrefix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textRotation="180" wrapText="1"/>
    </xf>
    <xf numFmtId="0" fontId="6" fillId="2" borderId="1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textRotation="180" wrapText="1"/>
    </xf>
    <xf numFmtId="0" fontId="7" fillId="2" borderId="7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3" fillId="2" borderId="0" xfId="1" applyFont="1" applyFill="1" applyBorder="1" applyAlignment="1" applyProtection="1">
      <alignment horizontal="left" vertical="center" wrapText="1"/>
    </xf>
    <xf numFmtId="0" fontId="6" fillId="2" borderId="4" xfId="1" quotePrefix="1" applyFont="1" applyFill="1" applyBorder="1" applyAlignment="1" applyProtection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0" fontId="6" fillId="2" borderId="4" xfId="1" applyFont="1" applyFill="1" applyBorder="1" applyAlignment="1" applyProtection="1">
      <alignment horizontal="center" vertical="center" wrapText="1"/>
    </xf>
    <xf numFmtId="0" fontId="6" fillId="2" borderId="3" xfId="1" applyFont="1" applyFill="1" applyBorder="1" applyAlignment="1" applyProtection="1">
      <alignment horizontal="center" vertical="center" wrapText="1"/>
    </xf>
    <xf numFmtId="0" fontId="6" fillId="2" borderId="2" xfId="1" applyFont="1" applyFill="1" applyBorder="1" applyAlignment="1" applyProtection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>
        <row r="3">
          <cell r="A3" t="str">
            <v>Row Labels</v>
          </cell>
          <cell r="B3" t="str">
            <v>Sum of Number of Aircraft  At the end of Year</v>
          </cell>
          <cell r="C3" t="str">
            <v>Sum of No. of aircraft departures Revenue Flights Scheduled</v>
          </cell>
          <cell r="D3" t="str">
            <v>Sum of No. of aircraft departures Revenue Flights Non scheduled</v>
          </cell>
          <cell r="E3" t="str">
            <v>Sum of No. of aircraft departures Non Revenue</v>
          </cell>
          <cell r="F3" t="str">
            <v>Sum of No. of aircraft departures Total All Flights</v>
          </cell>
          <cell r="G3" t="str">
            <v>Sum of Aircraft hours flown Revenue Flights Scheduled</v>
          </cell>
          <cell r="H3" t="str">
            <v>Sum of Aircraft hours flown Revenue Flights Non scheduled</v>
          </cell>
          <cell r="I3" t="str">
            <v>Sum of Aircraft hours flown Non revenue</v>
          </cell>
          <cell r="J3" t="str">
            <v>Sum of Aircraft hours flown Total All Flights</v>
          </cell>
          <cell r="K3" t="str">
            <v/>
          </cell>
          <cell r="L3" t="str">
            <v/>
          </cell>
        </row>
        <row r="4">
          <cell r="A4" t="str">
            <v>INDIGO</v>
          </cell>
          <cell r="B4">
            <v>159</v>
          </cell>
          <cell r="C4">
            <v>347640</v>
          </cell>
          <cell r="D4">
            <v>0</v>
          </cell>
          <cell r="E4"/>
          <cell r="F4">
            <v>347640</v>
          </cell>
          <cell r="G4">
            <v>654039</v>
          </cell>
          <cell r="H4">
            <v>0</v>
          </cell>
          <cell r="I4"/>
          <cell r="J4">
            <v>654039</v>
          </cell>
        </row>
        <row r="5">
          <cell r="A5" t="str">
            <v>(blank)</v>
          </cell>
          <cell r="B5"/>
          <cell r="C5"/>
          <cell r="D5"/>
          <cell r="E5"/>
          <cell r="F5"/>
          <cell r="G5"/>
          <cell r="H5"/>
          <cell r="I5"/>
          <cell r="J5"/>
        </row>
        <row r="6">
          <cell r="A6" t="str">
            <v>GO AIR</v>
          </cell>
          <cell r="B6">
            <v>32</v>
          </cell>
          <cell r="C6">
            <v>69136</v>
          </cell>
          <cell r="D6">
            <v>4</v>
          </cell>
          <cell r="E6"/>
          <cell r="F6">
            <v>69140</v>
          </cell>
          <cell r="G6">
            <v>128085.05</v>
          </cell>
          <cell r="H6">
            <v>6.4</v>
          </cell>
          <cell r="I6"/>
          <cell r="J6">
            <v>128091.45</v>
          </cell>
        </row>
        <row r="7">
          <cell r="A7" t="str">
            <v>AIR INDIA</v>
          </cell>
          <cell r="B7">
            <v>121</v>
          </cell>
          <cell r="C7">
            <v>153498</v>
          </cell>
          <cell r="D7">
            <v>1845</v>
          </cell>
          <cell r="E7"/>
          <cell r="F7">
            <v>155343</v>
          </cell>
          <cell r="G7">
            <v>432211</v>
          </cell>
          <cell r="H7">
            <v>2493</v>
          </cell>
          <cell r="I7"/>
          <cell r="J7">
            <v>434706</v>
          </cell>
        </row>
        <row r="8">
          <cell r="A8" t="str">
            <v>AIR INDIA EXPRESS</v>
          </cell>
          <cell r="B8">
            <v>23</v>
          </cell>
          <cell r="C8">
            <v>28850</v>
          </cell>
          <cell r="D8"/>
          <cell r="E8"/>
          <cell r="F8">
            <v>28850</v>
          </cell>
          <cell r="G8">
            <v>105697</v>
          </cell>
          <cell r="H8"/>
          <cell r="I8"/>
          <cell r="J8">
            <v>105697</v>
          </cell>
        </row>
        <row r="9">
          <cell r="A9" t="str">
            <v>ALLIANCE AIR</v>
          </cell>
          <cell r="B9"/>
          <cell r="C9"/>
          <cell r="D9"/>
          <cell r="E9"/>
          <cell r="F9"/>
          <cell r="G9"/>
          <cell r="H9"/>
          <cell r="I9"/>
          <cell r="J9"/>
        </row>
        <row r="10">
          <cell r="A10" t="str">
            <v>JET AIRWAYS</v>
          </cell>
          <cell r="B10">
            <v>111</v>
          </cell>
          <cell r="C10">
            <v>210818</v>
          </cell>
          <cell r="D10">
            <v>1146</v>
          </cell>
          <cell r="E10"/>
          <cell r="F10">
            <v>211964</v>
          </cell>
          <cell r="G10">
            <v>494026</v>
          </cell>
          <cell r="H10">
            <v>1638</v>
          </cell>
          <cell r="I10"/>
          <cell r="J10">
            <v>495664</v>
          </cell>
        </row>
        <row r="11">
          <cell r="A11" t="str">
            <v>JETLITE</v>
          </cell>
          <cell r="B11">
            <v>7</v>
          </cell>
          <cell r="C11">
            <v>22090</v>
          </cell>
          <cell r="D11">
            <v>15</v>
          </cell>
          <cell r="E11"/>
          <cell r="F11">
            <v>22105</v>
          </cell>
          <cell r="G11">
            <v>35733</v>
          </cell>
          <cell r="H11">
            <v>24</v>
          </cell>
          <cell r="I11"/>
          <cell r="J11">
            <v>35757</v>
          </cell>
        </row>
        <row r="12">
          <cell r="A12" t="str">
            <v>SPICEJET</v>
          </cell>
          <cell r="B12">
            <v>60</v>
          </cell>
          <cell r="C12">
            <v>138311</v>
          </cell>
          <cell r="D12">
            <v>7</v>
          </cell>
          <cell r="E12"/>
          <cell r="F12">
            <v>138318</v>
          </cell>
          <cell r="G12">
            <v>1257729.95</v>
          </cell>
          <cell r="H12">
            <v>11.27</v>
          </cell>
          <cell r="I12"/>
          <cell r="J12">
            <v>197741.11000000002</v>
          </cell>
        </row>
        <row r="13">
          <cell r="A13" t="str">
            <v>AIR COSTA</v>
          </cell>
          <cell r="B13"/>
          <cell r="C13"/>
          <cell r="D13"/>
          <cell r="E13"/>
          <cell r="F13"/>
          <cell r="G13"/>
          <cell r="H13"/>
          <cell r="I13"/>
          <cell r="J13"/>
        </row>
        <row r="14">
          <cell r="A14" t="str">
            <v>AIR ASIA</v>
          </cell>
          <cell r="B14">
            <v>16</v>
          </cell>
          <cell r="C14">
            <v>32904</v>
          </cell>
          <cell r="D14">
            <v>223</v>
          </cell>
          <cell r="E14"/>
          <cell r="F14">
            <v>33127</v>
          </cell>
          <cell r="G14">
            <v>47179</v>
          </cell>
          <cell r="H14">
            <v>171</v>
          </cell>
          <cell r="I14"/>
          <cell r="J14">
            <v>47351</v>
          </cell>
        </row>
        <row r="15">
          <cell r="A15" t="str">
            <v>VISTARA</v>
          </cell>
          <cell r="B15">
            <v>19</v>
          </cell>
          <cell r="C15">
            <v>32878</v>
          </cell>
          <cell r="D15">
            <v>167</v>
          </cell>
          <cell r="E15"/>
          <cell r="F15">
            <v>33045</v>
          </cell>
          <cell r="G15">
            <v>57055.519999999997</v>
          </cell>
          <cell r="H15">
            <v>82</v>
          </cell>
          <cell r="I15"/>
          <cell r="J15">
            <v>57138</v>
          </cell>
        </row>
        <row r="16">
          <cell r="A16" t="str">
            <v xml:space="preserve">BLUE DART </v>
          </cell>
          <cell r="B16">
            <v>12</v>
          </cell>
          <cell r="C16">
            <v>12046</v>
          </cell>
          <cell r="D16">
            <v>250</v>
          </cell>
          <cell r="E16"/>
          <cell r="F16">
            <v>12296</v>
          </cell>
          <cell r="G16">
            <v>16658</v>
          </cell>
          <cell r="H16">
            <v>242</v>
          </cell>
          <cell r="I16"/>
          <cell r="J16">
            <v>16900</v>
          </cell>
        </row>
        <row r="17">
          <cell r="A17" t="str">
            <v>AIR PEGASUS</v>
          </cell>
          <cell r="B17"/>
          <cell r="C17"/>
          <cell r="D17"/>
          <cell r="E17"/>
          <cell r="F17"/>
          <cell r="G17"/>
          <cell r="H17"/>
          <cell r="I17"/>
          <cell r="J17"/>
        </row>
        <row r="18">
          <cell r="A18" t="str">
            <v>TRUEJET</v>
          </cell>
          <cell r="B18">
            <v>4</v>
          </cell>
          <cell r="C18">
            <v>8926</v>
          </cell>
          <cell r="D18">
            <v>0</v>
          </cell>
          <cell r="E18"/>
          <cell r="F18">
            <v>8926</v>
          </cell>
          <cell r="G18">
            <v>11706.539999999999</v>
          </cell>
          <cell r="H18"/>
          <cell r="I18"/>
          <cell r="J18">
            <v>11706.539999999999</v>
          </cell>
        </row>
        <row r="19">
          <cell r="A19" t="str">
            <v>SCHEDULED NATIONAL AIRLINES</v>
          </cell>
          <cell r="B19">
            <v>144</v>
          </cell>
          <cell r="C19">
            <v>182348</v>
          </cell>
          <cell r="D19">
            <v>1845</v>
          </cell>
          <cell r="E19">
            <v>0</v>
          </cell>
          <cell r="F19">
            <v>184193</v>
          </cell>
          <cell r="G19">
            <v>537908</v>
          </cell>
          <cell r="H19">
            <v>2493</v>
          </cell>
          <cell r="I19">
            <v>0</v>
          </cell>
          <cell r="J19">
            <v>540403</v>
          </cell>
        </row>
        <row r="20">
          <cell r="A20" t="str">
            <v>SCHEDULED PRIVATE AIRLINES</v>
          </cell>
          <cell r="B20">
            <v>308</v>
          </cell>
          <cell r="C20">
            <v>633617</v>
          </cell>
          <cell r="D20">
            <v>1275</v>
          </cell>
          <cell r="E20">
            <v>0</v>
          </cell>
          <cell r="F20">
            <v>634892</v>
          </cell>
          <cell r="G20">
            <v>1284479.05</v>
          </cell>
          <cell r="H20">
            <v>1765.3999999999996</v>
          </cell>
          <cell r="I20">
            <v>0</v>
          </cell>
          <cell r="J20">
            <v>1286244.45</v>
          </cell>
        </row>
        <row r="21">
          <cell r="A21" t="str">
            <v>ALL SCHEDULED INDIAN AIRLINES</v>
          </cell>
          <cell r="B21">
            <v>574</v>
          </cell>
          <cell r="C21">
            <v>1058493</v>
          </cell>
          <cell r="D21">
            <v>4332</v>
          </cell>
          <cell r="E21">
            <v>0</v>
          </cell>
          <cell r="F21">
            <v>1062825</v>
          </cell>
          <cell r="G21">
            <v>3241778.43</v>
          </cell>
          <cell r="H21">
            <v>5409.12</v>
          </cell>
          <cell r="I21">
            <v>0</v>
          </cell>
          <cell r="J21">
            <v>2187191.7200000002</v>
          </cell>
        </row>
        <row r="22">
          <cell r="A22" t="str">
            <v>AIR CARNIVAL</v>
          </cell>
          <cell r="B22"/>
          <cell r="C22"/>
          <cell r="D22"/>
          <cell r="E22"/>
          <cell r="F22"/>
          <cell r="G22"/>
          <cell r="H22"/>
          <cell r="I22"/>
          <cell r="J22"/>
        </row>
        <row r="23">
          <cell r="A23" t="str">
            <v>ZOOM AIR</v>
          </cell>
          <cell r="B23">
            <v>5</v>
          </cell>
          <cell r="C23">
            <v>1085</v>
          </cell>
          <cell r="D23">
            <v>111</v>
          </cell>
          <cell r="E23"/>
          <cell r="F23">
            <v>1196</v>
          </cell>
          <cell r="G23">
            <v>1339</v>
          </cell>
          <cell r="H23">
            <v>100</v>
          </cell>
          <cell r="I23"/>
          <cell r="J23">
            <v>1440</v>
          </cell>
        </row>
        <row r="24">
          <cell r="A24" t="str">
            <v>AIR ODDISA</v>
          </cell>
          <cell r="B24">
            <v>2</v>
          </cell>
          <cell r="C24">
            <v>44</v>
          </cell>
          <cell r="D24">
            <v>564</v>
          </cell>
          <cell r="E24"/>
          <cell r="F24">
            <v>608</v>
          </cell>
          <cell r="G24">
            <v>20.37</v>
          </cell>
          <cell r="H24">
            <v>641.45000000000005</v>
          </cell>
          <cell r="I24"/>
          <cell r="J24">
            <v>661.62</v>
          </cell>
        </row>
        <row r="25">
          <cell r="A25" t="str">
            <v>AIR DECCAN</v>
          </cell>
          <cell r="B25">
            <v>3</v>
          </cell>
          <cell r="C25">
            <v>267</v>
          </cell>
          <cell r="D25">
            <v>0</v>
          </cell>
          <cell r="E25"/>
          <cell r="F25">
            <v>267</v>
          </cell>
          <cell r="G25">
            <v>299</v>
          </cell>
          <cell r="H25">
            <v>0</v>
          </cell>
          <cell r="I25"/>
          <cell r="J25">
            <v>299</v>
          </cell>
        </row>
        <row r="26">
          <cell r="A26" t="str">
            <v>Grand Total</v>
          </cell>
          <cell r="B26">
            <v>1600</v>
          </cell>
          <cell r="C26">
            <v>2932951</v>
          </cell>
          <cell r="D26">
            <v>11784</v>
          </cell>
          <cell r="E26">
            <v>0</v>
          </cell>
          <cell r="F26">
            <v>2944735</v>
          </cell>
          <cell r="G26">
            <v>8305943.9100000011</v>
          </cell>
          <cell r="H26">
            <v>15076.64</v>
          </cell>
          <cell r="I26">
            <v>0</v>
          </cell>
          <cell r="J26">
            <v>6201030.8899999997</v>
          </cell>
        </row>
      </sheetData>
      <sheetData sheetId="5"/>
      <sheetData sheetId="6"/>
      <sheetData sheetId="7">
        <row r="1">
          <cell r="B1" t="str">
            <v>2017-18</v>
          </cell>
        </row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" transitionEvaluation="1" transitionEntry="1" codeName="Sheet10">
    <tabColor theme="9" tint="0.59999389629810485"/>
  </sheetPr>
  <dimension ref="A1:K19"/>
  <sheetViews>
    <sheetView showGridLines="0" tabSelected="1" view="pageBreakPreview" topLeftCell="A4" zoomScaleNormal="100" zoomScaleSheetLayoutView="100" workbookViewId="0">
      <selection activeCell="N13" sqref="N13"/>
    </sheetView>
  </sheetViews>
  <sheetFormatPr defaultColWidth="11" defaultRowHeight="54.95" customHeight="1" x14ac:dyDescent="0.2"/>
  <cols>
    <col min="1" max="1" width="10.42578125" style="1" customWidth="1"/>
    <col min="2" max="2" width="5.5703125" style="1" customWidth="1"/>
    <col min="3" max="3" width="10" style="1" customWidth="1"/>
    <col min="4" max="4" width="11.42578125" style="1" customWidth="1"/>
    <col min="5" max="5" width="5.7109375" style="1" customWidth="1"/>
    <col min="6" max="6" width="10.140625" style="1" customWidth="1"/>
    <col min="7" max="7" width="10.7109375" style="1" customWidth="1"/>
    <col min="8" max="8" width="10" style="1" customWidth="1"/>
    <col min="9" max="9" width="5.7109375" style="1" customWidth="1"/>
    <col min="10" max="10" width="10.140625" style="1" customWidth="1"/>
    <col min="11" max="11" width="9.85546875" style="1" customWidth="1"/>
    <col min="12" max="16384" width="11" style="1"/>
  </cols>
  <sheetData>
    <row r="1" spans="1:11" ht="24.95" customHeight="1" x14ac:dyDescent="0.2">
      <c r="A1" s="9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24.95" customHeight="1" x14ac:dyDescent="0.2">
      <c r="A2" s="13" t="str">
        <f>"TABLE - 1.17 ("&amp;[1]Sheet1!B2&amp;")"</f>
        <v>TABLE - 1.17 (INDIGO)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36.75" customHeight="1" x14ac:dyDescent="0.2">
      <c r="A3" s="17" t="str">
        <f>"TIME SERIES DATA ON FLEET STRENGTH AND UTILISATION OF AIRCRAFT BY "&amp;[1]Sheet1!B2</f>
        <v>TIME SERIES DATA ON FLEET STRENGTH AND UTILISATION OF AIRCRAFT BY INDIGO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.75" x14ac:dyDescent="0.2">
      <c r="A4" s="16" t="s">
        <v>22</v>
      </c>
      <c r="B4" s="8" t="s">
        <v>21</v>
      </c>
      <c r="C4" s="7" t="s">
        <v>20</v>
      </c>
      <c r="D4" s="20"/>
      <c r="E4" s="20"/>
      <c r="F4" s="20"/>
      <c r="G4" s="20"/>
      <c r="H4" s="20"/>
      <c r="I4" s="20"/>
      <c r="J4" s="20"/>
      <c r="K4" s="20"/>
    </row>
    <row r="5" spans="1:11" ht="34.5" customHeight="1" x14ac:dyDescent="0.2">
      <c r="A5" s="16"/>
      <c r="B5" s="8"/>
      <c r="C5" s="7" t="s">
        <v>19</v>
      </c>
      <c r="D5" s="7"/>
      <c r="E5" s="7"/>
      <c r="F5" s="7"/>
      <c r="G5" s="16" t="s">
        <v>18</v>
      </c>
      <c r="H5" s="16"/>
      <c r="I5" s="16"/>
      <c r="J5" s="16"/>
      <c r="K5" s="8" t="s">
        <v>17</v>
      </c>
    </row>
    <row r="6" spans="1:11" ht="34.5" customHeight="1" x14ac:dyDescent="0.2">
      <c r="A6" s="16"/>
      <c r="B6" s="8"/>
      <c r="C6" s="7" t="s">
        <v>16</v>
      </c>
      <c r="D6" s="7"/>
      <c r="E6" s="8" t="s">
        <v>15</v>
      </c>
      <c r="F6" s="8" t="s">
        <v>14</v>
      </c>
      <c r="G6" s="7" t="s">
        <v>16</v>
      </c>
      <c r="H6" s="7"/>
      <c r="I6" s="8" t="s">
        <v>15</v>
      </c>
      <c r="J6" s="8" t="s">
        <v>14</v>
      </c>
      <c r="K6" s="8"/>
    </row>
    <row r="7" spans="1:11" ht="75" x14ac:dyDescent="0.2">
      <c r="A7" s="16"/>
      <c r="B7" s="8"/>
      <c r="C7" s="6" t="s">
        <v>13</v>
      </c>
      <c r="D7" s="6" t="s">
        <v>12</v>
      </c>
      <c r="E7" s="8"/>
      <c r="F7" s="8"/>
      <c r="G7" s="6" t="s">
        <v>13</v>
      </c>
      <c r="H7" s="6" t="s">
        <v>12</v>
      </c>
      <c r="I7" s="8"/>
      <c r="J7" s="8"/>
      <c r="K7" s="8"/>
    </row>
    <row r="8" spans="1:11" ht="24.95" customHeight="1" x14ac:dyDescent="0.2">
      <c r="A8" s="5" t="s">
        <v>11</v>
      </c>
      <c r="B8" s="4">
        <v>17</v>
      </c>
      <c r="C8" s="3">
        <v>30225</v>
      </c>
      <c r="D8" s="3">
        <v>0</v>
      </c>
      <c r="E8" s="3">
        <v>0</v>
      </c>
      <c r="F8" s="3">
        <v>30225</v>
      </c>
      <c r="G8" s="3">
        <v>54540</v>
      </c>
      <c r="H8" s="3">
        <v>0</v>
      </c>
      <c r="I8" s="3">
        <v>0</v>
      </c>
      <c r="J8" s="3">
        <v>54540</v>
      </c>
      <c r="K8" s="2">
        <v>3208.2352941176468</v>
      </c>
    </row>
    <row r="9" spans="1:11" ht="24.95" customHeight="1" x14ac:dyDescent="0.2">
      <c r="A9" s="5" t="s">
        <v>10</v>
      </c>
      <c r="B9" s="4">
        <v>19</v>
      </c>
      <c r="C9" s="3">
        <v>40199</v>
      </c>
      <c r="D9" s="3">
        <v>0</v>
      </c>
      <c r="E9" s="3">
        <v>0</v>
      </c>
      <c r="F9" s="3">
        <v>40199</v>
      </c>
      <c r="G9" s="3">
        <v>73338</v>
      </c>
      <c r="H9" s="3">
        <v>0</v>
      </c>
      <c r="I9" s="3">
        <v>0</v>
      </c>
      <c r="J9" s="3">
        <v>73338</v>
      </c>
      <c r="K9" s="2">
        <v>3859.8947368421054</v>
      </c>
    </row>
    <row r="10" spans="1:11" ht="24.95" customHeight="1" x14ac:dyDescent="0.2">
      <c r="A10" s="5" t="s">
        <v>9</v>
      </c>
      <c r="B10" s="4">
        <v>25</v>
      </c>
      <c r="C10" s="3">
        <v>51520</v>
      </c>
      <c r="D10" s="3">
        <v>0</v>
      </c>
      <c r="E10" s="3">
        <v>0</v>
      </c>
      <c r="F10" s="3">
        <v>51520</v>
      </c>
      <c r="G10" s="3">
        <v>93490</v>
      </c>
      <c r="H10" s="3">
        <v>0</v>
      </c>
      <c r="I10" s="3">
        <v>0</v>
      </c>
      <c r="J10" s="3">
        <v>93490</v>
      </c>
      <c r="K10" s="2">
        <v>3739.6</v>
      </c>
    </row>
    <row r="11" spans="1:11" ht="24.95" customHeight="1" x14ac:dyDescent="0.2">
      <c r="A11" s="5" t="s">
        <v>8</v>
      </c>
      <c r="B11" s="4">
        <v>38</v>
      </c>
      <c r="C11" s="3">
        <v>69423</v>
      </c>
      <c r="D11" s="3">
        <v>0</v>
      </c>
      <c r="E11" s="3">
        <v>0</v>
      </c>
      <c r="F11" s="3">
        <v>69423</v>
      </c>
      <c r="G11" s="3">
        <v>125014</v>
      </c>
      <c r="H11" s="3">
        <v>0</v>
      </c>
      <c r="I11" s="3">
        <v>0</v>
      </c>
      <c r="J11" s="3">
        <v>125014</v>
      </c>
      <c r="K11" s="2">
        <v>3289.8421052631579</v>
      </c>
    </row>
    <row r="12" spans="1:11" ht="24.95" customHeight="1" x14ac:dyDescent="0.2">
      <c r="A12" s="5" t="s">
        <v>7</v>
      </c>
      <c r="B12" s="4">
        <v>55</v>
      </c>
      <c r="C12" s="3">
        <v>98416</v>
      </c>
      <c r="D12" s="3">
        <v>0</v>
      </c>
      <c r="E12" s="3">
        <v>0</v>
      </c>
      <c r="F12" s="3">
        <v>98416</v>
      </c>
      <c r="G12" s="3">
        <v>173159</v>
      </c>
      <c r="H12" s="3">
        <v>0</v>
      </c>
      <c r="I12" s="3">
        <v>0</v>
      </c>
      <c r="J12" s="3">
        <v>173159</v>
      </c>
      <c r="K12" s="2">
        <v>3148.3454545454547</v>
      </c>
    </row>
    <row r="13" spans="1:11" ht="24.95" customHeight="1" x14ac:dyDescent="0.2">
      <c r="A13" s="5" t="s">
        <v>6</v>
      </c>
      <c r="B13" s="4">
        <v>66</v>
      </c>
      <c r="C13" s="3">
        <v>131237</v>
      </c>
      <c r="D13" s="3">
        <v>0</v>
      </c>
      <c r="E13" s="3">
        <v>0</v>
      </c>
      <c r="F13" s="3">
        <v>131237</v>
      </c>
      <c r="G13" s="3">
        <v>209053</v>
      </c>
      <c r="H13" s="3">
        <v>0</v>
      </c>
      <c r="I13" s="3">
        <v>0</v>
      </c>
      <c r="J13" s="3">
        <v>209053</v>
      </c>
      <c r="K13" s="2">
        <v>3167.469696969697</v>
      </c>
    </row>
    <row r="14" spans="1:11" ht="24.95" customHeight="1" x14ac:dyDescent="0.2">
      <c r="A14" s="5" t="s">
        <v>5</v>
      </c>
      <c r="B14" s="4">
        <v>77</v>
      </c>
      <c r="C14" s="3">
        <v>158488</v>
      </c>
      <c r="D14" s="3">
        <v>0</v>
      </c>
      <c r="E14" s="3">
        <v>0</v>
      </c>
      <c r="F14" s="3">
        <v>158488</v>
      </c>
      <c r="G14" s="3">
        <v>297653</v>
      </c>
      <c r="H14" s="3">
        <v>0</v>
      </c>
      <c r="I14" s="3">
        <v>0</v>
      </c>
      <c r="J14" s="3">
        <v>297653</v>
      </c>
      <c r="K14" s="2">
        <v>3865.6233766233768</v>
      </c>
    </row>
    <row r="15" spans="1:11" ht="24.95" customHeight="1" x14ac:dyDescent="0.2">
      <c r="A15" s="5" t="s">
        <v>4</v>
      </c>
      <c r="B15" s="4">
        <v>94</v>
      </c>
      <c r="C15" s="3">
        <v>192920</v>
      </c>
      <c r="D15" s="3">
        <v>0</v>
      </c>
      <c r="E15" s="3">
        <v>0</v>
      </c>
      <c r="F15" s="3">
        <v>192920</v>
      </c>
      <c r="G15" s="3">
        <v>354276</v>
      </c>
      <c r="H15" s="3">
        <v>0</v>
      </c>
      <c r="I15" s="3">
        <v>0</v>
      </c>
      <c r="J15" s="3">
        <v>354276</v>
      </c>
      <c r="K15" s="2">
        <v>3768.8936170212764</v>
      </c>
    </row>
    <row r="16" spans="1:11" ht="24.95" customHeight="1" x14ac:dyDescent="0.2">
      <c r="A16" s="5" t="s">
        <v>3</v>
      </c>
      <c r="B16" s="4">
        <v>107</v>
      </c>
      <c r="C16" s="3">
        <v>236385</v>
      </c>
      <c r="D16" s="3">
        <v>12</v>
      </c>
      <c r="E16" s="3">
        <v>0</v>
      </c>
      <c r="F16" s="3">
        <v>236397</v>
      </c>
      <c r="G16" s="3">
        <v>436739</v>
      </c>
      <c r="H16" s="3">
        <v>19</v>
      </c>
      <c r="I16" s="3">
        <v>0</v>
      </c>
      <c r="J16" s="3">
        <v>436758</v>
      </c>
      <c r="K16" s="2">
        <v>4081.8504672897197</v>
      </c>
    </row>
    <row r="17" spans="1:11" ht="24.95" customHeight="1" x14ac:dyDescent="0.2">
      <c r="A17" s="5" t="s">
        <v>2</v>
      </c>
      <c r="B17" s="4">
        <v>131</v>
      </c>
      <c r="C17" s="3">
        <v>300526</v>
      </c>
      <c r="D17" s="3">
        <v>0</v>
      </c>
      <c r="E17" s="3">
        <v>0</v>
      </c>
      <c r="F17" s="3">
        <v>300526</v>
      </c>
      <c r="G17" s="3">
        <v>558565</v>
      </c>
      <c r="H17" s="3">
        <v>0</v>
      </c>
      <c r="I17" s="3">
        <v>0</v>
      </c>
      <c r="J17" s="3">
        <v>558565</v>
      </c>
      <c r="K17" s="2">
        <v>4263.8549618320612</v>
      </c>
    </row>
    <row r="18" spans="1:11" ht="24.95" customHeight="1" x14ac:dyDescent="0.2">
      <c r="A18" s="5" t="s">
        <v>1</v>
      </c>
      <c r="B18" s="4">
        <v>159</v>
      </c>
      <c r="C18" s="3">
        <f>VLOOKUP([1]Sheet1!$B$2,'[1]Form D-Fleet _Process'!$A$3:$L$40,3,0)</f>
        <v>347640</v>
      </c>
      <c r="D18" s="3">
        <f>VLOOKUP([1]Sheet1!$B$2,'[1]Form D-Fleet _Process'!$A$3:$L$40,4,0)</f>
        <v>0</v>
      </c>
      <c r="E18" s="3">
        <f>VLOOKUP([1]Sheet1!$B$2,'[1]Form D-Fleet _Process'!$A$3:$L$40,5,0)</f>
        <v>0</v>
      </c>
      <c r="F18" s="3">
        <f>VLOOKUP([1]Sheet1!$B$2,'[1]Form D-Fleet _Process'!$A$3:$L$40,6,0)</f>
        <v>347640</v>
      </c>
      <c r="G18" s="3">
        <f>VLOOKUP([1]Sheet1!$B$2,'[1]Form D-Fleet _Process'!$A$3:$J$40,7,0)</f>
        <v>654039</v>
      </c>
      <c r="H18" s="3">
        <f>VLOOKUP([1]Sheet1!$B$2,'[1]Form D-Fleet _Process'!$A$3:$J$40,8,0)</f>
        <v>0</v>
      </c>
      <c r="I18" s="3">
        <f>VLOOKUP([1]Sheet1!$B$2,'[1]Form D-Fleet _Process'!$A$3:$J$40,9,0)</f>
        <v>0</v>
      </c>
      <c r="J18" s="3">
        <f>VLOOKUP([1]Sheet1!$B$2,'[1]Form D-Fleet _Process'!$A$3:$J$40,10,0)</f>
        <v>654039</v>
      </c>
      <c r="K18" s="2">
        <f>J18/B18</f>
        <v>4113.4528301886794</v>
      </c>
    </row>
    <row r="19" spans="1:11" ht="24.95" customHeight="1" x14ac:dyDescent="0.2">
      <c r="A19" s="12" t="s">
        <v>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</sheetData>
  <mergeCells count="16">
    <mergeCell ref="A1:K1"/>
    <mergeCell ref="A19:K19"/>
    <mergeCell ref="A2:K2"/>
    <mergeCell ref="A4:A7"/>
    <mergeCell ref="B4:B7"/>
    <mergeCell ref="K5:K7"/>
    <mergeCell ref="A3:K3"/>
    <mergeCell ref="G5:J5"/>
    <mergeCell ref="C4:K4"/>
    <mergeCell ref="C5:F5"/>
    <mergeCell ref="C6:D6"/>
    <mergeCell ref="E6:E7"/>
    <mergeCell ref="F6:F7"/>
    <mergeCell ref="G6:H6"/>
    <mergeCell ref="J6:J7"/>
    <mergeCell ref="I6:I7"/>
  </mergeCells>
  <pageMargins left="0.59" right="0.48" top="0.49" bottom="0" header="0.28000000000000003" footer="0.75"/>
  <pageSetup scale="94" firstPageNumber="131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1.17</vt:lpstr>
      <vt:lpstr>'1.17'!Print_Area</vt:lpstr>
      <vt:lpstr>'1.17'!Print_Area_MI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2019-04-18T06:25:22Z</dcterms:modified>
</cp:coreProperties>
</file>