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4" sheetId="2" r:id="rId1"/>
  </sheets>
  <externalReferences>
    <externalReference r:id="rId2"/>
    <externalReference r:id="rId3"/>
    <externalReference r:id="rId4"/>
  </externalReferences>
  <definedNames>
    <definedName name="\a" localSheetId="0">'[1]1.11'!#REF!</definedName>
    <definedName name="\a">'[2]1.17'!#REF!</definedName>
    <definedName name="\b">#REF!</definedName>
    <definedName name="D_Fleet">OFFSET(#REF!,COUNTA(#REF!)-1,COUNTA(#REF!),0,0)</definedName>
    <definedName name="name_Operator">OFFSET([3]Sheet1!$O$2,0,0,20,0)</definedName>
    <definedName name="Operator">[3]Sheet1!$O$2:$O$26</definedName>
    <definedName name="_xlnm.Print_Area" localSheetId="0">'1.24'!$A$1:$C$17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17" i="2"/>
  <c r="C17" i="2"/>
</calcChain>
</file>

<file path=xl/sharedStrings.xml><?xml version="1.0" encoding="utf-8"?>
<sst xmlns="http://schemas.openxmlformats.org/spreadsheetml/2006/main" count="15" uniqueCount="15">
  <si>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</si>
  <si>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</si>
  <si>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</si>
  <si>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</si>
  <si>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</si>
  <si>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</si>
  <si>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</si>
  <si>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</si>
  <si>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</si>
  <si>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</si>
  <si>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</si>
  <si>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OPERATING EXPENSES PER REVENUE PASSSENGER KILOMETRE PERFORMED                         (IN RS.)</t>
  </si>
  <si>
    <t>OPERATING REVENUE PER REVENUE PASSSENGER KILOMETRE PERFORMED                      (IN RS.)</t>
  </si>
  <si>
    <t>YEAR</t>
  </si>
  <si>
    <t xml:space="preserve"> ºÉÉ®hÉÉÒ - 1.24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</si>
</sst>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</font>
    <font>
      <b/>
      <sz val="12"/>
      <name val="Calibri Light"/>
      <family val="1"/>
      <scheme val="major"/>
    </font>
    <font>
      <b/>
      <sz val="18"/>
      <name val="Aryan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9">
    <xf numFmtId="0" fontId="0" fillId="0" borderId="0" xfId="0"/>
    <xf numFmtId="0" fontId="2" fillId="0" borderId="0" xfId="1" applyFont="1" applyBorder="1"/>
    <xf numFmtId="4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" fontId="1" fillId="0" borderId="0" xfId="2" applyNumberFormat="1" applyFont="1"/>
    <xf numFmtId="0" fontId="2" fillId="0" borderId="0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CHIKA%20GUPTA\Desktop\2012-13\alliance%20air\1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  <cell r="B4">
            <v>46026.945800000001</v>
          </cell>
          <cell r="C4">
            <v>41362.555999999997</v>
          </cell>
          <cell r="D4">
            <v>38548.79</v>
          </cell>
          <cell r="E4">
            <v>35917.201000000001</v>
          </cell>
          <cell r="F4"/>
          <cell r="G4">
            <v>7780.4115000000002</v>
          </cell>
          <cell r="H4">
            <v>7269.8709999999992</v>
          </cell>
          <cell r="I4">
            <v>6854.2730000000001</v>
          </cell>
          <cell r="J4">
            <v>6556.5739999999996</v>
          </cell>
          <cell r="K4"/>
          <cell r="L4">
            <v>5395.7447000000002</v>
          </cell>
          <cell r="M4">
            <v>4738.9710000000005</v>
          </cell>
          <cell r="N4">
            <v>4363.6939999999995</v>
          </cell>
        </row>
        <row r="5">
          <cell r="A5" t="str">
            <v>AIR INDIA EXPRESS</v>
          </cell>
          <cell r="B5">
            <v>10054.173306000001</v>
          </cell>
          <cell r="C5">
            <v>8786.4643199999991</v>
          </cell>
          <cell r="D5">
            <v>7189.0639999999994</v>
          </cell>
          <cell r="E5">
            <v>6639.1989999999996</v>
          </cell>
          <cell r="F5"/>
          <cell r="G5">
            <v>1276.42021</v>
          </cell>
          <cell r="H5">
            <v>1079.78250045</v>
          </cell>
          <cell r="I5">
            <v>817.54654000000005</v>
          </cell>
          <cell r="J5">
            <v>659.40926999999999</v>
          </cell>
          <cell r="K5"/>
          <cell r="L5">
            <v>999.0752301</v>
          </cell>
          <cell r="M5">
            <v>836.16273199</v>
          </cell>
          <cell r="N5">
            <v>672.25060000000008</v>
          </cell>
        </row>
        <row r="6">
          <cell r="A6" t="str">
            <v>ALLIANCE AIR</v>
          </cell>
          <cell r="B6">
            <v>570.33299999999997</v>
          </cell>
          <cell r="C6">
            <v>323.77000000000004</v>
          </cell>
          <cell r="D6">
            <v>227.98400000000001</v>
          </cell>
          <cell r="E6">
            <v>197.91500000000002</v>
          </cell>
          <cell r="F6"/>
          <cell r="G6">
            <v>67.221999999999994</v>
          </cell>
          <cell r="H6">
            <v>45.115000000000002</v>
          </cell>
          <cell r="I6">
            <v>32.778999999999996</v>
          </cell>
          <cell r="J6">
            <v>30.779</v>
          </cell>
          <cell r="K6"/>
          <cell r="L6">
            <v>51.369</v>
          </cell>
          <cell r="M6">
            <v>29.361000000000001</v>
          </cell>
          <cell r="N6">
            <v>20.162000000000003</v>
          </cell>
        </row>
        <row r="7">
          <cell r="A7" t="str">
            <v>AIR ASIA</v>
          </cell>
          <cell r="B7">
            <v>4751.7145099999998</v>
          </cell>
          <cell r="C7">
            <v>2799.3469999999998</v>
          </cell>
          <cell r="D7">
            <v>1882.694</v>
          </cell>
          <cell r="E7">
            <v>416.82832100000002</v>
          </cell>
          <cell r="F7"/>
          <cell r="G7">
            <v>811.96762999999999</v>
          </cell>
          <cell r="H7">
            <v>488.23099999999988</v>
          </cell>
          <cell r="I7">
            <v>355.22490000000005</v>
          </cell>
          <cell r="J7">
            <v>81.72760000000001</v>
          </cell>
          <cell r="K7"/>
          <cell r="L7">
            <v>393.14215000000002</v>
          </cell>
          <cell r="M7">
            <v>240.77869999999999</v>
          </cell>
          <cell r="N7">
            <v>174.93870000000001</v>
          </cell>
        </row>
        <row r="8">
          <cell r="A8" t="str">
            <v>AIR CARNIVAL</v>
          </cell>
          <cell r="B8">
            <v>0.42136800000000002</v>
          </cell>
          <cell r="C8">
            <v>30.78407</v>
          </cell>
          <cell r="D8">
            <v>0</v>
          </cell>
          <cell r="E8">
            <v>0</v>
          </cell>
          <cell r="F8"/>
          <cell r="G8">
            <v>5.8000000000000003E-2</v>
          </cell>
          <cell r="H8">
            <v>4.5532977800000003</v>
          </cell>
          <cell r="I8">
            <v>0</v>
          </cell>
          <cell r="J8">
            <v>0</v>
          </cell>
          <cell r="K8"/>
          <cell r="L8">
            <v>3.3000000000000002E-2</v>
          </cell>
          <cell r="M8">
            <v>2.4024269999999999</v>
          </cell>
          <cell r="N8">
            <v>0</v>
          </cell>
        </row>
        <row r="9">
          <cell r="A9" t="str">
            <v>AIR COSTA</v>
          </cell>
          <cell r="B9"/>
          <cell r="C9">
            <v>515.40345999999988</v>
          </cell>
          <cell r="D9">
            <v>585.62740999999994</v>
          </cell>
          <cell r="E9">
            <v>559.47800000000007</v>
          </cell>
          <cell r="F9"/>
          <cell r="G9"/>
          <cell r="H9">
            <v>70.143959999999993</v>
          </cell>
          <cell r="I9">
            <v>76.347430000000003</v>
          </cell>
          <cell r="J9">
            <v>108.0928</v>
          </cell>
          <cell r="K9"/>
          <cell r="L9"/>
          <cell r="M9">
            <v>53.23586000000001</v>
          </cell>
          <cell r="N9">
            <v>60.238900000000001</v>
          </cell>
        </row>
        <row r="10">
          <cell r="A10" t="str">
            <v>AIR DECCAN</v>
          </cell>
          <cell r="B10">
            <v>0.82022499999999998</v>
          </cell>
          <cell r="C10"/>
          <cell r="D10"/>
          <cell r="E10"/>
          <cell r="F10"/>
          <cell r="G10">
            <v>0.187832</v>
          </cell>
          <cell r="H10"/>
          <cell r="I10"/>
          <cell r="J10"/>
          <cell r="K10"/>
          <cell r="L10">
            <v>6.6309999999999994E-2</v>
          </cell>
          <cell r="M10"/>
          <cell r="N10"/>
        </row>
        <row r="11">
          <cell r="A11" t="str">
            <v>AIR ODDISA</v>
          </cell>
          <cell r="B11">
            <v>3.4759999999999999E-2</v>
          </cell>
          <cell r="C11"/>
          <cell r="D11"/>
          <cell r="E11"/>
          <cell r="F11"/>
          <cell r="G11">
            <v>0.16075</v>
          </cell>
          <cell r="H11"/>
          <cell r="I11"/>
          <cell r="J11"/>
          <cell r="K11"/>
          <cell r="L11">
            <v>2.9430000000000001E-2</v>
          </cell>
          <cell r="M11"/>
          <cell r="N11"/>
        </row>
        <row r="12">
          <cell r="A12" t="str">
            <v>AIR PEGASUS</v>
          </cell>
          <cell r="B12"/>
          <cell r="C12">
            <v>27.986969999999999</v>
          </cell>
          <cell r="D12">
            <v>73.535139000000001</v>
          </cell>
          <cell r="E12">
            <v>0</v>
          </cell>
          <cell r="F12"/>
          <cell r="G12"/>
          <cell r="H12">
            <v>3.0897800000000002</v>
          </cell>
          <cell r="I12">
            <v>13.141699585000001</v>
          </cell>
          <cell r="J12">
            <v>0</v>
          </cell>
          <cell r="K12"/>
          <cell r="L12"/>
          <cell r="M12">
            <v>2.1911300000000002</v>
          </cell>
          <cell r="N12">
            <v>8.9104910000000004</v>
          </cell>
        </row>
        <row r="13">
          <cell r="A13" t="str">
            <v>BLUEDART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/>
          <cell r="G13">
            <v>188.71561800000001</v>
          </cell>
          <cell r="H13">
            <v>197.23577899999998</v>
          </cell>
          <cell r="I13">
            <v>181.41250300000002</v>
          </cell>
          <cell r="J13">
            <v>158.17441400000001</v>
          </cell>
          <cell r="K13"/>
          <cell r="L13">
            <v>130.042359</v>
          </cell>
          <cell r="M13">
            <v>131.15425200000001</v>
          </cell>
          <cell r="N13">
            <v>123.87599499999999</v>
          </cell>
        </row>
        <row r="14">
          <cell r="A14" t="str">
            <v>GO AIR</v>
          </cell>
          <cell r="B14">
            <v>10284.928599999999</v>
          </cell>
          <cell r="C14">
            <v>8066.52</v>
          </cell>
          <cell r="D14">
            <v>6764.7270000000008</v>
          </cell>
          <cell r="E14">
            <v>6217.6119999999992</v>
          </cell>
          <cell r="F14"/>
          <cell r="G14">
            <v>1237.3373999999999</v>
          </cell>
          <cell r="H14">
            <v>985.3889999999999</v>
          </cell>
          <cell r="I14">
            <v>870.55899999999997</v>
          </cell>
          <cell r="J14">
            <v>845.971</v>
          </cell>
          <cell r="K14"/>
          <cell r="L14">
            <v>951.6096</v>
          </cell>
          <cell r="M14">
            <v>782.80199999999991</v>
          </cell>
          <cell r="N14">
            <v>670.87800000000004</v>
          </cell>
        </row>
        <row r="15">
          <cell r="A15" t="str">
            <v>INDIGO</v>
          </cell>
          <cell r="B15">
            <v>55523.815000000002</v>
          </cell>
          <cell r="C15">
            <v>46288.306999999993</v>
          </cell>
          <cell r="D15">
            <v>35968.266000000003</v>
          </cell>
          <cell r="E15">
            <v>28177.470999999998</v>
          </cell>
          <cell r="F15"/>
          <cell r="G15">
            <v>6890.4937499999996</v>
          </cell>
          <cell r="H15">
            <v>5935.1954999999998</v>
          </cell>
          <cell r="I15">
            <v>4595.1000000000004</v>
          </cell>
          <cell r="J15">
            <v>3572.0729999999994</v>
          </cell>
          <cell r="K15"/>
          <cell r="L15">
            <v>5274.5339200000008</v>
          </cell>
          <cell r="M15">
            <v>4397.6465599999992</v>
          </cell>
          <cell r="N15">
            <v>3435.6370000000006</v>
          </cell>
        </row>
        <row r="16">
          <cell r="A16" t="str">
            <v>JET AIRWAYS</v>
          </cell>
          <cell r="B16">
            <v>46414.343399999998</v>
          </cell>
          <cell r="C16">
            <v>41062.541999999994</v>
          </cell>
          <cell r="D16">
            <v>39171.212</v>
          </cell>
          <cell r="E16">
            <v>34416.956000000006</v>
          </cell>
          <cell r="F16"/>
          <cell r="G16">
            <v>7001.2006000000001</v>
          </cell>
          <cell r="H16">
            <v>6071.49</v>
          </cell>
          <cell r="I16">
            <v>5623.8130000000001</v>
          </cell>
          <cell r="J16">
            <v>5090.232</v>
          </cell>
          <cell r="K16"/>
          <cell r="L16">
            <v>4948.3556999999992</v>
          </cell>
          <cell r="M16">
            <v>4215.6269999999995</v>
          </cell>
          <cell r="N16">
            <v>3973.395</v>
          </cell>
        </row>
        <row r="17">
          <cell r="A17" t="str">
            <v>JETLITE</v>
          </cell>
          <cell r="B17">
            <v>2260.0964999999997</v>
          </cell>
          <cell r="C17">
            <v>2396.5980000000004</v>
          </cell>
          <cell r="D17">
            <v>2125.3580000000002</v>
          </cell>
          <cell r="E17">
            <v>2423.4580000000001</v>
          </cell>
          <cell r="F17"/>
          <cell r="G17">
            <v>264.71540000000005</v>
          </cell>
          <cell r="H17">
            <v>296.20999999999998</v>
          </cell>
          <cell r="I17">
            <v>267.029</v>
          </cell>
          <cell r="J17">
            <v>298.79500000000007</v>
          </cell>
          <cell r="K17"/>
          <cell r="L17">
            <v>204.82130000000001</v>
          </cell>
          <cell r="M17">
            <v>217.227</v>
          </cell>
          <cell r="N17">
            <v>190.95199999999997</v>
          </cell>
        </row>
        <row r="18">
          <cell r="A18" t="str">
            <v>QUIKJET CARGO</v>
          </cell>
          <cell r="B18"/>
          <cell r="C18">
            <v>0</v>
          </cell>
          <cell r="D18">
            <v>0</v>
          </cell>
          <cell r="E18">
            <v>0</v>
          </cell>
          <cell r="F18"/>
          <cell r="G18"/>
          <cell r="H18">
            <v>3.8555530000000005</v>
          </cell>
          <cell r="I18">
            <v>0</v>
          </cell>
          <cell r="J18">
            <v>0</v>
          </cell>
          <cell r="K18"/>
          <cell r="L18"/>
          <cell r="M18">
            <v>1.2212399999999999</v>
          </cell>
          <cell r="N18">
            <v>0</v>
          </cell>
        </row>
        <row r="19">
          <cell r="A19" t="str">
            <v>SPICEJET</v>
          </cell>
          <cell r="B19">
            <v>18254.3001</v>
          </cell>
          <cell r="C19">
            <v>15056.481736</v>
          </cell>
          <cell r="D19">
            <v>11699.948881</v>
          </cell>
          <cell r="E19">
            <v>11832.673453999998</v>
          </cell>
          <cell r="F19"/>
          <cell r="G19">
            <v>1692.9859999999999</v>
          </cell>
          <cell r="H19">
            <v>1434.8214309999998</v>
          </cell>
          <cell r="I19">
            <v>1128.4691620000001</v>
          </cell>
          <cell r="J19">
            <v>1264.2181019999998</v>
          </cell>
          <cell r="K19"/>
          <cell r="L19">
            <v>1454.6549000000002</v>
          </cell>
          <cell r="M19">
            <v>1197.5360395299999</v>
          </cell>
          <cell r="N19">
            <v>950.67073098000003</v>
          </cell>
        </row>
        <row r="20">
          <cell r="A20" t="str">
            <v>TRUJET</v>
          </cell>
          <cell r="B20">
            <v>190.02709999999999</v>
          </cell>
          <cell r="C20">
            <v>189.31099999999998</v>
          </cell>
          <cell r="D20">
            <v>87.835000000000008</v>
          </cell>
          <cell r="E20">
            <v>0</v>
          </cell>
          <cell r="F20"/>
          <cell r="G20">
            <v>25.884385000000002</v>
          </cell>
          <cell r="H20">
            <v>24.272000000000002</v>
          </cell>
          <cell r="I20">
            <v>11.215294</v>
          </cell>
          <cell r="J20">
            <v>0</v>
          </cell>
          <cell r="K20"/>
          <cell r="L20">
            <v>18.586285500000002</v>
          </cell>
          <cell r="M20">
            <v>18.364000000000001</v>
          </cell>
          <cell r="N20">
            <v>8.7713044</v>
          </cell>
        </row>
        <row r="21">
          <cell r="A21" t="str">
            <v>VISTARA</v>
          </cell>
          <cell r="B21">
            <v>5048.6269999999995</v>
          </cell>
          <cell r="C21">
            <v>3175.2959999999998</v>
          </cell>
          <cell r="D21">
            <v>1462.2140000000002</v>
          </cell>
          <cell r="E21">
            <v>104.248</v>
          </cell>
          <cell r="F21"/>
          <cell r="G21">
            <v>558.01</v>
          </cell>
          <cell r="H21">
            <v>395.17099999999994</v>
          </cell>
          <cell r="I21">
            <v>213.54567000000003</v>
          </cell>
          <cell r="J21">
            <v>19.54083</v>
          </cell>
          <cell r="K21"/>
          <cell r="L21">
            <v>429.714</v>
          </cell>
          <cell r="M21">
            <v>275.61899999999997</v>
          </cell>
          <cell r="N21">
            <v>132.84841499999999</v>
          </cell>
        </row>
        <row r="22">
          <cell r="A22" t="str">
            <v>ZOOM AIR</v>
          </cell>
          <cell r="B22">
            <v>28.091305000000002</v>
          </cell>
          <cell r="C22">
            <v>3.883</v>
          </cell>
          <cell r="D22">
            <v>0</v>
          </cell>
          <cell r="E22">
            <v>0</v>
          </cell>
          <cell r="F22"/>
          <cell r="G22">
            <v>69.483999999999995</v>
          </cell>
          <cell r="H22">
            <v>7.581226</v>
          </cell>
          <cell r="I22">
            <v>0</v>
          </cell>
          <cell r="J22">
            <v>0</v>
          </cell>
          <cell r="K22"/>
          <cell r="L22">
            <v>6.9958400000000003</v>
          </cell>
          <cell r="M22">
            <v>1.122995</v>
          </cell>
          <cell r="N22">
            <v>0</v>
          </cell>
        </row>
        <row r="23">
          <cell r="A23" t="str">
            <v>SCHEDULED NATIONAL AIRLINES</v>
          </cell>
          <cell r="B23"/>
          <cell r="C23">
            <v>50472.800000000003</v>
          </cell>
          <cell r="D23">
            <v>45965.8</v>
          </cell>
          <cell r="E23">
            <v>42754.3</v>
          </cell>
          <cell r="F23"/>
          <cell r="G23"/>
          <cell r="H23">
            <v>8394.7999999999993</v>
          </cell>
          <cell r="I23">
            <v>7704.6</v>
          </cell>
          <cell r="J23">
            <v>7246.8</v>
          </cell>
          <cell r="K23"/>
          <cell r="L23"/>
          <cell r="M23">
            <v>5604.5</v>
          </cell>
          <cell r="N23">
            <v>5056.1000000000004</v>
          </cell>
        </row>
        <row r="24">
          <cell r="A24" t="str">
            <v>SCHEDULED PRIVATE AIRLINES</v>
          </cell>
          <cell r="B24"/>
          <cell r="C24">
            <v>119612.5</v>
          </cell>
          <cell r="D24">
            <v>99821.4</v>
          </cell>
          <cell r="E24">
            <v>84148.7</v>
          </cell>
          <cell r="F24"/>
          <cell r="G24"/>
          <cell r="H24">
            <v>212955.8</v>
          </cell>
          <cell r="I24">
            <v>194566.9</v>
          </cell>
          <cell r="J24">
            <v>169455.1</v>
          </cell>
          <cell r="K24"/>
          <cell r="L24"/>
          <cell r="M24">
            <v>142560</v>
          </cell>
          <cell r="N24">
            <v>133483.20000000001</v>
          </cell>
        </row>
        <row r="25">
          <cell r="A25" t="str">
            <v>ALL SCHEDULED INDIAN AIRLINES</v>
          </cell>
          <cell r="B25"/>
          <cell r="C25">
            <v>170085.3</v>
          </cell>
          <cell r="D25">
            <v>145787.29999999999</v>
          </cell>
          <cell r="E25">
            <v>126903</v>
          </cell>
          <cell r="F25"/>
          <cell r="G25"/>
          <cell r="H25">
            <v>221350.6</v>
          </cell>
          <cell r="I25">
            <v>202271.5</v>
          </cell>
          <cell r="J25">
            <v>176701.8</v>
          </cell>
          <cell r="K25"/>
          <cell r="L25"/>
          <cell r="M25">
            <v>148164.5</v>
          </cell>
          <cell r="N25">
            <v>138539.29999999999</v>
          </cell>
        </row>
      </sheetData>
      <sheetData sheetId="4"/>
      <sheetData sheetId="5"/>
      <sheetData sheetId="6">
        <row r="3">
          <cell r="A3" t="str">
            <v>Row Labels</v>
          </cell>
          <cell r="B3" t="str">
            <v>Sum of P1-1.1</v>
          </cell>
          <cell r="C3" t="str">
            <v>Sum of P1-1.2</v>
          </cell>
          <cell r="D3" t="str">
            <v>Sum of P1-1.3</v>
          </cell>
          <cell r="E3" t="str">
            <v>Sum of P1-1.4</v>
          </cell>
          <cell r="F3" t="str">
            <v>Sum of P1-1.5</v>
          </cell>
          <cell r="G3" t="str">
            <v>Sum of P1-2</v>
          </cell>
          <cell r="H3" t="str">
            <v>Sum of P1-3</v>
          </cell>
          <cell r="I3" t="str">
            <v>Sum of P1-4</v>
          </cell>
          <cell r="J3" t="str">
            <v>Sum of P1-5</v>
          </cell>
          <cell r="K3" t="str">
            <v>Sum of P1-6</v>
          </cell>
          <cell r="L3" t="str">
            <v>Sum of P1-7</v>
          </cell>
          <cell r="M3" t="str">
            <v>Sum of P1-8</v>
          </cell>
          <cell r="N3" t="str">
            <v>Sum of P1-9</v>
          </cell>
          <cell r="O3" t="str">
            <v>Sum of P1-10</v>
          </cell>
          <cell r="P3" t="str">
            <v>Sum of P1-11</v>
          </cell>
          <cell r="Q3" t="str">
            <v>Sum of P1-12</v>
          </cell>
          <cell r="R3" t="str">
            <v>Sum of P1-13</v>
          </cell>
          <cell r="S3" t="str">
            <v>Sum of P1-14</v>
          </cell>
          <cell r="T3" t="str">
            <v>Sum of P1-15</v>
          </cell>
          <cell r="U3" t="str">
            <v>Sum of P1-21</v>
          </cell>
          <cell r="V3" t="str">
            <v>Sum of P1-22</v>
          </cell>
          <cell r="W3" t="str">
            <v>Sum of P1-23</v>
          </cell>
          <cell r="X3" t="str">
            <v>Sum of P1-24</v>
          </cell>
          <cell r="Y3" t="str">
            <v>Sum of P1-26</v>
          </cell>
        </row>
        <row r="4">
          <cell r="A4" t="str">
            <v>AIR ASIA</v>
          </cell>
          <cell r="B4">
            <v>17342.36</v>
          </cell>
          <cell r="C4">
            <v>150.79</v>
          </cell>
          <cell r="D4">
            <v>222.22</v>
          </cell>
          <cell r="E4"/>
          <cell r="F4"/>
          <cell r="G4"/>
          <cell r="H4">
            <v>295.95999999999998</v>
          </cell>
          <cell r="I4">
            <v>18011.330000000002</v>
          </cell>
          <cell r="J4">
            <v>11736.7</v>
          </cell>
          <cell r="K4">
            <v>2270.4499999999998</v>
          </cell>
          <cell r="L4">
            <v>95</v>
          </cell>
          <cell r="M4">
            <v>2084.65</v>
          </cell>
          <cell r="N4"/>
          <cell r="O4">
            <v>550.28</v>
          </cell>
          <cell r="P4">
            <v>849.8</v>
          </cell>
          <cell r="Q4">
            <v>1838.6</v>
          </cell>
          <cell r="R4"/>
          <cell r="S4">
            <v>19425.740000000002</v>
          </cell>
          <cell r="T4">
            <v>-1414.41</v>
          </cell>
          <cell r="U4">
            <v>164.11</v>
          </cell>
          <cell r="V4">
            <v>-1250.31</v>
          </cell>
          <cell r="W4"/>
          <cell r="X4">
            <v>-1250.31</v>
          </cell>
          <cell r="Y4">
            <v>-1250.31</v>
          </cell>
        </row>
        <row r="5">
          <cell r="A5" t="str">
            <v>AIR COSTA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</row>
        <row r="6">
          <cell r="A6" t="str">
            <v>AIR INDIA</v>
          </cell>
          <cell r="B6">
            <v>177440.9</v>
          </cell>
          <cell r="C6">
            <v>1110.0999999999999</v>
          </cell>
          <cell r="D6">
            <v>12095.2</v>
          </cell>
          <cell r="E6">
            <v>713.4</v>
          </cell>
          <cell r="F6"/>
          <cell r="G6">
            <v>13085.9</v>
          </cell>
          <cell r="H6">
            <v>25591.200000000001</v>
          </cell>
          <cell r="I6">
            <v>230036.7</v>
          </cell>
          <cell r="J6">
            <v>109070.39999999999</v>
          </cell>
          <cell r="K6">
            <v>27746</v>
          </cell>
          <cell r="L6">
            <v>16673.8</v>
          </cell>
          <cell r="M6">
            <v>18113.400000000001</v>
          </cell>
          <cell r="N6">
            <v>8897.7000000000007</v>
          </cell>
          <cell r="O6"/>
          <cell r="P6">
            <v>6435.4</v>
          </cell>
          <cell r="Q6">
            <v>33562.1</v>
          </cell>
          <cell r="R6">
            <v>26118.6</v>
          </cell>
          <cell r="S6">
            <v>246617.4</v>
          </cell>
          <cell r="T6">
            <v>-16580.7</v>
          </cell>
          <cell r="U6">
            <v>36796.699999999997</v>
          </cell>
          <cell r="V6">
            <v>-53377.4</v>
          </cell>
          <cell r="W6"/>
          <cell r="X6">
            <v>-53377.4</v>
          </cell>
          <cell r="Y6">
            <v>-53481.7</v>
          </cell>
        </row>
        <row r="7">
          <cell r="A7" t="str">
            <v>AIR INDIA EXPRESS</v>
          </cell>
          <cell r="B7">
            <v>33219.78</v>
          </cell>
          <cell r="C7">
            <v>672.61</v>
          </cell>
          <cell r="D7">
            <v>548.24</v>
          </cell>
          <cell r="E7"/>
          <cell r="F7"/>
          <cell r="G7"/>
          <cell r="H7">
            <v>1756.14</v>
          </cell>
          <cell r="I7">
            <v>36196.769999999997</v>
          </cell>
          <cell r="J7">
            <v>21999.08</v>
          </cell>
          <cell r="K7">
            <v>731.2</v>
          </cell>
          <cell r="L7">
            <v>2431.5500000000002</v>
          </cell>
          <cell r="M7">
            <v>4862.47</v>
          </cell>
          <cell r="N7"/>
          <cell r="O7"/>
          <cell r="P7">
            <v>100.44</v>
          </cell>
          <cell r="Q7"/>
          <cell r="R7">
            <v>600.63</v>
          </cell>
          <cell r="S7">
            <v>30725.37</v>
          </cell>
          <cell r="T7">
            <v>5471.4</v>
          </cell>
          <cell r="U7">
            <v>2850.95</v>
          </cell>
          <cell r="V7">
            <v>2620.4499999999998</v>
          </cell>
          <cell r="W7">
            <v>0</v>
          </cell>
          <cell r="X7">
            <v>2620.4499999999998</v>
          </cell>
          <cell r="Y7">
            <v>2620.4499999999998</v>
          </cell>
        </row>
        <row r="8">
          <cell r="A8" t="str">
            <v>AIR PEGASUS</v>
          </cell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</row>
        <row r="9">
          <cell r="A9" t="str">
            <v>ALLIANCE AIR</v>
          </cell>
          <cell r="B9">
            <v>4942.5</v>
          </cell>
          <cell r="C9">
            <v>1.5</v>
          </cell>
          <cell r="D9">
            <v>3.3</v>
          </cell>
          <cell r="E9">
            <v>775.2</v>
          </cell>
          <cell r="F9"/>
          <cell r="G9">
            <v>0</v>
          </cell>
          <cell r="H9">
            <v>0</v>
          </cell>
          <cell r="I9">
            <v>5931.4</v>
          </cell>
          <cell r="J9">
            <v>4129.3999999999996</v>
          </cell>
          <cell r="K9">
            <v>1591.9</v>
          </cell>
          <cell r="L9">
            <v>10.7</v>
          </cell>
          <cell r="M9">
            <v>245.9</v>
          </cell>
          <cell r="N9">
            <v>100.9</v>
          </cell>
          <cell r="O9">
            <v>250.4</v>
          </cell>
          <cell r="P9">
            <v>109.7</v>
          </cell>
          <cell r="Q9">
            <v>42.3</v>
          </cell>
          <cell r="R9">
            <v>797.3</v>
          </cell>
          <cell r="S9">
            <v>7278.5</v>
          </cell>
          <cell r="T9">
            <v>-1347.1</v>
          </cell>
          <cell r="U9">
            <v>1290.5</v>
          </cell>
          <cell r="V9">
            <v>-2637.6</v>
          </cell>
          <cell r="W9"/>
          <cell r="X9">
            <v>-2367.6</v>
          </cell>
          <cell r="Y9">
            <v>-2637.6</v>
          </cell>
        </row>
        <row r="10">
          <cell r="A10" t="str">
            <v xml:space="preserve">Blue Dart </v>
          </cell>
          <cell r="B10"/>
          <cell r="C10"/>
          <cell r="D10">
            <v>6571</v>
          </cell>
          <cell r="E10"/>
          <cell r="F10"/>
          <cell r="G10"/>
          <cell r="H10"/>
          <cell r="I10">
            <v>6713</v>
          </cell>
          <cell r="J10">
            <v>4198</v>
          </cell>
          <cell r="K10">
            <v>284</v>
          </cell>
          <cell r="L10">
            <v>694</v>
          </cell>
          <cell r="M10">
            <v>411</v>
          </cell>
          <cell r="N10"/>
          <cell r="O10"/>
          <cell r="P10"/>
          <cell r="Q10">
            <v>851</v>
          </cell>
          <cell r="R10"/>
          <cell r="S10">
            <v>6438</v>
          </cell>
          <cell r="T10">
            <v>275</v>
          </cell>
          <cell r="U10">
            <v>-224</v>
          </cell>
          <cell r="V10">
            <v>51</v>
          </cell>
          <cell r="W10">
            <v>-26</v>
          </cell>
          <cell r="X10">
            <v>25</v>
          </cell>
          <cell r="Y10">
            <v>25</v>
          </cell>
        </row>
        <row r="11">
          <cell r="A11" t="str">
            <v>GO AIR</v>
          </cell>
          <cell r="B11">
            <v>40250.438362000001</v>
          </cell>
          <cell r="C11">
            <v>292.85363999999998</v>
          </cell>
          <cell r="D11">
            <v>0</v>
          </cell>
          <cell r="E11">
            <v>0</v>
          </cell>
          <cell r="F11"/>
          <cell r="G11"/>
          <cell r="H11">
            <v>6208.943859</v>
          </cell>
          <cell r="I11">
            <v>46752.235861000001</v>
          </cell>
          <cell r="J11">
            <v>23584.178080999998</v>
          </cell>
          <cell r="K11">
            <v>4720.3647639999999</v>
          </cell>
          <cell r="L11">
            <v>150.18913000000001</v>
          </cell>
          <cell r="M11">
            <v>4508.9975059999997</v>
          </cell>
          <cell r="N11"/>
          <cell r="O11"/>
          <cell r="P11">
            <v>1155.888228</v>
          </cell>
          <cell r="Q11">
            <v>7273.8368170000003</v>
          </cell>
          <cell r="R11">
            <v>0</v>
          </cell>
          <cell r="S11">
            <v>41393.454526000001</v>
          </cell>
          <cell r="T11">
            <v>5358.7813349999997</v>
          </cell>
          <cell r="U11">
            <v>1403.955753</v>
          </cell>
          <cell r="V11">
            <v>3954.8255819999999</v>
          </cell>
          <cell r="W11">
            <v>1667.474342</v>
          </cell>
          <cell r="X11">
            <v>2287.35124</v>
          </cell>
          <cell r="Y11">
            <v>2948.8185760000001</v>
          </cell>
        </row>
        <row r="12">
          <cell r="A12" t="str">
            <v>INDIGO</v>
          </cell>
          <cell r="B12">
            <v>209515.18</v>
          </cell>
          <cell r="C12">
            <v>3908.19</v>
          </cell>
          <cell r="D12">
            <v>10085.209999999999</v>
          </cell>
          <cell r="E12">
            <v>0</v>
          </cell>
          <cell r="F12"/>
          <cell r="G12">
            <v>0</v>
          </cell>
          <cell r="H12">
            <v>6700.29</v>
          </cell>
          <cell r="I12">
            <v>230208.87</v>
          </cell>
          <cell r="J12">
            <v>129141.43</v>
          </cell>
          <cell r="K12">
            <v>12298.2</v>
          </cell>
          <cell r="L12">
            <v>4368.7700000000004</v>
          </cell>
          <cell r="M12">
            <v>23768.35</v>
          </cell>
          <cell r="N12">
            <v>0</v>
          </cell>
          <cell r="O12">
            <v>3937.07</v>
          </cell>
          <cell r="P12">
            <v>8845.33</v>
          </cell>
          <cell r="Q12">
            <v>4647.3</v>
          </cell>
          <cell r="R12">
            <v>17436.03</v>
          </cell>
          <cell r="S12">
            <v>204442.48</v>
          </cell>
          <cell r="T12">
            <v>25766.39</v>
          </cell>
          <cell r="U12">
            <v>5500.38</v>
          </cell>
          <cell r="V12">
            <v>31266.77</v>
          </cell>
          <cell r="W12">
            <v>-8843.0300000000007</v>
          </cell>
          <cell r="X12">
            <v>22423.74</v>
          </cell>
          <cell r="Y12">
            <v>22423.74</v>
          </cell>
        </row>
        <row r="13">
          <cell r="A13" t="str">
            <v>JET AIRWAYS</v>
          </cell>
          <cell r="B13">
            <v>200871.68799999999</v>
          </cell>
          <cell r="C13">
            <v>1720.654</v>
          </cell>
          <cell r="D13">
            <v>17407.562999999998</v>
          </cell>
          <cell r="E13">
            <v>483.89</v>
          </cell>
          <cell r="F13"/>
          <cell r="G13">
            <v>966.25800000000004</v>
          </cell>
          <cell r="H13">
            <v>11120.362999999999</v>
          </cell>
          <cell r="I13">
            <v>232570.416</v>
          </cell>
          <cell r="J13">
            <v>104751.59699999999</v>
          </cell>
          <cell r="K13">
            <v>25300.449000000001</v>
          </cell>
          <cell r="L13">
            <v>5639.1949999999997</v>
          </cell>
          <cell r="M13">
            <v>23718.82</v>
          </cell>
          <cell r="N13">
            <v>2944.433</v>
          </cell>
          <cell r="O13">
            <v>11664.635</v>
          </cell>
          <cell r="P13">
            <v>28265.391</v>
          </cell>
          <cell r="Q13">
            <v>37106.773000000001</v>
          </cell>
          <cell r="R13">
            <v>393.22500000000002</v>
          </cell>
          <cell r="S13">
            <v>239784.51699999999</v>
          </cell>
          <cell r="T13">
            <v>-7214.1009999999997</v>
          </cell>
          <cell r="U13">
            <v>-455.61</v>
          </cell>
          <cell r="V13">
            <v>-7669.7110000000002</v>
          </cell>
          <cell r="W13">
            <v>-6.4790000000000001</v>
          </cell>
          <cell r="X13">
            <v>-7676.19</v>
          </cell>
          <cell r="Y13"/>
        </row>
        <row r="14">
          <cell r="A14" t="str">
            <v>JETLITE</v>
          </cell>
          <cell r="B14">
            <v>11950.942999999999</v>
          </cell>
          <cell r="C14">
            <v>162.565</v>
          </cell>
          <cell r="D14">
            <v>497.03199999999998</v>
          </cell>
          <cell r="E14">
            <v>58.143999999999998</v>
          </cell>
          <cell r="F14"/>
          <cell r="G14">
            <v>26.419</v>
          </cell>
          <cell r="H14">
            <v>242.49799999999999</v>
          </cell>
          <cell r="I14">
            <v>12937.601000000001</v>
          </cell>
          <cell r="J14">
            <v>7023.35</v>
          </cell>
          <cell r="K14">
            <v>1448.1089999999999</v>
          </cell>
          <cell r="L14">
            <v>5.6829999999999998</v>
          </cell>
          <cell r="M14">
            <v>1094.5</v>
          </cell>
          <cell r="N14">
            <v>117.328</v>
          </cell>
          <cell r="O14">
            <v>328.517</v>
          </cell>
          <cell r="P14">
            <v>888.28200000000004</v>
          </cell>
          <cell r="Q14">
            <v>2243.9850000000001</v>
          </cell>
          <cell r="R14"/>
          <cell r="S14">
            <v>13149.754999999999</v>
          </cell>
          <cell r="T14">
            <v>-212.154</v>
          </cell>
          <cell r="U14">
            <v>-2997.9250000000002</v>
          </cell>
          <cell r="V14">
            <v>-3210.0790000000002</v>
          </cell>
          <cell r="W14"/>
          <cell r="X14">
            <v>-3210.0790000000002</v>
          </cell>
          <cell r="Y14"/>
        </row>
        <row r="15">
          <cell r="A15" t="str">
            <v>SPICEJET</v>
          </cell>
          <cell r="B15">
            <v>73166.67</v>
          </cell>
          <cell r="C15">
            <v>928.29</v>
          </cell>
          <cell r="D15">
            <v>2700.6</v>
          </cell>
          <cell r="E15"/>
          <cell r="F15"/>
          <cell r="G15"/>
          <cell r="H15">
            <v>1155.3699999999999</v>
          </cell>
          <cell r="I15">
            <v>77950.929999999993</v>
          </cell>
          <cell r="J15">
            <v>34922.769999999997</v>
          </cell>
          <cell r="K15">
            <v>11880.45</v>
          </cell>
          <cell r="L15">
            <v>2312</v>
          </cell>
          <cell r="M15">
            <v>6605.56</v>
          </cell>
          <cell r="N15"/>
          <cell r="O15"/>
          <cell r="P15">
            <v>2216.6</v>
          </cell>
          <cell r="Q15">
            <v>4015.84</v>
          </cell>
          <cell r="R15">
            <v>10782.44</v>
          </cell>
          <cell r="S15">
            <v>72735.66</v>
          </cell>
          <cell r="T15">
            <v>5215.2700000000004</v>
          </cell>
          <cell r="U15">
            <v>451.25</v>
          </cell>
          <cell r="V15">
            <v>5666.52</v>
          </cell>
          <cell r="W15"/>
          <cell r="X15">
            <v>5666.52</v>
          </cell>
          <cell r="Y15"/>
        </row>
        <row r="16">
          <cell r="A16" t="str">
            <v>TRUEJET</v>
          </cell>
          <cell r="B16">
            <v>1915.748916</v>
          </cell>
          <cell r="C16">
            <v>8.7854209999999995</v>
          </cell>
          <cell r="D16">
            <v>0</v>
          </cell>
          <cell r="E16">
            <v>0</v>
          </cell>
          <cell r="F16"/>
          <cell r="G16">
            <v>0</v>
          </cell>
          <cell r="H16">
            <v>32.227756999999997</v>
          </cell>
          <cell r="I16">
            <v>1956.7620939999999</v>
          </cell>
          <cell r="J16">
            <v>1460.0236339999999</v>
          </cell>
          <cell r="K16">
            <v>252.022469</v>
          </cell>
          <cell r="L16">
            <v>22.453683000000002</v>
          </cell>
          <cell r="M16">
            <v>299.19781</v>
          </cell>
          <cell r="N16"/>
          <cell r="O16">
            <v>343.16577799999999</v>
          </cell>
          <cell r="P16">
            <v>19.664449999999999</v>
          </cell>
          <cell r="Q16">
            <v>411.70124600000003</v>
          </cell>
          <cell r="R16"/>
          <cell r="S16">
            <v>2808.229069</v>
          </cell>
          <cell r="T16">
            <v>-851.46697500000005</v>
          </cell>
          <cell r="U16"/>
          <cell r="V16"/>
          <cell r="W16"/>
          <cell r="X16"/>
          <cell r="Y16"/>
        </row>
        <row r="17">
          <cell r="A17" t="str">
            <v>VISTARA</v>
          </cell>
          <cell r="B17">
            <v>19362.899189</v>
          </cell>
          <cell r="C17">
            <v>121.67352099999999</v>
          </cell>
          <cell r="D17">
            <v>0</v>
          </cell>
          <cell r="E17">
            <v>772.96185500000001</v>
          </cell>
          <cell r="F17"/>
          <cell r="G17"/>
          <cell r="H17">
            <v>1116.776715</v>
          </cell>
          <cell r="I17">
            <v>21374.311280000002</v>
          </cell>
          <cell r="J17">
            <v>12290.818982000001</v>
          </cell>
          <cell r="K17">
            <v>3752.7552799999999</v>
          </cell>
          <cell r="L17">
            <v>175.72062099999999</v>
          </cell>
          <cell r="M17">
            <v>2434.300021</v>
          </cell>
          <cell r="N17">
            <v>93.200113000000002</v>
          </cell>
          <cell r="O17">
            <v>1840.065382</v>
          </cell>
          <cell r="P17">
            <v>1483.5396069999999</v>
          </cell>
          <cell r="Q17">
            <v>1980.792727</v>
          </cell>
          <cell r="R17">
            <v>2488.4020369999998</v>
          </cell>
          <cell r="S17">
            <v>26539.594768999999</v>
          </cell>
          <cell r="T17">
            <v>-5165.2834890000004</v>
          </cell>
          <cell r="U17">
            <v>854.39416500000004</v>
          </cell>
          <cell r="V17">
            <v>-4310.8893239999998</v>
          </cell>
          <cell r="W17">
            <v>0</v>
          </cell>
          <cell r="X17">
            <v>-4310.8893239999998</v>
          </cell>
          <cell r="Y17">
            <v>-4310.8893239999998</v>
          </cell>
        </row>
        <row r="18">
          <cell r="A18" t="str">
            <v>(blank)</v>
          </cell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</row>
        <row r="19">
          <cell r="A19" t="str">
            <v>SCHEDULED NATIONAL AIRLINES</v>
          </cell>
          <cell r="B19">
            <v>215603.18</v>
          </cell>
          <cell r="C19">
            <v>1784.21</v>
          </cell>
          <cell r="D19">
            <v>12646.74</v>
          </cell>
          <cell r="E19">
            <v>1488.6</v>
          </cell>
          <cell r="F19">
            <v>0</v>
          </cell>
          <cell r="G19">
            <v>13085.9</v>
          </cell>
          <cell r="H19">
            <v>27347.34</v>
          </cell>
          <cell r="I19">
            <v>272164.87000000005</v>
          </cell>
          <cell r="J19">
            <v>135198.88</v>
          </cell>
          <cell r="K19">
            <v>30069.100000000002</v>
          </cell>
          <cell r="L19">
            <v>19116.05</v>
          </cell>
          <cell r="M19">
            <v>23221.770000000004</v>
          </cell>
          <cell r="N19">
            <v>8998.6</v>
          </cell>
          <cell r="O19">
            <v>250.4</v>
          </cell>
          <cell r="P19">
            <v>6645.5399999999991</v>
          </cell>
          <cell r="Q19">
            <v>33604.400000000001</v>
          </cell>
          <cell r="R19">
            <v>27516.53</v>
          </cell>
          <cell r="S19">
            <v>284621.27</v>
          </cell>
          <cell r="T19">
            <v>-12456.400000000001</v>
          </cell>
          <cell r="U19">
            <v>40938.149999999994</v>
          </cell>
          <cell r="V19">
            <v>-53394.55</v>
          </cell>
          <cell r="W19">
            <v>0</v>
          </cell>
          <cell r="X19">
            <v>-53124.55</v>
          </cell>
          <cell r="Y19">
            <v>-53498.85</v>
          </cell>
        </row>
        <row r="20">
          <cell r="A20" t="str">
            <v>SCHEDULED PRIVATE AIRLINES</v>
          </cell>
          <cell r="B20">
            <v>574530.26581500005</v>
          </cell>
          <cell r="C20">
            <v>7294.4286020000009</v>
          </cell>
          <cell r="D20">
            <v>37483.624999999993</v>
          </cell>
          <cell r="E20">
            <v>1314.9958549999997</v>
          </cell>
          <cell r="F20">
            <v>0</v>
          </cell>
          <cell r="G20">
            <v>1619.4930039999999</v>
          </cell>
          <cell r="H20">
            <v>26907.816589999999</v>
          </cell>
          <cell r="I20">
            <v>649292.62486642995</v>
          </cell>
          <cell r="J20">
            <v>329792.68857418001</v>
          </cell>
          <cell r="K20">
            <v>62282.665588999982</v>
          </cell>
          <cell r="L20">
            <v>13493.234270000001</v>
          </cell>
          <cell r="M20">
            <v>64949.865339999989</v>
          </cell>
          <cell r="N20">
            <v>3157.9611129999994</v>
          </cell>
          <cell r="O20">
            <v>18665.623543999995</v>
          </cell>
          <cell r="P20">
            <v>43729.295284999993</v>
          </cell>
          <cell r="Q20">
            <v>60531.83565500001</v>
          </cell>
          <cell r="R20">
            <v>31100.097037</v>
          </cell>
          <cell r="S20">
            <v>627703.52469117998</v>
          </cell>
          <cell r="T20">
            <v>21589.100175249998</v>
          </cell>
          <cell r="U20">
            <v>4671.0653700100011</v>
          </cell>
          <cell r="V20">
            <v>24291.599490239998</v>
          </cell>
          <cell r="W20">
            <v>-7207.0915820000018</v>
          </cell>
          <cell r="X20">
            <v>13747.67307224001</v>
          </cell>
          <cell r="Y20">
            <v>19628.88940824</v>
          </cell>
        </row>
        <row r="21">
          <cell r="A21" t="str">
            <v>ALL SCHEDULED INDIAN AIRLINES</v>
          </cell>
          <cell r="B21">
            <v>790133.4458150001</v>
          </cell>
          <cell r="C21">
            <v>9078.6386020000009</v>
          </cell>
          <cell r="D21">
            <v>50130.364999999991</v>
          </cell>
          <cell r="E21">
            <v>2803.5958549999996</v>
          </cell>
          <cell r="F21">
            <v>0</v>
          </cell>
          <cell r="G21">
            <v>14705.393004</v>
          </cell>
          <cell r="H21">
            <v>54255.156589999999</v>
          </cell>
          <cell r="I21">
            <v>921457.49486642994</v>
          </cell>
          <cell r="J21">
            <v>464991.56857418001</v>
          </cell>
          <cell r="K21">
            <v>92351.765588999988</v>
          </cell>
          <cell r="L21">
            <v>32609.28427</v>
          </cell>
          <cell r="M21">
            <v>88171.635339999993</v>
          </cell>
          <cell r="N21">
            <v>12156.561113</v>
          </cell>
          <cell r="O21">
            <v>18916.023543999996</v>
          </cell>
          <cell r="P21">
            <v>50374.835284999994</v>
          </cell>
          <cell r="Q21">
            <v>94136.235655000011</v>
          </cell>
          <cell r="R21">
            <v>58616.627036999998</v>
          </cell>
          <cell r="S21">
            <v>912324.79469118</v>
          </cell>
          <cell r="T21">
            <v>9132.7001752499964</v>
          </cell>
          <cell r="U21">
            <v>45609.215370009995</v>
          </cell>
          <cell r="V21">
            <v>-29102.950509760005</v>
          </cell>
          <cell r="W21">
            <v>-7207.0915820000018</v>
          </cell>
          <cell r="X21">
            <v>-39376.876927759993</v>
          </cell>
          <cell r="Y21">
            <v>-33869.960591759998</v>
          </cell>
        </row>
        <row r="22">
          <cell r="A22" t="str">
            <v>ZOOM AIR</v>
          </cell>
          <cell r="B22">
            <v>144.00636299999999</v>
          </cell>
          <cell r="C22">
            <v>0.62702000000000002</v>
          </cell>
          <cell r="D22"/>
          <cell r="E22"/>
          <cell r="F22"/>
          <cell r="G22"/>
          <cell r="H22">
            <v>29.356470000000002</v>
          </cell>
          <cell r="I22">
            <v>173.98985343000001</v>
          </cell>
          <cell r="J22">
            <v>165.78959417999999</v>
          </cell>
          <cell r="K22"/>
          <cell r="L22">
            <v>0.10835599999999999</v>
          </cell>
          <cell r="M22"/>
          <cell r="N22"/>
          <cell r="O22"/>
          <cell r="P22"/>
          <cell r="Q22"/>
          <cell r="R22"/>
          <cell r="S22">
            <v>165.89795018000001</v>
          </cell>
          <cell r="T22">
            <v>8.0919032499999997</v>
          </cell>
          <cell r="U22">
            <v>6.0557620099999996</v>
          </cell>
          <cell r="V22">
            <v>2.0361412400000001</v>
          </cell>
          <cell r="W22">
            <v>0.94307600000000003</v>
          </cell>
          <cell r="X22">
            <v>1.09306524</v>
          </cell>
          <cell r="Y22">
            <v>1.09306524</v>
          </cell>
        </row>
        <row r="23">
          <cell r="A23" t="str">
            <v>AIR CARNIVAL</v>
          </cell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</row>
        <row r="24">
          <cell r="A24" t="str">
            <v>QUICK JET CARGO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</row>
        <row r="25">
          <cell r="A25" t="str">
            <v>AIR ODDISA</v>
          </cell>
          <cell r="B25">
            <v>0.482823</v>
          </cell>
          <cell r="C25"/>
          <cell r="D25"/>
          <cell r="E25"/>
          <cell r="F25"/>
          <cell r="G25">
            <v>11.168866</v>
          </cell>
          <cell r="H25">
            <v>2.2028669999999999</v>
          </cell>
          <cell r="I25">
            <v>13.854556000000001</v>
          </cell>
          <cell r="J25">
            <v>31.941282999999999</v>
          </cell>
          <cell r="K25">
            <v>5.4</v>
          </cell>
          <cell r="L25">
            <v>0.11627700000000001</v>
          </cell>
          <cell r="M25">
            <v>1.6100030000000001</v>
          </cell>
          <cell r="N25">
            <v>3</v>
          </cell>
          <cell r="O25">
            <v>1.8903840000000001</v>
          </cell>
          <cell r="P25">
            <v>4.8</v>
          </cell>
          <cell r="Q25">
            <v>6.5724799999999997</v>
          </cell>
          <cell r="R25"/>
          <cell r="S25">
            <v>55.330427</v>
          </cell>
          <cell r="T25">
            <v>-41.475870999999998</v>
          </cell>
          <cell r="U25">
            <v>-5.0641020000000001</v>
          </cell>
          <cell r="V25">
            <v>-46.539973000000003</v>
          </cell>
          <cell r="W25"/>
          <cell r="X25">
            <v>-46.539973000000003</v>
          </cell>
          <cell r="Y25">
            <v>-46.539973000000003</v>
          </cell>
        </row>
        <row r="26">
          <cell r="A26" t="str">
            <v>AIR DECCAN</v>
          </cell>
          <cell r="B26">
            <v>9.8491619999999998</v>
          </cell>
          <cell r="C26"/>
          <cell r="D26"/>
          <cell r="E26"/>
          <cell r="F26"/>
          <cell r="G26">
            <v>615.64713800000004</v>
          </cell>
          <cell r="H26">
            <v>3.827922</v>
          </cell>
          <cell r="I26">
            <v>629.32422199999996</v>
          </cell>
          <cell r="J26">
            <v>486.09</v>
          </cell>
          <cell r="K26">
            <v>70.465075999999996</v>
          </cell>
          <cell r="L26">
            <v>29.998203</v>
          </cell>
          <cell r="M26">
            <v>22.88</v>
          </cell>
          <cell r="N26"/>
          <cell r="O26"/>
          <cell r="P26"/>
          <cell r="Q26">
            <v>155.43438499999999</v>
          </cell>
          <cell r="R26"/>
          <cell r="S26">
            <v>764.86595</v>
          </cell>
          <cell r="T26">
            <v>-135.54172800000001</v>
          </cell>
          <cell r="U26">
            <v>-26.481207999999999</v>
          </cell>
          <cell r="V26">
            <v>-162.02293599999999</v>
          </cell>
          <cell r="W26"/>
          <cell r="X26">
            <v>-162.02293599999999</v>
          </cell>
          <cell r="Y26">
            <v>-162.02293599999999</v>
          </cell>
        </row>
        <row r="27">
          <cell r="A27" t="str">
            <v>Grand Total</v>
          </cell>
          <cell r="B27">
            <v>2370400.3374450002</v>
          </cell>
          <cell r="C27">
            <v>27235.915806000005</v>
          </cell>
          <cell r="D27">
            <v>150391.09499999997</v>
          </cell>
          <cell r="E27">
            <v>8410.7875649999987</v>
          </cell>
          <cell r="F27">
            <v>0</v>
          </cell>
          <cell r="G27">
            <v>44116.179012000001</v>
          </cell>
          <cell r="H27">
            <v>162765.46977</v>
          </cell>
          <cell r="I27">
            <v>2764372.4845992899</v>
          </cell>
          <cell r="J27">
            <v>1394974.7057225402</v>
          </cell>
          <cell r="K27">
            <v>277055.29676700005</v>
          </cell>
          <cell r="L27">
            <v>97827.852809999982</v>
          </cell>
          <cell r="M27">
            <v>264514.90601999999</v>
          </cell>
          <cell r="N27">
            <v>36469.683338999996</v>
          </cell>
          <cell r="O27">
            <v>56748.070631999988</v>
          </cell>
          <cell r="P27">
            <v>151124.50585499997</v>
          </cell>
          <cell r="Q27">
            <v>282408.70696499996</v>
          </cell>
          <cell r="R27">
            <v>175849.881111</v>
          </cell>
          <cell r="S27">
            <v>2736974.3840735396</v>
          </cell>
          <cell r="T27">
            <v>27398.100525749993</v>
          </cell>
          <cell r="U27">
            <v>136827.64611002995</v>
          </cell>
          <cell r="V27">
            <v>-87308.851529280015</v>
          </cell>
          <cell r="W27">
            <v>-21621.274746000006</v>
          </cell>
          <cell r="X27">
            <v>-118130.63078327998</v>
          </cell>
          <cell r="Y27">
            <v>-101609.88177527998</v>
          </cell>
        </row>
        <row r="29">
          <cell r="B29"/>
        </row>
      </sheetData>
      <sheetData sheetId="7"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L17"/>
  <sheetViews>
    <sheetView tabSelected="1" view="pageBreakPreview" zoomScaleNormal="100" zoomScaleSheetLayoutView="100" workbookViewId="0">
      <selection activeCell="G15" sqref="G15"/>
    </sheetView>
  </sheetViews>
  <sheetFormatPr defaultRowHeight="35.1" customHeight="1" x14ac:dyDescent="0.2"/>
  <cols>
    <col min="1" max="1" width="14.85546875" style="1" customWidth="1"/>
    <col min="2" max="3" width="33.85546875" style="1" customWidth="1"/>
    <col min="4" max="16384" width="9.140625" style="1"/>
  </cols>
  <sheetData>
    <row r="1" spans="1:12" ht="25.5" customHeight="1" x14ac:dyDescent="0.5">
      <c r="A1" s="9" t="s">
        <v>14</v>
      </c>
      <c r="B1" s="10"/>
      <c r="C1" s="11"/>
    </row>
    <row r="2" spans="1:12" ht="24" customHeight="1" x14ac:dyDescent="0.2">
      <c r="A2" s="13" t="str">
        <f>"TABLE - 1.24 ("&amp;[3]Sheet1!B2&amp;")"</f>
        <v>TABLE - 1.24 (INDIGO)</v>
      </c>
      <c r="B2" s="14"/>
      <c r="C2" s="15"/>
    </row>
    <row r="3" spans="1:12" ht="39" customHeight="1" x14ac:dyDescent="0.2">
      <c r="A3" s="16" t="str">
        <f>"TIME SERIES DATA OF OPERATING REVENUE AND OPERATING EXPENSES PER REVENUE PASSENGER KILOMETRE PERFORMED OF "&amp;[3]Sheet1!B2</f>
        <v>TIME SERIES DATA OF OPERATING REVENUE AND OPERATING EXPENSES PER REVENUE PASSENGER KILOMETRE PERFORMED OF INDIGO</v>
      </c>
      <c r="B3" s="17"/>
      <c r="C3" s="18"/>
    </row>
    <row r="4" spans="1:12" ht="30" customHeight="1" x14ac:dyDescent="0.2">
      <c r="A4" s="12" t="s">
        <v>13</v>
      </c>
      <c r="B4" s="12" t="s">
        <v>12</v>
      </c>
      <c r="C4" s="12" t="s">
        <v>11</v>
      </c>
    </row>
    <row r="5" spans="1:12" ht="30" customHeight="1" x14ac:dyDescent="0.2">
      <c r="A5" s="12"/>
      <c r="B5" s="12"/>
      <c r="C5" s="12"/>
    </row>
    <row r="6" spans="1:12" ht="14.25" customHeight="1" x14ac:dyDescent="0.2">
      <c r="A6" s="12"/>
      <c r="B6" s="12"/>
      <c r="C6" s="12"/>
    </row>
    <row r="7" spans="1:12" ht="24.95" customHeight="1" x14ac:dyDescent="0.2">
      <c r="A7" s="8" t="s">
        <v>10</v>
      </c>
      <c r="B7" s="7">
        <v>2.9333625418901974</v>
      </c>
      <c r="C7" s="7">
        <v>3.4830427237290005</v>
      </c>
    </row>
    <row r="8" spans="1:12" ht="24.95" customHeight="1" x14ac:dyDescent="0.2">
      <c r="A8" s="8" t="s">
        <v>9</v>
      </c>
      <c r="B8" s="7">
        <v>3.7196404931661746</v>
      </c>
      <c r="C8" s="7">
        <v>3.6837595892211388</v>
      </c>
    </row>
    <row r="9" spans="1:12" ht="24.95" customHeight="1" x14ac:dyDescent="0.2">
      <c r="A9" s="8" t="s">
        <v>8</v>
      </c>
      <c r="B9" s="7">
        <v>3.5019755907657157</v>
      </c>
      <c r="C9" s="7">
        <v>2.9006561610539934</v>
      </c>
    </row>
    <row r="10" spans="1:12" ht="24.95" customHeight="1" x14ac:dyDescent="0.2">
      <c r="A10" s="8" t="s">
        <v>7</v>
      </c>
      <c r="B10" s="7">
        <v>3.5973701857652127</v>
      </c>
      <c r="C10" s="7">
        <v>3.0307957366939542</v>
      </c>
    </row>
    <row r="11" spans="1:12" ht="24.95" customHeight="1" x14ac:dyDescent="0.2">
      <c r="A11" s="3" t="s">
        <v>6</v>
      </c>
      <c r="B11" s="6">
        <v>3.7449684826814096</v>
      </c>
      <c r="C11" s="6">
        <v>3.804106663749327</v>
      </c>
    </row>
    <row r="12" spans="1:12" s="5" customFormat="1" ht="24.95" customHeight="1" x14ac:dyDescent="0.2">
      <c r="A12" s="3" t="s">
        <v>5</v>
      </c>
      <c r="B12" s="6">
        <v>4.5425455072428864</v>
      </c>
      <c r="C12" s="6">
        <v>4.14975175893158</v>
      </c>
      <c r="K12" s="1"/>
      <c r="L12" s="1"/>
    </row>
    <row r="13" spans="1:12" ht="24.95" customHeight="1" x14ac:dyDescent="0.2">
      <c r="A13" s="3" t="s">
        <v>4</v>
      </c>
      <c r="B13" s="2">
        <v>4.8050090495490307</v>
      </c>
      <c r="C13" s="2">
        <v>4.6883510629400202</v>
      </c>
    </row>
    <row r="14" spans="1:12" ht="24.95" customHeight="1" x14ac:dyDescent="0.2">
      <c r="A14" s="3" t="s">
        <v>3</v>
      </c>
      <c r="B14" s="2">
        <v>4.9420105871105333</v>
      </c>
      <c r="C14" s="2">
        <v>4.3857250354369999</v>
      </c>
    </row>
    <row r="15" spans="1:12" ht="24.95" customHeight="1" x14ac:dyDescent="0.2">
      <c r="A15" s="3" t="s">
        <v>2</v>
      </c>
      <c r="B15" s="2">
        <v>4.4872593366936995</v>
      </c>
      <c r="C15" s="2">
        <v>3.79141438433287</v>
      </c>
    </row>
    <row r="16" spans="1:12" ht="24.95" customHeight="1" x14ac:dyDescent="0.2">
      <c r="A16" s="3" t="s">
        <v>1</v>
      </c>
      <c r="B16" s="2">
        <v>4.0140807050903815</v>
      </c>
      <c r="C16" s="2">
        <v>3.6488057340269546</v>
      </c>
      <c r="D16" s="4"/>
    </row>
    <row r="17" spans="1:3" ht="24.95" customHeight="1" x14ac:dyDescent="0.2">
      <c r="A17" s="3" t="s">
        <v>0</v>
      </c>
      <c r="B17" s="2">
        <f>VLOOKUP([3]Sheet1!$B$2,[3]FormEF_Processing!$A$3:$Z$35,9,0)/VLOOKUP([3]Sheet1!$B$2,[3]RPKM!$A$4:$N$110,2,0)</f>
        <v>4.1461284675773804</v>
      </c>
      <c r="C17" s="2">
        <f>VLOOKUP([3]Sheet1!$B$2,[3]FormEF_Processing!$A$3:$Z$35,19,0)/VLOOKUP([3]Sheet1!$B$2,[3]RPKM!$A$4:$N$110,2,0)</f>
        <v>3.6820683160910321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1.24</vt:lpstr>
      <vt:lpstr>'1.24'!Print_Area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2019-04-18T06:38:41Z</dcterms:modified>
</cp:coreProperties>
</file>