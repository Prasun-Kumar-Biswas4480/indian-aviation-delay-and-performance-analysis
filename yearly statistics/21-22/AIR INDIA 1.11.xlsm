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'1.11'!$A$1:$O$15</definedName>
    <definedName name="Print_Area_MI" localSheetId="3">'1.11'!$A$9:$O$21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O8" i="3" l="1"/>
  <c r="O9" i="3"/>
  <c r="O10" i="3"/>
  <c r="O11" i="3"/>
  <c r="O12" i="3"/>
  <c r="O13" i="3"/>
  <c r="O14" i="3"/>
  <c r="O7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<sst xmlns="http://schemas.openxmlformats.org/spreadsheetml/2006/main" count="894" uniqueCount="193">
  <si>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</si>
  <si>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</si>
  <si>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</si>
  <si>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</si>
  <si>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</si>
  <si>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</si>
  <si>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</si>
  <si>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</si>
  <si>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</si>
  <si>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</si>
  <si>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</si>
  <si>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</si>
  <si>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</si>
  <si>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</si>
  <si>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</si>
  <si>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</si>
  <si>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</si>
  <si>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</si>
  <si>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</si>
  <si>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</si>
  <si>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</si>
  <si>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</si>
  <si>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</si>
  <si>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</si>
  <si>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</si>
  <si>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</si>
  <si>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</si>
  <si>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</si>
  <si>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</si>
  <si>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</si>
  <si>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</si>
  <si>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</si>
  <si>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</si>
  <si>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</si>
  <si>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</si>
  <si>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</si>
  <si>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</si>
  <si>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</si>
  <si>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</si>
  <si>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</si>
  <si>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</si>
  <si>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</si>
  <si>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</si>
  <si>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</si>
  <si>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</si>
  <si>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</si>
  <si>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</si>
  <si>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</si>
  <si>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</si>
  <si>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</si>
  <si>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</si>
  <si>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</si>
  <si>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</si>
  <si>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</si>
  <si>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</si>
  <si>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</si>
  <si>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</si>
  <si>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</si>
  <si>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</si>
  <si>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</si>
  <si>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</si>
  <si>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</si>
  <si>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</si>
  <si>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</si>
  <si>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</si>
  <si>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</si>
  <si>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</si>
  <si>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</si>
  <si>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</si>
  <si>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</si>
  <si>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</si>
  <si>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</si>
  <si>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</si>
  <si>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</si>
  <si>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</si>
  <si>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</si>
  <si>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</si>
  <si>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</si>
  <si>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</si>
  <si>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</si>
  <si>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</si>
  <si>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</si>
  <si>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</si>
  <si>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</si>
  <si>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</si>
  <si>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</si>
  <si>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</si>
  <si>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</si>
  <si>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</si>
  <si>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</si>
  <si>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</si>
  <si>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</si>
  <si>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</si>
  <si>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</si>
  <si>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</si>
  <si>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</si>
  <si>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</si>
  <si>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</si>
  <si>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</si>
  <si>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</si>
  <si>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</si>
  <si>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</si>
  <si>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</si>
  <si>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</si>
  <si>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</si>
  <si>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</si>
  <si>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</si>
  <si>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</si>
  <si>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</si>
  <si>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</si>
  <si>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</si>
  <si>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</si>
  <si>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</si>
  <si>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</si>
  <si>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</si>
  <si>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</si>
  <si>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</si>
  <si>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</si>
  <si>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</si>
  <si>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</si>
  <si>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</si>
  <si>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</si>
  <si>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</si>
  <si>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</si>
  <si>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</si>
  <si>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</si>
  <si>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</si>
  <si>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</si>
  <si>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</si>
  <si>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</si>
  <si>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</si>
  <si>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</si>
  <si>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</si>
  <si>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</si>
  <si>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</si>
  <si>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</si>
  <si>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</si>
  <si>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</si>
  <si>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</si>
  <si>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</si>
  <si>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</si>
  <si>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</si>
  <si>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</si>
  <si>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</si>
  <si>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</si>
  <si>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</si>
  <si>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</si>
  <si>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</si>
  <si>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</si>
  <si>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</si>
  <si>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</si>
  <si>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</si>
  <si>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</si>
  <si>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</si>
  <si>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</si>
  <si>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</si>
  <si>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</si>
  <si>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</si>
  <si>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</si>
  <si>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</si>
  <si>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</si>
  <si>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</si>
  <si>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</si>
  <si>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</si>
  <si>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</si>
  <si>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</si>
  <si>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</si>
  <si>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</si>
  <si>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</si>
  <si>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</si>
  <si>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</si>
  <si>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</si>
  <si>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</si>
  <si>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</si>
  <si>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</si>
  <si>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</si>
  <si>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</si>
  <si>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</si>
  <si>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</si>
  <si>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</si>
  <si>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</si>
  <si>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</si>
  <si>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</si>
  <si>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</si>
  <si>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</si>
  <si>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</si>
  <si>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</si>
  <si>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</si>
  <si>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</si>
  <si>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</si>
  <si>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(एयर इंडिया) </t>
  </si>
  <si>
    <t>TABLE - 1.11 (AIR INDIA)</t>
  </si>
  <si>
    <t>TYPE OF AIRCRAFT WISE FLEET STATISTICS OF AIR INDIA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</si>
</sst>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_-;\-* #,##0_-;_-* &quot;-&quot;??_-;_-@_-"/>
    <numFmt numFmtId="170" formatCode="_-* #,##0.00_-;\-* #,##0.00_-;_-* &quot;-&quot;??_-;_-@_-"/>
    <numFmt numFmtId="171" formatCode="&quot;$&quot;#,##0;\-&quot;$&quot;#,##0"/>
    <numFmt numFmtId="172" formatCode="_(* #,##0.0_);_(* \(#,##0.0\);_(* &quot;-&quot;_);_(@_)"/>
    <numFmt numFmtId="173" formatCode="0.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1" fontId="17" fillId="0" borderId="0" applyFont="0" applyFill="0" applyBorder="0" applyAlignment="0" applyProtection="0"/>
  </cellStyleXfs>
  <cellXfs count="52">
    <xf numFmtId="0" fontId="0" fillId="0" borderId="0" xfId="0"/>
    <xf numFmtId="0" fontId="5" fillId="2" borderId="0" xfId="2" applyFont="1" applyFill="1"/>
    <xf numFmtId="0" fontId="8" fillId="3" borderId="1" xfId="8" applyFont="1" applyFill="1" applyBorder="1" applyAlignment="1">
      <alignment horizontal="left" vertical="top" wrapText="1"/>
    </xf>
    <xf numFmtId="0" fontId="8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3" xfId="7" applyNumberFormat="1" applyFont="1" applyFill="1" applyBorder="1" applyAlignment="1" applyProtection="1">
      <alignment horizontal="left" vertical="center"/>
    </xf>
    <xf numFmtId="168" fontId="10" fillId="5" borderId="13" xfId="7" applyNumberFormat="1" applyFont="1" applyFill="1" applyBorder="1" applyAlignment="1" applyProtection="1">
      <alignment vertical="center"/>
    </xf>
    <xf numFmtId="168" fontId="11" fillId="5" borderId="12" xfId="7" applyNumberFormat="1" applyFont="1" applyFill="1" applyBorder="1" applyAlignment="1" applyProtection="1">
      <alignment vertical="center"/>
    </xf>
    <xf numFmtId="168" fontId="10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13" fillId="3" borderId="11" xfId="0" applyNumberFormat="1" applyFont="1" applyFill="1" applyBorder="1" applyAlignment="1" applyProtection="1">
      <alignment horizontal="right" vertical="top"/>
    </xf>
    <xf numFmtId="0" fontId="0" fillId="4" borderId="1" xfId="0" quotePrefix="1" applyFill="1" applyBorder="1"/>
    <xf numFmtId="0" fontId="0" fillId="4" borderId="1" xfId="0" applyFill="1" applyBorder="1"/>
    <xf numFmtId="3" fontId="13" fillId="3" borderId="11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3" fillId="3" borderId="11" xfId="0" applyNumberFormat="1" applyFont="1" applyFill="1" applyBorder="1" applyAlignment="1" applyProtection="1">
      <alignment horizontal="left"/>
    </xf>
    <xf numFmtId="164" fontId="18" fillId="3" borderId="11" xfId="0" applyNumberFormat="1" applyFont="1" applyFill="1" applyBorder="1" applyAlignment="1" applyProtection="1">
      <alignment horizontal="right" vertical="top"/>
    </xf>
    <xf numFmtId="3" fontId="18" fillId="3" borderId="11" xfId="0" applyNumberFormat="1" applyFont="1" applyFill="1" applyBorder="1" applyAlignment="1" applyProtection="1">
      <alignment horizontal="right" vertical="top"/>
    </xf>
    <xf numFmtId="166" fontId="18" fillId="3" borderId="11" xfId="0" applyNumberFormat="1" applyFont="1" applyFill="1" applyBorder="1" applyAlignment="1" applyProtection="1">
      <alignment horizontal="right" vertical="top"/>
    </xf>
    <xf numFmtId="3" fontId="18" fillId="3" borderId="11" xfId="0" quotePrefix="1" applyNumberFormat="1" applyFont="1" applyFill="1" applyBorder="1" applyAlignment="1" applyProtection="1">
      <alignment horizontal="right" vertical="top"/>
    </xf>
    <xf numFmtId="169" fontId="18" fillId="3" borderId="11" xfId="0" applyNumberFormat="1" applyFont="1" applyFill="1" applyBorder="1" applyAlignment="1" applyProtection="1">
      <alignment horizontal="right" vertical="top"/>
    </xf>
    <xf numFmtId="173" fontId="5" fillId="2" borderId="0" xfId="2" applyNumberFormat="1" applyFont="1" applyFill="1"/>
    <xf numFmtId="172" fontId="18" fillId="3" borderId="11" xfId="0" applyNumberFormat="1" applyFont="1" applyFill="1" applyBorder="1" applyAlignment="1" applyProtection="1">
      <alignment horizontal="right" vertical="top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166" fontId="13" fillId="3" borderId="11" xfId="0" applyNumberFormat="1" applyFont="1" applyFill="1" applyBorder="1" applyAlignment="1" applyProtection="1">
      <alignment horizontal="right" vertical="top"/>
    </xf>
    <xf numFmtId="0" fontId="7" fillId="2" borderId="8" xfId="2" quotePrefix="1" applyFont="1" applyFill="1" applyBorder="1" applyAlignment="1" applyProtection="1">
      <alignment horizontal="center" vertical="center" wrapText="1"/>
    </xf>
    <xf numFmtId="0" fontId="7" fillId="2" borderId="9" xfId="2" quotePrefix="1" applyFont="1" applyFill="1" applyBorder="1" applyAlignment="1" applyProtection="1">
      <alignment horizontal="center" vertical="center" wrapText="1"/>
    </xf>
    <xf numFmtId="0" fontId="7" fillId="2" borderId="10" xfId="2" quotePrefix="1" applyFont="1" applyFill="1" applyBorder="1" applyAlignment="1" applyProtection="1">
      <alignment horizontal="center" vertical="center" wrapText="1"/>
    </xf>
    <xf numFmtId="0" fontId="7" fillId="2" borderId="6" xfId="2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textRotation="180" wrapText="1"/>
    </xf>
    <xf numFmtId="0" fontId="7" fillId="2" borderId="5" xfId="2" applyFont="1" applyFill="1" applyBorder="1" applyAlignment="1" applyProtection="1">
      <alignment horizontal="center" vertical="center" textRotation="180" wrapText="1"/>
    </xf>
    <xf numFmtId="0" fontId="7" fillId="2" borderId="15" xfId="2" applyFont="1" applyFill="1" applyBorder="1" applyAlignment="1" applyProtection="1">
      <alignment horizontal="center" vertical="center" textRotation="180" wrapText="1"/>
    </xf>
    <xf numFmtId="0" fontId="0" fillId="3" borderId="8" xfId="0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7" fillId="2" borderId="4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40</v>
      </c>
      <c r="AR1" t="s">
        <v>30</v>
      </c>
    </row>
    <row r="2" spans="1:57" x14ac:dyDescent="0.2">
      <c r="A2" s="8" t="s">
        <v>104</v>
      </c>
      <c r="B2" s="28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 x14ac:dyDescent="0.2">
      <c r="A3" s="4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2" t="s">
        <v>104</v>
      </c>
      <c r="U3" s="4" t="s">
        <v>40</v>
      </c>
      <c r="V3" s="4" t="s">
        <v>41</v>
      </c>
      <c r="W3" s="4" t="s">
        <v>55</v>
      </c>
      <c r="X3" s="4" t="s">
        <v>56</v>
      </c>
      <c r="Y3" s="4" t="s">
        <v>57</v>
      </c>
      <c r="Z3" s="4" t="s">
        <v>58</v>
      </c>
      <c r="AA3" s="4" t="s">
        <v>42</v>
      </c>
      <c r="AB3" s="4" t="s">
        <v>43</v>
      </c>
      <c r="AC3" s="4" t="s">
        <v>44</v>
      </c>
      <c r="AD3" s="4" t="s">
        <v>59</v>
      </c>
      <c r="AE3" s="4" t="s">
        <v>60</v>
      </c>
      <c r="AF3" s="4" t="s">
        <v>61</v>
      </c>
      <c r="AG3" s="4" t="s">
        <v>62</v>
      </c>
      <c r="AH3" s="4" t="s">
        <v>63</v>
      </c>
      <c r="AI3" s="4" t="s">
        <v>64</v>
      </c>
      <c r="AJ3" s="4" t="s">
        <v>65</v>
      </c>
      <c r="AK3" s="4" t="s">
        <v>66</v>
      </c>
      <c r="AQ3" s="4" t="s">
        <v>41</v>
      </c>
      <c r="AR3" s="4" t="s">
        <v>55</v>
      </c>
      <c r="AS3" s="4" t="s">
        <v>56</v>
      </c>
      <c r="AT3" s="4" t="s">
        <v>57</v>
      </c>
      <c r="AU3" s="4" t="s">
        <v>58</v>
      </c>
      <c r="AV3" s="4" t="s">
        <v>42</v>
      </c>
      <c r="AW3" s="4" t="s">
        <v>43</v>
      </c>
      <c r="AX3" s="4" t="s">
        <v>44</v>
      </c>
      <c r="AY3" s="4" t="s">
        <v>59</v>
      </c>
      <c r="AZ3" s="4" t="s">
        <v>60</v>
      </c>
      <c r="BA3" s="4" t="s">
        <v>62</v>
      </c>
      <c r="BB3" s="4" t="s">
        <v>63</v>
      </c>
      <c r="BC3" s="4" t="s">
        <v>64</v>
      </c>
      <c r="BD3" s="4" t="s">
        <v>66</v>
      </c>
    </row>
    <row r="4" spans="1:57" ht="15.75" customHeight="1" x14ac:dyDescent="0.2">
      <c r="A4" s="5" t="s">
        <v>24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 x14ac:dyDescent="0.2">
      <c r="A5" s="5" t="s">
        <v>52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6"/>
    </row>
    <row r="6" spans="1:57" x14ac:dyDescent="0.2">
      <c r="A6" s="5" t="s">
        <v>30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6"/>
    </row>
    <row r="7" spans="1:57" x14ac:dyDescent="0.2">
      <c r="A7" s="5" t="s">
        <v>27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5" t="s">
        <v>28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5" t="s">
        <v>29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5" t="s">
        <v>33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5" t="s">
        <v>35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5" t="s">
        <v>36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5" t="s">
        <v>39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5" t="s">
        <v>48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5" t="s">
        <v>49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5" t="s">
        <v>50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5" t="s">
        <v>187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5" t="s">
        <v>188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5" t="s">
        <v>53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23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23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23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23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23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23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23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23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23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23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23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23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23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23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23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23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4" t="s">
        <v>51</v>
      </c>
      <c r="B3" t="s">
        <v>69</v>
      </c>
      <c r="C3" t="s">
        <v>79</v>
      </c>
      <c r="V3" s="7" t="s">
        <v>80</v>
      </c>
      <c r="W3" s="4" t="s">
        <v>45</v>
      </c>
      <c r="X3" s="4" t="s">
        <v>67</v>
      </c>
      <c r="Y3" t="s">
        <v>78</v>
      </c>
      <c r="Z3" t="s">
        <v>69</v>
      </c>
      <c r="AA3" t="s">
        <v>79</v>
      </c>
    </row>
    <row r="4" spans="1:27" x14ac:dyDescent="0.2">
      <c r="A4" s="5" t="s">
        <v>35</v>
      </c>
      <c r="B4" s="6">
        <v>2467</v>
      </c>
      <c r="C4" s="6">
        <v>3806.1423290000002</v>
      </c>
      <c r="V4" t="str">
        <f>W4&amp;X4</f>
        <v>AIR ASIAP1</v>
      </c>
      <c r="W4" t="s">
        <v>35</v>
      </c>
      <c r="X4" t="s">
        <v>7</v>
      </c>
      <c r="Y4" s="6">
        <v>263</v>
      </c>
      <c r="Z4" s="6">
        <v>311</v>
      </c>
      <c r="AA4" s="6">
        <v>1997.191354</v>
      </c>
    </row>
    <row r="5" spans="1:27" x14ac:dyDescent="0.2">
      <c r="A5" s="5" t="s">
        <v>27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6"/>
      <c r="Z5" s="6"/>
      <c r="AA5" s="6"/>
    </row>
    <row r="6" spans="1:27" x14ac:dyDescent="0.2">
      <c r="A6" s="5" t="s">
        <v>28</v>
      </c>
      <c r="B6" s="6">
        <v>1472</v>
      </c>
      <c r="C6" s="6">
        <v>2956.1</v>
      </c>
      <c r="V6" t="str">
        <f t="shared" si="0"/>
        <v>AIR ASIAP3</v>
      </c>
      <c r="W6" t="s">
        <v>35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 x14ac:dyDescent="0.2">
      <c r="A7" s="5" t="s">
        <v>50</v>
      </c>
      <c r="B7" s="6">
        <v>61052</v>
      </c>
      <c r="C7" s="6">
        <v>93775.981349000009</v>
      </c>
      <c r="V7" t="str">
        <f t="shared" si="0"/>
        <v>AIR ASIAP4</v>
      </c>
      <c r="W7" t="s">
        <v>35</v>
      </c>
      <c r="X7" t="s">
        <v>10</v>
      </c>
      <c r="Y7" s="6">
        <v>180</v>
      </c>
      <c r="Z7" s="6">
        <v>199</v>
      </c>
      <c r="AA7" s="6">
        <v>337.623289</v>
      </c>
    </row>
    <row r="8" spans="1:27" x14ac:dyDescent="0.2">
      <c r="A8" s="5" t="s">
        <v>29</v>
      </c>
      <c r="B8" s="6">
        <v>648</v>
      </c>
      <c r="C8" s="6">
        <v>1392.7165519999999</v>
      </c>
      <c r="V8" t="str">
        <f t="shared" si="0"/>
        <v>AIR ASIAP4.1</v>
      </c>
      <c r="W8" t="s">
        <v>35</v>
      </c>
      <c r="X8" t="s">
        <v>46</v>
      </c>
      <c r="Y8" s="6">
        <v>180</v>
      </c>
      <c r="Z8" s="6">
        <v>199</v>
      </c>
      <c r="AA8" s="6">
        <v>337.623289</v>
      </c>
    </row>
    <row r="9" spans="1:27" x14ac:dyDescent="0.2">
      <c r="A9" s="5" t="s">
        <v>37</v>
      </c>
      <c r="B9" s="6">
        <v>1389</v>
      </c>
      <c r="C9" s="6">
        <v>1617.18</v>
      </c>
      <c r="V9" t="str">
        <f t="shared" si="0"/>
        <v>AIR ASIAP4.2</v>
      </c>
      <c r="W9" t="s">
        <v>35</v>
      </c>
      <c r="X9" t="s">
        <v>47</v>
      </c>
      <c r="Y9" s="6"/>
      <c r="Z9" s="6"/>
      <c r="AA9" s="6"/>
    </row>
    <row r="10" spans="1:27" x14ac:dyDescent="0.2">
      <c r="A10" s="5" t="s">
        <v>30</v>
      </c>
      <c r="B10" s="6">
        <v>4140</v>
      </c>
      <c r="C10" s="6">
        <v>6380</v>
      </c>
      <c r="V10" t="str">
        <f t="shared" si="0"/>
        <v>AIR ASIAP5</v>
      </c>
      <c r="W10" t="s">
        <v>35</v>
      </c>
      <c r="X10" t="s">
        <v>11</v>
      </c>
      <c r="Y10" s="6"/>
      <c r="Z10" s="6"/>
      <c r="AA10" s="6"/>
    </row>
    <row r="11" spans="1:27" x14ac:dyDescent="0.2">
      <c r="A11" s="5" t="s">
        <v>24</v>
      </c>
      <c r="B11" s="6">
        <v>25201</v>
      </c>
      <c r="C11" s="6">
        <v>33290.79</v>
      </c>
      <c r="V11" t="str">
        <f t="shared" si="0"/>
        <v>AIR ASIAP6</v>
      </c>
      <c r="W11" t="s">
        <v>35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 x14ac:dyDescent="0.2">
      <c r="A12" s="5" t="s">
        <v>48</v>
      </c>
      <c r="B12" s="6">
        <v>12112</v>
      </c>
      <c r="C12" s="6">
        <v>34401.086552000001</v>
      </c>
      <c r="V12" t="str">
        <f t="shared" si="0"/>
        <v>AIR INDIAP1</v>
      </c>
      <c r="W12" t="s">
        <v>27</v>
      </c>
      <c r="X12" t="s">
        <v>7</v>
      </c>
      <c r="Y12" s="6">
        <v>1329</v>
      </c>
      <c r="Z12" s="6">
        <v>1318</v>
      </c>
      <c r="AA12" s="6">
        <v>12079.48</v>
      </c>
    </row>
    <row r="13" spans="1:27" x14ac:dyDescent="0.2">
      <c r="A13" s="5" t="s">
        <v>49</v>
      </c>
      <c r="B13" s="6">
        <v>48940</v>
      </c>
      <c r="C13" s="6">
        <v>59374.894797000001</v>
      </c>
      <c r="V13" t="str">
        <f t="shared" si="0"/>
        <v>AIR INDIAP2</v>
      </c>
      <c r="W13" t="s">
        <v>27</v>
      </c>
      <c r="X13" t="s">
        <v>8</v>
      </c>
      <c r="Y13" s="6"/>
      <c r="Z13" s="6"/>
      <c r="AA13" s="6"/>
    </row>
    <row r="14" spans="1:27" x14ac:dyDescent="0.2">
      <c r="A14" s="5" t="s">
        <v>33</v>
      </c>
      <c r="B14" s="6">
        <v>12094</v>
      </c>
      <c r="C14" s="6">
        <v>9401.4900000000016</v>
      </c>
      <c r="V14" t="str">
        <f t="shared" si="0"/>
        <v>AIR INDIAP3</v>
      </c>
      <c r="W14" t="s">
        <v>27</v>
      </c>
      <c r="X14" t="s">
        <v>9</v>
      </c>
      <c r="Y14" s="6">
        <v>1766</v>
      </c>
      <c r="Z14" s="6">
        <v>1703</v>
      </c>
      <c r="AA14" s="6">
        <v>5986.11</v>
      </c>
    </row>
    <row r="15" spans="1:27" x14ac:dyDescent="0.2">
      <c r="A15" s="5" t="s">
        <v>39</v>
      </c>
      <c r="B15" s="6">
        <v>895</v>
      </c>
      <c r="C15" s="6">
        <v>801.87858399999982</v>
      </c>
      <c r="V15" t="str">
        <f t="shared" si="0"/>
        <v>AIR INDIAP4</v>
      </c>
      <c r="W15" t="s">
        <v>27</v>
      </c>
      <c r="X15" t="s">
        <v>10</v>
      </c>
      <c r="Y15" s="6">
        <v>577</v>
      </c>
      <c r="Z15" s="6">
        <v>543</v>
      </c>
      <c r="AA15" s="6">
        <v>69.31</v>
      </c>
    </row>
    <row r="16" spans="1:27" x14ac:dyDescent="0.2">
      <c r="A16" s="5" t="s">
        <v>36</v>
      </c>
      <c r="B16" s="6">
        <v>2721</v>
      </c>
      <c r="C16" s="6">
        <v>4070.3999999999996</v>
      </c>
      <c r="V16" t="str">
        <f t="shared" si="0"/>
        <v>AIR INDIAP4.1</v>
      </c>
      <c r="W16" t="s">
        <v>27</v>
      </c>
      <c r="X16" t="s">
        <v>46</v>
      </c>
      <c r="Y16" s="6"/>
      <c r="Z16" s="6"/>
      <c r="AA16" s="6"/>
    </row>
    <row r="17" spans="1:27" x14ac:dyDescent="0.2">
      <c r="A17" s="5" t="s">
        <v>52</v>
      </c>
      <c r="B17" s="6"/>
      <c r="C17" s="6"/>
      <c r="V17" t="str">
        <f t="shared" si="0"/>
        <v>AIR INDIAP4.2</v>
      </c>
      <c r="W17" t="s">
        <v>27</v>
      </c>
      <c r="X17" t="s">
        <v>47</v>
      </c>
      <c r="Y17" s="6"/>
      <c r="Z17" s="6"/>
      <c r="AA17" s="6"/>
    </row>
    <row r="18" spans="1:27" x14ac:dyDescent="0.2">
      <c r="A18" s="5" t="s">
        <v>187</v>
      </c>
      <c r="B18" s="6"/>
      <c r="C18" s="6"/>
      <c r="V18" t="str">
        <f t="shared" si="0"/>
        <v>AIR INDIAP5</v>
      </c>
      <c r="W18" t="s">
        <v>27</v>
      </c>
      <c r="X18" t="s">
        <v>11</v>
      </c>
      <c r="Y18" s="6">
        <v>2113</v>
      </c>
      <c r="Z18" s="6">
        <v>1989</v>
      </c>
      <c r="AA18" s="6">
        <v>3208.24</v>
      </c>
    </row>
    <row r="19" spans="1:27" x14ac:dyDescent="0.2">
      <c r="A19" s="5" t="s">
        <v>189</v>
      </c>
      <c r="B19" s="6">
        <v>33</v>
      </c>
      <c r="C19" s="6">
        <v>7.0138840000000009</v>
      </c>
      <c r="V19" t="str">
        <f t="shared" si="0"/>
        <v>AIR INDIAP6</v>
      </c>
      <c r="W19" t="s">
        <v>27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 x14ac:dyDescent="0.2">
      <c r="A20" s="5" t="s">
        <v>53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28</v>
      </c>
      <c r="X20" t="s">
        <v>7</v>
      </c>
      <c r="Y20" s="6">
        <v>346</v>
      </c>
      <c r="Z20" s="6">
        <v>335</v>
      </c>
      <c r="AA20" s="6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8</v>
      </c>
      <c r="Y21" s="6"/>
      <c r="Z21" s="6"/>
      <c r="AA21" s="6"/>
    </row>
    <row r="22" spans="1:27" x14ac:dyDescent="0.2">
      <c r="V22" t="str">
        <f t="shared" si="0"/>
        <v>AIR INDIA EXPRESSP3</v>
      </c>
      <c r="W22" t="s">
        <v>28</v>
      </c>
      <c r="X22" t="s">
        <v>9</v>
      </c>
      <c r="Y22" s="6">
        <v>610</v>
      </c>
      <c r="Z22" s="6">
        <v>621</v>
      </c>
      <c r="AA22" s="6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10</v>
      </c>
      <c r="Y23" s="6">
        <v>78</v>
      </c>
      <c r="Z23" s="6">
        <v>80</v>
      </c>
      <c r="AA23" s="6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6">
        <v>16</v>
      </c>
      <c r="Z24" s="6">
        <v>16</v>
      </c>
      <c r="AA24" s="6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6">
        <v>62</v>
      </c>
      <c r="Z25" s="6">
        <v>64</v>
      </c>
      <c r="AA25" s="6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11</v>
      </c>
      <c r="Y26" s="6"/>
      <c r="Z26" s="6"/>
      <c r="AA26" s="6"/>
    </row>
    <row r="27" spans="1:27" x14ac:dyDescent="0.2">
      <c r="V27" t="str">
        <f t="shared" si="0"/>
        <v>AIR INDIA EXPRESSP6</v>
      </c>
      <c r="W27" t="s">
        <v>28</v>
      </c>
      <c r="X27" t="s">
        <v>12</v>
      </c>
      <c r="Y27" s="6">
        <v>358</v>
      </c>
      <c r="Z27" s="6">
        <v>356</v>
      </c>
      <c r="AA27" s="6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8</v>
      </c>
      <c r="Y29" s="6">
        <v>259</v>
      </c>
      <c r="Z29" s="6">
        <v>280</v>
      </c>
      <c r="AA29" s="6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6">
        <v>1531</v>
      </c>
      <c r="Z32" s="6">
        <v>1701</v>
      </c>
      <c r="AA32" s="6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6">
        <v>1717</v>
      </c>
      <c r="Z33" s="6">
        <v>1950</v>
      </c>
      <c r="AA33" s="6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7</v>
      </c>
      <c r="Y36" s="6">
        <v>202</v>
      </c>
      <c r="Z36" s="6">
        <v>184</v>
      </c>
      <c r="AA36" s="6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8</v>
      </c>
      <c r="Y37" s="6"/>
      <c r="Z37" s="6"/>
      <c r="AA37" s="6"/>
    </row>
    <row r="38" spans="22:27" x14ac:dyDescent="0.2">
      <c r="V38" t="str">
        <f t="shared" si="0"/>
        <v>ALLIANCE AIRP3</v>
      </c>
      <c r="W38" t="s">
        <v>29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10</v>
      </c>
      <c r="Y39" s="6"/>
      <c r="Z39" s="6"/>
      <c r="AA39" s="6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6"/>
      <c r="Z40" s="6"/>
      <c r="AA40" s="6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6"/>
      <c r="Z41" s="6"/>
      <c r="AA41" s="6"/>
    </row>
    <row r="42" spans="22:27" x14ac:dyDescent="0.2">
      <c r="V42" t="str">
        <f t="shared" si="0"/>
        <v>ALLIANCE AIRP5</v>
      </c>
      <c r="W42" t="s">
        <v>29</v>
      </c>
      <c r="X42" t="s">
        <v>11</v>
      </c>
      <c r="Y42" s="6"/>
      <c r="Z42" s="6"/>
      <c r="AA42" s="6"/>
    </row>
    <row r="43" spans="22:27" x14ac:dyDescent="0.2">
      <c r="V43" t="str">
        <f t="shared" si="0"/>
        <v>ALLIANCE AIRP6</v>
      </c>
      <c r="W43" t="s">
        <v>29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7</v>
      </c>
      <c r="Y44" s="6">
        <v>58</v>
      </c>
      <c r="Z44" s="6">
        <v>60</v>
      </c>
      <c r="AA44" s="6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8</v>
      </c>
      <c r="Y45" s="6"/>
      <c r="Z45" s="6"/>
      <c r="AA45" s="6"/>
    </row>
    <row r="46" spans="22:27" x14ac:dyDescent="0.2">
      <c r="V46" t="str">
        <f t="shared" si="0"/>
        <v>Blue Dart P3</v>
      </c>
      <c r="W46" t="s">
        <v>37</v>
      </c>
      <c r="X46" t="s">
        <v>9</v>
      </c>
      <c r="Y46" s="6"/>
      <c r="Z46" s="6"/>
      <c r="AA46" s="6"/>
    </row>
    <row r="47" spans="22:27" x14ac:dyDescent="0.2">
      <c r="V47" t="str">
        <f t="shared" si="0"/>
        <v>Blue Dart P4</v>
      </c>
      <c r="W47" t="s">
        <v>37</v>
      </c>
      <c r="X47" t="s">
        <v>10</v>
      </c>
      <c r="Y47" s="6">
        <v>156</v>
      </c>
      <c r="Z47" s="6">
        <v>152</v>
      </c>
      <c r="AA47" s="6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6">
        <v>56</v>
      </c>
      <c r="Z48" s="6">
        <v>56</v>
      </c>
      <c r="AA48" s="6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6">
        <v>100</v>
      </c>
      <c r="Z49" s="6">
        <v>96</v>
      </c>
      <c r="AA49" s="6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11</v>
      </c>
      <c r="Y50" s="6"/>
      <c r="Z50" s="6"/>
      <c r="AA50" s="6"/>
    </row>
    <row r="51" spans="22:27" x14ac:dyDescent="0.2">
      <c r="V51" t="str">
        <f t="shared" si="0"/>
        <v>Blue Dart P6</v>
      </c>
      <c r="W51" t="s">
        <v>37</v>
      </c>
      <c r="X51" t="s">
        <v>12</v>
      </c>
      <c r="Y51" s="6">
        <v>937</v>
      </c>
      <c r="Z51" s="6">
        <v>1025</v>
      </c>
      <c r="AA51" s="6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7</v>
      </c>
      <c r="Y52" s="6">
        <v>444</v>
      </c>
      <c r="Z52" s="6">
        <v>513</v>
      </c>
      <c r="AA52" s="6">
        <v>3402</v>
      </c>
    </row>
    <row r="53" spans="22:27" x14ac:dyDescent="0.2">
      <c r="V53" t="str">
        <f t="shared" si="0"/>
        <v>GO AIRP2</v>
      </c>
      <c r="W53" t="s">
        <v>30</v>
      </c>
      <c r="X53" t="s">
        <v>8</v>
      </c>
      <c r="Y53" s="6"/>
      <c r="Z53" s="6"/>
      <c r="AA53" s="6"/>
    </row>
    <row r="54" spans="22:27" x14ac:dyDescent="0.2">
      <c r="V54" t="str">
        <f t="shared" si="0"/>
        <v>GO AIRP3</v>
      </c>
      <c r="W54" t="s">
        <v>30</v>
      </c>
      <c r="X54" t="s">
        <v>9</v>
      </c>
      <c r="Y54" s="6">
        <v>753</v>
      </c>
      <c r="Z54" s="6">
        <v>812</v>
      </c>
      <c r="AA54" s="6">
        <v>383</v>
      </c>
    </row>
    <row r="55" spans="22:27" x14ac:dyDescent="0.2">
      <c r="V55" t="str">
        <f t="shared" si="0"/>
        <v>GO AIRP4</v>
      </c>
      <c r="W55" t="s">
        <v>30</v>
      </c>
      <c r="X55" t="s">
        <v>10</v>
      </c>
      <c r="Y55" s="6">
        <v>474</v>
      </c>
      <c r="Z55" s="6">
        <v>522</v>
      </c>
      <c r="AA55" s="6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6">
        <v>143</v>
      </c>
      <c r="Z56" s="6">
        <v>151</v>
      </c>
      <c r="AA56" s="6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6">
        <v>331</v>
      </c>
      <c r="Z57" s="6">
        <v>371</v>
      </c>
      <c r="AA57" s="6">
        <v>279</v>
      </c>
    </row>
    <row r="58" spans="22:27" x14ac:dyDescent="0.2">
      <c r="V58" t="str">
        <f t="shared" si="0"/>
        <v>GO AIRP5</v>
      </c>
      <c r="W58" t="s">
        <v>30</v>
      </c>
      <c r="X58" t="s">
        <v>11</v>
      </c>
      <c r="Y58" s="6">
        <v>476</v>
      </c>
      <c r="Z58" s="6">
        <v>522</v>
      </c>
      <c r="AA58" s="6">
        <v>185</v>
      </c>
    </row>
    <row r="59" spans="22:27" x14ac:dyDescent="0.2">
      <c r="V59" t="str">
        <f t="shared" si="0"/>
        <v>GO AIRP6</v>
      </c>
      <c r="W59" t="s">
        <v>30</v>
      </c>
      <c r="X59" t="s">
        <v>12</v>
      </c>
      <c r="Y59" s="6">
        <v>1107</v>
      </c>
      <c r="Z59" s="6">
        <v>1249</v>
      </c>
      <c r="AA59" s="6">
        <v>952</v>
      </c>
    </row>
    <row r="60" spans="22:27" x14ac:dyDescent="0.2">
      <c r="V60" t="str">
        <f t="shared" si="0"/>
        <v>INDIGOP1</v>
      </c>
      <c r="W60" t="s">
        <v>24</v>
      </c>
      <c r="X60" t="s">
        <v>7</v>
      </c>
      <c r="Y60" s="6">
        <v>2747</v>
      </c>
      <c r="Z60" s="6">
        <v>3187</v>
      </c>
      <c r="AA60" s="6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9</v>
      </c>
      <c r="Y62" s="6">
        <v>5623</v>
      </c>
      <c r="Z62" s="6">
        <v>6248</v>
      </c>
      <c r="AA62" s="6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10</v>
      </c>
      <c r="Y63" s="6">
        <v>1466</v>
      </c>
      <c r="Z63" s="6">
        <v>1718</v>
      </c>
      <c r="AA63" s="6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6">
        <v>723</v>
      </c>
      <c r="Z64" s="6">
        <v>829</v>
      </c>
      <c r="AA64" s="6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6">
        <v>743</v>
      </c>
      <c r="Z65" s="6">
        <v>889</v>
      </c>
      <c r="AA65" s="6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11</v>
      </c>
      <c r="Y66" s="6">
        <v>275</v>
      </c>
      <c r="Z66" s="6">
        <v>305</v>
      </c>
      <c r="AA66" s="6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8</v>
      </c>
      <c r="Y69" s="6">
        <v>0</v>
      </c>
      <c r="Z69" s="6">
        <v>0</v>
      </c>
      <c r="AA69" s="6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10</v>
      </c>
      <c r="Y71" s="6">
        <v>655</v>
      </c>
      <c r="Z71" s="6">
        <v>623</v>
      </c>
      <c r="AA71" s="6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6">
        <v>16</v>
      </c>
      <c r="Z72" s="6">
        <v>16</v>
      </c>
      <c r="AA72" s="6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6">
        <v>62</v>
      </c>
      <c r="Z73" s="6">
        <v>64</v>
      </c>
      <c r="AA73" s="6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11</v>
      </c>
      <c r="Y74" s="6">
        <v>2113</v>
      </c>
      <c r="Z74" s="6">
        <v>1989</v>
      </c>
      <c r="AA74" s="6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8</v>
      </c>
      <c r="Y77" s="6">
        <v>259</v>
      </c>
      <c r="Z77" s="6">
        <v>280</v>
      </c>
      <c r="AA77" s="6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6">
        <v>1515</v>
      </c>
      <c r="Z80" s="6">
        <v>1685</v>
      </c>
      <c r="AA80" s="6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6">
        <v>1655</v>
      </c>
      <c r="Z81" s="6">
        <v>1886</v>
      </c>
      <c r="AA81" s="6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7</v>
      </c>
      <c r="Y84" s="6">
        <v>779</v>
      </c>
      <c r="Z84" s="6">
        <v>813</v>
      </c>
      <c r="AA84" s="6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8</v>
      </c>
      <c r="Y85" s="6">
        <v>64</v>
      </c>
      <c r="Z85" s="6">
        <v>70</v>
      </c>
      <c r="AA85" s="6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9</v>
      </c>
      <c r="Y86" s="6">
        <v>1341</v>
      </c>
      <c r="Z86" s="6">
        <v>1798</v>
      </c>
      <c r="AA86" s="6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10</v>
      </c>
      <c r="Y87" s="6">
        <v>683</v>
      </c>
      <c r="Z87" s="6">
        <v>694</v>
      </c>
      <c r="AA87" s="6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6">
        <v>307</v>
      </c>
      <c r="Z88" s="6">
        <v>306</v>
      </c>
      <c r="AA88" s="6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6">
        <v>376</v>
      </c>
      <c r="Z89" s="6">
        <v>388</v>
      </c>
      <c r="AA89" s="6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11</v>
      </c>
      <c r="Y90" s="6">
        <v>420</v>
      </c>
      <c r="Z90" s="6">
        <v>443</v>
      </c>
      <c r="AA90" s="6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7</v>
      </c>
      <c r="Y92" s="6">
        <v>88</v>
      </c>
      <c r="Z92" s="6">
        <v>89</v>
      </c>
      <c r="AA92" s="6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8</v>
      </c>
      <c r="Y93" s="6"/>
      <c r="Z93" s="6"/>
      <c r="AA93" s="6"/>
    </row>
    <row r="94" spans="22:27" x14ac:dyDescent="0.2">
      <c r="V94" t="str">
        <f t="shared" si="1"/>
        <v>TRUEJETP3</v>
      </c>
      <c r="W94" t="s">
        <v>39</v>
      </c>
      <c r="X94" t="s">
        <v>9</v>
      </c>
      <c r="Y94" s="6">
        <v>68</v>
      </c>
      <c r="Z94" s="6">
        <v>78</v>
      </c>
      <c r="AA94" s="6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10</v>
      </c>
      <c r="Y95" s="6">
        <v>36</v>
      </c>
      <c r="Z95" s="6">
        <v>83</v>
      </c>
      <c r="AA95" s="6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6">
        <v>3</v>
      </c>
      <c r="Z96" s="6">
        <v>22</v>
      </c>
      <c r="AA96" s="6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6">
        <v>33</v>
      </c>
      <c r="Z97" s="6">
        <v>61</v>
      </c>
      <c r="AA97" s="6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11</v>
      </c>
      <c r="Y98" s="6">
        <v>25</v>
      </c>
      <c r="Z98" s="6">
        <v>24</v>
      </c>
      <c r="AA98" s="6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8</v>
      </c>
      <c r="Y101" s="6"/>
      <c r="Z101" s="6"/>
      <c r="AA101" s="6"/>
    </row>
    <row r="102" spans="22:27" x14ac:dyDescent="0.2">
      <c r="V102" t="str">
        <f t="shared" si="1"/>
        <v>VISTARAP3</v>
      </c>
      <c r="W102" t="s">
        <v>36</v>
      </c>
      <c r="X102" t="s">
        <v>9</v>
      </c>
      <c r="Y102" s="6">
        <v>673</v>
      </c>
      <c r="Z102" s="6">
        <v>722</v>
      </c>
      <c r="AA102" s="6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6">
        <v>103</v>
      </c>
      <c r="Z104" s="6">
        <v>122</v>
      </c>
      <c r="AA104" s="6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6">
        <v>72</v>
      </c>
      <c r="Z105" s="6">
        <v>81</v>
      </c>
      <c r="AA105" s="6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11</v>
      </c>
      <c r="Y106" s="6">
        <v>42</v>
      </c>
      <c r="Z106" s="6">
        <v>37</v>
      </c>
      <c r="AA106" s="6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6"/>
      <c r="Z108" s="6"/>
      <c r="AA108" s="6"/>
    </row>
    <row r="109" spans="22:27" x14ac:dyDescent="0.2">
      <c r="V109" t="str">
        <f t="shared" si="1"/>
        <v>STAR AIRP1</v>
      </c>
      <c r="W109" t="s">
        <v>187</v>
      </c>
      <c r="X109" t="s">
        <v>7</v>
      </c>
      <c r="Y109" s="6"/>
      <c r="Z109" s="6"/>
      <c r="AA109" s="6"/>
    </row>
    <row r="110" spans="22:27" x14ac:dyDescent="0.2">
      <c r="V110" t="str">
        <f t="shared" si="1"/>
        <v>STAR AIRP2</v>
      </c>
      <c r="W110" t="s">
        <v>187</v>
      </c>
      <c r="X110" t="s">
        <v>8</v>
      </c>
      <c r="Y110" s="6"/>
      <c r="Z110" s="6"/>
      <c r="AA110" s="6"/>
    </row>
    <row r="111" spans="22:27" x14ac:dyDescent="0.2">
      <c r="V111" t="str">
        <f t="shared" si="1"/>
        <v>STAR AIRP3</v>
      </c>
      <c r="W111" t="s">
        <v>187</v>
      </c>
      <c r="X111" t="s">
        <v>9</v>
      </c>
      <c r="Y111" s="6"/>
      <c r="Z111" s="6"/>
      <c r="AA111" s="6"/>
    </row>
    <row r="112" spans="22:27" x14ac:dyDescent="0.2">
      <c r="V112" t="str">
        <f t="shared" si="1"/>
        <v>STAR AIRP4</v>
      </c>
      <c r="W112" t="s">
        <v>187</v>
      </c>
      <c r="X112" t="s">
        <v>10</v>
      </c>
      <c r="Y112" s="6"/>
      <c r="Z112" s="6"/>
      <c r="AA112" s="6"/>
    </row>
    <row r="113" spans="22:27" x14ac:dyDescent="0.2">
      <c r="V113" t="str">
        <f t="shared" si="1"/>
        <v>STAR AIRP4.1</v>
      </c>
      <c r="W113" t="s">
        <v>187</v>
      </c>
      <c r="X113" t="s">
        <v>46</v>
      </c>
      <c r="Y113" s="6"/>
      <c r="Z113" s="6"/>
      <c r="AA113" s="6"/>
    </row>
    <row r="114" spans="22:27" x14ac:dyDescent="0.2">
      <c r="V114" t="str">
        <f t="shared" si="1"/>
        <v>STAR AIRP4.2</v>
      </c>
      <c r="W114" t="s">
        <v>187</v>
      </c>
      <c r="X114" t="s">
        <v>47</v>
      </c>
      <c r="Y114" s="6"/>
      <c r="Z114" s="6"/>
      <c r="AA114" s="6"/>
    </row>
    <row r="115" spans="22:27" x14ac:dyDescent="0.2">
      <c r="V115" t="str">
        <f t="shared" si="1"/>
        <v>STAR AIRP5</v>
      </c>
      <c r="W115" t="s">
        <v>187</v>
      </c>
      <c r="X115" t="s">
        <v>11</v>
      </c>
      <c r="Y115" s="6"/>
      <c r="Z115" s="6"/>
      <c r="AA115" s="6"/>
    </row>
    <row r="116" spans="22:27" x14ac:dyDescent="0.2">
      <c r="V116" t="str">
        <f t="shared" si="1"/>
        <v>STAR AIRP6</v>
      </c>
      <c r="W116" t="s">
        <v>187</v>
      </c>
      <c r="X116" t="s">
        <v>12</v>
      </c>
      <c r="Y116" s="6"/>
      <c r="Z116" s="6"/>
      <c r="AA116" s="6"/>
    </row>
    <row r="117" spans="22:27" x14ac:dyDescent="0.2">
      <c r="V117" t="str">
        <f t="shared" si="1"/>
        <v xml:space="preserve"> AIR HERITAGEP1</v>
      </c>
      <c r="W117" t="s">
        <v>189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 x14ac:dyDescent="0.2">
      <c r="V118" t="str">
        <f t="shared" si="1"/>
        <v xml:space="preserve"> AIR HERITAGEP2</v>
      </c>
      <c r="W118" t="s">
        <v>189</v>
      </c>
      <c r="X118" t="s">
        <v>8</v>
      </c>
      <c r="Y118" s="6"/>
      <c r="Z118" s="6"/>
      <c r="AA118" s="6"/>
    </row>
    <row r="119" spans="22:27" x14ac:dyDescent="0.2">
      <c r="V119" t="str">
        <f t="shared" si="1"/>
        <v xml:space="preserve"> AIR HERITAGEP3</v>
      </c>
      <c r="W119" t="s">
        <v>189</v>
      </c>
      <c r="X119" t="s">
        <v>9</v>
      </c>
      <c r="Y119" s="6"/>
      <c r="Z119" s="6"/>
      <c r="AA119" s="6"/>
    </row>
    <row r="120" spans="22:27" x14ac:dyDescent="0.2">
      <c r="V120" t="str">
        <f t="shared" si="1"/>
        <v xml:space="preserve"> AIR HERITAGEP4</v>
      </c>
      <c r="W120" t="s">
        <v>189</v>
      </c>
      <c r="X120" t="s">
        <v>10</v>
      </c>
      <c r="Y120" s="6"/>
      <c r="Z120" s="6"/>
      <c r="AA120" s="6"/>
    </row>
    <row r="121" spans="22:27" x14ac:dyDescent="0.2">
      <c r="V121" t="str">
        <f t="shared" si="1"/>
        <v xml:space="preserve"> AIR HERITAGEP4.1</v>
      </c>
      <c r="W121" t="s">
        <v>189</v>
      </c>
      <c r="X121" t="s">
        <v>46</v>
      </c>
      <c r="Y121" s="6"/>
      <c r="Z121" s="6"/>
      <c r="AA121" s="6"/>
    </row>
    <row r="122" spans="22:27" x14ac:dyDescent="0.2">
      <c r="V122" t="str">
        <f t="shared" si="1"/>
        <v xml:space="preserve"> AIR HERITAGEP4.2</v>
      </c>
      <c r="W122" t="s">
        <v>189</v>
      </c>
      <c r="X122" t="s">
        <v>47</v>
      </c>
      <c r="Y122" s="6"/>
      <c r="Z122" s="6"/>
      <c r="AA122" s="6"/>
    </row>
    <row r="123" spans="22:27" x14ac:dyDescent="0.2">
      <c r="V123" t="str">
        <f t="shared" si="1"/>
        <v xml:space="preserve"> AIR HERITAGEP5</v>
      </c>
      <c r="W123" t="s">
        <v>189</v>
      </c>
      <c r="X123" t="s">
        <v>11</v>
      </c>
      <c r="Y123" s="6">
        <v>2</v>
      </c>
      <c r="Z123" s="6">
        <v>2</v>
      </c>
      <c r="AA123" s="6">
        <v>0.24</v>
      </c>
    </row>
    <row r="124" spans="22:27" x14ac:dyDescent="0.2">
      <c r="V124" t="str">
        <f t="shared" si="1"/>
        <v xml:space="preserve"> AIR HERITAGEP6</v>
      </c>
      <c r="W124" t="s">
        <v>189</v>
      </c>
      <c r="X124" t="s">
        <v>12</v>
      </c>
      <c r="Y124" s="6">
        <v>27</v>
      </c>
      <c r="Z124" s="6">
        <v>27</v>
      </c>
      <c r="AA124" s="6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 x14ac:dyDescent="0.25">
      <c r="A2" s="9"/>
      <c r="B2" s="10" t="s">
        <v>22</v>
      </c>
      <c r="C2" s="10" t="s">
        <v>106</v>
      </c>
      <c r="D2" s="10" t="s">
        <v>107</v>
      </c>
      <c r="E2" s="10" t="s">
        <v>23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 x14ac:dyDescent="0.2">
      <c r="A3" s="4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 x14ac:dyDescent="0.2">
      <c r="A4" s="20" t="s">
        <v>35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 x14ac:dyDescent="0.2">
      <c r="A5" s="20" t="s">
        <v>27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 x14ac:dyDescent="0.2">
      <c r="A6" s="20" t="s">
        <v>28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 x14ac:dyDescent="0.2">
      <c r="A7" s="20" t="s">
        <v>29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 x14ac:dyDescent="0.2">
      <c r="A8" s="20" t="s">
        <v>37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 x14ac:dyDescent="0.2">
      <c r="A9" s="20" t="s">
        <v>30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 x14ac:dyDescent="0.2">
      <c r="A10" s="20" t="s">
        <v>24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 x14ac:dyDescent="0.2">
      <c r="A11" s="20" t="s">
        <v>31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 x14ac:dyDescent="0.2">
      <c r="A12" s="20" t="s">
        <v>32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 x14ac:dyDescent="0.2">
      <c r="A13" s="20" t="s">
        <v>33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 x14ac:dyDescent="0.2">
      <c r="A14" s="20" t="s">
        <v>39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 x14ac:dyDescent="0.2">
      <c r="A15" s="20" t="s">
        <v>36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 x14ac:dyDescent="0.2">
      <c r="A16" s="20" t="s">
        <v>52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 x14ac:dyDescent="0.2">
      <c r="A17" s="20" t="s">
        <v>48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 x14ac:dyDescent="0.2">
      <c r="A18" s="20" t="s">
        <v>49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 x14ac:dyDescent="0.2">
      <c r="A19" s="20" t="s">
        <v>50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 t="s">
        <v>187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 x14ac:dyDescent="0.2">
      <c r="A21" s="20" t="s">
        <v>188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 x14ac:dyDescent="0.2">
      <c r="A22" s="20" t="s">
        <v>186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 x14ac:dyDescent="0.2">
      <c r="A23" s="20" t="s">
        <v>53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 x14ac:dyDescent="0.2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1">
    <tabColor theme="9" tint="0.39997558519241921"/>
  </sheetPr>
  <dimension ref="A1:S31"/>
  <sheetViews>
    <sheetView showGridLines="0" tabSelected="1" view="pageBreakPreview" topLeftCell="A4" zoomScaleNormal="100" zoomScaleSheetLayoutView="100" workbookViewId="0">
      <selection activeCell="R11" sqref="R11"/>
    </sheetView>
  </sheetViews>
  <sheetFormatPr defaultColWidth="11" defaultRowHeight="35.1" customHeight="1" x14ac:dyDescent="0.2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10.42578125" style="1" customWidth="1"/>
    <col min="12" max="12" width="10" style="1" customWidth="1"/>
    <col min="13" max="13" width="9.140625" style="1" customWidth="1"/>
    <col min="14" max="14" width="10" style="1" customWidth="1"/>
    <col min="15" max="15" width="13.42578125" style="1" customWidth="1"/>
    <col min="16" max="16" width="11" style="1"/>
    <col min="17" max="17" width="11.28515625" style="1" customWidth="1"/>
    <col min="18" max="16384" width="11" style="1"/>
  </cols>
  <sheetData>
    <row r="1" spans="1:19" ht="24.95" customHeight="1" x14ac:dyDescent="0.2">
      <c r="A1" s="39" t="s">
        <v>190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1"/>
    </row>
    <row r="2" spans="1:19" ht="24.95" customHeight="1" x14ac:dyDescent="0.2">
      <c r="A2" s="39" t="s">
        <v>191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</row>
    <row r="3" spans="1:19" ht="32.25" customHeight="1" x14ac:dyDescent="0.2">
      <c r="A3" s="42" t="s">
        <v>192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4"/>
    </row>
    <row r="4" spans="1:19" ht="35.1" customHeight="1" x14ac:dyDescent="0.2">
      <c r="A4" s="45" t="s">
        <v>21</v>
      </c>
      <c r="B4" s="42" t="s">
        <v>6</v>
      </c>
      <c r="C4" s="43"/>
      <c r="D4" s="43"/>
      <c r="E4" s="44"/>
      <c r="F4" s="42" t="s">
        <v>5</v>
      </c>
      <c r="G4" s="43"/>
      <c r="H4" s="44"/>
      <c r="I4" s="42" t="s">
        <v>4</v>
      </c>
      <c r="J4" s="43"/>
      <c r="K4" s="43"/>
      <c r="L4" s="43"/>
      <c r="M4" s="43"/>
      <c r="N4" s="44"/>
      <c r="O4" s="45" t="s">
        <v>184</v>
      </c>
    </row>
    <row r="5" spans="1:19" ht="35.1" customHeight="1" x14ac:dyDescent="0.2">
      <c r="A5" s="46"/>
      <c r="B5" s="45" t="s">
        <v>20</v>
      </c>
      <c r="C5" s="45" t="s">
        <v>19</v>
      </c>
      <c r="D5" s="45" t="s">
        <v>18</v>
      </c>
      <c r="E5" s="45" t="s">
        <v>17</v>
      </c>
      <c r="F5" s="45" t="s">
        <v>3</v>
      </c>
      <c r="G5" s="45" t="s">
        <v>26</v>
      </c>
      <c r="H5" s="45" t="s">
        <v>13</v>
      </c>
      <c r="I5" s="42" t="s">
        <v>2</v>
      </c>
      <c r="J5" s="43"/>
      <c r="K5" s="44"/>
      <c r="L5" s="42" t="s">
        <v>1</v>
      </c>
      <c r="M5" s="43"/>
      <c r="N5" s="44"/>
      <c r="O5" s="46"/>
    </row>
    <row r="6" spans="1:19" ht="95.25" customHeight="1" x14ac:dyDescent="0.2">
      <c r="A6" s="51"/>
      <c r="B6" s="47"/>
      <c r="C6" s="47"/>
      <c r="D6" s="47"/>
      <c r="E6" s="47"/>
      <c r="F6" s="47"/>
      <c r="G6" s="47"/>
      <c r="H6" s="47"/>
      <c r="I6" s="37" t="s">
        <v>14</v>
      </c>
      <c r="J6" s="37" t="s">
        <v>15</v>
      </c>
      <c r="K6" s="37" t="s">
        <v>16</v>
      </c>
      <c r="L6" s="37" t="s">
        <v>14</v>
      </c>
      <c r="M6" s="37" t="s">
        <v>15</v>
      </c>
      <c r="N6" s="37" t="s">
        <v>16</v>
      </c>
      <c r="O6" s="47"/>
    </row>
    <row r="7" spans="1:19" ht="27" customHeight="1" x14ac:dyDescent="0.2">
      <c r="A7" s="2" t="s">
        <v>146</v>
      </c>
      <c r="B7" s="30">
        <v>3</v>
      </c>
      <c r="C7" s="31"/>
      <c r="D7" s="31"/>
      <c r="E7" s="31">
        <v>3</v>
      </c>
      <c r="F7" s="31">
        <v>238</v>
      </c>
      <c r="G7" s="36">
        <v>40.54</v>
      </c>
      <c r="H7" s="34">
        <v>347</v>
      </c>
      <c r="I7" s="30">
        <v>429</v>
      </c>
      <c r="J7" s="31">
        <v>226</v>
      </c>
      <c r="K7" s="31">
        <v>655</v>
      </c>
      <c r="L7" s="31">
        <v>5721</v>
      </c>
      <c r="M7" s="31">
        <v>3084</v>
      </c>
      <c r="N7" s="31">
        <v>8805</v>
      </c>
      <c r="O7" s="32">
        <f>N7/E7/365</f>
        <v>8.0410958904109595</v>
      </c>
      <c r="Q7" s="35"/>
    </row>
    <row r="8" spans="1:19" ht="22.5" customHeight="1" x14ac:dyDescent="0.2">
      <c r="A8" s="3" t="s">
        <v>147</v>
      </c>
      <c r="B8" s="30">
        <v>13</v>
      </c>
      <c r="C8" s="31"/>
      <c r="D8" s="31"/>
      <c r="E8" s="31">
        <v>13</v>
      </c>
      <c r="F8" s="31">
        <v>342</v>
      </c>
      <c r="G8" s="36">
        <v>57.59</v>
      </c>
      <c r="H8" s="34">
        <v>351</v>
      </c>
      <c r="I8" s="30">
        <v>2397</v>
      </c>
      <c r="J8" s="31">
        <v>269</v>
      </c>
      <c r="K8" s="31">
        <v>2666</v>
      </c>
      <c r="L8" s="31">
        <v>29978</v>
      </c>
      <c r="M8" s="31">
        <v>3407</v>
      </c>
      <c r="N8" s="31">
        <v>33385</v>
      </c>
      <c r="O8" s="32">
        <f t="shared" ref="O8:O14" si="0">N8/E8/365</f>
        <v>7.0358271865121171</v>
      </c>
      <c r="Q8" s="35"/>
    </row>
    <row r="9" spans="1:19" ht="22.5" customHeight="1" x14ac:dyDescent="0.2">
      <c r="A9" s="3" t="s">
        <v>149</v>
      </c>
      <c r="B9" s="30">
        <v>22</v>
      </c>
      <c r="C9" s="31"/>
      <c r="D9" s="31">
        <v>2</v>
      </c>
      <c r="E9" s="31">
        <v>20</v>
      </c>
      <c r="F9" s="31">
        <v>0</v>
      </c>
      <c r="G9" s="36">
        <v>13.18</v>
      </c>
      <c r="H9" s="34">
        <v>70</v>
      </c>
      <c r="I9" s="30">
        <v>13096</v>
      </c>
      <c r="J9" s="31">
        <v>716</v>
      </c>
      <c r="K9" s="31">
        <v>13812</v>
      </c>
      <c r="L9" s="31">
        <v>20544</v>
      </c>
      <c r="M9" s="31">
        <v>1162</v>
      </c>
      <c r="N9" s="31">
        <v>21707</v>
      </c>
      <c r="O9" s="32">
        <f t="shared" si="0"/>
        <v>2.9735616438356161</v>
      </c>
      <c r="Q9" s="35"/>
      <c r="S9" s="1" t="s">
        <v>0</v>
      </c>
    </row>
    <row r="10" spans="1:19" ht="22.5" customHeight="1" x14ac:dyDescent="0.2">
      <c r="A10" s="3" t="s">
        <v>150</v>
      </c>
      <c r="B10" s="30">
        <v>36</v>
      </c>
      <c r="C10" s="31"/>
      <c r="D10" s="31"/>
      <c r="E10" s="31">
        <v>36</v>
      </c>
      <c r="F10" s="31">
        <v>0</v>
      </c>
      <c r="G10" s="36">
        <v>15.66</v>
      </c>
      <c r="H10" s="34">
        <v>76</v>
      </c>
      <c r="I10" s="30">
        <v>47870</v>
      </c>
      <c r="J10" s="31">
        <v>4708</v>
      </c>
      <c r="K10" s="31">
        <v>52578</v>
      </c>
      <c r="L10" s="31">
        <v>100037</v>
      </c>
      <c r="M10" s="31">
        <v>10805</v>
      </c>
      <c r="N10" s="31">
        <v>110842</v>
      </c>
      <c r="O10" s="32">
        <f t="shared" si="0"/>
        <v>8.4354642313546417</v>
      </c>
      <c r="Q10" s="35"/>
    </row>
    <row r="11" spans="1:19" ht="22.5" customHeight="1" x14ac:dyDescent="0.2">
      <c r="A11" s="3" t="s">
        <v>151</v>
      </c>
      <c r="B11" s="30">
        <v>20</v>
      </c>
      <c r="C11" s="31"/>
      <c r="D11" s="31">
        <v>6</v>
      </c>
      <c r="E11" s="31">
        <v>14</v>
      </c>
      <c r="F11" s="33">
        <v>182</v>
      </c>
      <c r="G11" s="36">
        <v>21.17</v>
      </c>
      <c r="H11" s="34">
        <v>89</v>
      </c>
      <c r="I11" s="30">
        <v>17988</v>
      </c>
      <c r="J11" s="31">
        <v>1292</v>
      </c>
      <c r="K11" s="31">
        <v>19280</v>
      </c>
      <c r="L11" s="31">
        <v>37034</v>
      </c>
      <c r="M11" s="31">
        <v>3208</v>
      </c>
      <c r="N11" s="31">
        <v>40242</v>
      </c>
      <c r="O11" s="32">
        <f t="shared" si="0"/>
        <v>7.8751467710371825</v>
      </c>
      <c r="Q11" s="35"/>
    </row>
    <row r="12" spans="1:19" ht="22.5" customHeight="1" x14ac:dyDescent="0.2">
      <c r="A12" s="3" t="s">
        <v>148</v>
      </c>
      <c r="B12" s="30">
        <v>27</v>
      </c>
      <c r="C12" s="31"/>
      <c r="D12" s="31"/>
      <c r="E12" s="31">
        <v>27</v>
      </c>
      <c r="F12" s="33">
        <v>256</v>
      </c>
      <c r="G12" s="36">
        <v>34.82</v>
      </c>
      <c r="H12" s="34">
        <v>228</v>
      </c>
      <c r="I12" s="30">
        <v>8817</v>
      </c>
      <c r="J12" s="31">
        <v>3097</v>
      </c>
      <c r="K12" s="31">
        <v>11914</v>
      </c>
      <c r="L12" s="31">
        <v>48757</v>
      </c>
      <c r="M12" s="31">
        <v>14954</v>
      </c>
      <c r="N12" s="31">
        <v>63712</v>
      </c>
      <c r="O12" s="32">
        <f t="shared" si="0"/>
        <v>6.4649416539827502</v>
      </c>
      <c r="Q12" s="35"/>
    </row>
    <row r="13" spans="1:19" ht="22.5" customHeight="1" x14ac:dyDescent="0.2">
      <c r="A13" s="3" t="s">
        <v>145</v>
      </c>
      <c r="B13" s="30">
        <v>4</v>
      </c>
      <c r="C13" s="31"/>
      <c r="D13" s="31"/>
      <c r="E13" s="31">
        <v>4</v>
      </c>
      <c r="F13" s="31">
        <v>423</v>
      </c>
      <c r="G13" s="36">
        <v>53.4</v>
      </c>
      <c r="H13" s="34">
        <v>378</v>
      </c>
      <c r="I13" s="30">
        <v>0</v>
      </c>
      <c r="J13" s="31"/>
      <c r="K13" s="31"/>
      <c r="L13" s="31"/>
      <c r="M13" s="31"/>
      <c r="N13" s="31"/>
      <c r="O13" s="32">
        <f t="shared" si="0"/>
        <v>0</v>
      </c>
      <c r="Q13" s="35"/>
    </row>
    <row r="14" spans="1:19" ht="22.5" customHeight="1" x14ac:dyDescent="0.25">
      <c r="A14" s="29" t="s">
        <v>53</v>
      </c>
      <c r="B14" s="21">
        <v>125</v>
      </c>
      <c r="C14" s="24"/>
      <c r="D14" s="24">
        <v>8</v>
      </c>
      <c r="E14" s="24">
        <v>117</v>
      </c>
      <c r="F14" s="24">
        <v>1441</v>
      </c>
      <c r="G14" s="38">
        <v>236.35999999999999</v>
      </c>
      <c r="H14" s="24">
        <v>1539</v>
      </c>
      <c r="I14" s="24">
        <v>90597</v>
      </c>
      <c r="J14" s="24">
        <v>10308</v>
      </c>
      <c r="K14" s="24">
        <v>100905</v>
      </c>
      <c r="L14" s="24">
        <v>242071</v>
      </c>
      <c r="M14" s="24">
        <v>36620</v>
      </c>
      <c r="N14" s="24">
        <v>278693</v>
      </c>
      <c r="O14" s="32">
        <f t="shared" si="0"/>
        <v>6.5260039807985013</v>
      </c>
      <c r="Q14" s="35"/>
    </row>
    <row r="15" spans="1:19" ht="20.100000000000001" customHeight="1" x14ac:dyDescent="0.2">
      <c r="A15" s="48" t="s">
        <v>185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50"/>
      <c r="S15" s="1" t="s">
        <v>0</v>
      </c>
    </row>
    <row r="16" spans="1:19" ht="35.1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35.1" customHeight="1" x14ac:dyDescent="0.2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35.1" customHeight="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35.1" customHeight="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</row>
    <row r="20" spans="1:15" ht="35.1" customHeight="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</row>
    <row r="21" spans="1:15" ht="35.1" customHeight="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</row>
    <row r="22" spans="1:15" ht="35.1" customHeight="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ht="35.1" customHeight="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ht="35.1" customHeight="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</row>
    <row r="25" spans="1:15" ht="35.1" customHeight="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ht="35.1" customHeight="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</row>
    <row r="27" spans="1:15" ht="35.1" customHeight="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 ht="35.1" customHeight="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</row>
    <row r="29" spans="1:15" ht="35.1" customHeight="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</row>
    <row r="30" spans="1:15" ht="35.1" customHeight="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</row>
    <row r="31" spans="1:15" ht="35.1" customHeight="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</sheetData>
  <mergeCells count="18">
    <mergeCell ref="A15:O15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2023-02-09T10:23:59Z</cp:lastPrinted>
  <dcterms:created xsi:type="dcterms:W3CDTF">2002-12-26T09:18:20Z</dcterms:created>
  <dcterms:modified xsi:type="dcterms:W3CDTF">2023-02-09T10:24:07Z</dcterms:modified>
</cp:coreProperties>
</file>