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<sst xmlns="http://schemas.openxmlformats.org/spreadsheetml/2006/main" count="906" uniqueCount="215">
  <si>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</si>
  <si>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</si>
  <si>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</si>
  <si>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</si>
  <si>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</si>
  <si>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</si>
  <si>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</si>
  <si>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</si>
  <si>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</si>
  <si>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</si>
  <si>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</si>
  <si>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</si>
  <si>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</si>
  <si>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</si>
  <si>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</si>
  <si>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</si>
  <si>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</si>
  <si>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</si>
  <si>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</si>
  <si>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</si>
  <si>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</si>
  <si>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</si>
  <si>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</si>
  <si>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</si>
  <si>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</si>
  <si>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</si>
  <si>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</si>
  <si>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</si>
  <si>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</si>
  <si>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</si>
  <si>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</si>
  <si>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</si>
  <si>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</si>
  <si>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</si>
  <si>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</si>
  <si>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</si>
  <si>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</si>
  <si>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</si>
  <si>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</si>
  <si>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</si>
  <si>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</si>
  <si>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</si>
  <si>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</si>
  <si>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</si>
  <si>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</si>
  <si>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</si>
  <si>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</si>
  <si>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</si>
  <si>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</si>
  <si>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</si>
  <si>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</si>
  <si>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</si>
  <si>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</si>
  <si>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</si>
  <si>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</si>
  <si>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</si>
  <si>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</si>
  <si>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</si>
  <si>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</si>
  <si>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</si>
  <si>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</si>
  <si>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</si>
  <si>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</si>
  <si>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</si>
  <si>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</si>
  <si>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</si>
  <si>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</si>
  <si>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</si>
  <si>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</si>
  <si>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</si>
  <si>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</si>
  <si>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</si>
  <si>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</si>
  <si>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</si>
  <si>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</si>
  <si>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</si>
  <si>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</si>
  <si>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</si>
  <si>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</si>
  <si>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</si>
  <si>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</si>
  <si>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</si>
  <si>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</si>
  <si>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</si>
  <si>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</si>
  <si>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</si>
  <si>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</si>
  <si>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</si>
  <si>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</si>
  <si>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</si>
  <si>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</si>
  <si>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</si>
  <si>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</si>
  <si>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</si>
  <si>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</si>
  <si>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</si>
  <si>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</si>
  <si>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</si>
  <si>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</si>
  <si>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</si>
  <si>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</si>
  <si>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</si>
  <si>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</si>
  <si>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</si>
  <si>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</si>
  <si>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</si>
  <si>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</si>
  <si>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</si>
  <si>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</si>
  <si>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</si>
  <si>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</si>
  <si>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</si>
  <si>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</si>
  <si>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</si>
  <si>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</si>
  <si>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</si>
  <si>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</si>
  <si>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</si>
  <si>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</si>
  <si>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</si>
  <si>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</si>
  <si>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</si>
  <si>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</si>
  <si>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</si>
  <si>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</si>
  <si>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</si>
  <si>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</si>
  <si>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</si>
  <si>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</si>
  <si>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</si>
  <si>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</si>
  <si>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</si>
  <si>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</si>
  <si>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</si>
  <si>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</si>
  <si>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</si>
  <si>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</si>
  <si>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</si>
  <si>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</si>
  <si>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</si>
  <si>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</si>
  <si>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</si>
  <si>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</si>
  <si>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</si>
  <si>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</si>
  <si>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</si>
  <si>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</si>
  <si>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</si>
  <si>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</si>
  <si>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</si>
  <si>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</si>
  <si>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</si>
  <si>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</si>
  <si>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</si>
  <si>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</si>
  <si>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</si>
  <si>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</si>
  <si>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</si>
  <si>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</si>
  <si>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</si>
  <si>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</si>
  <si>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</si>
  <si>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</si>
  <si>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</si>
  <si>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</si>
  <si>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</si>
  <si>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</si>
  <si>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</si>
  <si>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</si>
  <si>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</si>
  <si>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</si>
  <si>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</si>
  <si>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</si>
  <si>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</si>
  <si>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</si>
  <si>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</si>
  <si>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</si>
  <si>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</si>
  <si>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</si>
  <si>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</si>
  <si>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</si>
  <si>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</si>
  <si>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</si>
  <si>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</si>
  <si>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</si>
  <si>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</si>
  <si>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</si>
  <si>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</si>
  <si>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</si>
  <si>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</si>
  <si>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</si>
  <si>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</si>
  <si>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</si>
  <si>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</si>
  <si>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</si>
  <si>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</si>
  <si>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</si>
  <si>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</si>
  <si>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</si>
  <si>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</si>
  <si>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</si>
  <si>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</si>
  <si>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</si>
  <si>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</si>
  <si>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</si>
  <si>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</si>
  <si>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</si>
  <si>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</si>
  <si>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(स्पाइसजेट) </t>
  </si>
  <si>
    <t>TABLE - 1.16 (SPICEJET)</t>
  </si>
  <si>
    <t>YEAR-WISE DETAILED FINANCIAL RESULTS OF SPICEJET</t>
  </si>
  <si>
    <t>SOURCE : ICAO ATR FORM-EF FURNISHED BY  SPICEJET</t>
  </si>
  <si>
    <t>2019-20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</si>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</sst>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9" fillId="2" borderId="0" xfId="4" applyFont="1" applyFill="1" applyBorder="1"/>
    <xf numFmtId="0" fontId="10" fillId="2" borderId="0" xfId="6" applyFont="1" applyFill="1" applyBorder="1" applyAlignment="1" applyProtection="1">
      <alignment vertical="center" wrapText="1"/>
    </xf>
    <xf numFmtId="166" fontId="10" fillId="2" borderId="2" xfId="4" applyFont="1" applyFill="1" applyBorder="1" applyAlignment="1">
      <alignment horizontal="center" vertical="center"/>
    </xf>
    <xf numFmtId="167" fontId="9" fillId="2" borderId="2" xfId="4" applyNumberFormat="1" applyFont="1" applyFill="1" applyBorder="1" applyAlignment="1">
      <alignment vertical="center"/>
    </xf>
    <xf numFmtId="166" fontId="9" fillId="2" borderId="2" xfId="4" applyFont="1" applyFill="1" applyBorder="1" applyAlignment="1"/>
    <xf numFmtId="166" fontId="9" fillId="2" borderId="1" xfId="4" applyFont="1" applyFill="1" applyBorder="1" applyAlignment="1" applyProtection="1">
      <alignment horizontal="left" vertical="center" wrapText="1" indent="3"/>
    </xf>
    <xf numFmtId="166" fontId="9" fillId="2" borderId="2" xfId="4" applyFont="1" applyFill="1" applyBorder="1"/>
    <xf numFmtId="166" fontId="10" fillId="2" borderId="1" xfId="4" applyFont="1" applyFill="1" applyBorder="1" applyAlignment="1" applyProtection="1">
      <alignment horizontal="left" vertical="center" wrapText="1" indent="1"/>
    </xf>
    <xf numFmtId="166" fontId="10" fillId="3" borderId="1" xfId="4" applyFont="1" applyFill="1" applyBorder="1" applyAlignment="1" applyProtection="1">
      <alignment horizontal="left" vertical="center" wrapText="1"/>
    </xf>
    <xf numFmtId="166" fontId="9" fillId="2" borderId="1" xfId="4" quotePrefix="1" applyFont="1" applyFill="1" applyBorder="1" applyAlignment="1" applyProtection="1">
      <alignment horizontal="left" vertical="center" wrapText="1" indent="1"/>
    </xf>
    <xf numFmtId="166" fontId="10" fillId="2" borderId="1" xfId="4" applyFont="1" applyFill="1" applyBorder="1" applyAlignment="1" applyProtection="1">
      <alignment horizontal="left" vertical="center" wrapText="1"/>
    </xf>
    <xf numFmtId="0" fontId="5" fillId="0" borderId="0" xfId="5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vertical="top" wrapText="1"/>
    </xf>
    <xf numFmtId="168" fontId="12" fillId="6" borderId="4" xfId="8" applyNumberFormat="1" applyFont="1" applyFill="1" applyBorder="1" applyAlignment="1" applyProtection="1">
      <alignment horizontal="left" vertical="center"/>
    </xf>
    <xf numFmtId="168" fontId="12" fillId="6" borderId="4" xfId="8" applyNumberFormat="1" applyFont="1" applyFill="1" applyBorder="1" applyAlignment="1" applyProtection="1">
      <alignment vertical="center"/>
    </xf>
    <xf numFmtId="168" fontId="13" fillId="6" borderId="3" xfId="8" applyNumberFormat="1" applyFont="1" applyFill="1" applyBorder="1" applyAlignment="1" applyProtection="1">
      <alignment vertical="center"/>
    </xf>
    <xf numFmtId="168" fontId="12" fillId="6" borderId="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0" fillId="2" borderId="1" xfId="4" applyNumberFormat="1" applyFont="1" applyFill="1" applyBorder="1" applyAlignment="1" applyProtection="1">
      <alignment horizontal="right" wrapText="1"/>
    </xf>
    <xf numFmtId="165" fontId="10" fillId="3" borderId="1" xfId="4" applyNumberFormat="1" applyFont="1" applyFill="1" applyBorder="1" applyAlignment="1" applyProtection="1">
      <alignment horizontal="right" wrapText="1"/>
    </xf>
    <xf numFmtId="165" fontId="9" fillId="2" borderId="1" xfId="4" applyNumberFormat="1" applyFont="1" applyFill="1" applyBorder="1" applyAlignment="1" applyProtection="1">
      <alignment horizontal="right" wrapText="1"/>
    </xf>
    <xf numFmtId="165" fontId="9" fillId="2" borderId="1" xfId="4" applyNumberFormat="1" applyFont="1" applyFill="1" applyBorder="1" applyAlignment="1">
      <alignment horizontal="right" wrapText="1"/>
    </xf>
    <xf numFmtId="165" fontId="9" fillId="4" borderId="1" xfId="4" applyNumberFormat="1" applyFont="1" applyFill="1" applyBorder="1" applyAlignment="1">
      <alignment horizontal="right" wrapText="1"/>
    </xf>
    <xf numFmtId="165" fontId="9" fillId="2" borderId="1" xfId="4" quotePrefix="1" applyNumberFormat="1" applyFont="1" applyFill="1" applyBorder="1" applyAlignment="1" applyProtection="1">
      <alignment horizontal="right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0" fontId="10" fillId="2" borderId="1" xfId="6" applyFont="1" applyFill="1" applyBorder="1" applyAlignment="1" applyProtection="1">
      <alignment horizontal="center" vertical="center" wrapText="1"/>
    </xf>
    <xf numFmtId="0" fontId="10" fillId="2" borderId="1" xfId="6" quotePrefix="1" applyFont="1" applyFill="1" applyBorder="1" applyAlignment="1" applyProtection="1">
      <alignment horizontal="center" vertical="center" wrapText="1"/>
    </xf>
    <xf numFmtId="0" fontId="6" fillId="2" borderId="1" xfId="2" applyFont="1" applyFill="1" applyBorder="1" applyAlignment="1" applyProtection="1">
      <alignment vertical="center"/>
    </xf>
    <xf numFmtId="0" fontId="10" fillId="2" borderId="1" xfId="6" applyFont="1" applyFill="1" applyBorder="1" applyAlignment="1" applyProtection="1">
      <alignment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9" fillId="2" borderId="1" xfId="4" quotePrefix="1" applyFont="1" applyFill="1" applyBorder="1" applyAlignment="1">
      <alignment horizontal="right"/>
    </xf>
    <xf numFmtId="0" fontId="10" fillId="2" borderId="6" xfId="6" applyFont="1" applyFill="1" applyBorder="1" applyAlignment="1" applyProtection="1">
      <alignment horizontal="center" vertical="center" wrapText="1"/>
    </xf>
    <xf numFmtId="166" fontId="19" fillId="2" borderId="7" xfId="4" applyFont="1" applyFill="1" applyBorder="1" applyAlignment="1">
      <alignment horizontal="center" vertical="center" wrapText="1"/>
    </xf>
    <xf numFmtId="166" fontId="19" fillId="2" borderId="8" xfId="4" applyFont="1" applyFill="1" applyBorder="1" applyAlignment="1">
      <alignment horizontal="center" vertical="center" wrapText="1"/>
    </xf>
    <xf numFmtId="166" fontId="19" fillId="2" borderId="9" xfId="4" applyFont="1" applyFill="1" applyBorder="1" applyAlignment="1">
      <alignment horizontal="center" vertical="center" wrapText="1"/>
    </xf>
    <xf numFmtId="0" fontId="10" fillId="2" borderId="10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0" fillId="2" borderId="12" xfId="6" quotePrefix="1" applyFont="1" applyFill="1" applyBorder="1" applyAlignment="1" applyProtection="1">
      <alignment horizontal="center" vertical="center" wrapText="1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9" t="s">
        <v>121</v>
      </c>
      <c r="B1" s="19" t="s">
        <v>121</v>
      </c>
      <c r="C1" s="19" t="s">
        <v>121</v>
      </c>
      <c r="D1" s="19" t="s">
        <v>121</v>
      </c>
      <c r="E1" s="19" t="s">
        <v>121</v>
      </c>
      <c r="F1" s="19" t="s">
        <v>121</v>
      </c>
      <c r="G1" s="19" t="s">
        <v>121</v>
      </c>
      <c r="H1" s="19" t="s">
        <v>121</v>
      </c>
      <c r="I1" s="19" t="s">
        <v>121</v>
      </c>
      <c r="J1" s="19" t="s">
        <v>121</v>
      </c>
      <c r="K1" s="19" t="s">
        <v>121</v>
      </c>
      <c r="L1" s="19" t="s">
        <v>121</v>
      </c>
      <c r="M1" s="19" t="s">
        <v>121</v>
      </c>
      <c r="N1" s="19" t="s">
        <v>121</v>
      </c>
      <c r="O1" s="19" t="s">
        <v>121</v>
      </c>
      <c r="P1" s="19" t="s">
        <v>121</v>
      </c>
      <c r="Q1" s="19" t="s">
        <v>121</v>
      </c>
      <c r="R1" s="19" t="s">
        <v>121</v>
      </c>
      <c r="S1" s="19" t="s">
        <v>121</v>
      </c>
      <c r="T1" s="19" t="s">
        <v>121</v>
      </c>
      <c r="U1" s="19" t="s">
        <v>121</v>
      </c>
      <c r="V1" s="19" t="s">
        <v>121</v>
      </c>
      <c r="W1" s="19" t="s">
        <v>121</v>
      </c>
      <c r="X1" s="19" t="s">
        <v>121</v>
      </c>
      <c r="Y1" s="19" t="s">
        <v>121</v>
      </c>
      <c r="Z1" s="19" t="s">
        <v>121</v>
      </c>
      <c r="AA1" s="19" t="s">
        <v>121</v>
      </c>
      <c r="AB1" s="19" t="s">
        <v>121</v>
      </c>
      <c r="AC1" s="19" t="s">
        <v>121</v>
      </c>
      <c r="AD1" s="19" t="s">
        <v>121</v>
      </c>
      <c r="AE1" s="19" t="s">
        <v>121</v>
      </c>
      <c r="AF1" s="19" t="s">
        <v>121</v>
      </c>
      <c r="AG1" s="19" t="s">
        <v>121</v>
      </c>
      <c r="AH1" s="19" t="s">
        <v>121</v>
      </c>
      <c r="AI1" s="19" t="s">
        <v>121</v>
      </c>
      <c r="AJ1" s="19" t="s">
        <v>121</v>
      </c>
      <c r="AK1" s="19" t="s">
        <v>121</v>
      </c>
      <c r="AQ1" s="15" t="s">
        <v>56</v>
      </c>
      <c r="AR1" t="s">
        <v>46</v>
      </c>
    </row>
    <row r="2" spans="1:57">
      <c r="A2" s="19" t="s">
        <v>121</v>
      </c>
      <c r="B2" s="37" t="e">
        <f>#REF!</f>
        <v>#REF!</v>
      </c>
      <c r="C2" s="19" t="s">
        <v>121</v>
      </c>
      <c r="D2" s="19" t="s">
        <v>121</v>
      </c>
      <c r="E2" s="19" t="s">
        <v>121</v>
      </c>
      <c r="F2" s="19" t="s">
        <v>121</v>
      </c>
      <c r="G2" s="19" t="s">
        <v>121</v>
      </c>
      <c r="H2" s="19" t="s">
        <v>121</v>
      </c>
      <c r="I2" s="19" t="s">
        <v>121</v>
      </c>
      <c r="J2" s="19" t="s">
        <v>121</v>
      </c>
      <c r="K2" s="19" t="s">
        <v>121</v>
      </c>
      <c r="L2" s="19" t="s">
        <v>121</v>
      </c>
      <c r="M2" s="19" t="s">
        <v>121</v>
      </c>
      <c r="N2" s="19" t="s">
        <v>121</v>
      </c>
      <c r="O2" s="19" t="s">
        <v>121</v>
      </c>
      <c r="P2" s="19" t="s">
        <v>121</v>
      </c>
      <c r="Q2" s="19" t="s">
        <v>121</v>
      </c>
      <c r="R2" s="19" t="s">
        <v>121</v>
      </c>
      <c r="S2" s="19" t="s">
        <v>121</v>
      </c>
      <c r="T2" s="19" t="s">
        <v>121</v>
      </c>
      <c r="U2" s="19" t="s">
        <v>121</v>
      </c>
      <c r="V2" s="19" t="s">
        <v>121</v>
      </c>
      <c r="W2" s="19" t="s">
        <v>121</v>
      </c>
      <c r="X2" s="19" t="s">
        <v>121</v>
      </c>
      <c r="Y2" s="19" t="s">
        <v>121</v>
      </c>
      <c r="Z2" s="19" t="s">
        <v>121</v>
      </c>
      <c r="AA2" s="19" t="s">
        <v>121</v>
      </c>
      <c r="AB2" s="19" t="s">
        <v>121</v>
      </c>
      <c r="AC2" s="19" t="s">
        <v>121</v>
      </c>
      <c r="AD2" s="19" t="s">
        <v>121</v>
      </c>
      <c r="AE2" s="19" t="s">
        <v>121</v>
      </c>
      <c r="AF2" s="19" t="s">
        <v>121</v>
      </c>
      <c r="AG2" s="19" t="s">
        <v>121</v>
      </c>
      <c r="AH2" s="19" t="s">
        <v>121</v>
      </c>
      <c r="AI2" s="19" t="s">
        <v>121</v>
      </c>
      <c r="AJ2" s="19" t="s">
        <v>121</v>
      </c>
      <c r="AK2" s="19" t="s">
        <v>121</v>
      </c>
    </row>
    <row r="3" spans="1:57" ht="15.75" customHeight="1">
      <c r="A3" s="15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19" t="s">
        <v>121</v>
      </c>
      <c r="L3" s="19" t="s">
        <v>121</v>
      </c>
      <c r="M3" s="19" t="s">
        <v>121</v>
      </c>
      <c r="N3" s="19" t="s">
        <v>121</v>
      </c>
      <c r="O3" s="19" t="s">
        <v>121</v>
      </c>
      <c r="P3" s="19" t="s">
        <v>121</v>
      </c>
      <c r="Q3" s="19" t="s">
        <v>121</v>
      </c>
      <c r="R3" s="19" t="s">
        <v>121</v>
      </c>
      <c r="S3" s="19" t="s">
        <v>121</v>
      </c>
      <c r="T3" s="33" t="s">
        <v>121</v>
      </c>
      <c r="U3" s="15" t="s">
        <v>56</v>
      </c>
      <c r="V3" s="15" t="s">
        <v>57</v>
      </c>
      <c r="W3" s="15" t="s">
        <v>71</v>
      </c>
      <c r="X3" s="15" t="s">
        <v>72</v>
      </c>
      <c r="Y3" s="15" t="s">
        <v>73</v>
      </c>
      <c r="Z3" s="15" t="s">
        <v>74</v>
      </c>
      <c r="AA3" s="15" t="s">
        <v>58</v>
      </c>
      <c r="AB3" s="15" t="s">
        <v>59</v>
      </c>
      <c r="AC3" s="15" t="s">
        <v>60</v>
      </c>
      <c r="AD3" s="15" t="s">
        <v>75</v>
      </c>
      <c r="AE3" s="15" t="s">
        <v>76</v>
      </c>
      <c r="AF3" s="15" t="s">
        <v>77</v>
      </c>
      <c r="AG3" s="15" t="s">
        <v>78</v>
      </c>
      <c r="AH3" s="15" t="s">
        <v>79</v>
      </c>
      <c r="AI3" s="15" t="s">
        <v>80</v>
      </c>
      <c r="AJ3" s="15" t="s">
        <v>81</v>
      </c>
      <c r="AK3" s="15" t="s">
        <v>82</v>
      </c>
      <c r="AQ3" s="15" t="s">
        <v>57</v>
      </c>
      <c r="AR3" s="15" t="s">
        <v>71</v>
      </c>
      <c r="AS3" s="15" t="s">
        <v>72</v>
      </c>
      <c r="AT3" s="15" t="s">
        <v>73</v>
      </c>
      <c r="AU3" s="15" t="s">
        <v>74</v>
      </c>
      <c r="AV3" s="15" t="s">
        <v>58</v>
      </c>
      <c r="AW3" s="15" t="s">
        <v>59</v>
      </c>
      <c r="AX3" s="15" t="s">
        <v>60</v>
      </c>
      <c r="AY3" s="15" t="s">
        <v>75</v>
      </c>
      <c r="AZ3" s="15" t="s">
        <v>76</v>
      </c>
      <c r="BA3" s="15" t="s">
        <v>78</v>
      </c>
      <c r="BB3" s="15" t="s">
        <v>79</v>
      </c>
      <c r="BC3" s="15" t="s">
        <v>80</v>
      </c>
      <c r="BD3" s="15" t="s">
        <v>82</v>
      </c>
    </row>
    <row r="4" spans="1:57" ht="15.75" customHeight="1">
      <c r="A4" s="16" t="s">
        <v>40</v>
      </c>
      <c r="B4" s="17">
        <v>217</v>
      </c>
      <c r="C4" s="17">
        <v>448904</v>
      </c>
      <c r="D4" s="17">
        <v>0</v>
      </c>
      <c r="E4" s="17"/>
      <c r="F4" s="17">
        <v>448904</v>
      </c>
      <c r="G4" s="17">
        <v>853552</v>
      </c>
      <c r="H4" s="17">
        <v>0</v>
      </c>
      <c r="I4" s="17"/>
      <c r="J4" s="17">
        <v>853552</v>
      </c>
      <c r="T4" s="34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6" t="s">
        <v>68</v>
      </c>
      <c r="B5" s="17"/>
      <c r="C5" s="17"/>
      <c r="D5" s="17"/>
      <c r="E5" s="17"/>
      <c r="F5" s="17"/>
      <c r="G5" s="17"/>
      <c r="H5" s="17"/>
      <c r="I5" s="17"/>
      <c r="J5" s="17"/>
      <c r="T5" s="34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35"/>
    </row>
    <row r="6" spans="1:57">
      <c r="A6" s="16" t="s">
        <v>46</v>
      </c>
      <c r="B6" s="17">
        <v>49</v>
      </c>
      <c r="C6" s="17">
        <v>80002</v>
      </c>
      <c r="D6" s="17">
        <v>3</v>
      </c>
      <c r="E6" s="17"/>
      <c r="F6" s="17">
        <v>80005</v>
      </c>
      <c r="G6" s="17">
        <v>13925</v>
      </c>
      <c r="H6" s="17">
        <v>5</v>
      </c>
      <c r="I6" s="17"/>
      <c r="J6" s="17">
        <v>13930</v>
      </c>
      <c r="T6" s="34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35"/>
    </row>
    <row r="7" spans="1:57">
      <c r="A7" s="16" t="s">
        <v>43</v>
      </c>
      <c r="B7" s="17">
        <v>128</v>
      </c>
      <c r="C7" s="17">
        <v>242899</v>
      </c>
      <c r="D7" s="17">
        <v>5156</v>
      </c>
      <c r="E7" s="17"/>
      <c r="F7" s="17">
        <v>248055</v>
      </c>
      <c r="G7" s="17">
        <v>705286</v>
      </c>
      <c r="H7" s="17">
        <v>7418</v>
      </c>
      <c r="I7" s="17"/>
      <c r="J7" s="17">
        <v>712704</v>
      </c>
      <c r="T7" s="34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16" t="s">
        <v>44</v>
      </c>
      <c r="B8" s="17">
        <v>25</v>
      </c>
      <c r="C8" s="17">
        <v>30864</v>
      </c>
      <c r="D8" s="17">
        <v>0</v>
      </c>
      <c r="E8" s="17"/>
      <c r="F8" s="17">
        <v>30864</v>
      </c>
      <c r="G8" s="17">
        <v>102412</v>
      </c>
      <c r="H8" s="17">
        <v>0</v>
      </c>
      <c r="I8" s="17"/>
      <c r="J8" s="17">
        <v>102412</v>
      </c>
      <c r="T8" s="34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16" t="s">
        <v>45</v>
      </c>
      <c r="B9" s="17">
        <v>19</v>
      </c>
      <c r="C9" s="17">
        <v>28981</v>
      </c>
      <c r="D9" s="17"/>
      <c r="E9" s="17"/>
      <c r="F9" s="17">
        <v>28981</v>
      </c>
      <c r="G9" s="17">
        <v>51693</v>
      </c>
      <c r="H9" s="17"/>
      <c r="I9" s="17"/>
      <c r="J9" s="17">
        <v>51693</v>
      </c>
      <c r="T9" s="34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16" t="s">
        <v>49</v>
      </c>
      <c r="B10" s="17">
        <v>78</v>
      </c>
      <c r="C10" s="17">
        <v>156576</v>
      </c>
      <c r="D10" s="17">
        <v>41</v>
      </c>
      <c r="E10" s="17"/>
      <c r="F10" s="17">
        <v>156617</v>
      </c>
      <c r="G10" s="17">
        <v>230512</v>
      </c>
      <c r="H10" s="17">
        <v>56</v>
      </c>
      <c r="I10" s="17"/>
      <c r="J10" s="17">
        <v>230568</v>
      </c>
      <c r="T10" s="34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16" t="s">
        <v>51</v>
      </c>
      <c r="B11" s="17">
        <v>20</v>
      </c>
      <c r="C11" s="17">
        <v>47899</v>
      </c>
      <c r="D11" s="17">
        <v>270</v>
      </c>
      <c r="E11" s="17"/>
      <c r="F11" s="17">
        <v>48169</v>
      </c>
      <c r="G11" s="17">
        <v>71340</v>
      </c>
      <c r="H11" s="17">
        <v>174</v>
      </c>
      <c r="I11" s="17"/>
      <c r="J11" s="17">
        <v>71514</v>
      </c>
      <c r="T11" s="34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16" t="s">
        <v>52</v>
      </c>
      <c r="B12" s="17">
        <v>22</v>
      </c>
      <c r="C12" s="17">
        <v>40645</v>
      </c>
      <c r="D12" s="17">
        <v>14</v>
      </c>
      <c r="E12" s="17"/>
      <c r="F12" s="17">
        <v>40659</v>
      </c>
      <c r="G12" s="17">
        <v>39537</v>
      </c>
      <c r="H12" s="17">
        <v>90</v>
      </c>
      <c r="I12" s="17"/>
      <c r="J12" s="17">
        <v>39627</v>
      </c>
      <c r="T12" s="34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16" t="s">
        <v>196</v>
      </c>
      <c r="B13" s="17">
        <v>6</v>
      </c>
      <c r="C13" s="17">
        <v>5806</v>
      </c>
      <c r="D13" s="17">
        <v>0</v>
      </c>
      <c r="E13" s="17"/>
      <c r="F13" s="17">
        <v>5806</v>
      </c>
      <c r="G13" s="17">
        <v>10550</v>
      </c>
      <c r="H13" s="17">
        <v>0</v>
      </c>
      <c r="I13" s="17"/>
      <c r="J13" s="17">
        <v>10550</v>
      </c>
      <c r="T13" s="34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16" t="s">
        <v>55</v>
      </c>
      <c r="B14" s="17">
        <v>5</v>
      </c>
      <c r="C14" s="17">
        <v>11785</v>
      </c>
      <c r="D14" s="17">
        <v>5</v>
      </c>
      <c r="E14" s="17"/>
      <c r="F14" s="17">
        <v>11790</v>
      </c>
      <c r="G14" s="17">
        <v>14792</v>
      </c>
      <c r="H14" s="17">
        <v>10</v>
      </c>
      <c r="I14" s="17"/>
      <c r="J14" s="17">
        <v>14802</v>
      </c>
      <c r="T14" s="34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16" t="s">
        <v>64</v>
      </c>
      <c r="B15" s="17">
        <v>172</v>
      </c>
      <c r="C15" s="17">
        <v>302744</v>
      </c>
      <c r="D15" s="17">
        <v>5156</v>
      </c>
      <c r="E15" s="17">
        <v>0</v>
      </c>
      <c r="F15" s="17">
        <v>307900</v>
      </c>
      <c r="G15" s="17">
        <v>859391</v>
      </c>
      <c r="H15" s="17">
        <v>7418</v>
      </c>
      <c r="I15" s="17">
        <v>0</v>
      </c>
      <c r="J15" s="17">
        <v>866809</v>
      </c>
      <c r="T15" s="34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16" t="s">
        <v>65</v>
      </c>
      <c r="B16" s="17">
        <v>272</v>
      </c>
      <c r="C16" s="17">
        <v>534712</v>
      </c>
      <c r="D16" s="17">
        <v>3</v>
      </c>
      <c r="E16" s="17">
        <v>0</v>
      </c>
      <c r="F16" s="17">
        <v>534715</v>
      </c>
      <c r="G16" s="17">
        <v>878027</v>
      </c>
      <c r="H16" s="17">
        <v>5</v>
      </c>
      <c r="I16" s="17">
        <v>0</v>
      </c>
      <c r="J16" s="17">
        <v>878032</v>
      </c>
      <c r="T16" s="34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16" t="s">
        <v>66</v>
      </c>
      <c r="B17" s="17">
        <v>572</v>
      </c>
      <c r="C17" s="17">
        <v>1095757</v>
      </c>
      <c r="D17" s="17">
        <v>5523</v>
      </c>
      <c r="E17" s="17">
        <v>0</v>
      </c>
      <c r="F17" s="17">
        <v>1101280</v>
      </c>
      <c r="G17" s="17">
        <v>2094936</v>
      </c>
      <c r="H17" s="17">
        <v>7769</v>
      </c>
      <c r="I17" s="17">
        <v>0</v>
      </c>
      <c r="J17" s="17">
        <v>2102705</v>
      </c>
      <c r="T17" s="34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16" t="s">
        <v>204</v>
      </c>
      <c r="B18" s="17">
        <v>2</v>
      </c>
      <c r="C18" s="17">
        <v>1370</v>
      </c>
      <c r="D18" s="17">
        <v>34</v>
      </c>
      <c r="E18" s="17"/>
      <c r="F18" s="17">
        <v>1404</v>
      </c>
      <c r="G18" s="17">
        <v>1289</v>
      </c>
      <c r="H18" s="17">
        <v>16</v>
      </c>
      <c r="I18" s="17"/>
      <c r="J18" s="17">
        <v>1305</v>
      </c>
      <c r="T18" s="34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16" t="s">
        <v>205</v>
      </c>
      <c r="B19" s="17">
        <v>1</v>
      </c>
      <c r="C19" s="17">
        <v>26</v>
      </c>
      <c r="D19" s="17"/>
      <c r="E19" s="17"/>
      <c r="F19" s="17">
        <v>26</v>
      </c>
      <c r="G19" s="17">
        <v>48</v>
      </c>
      <c r="H19" s="17"/>
      <c r="I19" s="17"/>
      <c r="J19" s="17">
        <v>48</v>
      </c>
      <c r="T19" s="34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16" t="s">
        <v>69</v>
      </c>
      <c r="B20" s="17">
        <v>1588</v>
      </c>
      <c r="C20" s="17">
        <v>3028970</v>
      </c>
      <c r="D20" s="17">
        <v>16205</v>
      </c>
      <c r="E20" s="17">
        <v>0</v>
      </c>
      <c r="F20" s="17">
        <v>3045175</v>
      </c>
      <c r="G20" s="17">
        <v>5927290</v>
      </c>
      <c r="H20" s="17">
        <v>22961</v>
      </c>
      <c r="I20" s="17">
        <v>0</v>
      </c>
      <c r="J20" s="17">
        <v>5950251</v>
      </c>
      <c r="T20" s="34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34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34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34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34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34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34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34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34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34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34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34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34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34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34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34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34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34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34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34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34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34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34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34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34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34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34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34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34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34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34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34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34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34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5" t="s">
        <v>67</v>
      </c>
      <c r="B3" t="s">
        <v>86</v>
      </c>
      <c r="C3" t="s">
        <v>96</v>
      </c>
      <c r="V3" s="18" t="s">
        <v>97</v>
      </c>
      <c r="W3" s="15" t="s">
        <v>61</v>
      </c>
      <c r="X3" s="15" t="s">
        <v>83</v>
      </c>
      <c r="Y3" t="s">
        <v>95</v>
      </c>
      <c r="Z3" t="s">
        <v>86</v>
      </c>
      <c r="AA3" t="s">
        <v>96</v>
      </c>
    </row>
    <row r="4" spans="1:27">
      <c r="A4" s="16" t="s">
        <v>51</v>
      </c>
      <c r="B4" s="17">
        <v>2467</v>
      </c>
      <c r="C4" s="17">
        <v>3806.1423290000002</v>
      </c>
      <c r="V4" t="str">
        <f>W4&amp;X4</f>
        <v>AIR ASIAP1</v>
      </c>
      <c r="W4" t="s">
        <v>51</v>
      </c>
      <c r="X4" t="s">
        <v>4</v>
      </c>
      <c r="Y4" s="17">
        <v>263</v>
      </c>
      <c r="Z4" s="17">
        <v>311</v>
      </c>
      <c r="AA4" s="17">
        <v>1997.191354</v>
      </c>
    </row>
    <row r="5" spans="1:27">
      <c r="A5" s="16" t="s">
        <v>43</v>
      </c>
      <c r="B5" s="17">
        <v>9992</v>
      </c>
      <c r="C5" s="17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17"/>
      <c r="Z5" s="17"/>
      <c r="AA5" s="17"/>
    </row>
    <row r="6" spans="1:27">
      <c r="A6" s="16" t="s">
        <v>44</v>
      </c>
      <c r="B6" s="17">
        <v>1472</v>
      </c>
      <c r="C6" s="17">
        <v>2956.1</v>
      </c>
      <c r="V6" t="str">
        <f t="shared" si="0"/>
        <v>AIR ASIAP3</v>
      </c>
      <c r="W6" t="s">
        <v>51</v>
      </c>
      <c r="X6" t="s">
        <v>6</v>
      </c>
      <c r="Y6" s="17">
        <v>476</v>
      </c>
      <c r="Z6" s="17">
        <v>488</v>
      </c>
      <c r="AA6" s="17">
        <v>399.74493799999999</v>
      </c>
    </row>
    <row r="7" spans="1:27">
      <c r="A7" s="16" t="s">
        <v>66</v>
      </c>
      <c r="B7" s="17">
        <v>61052</v>
      </c>
      <c r="C7" s="17">
        <v>93775.981349000009</v>
      </c>
      <c r="V7" t="str">
        <f t="shared" si="0"/>
        <v>AIR ASIAP4</v>
      </c>
      <c r="W7" t="s">
        <v>51</v>
      </c>
      <c r="X7" t="s">
        <v>7</v>
      </c>
      <c r="Y7" s="17">
        <v>180</v>
      </c>
      <c r="Z7" s="17">
        <v>199</v>
      </c>
      <c r="AA7" s="17">
        <v>337.623289</v>
      </c>
    </row>
    <row r="8" spans="1:27">
      <c r="A8" s="16" t="s">
        <v>45</v>
      </c>
      <c r="B8" s="17">
        <v>648</v>
      </c>
      <c r="C8" s="17">
        <v>1392.7165519999999</v>
      </c>
      <c r="V8" t="str">
        <f t="shared" si="0"/>
        <v>AIR ASIAP4.1</v>
      </c>
      <c r="W8" t="s">
        <v>51</v>
      </c>
      <c r="X8" t="s">
        <v>62</v>
      </c>
      <c r="Y8" s="17">
        <v>180</v>
      </c>
      <c r="Z8" s="17">
        <v>199</v>
      </c>
      <c r="AA8" s="17">
        <v>337.623289</v>
      </c>
    </row>
    <row r="9" spans="1:27">
      <c r="A9" s="16" t="s">
        <v>53</v>
      </c>
      <c r="B9" s="17">
        <v>1389</v>
      </c>
      <c r="C9" s="17">
        <v>1617.18</v>
      </c>
      <c r="V9" t="str">
        <f t="shared" si="0"/>
        <v>AIR ASIAP4.2</v>
      </c>
      <c r="W9" t="s">
        <v>51</v>
      </c>
      <c r="X9" t="s">
        <v>63</v>
      </c>
      <c r="Y9" s="17"/>
      <c r="Z9" s="17"/>
      <c r="AA9" s="17"/>
    </row>
    <row r="10" spans="1:27">
      <c r="A10" s="16" t="s">
        <v>46</v>
      </c>
      <c r="B10" s="17">
        <v>4140</v>
      </c>
      <c r="C10" s="17">
        <v>6380</v>
      </c>
      <c r="V10" t="str">
        <f t="shared" si="0"/>
        <v>AIR ASIAP5</v>
      </c>
      <c r="W10" t="s">
        <v>51</v>
      </c>
      <c r="X10" t="s">
        <v>8</v>
      </c>
      <c r="Y10" s="17"/>
      <c r="Z10" s="17"/>
      <c r="AA10" s="17"/>
    </row>
    <row r="11" spans="1:27">
      <c r="A11" s="16" t="s">
        <v>40</v>
      </c>
      <c r="B11" s="17">
        <v>25201</v>
      </c>
      <c r="C11" s="17">
        <v>33290.79</v>
      </c>
      <c r="V11" t="str">
        <f t="shared" si="0"/>
        <v>AIR ASIAP6</v>
      </c>
      <c r="W11" t="s">
        <v>51</v>
      </c>
      <c r="X11" t="s">
        <v>9</v>
      </c>
      <c r="Y11" s="17">
        <v>1253</v>
      </c>
      <c r="Z11" s="17">
        <v>1270</v>
      </c>
      <c r="AA11" s="17">
        <v>733.95945900000004</v>
      </c>
    </row>
    <row r="12" spans="1:27">
      <c r="A12" s="16" t="s">
        <v>64</v>
      </c>
      <c r="B12" s="17">
        <v>12112</v>
      </c>
      <c r="C12" s="17">
        <v>34401.086552000001</v>
      </c>
      <c r="V12" t="str">
        <f t="shared" si="0"/>
        <v>AIR INDIAP1</v>
      </c>
      <c r="W12" t="s">
        <v>43</v>
      </c>
      <c r="X12" t="s">
        <v>4</v>
      </c>
      <c r="Y12" s="17">
        <v>1329</v>
      </c>
      <c r="Z12" s="17">
        <v>1318</v>
      </c>
      <c r="AA12" s="17">
        <v>12079.48</v>
      </c>
    </row>
    <row r="13" spans="1:27">
      <c r="A13" s="16" t="s">
        <v>65</v>
      </c>
      <c r="B13" s="17">
        <v>48940</v>
      </c>
      <c r="C13" s="17">
        <v>59374.894797000001</v>
      </c>
      <c r="V13" t="str">
        <f t="shared" si="0"/>
        <v>AIR INDIAP2</v>
      </c>
      <c r="W13" t="s">
        <v>43</v>
      </c>
      <c r="X13" t="s">
        <v>5</v>
      </c>
      <c r="Y13" s="17"/>
      <c r="Z13" s="17"/>
      <c r="AA13" s="17"/>
    </row>
    <row r="14" spans="1:27">
      <c r="A14" s="16" t="s">
        <v>49</v>
      </c>
      <c r="B14" s="17">
        <v>12094</v>
      </c>
      <c r="C14" s="17">
        <v>9401.4900000000016</v>
      </c>
      <c r="V14" t="str">
        <f t="shared" si="0"/>
        <v>AIR INDIAP3</v>
      </c>
      <c r="W14" t="s">
        <v>43</v>
      </c>
      <c r="X14" t="s">
        <v>6</v>
      </c>
      <c r="Y14" s="17">
        <v>1766</v>
      </c>
      <c r="Z14" s="17">
        <v>1703</v>
      </c>
      <c r="AA14" s="17">
        <v>5986.11</v>
      </c>
    </row>
    <row r="15" spans="1:27">
      <c r="A15" s="16" t="s">
        <v>55</v>
      </c>
      <c r="B15" s="17">
        <v>895</v>
      </c>
      <c r="C15" s="17">
        <v>801.87858399999982</v>
      </c>
      <c r="V15" t="str">
        <f t="shared" si="0"/>
        <v>AIR INDIAP4</v>
      </c>
      <c r="W15" t="s">
        <v>43</v>
      </c>
      <c r="X15" t="s">
        <v>7</v>
      </c>
      <c r="Y15" s="17">
        <v>577</v>
      </c>
      <c r="Z15" s="17">
        <v>543</v>
      </c>
      <c r="AA15" s="17">
        <v>69.31</v>
      </c>
    </row>
    <row r="16" spans="1:27">
      <c r="A16" s="16" t="s">
        <v>52</v>
      </c>
      <c r="B16" s="17">
        <v>2721</v>
      </c>
      <c r="C16" s="17">
        <v>4070.3999999999996</v>
      </c>
      <c r="V16" t="str">
        <f t="shared" si="0"/>
        <v>AIR INDIAP4.1</v>
      </c>
      <c r="W16" t="s">
        <v>43</v>
      </c>
      <c r="X16" t="s">
        <v>62</v>
      </c>
      <c r="Y16" s="17"/>
      <c r="Z16" s="17"/>
      <c r="AA16" s="17"/>
    </row>
    <row r="17" spans="1:27">
      <c r="A17" s="16" t="s">
        <v>68</v>
      </c>
      <c r="B17" s="17"/>
      <c r="C17" s="17"/>
      <c r="V17" t="str">
        <f t="shared" si="0"/>
        <v>AIR INDIAP4.2</v>
      </c>
      <c r="W17" t="s">
        <v>43</v>
      </c>
      <c r="X17" t="s">
        <v>63</v>
      </c>
      <c r="Y17" s="17"/>
      <c r="Z17" s="17"/>
      <c r="AA17" s="17"/>
    </row>
    <row r="18" spans="1:27">
      <c r="A18" s="16" t="s">
        <v>204</v>
      </c>
      <c r="B18" s="17"/>
      <c r="C18" s="17"/>
      <c r="V18" t="str">
        <f t="shared" si="0"/>
        <v>AIR INDIAP5</v>
      </c>
      <c r="W18" t="s">
        <v>43</v>
      </c>
      <c r="X18" t="s">
        <v>8</v>
      </c>
      <c r="Y18" s="17">
        <v>2113</v>
      </c>
      <c r="Z18" s="17">
        <v>1989</v>
      </c>
      <c r="AA18" s="17">
        <v>3208.24</v>
      </c>
    </row>
    <row r="19" spans="1:27">
      <c r="A19" s="16" t="s">
        <v>206</v>
      </c>
      <c r="B19" s="17">
        <v>33</v>
      </c>
      <c r="C19" s="17">
        <v>7.0138840000000009</v>
      </c>
      <c r="V19" t="str">
        <f t="shared" si="0"/>
        <v>AIR INDIAP6</v>
      </c>
      <c r="W19" t="s">
        <v>43</v>
      </c>
      <c r="X19" t="s">
        <v>9</v>
      </c>
      <c r="Y19" s="17">
        <v>4964</v>
      </c>
      <c r="Z19" s="17">
        <v>4439</v>
      </c>
      <c r="AA19" s="17">
        <v>8709.1299999999992</v>
      </c>
    </row>
    <row r="20" spans="1:27">
      <c r="A20" s="16" t="s">
        <v>69</v>
      </c>
      <c r="B20" s="17">
        <v>183156</v>
      </c>
      <c r="C20" s="17">
        <v>281327.94404700003</v>
      </c>
      <c r="V20" t="str">
        <f t="shared" si="0"/>
        <v>AIR INDIA EXPRESSP1</v>
      </c>
      <c r="W20" t="s">
        <v>44</v>
      </c>
      <c r="X20" t="s">
        <v>4</v>
      </c>
      <c r="Y20" s="17">
        <v>346</v>
      </c>
      <c r="Z20" s="17">
        <v>335</v>
      </c>
      <c r="AA20" s="17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17"/>
      <c r="Z21" s="17"/>
      <c r="AA21" s="17"/>
    </row>
    <row r="22" spans="1:27">
      <c r="V22" t="str">
        <f t="shared" si="0"/>
        <v>AIR INDIA EXPRESSP3</v>
      </c>
      <c r="W22" t="s">
        <v>44</v>
      </c>
      <c r="X22" t="s">
        <v>6</v>
      </c>
      <c r="Y22" s="17">
        <v>610</v>
      </c>
      <c r="Z22" s="17">
        <v>621</v>
      </c>
      <c r="AA22" s="17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17">
        <v>78</v>
      </c>
      <c r="Z23" s="17">
        <v>80</v>
      </c>
      <c r="AA23" s="17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17">
        <v>16</v>
      </c>
      <c r="Z24" s="17">
        <v>16</v>
      </c>
      <c r="AA24" s="17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17">
        <v>62</v>
      </c>
      <c r="Z25" s="17">
        <v>64</v>
      </c>
      <c r="AA25" s="17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17"/>
      <c r="Z26" s="17"/>
      <c r="AA26" s="17"/>
    </row>
    <row r="27" spans="1:27">
      <c r="V27" t="str">
        <f t="shared" si="0"/>
        <v>AIR INDIA EXPRESSP6</v>
      </c>
      <c r="W27" t="s">
        <v>44</v>
      </c>
      <c r="X27" t="s">
        <v>9</v>
      </c>
      <c r="Y27" s="17">
        <v>358</v>
      </c>
      <c r="Z27" s="17">
        <v>356</v>
      </c>
      <c r="AA27" s="17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17">
        <v>6615</v>
      </c>
      <c r="Z28" s="17">
        <v>7199</v>
      </c>
      <c r="AA28" s="17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17">
        <v>259</v>
      </c>
      <c r="Z29" s="17">
        <v>280</v>
      </c>
      <c r="AA29" s="17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17">
        <v>11454</v>
      </c>
      <c r="Z30" s="17">
        <v>12610</v>
      </c>
      <c r="AA30" s="17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17">
        <v>3825</v>
      </c>
      <c r="Z31" s="17">
        <v>4194</v>
      </c>
      <c r="AA31" s="17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17">
        <v>1531</v>
      </c>
      <c r="Z32" s="17">
        <v>1701</v>
      </c>
      <c r="AA32" s="17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17">
        <v>1717</v>
      </c>
      <c r="Z33" s="17">
        <v>1950</v>
      </c>
      <c r="AA33" s="17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17">
        <v>3353</v>
      </c>
      <c r="Z34" s="17">
        <v>3322</v>
      </c>
      <c r="AA34" s="17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17">
        <v>26982</v>
      </c>
      <c r="Z35" s="17">
        <v>29796</v>
      </c>
      <c r="AA35" s="17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17">
        <v>202</v>
      </c>
      <c r="Z36" s="17">
        <v>184</v>
      </c>
      <c r="AA36" s="17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17"/>
      <c r="Z37" s="17"/>
      <c r="AA37" s="17"/>
    </row>
    <row r="38" spans="22:27">
      <c r="V38" t="str">
        <f t="shared" si="0"/>
        <v>ALLIANCE AIRP3</v>
      </c>
      <c r="W38" t="s">
        <v>45</v>
      </c>
      <c r="X38" t="s">
        <v>6</v>
      </c>
      <c r="Y38" s="17">
        <v>144</v>
      </c>
      <c r="Z38" s="17">
        <v>140</v>
      </c>
      <c r="AA38" s="17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17"/>
      <c r="Z39" s="17"/>
      <c r="AA39" s="17"/>
    </row>
    <row r="40" spans="22:27">
      <c r="V40" t="str">
        <f t="shared" si="0"/>
        <v>ALLIANCE AIRP4.1</v>
      </c>
      <c r="W40" t="s">
        <v>45</v>
      </c>
      <c r="X40" t="s">
        <v>62</v>
      </c>
      <c r="Y40" s="17"/>
      <c r="Z40" s="17"/>
      <c r="AA40" s="17"/>
    </row>
    <row r="41" spans="22:27">
      <c r="V41" t="str">
        <f t="shared" si="0"/>
        <v>ALLIANCE AIRP4.2</v>
      </c>
      <c r="W41" t="s">
        <v>45</v>
      </c>
      <c r="X41" t="s">
        <v>63</v>
      </c>
      <c r="Y41" s="17"/>
      <c r="Z41" s="17"/>
      <c r="AA41" s="17"/>
    </row>
    <row r="42" spans="22:27">
      <c r="V42" t="str">
        <f t="shared" si="0"/>
        <v>ALLIANCE AIRP5</v>
      </c>
      <c r="W42" t="s">
        <v>45</v>
      </c>
      <c r="X42" t="s">
        <v>8</v>
      </c>
      <c r="Y42" s="17"/>
      <c r="Z42" s="17"/>
      <c r="AA42" s="17"/>
    </row>
    <row r="43" spans="22:27">
      <c r="V43" t="str">
        <f t="shared" si="0"/>
        <v>ALLIANCE AIRP6</v>
      </c>
      <c r="W43" t="s">
        <v>45</v>
      </c>
      <c r="X43" t="s">
        <v>9</v>
      </c>
      <c r="Y43" s="17">
        <v>346</v>
      </c>
      <c r="Z43" s="17">
        <v>324</v>
      </c>
      <c r="AA43" s="17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17">
        <v>58</v>
      </c>
      <c r="Z44" s="17">
        <v>60</v>
      </c>
      <c r="AA44" s="17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17"/>
      <c r="Z45" s="17"/>
      <c r="AA45" s="17"/>
    </row>
    <row r="46" spans="22:27">
      <c r="V46" t="str">
        <f t="shared" si="0"/>
        <v>Blue Dart P3</v>
      </c>
      <c r="W46" t="s">
        <v>53</v>
      </c>
      <c r="X46" t="s">
        <v>6</v>
      </c>
      <c r="Y46" s="17"/>
      <c r="Z46" s="17"/>
      <c r="AA46" s="17"/>
    </row>
    <row r="47" spans="22:27">
      <c r="V47" t="str">
        <f t="shared" si="0"/>
        <v>Blue Dart P4</v>
      </c>
      <c r="W47" t="s">
        <v>53</v>
      </c>
      <c r="X47" t="s">
        <v>7</v>
      </c>
      <c r="Y47" s="17">
        <v>156</v>
      </c>
      <c r="Z47" s="17">
        <v>152</v>
      </c>
      <c r="AA47" s="17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17">
        <v>56</v>
      </c>
      <c r="Z48" s="17">
        <v>56</v>
      </c>
      <c r="AA48" s="17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17">
        <v>100</v>
      </c>
      <c r="Z49" s="17">
        <v>96</v>
      </c>
      <c r="AA49" s="17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17"/>
      <c r="Z50" s="17"/>
      <c r="AA50" s="17"/>
    </row>
    <row r="51" spans="22:27">
      <c r="V51" t="str">
        <f t="shared" si="0"/>
        <v>Blue Dart P6</v>
      </c>
      <c r="W51" t="s">
        <v>53</v>
      </c>
      <c r="X51" t="s">
        <v>9</v>
      </c>
      <c r="Y51" s="17">
        <v>937</v>
      </c>
      <c r="Z51" s="17">
        <v>1025</v>
      </c>
      <c r="AA51" s="17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17">
        <v>444</v>
      </c>
      <c r="Z52" s="17">
        <v>513</v>
      </c>
      <c r="AA52" s="17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17"/>
      <c r="Z53" s="17"/>
      <c r="AA53" s="17"/>
    </row>
    <row r="54" spans="22:27">
      <c r="V54" t="str">
        <f t="shared" si="0"/>
        <v>GO AIRP3</v>
      </c>
      <c r="W54" t="s">
        <v>46</v>
      </c>
      <c r="X54" t="s">
        <v>6</v>
      </c>
      <c r="Y54" s="17">
        <v>753</v>
      </c>
      <c r="Z54" s="17">
        <v>812</v>
      </c>
      <c r="AA54" s="17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17">
        <v>474</v>
      </c>
      <c r="Z55" s="17">
        <v>522</v>
      </c>
      <c r="AA55" s="17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17">
        <v>143</v>
      </c>
      <c r="Z56" s="17">
        <v>151</v>
      </c>
      <c r="AA56" s="17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17">
        <v>331</v>
      </c>
      <c r="Z57" s="17">
        <v>371</v>
      </c>
      <c r="AA57" s="17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17">
        <v>476</v>
      </c>
      <c r="Z58" s="17">
        <v>522</v>
      </c>
      <c r="AA58" s="17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17">
        <v>1107</v>
      </c>
      <c r="Z59" s="17">
        <v>1249</v>
      </c>
      <c r="AA59" s="17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17">
        <v>2747</v>
      </c>
      <c r="Z60" s="17">
        <v>3187</v>
      </c>
      <c r="AA60" s="17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17">
        <v>195</v>
      </c>
      <c r="Z61" s="17">
        <v>210</v>
      </c>
      <c r="AA61" s="17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17">
        <v>5623</v>
      </c>
      <c r="Z62" s="17">
        <v>6248</v>
      </c>
      <c r="AA62" s="17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17">
        <v>1466</v>
      </c>
      <c r="Z63" s="17">
        <v>1718</v>
      </c>
      <c r="AA63" s="17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17">
        <v>723</v>
      </c>
      <c r="Z64" s="17">
        <v>829</v>
      </c>
      <c r="AA64" s="17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17">
        <v>743</v>
      </c>
      <c r="Z65" s="17">
        <v>889</v>
      </c>
      <c r="AA65" s="17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17">
        <v>275</v>
      </c>
      <c r="Z66" s="17">
        <v>305</v>
      </c>
      <c r="AA66" s="17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17">
        <v>10000</v>
      </c>
      <c r="Z67" s="17">
        <v>11815</v>
      </c>
      <c r="AA67" s="17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17">
        <v>1877</v>
      </c>
      <c r="Z68" s="17">
        <v>1837</v>
      </c>
      <c r="AA68" s="17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17">
        <v>0</v>
      </c>
      <c r="Z69" s="17">
        <v>0</v>
      </c>
      <c r="AA69" s="17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17">
        <v>2520</v>
      </c>
      <c r="Z70" s="17">
        <v>2464</v>
      </c>
      <c r="AA70" s="17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17">
        <v>655</v>
      </c>
      <c r="Z71" s="17">
        <v>623</v>
      </c>
      <c r="AA71" s="17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17">
        <v>16</v>
      </c>
      <c r="Z72" s="17">
        <v>16</v>
      </c>
      <c r="AA72" s="17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17">
        <v>62</v>
      </c>
      <c r="Z73" s="17">
        <v>64</v>
      </c>
      <c r="AA73" s="17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17">
        <v>2113</v>
      </c>
      <c r="Z74" s="17">
        <v>1989</v>
      </c>
      <c r="AA74" s="17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17">
        <v>5668</v>
      </c>
      <c r="Z75" s="17">
        <v>5119</v>
      </c>
      <c r="AA75" s="17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17">
        <v>4738</v>
      </c>
      <c r="Z76" s="17">
        <v>5362</v>
      </c>
      <c r="AA76" s="17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17">
        <v>259</v>
      </c>
      <c r="Z77" s="17">
        <v>280</v>
      </c>
      <c r="AA77" s="17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17">
        <v>8934</v>
      </c>
      <c r="Z78" s="17">
        <v>10146</v>
      </c>
      <c r="AA78" s="17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17">
        <v>3170</v>
      </c>
      <c r="Z79" s="17">
        <v>3571</v>
      </c>
      <c r="AA79" s="17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17">
        <v>1515</v>
      </c>
      <c r="Z80" s="17">
        <v>1685</v>
      </c>
      <c r="AA80" s="17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17">
        <v>1655</v>
      </c>
      <c r="Z81" s="17">
        <v>1886</v>
      </c>
      <c r="AA81" s="17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17">
        <v>1240</v>
      </c>
      <c r="Z82" s="17">
        <v>1333</v>
      </c>
      <c r="AA82" s="17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17">
        <v>21314</v>
      </c>
      <c r="Z83" s="17">
        <v>24677</v>
      </c>
      <c r="AA83" s="17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17">
        <v>779</v>
      </c>
      <c r="Z84" s="17">
        <v>813</v>
      </c>
      <c r="AA84" s="17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17">
        <v>64</v>
      </c>
      <c r="Z85" s="17">
        <v>70</v>
      </c>
      <c r="AA85" s="17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17">
        <v>1341</v>
      </c>
      <c r="Z86" s="17">
        <v>1798</v>
      </c>
      <c r="AA86" s="17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17">
        <v>683</v>
      </c>
      <c r="Z87" s="17">
        <v>694</v>
      </c>
      <c r="AA87" s="17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17">
        <v>307</v>
      </c>
      <c r="Z88" s="17">
        <v>306</v>
      </c>
      <c r="AA88" s="17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17">
        <v>376</v>
      </c>
      <c r="Z89" s="17">
        <v>388</v>
      </c>
      <c r="AA89" s="17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17">
        <v>420</v>
      </c>
      <c r="Z90" s="17">
        <v>443</v>
      </c>
      <c r="AA90" s="17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17">
        <v>6467</v>
      </c>
      <c r="Z91" s="17">
        <v>7582</v>
      </c>
      <c r="AA91" s="17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17">
        <v>88</v>
      </c>
      <c r="Z92" s="17">
        <v>89</v>
      </c>
      <c r="AA92" s="17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17"/>
      <c r="Z93" s="17"/>
      <c r="AA93" s="17"/>
    </row>
    <row r="94" spans="22:27">
      <c r="V94" t="str">
        <f t="shared" si="1"/>
        <v>TRUEJETP3</v>
      </c>
      <c r="W94" t="s">
        <v>55</v>
      </c>
      <c r="X94" t="s">
        <v>6</v>
      </c>
      <c r="Y94" s="17">
        <v>68</v>
      </c>
      <c r="Z94" s="17">
        <v>78</v>
      </c>
      <c r="AA94" s="17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17">
        <v>36</v>
      </c>
      <c r="Z95" s="17">
        <v>83</v>
      </c>
      <c r="AA95" s="17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17">
        <v>3</v>
      </c>
      <c r="Z96" s="17">
        <v>22</v>
      </c>
      <c r="AA96" s="17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17">
        <v>33</v>
      </c>
      <c r="Z97" s="17">
        <v>61</v>
      </c>
      <c r="AA97" s="17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17">
        <v>25</v>
      </c>
      <c r="Z98" s="17">
        <v>24</v>
      </c>
      <c r="AA98" s="17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17">
        <v>438</v>
      </c>
      <c r="Z99" s="17">
        <v>538</v>
      </c>
      <c r="AA99" s="17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17">
        <v>355</v>
      </c>
      <c r="Z100" s="17">
        <v>385</v>
      </c>
      <c r="AA100" s="17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17"/>
      <c r="Z101" s="17"/>
      <c r="AA101" s="17"/>
    </row>
    <row r="102" spans="22:27">
      <c r="V102" t="str">
        <f t="shared" si="1"/>
        <v>VISTARAP3</v>
      </c>
      <c r="W102" t="s">
        <v>52</v>
      </c>
      <c r="X102" t="s">
        <v>6</v>
      </c>
      <c r="Y102" s="17">
        <v>673</v>
      </c>
      <c r="Z102" s="17">
        <v>722</v>
      </c>
      <c r="AA102" s="17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17">
        <v>175</v>
      </c>
      <c r="Z103" s="17">
        <v>203</v>
      </c>
      <c r="AA103" s="17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17">
        <v>103</v>
      </c>
      <c r="Z104" s="17">
        <v>122</v>
      </c>
      <c r="AA104" s="17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17">
        <v>72</v>
      </c>
      <c r="Z105" s="17">
        <v>81</v>
      </c>
      <c r="AA105" s="17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17">
        <v>42</v>
      </c>
      <c r="Z106" s="17">
        <v>37</v>
      </c>
      <c r="AA106" s="17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17">
        <v>1085</v>
      </c>
      <c r="Z107" s="17">
        <v>1171</v>
      </c>
      <c r="AA107" s="17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17"/>
      <c r="Z108" s="17"/>
      <c r="AA108" s="17"/>
    </row>
    <row r="109" spans="22:27">
      <c r="V109" t="str">
        <f t="shared" si="1"/>
        <v>STAR AIRP1</v>
      </c>
      <c r="W109" t="s">
        <v>204</v>
      </c>
      <c r="X109" t="s">
        <v>4</v>
      </c>
      <c r="Y109" s="17"/>
      <c r="Z109" s="17"/>
      <c r="AA109" s="17"/>
    </row>
    <row r="110" spans="22:27">
      <c r="V110" t="str">
        <f t="shared" si="1"/>
        <v>STAR AIRP2</v>
      </c>
      <c r="W110" t="s">
        <v>204</v>
      </c>
      <c r="X110" t="s">
        <v>5</v>
      </c>
      <c r="Y110" s="17"/>
      <c r="Z110" s="17"/>
      <c r="AA110" s="17"/>
    </row>
    <row r="111" spans="22:27">
      <c r="V111" t="str">
        <f t="shared" si="1"/>
        <v>STAR AIRP3</v>
      </c>
      <c r="W111" t="s">
        <v>204</v>
      </c>
      <c r="X111" t="s">
        <v>6</v>
      </c>
      <c r="Y111" s="17"/>
      <c r="Z111" s="17"/>
      <c r="AA111" s="17"/>
    </row>
    <row r="112" spans="22:27">
      <c r="V112" t="str">
        <f t="shared" si="1"/>
        <v>STAR AIRP4</v>
      </c>
      <c r="W112" t="s">
        <v>204</v>
      </c>
      <c r="X112" t="s">
        <v>7</v>
      </c>
      <c r="Y112" s="17"/>
      <c r="Z112" s="17"/>
      <c r="AA112" s="17"/>
    </row>
    <row r="113" spans="22:27">
      <c r="V113" t="str">
        <f t="shared" si="1"/>
        <v>STAR AIRP4.1</v>
      </c>
      <c r="W113" t="s">
        <v>204</v>
      </c>
      <c r="X113" t="s">
        <v>62</v>
      </c>
      <c r="Y113" s="17"/>
      <c r="Z113" s="17"/>
      <c r="AA113" s="17"/>
    </row>
    <row r="114" spans="22:27">
      <c r="V114" t="str">
        <f t="shared" si="1"/>
        <v>STAR AIRP4.2</v>
      </c>
      <c r="W114" t="s">
        <v>204</v>
      </c>
      <c r="X114" t="s">
        <v>63</v>
      </c>
      <c r="Y114" s="17"/>
      <c r="Z114" s="17"/>
      <c r="AA114" s="17"/>
    </row>
    <row r="115" spans="22:27">
      <c r="V115" t="str">
        <f t="shared" si="1"/>
        <v>STAR AIRP5</v>
      </c>
      <c r="W115" t="s">
        <v>204</v>
      </c>
      <c r="X115" t="s">
        <v>8</v>
      </c>
      <c r="Y115" s="17"/>
      <c r="Z115" s="17"/>
      <c r="AA115" s="17"/>
    </row>
    <row r="116" spans="22:27">
      <c r="V116" t="str">
        <f t="shared" si="1"/>
        <v>STAR AIRP6</v>
      </c>
      <c r="W116" t="s">
        <v>204</v>
      </c>
      <c r="X116" t="s">
        <v>9</v>
      </c>
      <c r="Y116" s="17"/>
      <c r="Z116" s="17"/>
      <c r="AA116" s="17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17">
        <v>4</v>
      </c>
      <c r="Z117" s="17">
        <v>4</v>
      </c>
      <c r="AA117" s="17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17"/>
      <c r="Z118" s="17"/>
      <c r="AA118" s="17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17"/>
      <c r="Z119" s="17"/>
      <c r="AA119" s="17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17"/>
      <c r="Z120" s="17"/>
      <c r="AA120" s="17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17"/>
      <c r="Z121" s="17"/>
      <c r="AA121" s="17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17"/>
      <c r="Z122" s="17"/>
      <c r="AA122" s="17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17">
        <v>2</v>
      </c>
      <c r="Z123" s="17">
        <v>2</v>
      </c>
      <c r="AA123" s="17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17">
        <v>27</v>
      </c>
      <c r="Z124" s="17">
        <v>27</v>
      </c>
      <c r="AA124" s="1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5">
        <v>1.1000000000000001</v>
      </c>
      <c r="C1" s="25">
        <v>1.2</v>
      </c>
      <c r="D1" s="25">
        <v>1.3</v>
      </c>
      <c r="E1" s="25">
        <v>1.4</v>
      </c>
      <c r="F1" s="25">
        <v>1.5</v>
      </c>
      <c r="G1" s="26">
        <v>2</v>
      </c>
      <c r="H1" s="26">
        <v>3</v>
      </c>
      <c r="I1" s="27">
        <v>4</v>
      </c>
      <c r="J1" s="28">
        <v>5</v>
      </c>
      <c r="K1" s="26">
        <v>6</v>
      </c>
      <c r="L1" s="26">
        <v>7</v>
      </c>
      <c r="M1" s="26">
        <v>8</v>
      </c>
      <c r="N1" s="26">
        <v>9</v>
      </c>
      <c r="O1" s="26">
        <v>10</v>
      </c>
      <c r="P1" s="26">
        <v>11</v>
      </c>
      <c r="Q1" s="26">
        <v>12</v>
      </c>
      <c r="R1" s="26">
        <v>13</v>
      </c>
      <c r="S1" s="26">
        <v>14</v>
      </c>
      <c r="T1" s="26">
        <v>15</v>
      </c>
      <c r="U1" s="26">
        <v>21</v>
      </c>
      <c r="V1" s="26">
        <v>22</v>
      </c>
      <c r="W1" s="26">
        <v>23</v>
      </c>
      <c r="X1" s="26">
        <v>24</v>
      </c>
      <c r="Y1" s="26">
        <v>26</v>
      </c>
    </row>
    <row r="2" spans="1:25" ht="126">
      <c r="A2" s="20"/>
      <c r="B2" s="21" t="s">
        <v>16</v>
      </c>
      <c r="C2" s="21" t="s">
        <v>123</v>
      </c>
      <c r="D2" s="21" t="s">
        <v>124</v>
      </c>
      <c r="E2" s="21" t="s">
        <v>19</v>
      </c>
      <c r="F2" s="21" t="s">
        <v>125</v>
      </c>
      <c r="G2" s="22" t="s">
        <v>126</v>
      </c>
      <c r="H2" s="22" t="s">
        <v>127</v>
      </c>
      <c r="I2" s="23" t="s">
        <v>128</v>
      </c>
      <c r="J2" s="22" t="s">
        <v>129</v>
      </c>
      <c r="K2" s="22" t="s">
        <v>130</v>
      </c>
      <c r="L2" s="22" t="s">
        <v>131</v>
      </c>
      <c r="M2" s="22" t="s">
        <v>132</v>
      </c>
      <c r="N2" s="22" t="s">
        <v>133</v>
      </c>
      <c r="O2" s="22" t="s">
        <v>134</v>
      </c>
      <c r="P2" s="22" t="s">
        <v>135</v>
      </c>
      <c r="Q2" s="22" t="s">
        <v>136</v>
      </c>
      <c r="R2" s="22" t="s">
        <v>137</v>
      </c>
      <c r="S2" s="24" t="s">
        <v>138</v>
      </c>
      <c r="T2" s="22" t="s">
        <v>139</v>
      </c>
      <c r="U2" s="22" t="s">
        <v>140</v>
      </c>
      <c r="V2" s="21" t="s">
        <v>141</v>
      </c>
      <c r="W2" s="22" t="s">
        <v>142</v>
      </c>
      <c r="X2" s="21" t="s">
        <v>143</v>
      </c>
      <c r="Y2" s="21" t="s">
        <v>144</v>
      </c>
    </row>
    <row r="3" spans="1:25">
      <c r="A3" s="15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29" customFormat="1">
      <c r="A4" s="31" t="s">
        <v>51</v>
      </c>
      <c r="B4" s="30">
        <v>24105.15</v>
      </c>
      <c r="C4" s="30">
        <v>228.65</v>
      </c>
      <c r="D4" s="30">
        <v>392.4</v>
      </c>
      <c r="E4" s="30"/>
      <c r="F4" s="30"/>
      <c r="G4" s="30"/>
      <c r="H4" s="30">
        <v>390.2</v>
      </c>
      <c r="I4" s="30">
        <v>25116.400000000001</v>
      </c>
      <c r="J4" s="30">
        <v>23205.99</v>
      </c>
      <c r="K4" s="30">
        <v>1392</v>
      </c>
      <c r="L4" s="30">
        <v>134.19999999999999</v>
      </c>
      <c r="M4" s="30">
        <v>3197.7</v>
      </c>
      <c r="N4" s="30"/>
      <c r="O4" s="30">
        <v>697.74</v>
      </c>
      <c r="P4" s="30">
        <v>839.5</v>
      </c>
      <c r="Q4" s="30">
        <v>2679.67</v>
      </c>
      <c r="R4" s="30"/>
      <c r="S4" s="30">
        <v>32146.799999999999</v>
      </c>
      <c r="T4" s="30">
        <v>-7030.4</v>
      </c>
      <c r="U4" s="30">
        <v>310</v>
      </c>
      <c r="V4" s="30">
        <v>-6720.4</v>
      </c>
      <c r="W4" s="30">
        <v>0</v>
      </c>
      <c r="X4" s="30">
        <v>-6720.4</v>
      </c>
      <c r="Y4" s="30">
        <v>-6720.4</v>
      </c>
    </row>
    <row r="5" spans="1:25" s="29" customFormat="1">
      <c r="A5" s="31" t="s">
        <v>43</v>
      </c>
      <c r="B5" s="30">
        <v>207741.6</v>
      </c>
      <c r="C5" s="30">
        <v>1203.8</v>
      </c>
      <c r="D5" s="30">
        <v>14484</v>
      </c>
      <c r="E5" s="30">
        <v>576.20000000000005</v>
      </c>
      <c r="F5" s="30"/>
      <c r="G5" s="30">
        <v>15343.6</v>
      </c>
      <c r="H5" s="30">
        <v>15739.1</v>
      </c>
      <c r="I5" s="30">
        <v>255088.3</v>
      </c>
      <c r="J5" s="30">
        <v>146405.4</v>
      </c>
      <c r="K5" s="30">
        <v>34762.1</v>
      </c>
      <c r="L5" s="30">
        <v>15879.3</v>
      </c>
      <c r="M5" s="30">
        <v>19188.2</v>
      </c>
      <c r="N5" s="30"/>
      <c r="O5" s="30">
        <v>10251.700000000001</v>
      </c>
      <c r="P5" s="30">
        <v>6475.6</v>
      </c>
      <c r="Q5" s="30">
        <v>39568.9</v>
      </c>
      <c r="R5" s="30">
        <v>29409.7</v>
      </c>
      <c r="S5" s="30">
        <v>301940.90000000002</v>
      </c>
      <c r="T5" s="30">
        <v>-46852.6</v>
      </c>
      <c r="U5" s="30">
        <v>37895.4</v>
      </c>
      <c r="V5" s="30">
        <v>-84748</v>
      </c>
      <c r="W5" s="30"/>
      <c r="X5" s="30">
        <v>-84748</v>
      </c>
      <c r="Y5" s="30">
        <v>-85563.6</v>
      </c>
    </row>
    <row r="6" spans="1:25" s="29" customFormat="1">
      <c r="A6" s="31" t="s">
        <v>44</v>
      </c>
      <c r="B6" s="30">
        <v>39645.03</v>
      </c>
      <c r="C6" s="30">
        <v>623.95000000000005</v>
      </c>
      <c r="D6" s="30">
        <v>675.24</v>
      </c>
      <c r="E6" s="30"/>
      <c r="F6" s="30"/>
      <c r="G6" s="30"/>
      <c r="H6" s="30">
        <v>771.44</v>
      </c>
      <c r="I6" s="30">
        <v>41715.660000000003</v>
      </c>
      <c r="J6" s="30">
        <v>27729.61</v>
      </c>
      <c r="K6" s="30">
        <v>866.62</v>
      </c>
      <c r="L6" s="30">
        <v>2607.8200000000002</v>
      </c>
      <c r="M6" s="30">
        <v>5338.79</v>
      </c>
      <c r="N6" s="30"/>
      <c r="O6" s="30"/>
      <c r="P6" s="30">
        <v>114.2</v>
      </c>
      <c r="Q6" s="30"/>
      <c r="R6" s="30">
        <v>721.02</v>
      </c>
      <c r="S6" s="30">
        <v>37378.06</v>
      </c>
      <c r="T6" s="30">
        <v>4337.6000000000004</v>
      </c>
      <c r="U6" s="30">
        <v>2651.71</v>
      </c>
      <c r="V6" s="30">
        <v>1685.89</v>
      </c>
      <c r="W6" s="30">
        <v>42</v>
      </c>
      <c r="X6" s="30">
        <v>1643.89</v>
      </c>
      <c r="Y6" s="30">
        <v>1615.88</v>
      </c>
    </row>
    <row r="7" spans="1:25" s="29" customFormat="1">
      <c r="A7" s="31" t="s">
        <v>45</v>
      </c>
      <c r="B7" s="30">
        <v>6916</v>
      </c>
      <c r="C7" s="30">
        <v>0.5</v>
      </c>
      <c r="D7" s="30">
        <v>2.9</v>
      </c>
      <c r="E7" s="30">
        <v>71.400000000000006</v>
      </c>
      <c r="F7" s="30"/>
      <c r="G7" s="30"/>
      <c r="H7" s="30">
        <v>1225.4000000000001</v>
      </c>
      <c r="I7" s="30">
        <v>8216.1</v>
      </c>
      <c r="J7" s="30">
        <v>5684.1</v>
      </c>
      <c r="K7" s="30">
        <v>2121.3000000000002</v>
      </c>
      <c r="L7" s="30">
        <v>15.7</v>
      </c>
      <c r="M7" s="30">
        <v>259.7</v>
      </c>
      <c r="N7" s="30">
        <v>159.19999999999999</v>
      </c>
      <c r="O7" s="30">
        <v>331.9</v>
      </c>
      <c r="P7" s="30">
        <v>164.7</v>
      </c>
      <c r="Q7" s="30">
        <v>50.7</v>
      </c>
      <c r="R7" s="30">
        <v>1159.2</v>
      </c>
      <c r="S7" s="30">
        <v>9946.5</v>
      </c>
      <c r="T7" s="30">
        <v>-1730.4</v>
      </c>
      <c r="U7" s="30">
        <v>1235.2</v>
      </c>
      <c r="V7" s="30">
        <v>-2965.6</v>
      </c>
      <c r="W7" s="30"/>
      <c r="X7" s="30"/>
      <c r="Y7" s="30">
        <v>-2965.6</v>
      </c>
    </row>
    <row r="8" spans="1:25" s="29" customFormat="1">
      <c r="A8" s="31" t="s">
        <v>53</v>
      </c>
      <c r="B8" s="30"/>
      <c r="C8" s="30"/>
      <c r="D8" s="30">
        <v>7431</v>
      </c>
      <c r="E8" s="30"/>
      <c r="F8" s="30"/>
      <c r="G8" s="30"/>
      <c r="H8" s="30">
        <v>150</v>
      </c>
      <c r="I8" s="30">
        <v>7581</v>
      </c>
      <c r="J8" s="30">
        <v>4848</v>
      </c>
      <c r="K8" s="30">
        <v>260.3</v>
      </c>
      <c r="L8" s="30">
        <v>798.5</v>
      </c>
      <c r="M8" s="30">
        <v>365</v>
      </c>
      <c r="N8" s="30"/>
      <c r="O8" s="30"/>
      <c r="P8" s="30"/>
      <c r="Q8" s="30">
        <v>929</v>
      </c>
      <c r="R8" s="30"/>
      <c r="S8" s="30">
        <v>7201</v>
      </c>
      <c r="T8" s="30">
        <v>380</v>
      </c>
      <c r="U8" s="30">
        <v>323</v>
      </c>
      <c r="V8" s="30">
        <v>57</v>
      </c>
      <c r="W8" s="30">
        <v>-36</v>
      </c>
      <c r="X8" s="30">
        <v>21</v>
      </c>
      <c r="Y8" s="30">
        <v>21</v>
      </c>
    </row>
    <row r="9" spans="1:25" s="29" customFormat="1">
      <c r="A9" s="31" t="s">
        <v>46</v>
      </c>
      <c r="B9" s="30">
        <v>49058.79</v>
      </c>
      <c r="C9" s="30">
        <v>333.01</v>
      </c>
      <c r="D9" s="30">
        <v>1061.8</v>
      </c>
      <c r="E9" s="30"/>
      <c r="F9" s="30"/>
      <c r="G9" s="30">
        <v>0</v>
      </c>
      <c r="H9" s="30">
        <v>14304</v>
      </c>
      <c r="I9" s="30">
        <v>64757.599999999999</v>
      </c>
      <c r="J9" s="30">
        <v>37579.629999999997</v>
      </c>
      <c r="K9" s="30">
        <v>9377.4699999999993</v>
      </c>
      <c r="L9" s="30">
        <v>160.69999999999999</v>
      </c>
      <c r="M9" s="30">
        <v>5342.1</v>
      </c>
      <c r="N9" s="30"/>
      <c r="O9" s="30">
        <v>0</v>
      </c>
      <c r="P9" s="30">
        <v>1285.8</v>
      </c>
      <c r="Q9" s="30">
        <v>10285.01</v>
      </c>
      <c r="R9" s="30">
        <v>0</v>
      </c>
      <c r="S9" s="30">
        <v>64030.71</v>
      </c>
      <c r="T9" s="30">
        <v>726.89</v>
      </c>
      <c r="U9" s="30">
        <v>2214.1999999999998</v>
      </c>
      <c r="V9" s="30">
        <v>-1487.31</v>
      </c>
      <c r="W9" s="30">
        <v>-803.71</v>
      </c>
      <c r="X9" s="30">
        <v>-683.6</v>
      </c>
      <c r="Y9" s="30">
        <v>1229.8</v>
      </c>
    </row>
    <row r="10" spans="1:25" s="29" customFormat="1">
      <c r="A10" s="31" t="s">
        <v>40</v>
      </c>
      <c r="B10" s="30">
        <v>263945.3</v>
      </c>
      <c r="C10" s="30">
        <v>5528.3</v>
      </c>
      <c r="D10" s="30">
        <v>8200.42</v>
      </c>
      <c r="E10" s="30"/>
      <c r="F10" s="30"/>
      <c r="G10" s="30"/>
      <c r="H10" s="30">
        <v>7293.7</v>
      </c>
      <c r="I10" s="30">
        <v>284967.71999999997</v>
      </c>
      <c r="J10" s="30">
        <v>188835.81</v>
      </c>
      <c r="K10" s="30">
        <v>22108.93</v>
      </c>
      <c r="L10" s="30">
        <v>7595.8</v>
      </c>
      <c r="M10" s="30">
        <v>30237.32</v>
      </c>
      <c r="N10" s="30"/>
      <c r="O10" s="30">
        <v>5031.8</v>
      </c>
      <c r="P10" s="30">
        <v>7389.88</v>
      </c>
      <c r="Q10" s="30">
        <v>5839.8</v>
      </c>
      <c r="R10" s="30">
        <v>22832.69</v>
      </c>
      <c r="S10" s="30">
        <v>289872.03000000003</v>
      </c>
      <c r="T10" s="30">
        <v>-4904.3100000000004</v>
      </c>
      <c r="U10" s="30">
        <v>3413.84</v>
      </c>
      <c r="V10" s="30">
        <v>-1490.47</v>
      </c>
      <c r="W10" s="30">
        <v>3051.82</v>
      </c>
      <c r="X10" s="30">
        <v>1561.35</v>
      </c>
      <c r="Y10" s="30">
        <v>1561.35</v>
      </c>
    </row>
    <row r="11" spans="1:25" s="29" customFormat="1">
      <c r="A11" s="31" t="s">
        <v>47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s="29" customFormat="1">
      <c r="A12" s="31" t="s">
        <v>48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s="29" customFormat="1">
      <c r="A13" s="31" t="s">
        <v>49</v>
      </c>
      <c r="B13" s="30">
        <v>84178.174180000002</v>
      </c>
      <c r="C13" s="30">
        <v>1117.615816</v>
      </c>
      <c r="D13" s="30">
        <v>3079.12</v>
      </c>
      <c r="E13" s="30"/>
      <c r="F13" s="30"/>
      <c r="G13" s="30"/>
      <c r="H13" s="30">
        <v>2757.63</v>
      </c>
      <c r="I13" s="30">
        <v>91132.54</v>
      </c>
      <c r="J13" s="30">
        <v>47781.39</v>
      </c>
      <c r="K13" s="30"/>
      <c r="L13" s="30">
        <v>2562.3000000000002</v>
      </c>
      <c r="M13" s="30">
        <v>7520.54</v>
      </c>
      <c r="N13" s="30"/>
      <c r="O13" s="30"/>
      <c r="P13" s="30">
        <v>2074.41</v>
      </c>
      <c r="Q13" s="30">
        <v>5224.66</v>
      </c>
      <c r="R13" s="30">
        <v>28630.3</v>
      </c>
      <c r="S13" s="30">
        <v>93793.600000000006</v>
      </c>
      <c r="T13" s="30">
        <v>-2661.06</v>
      </c>
      <c r="U13" s="30">
        <v>-499.74</v>
      </c>
      <c r="V13" s="30">
        <v>-3160.8</v>
      </c>
      <c r="W13" s="30"/>
      <c r="X13" s="30"/>
      <c r="Y13" s="30">
        <v>-3160.8</v>
      </c>
    </row>
    <row r="14" spans="1:25" s="29" customFormat="1">
      <c r="A14" s="31" t="s">
        <v>55</v>
      </c>
      <c r="B14" s="30">
        <v>2643.454608</v>
      </c>
      <c r="C14" s="30">
        <v>11.369740999999999</v>
      </c>
      <c r="D14" s="30"/>
      <c r="E14" s="30"/>
      <c r="F14" s="30"/>
      <c r="G14" s="30"/>
      <c r="H14" s="30">
        <v>27.10033</v>
      </c>
      <c r="I14" s="30">
        <v>2681.9246779999999</v>
      </c>
      <c r="J14" s="30">
        <v>1963.269646</v>
      </c>
      <c r="K14" s="30">
        <v>555.29040499999996</v>
      </c>
      <c r="L14" s="30">
        <v>46.483308999999998</v>
      </c>
      <c r="M14" s="30">
        <v>199.820311</v>
      </c>
      <c r="N14" s="30"/>
      <c r="O14" s="30"/>
      <c r="P14" s="30">
        <v>18.737027000000001</v>
      </c>
      <c r="Q14" s="30"/>
      <c r="R14" s="30">
        <v>73.970577000000006</v>
      </c>
      <c r="S14" s="30">
        <v>2857.5712840000001</v>
      </c>
      <c r="T14" s="30"/>
      <c r="U14" s="30"/>
      <c r="V14" s="30">
        <v>-175.64660599999999</v>
      </c>
      <c r="W14" s="30">
        <v>13.442473</v>
      </c>
      <c r="X14" s="30"/>
      <c r="Y14" s="30">
        <v>-162.20413300000001</v>
      </c>
    </row>
    <row r="15" spans="1:25" s="29" customFormat="1">
      <c r="A15" s="31" t="s">
        <v>52</v>
      </c>
      <c r="B15" s="30">
        <v>27254.799999999999</v>
      </c>
      <c r="C15" s="30">
        <v>180.2</v>
      </c>
      <c r="D15" s="30">
        <v>0</v>
      </c>
      <c r="E15" s="30">
        <v>982.2</v>
      </c>
      <c r="F15" s="30"/>
      <c r="G15" s="30">
        <v>0</v>
      </c>
      <c r="H15" s="30">
        <v>1526.6</v>
      </c>
      <c r="I15" s="30">
        <v>29943.8</v>
      </c>
      <c r="J15" s="30">
        <v>21546.7</v>
      </c>
      <c r="K15" s="30">
        <v>4932</v>
      </c>
      <c r="L15" s="30">
        <v>220.2</v>
      </c>
      <c r="M15" s="30">
        <v>3095.4</v>
      </c>
      <c r="N15" s="30">
        <v>129.9</v>
      </c>
      <c r="O15" s="30">
        <v>768.1</v>
      </c>
      <c r="P15" s="30">
        <v>2185.9</v>
      </c>
      <c r="Q15" s="30">
        <v>2732.9</v>
      </c>
      <c r="R15" s="30">
        <v>3337.6</v>
      </c>
      <c r="S15" s="30">
        <v>38948.5</v>
      </c>
      <c r="T15" s="30">
        <v>-9004.7000000000007</v>
      </c>
      <c r="U15" s="30">
        <v>696.7</v>
      </c>
      <c r="V15" s="30">
        <v>-8308.1</v>
      </c>
      <c r="W15" s="30">
        <v>0</v>
      </c>
      <c r="X15" s="30">
        <v>-8308.1</v>
      </c>
      <c r="Y15" s="30">
        <v>-8316.2000000000007</v>
      </c>
    </row>
    <row r="16" spans="1:25" s="29" customFormat="1">
      <c r="A16" s="31" t="s">
        <v>68</v>
      </c>
      <c r="B16" s="30">
        <v>705504.080449</v>
      </c>
      <c r="C16" s="30">
        <v>9227.4195570000011</v>
      </c>
      <c r="D16" s="30">
        <v>35326.880000000005</v>
      </c>
      <c r="E16" s="30">
        <v>1629.8000000000002</v>
      </c>
      <c r="F16" s="30">
        <v>0</v>
      </c>
      <c r="G16" s="30">
        <v>15343.6</v>
      </c>
      <c r="H16" s="30">
        <v>44222.717329999992</v>
      </c>
      <c r="I16" s="30">
        <v>811254.39733900002</v>
      </c>
      <c r="J16" s="30">
        <v>505633.27283000003</v>
      </c>
      <c r="K16" s="30">
        <v>76399.343642000022</v>
      </c>
      <c r="L16" s="30">
        <v>30055.949474000001</v>
      </c>
      <c r="M16" s="30">
        <v>74750.456402999989</v>
      </c>
      <c r="N16" s="30">
        <v>292.50307500000002</v>
      </c>
      <c r="O16" s="30">
        <v>17082.187892999998</v>
      </c>
      <c r="P16" s="30">
        <v>20553.243366999999</v>
      </c>
      <c r="Q16" s="30">
        <v>67398.458880999999</v>
      </c>
      <c r="R16" s="30">
        <v>86175.386041999998</v>
      </c>
      <c r="S16" s="30">
        <v>878348.67524200003</v>
      </c>
      <c r="T16" s="30">
        <v>-66918.63129695</v>
      </c>
      <c r="U16" s="30">
        <v>48244.918999999987</v>
      </c>
      <c r="V16" s="30">
        <v>-107497.69590295</v>
      </c>
      <c r="W16" s="30">
        <v>2267.5524730000002</v>
      </c>
      <c r="X16" s="30">
        <v>-97418.119296949997</v>
      </c>
      <c r="Y16" s="30">
        <v>-102645.03342995</v>
      </c>
    </row>
    <row r="17" spans="1:25" s="29" customFormat="1">
      <c r="A17" s="31" t="s">
        <v>64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s="29" customFormat="1">
      <c r="A18" s="31" t="s">
        <v>65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s="29" customFormat="1">
      <c r="A19" s="31" t="s">
        <v>66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>
      <c r="A20" s="31" t="s">
        <v>204</v>
      </c>
      <c r="B20" s="30">
        <v>12.802</v>
      </c>
      <c r="C20" s="30">
        <v>2.4E-2</v>
      </c>
      <c r="D20" s="30">
        <v>0</v>
      </c>
      <c r="E20" s="30">
        <v>0</v>
      </c>
      <c r="F20" s="30"/>
      <c r="G20" s="30">
        <v>0</v>
      </c>
      <c r="H20" s="30">
        <v>37.546999999999997</v>
      </c>
      <c r="I20" s="30">
        <v>50.372999999999998</v>
      </c>
      <c r="J20" s="30">
        <v>48.069000000000003</v>
      </c>
      <c r="K20" s="30">
        <v>18.655999999999999</v>
      </c>
      <c r="L20" s="30">
        <v>34.573</v>
      </c>
      <c r="M20" s="30">
        <v>5.8070000000000004</v>
      </c>
      <c r="N20" s="30">
        <v>3.31</v>
      </c>
      <c r="O20" s="30">
        <v>0.81299999999999994</v>
      </c>
      <c r="P20" s="30">
        <v>4.4939999999999998</v>
      </c>
      <c r="Q20" s="30">
        <v>87.575000000000003</v>
      </c>
      <c r="R20" s="30">
        <v>8.8130000000000006</v>
      </c>
      <c r="S20" s="30">
        <v>212.10900000000001</v>
      </c>
      <c r="T20" s="30">
        <v>-161.73599999999999</v>
      </c>
      <c r="U20" s="30">
        <v>4.609</v>
      </c>
      <c r="V20" s="30">
        <v>-166.34399999999999</v>
      </c>
      <c r="W20" s="30">
        <v>0</v>
      </c>
      <c r="X20" s="30">
        <v>-166.34399999999999</v>
      </c>
      <c r="Y20" s="30">
        <v>-166.34399999999999</v>
      </c>
    </row>
    <row r="21" spans="1:25">
      <c r="A21" s="31" t="s">
        <v>205</v>
      </c>
      <c r="B21" s="30">
        <v>2.9796610000000001</v>
      </c>
      <c r="C21" s="30"/>
      <c r="D21" s="30"/>
      <c r="E21" s="30"/>
      <c r="F21" s="30"/>
      <c r="G21" s="30"/>
      <c r="H21" s="30"/>
      <c r="I21" s="30">
        <v>2.9796610000000001</v>
      </c>
      <c r="J21" s="30">
        <v>5.3041840000000002</v>
      </c>
      <c r="K21" s="30">
        <v>4.6772369999999999</v>
      </c>
      <c r="L21" s="30">
        <v>0.37316500000000002</v>
      </c>
      <c r="M21" s="30">
        <v>7.9091999999999996E-2</v>
      </c>
      <c r="N21" s="30">
        <v>9.3075000000000005E-2</v>
      </c>
      <c r="O21" s="30">
        <v>0.13489300000000001</v>
      </c>
      <c r="P21" s="30">
        <v>2.2339999999999999E-2</v>
      </c>
      <c r="Q21" s="30">
        <v>0.24388099999999999</v>
      </c>
      <c r="R21" s="30">
        <v>2.0924649999999998</v>
      </c>
      <c r="S21" s="30">
        <v>20.894957999999999</v>
      </c>
      <c r="T21" s="30">
        <v>-17.915296949999998</v>
      </c>
      <c r="U21" s="30"/>
      <c r="V21" s="30">
        <v>-17.915296949999998</v>
      </c>
      <c r="W21" s="30"/>
      <c r="X21" s="30">
        <v>-17.915296949999998</v>
      </c>
      <c r="Y21" s="30">
        <v>-17.915296949999998</v>
      </c>
    </row>
    <row r="22" spans="1:25">
      <c r="A22" s="31" t="s">
        <v>203</v>
      </c>
      <c r="B22" s="30">
        <v>705504.080449</v>
      </c>
      <c r="C22" s="30">
        <v>9227.4195570000011</v>
      </c>
      <c r="D22" s="30">
        <v>35326.880000000005</v>
      </c>
      <c r="E22" s="30">
        <v>1629.8000000000002</v>
      </c>
      <c r="F22" s="30">
        <v>0</v>
      </c>
      <c r="G22" s="30">
        <v>15343.6</v>
      </c>
      <c r="H22" s="30">
        <v>44222.717329999992</v>
      </c>
      <c r="I22" s="30">
        <v>811254.39733900002</v>
      </c>
      <c r="J22" s="30">
        <v>505633.27283000009</v>
      </c>
      <c r="K22" s="30">
        <v>76399.343642000022</v>
      </c>
      <c r="L22" s="30">
        <v>30055.949474000001</v>
      </c>
      <c r="M22" s="30">
        <v>74750.456402999989</v>
      </c>
      <c r="N22" s="30">
        <v>292.50307500000002</v>
      </c>
      <c r="O22" s="30">
        <v>17082.187892999998</v>
      </c>
      <c r="P22" s="30">
        <v>20553.243366999999</v>
      </c>
      <c r="Q22" s="30">
        <v>67398.458880999999</v>
      </c>
      <c r="R22" s="30">
        <v>86175.386041999998</v>
      </c>
      <c r="S22" s="30">
        <v>878348.67524200014</v>
      </c>
      <c r="T22" s="30">
        <v>-66918.63129695</v>
      </c>
      <c r="U22" s="30">
        <v>48244.918999999987</v>
      </c>
      <c r="V22" s="30">
        <v>-107497.69590295</v>
      </c>
      <c r="W22" s="30">
        <v>2267.5524730000002</v>
      </c>
      <c r="X22" s="30">
        <v>-97418.119296949997</v>
      </c>
      <c r="Y22" s="30">
        <v>-102645.03342995</v>
      </c>
    </row>
    <row r="23" spans="1:25">
      <c r="A23" s="31" t="s">
        <v>69</v>
      </c>
      <c r="B23" s="30">
        <v>2116512.241347</v>
      </c>
      <c r="C23" s="30">
        <v>27682.258671000007</v>
      </c>
      <c r="D23" s="30">
        <v>105980.64000000001</v>
      </c>
      <c r="E23" s="30">
        <v>4889.4000000000005</v>
      </c>
      <c r="F23" s="30">
        <v>0</v>
      </c>
      <c r="G23" s="30">
        <v>46030.8</v>
      </c>
      <c r="H23" s="30">
        <v>132668.15198999998</v>
      </c>
      <c r="I23" s="30">
        <v>2433763.1920170002</v>
      </c>
      <c r="J23" s="30">
        <v>1516899.8184900002</v>
      </c>
      <c r="K23" s="30">
        <v>229198.03092600004</v>
      </c>
      <c r="L23" s="30">
        <v>90167.848421999995</v>
      </c>
      <c r="M23" s="30">
        <v>224251.36920899997</v>
      </c>
      <c r="N23" s="30">
        <v>877.50922500000001</v>
      </c>
      <c r="O23" s="30">
        <v>51246.563678999999</v>
      </c>
      <c r="P23" s="30">
        <v>61659.730101000008</v>
      </c>
      <c r="Q23" s="30">
        <v>202195.37664300003</v>
      </c>
      <c r="R23" s="30">
        <v>258526.15812599999</v>
      </c>
      <c r="S23" s="30">
        <v>2635046.0257259998</v>
      </c>
      <c r="T23" s="30">
        <v>-200755.89389085001</v>
      </c>
      <c r="U23" s="30">
        <v>144734.75699999995</v>
      </c>
      <c r="V23" s="30">
        <v>-322493.08770885004</v>
      </c>
      <c r="W23" s="30">
        <v>6802.657419000001</v>
      </c>
      <c r="X23" s="30">
        <v>-292254.35789084999</v>
      </c>
      <c r="Y23" s="30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N8" sqref="N8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0.140625" style="1" customWidth="1"/>
    <col min="4" max="4" width="11" style="1" customWidth="1"/>
    <col min="5" max="5" width="11.140625" style="1" customWidth="1"/>
    <col min="6" max="6" width="10.28515625" style="1" customWidth="1"/>
    <col min="7" max="8" width="10.42578125" style="1" customWidth="1"/>
    <col min="9" max="9" width="10.28515625" style="1" customWidth="1"/>
    <col min="10" max="10" width="12" style="1" bestFit="1" customWidth="1"/>
    <col min="11" max="11" width="10.42578125" style="1" customWidth="1"/>
    <col min="12" max="12" width="10.5703125" style="1" customWidth="1"/>
    <col min="13" max="16384" width="11" style="1"/>
  </cols>
  <sheetData>
    <row r="1" spans="1:15" ht="24" customHeight="1">
      <c r="B1" s="52" t="s">
        <v>208</v>
      </c>
      <c r="C1" s="53"/>
      <c r="D1" s="53"/>
      <c r="E1" s="53"/>
      <c r="F1" s="53"/>
      <c r="G1" s="53"/>
      <c r="H1" s="53"/>
      <c r="I1" s="53"/>
      <c r="J1" s="53"/>
      <c r="K1" s="53"/>
      <c r="L1" s="54"/>
    </row>
    <row r="2" spans="1:15" ht="21" customHeight="1">
      <c r="A2" s="3"/>
      <c r="B2" s="55" t="s">
        <v>209</v>
      </c>
      <c r="C2" s="56"/>
      <c r="D2" s="56"/>
      <c r="E2" s="56"/>
      <c r="F2" s="56"/>
      <c r="G2" s="56"/>
      <c r="H2" s="56"/>
      <c r="I2" s="56"/>
      <c r="J2" s="56"/>
      <c r="K2" s="56"/>
      <c r="L2" s="57"/>
    </row>
    <row r="3" spans="1:15" ht="30" customHeight="1">
      <c r="A3" s="3"/>
      <c r="B3" s="51" t="s">
        <v>210</v>
      </c>
      <c r="C3" s="51"/>
      <c r="D3" s="51"/>
      <c r="E3" s="51"/>
      <c r="F3" s="51"/>
      <c r="G3" s="51"/>
      <c r="H3" s="51"/>
      <c r="I3" s="51"/>
      <c r="J3" s="51"/>
      <c r="K3" s="51"/>
      <c r="L3" s="51"/>
    </row>
    <row r="4" spans="1:15" ht="26.25" customHeight="1">
      <c r="A4" s="3"/>
      <c r="B4" s="50" t="s">
        <v>12</v>
      </c>
      <c r="C4" s="50"/>
      <c r="D4" s="50"/>
      <c r="E4" s="50"/>
      <c r="F4" s="50"/>
      <c r="G4" s="50"/>
      <c r="H4" s="50"/>
      <c r="I4" s="50"/>
      <c r="J4" s="50"/>
      <c r="K4" s="50"/>
      <c r="L4" s="50"/>
    </row>
    <row r="5" spans="1:15" ht="24" customHeight="1">
      <c r="A5" s="4" t="s">
        <v>10</v>
      </c>
      <c r="B5" s="45" t="s">
        <v>13</v>
      </c>
      <c r="C5" s="46" t="s">
        <v>0</v>
      </c>
      <c r="D5" s="46" t="s">
        <v>11</v>
      </c>
      <c r="E5" s="46" t="s">
        <v>3</v>
      </c>
      <c r="F5" s="46" t="s">
        <v>42</v>
      </c>
      <c r="G5" s="46" t="s">
        <v>84</v>
      </c>
      <c r="H5" s="46" t="s">
        <v>200</v>
      </c>
      <c r="I5" s="46" t="s">
        <v>207</v>
      </c>
      <c r="J5" s="46" t="s">
        <v>212</v>
      </c>
      <c r="K5" s="46" t="s">
        <v>213</v>
      </c>
      <c r="L5" s="46" t="s">
        <v>214</v>
      </c>
    </row>
    <row r="6" spans="1:15" ht="20.25" customHeight="1">
      <c r="A6" s="5"/>
      <c r="B6" s="48" t="s">
        <v>14</v>
      </c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5" ht="20.25" customHeight="1">
      <c r="A7" s="6">
        <v>1</v>
      </c>
      <c r="B7" s="49" t="s">
        <v>15</v>
      </c>
      <c r="C7" s="49"/>
      <c r="D7" s="49"/>
      <c r="E7" s="49"/>
      <c r="F7" s="49"/>
      <c r="G7" s="49"/>
      <c r="H7" s="49"/>
      <c r="I7" s="49"/>
      <c r="J7" s="49"/>
      <c r="K7" s="49"/>
      <c r="L7" s="49"/>
    </row>
    <row r="8" spans="1:15" ht="20.25" customHeight="1">
      <c r="A8" s="7">
        <v>1.1000000000000001</v>
      </c>
      <c r="B8" s="8" t="s">
        <v>16</v>
      </c>
      <c r="C8" s="32">
        <v>51646.5</v>
      </c>
      <c r="D8" s="32">
        <v>57578</v>
      </c>
      <c r="E8" s="32">
        <v>47458.06</v>
      </c>
      <c r="F8" s="32">
        <v>44593.94</v>
      </c>
      <c r="G8" s="32">
        <v>57471.946000000004</v>
      </c>
      <c r="H8" s="32">
        <v>73166.67</v>
      </c>
      <c r="I8" s="32">
        <v>84178.174180000002</v>
      </c>
      <c r="J8" s="32">
        <v>106196.3</v>
      </c>
      <c r="K8" s="32">
        <v>32545.39</v>
      </c>
      <c r="L8" s="32">
        <v>39644.300000000003</v>
      </c>
    </row>
    <row r="9" spans="1:15" ht="20.25" customHeight="1">
      <c r="A9" s="7">
        <v>1.2</v>
      </c>
      <c r="B9" s="8" t="s">
        <v>17</v>
      </c>
      <c r="C9" s="32">
        <v>382.6</v>
      </c>
      <c r="D9" s="32">
        <v>467.7</v>
      </c>
      <c r="E9" s="32">
        <v>429.66</v>
      </c>
      <c r="F9" s="32">
        <v>665.77769023000008</v>
      </c>
      <c r="G9" s="32">
        <v>734.28399999999999</v>
      </c>
      <c r="H9" s="32">
        <v>928.29</v>
      </c>
      <c r="I9" s="32">
        <v>1117.615816</v>
      </c>
      <c r="J9" s="32">
        <v>1362</v>
      </c>
      <c r="K9" s="32">
        <v>619.01</v>
      </c>
      <c r="L9" s="32">
        <v>646</v>
      </c>
    </row>
    <row r="10" spans="1:15" ht="20.25" customHeight="1">
      <c r="A10" s="7">
        <v>1.3</v>
      </c>
      <c r="B10" s="8" t="s">
        <v>18</v>
      </c>
      <c r="C10" s="32">
        <v>1501.2</v>
      </c>
      <c r="D10" s="32">
        <v>1735.3</v>
      </c>
      <c r="E10" s="32">
        <v>1537.91</v>
      </c>
      <c r="F10" s="32">
        <v>2030.77</v>
      </c>
      <c r="G10" s="32">
        <v>2414.23</v>
      </c>
      <c r="H10" s="32">
        <v>2700.6</v>
      </c>
      <c r="I10" s="32">
        <v>3079.12</v>
      </c>
      <c r="J10" s="32">
        <v>5448.26</v>
      </c>
      <c r="K10" s="32">
        <v>14205.4</v>
      </c>
      <c r="L10" s="32">
        <v>20585.21</v>
      </c>
    </row>
    <row r="11" spans="1:15" ht="20.25" customHeight="1">
      <c r="A11" s="7">
        <v>1.4</v>
      </c>
      <c r="B11" s="8" t="s">
        <v>19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</row>
    <row r="12" spans="1:15" ht="20.25" customHeight="1">
      <c r="A12" s="7">
        <v>1.5</v>
      </c>
      <c r="B12" s="8" t="s">
        <v>20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</row>
    <row r="13" spans="1:15" ht="30" customHeight="1">
      <c r="A13" s="9"/>
      <c r="B13" s="10" t="s">
        <v>21</v>
      </c>
      <c r="C13" s="38">
        <v>53530.299999999996</v>
      </c>
      <c r="D13" s="38">
        <v>59781</v>
      </c>
      <c r="E13" s="38">
        <v>49425.630000000005</v>
      </c>
      <c r="F13" s="38">
        <v>47290.487690230002</v>
      </c>
      <c r="G13" s="38">
        <v>60620.460000000006</v>
      </c>
      <c r="H13" s="38">
        <v>76795.56</v>
      </c>
      <c r="I13" s="38">
        <v>88374.909996000002</v>
      </c>
      <c r="J13" s="38">
        <v>113006.56</v>
      </c>
      <c r="K13" s="38">
        <v>47369.8</v>
      </c>
      <c r="L13" s="38">
        <v>60875.519999999997</v>
      </c>
    </row>
    <row r="14" spans="1:15" ht="20.25" customHeight="1">
      <c r="A14" s="6">
        <v>2</v>
      </c>
      <c r="B14" s="44" t="s">
        <v>22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</row>
    <row r="15" spans="1:15" ht="20.25" customHeight="1">
      <c r="A15" s="6">
        <v>3</v>
      </c>
      <c r="B15" s="10" t="s">
        <v>23</v>
      </c>
      <c r="C15" s="32">
        <v>2476.5</v>
      </c>
      <c r="D15" s="32">
        <v>3261.3</v>
      </c>
      <c r="E15" s="32">
        <v>2589.62</v>
      </c>
      <c r="F15" s="32">
        <v>4227.1723097699996</v>
      </c>
      <c r="G15" s="32">
        <v>1292.2</v>
      </c>
      <c r="H15" s="32">
        <v>1155.3699999999999</v>
      </c>
      <c r="I15" s="32">
        <v>2757.63</v>
      </c>
      <c r="J15" s="32">
        <v>10579.84</v>
      </c>
      <c r="K15" s="32">
        <v>3963.97</v>
      </c>
      <c r="L15" s="32">
        <v>4697.75</v>
      </c>
    </row>
    <row r="16" spans="1:15" ht="20.25" customHeight="1">
      <c r="A16" s="6">
        <v>4</v>
      </c>
      <c r="B16" s="11" t="s">
        <v>2</v>
      </c>
      <c r="C16" s="39">
        <v>56006.799999999996</v>
      </c>
      <c r="D16" s="39">
        <v>63042.3</v>
      </c>
      <c r="E16" s="39">
        <v>52015.250000000007</v>
      </c>
      <c r="F16" s="39">
        <v>51517.66</v>
      </c>
      <c r="G16" s="39">
        <v>61912.66</v>
      </c>
      <c r="H16" s="39">
        <v>77950.929999999993</v>
      </c>
      <c r="I16" s="39">
        <v>91132.539996000007</v>
      </c>
      <c r="J16" s="39">
        <v>123586.4</v>
      </c>
      <c r="K16" s="39">
        <v>51333.77</v>
      </c>
      <c r="L16" s="39">
        <v>65573.27</v>
      </c>
      <c r="N16" s="14"/>
      <c r="O16" s="14"/>
    </row>
    <row r="17" spans="1:12" ht="20.25" customHeight="1">
      <c r="A17" s="5" t="s">
        <v>24</v>
      </c>
      <c r="B17" s="48" t="s">
        <v>25</v>
      </c>
      <c r="C17" s="48"/>
      <c r="D17" s="48"/>
      <c r="E17" s="48"/>
      <c r="F17" s="48"/>
      <c r="G17" s="48"/>
      <c r="H17" s="48"/>
      <c r="I17" s="48"/>
      <c r="J17" s="48"/>
      <c r="K17" s="48"/>
      <c r="L17" s="48"/>
    </row>
    <row r="18" spans="1:12" ht="20.25" customHeight="1">
      <c r="A18" s="6">
        <v>5</v>
      </c>
      <c r="B18" s="12" t="s">
        <v>26</v>
      </c>
      <c r="C18" s="32">
        <v>36436.400000000001</v>
      </c>
      <c r="D18" s="32">
        <v>43387.6</v>
      </c>
      <c r="E18" s="32">
        <v>32951.75</v>
      </c>
      <c r="F18" s="32">
        <v>22235.86</v>
      </c>
      <c r="G18" s="32">
        <v>28428.98</v>
      </c>
      <c r="H18" s="32">
        <v>34922.769999999997</v>
      </c>
      <c r="I18" s="32">
        <v>47781.39</v>
      </c>
      <c r="J18" s="32">
        <v>66097.679999999993</v>
      </c>
      <c r="K18" s="32">
        <v>25787.24</v>
      </c>
      <c r="L18" s="32">
        <v>43742.41</v>
      </c>
    </row>
    <row r="19" spans="1:12" ht="26.25" customHeight="1">
      <c r="A19" s="6">
        <v>6</v>
      </c>
      <c r="B19" s="12" t="s">
        <v>27</v>
      </c>
      <c r="C19" s="32">
        <v>6737.6</v>
      </c>
      <c r="D19" s="32">
        <v>9932.5</v>
      </c>
      <c r="E19" s="32">
        <v>6721.16</v>
      </c>
      <c r="F19" s="32">
        <v>8705.27</v>
      </c>
      <c r="G19" s="32">
        <v>8705.27</v>
      </c>
      <c r="H19" s="32">
        <v>11880.45</v>
      </c>
      <c r="I19" s="32">
        <v>0</v>
      </c>
      <c r="J19" s="32">
        <v>21717.453000000001</v>
      </c>
      <c r="K19" s="32">
        <v>11220.88</v>
      </c>
      <c r="L19" s="32">
        <v>11100.21</v>
      </c>
    </row>
    <row r="20" spans="1:12" ht="20.25" customHeight="1">
      <c r="A20" s="6">
        <v>7</v>
      </c>
      <c r="B20" s="12" t="s">
        <v>28</v>
      </c>
      <c r="C20" s="32">
        <v>835.5</v>
      </c>
      <c r="D20" s="32">
        <v>1482.6</v>
      </c>
      <c r="E20" s="32">
        <v>1266.25</v>
      </c>
      <c r="F20" s="32">
        <v>1175.94</v>
      </c>
      <c r="G20" s="32">
        <v>1986.05</v>
      </c>
      <c r="H20" s="32">
        <v>2312</v>
      </c>
      <c r="I20" s="32">
        <v>2562.3000000000002</v>
      </c>
      <c r="J20" s="32">
        <v>17339.34</v>
      </c>
      <c r="K20" s="32">
        <v>15579.56</v>
      </c>
      <c r="L20" s="32">
        <v>12897.32</v>
      </c>
    </row>
    <row r="21" spans="1:12" ht="20.25" customHeight="1">
      <c r="A21" s="6">
        <v>8</v>
      </c>
      <c r="B21" s="12" t="s">
        <v>162</v>
      </c>
      <c r="C21" s="32">
        <v>3540.1</v>
      </c>
      <c r="D21" s="32">
        <v>4740.1000000000004</v>
      </c>
      <c r="E21" s="32">
        <v>3815.02</v>
      </c>
      <c r="F21" s="32">
        <v>3710.31</v>
      </c>
      <c r="G21" s="32">
        <v>5533.02</v>
      </c>
      <c r="H21" s="32">
        <v>6605.56</v>
      </c>
      <c r="I21" s="32">
        <v>7520.54</v>
      </c>
      <c r="J21" s="32">
        <v>11445.82</v>
      </c>
      <c r="K21" s="32">
        <v>6466.17</v>
      </c>
      <c r="L21" s="32">
        <v>7590.55</v>
      </c>
    </row>
    <row r="22" spans="1:12" ht="20.25" customHeight="1">
      <c r="A22" s="6">
        <v>9</v>
      </c>
      <c r="B22" s="12" t="s">
        <v>29</v>
      </c>
      <c r="C22" s="32"/>
      <c r="D22" s="32"/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</row>
    <row r="23" spans="1:12" ht="20.25" customHeight="1">
      <c r="A23" s="6">
        <v>10</v>
      </c>
      <c r="B23" s="12" t="s">
        <v>30</v>
      </c>
      <c r="C23" s="32">
        <v>523.9</v>
      </c>
      <c r="D23" s="32">
        <v>534.5</v>
      </c>
      <c r="E23" s="32">
        <v>244.3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</row>
    <row r="24" spans="1:12" ht="20.25" customHeight="1">
      <c r="A24" s="6">
        <v>11</v>
      </c>
      <c r="B24" s="12" t="s">
        <v>31</v>
      </c>
      <c r="C24" s="32">
        <v>2791.45</v>
      </c>
      <c r="D24" s="32">
        <v>3521.47</v>
      </c>
      <c r="E24" s="32">
        <v>2793.61</v>
      </c>
      <c r="F24" s="32">
        <v>1636.66</v>
      </c>
      <c r="G24" s="32">
        <v>2092.91</v>
      </c>
      <c r="H24" s="32">
        <v>2216.6</v>
      </c>
      <c r="I24" s="32">
        <v>2074.41</v>
      </c>
      <c r="J24" s="32">
        <v>2269.59</v>
      </c>
      <c r="K24" s="32">
        <v>486.82</v>
      </c>
      <c r="L24" s="32">
        <v>1220.49</v>
      </c>
    </row>
    <row r="25" spans="1:12" ht="20.25" customHeight="1">
      <c r="A25" s="6">
        <v>12</v>
      </c>
      <c r="B25" s="12" t="s">
        <v>32</v>
      </c>
      <c r="C25" s="32">
        <v>2376</v>
      </c>
      <c r="D25" s="32">
        <v>3227</v>
      </c>
      <c r="E25" s="32">
        <v>7282.85</v>
      </c>
      <c r="F25" s="32">
        <v>7913.01</v>
      </c>
      <c r="G25" s="32">
        <v>9361.6706709999999</v>
      </c>
      <c r="H25" s="32">
        <v>4015.84</v>
      </c>
      <c r="I25" s="32">
        <v>5224.66</v>
      </c>
      <c r="J25" s="32">
        <v>5999.47</v>
      </c>
      <c r="K25" s="32">
        <v>3018.66</v>
      </c>
      <c r="L25" s="32">
        <v>7796.32</v>
      </c>
    </row>
    <row r="26" spans="1:12" ht="20.25" customHeight="1">
      <c r="A26" s="6">
        <v>13</v>
      </c>
      <c r="B26" s="12" t="s">
        <v>33</v>
      </c>
      <c r="C26" s="32">
        <v>5564</v>
      </c>
      <c r="D26" s="32">
        <v>6211</v>
      </c>
      <c r="E26" s="32">
        <v>5810.05</v>
      </c>
      <c r="F26" s="32">
        <v>2358.0000000000014</v>
      </c>
      <c r="G26" s="32">
        <v>2358</v>
      </c>
      <c r="H26" s="32">
        <v>10782.44</v>
      </c>
      <c r="I26" s="32">
        <v>28630.3</v>
      </c>
      <c r="J26" s="32">
        <v>3796.34</v>
      </c>
      <c r="K26" s="32">
        <v>2611.12</v>
      </c>
      <c r="L26" s="32">
        <v>3393.39</v>
      </c>
    </row>
    <row r="27" spans="1:12" ht="20.25" customHeight="1">
      <c r="A27" s="6">
        <v>14</v>
      </c>
      <c r="B27" s="11" t="s">
        <v>1</v>
      </c>
      <c r="C27" s="39">
        <v>58804.95</v>
      </c>
      <c r="D27" s="39">
        <v>73036.76999999999</v>
      </c>
      <c r="E27" s="39">
        <v>60884.990000000005</v>
      </c>
      <c r="F27" s="39">
        <v>47735.049999999996</v>
      </c>
      <c r="G27" s="39">
        <v>58465.900670000003</v>
      </c>
      <c r="H27" s="39">
        <v>72735.66</v>
      </c>
      <c r="I27" s="39">
        <v>93793.600000000006</v>
      </c>
      <c r="J27" s="39">
        <v>128665.69</v>
      </c>
      <c r="K27" s="39">
        <v>65170.45</v>
      </c>
      <c r="L27" s="39">
        <v>87740.69</v>
      </c>
    </row>
    <row r="28" spans="1:12" ht="20.25" customHeight="1">
      <c r="A28" s="6">
        <v>15</v>
      </c>
      <c r="B28" s="13" t="s">
        <v>34</v>
      </c>
      <c r="C28" s="40">
        <v>-2798.1500000000015</v>
      </c>
      <c r="D28" s="40">
        <v>-9994.4699999999866</v>
      </c>
      <c r="E28" s="40">
        <v>-8869.74</v>
      </c>
      <c r="F28" s="32">
        <v>3782.6100000000006</v>
      </c>
      <c r="G28" s="32">
        <v>3446.759329</v>
      </c>
      <c r="H28" s="32">
        <v>5215.2700000000004</v>
      </c>
      <c r="I28" s="32">
        <v>-2661.06</v>
      </c>
      <c r="J28" s="32">
        <v>-5079.29</v>
      </c>
      <c r="K28" s="32">
        <v>-13836.68</v>
      </c>
      <c r="L28" s="32">
        <v>-22167.43</v>
      </c>
    </row>
    <row r="29" spans="1:12" ht="29.25" customHeight="1">
      <c r="A29" s="6">
        <v>21</v>
      </c>
      <c r="B29" s="13" t="s">
        <v>35</v>
      </c>
      <c r="C29" s="32">
        <v>887.5</v>
      </c>
      <c r="D29" s="32">
        <v>-38</v>
      </c>
      <c r="E29" s="32">
        <v>1999.2</v>
      </c>
      <c r="F29" s="32">
        <v>289.37999999999988</v>
      </c>
      <c r="G29" s="32">
        <v>860.52290200000004</v>
      </c>
      <c r="H29" s="32">
        <v>451.25</v>
      </c>
      <c r="I29" s="32">
        <v>-499.74</v>
      </c>
      <c r="J29" s="32">
        <v>-4268.32</v>
      </c>
      <c r="K29" s="32">
        <v>3853.66</v>
      </c>
      <c r="L29" s="32">
        <v>5687.36</v>
      </c>
    </row>
    <row r="30" spans="1:12" ht="27" customHeight="1">
      <c r="A30" s="6">
        <v>22</v>
      </c>
      <c r="B30" s="13" t="s">
        <v>39</v>
      </c>
      <c r="C30" s="41">
        <v>-1910.76</v>
      </c>
      <c r="D30" s="42">
        <v>-10032.44</v>
      </c>
      <c r="E30" s="42">
        <v>-6870.54</v>
      </c>
      <c r="F30" s="32">
        <v>4071.9900000000007</v>
      </c>
      <c r="G30" s="32">
        <v>4307.2822310000001</v>
      </c>
      <c r="H30" s="32">
        <v>5666.52</v>
      </c>
      <c r="I30" s="32">
        <v>-3160.8</v>
      </c>
      <c r="J30" s="32">
        <v>-9347.61</v>
      </c>
      <c r="K30" s="32">
        <v>-9983.02</v>
      </c>
      <c r="L30" s="32">
        <v>-16480.07</v>
      </c>
    </row>
    <row r="31" spans="1:12" ht="18.75" customHeight="1">
      <c r="A31" s="6">
        <v>23</v>
      </c>
      <c r="B31" s="12" t="s">
        <v>36</v>
      </c>
      <c r="C31" s="43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</row>
    <row r="32" spans="1:12" ht="32.25" customHeight="1">
      <c r="A32" s="6">
        <v>24</v>
      </c>
      <c r="B32" s="12" t="s">
        <v>37</v>
      </c>
      <c r="C32" s="32">
        <v>-1910.76</v>
      </c>
      <c r="D32" s="32">
        <v>-10032.44</v>
      </c>
      <c r="E32" s="32">
        <v>-6870.54</v>
      </c>
      <c r="F32" s="32">
        <v>4071.9900000000007</v>
      </c>
      <c r="G32" s="32">
        <v>4307.2822310000001</v>
      </c>
      <c r="H32" s="32">
        <v>5666.52</v>
      </c>
      <c r="I32" s="32">
        <v>-3160.8</v>
      </c>
      <c r="J32" s="32">
        <v>-9347.61</v>
      </c>
      <c r="K32" s="32">
        <v>-9983.02</v>
      </c>
      <c r="L32" s="32">
        <v>-16480.07</v>
      </c>
    </row>
    <row r="33" spans="1:12" ht="30.75" customHeight="1">
      <c r="A33" s="6">
        <v>26</v>
      </c>
      <c r="B33" s="12" t="s">
        <v>38</v>
      </c>
      <c r="C33" s="32">
        <v>-1910.76</v>
      </c>
      <c r="D33" s="32">
        <v>-10032.44</v>
      </c>
      <c r="E33" s="32">
        <v>-6870.54</v>
      </c>
      <c r="F33" s="32">
        <v>4071.9900000000007</v>
      </c>
      <c r="G33" s="32">
        <v>4307.2822310000001</v>
      </c>
      <c r="H33" s="32">
        <v>5666.52</v>
      </c>
      <c r="I33" s="32">
        <v>-3160.8</v>
      </c>
      <c r="J33" s="32">
        <v>-9347.61</v>
      </c>
      <c r="K33" s="32">
        <v>-9983.02</v>
      </c>
      <c r="L33" s="32">
        <v>-17254.650000000001</v>
      </c>
    </row>
    <row r="34" spans="1:12" ht="24.95" customHeight="1">
      <c r="A34" s="3"/>
      <c r="B34" s="47" t="s">
        <v>211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</row>
    <row r="35" spans="1:12">
      <c r="B35" s="2"/>
      <c r="C35" s="2"/>
    </row>
    <row r="36" spans="1:12">
      <c r="B36" s="2"/>
      <c r="C36" s="2"/>
    </row>
    <row r="37" spans="1:12">
      <c r="B37" s="2"/>
      <c r="C37" s="2"/>
    </row>
    <row r="38" spans="1:12">
      <c r="B38" s="2"/>
      <c r="C38" s="2"/>
    </row>
    <row r="39" spans="1:12">
      <c r="B39" s="2"/>
      <c r="C39" s="2"/>
    </row>
    <row r="40" spans="1:12">
      <c r="B40" s="2"/>
      <c r="C40" s="2"/>
    </row>
    <row r="41" spans="1:12">
      <c r="B41" s="2"/>
      <c r="C41" s="2"/>
    </row>
    <row r="42" spans="1:12">
      <c r="B42" s="2"/>
      <c r="C42" s="2"/>
    </row>
    <row r="43" spans="1:12">
      <c r="B43" s="2"/>
      <c r="C43" s="2"/>
    </row>
    <row r="44" spans="1:12">
      <c r="B44" s="2"/>
      <c r="C44" s="2"/>
    </row>
    <row r="45" spans="1:12">
      <c r="B45" s="2"/>
      <c r="C45" s="2"/>
    </row>
    <row r="46" spans="1:12">
      <c r="B46" s="2"/>
      <c r="C46" s="2"/>
    </row>
    <row r="47" spans="1:12">
      <c r="B47" s="2"/>
      <c r="C47" s="2"/>
    </row>
    <row r="48" spans="1:12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</sheetData>
  <mergeCells count="8">
    <mergeCell ref="B34:L34"/>
    <mergeCell ref="B6:L6"/>
    <mergeCell ref="B7:L7"/>
    <mergeCell ref="B1:L1"/>
    <mergeCell ref="B2:L2"/>
    <mergeCell ref="B3:L3"/>
    <mergeCell ref="B4:L4"/>
    <mergeCell ref="B17:L17"/>
  </mergeCells>
  <printOptions gridLines="1"/>
  <pageMargins left="0.5" right="0.5" top="0.5" bottom="0.5" header="0.5" footer="0.5"/>
  <pageSetup scale="64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2023-02-07T06:31:05Z</cp:lastPrinted>
  <dcterms:created xsi:type="dcterms:W3CDTF">2002-12-26T09:18:20Z</dcterms:created>
  <dcterms:modified xsi:type="dcterms:W3CDTF">2023-02-08T11:33:49Z</dcterms:modified>
</cp:coreProperties>
</file>