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03. AIR INDIA\"/>
    </mc:Choice>
  </mc:AlternateContent>
  <bookViews>
    <workbookView xWindow="0" yWindow="0" windowWidth="24000" windowHeight="10725"/>
  </bookViews>
  <sheets>
    <sheet name="AIR INDIA" sheetId="1" r:id="rId1"/>
  </sheets>
  <definedNames>
    <definedName name="_xlnm.Print_Area" localSheetId="0">'AIR INDIA'!$A$1:$Q$40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B38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B35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B32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B29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6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3" i="1"/>
  <c r="Q36" i="1"/>
  <c r="Q38" i="1" s="1"/>
  <c r="B20" i="1" l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7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B14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1" i="1"/>
  <c r="Q37" i="1" l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4" i="1" l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<sst xmlns="http://schemas.openxmlformats.org/spreadsheetml/2006/main" count="92" uniqueCount="39">
  <si>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</si>
  <si>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</si>
  <si>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</si>
  <si>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</si>
  <si>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</si>
  <si>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</si>
  <si>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</si>
  <si>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</si>
  <si>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</si>
  <si>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</si>
  <si>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</si>
  <si>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</si>
  <si>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</si>
  <si>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</si>
  <si>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</si>
  <si>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</si>
  <si>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</si>
  <si>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</si>
  <si>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</si>
  <si>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</si>
  <si>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</si>
  <si>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</si>
  <si>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</si>
  <si>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</si>
  <si>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</si>
  <si>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</si>
  <si>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</si>
  <si>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</si>
  <si>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</si>
  <si>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</si>
  <si>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</si>
  <si>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(AIR INDIA)</t>
  </si>
  <si>
    <t>SOURCE: ICAO ATR FORM 'A' FURNISHED BY AIR INDIA</t>
  </si>
  <si>
    <t xml:space="preserve"> तालिका- 1.06 (एयर इंडिया)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</si>
  <si>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</si>
  <si>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</si>
  <si>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AIR INDIA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</si>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</sst>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7" fontId="0" fillId="7" borderId="1" xfId="1" applyNumberFormat="1" applyFont="1" applyFill="1" applyBorder="1" applyAlignment="1" applyProtection="1">
      <alignment horizontal="center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4" fontId="4" fillId="4" borderId="1" xfId="1" applyNumberFormat="1" applyFill="1" applyBorder="1" applyAlignment="1" applyProtection="1">
      <alignment horizontal="right" vertical="center" wrapText="1"/>
    </xf>
    <xf numFmtId="164" fontId="4" fillId="4" borderId="1" xfId="3" applyNumberFormat="1" applyBorder="1" applyAlignment="1" applyProtection="1">
      <alignment horizontal="right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topLeftCell="A4" zoomScaleNormal="100" zoomScaleSheetLayoutView="100" workbookViewId="0">
      <selection activeCell="A6" sqref="A6:XFD8"/>
    </sheetView>
  </sheetViews>
  <sheetFormatPr defaultColWidth="9.140625" defaultRowHeight="15" x14ac:dyDescent="0.25"/>
  <cols>
    <col min="1" max="1" width="9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6.8554687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0" style="1" customWidth="1"/>
    <col min="13" max="13" width="9.5703125" style="1" customWidth="1"/>
    <col min="14" max="14" width="7.8554687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18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1" customHeight="1" x14ac:dyDescent="0.25">
      <c r="A2" s="19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1" customHeight="1" x14ac:dyDescent="0.25">
      <c r="A3" s="21" t="s">
        <v>36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5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23" t="s">
        <v>3</v>
      </c>
      <c r="H4" s="2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23" t="s">
        <v>7</v>
      </c>
      <c r="Q4" s="23" t="s">
        <v>8</v>
      </c>
    </row>
    <row r="5" spans="1:17" ht="132" customHeight="1" x14ac:dyDescent="0.25">
      <c r="A5" s="21"/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24"/>
      <c r="H5" s="24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5" t="s">
        <v>16</v>
      </c>
      <c r="P5" s="24"/>
      <c r="Q5" s="24"/>
    </row>
    <row r="6" spans="1:17" ht="24.95" customHeight="1" x14ac:dyDescent="0.25">
      <c r="A6" s="5" t="s">
        <v>19</v>
      </c>
      <c r="B6" s="9">
        <v>129392</v>
      </c>
      <c r="C6" s="9">
        <v>343346</v>
      </c>
      <c r="D6" s="9">
        <v>214922</v>
      </c>
      <c r="E6" s="9">
        <v>12829375</v>
      </c>
      <c r="F6" s="9">
        <v>30222.512999999999</v>
      </c>
      <c r="G6" s="9">
        <v>45678.195</v>
      </c>
      <c r="H6" s="12">
        <v>66.163982617964649</v>
      </c>
      <c r="I6" s="8">
        <v>174416</v>
      </c>
      <c r="J6" s="8">
        <v>15445.800000000001</v>
      </c>
      <c r="K6" s="8">
        <v>189861.80000000002</v>
      </c>
      <c r="L6" s="8">
        <v>3007.7130000000002</v>
      </c>
      <c r="M6" s="8">
        <v>635.95600000000002</v>
      </c>
      <c r="N6" s="8">
        <v>37.783999999999999</v>
      </c>
      <c r="O6" s="8">
        <v>3681.453</v>
      </c>
      <c r="P6" s="8">
        <v>6328.7439999999997</v>
      </c>
      <c r="Q6" s="13">
        <v>58.170357341045872</v>
      </c>
    </row>
    <row r="7" spans="1:17" ht="24.95" customHeight="1" x14ac:dyDescent="0.25">
      <c r="A7" s="3" t="s">
        <v>27</v>
      </c>
      <c r="B7" s="4" t="s">
        <v>28</v>
      </c>
      <c r="C7" s="4" t="s">
        <v>28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28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4" t="s">
        <v>28</v>
      </c>
      <c r="Q7" s="4" t="s">
        <v>28</v>
      </c>
    </row>
    <row r="8" spans="1:17" ht="24.95" customHeight="1" x14ac:dyDescent="0.25">
      <c r="A8" s="6" t="s">
        <v>29</v>
      </c>
      <c r="B8" s="10" t="s">
        <v>28</v>
      </c>
      <c r="C8" s="10" t="s">
        <v>28</v>
      </c>
      <c r="D8" s="10" t="s">
        <v>28</v>
      </c>
      <c r="E8" s="10" t="s">
        <v>28</v>
      </c>
      <c r="F8" s="10" t="s">
        <v>28</v>
      </c>
      <c r="G8" s="10" t="s">
        <v>28</v>
      </c>
      <c r="H8" s="10" t="s">
        <v>28</v>
      </c>
      <c r="I8" s="10" t="s">
        <v>28</v>
      </c>
      <c r="J8" s="10" t="s">
        <v>28</v>
      </c>
      <c r="K8" s="10" t="s">
        <v>28</v>
      </c>
      <c r="L8" s="10" t="s">
        <v>28</v>
      </c>
      <c r="M8" s="10" t="s">
        <v>28</v>
      </c>
      <c r="N8" s="10" t="s">
        <v>28</v>
      </c>
      <c r="O8" s="10" t="s">
        <v>28</v>
      </c>
      <c r="P8" s="10" t="s">
        <v>28</v>
      </c>
      <c r="Q8" s="10" t="s">
        <v>28</v>
      </c>
    </row>
    <row r="9" spans="1:17" ht="24.95" customHeight="1" x14ac:dyDescent="0.25">
      <c r="A9" s="5" t="s">
        <v>20</v>
      </c>
      <c r="B9" s="9">
        <v>130622</v>
      </c>
      <c r="C9" s="9">
        <v>337964</v>
      </c>
      <c r="D9" s="9">
        <v>214997</v>
      </c>
      <c r="E9" s="9">
        <v>13614148</v>
      </c>
      <c r="F9" s="9">
        <v>31247.121999999999</v>
      </c>
      <c r="G9" s="9">
        <v>45620.953999999998</v>
      </c>
      <c r="H9" s="12">
        <v>68.492916654044549</v>
      </c>
      <c r="I9" s="8">
        <v>152698</v>
      </c>
      <c r="J9" s="8">
        <v>13349</v>
      </c>
      <c r="K9" s="8">
        <v>166047</v>
      </c>
      <c r="L9" s="8">
        <v>3098.404</v>
      </c>
      <c r="M9" s="8">
        <v>571.34199999999998</v>
      </c>
      <c r="N9" s="8">
        <v>34.67</v>
      </c>
      <c r="O9" s="8">
        <v>3704.4160000000002</v>
      </c>
      <c r="P9" s="8">
        <v>6418.7079999999996</v>
      </c>
      <c r="Q9" s="12">
        <v>57.712798276537903</v>
      </c>
    </row>
    <row r="10" spans="1:17" ht="24.95" customHeight="1" x14ac:dyDescent="0.25">
      <c r="A10" s="3" t="s">
        <v>27</v>
      </c>
      <c r="B10" s="16">
        <f>(B9-B6)/B6</f>
        <v>9.5059972795845191E-3</v>
      </c>
      <c r="C10" s="16">
        <f t="shared" ref="C10:Q10" si="0">(C9-C6)/C6</f>
        <v>-1.5675149848840528E-2</v>
      </c>
      <c r="D10" s="16">
        <f t="shared" si="0"/>
        <v>3.4896381012646449E-4</v>
      </c>
      <c r="E10" s="16">
        <f t="shared" si="0"/>
        <v>6.1170010230428215E-2</v>
      </c>
      <c r="F10" s="16">
        <f t="shared" si="0"/>
        <v>3.3902177492652591E-2</v>
      </c>
      <c r="G10" s="16">
        <f t="shared" si="0"/>
        <v>-1.2531362064547823E-3</v>
      </c>
      <c r="H10" s="14">
        <f t="shared" si="0"/>
        <v>3.5199423370980011E-2</v>
      </c>
      <c r="I10" s="16">
        <f t="shared" si="0"/>
        <v>-0.12451839280799927</v>
      </c>
      <c r="J10" s="16">
        <f t="shared" si="0"/>
        <v>-0.13575211384324548</v>
      </c>
      <c r="K10" s="16">
        <f t="shared" si="0"/>
        <v>-0.12543228811693566</v>
      </c>
      <c r="L10" s="16">
        <f t="shared" si="0"/>
        <v>3.0152810457646655E-2</v>
      </c>
      <c r="M10" s="16">
        <f t="shared" si="0"/>
        <v>-0.10160136864814552</v>
      </c>
      <c r="N10" s="16">
        <f t="shared" si="0"/>
        <v>-8.2415837391488389E-2</v>
      </c>
      <c r="O10" s="16">
        <f t="shared" si="0"/>
        <v>6.237482863423815E-3</v>
      </c>
      <c r="P10" s="16">
        <f t="shared" si="0"/>
        <v>1.4215142846669094E-2</v>
      </c>
      <c r="Q10" s="14">
        <f t="shared" si="0"/>
        <v>-7.8658458607251507E-3</v>
      </c>
    </row>
    <row r="11" spans="1:17" ht="24.95" customHeight="1" x14ac:dyDescent="0.25">
      <c r="A11" s="6" t="s">
        <v>29</v>
      </c>
      <c r="B11" s="7">
        <f>(((B9/B6)^(1/1))-1)</f>
        <v>9.505997279584566E-3</v>
      </c>
      <c r="C11" s="7">
        <f t="shared" ref="C11:Q11" si="1">(((C9/C6)^(1/1))-1)</f>
        <v>-1.5675149848840553E-2</v>
      </c>
      <c r="D11" s="7">
        <f t="shared" si="1"/>
        <v>3.4896381012639033E-4</v>
      </c>
      <c r="E11" s="7">
        <f t="shared" si="1"/>
        <v>6.1170010230428229E-2</v>
      </c>
      <c r="F11" s="7">
        <f t="shared" si="1"/>
        <v>3.3902177492652674E-2</v>
      </c>
      <c r="G11" s="7">
        <f t="shared" si="1"/>
        <v>-1.2531362064547302E-3</v>
      </c>
      <c r="H11" s="7">
        <f t="shared" si="1"/>
        <v>3.5199423370980032E-2</v>
      </c>
      <c r="I11" s="7">
        <f t="shared" si="1"/>
        <v>-0.12451839280799926</v>
      </c>
      <c r="J11" s="7">
        <f t="shared" si="1"/>
        <v>-0.13575211384324548</v>
      </c>
      <c r="K11" s="7">
        <f t="shared" si="1"/>
        <v>-0.12543228811693563</v>
      </c>
      <c r="L11" s="7">
        <f t="shared" si="1"/>
        <v>3.0152810457646728E-2</v>
      </c>
      <c r="M11" s="7">
        <f t="shared" si="1"/>
        <v>-0.10160136864814551</v>
      </c>
      <c r="N11" s="7">
        <f t="shared" si="1"/>
        <v>-8.2415837391488389E-2</v>
      </c>
      <c r="O11" s="7">
        <f t="shared" si="1"/>
        <v>6.2374828634237378E-3</v>
      </c>
      <c r="P11" s="7">
        <f t="shared" si="1"/>
        <v>1.4215142846669027E-2</v>
      </c>
      <c r="Q11" s="7">
        <f t="shared" si="1"/>
        <v>-7.8658458607251402E-3</v>
      </c>
    </row>
    <row r="12" spans="1:17" ht="24.95" customHeight="1" x14ac:dyDescent="0.25">
      <c r="A12" s="5" t="s">
        <v>21</v>
      </c>
      <c r="B12" s="9">
        <v>125731</v>
      </c>
      <c r="C12" s="9">
        <v>299785</v>
      </c>
      <c r="D12" s="9">
        <v>194274</v>
      </c>
      <c r="E12" s="9">
        <v>14183238</v>
      </c>
      <c r="F12" s="9">
        <v>29193.386999999999</v>
      </c>
      <c r="G12" s="9">
        <v>40217.406999999999</v>
      </c>
      <c r="H12" s="12">
        <v>72.588933940967408</v>
      </c>
      <c r="I12" s="8">
        <v>135208</v>
      </c>
      <c r="J12" s="8">
        <v>1670</v>
      </c>
      <c r="K12" s="8">
        <v>136878</v>
      </c>
      <c r="L12" s="8">
        <v>2870.9960000000001</v>
      </c>
      <c r="M12" s="8">
        <v>437.04899999999998</v>
      </c>
      <c r="N12" s="8">
        <v>38.228999999999999</v>
      </c>
      <c r="O12" s="8">
        <v>3346.2739999999999</v>
      </c>
      <c r="P12" s="8">
        <v>5553.0959999999995</v>
      </c>
      <c r="Q12" s="12">
        <v>60.259610134598795</v>
      </c>
    </row>
    <row r="13" spans="1:17" ht="24.95" customHeight="1" x14ac:dyDescent="0.25">
      <c r="A13" s="3" t="s">
        <v>27</v>
      </c>
      <c r="B13" s="16">
        <f>(B12-B9)/B9</f>
        <v>-3.7443922157063894E-2</v>
      </c>
      <c r="C13" s="16">
        <f t="shared" ref="C13:Q13" si="2">(C12-C9)/C9</f>
        <v>-0.11296765335952942</v>
      </c>
      <c r="D13" s="16">
        <f t="shared" si="2"/>
        <v>-9.6387391451973753E-2</v>
      </c>
      <c r="E13" s="16">
        <f t="shared" si="2"/>
        <v>4.1801367224742966E-2</v>
      </c>
      <c r="F13" s="16">
        <f t="shared" si="2"/>
        <v>-6.5725573062376766E-2</v>
      </c>
      <c r="G13" s="16">
        <f t="shared" si="2"/>
        <v>-0.11844441043473135</v>
      </c>
      <c r="H13" s="14">
        <f t="shared" si="2"/>
        <v>5.9802056723788036E-2</v>
      </c>
      <c r="I13" s="16">
        <f t="shared" si="2"/>
        <v>-0.11453981060655673</v>
      </c>
      <c r="J13" s="16">
        <f t="shared" si="2"/>
        <v>-0.8748969960296652</v>
      </c>
      <c r="K13" s="16">
        <f t="shared" si="2"/>
        <v>-0.17566713039079296</v>
      </c>
      <c r="L13" s="16">
        <f t="shared" si="2"/>
        <v>-7.3395206048016942E-2</v>
      </c>
      <c r="M13" s="16">
        <f t="shared" si="2"/>
        <v>-0.23504835982651373</v>
      </c>
      <c r="N13" s="16">
        <f t="shared" si="2"/>
        <v>0.10265359100086523</v>
      </c>
      <c r="O13" s="16">
        <f t="shared" si="2"/>
        <v>-9.667974655114335E-2</v>
      </c>
      <c r="P13" s="16">
        <f t="shared" si="2"/>
        <v>-0.13485766917579053</v>
      </c>
      <c r="Q13" s="14">
        <f t="shared" si="2"/>
        <v>4.4129065547255784E-2</v>
      </c>
    </row>
    <row r="14" spans="1:17" s="2" customFormat="1" ht="24.95" customHeight="1" x14ac:dyDescent="0.25">
      <c r="A14" s="6" t="s">
        <v>29</v>
      </c>
      <c r="B14" s="7">
        <f>(((B12/B6)^(1/2))-1)</f>
        <v>-1.4248442405309425E-2</v>
      </c>
      <c r="C14" s="7">
        <f t="shared" ref="C14:Q14" si="3">(((C12/C6)^(1/2))-1)</f>
        <v>-6.5586824961188506E-2</v>
      </c>
      <c r="D14" s="7">
        <f t="shared" si="3"/>
        <v>-4.9248751435590488E-2</v>
      </c>
      <c r="E14" s="7">
        <f t="shared" si="3"/>
        <v>5.1441090844349002E-2</v>
      </c>
      <c r="F14" s="7">
        <f t="shared" si="3"/>
        <v>-1.71732785549078E-2</v>
      </c>
      <c r="G14" s="7">
        <f t="shared" si="3"/>
        <v>-6.1676558782643554E-2</v>
      </c>
      <c r="H14" s="7">
        <f t="shared" si="3"/>
        <v>4.7428507349233984E-2</v>
      </c>
      <c r="I14" s="7">
        <f t="shared" si="3"/>
        <v>-0.11954323802090938</v>
      </c>
      <c r="J14" s="7">
        <f t="shared" si="3"/>
        <v>-0.67118393175937707</v>
      </c>
      <c r="K14" s="7">
        <f t="shared" si="3"/>
        <v>-0.15092113934916229</v>
      </c>
      <c r="L14" s="7">
        <f t="shared" si="3"/>
        <v>-2.2992050864905189E-2</v>
      </c>
      <c r="M14" s="7">
        <f t="shared" si="3"/>
        <v>-0.17100572584473395</v>
      </c>
      <c r="N14" s="7">
        <f t="shared" si="3"/>
        <v>5.8714987242640682E-3</v>
      </c>
      <c r="O14" s="7">
        <f t="shared" si="3"/>
        <v>-4.6608843102723396E-2</v>
      </c>
      <c r="P14" s="7">
        <f t="shared" si="3"/>
        <v>-6.3282084809105466E-2</v>
      </c>
      <c r="Q14" s="7">
        <f t="shared" si="3"/>
        <v>1.7799640036759934E-2</v>
      </c>
    </row>
    <row r="15" spans="1:17" ht="24.95" customHeight="1" x14ac:dyDescent="0.25">
      <c r="A15" s="5" t="s">
        <v>22</v>
      </c>
      <c r="B15" s="9">
        <v>136634</v>
      </c>
      <c r="C15" s="9">
        <v>343002</v>
      </c>
      <c r="D15" s="9">
        <v>215383</v>
      </c>
      <c r="E15" s="9">
        <v>15405796</v>
      </c>
      <c r="F15" s="9">
        <v>33243.192999999999</v>
      </c>
      <c r="G15" s="9">
        <v>45193.247000000003</v>
      </c>
      <c r="H15" s="12">
        <v>73.557876910238377</v>
      </c>
      <c r="I15" s="8">
        <v>178194</v>
      </c>
      <c r="J15" s="8">
        <v>2377.7629999999999</v>
      </c>
      <c r="K15" s="8">
        <v>180571.76300000001</v>
      </c>
      <c r="L15" s="8">
        <v>3264.5479999999998</v>
      </c>
      <c r="M15" s="8">
        <v>612.23</v>
      </c>
      <c r="N15" s="8">
        <v>33.198999999999998</v>
      </c>
      <c r="O15" s="8">
        <v>3909.9769999999999</v>
      </c>
      <c r="P15" s="8">
        <v>6194.3422</v>
      </c>
      <c r="Q15" s="12">
        <v>63.121746809532084</v>
      </c>
    </row>
    <row r="16" spans="1:17" ht="24.95" customHeight="1" x14ac:dyDescent="0.25">
      <c r="A16" s="3" t="s">
        <v>27</v>
      </c>
      <c r="B16" s="17">
        <f>(B15-B12)/B12</f>
        <v>8.6716879687586998E-2</v>
      </c>
      <c r="C16" s="17">
        <f t="shared" ref="C16:Q16" si="4">(C15-C12)/C12</f>
        <v>0.14415998131994595</v>
      </c>
      <c r="D16" s="17">
        <f t="shared" si="4"/>
        <v>0.10865581601243604</v>
      </c>
      <c r="E16" s="17">
        <f t="shared" si="4"/>
        <v>8.6197383136347283E-2</v>
      </c>
      <c r="F16" s="17">
        <f t="shared" si="4"/>
        <v>0.13872340335158784</v>
      </c>
      <c r="G16" s="17">
        <f t="shared" si="4"/>
        <v>0.12372354090356953</v>
      </c>
      <c r="H16" s="14">
        <f t="shared" si="4"/>
        <v>1.3348356514767906E-2</v>
      </c>
      <c r="I16" s="17">
        <f t="shared" si="4"/>
        <v>0.31792497485355897</v>
      </c>
      <c r="J16" s="17">
        <f t="shared" si="4"/>
        <v>0.42381017964071849</v>
      </c>
      <c r="K16" s="17">
        <f t="shared" si="4"/>
        <v>0.31921684273586703</v>
      </c>
      <c r="L16" s="17">
        <f t="shared" si="4"/>
        <v>0.13707856088967021</v>
      </c>
      <c r="M16" s="17">
        <f t="shared" si="4"/>
        <v>0.40082690956849243</v>
      </c>
      <c r="N16" s="17">
        <f t="shared" si="4"/>
        <v>-0.13157550550629107</v>
      </c>
      <c r="O16" s="17">
        <f t="shared" si="4"/>
        <v>0.16845691655853645</v>
      </c>
      <c r="P16" s="17">
        <f t="shared" si="4"/>
        <v>0.115475439286481</v>
      </c>
      <c r="Q16" s="14">
        <f t="shared" si="4"/>
        <v>4.7496767213400182E-2</v>
      </c>
    </row>
    <row r="17" spans="1:17" ht="24.95" customHeight="1" x14ac:dyDescent="0.25">
      <c r="A17" s="6" t="s">
        <v>29</v>
      </c>
      <c r="B17" s="7">
        <f>(((B15/B6)^(1/3))-1)</f>
        <v>1.8318856079534651E-2</v>
      </c>
      <c r="C17" s="7">
        <f t="shared" ref="C17:Q17" si="5">(((C15/C6)^(1/3))-1)</f>
        <v>-3.3407985828803888E-4</v>
      </c>
      <c r="D17" s="7">
        <f t="shared" si="5"/>
        <v>7.1447747355724012E-4</v>
      </c>
      <c r="E17" s="7">
        <f t="shared" si="5"/>
        <v>6.2901160009804613E-2</v>
      </c>
      <c r="F17" s="7">
        <f t="shared" si="5"/>
        <v>3.226385176958857E-2</v>
      </c>
      <c r="G17" s="7">
        <f t="shared" si="5"/>
        <v>-3.5514710668798077E-3</v>
      </c>
      <c r="H17" s="7">
        <f t="shared" si="5"/>
        <v>3.5942973266080536E-2</v>
      </c>
      <c r="I17" s="7">
        <f t="shared" si="5"/>
        <v>7.1687715115973383E-3</v>
      </c>
      <c r="J17" s="7">
        <f t="shared" si="5"/>
        <v>-0.46405603377586446</v>
      </c>
      <c r="K17" s="7">
        <f t="shared" si="5"/>
        <v>-1.6583671936344468E-2</v>
      </c>
      <c r="L17" s="7">
        <f t="shared" si="5"/>
        <v>2.7690215971994503E-2</v>
      </c>
      <c r="M17" s="7">
        <f t="shared" si="5"/>
        <v>-1.2593809042025561E-2</v>
      </c>
      <c r="N17" s="7">
        <f t="shared" si="5"/>
        <v>-4.2205460844751297E-2</v>
      </c>
      <c r="O17" s="7">
        <f t="shared" si="5"/>
        <v>2.0277511244143565E-2</v>
      </c>
      <c r="P17" s="7">
        <f t="shared" si="5"/>
        <v>-7.1296192151916182E-3</v>
      </c>
      <c r="Q17" s="7">
        <f t="shared" si="5"/>
        <v>2.7603936011940888E-2</v>
      </c>
    </row>
    <row r="18" spans="1:17" ht="24.95" customHeight="1" x14ac:dyDescent="0.25">
      <c r="A18" s="5" t="s">
        <v>23</v>
      </c>
      <c r="B18" s="9">
        <v>138803</v>
      </c>
      <c r="C18" s="9">
        <v>358927</v>
      </c>
      <c r="D18" s="9">
        <v>258808</v>
      </c>
      <c r="E18" s="9">
        <v>17263599</v>
      </c>
      <c r="F18" s="9">
        <v>35917.201000000001</v>
      </c>
      <c r="G18" s="9">
        <v>48484.936000000002</v>
      </c>
      <c r="H18" s="12">
        <v>74.079093349736496</v>
      </c>
      <c r="I18" s="8">
        <v>205963</v>
      </c>
      <c r="J18" s="8">
        <v>19412</v>
      </c>
      <c r="K18" s="8">
        <v>225375</v>
      </c>
      <c r="L18" s="8">
        <v>3500.7370000000001</v>
      </c>
      <c r="M18" s="8">
        <v>657.60599999999999</v>
      </c>
      <c r="N18" s="8">
        <v>37.636000000000003</v>
      </c>
      <c r="O18" s="8">
        <v>4195.9790000000003</v>
      </c>
      <c r="P18" s="8">
        <v>6556.5739999999996</v>
      </c>
      <c r="Q18" s="12">
        <v>63.996517083464632</v>
      </c>
    </row>
    <row r="19" spans="1:17" ht="24.95" customHeight="1" x14ac:dyDescent="0.25">
      <c r="A19" s="3" t="s">
        <v>27</v>
      </c>
      <c r="B19" s="17">
        <f>(B18-B15)/B15</f>
        <v>1.5874526106240027E-2</v>
      </c>
      <c r="C19" s="17">
        <f t="shared" ref="C19:Q19" si="6">(C18-C15)/C15</f>
        <v>4.642830070961685E-2</v>
      </c>
      <c r="D19" s="17">
        <f t="shared" si="6"/>
        <v>0.20161758356044812</v>
      </c>
      <c r="E19" s="17">
        <f t="shared" si="6"/>
        <v>0.12059117230943471</v>
      </c>
      <c r="F19" s="17">
        <f t="shared" si="6"/>
        <v>8.0437760596582933E-2</v>
      </c>
      <c r="G19" s="17">
        <f t="shared" si="6"/>
        <v>7.2835859746921888E-2</v>
      </c>
      <c r="H19" s="14">
        <f t="shared" si="6"/>
        <v>7.0858004797249878E-3</v>
      </c>
      <c r="I19" s="17">
        <f t="shared" si="6"/>
        <v>0.15583577449296834</v>
      </c>
      <c r="J19" s="17">
        <f t="shared" si="6"/>
        <v>7.1639759723740344</v>
      </c>
      <c r="K19" s="17">
        <f t="shared" si="6"/>
        <v>0.24811873271680907</v>
      </c>
      <c r="L19" s="17">
        <f t="shared" si="6"/>
        <v>7.2349679036730452E-2</v>
      </c>
      <c r="M19" s="17">
        <f t="shared" si="6"/>
        <v>7.4115936821129269E-2</v>
      </c>
      <c r="N19" s="17">
        <f t="shared" si="6"/>
        <v>0.1336486038736108</v>
      </c>
      <c r="O19" s="17">
        <f t="shared" si="6"/>
        <v>7.3146721834936729E-2</v>
      </c>
      <c r="P19" s="17">
        <f t="shared" si="6"/>
        <v>5.8477847736600599E-2</v>
      </c>
      <c r="Q19" s="14">
        <f t="shared" si="6"/>
        <v>1.3858461119147096E-2</v>
      </c>
    </row>
    <row r="20" spans="1:17" ht="24.95" customHeight="1" x14ac:dyDescent="0.25">
      <c r="A20" s="6" t="s">
        <v>29</v>
      </c>
      <c r="B20" s="7">
        <f>(((B18/B6)^(1/4))-1)</f>
        <v>1.7707222758426067E-2</v>
      </c>
      <c r="C20" s="7" t="e">
        <f>(((C18/#REF!)^(1/5))-1)</f>
        <v>#REF!</v>
      </c>
      <c r="D20" s="7" t="e">
        <f>(((D18/#REF!)^(1/5))-1)</f>
        <v>#REF!</v>
      </c>
      <c r="E20" s="7" t="e">
        <f>(((E18/#REF!)^(1/5))-1)</f>
        <v>#REF!</v>
      </c>
      <c r="F20" s="7" t="e">
        <f>(((F18/#REF!)^(1/5))-1)</f>
        <v>#REF!</v>
      </c>
      <c r="G20" s="7" t="e">
        <f>(((G18/#REF!)^(1/5))-1)</f>
        <v>#REF!</v>
      </c>
      <c r="H20" s="11" t="e">
        <f>(((H18/#REF!)^(1/5))-1)</f>
        <v>#REF!</v>
      </c>
      <c r="I20" s="7" t="e">
        <f>(((I18/#REF!)^(1/5))-1)</f>
        <v>#REF!</v>
      </c>
      <c r="J20" s="7" t="e">
        <f>(((J18/#REF!)^(1/5))-1)</f>
        <v>#REF!</v>
      </c>
      <c r="K20" s="7" t="e">
        <f>(((K18/#REF!)^(1/5))-1)</f>
        <v>#REF!</v>
      </c>
      <c r="L20" s="7" t="e">
        <f>(((L18/#REF!)^(1/5))-1)</f>
        <v>#REF!</v>
      </c>
      <c r="M20" s="7" t="e">
        <f>(((M18/#REF!)^(1/5))-1)</f>
        <v>#REF!</v>
      </c>
      <c r="N20" s="7" t="e">
        <f>(((N18/#REF!)^(1/5))-1)</f>
        <v>#REF!</v>
      </c>
      <c r="O20" s="7" t="e">
        <f>(((O18/#REF!)^(1/5))-1)</f>
        <v>#REF!</v>
      </c>
      <c r="P20" s="7" t="e">
        <f>(((P18/#REF!)^(1/5))-1)</f>
        <v>#REF!</v>
      </c>
      <c r="Q20" s="11" t="e">
        <f>(((Q18/#REF!)^(1/5))-1)</f>
        <v>#REF!</v>
      </c>
    </row>
    <row r="21" spans="1:17" ht="24.95" customHeight="1" x14ac:dyDescent="0.25">
      <c r="A21" s="5" t="s">
        <v>24</v>
      </c>
      <c r="B21" s="9">
        <v>140016</v>
      </c>
      <c r="C21" s="9">
        <v>378135</v>
      </c>
      <c r="D21" s="9">
        <v>340622</v>
      </c>
      <c r="E21" s="9">
        <v>18475830</v>
      </c>
      <c r="F21" s="9">
        <v>38548.79</v>
      </c>
      <c r="G21" s="9">
        <v>51049.54</v>
      </c>
      <c r="H21" s="12">
        <v>75.512511963868818</v>
      </c>
      <c r="I21" s="8">
        <v>187614</v>
      </c>
      <c r="J21" s="8">
        <v>19044</v>
      </c>
      <c r="K21" s="8">
        <v>206658</v>
      </c>
      <c r="L21" s="8">
        <v>3761.9140000000002</v>
      </c>
      <c r="M21" s="8">
        <v>565.50300000000004</v>
      </c>
      <c r="N21" s="8">
        <v>36.277000000000001</v>
      </c>
      <c r="O21" s="8">
        <v>4363.6940000000004</v>
      </c>
      <c r="P21" s="8">
        <v>6854.2730000000001</v>
      </c>
      <c r="Q21" s="12">
        <v>63.663848813725401</v>
      </c>
    </row>
    <row r="22" spans="1:17" ht="24.95" customHeight="1" x14ac:dyDescent="0.25">
      <c r="A22" s="3" t="s">
        <v>27</v>
      </c>
      <c r="B22" s="17">
        <f>(B21-B18)/B18</f>
        <v>8.7390042001974019E-3</v>
      </c>
      <c r="C22" s="17">
        <f t="shared" ref="C22:Q22" si="7">(C21-C18)/C18</f>
        <v>5.3515060165437542E-2</v>
      </c>
      <c r="D22" s="17">
        <f t="shared" si="7"/>
        <v>0.31611851256529938</v>
      </c>
      <c r="E22" s="17">
        <f t="shared" si="7"/>
        <v>7.0218903949286593E-2</v>
      </c>
      <c r="F22" s="17">
        <f t="shared" si="7"/>
        <v>7.3268209290584752E-2</v>
      </c>
      <c r="G22" s="17">
        <f t="shared" si="7"/>
        <v>5.2894862024774031E-2</v>
      </c>
      <c r="H22" s="14">
        <f t="shared" si="7"/>
        <v>1.9349840141333483E-2</v>
      </c>
      <c r="I22" s="17">
        <f t="shared" si="7"/>
        <v>-8.9088816923427988E-2</v>
      </c>
      <c r="J22" s="17">
        <f t="shared" si="7"/>
        <v>-1.8957345971563982E-2</v>
      </c>
      <c r="K22" s="17">
        <f t="shared" si="7"/>
        <v>-8.3048252911813641E-2</v>
      </c>
      <c r="L22" s="17">
        <f t="shared" si="7"/>
        <v>7.4606290046924442E-2</v>
      </c>
      <c r="M22" s="17">
        <f t="shared" si="7"/>
        <v>-0.14005802866762157</v>
      </c>
      <c r="N22" s="17">
        <f t="shared" si="7"/>
        <v>-3.6109044531831266E-2</v>
      </c>
      <c r="O22" s="17">
        <f t="shared" si="7"/>
        <v>3.9970409766111825E-2</v>
      </c>
      <c r="P22" s="17">
        <f t="shared" si="7"/>
        <v>4.5404657981439778E-2</v>
      </c>
      <c r="Q22" s="14">
        <f t="shared" si="7"/>
        <v>-5.1982246050259594E-3</v>
      </c>
    </row>
    <row r="23" spans="1:17" ht="24.95" customHeight="1" x14ac:dyDescent="0.25">
      <c r="A23" s="6" t="s">
        <v>29</v>
      </c>
      <c r="B23" s="7">
        <f>(((B21/B6)^(1/5))-1)</f>
        <v>1.5907223046882413E-2</v>
      </c>
      <c r="C23" s="7">
        <f t="shared" ref="C23:Q23" si="8">(((C21/C6)^(1/5))-1)</f>
        <v>1.9490015978466113E-2</v>
      </c>
      <c r="D23" s="7">
        <f t="shared" si="8"/>
        <v>9.6474066339288012E-2</v>
      </c>
      <c r="E23" s="7">
        <f t="shared" si="8"/>
        <v>7.5671572987650704E-2</v>
      </c>
      <c r="F23" s="7">
        <f t="shared" si="8"/>
        <v>4.9871231827621543E-2</v>
      </c>
      <c r="G23" s="7">
        <f t="shared" si="8"/>
        <v>2.2484138809703458E-2</v>
      </c>
      <c r="H23" s="7">
        <f t="shared" si="8"/>
        <v>2.6784858540495504E-2</v>
      </c>
      <c r="I23" s="7">
        <f t="shared" si="8"/>
        <v>1.4695616252372146E-2</v>
      </c>
      <c r="J23" s="7">
        <f t="shared" si="8"/>
        <v>4.277246089558373E-2</v>
      </c>
      <c r="K23" s="7">
        <f t="shared" si="8"/>
        <v>1.709829344638325E-2</v>
      </c>
      <c r="L23" s="7">
        <f t="shared" si="8"/>
        <v>4.5765942461978737E-2</v>
      </c>
      <c r="M23" s="7">
        <f t="shared" si="8"/>
        <v>-2.3209181299927328E-2</v>
      </c>
      <c r="N23" s="7">
        <f t="shared" si="8"/>
        <v>-8.1073171801084865E-3</v>
      </c>
      <c r="O23" s="7">
        <f t="shared" si="8"/>
        <v>3.4586972856000653E-2</v>
      </c>
      <c r="P23" s="7">
        <f t="shared" si="8"/>
        <v>1.6082037465635413E-2</v>
      </c>
      <c r="Q23" s="7">
        <f t="shared" si="8"/>
        <v>1.8212048543364778E-2</v>
      </c>
    </row>
    <row r="24" spans="1:17" ht="24.95" customHeight="1" x14ac:dyDescent="0.25">
      <c r="A24" s="5" t="s">
        <v>25</v>
      </c>
      <c r="B24" s="9">
        <v>145187</v>
      </c>
      <c r="C24" s="9">
        <v>401041</v>
      </c>
      <c r="D24" s="9">
        <v>343676</v>
      </c>
      <c r="E24" s="9">
        <v>19599155</v>
      </c>
      <c r="F24" s="9">
        <v>41362.555999999997</v>
      </c>
      <c r="G24" s="9">
        <v>54139.879000000001</v>
      </c>
      <c r="H24" s="12">
        <v>76.399424535101005</v>
      </c>
      <c r="I24" s="8">
        <v>177532</v>
      </c>
      <c r="J24" s="8">
        <v>13163</v>
      </c>
      <c r="K24" s="8">
        <v>190695</v>
      </c>
      <c r="L24" s="8">
        <v>4065.817</v>
      </c>
      <c r="M24" s="8">
        <v>642.88400000000001</v>
      </c>
      <c r="N24" s="8">
        <v>30.27</v>
      </c>
      <c r="O24" s="8">
        <v>4738.9709999999995</v>
      </c>
      <c r="P24" s="8">
        <v>7269.8710000000001</v>
      </c>
      <c r="Q24" s="12">
        <v>65.186452414355074</v>
      </c>
    </row>
    <row r="25" spans="1:17" ht="24.95" customHeight="1" x14ac:dyDescent="0.25">
      <c r="A25" s="3" t="s">
        <v>27</v>
      </c>
      <c r="B25" s="17">
        <f>(B24-B21)/B21</f>
        <v>3.6931493543595019E-2</v>
      </c>
      <c r="C25" s="17">
        <f t="shared" ref="C25:Q25" si="9">(C24-C21)/C21</f>
        <v>6.0576249223161037E-2</v>
      </c>
      <c r="D25" s="17">
        <f t="shared" si="9"/>
        <v>8.9659505258027957E-3</v>
      </c>
      <c r="E25" s="17">
        <f t="shared" si="9"/>
        <v>6.0799704262271305E-2</v>
      </c>
      <c r="F25" s="17">
        <f t="shared" si="9"/>
        <v>7.2992329979747639E-2</v>
      </c>
      <c r="G25" s="17">
        <f t="shared" si="9"/>
        <v>6.0536079267315628E-2</v>
      </c>
      <c r="H25" s="14">
        <f t="shared" si="9"/>
        <v>1.1745239936615496E-2</v>
      </c>
      <c r="I25" s="17">
        <f t="shared" si="9"/>
        <v>-5.3737993966335135E-2</v>
      </c>
      <c r="J25" s="17">
        <f t="shared" si="9"/>
        <v>-0.3088111741230834</v>
      </c>
      <c r="K25" s="17">
        <f t="shared" si="9"/>
        <v>-7.7243561826786281E-2</v>
      </c>
      <c r="L25" s="17">
        <f t="shared" si="9"/>
        <v>8.0784143390837684E-2</v>
      </c>
      <c r="M25" s="17">
        <f t="shared" si="9"/>
        <v>0.13683570202103254</v>
      </c>
      <c r="N25" s="17">
        <f t="shared" si="9"/>
        <v>-0.1655870110538358</v>
      </c>
      <c r="O25" s="17">
        <f t="shared" si="9"/>
        <v>8.5999843252070177E-2</v>
      </c>
      <c r="P25" s="17">
        <f t="shared" si="9"/>
        <v>6.0633418015302275E-2</v>
      </c>
      <c r="Q25" s="14">
        <f t="shared" si="9"/>
        <v>2.3916298323160938E-2</v>
      </c>
    </row>
    <row r="26" spans="1:17" ht="24.95" customHeight="1" x14ac:dyDescent="0.25">
      <c r="A26" s="6" t="s">
        <v>29</v>
      </c>
      <c r="B26" s="7">
        <f>(((B24/B6)^(1/6))-1)</f>
        <v>1.938142955645028E-2</v>
      </c>
      <c r="C26" s="7">
        <f t="shared" ref="C26:Q26" si="10">(((C24/C6)^(1/6))-1)</f>
        <v>2.6225488428313071E-2</v>
      </c>
      <c r="D26" s="7">
        <f t="shared" si="10"/>
        <v>8.1379308272019557E-2</v>
      </c>
      <c r="E26" s="7">
        <f t="shared" si="10"/>
        <v>7.3178527657276726E-2</v>
      </c>
      <c r="F26" s="7">
        <f t="shared" si="10"/>
        <v>5.3689856281424309E-2</v>
      </c>
      <c r="G26" s="7">
        <f t="shared" si="10"/>
        <v>2.8729967110688426E-2</v>
      </c>
      <c r="H26" s="7">
        <f t="shared" si="10"/>
        <v>2.4262819173858308E-2</v>
      </c>
      <c r="I26" s="7">
        <f t="shared" si="10"/>
        <v>2.9556299484858606E-3</v>
      </c>
      <c r="J26" s="7">
        <f t="shared" si="10"/>
        <v>-2.630244597989484E-2</v>
      </c>
      <c r="K26" s="7">
        <f t="shared" si="10"/>
        <v>7.3007537397051792E-4</v>
      </c>
      <c r="L26" s="7">
        <f t="shared" si="10"/>
        <v>5.152250594220642E-2</v>
      </c>
      <c r="M26" s="7">
        <f t="shared" si="10"/>
        <v>1.8074523182325386E-3</v>
      </c>
      <c r="N26" s="7">
        <f t="shared" si="10"/>
        <v>-3.628027491676622E-2</v>
      </c>
      <c r="O26" s="7">
        <f t="shared" si="10"/>
        <v>4.2983565267439072E-2</v>
      </c>
      <c r="P26" s="7">
        <f t="shared" si="10"/>
        <v>2.3375139639540299E-2</v>
      </c>
      <c r="Q26" s="7">
        <f t="shared" si="10"/>
        <v>1.9160545208090074E-2</v>
      </c>
    </row>
    <row r="27" spans="1:17" ht="24.95" customHeight="1" x14ac:dyDescent="0.25">
      <c r="A27" s="5" t="s">
        <v>26</v>
      </c>
      <c r="B27" s="9">
        <v>153499</v>
      </c>
      <c r="C27" s="9">
        <v>432212.8</v>
      </c>
      <c r="D27" s="9">
        <v>366037.1</v>
      </c>
      <c r="E27" s="9">
        <v>21172463</v>
      </c>
      <c r="F27" s="9">
        <v>46026.945799999994</v>
      </c>
      <c r="G27" s="9">
        <v>57723.122600000002</v>
      </c>
      <c r="H27" s="12">
        <v>79.737449616074642</v>
      </c>
      <c r="I27" s="8">
        <v>204894.6</v>
      </c>
      <c r="J27" s="8">
        <v>14713.332</v>
      </c>
      <c r="K27" s="8">
        <v>219607.932</v>
      </c>
      <c r="L27" s="8">
        <v>4555.1067999999996</v>
      </c>
      <c r="M27" s="8">
        <v>801.1083000000001</v>
      </c>
      <c r="N27" s="8">
        <v>39.529600000000002</v>
      </c>
      <c r="O27" s="8">
        <v>5395.7447000000002</v>
      </c>
      <c r="P27" s="8">
        <v>7780.4115000000002</v>
      </c>
      <c r="Q27" s="12">
        <v>69.350376904871936</v>
      </c>
    </row>
    <row r="28" spans="1:17" ht="24.95" customHeight="1" x14ac:dyDescent="0.25">
      <c r="A28" s="3" t="s">
        <v>27</v>
      </c>
      <c r="B28" s="17">
        <f>(B27-B24)/B24</f>
        <v>5.7250304779353521E-2</v>
      </c>
      <c r="C28" s="17">
        <f t="shared" ref="C28:Q28" si="11">(C27-C24)/C24</f>
        <v>7.7727214923162438E-2</v>
      </c>
      <c r="D28" s="17">
        <f t="shared" si="11"/>
        <v>6.5064479335187719E-2</v>
      </c>
      <c r="E28" s="17">
        <f t="shared" si="11"/>
        <v>8.0274277130825286E-2</v>
      </c>
      <c r="F28" s="17">
        <f t="shared" si="11"/>
        <v>0.11276841305455101</v>
      </c>
      <c r="G28" s="17">
        <f t="shared" si="11"/>
        <v>6.6184920730982824E-2</v>
      </c>
      <c r="H28" s="14">
        <f t="shared" si="11"/>
        <v>4.3691756859241947E-2</v>
      </c>
      <c r="I28" s="17">
        <f t="shared" si="11"/>
        <v>0.15412770655431138</v>
      </c>
      <c r="J28" s="17">
        <f t="shared" si="11"/>
        <v>0.11777953354098612</v>
      </c>
      <c r="K28" s="17">
        <f t="shared" si="11"/>
        <v>0.15161872099425786</v>
      </c>
      <c r="L28" s="17">
        <f t="shared" si="11"/>
        <v>0.12034230758541262</v>
      </c>
      <c r="M28" s="17">
        <f t="shared" si="11"/>
        <v>0.24611640669234275</v>
      </c>
      <c r="N28" s="17">
        <f t="shared" si="11"/>
        <v>0.30590023125206484</v>
      </c>
      <c r="O28" s="17">
        <f t="shared" si="11"/>
        <v>0.1385899386174764</v>
      </c>
      <c r="P28" s="17">
        <f t="shared" si="11"/>
        <v>7.0226899486937264E-2</v>
      </c>
      <c r="Q28" s="14">
        <f t="shared" si="11"/>
        <v>6.3877145270140531E-2</v>
      </c>
    </row>
    <row r="29" spans="1:17" ht="24.95" customHeight="1" x14ac:dyDescent="0.25">
      <c r="A29" s="6" t="s">
        <v>29</v>
      </c>
      <c r="B29" s="7">
        <f>(((B27/B6)^(1/7))-1)</f>
        <v>2.4707068731397719E-2</v>
      </c>
      <c r="C29" s="7">
        <f t="shared" ref="C29:Q29" si="12">(((C27/C6)^(1/7))-1)</f>
        <v>3.3429380921125684E-2</v>
      </c>
      <c r="D29" s="7">
        <f t="shared" si="12"/>
        <v>7.9033406179377153E-2</v>
      </c>
      <c r="E29" s="7">
        <f t="shared" si="12"/>
        <v>7.4189345423409714E-2</v>
      </c>
      <c r="F29" s="7">
        <f t="shared" si="12"/>
        <v>6.1933616951459713E-2</v>
      </c>
      <c r="G29" s="7">
        <f t="shared" si="12"/>
        <v>3.3999017461355141E-2</v>
      </c>
      <c r="H29" s="7">
        <f t="shared" si="12"/>
        <v>2.7016079336988907E-2</v>
      </c>
      <c r="I29" s="7">
        <f t="shared" si="12"/>
        <v>2.327420679406611E-2</v>
      </c>
      <c r="J29" s="7">
        <f t="shared" si="12"/>
        <v>-6.9164136335494453E-3</v>
      </c>
      <c r="K29" s="7">
        <f t="shared" si="12"/>
        <v>2.1010154018778149E-2</v>
      </c>
      <c r="L29" s="7">
        <f t="shared" si="12"/>
        <v>6.1088820099423957E-2</v>
      </c>
      <c r="M29" s="7">
        <f t="shared" si="12"/>
        <v>3.3530867324307323E-2</v>
      </c>
      <c r="N29" s="7">
        <f t="shared" si="12"/>
        <v>6.4728626933616695E-3</v>
      </c>
      <c r="O29" s="7">
        <f t="shared" si="12"/>
        <v>5.613364015716038E-2</v>
      </c>
      <c r="P29" s="7">
        <f t="shared" si="12"/>
        <v>2.9940529058544607E-2</v>
      </c>
      <c r="Q29" s="7">
        <f t="shared" si="12"/>
        <v>2.5431673343856653E-2</v>
      </c>
    </row>
    <row r="30" spans="1:17" ht="24.95" customHeight="1" x14ac:dyDescent="0.25">
      <c r="A30" s="5" t="s">
        <v>30</v>
      </c>
      <c r="B30" s="9">
        <v>159586</v>
      </c>
      <c r="C30" s="9">
        <v>463868.8826999999</v>
      </c>
      <c r="D30" s="9">
        <v>386701.69099999999</v>
      </c>
      <c r="E30" s="9">
        <v>22282899</v>
      </c>
      <c r="F30" s="9">
        <v>49115.269760999989</v>
      </c>
      <c r="G30" s="9">
        <v>62139.233197999994</v>
      </c>
      <c r="H30" s="12">
        <v>79.040675646092154</v>
      </c>
      <c r="I30" s="8">
        <v>215335.44054999997</v>
      </c>
      <c r="J30" s="8">
        <v>13679.568000000001</v>
      </c>
      <c r="K30" s="8">
        <v>229015.00855000003</v>
      </c>
      <c r="L30" s="8">
        <v>4867.1589009999998</v>
      </c>
      <c r="M30" s="8">
        <v>876.93935662740012</v>
      </c>
      <c r="N30" s="8">
        <v>37.995229000000016</v>
      </c>
      <c r="O30" s="8">
        <v>5782.0934866273992</v>
      </c>
      <c r="P30" s="8">
        <v>8341.2966772559994</v>
      </c>
      <c r="Q30" s="12">
        <v>69.318880629114716</v>
      </c>
    </row>
    <row r="31" spans="1:17" ht="24.95" customHeight="1" x14ac:dyDescent="0.25">
      <c r="A31" s="3" t="s">
        <v>27</v>
      </c>
      <c r="B31" s="17">
        <f>(B30-B27)/B27</f>
        <v>3.9654981465677301E-2</v>
      </c>
      <c r="C31" s="17">
        <f t="shared" ref="C31:Q31" si="13">(C30-C27)/C27</f>
        <v>7.3241890800087167E-2</v>
      </c>
      <c r="D31" s="17">
        <f t="shared" si="13"/>
        <v>5.6454908532495796E-2</v>
      </c>
      <c r="E31" s="17">
        <f t="shared" si="13"/>
        <v>5.2447181038880547E-2</v>
      </c>
      <c r="F31" s="17">
        <f t="shared" si="13"/>
        <v>6.7098172762095259E-2</v>
      </c>
      <c r="G31" s="17">
        <f t="shared" si="13"/>
        <v>7.6505053765057257E-2</v>
      </c>
      <c r="H31" s="14">
        <f t="shared" si="13"/>
        <v>-8.738352848471612E-3</v>
      </c>
      <c r="I31" s="17">
        <f t="shared" si="13"/>
        <v>5.095712893360764E-2</v>
      </c>
      <c r="J31" s="17">
        <f t="shared" si="13"/>
        <v>-7.0260359787979995E-2</v>
      </c>
      <c r="K31" s="17">
        <f t="shared" si="13"/>
        <v>4.2835777671272945E-2</v>
      </c>
      <c r="L31" s="17">
        <f t="shared" si="13"/>
        <v>6.8505990024207611E-2</v>
      </c>
      <c r="M31" s="17">
        <f t="shared" si="13"/>
        <v>9.4657684394731656E-2</v>
      </c>
      <c r="N31" s="17">
        <f t="shared" si="13"/>
        <v>-3.8815748198817744E-2</v>
      </c>
      <c r="O31" s="17">
        <f t="shared" si="13"/>
        <v>7.1602495690242532E-2</v>
      </c>
      <c r="P31" s="17">
        <f t="shared" si="13"/>
        <v>7.2089397489579987E-2</v>
      </c>
      <c r="Q31" s="14">
        <f t="shared" si="13"/>
        <v>-4.5416156570315215E-4</v>
      </c>
    </row>
    <row r="32" spans="1:17" ht="24.95" customHeight="1" x14ac:dyDescent="0.25">
      <c r="A32" s="6" t="s">
        <v>29</v>
      </c>
      <c r="B32" s="7">
        <f>(((B30/B6)^(1/8))-1)</f>
        <v>2.656374066175049E-2</v>
      </c>
      <c r="C32" s="7">
        <f t="shared" ref="C32:Q32" si="14">(((C30/C6)^(1/8))-1)</f>
        <v>3.8324032277748499E-2</v>
      </c>
      <c r="D32" s="7">
        <f t="shared" si="14"/>
        <v>7.6184913841532476E-2</v>
      </c>
      <c r="E32" s="7">
        <f t="shared" si="14"/>
        <v>7.1447199435099362E-2</v>
      </c>
      <c r="F32" s="7">
        <f t="shared" si="14"/>
        <v>6.2577816999885849E-2</v>
      </c>
      <c r="G32" s="7">
        <f t="shared" si="14"/>
        <v>3.9219098388930673E-2</v>
      </c>
      <c r="H32" s="7">
        <f t="shared" si="14"/>
        <v>2.2477183730714279E-2</v>
      </c>
      <c r="I32" s="7">
        <f t="shared" si="14"/>
        <v>2.6694295148863345E-2</v>
      </c>
      <c r="J32" s="7">
        <f t="shared" si="14"/>
        <v>-1.5064599906662202E-2</v>
      </c>
      <c r="K32" s="7">
        <f t="shared" si="14"/>
        <v>2.3713177957239706E-2</v>
      </c>
      <c r="L32" s="7">
        <f t="shared" si="14"/>
        <v>6.2013143275590155E-2</v>
      </c>
      <c r="M32" s="7">
        <f t="shared" si="14"/>
        <v>4.0981020882772112E-2</v>
      </c>
      <c r="N32" s="7">
        <f t="shared" si="14"/>
        <v>6.9710118949939393E-4</v>
      </c>
      <c r="O32" s="7">
        <f t="shared" si="14"/>
        <v>5.8054968935436158E-2</v>
      </c>
      <c r="P32" s="7">
        <f t="shared" si="14"/>
        <v>3.5117151964797699E-2</v>
      </c>
      <c r="Q32" s="7">
        <f t="shared" si="14"/>
        <v>2.2159633744933238E-2</v>
      </c>
    </row>
    <row r="33" spans="1:17" ht="24.95" customHeight="1" x14ac:dyDescent="0.25">
      <c r="A33" s="5" t="s">
        <v>34</v>
      </c>
      <c r="B33" s="9">
        <v>164089</v>
      </c>
      <c r="C33" s="9">
        <v>476473.10000000003</v>
      </c>
      <c r="D33" s="9">
        <v>387621.94699999993</v>
      </c>
      <c r="E33" s="9">
        <v>22481177</v>
      </c>
      <c r="F33" s="9">
        <v>50439.029543999997</v>
      </c>
      <c r="G33" s="9">
        <v>63185.343651000003</v>
      </c>
      <c r="H33" s="12">
        <v>79.827103295657594</v>
      </c>
      <c r="I33" s="8">
        <v>204763.20380000002</v>
      </c>
      <c r="J33" s="8">
        <v>14593.372999999996</v>
      </c>
      <c r="K33" s="8">
        <v>219356.58079999997</v>
      </c>
      <c r="L33" s="8">
        <v>4983.1875745670004</v>
      </c>
      <c r="M33" s="8">
        <v>823.13137553060005</v>
      </c>
      <c r="N33" s="8">
        <v>41.757959000000014</v>
      </c>
      <c r="O33" s="8">
        <v>5848.0769090976</v>
      </c>
      <c r="P33" s="8">
        <v>8414.5190850840045</v>
      </c>
      <c r="Q33" s="12">
        <v>69.49983534370007</v>
      </c>
    </row>
    <row r="34" spans="1:17" ht="24.95" customHeight="1" x14ac:dyDescent="0.25">
      <c r="A34" s="3" t="s">
        <v>27</v>
      </c>
      <c r="B34" s="17">
        <f>(B33-B30)/B30</f>
        <v>2.8216760868747887E-2</v>
      </c>
      <c r="C34" s="17">
        <f t="shared" ref="C34:Q34" si="15">(C33-C30)/C30</f>
        <v>2.7171939679669608E-2</v>
      </c>
      <c r="D34" s="17">
        <f t="shared" si="15"/>
        <v>2.379756855006708E-3</v>
      </c>
      <c r="E34" s="17">
        <f t="shared" si="15"/>
        <v>8.8982138275634608E-3</v>
      </c>
      <c r="F34" s="17">
        <f t="shared" si="15"/>
        <v>2.6952102461038317E-2</v>
      </c>
      <c r="G34" s="17">
        <f t="shared" si="15"/>
        <v>1.6834943065143559E-2</v>
      </c>
      <c r="H34" s="14">
        <f t="shared" si="15"/>
        <v>9.9496574787227444E-3</v>
      </c>
      <c r="I34" s="17">
        <f t="shared" si="15"/>
        <v>-4.9096594239187136E-2</v>
      </c>
      <c r="J34" s="17">
        <f t="shared" si="15"/>
        <v>6.6800720607550962E-2</v>
      </c>
      <c r="K34" s="17">
        <f t="shared" si="15"/>
        <v>-4.2173776343969925E-2</v>
      </c>
      <c r="L34" s="17">
        <f t="shared" si="15"/>
        <v>2.38390970845767E-2</v>
      </c>
      <c r="M34" s="17">
        <f t="shared" si="15"/>
        <v>-6.135883934293801E-2</v>
      </c>
      <c r="N34" s="17">
        <f t="shared" si="15"/>
        <v>9.9031644209855829E-2</v>
      </c>
      <c r="O34" s="17">
        <f t="shared" si="15"/>
        <v>1.14116837824924E-2</v>
      </c>
      <c r="P34" s="17">
        <f t="shared" si="15"/>
        <v>8.7783003843585564E-3</v>
      </c>
      <c r="Q34" s="14">
        <f t="shared" si="15"/>
        <v>2.6104679265312783E-3</v>
      </c>
    </row>
    <row r="35" spans="1:17" ht="24.95" customHeight="1" x14ac:dyDescent="0.25">
      <c r="A35" s="6" t="s">
        <v>29</v>
      </c>
      <c r="B35" s="7">
        <f>(((B33/B6)^(1/9))-1)</f>
        <v>2.6747278261355811E-2</v>
      </c>
      <c r="C35" s="7">
        <f t="shared" ref="C35:Q35" si="16">(((C33/C6)^(1/9))-1)</f>
        <v>3.7078955564052496E-2</v>
      </c>
      <c r="D35" s="7">
        <f t="shared" si="16"/>
        <v>6.7723028140466157E-2</v>
      </c>
      <c r="E35" s="7">
        <f t="shared" si="16"/>
        <v>6.4310071073087727E-2</v>
      </c>
      <c r="F35" s="7">
        <f t="shared" si="16"/>
        <v>5.8559143167445926E-2</v>
      </c>
      <c r="G35" s="7">
        <f t="shared" si="16"/>
        <v>3.6707832565743725E-2</v>
      </c>
      <c r="H35" s="7">
        <f t="shared" si="16"/>
        <v>2.1077597675347226E-2</v>
      </c>
      <c r="I35" s="7">
        <f t="shared" si="16"/>
        <v>1.7983225142469417E-2</v>
      </c>
      <c r="J35" s="7">
        <f t="shared" si="16"/>
        <v>-6.2878813642658349E-3</v>
      </c>
      <c r="K35" s="7">
        <f t="shared" si="16"/>
        <v>1.6174094891634905E-2</v>
      </c>
      <c r="L35" s="7">
        <f t="shared" si="16"/>
        <v>5.770224679478142E-2</v>
      </c>
      <c r="M35" s="7">
        <f t="shared" si="16"/>
        <v>2.9079959580714299E-2</v>
      </c>
      <c r="N35" s="7">
        <f t="shared" si="16"/>
        <v>1.1173555844600891E-2</v>
      </c>
      <c r="O35" s="7">
        <f t="shared" si="16"/>
        <v>5.2767928480787596E-2</v>
      </c>
      <c r="P35" s="7">
        <f t="shared" si="16"/>
        <v>3.2156976443534102E-2</v>
      </c>
      <c r="Q35" s="7">
        <f t="shared" si="16"/>
        <v>1.9968815313608612E-2</v>
      </c>
    </row>
    <row r="36" spans="1:17" ht="24.95" customHeight="1" x14ac:dyDescent="0.25">
      <c r="A36" s="5" t="s">
        <v>37</v>
      </c>
      <c r="B36" s="9">
        <v>56446</v>
      </c>
      <c r="C36" s="9">
        <v>171009.80833333335</v>
      </c>
      <c r="D36" s="9">
        <v>127553.177</v>
      </c>
      <c r="E36" s="9">
        <v>6300719</v>
      </c>
      <c r="F36" s="9">
        <v>16135.743458000001</v>
      </c>
      <c r="G36" s="9">
        <v>24321.910994000002</v>
      </c>
      <c r="H36" s="12">
        <v>66.342416358568798</v>
      </c>
      <c r="I36" s="8">
        <v>74996.073199999999</v>
      </c>
      <c r="J36" s="8">
        <v>47.724000000000004</v>
      </c>
      <c r="K36" s="8">
        <v>75043.797200000001</v>
      </c>
      <c r="L36" s="8">
        <v>1493.4114364759996</v>
      </c>
      <c r="M36" s="8">
        <v>311.67058865059994</v>
      </c>
      <c r="N36" s="8">
        <v>8.7054806068061446</v>
      </c>
      <c r="O36" s="8">
        <v>1813.7875057334063</v>
      </c>
      <c r="P36" s="8">
        <v>3342.9965845280003</v>
      </c>
      <c r="Q36" s="12">
        <f>O36/P36*100</f>
        <v>54.256337386880581</v>
      </c>
    </row>
    <row r="37" spans="1:17" ht="24.95" customHeight="1" x14ac:dyDescent="0.25">
      <c r="A37" s="3" t="s">
        <v>27</v>
      </c>
      <c r="B37" s="17">
        <f>(B36-B33)/B33</f>
        <v>-0.65600375406029654</v>
      </c>
      <c r="C37" s="17">
        <f t="shared" ref="C37:Q37" si="17">(C36-C33)/C33</f>
        <v>-0.6410924177391476</v>
      </c>
      <c r="D37" s="17">
        <f t="shared" si="17"/>
        <v>-0.67093406865323846</v>
      </c>
      <c r="E37" s="17">
        <f t="shared" si="17"/>
        <v>-0.71973357978543562</v>
      </c>
      <c r="F37" s="17">
        <f t="shared" si="17"/>
        <v>-0.68009409372311291</v>
      </c>
      <c r="G37" s="17">
        <f t="shared" si="17"/>
        <v>-0.61507036935115134</v>
      </c>
      <c r="H37" s="14">
        <f t="shared" si="17"/>
        <v>-0.16892366602788067</v>
      </c>
      <c r="I37" s="17">
        <f t="shared" si="17"/>
        <v>-0.63374243121702911</v>
      </c>
      <c r="J37" s="17">
        <f t="shared" si="17"/>
        <v>-0.99672974849611529</v>
      </c>
      <c r="K37" s="17">
        <f t="shared" si="17"/>
        <v>-0.65789128857537327</v>
      </c>
      <c r="L37" s="17">
        <f t="shared" si="17"/>
        <v>-0.70031000958141432</v>
      </c>
      <c r="M37" s="17">
        <f t="shared" si="17"/>
        <v>-0.62135984860291171</v>
      </c>
      <c r="N37" s="17">
        <f t="shared" si="17"/>
        <v>-0.7915252369780299</v>
      </c>
      <c r="O37" s="17">
        <f t="shared" si="17"/>
        <v>-0.68984889666690674</v>
      </c>
      <c r="P37" s="17">
        <f t="shared" si="17"/>
        <v>-0.60271091541595501</v>
      </c>
      <c r="Q37" s="14">
        <f t="shared" si="17"/>
        <v>-0.21933142548374773</v>
      </c>
    </row>
    <row r="38" spans="1:17" ht="24.95" customHeight="1" x14ac:dyDescent="0.25">
      <c r="A38" s="6" t="s">
        <v>29</v>
      </c>
      <c r="B38" s="7">
        <f>(((B36/B6)^(1/10))-1)</f>
        <v>-7.9608552245879816E-2</v>
      </c>
      <c r="C38" s="7">
        <f t="shared" ref="C38:Q38" si="18">(((C36/C6)^(1/10))-1)</f>
        <v>-6.7328077489901217E-2</v>
      </c>
      <c r="D38" s="7">
        <f t="shared" si="18"/>
        <v>-5.0836474705277968E-2</v>
      </c>
      <c r="E38" s="7">
        <f t="shared" si="18"/>
        <v>-6.8638114462804323E-2</v>
      </c>
      <c r="F38" s="7">
        <f t="shared" si="18"/>
        <v>-6.0826476554283859E-2</v>
      </c>
      <c r="G38" s="7">
        <f t="shared" si="18"/>
        <v>-6.1079381746812711E-2</v>
      </c>
      <c r="H38" s="7">
        <f t="shared" si="18"/>
        <v>2.6935737442768115E-4</v>
      </c>
      <c r="I38" s="7">
        <f t="shared" si="18"/>
        <v>-8.0937131751387281E-2</v>
      </c>
      <c r="J38" s="7">
        <f t="shared" si="18"/>
        <v>-0.43896152811159217</v>
      </c>
      <c r="K38" s="7">
        <f t="shared" si="18"/>
        <v>-8.8644705971028914E-2</v>
      </c>
      <c r="L38" s="7">
        <f t="shared" si="18"/>
        <v>-6.7617082669638506E-2</v>
      </c>
      <c r="M38" s="7">
        <f t="shared" si="18"/>
        <v>-6.8834503492452237E-2</v>
      </c>
      <c r="N38" s="7">
        <f t="shared" si="18"/>
        <v>-0.1365275569981016</v>
      </c>
      <c r="O38" s="7">
        <f t="shared" si="18"/>
        <v>-6.834157733936963E-2</v>
      </c>
      <c r="P38" s="7">
        <f t="shared" si="18"/>
        <v>-6.1829353905844431E-2</v>
      </c>
      <c r="Q38" s="7">
        <f t="shared" si="18"/>
        <v>-6.9414060870879313E-3</v>
      </c>
    </row>
    <row r="39" spans="1:17" x14ac:dyDescent="0.25">
      <c r="A39" s="26" t="s">
        <v>32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x14ac:dyDescent="0.25">
      <c r="A40" s="28" t="s">
        <v>35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spans="1:17" x14ac:dyDescent="0.25">
      <c r="A41" s="25" t="s">
        <v>38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2020-05-11T09:32:17Z</cp:lastPrinted>
  <dcterms:created xsi:type="dcterms:W3CDTF">2018-10-29T04:00:16Z</dcterms:created>
  <dcterms:modified xsi:type="dcterms:W3CDTF">2022-04-20T09:23:44Z</dcterms:modified>
</cp:coreProperties>
</file>