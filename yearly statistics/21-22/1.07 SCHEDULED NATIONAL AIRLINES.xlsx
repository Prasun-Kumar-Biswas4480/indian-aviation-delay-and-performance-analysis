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Publication FY 2021-22\25-11-2022 (Revised)\12-12-2022\EXCEL\SCHEDULED NATIONAL AIRLINES\"/>
    </mc:Choice>
  </mc:AlternateContent>
  <bookViews>
    <workbookView showHorizontalScroll="0" showVerticalScroll="0" showSheetTabs="0" xWindow="0" yWindow="0" windowWidth="11490" windowHeight="10635"/>
  </bookViews>
  <sheets>
    <sheet name="NATIONAL " sheetId="3" r:id="rId1"/>
  </sheets>
  <externalReferences>
    <externalReference r:id="rId2"/>
  </externalReferences>
  <definedNames>
    <definedName name="_xlnm.Print_Area" localSheetId="0">'NATIONAL '!$A$1:$M$33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8" i="3" l="1"/>
  <c r="M17" i="3"/>
  <c r="M16" i="3"/>
  <c r="M15" i="3"/>
</calcChain>
</file>

<file path=xl/sharedStrings.xml><?xml version="1.0" encoding="utf-8"?>
<sst xmlns="http://schemas.openxmlformats.org/spreadsheetml/2006/main" count="63" uniqueCount="39">
  <si>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</si>
  <si>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</si>
  <si>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</si>
  <si>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</si>
  <si>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</si>
  <si>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</si>
  <si>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</si>
  <si>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</si>
  <si>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</si>
  <si>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</si>
  <si>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</si>
  <si>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</si>
  <si>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</si>
  <si>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</si>
  <si>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</si>
  <si>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</si>
  <si>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</si>
  <si>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</si>
  <si>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</si>
  <si>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</si>
  <si>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</si>
  <si>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</si>
  <si>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</si>
  <si>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</si>
  <si>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</si>
  <si>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SOURCE : ICAO ATR FORM 'A' FURNISHED BY ALL SCHEDULED NATIONAL AIRLINES</t>
  </si>
  <si>
    <t>2019-20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</si>
  <si>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</si>
  <si>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</si>
  <si>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</si>
  <si>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</si>
  <si>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</si>
  <si>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Note- 1. Passenger Load Factor (PLF) = RPKM/ASKM*100</t>
  </si>
  <si>
    <t>2020-21*</t>
  </si>
  <si>
    <t>* DENOTES that THE INTERNATIONAL OPERATIONS BY SCHEDULED INDIAN OPERATORS WERE CARRIED AS PER DGCA’S CIRCULAR DATED 26.03.2020 UNDER COVID-19 RESTRICTION.</t>
  </si>
  <si>
    <t>2021-22</t>
  </si>
  <si>
    <t xml:space="preserve"> तालिका - 1.07 (अनुसूचित राष्ट्रीय एयरलाइन्स) </t>
  </si>
  <si>
    <t>TABLE - 1.07 (SCHEDULED NATIONAL AIRLINES)</t>
  </si>
  <si>
    <t>YEAR WISE SELECTED TRAFFIC COEFFICIENTS OF SCHEDULED COMMERCIAL TRAFFIC CARRIED BY SCHEDULED NATIONAL AIRLINES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</si>
</sst>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9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164" fontId="3" fillId="9" borderId="1" xfId="7" applyNumberFormat="1" applyBorder="1" applyAlignment="1" applyProtection="1">
      <alignment horizontal="right" vertical="center" wrapText="1"/>
    </xf>
    <xf numFmtId="164" fontId="3" fillId="4" borderId="8" xfId="2" applyNumberFormat="1" applyBorder="1" applyAlignment="1" applyProtection="1">
      <alignment horizontal="left" vertical="center" wrapText="1"/>
    </xf>
    <xf numFmtId="0" fontId="3" fillId="4" borderId="8" xfId="2" applyBorder="1" applyAlignment="1" applyProtection="1">
      <alignment horizontal="center" vertical="center" wrapText="1"/>
    </xf>
    <xf numFmtId="164" fontId="3" fillId="4" borderId="8" xfId="2" applyNumberFormat="1" applyBorder="1" applyAlignment="1" applyProtection="1">
      <alignment horizontal="center" vertical="center" wrapText="1"/>
    </xf>
    <xf numFmtId="164" fontId="3" fillId="4" borderId="8" xfId="2" applyNumberFormat="1" applyBorder="1" applyAlignment="1" applyProtection="1">
      <alignment horizontal="right" vertical="center" wrapText="1"/>
    </xf>
    <xf numFmtId="0" fontId="1" fillId="0" borderId="2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3" fillId="9" borderId="1" xfId="7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164" fontId="4" fillId="3" borderId="5" xfId="1" applyNumberFormat="1" applyBorder="1" applyAlignment="1" applyProtection="1">
      <alignment horizontal="center" vertical="center" wrapText="1"/>
    </xf>
    <xf numFmtId="164" fontId="4" fillId="3" borderId="6" xfId="1" applyNumberFormat="1" applyBorder="1" applyAlignment="1" applyProtection="1">
      <alignment horizontal="center" vertical="center" wrapText="1"/>
    </xf>
    <xf numFmtId="164" fontId="4" fillId="3" borderId="7" xfId="1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  <xf numFmtId="3" fontId="4" fillId="8" borderId="3" xfId="6" applyNumberFormat="1" applyBorder="1" applyAlignment="1" applyProtection="1">
      <alignment horizontal="center" vertical="center" wrapText="1"/>
    </xf>
    <xf numFmtId="3" fontId="4" fillId="8" borderId="4" xfId="6" applyNumberFormat="1" applyBorder="1" applyAlignment="1" applyProtection="1">
      <alignment horizontal="center" vertical="center" wrapText="1"/>
    </xf>
    <xf numFmtId="3" fontId="4" fillId="5" borderId="5" xfId="3" applyNumberFormat="1" applyBorder="1" applyAlignment="1" applyProtection="1">
      <alignment horizontal="center" vertical="center" wrapText="1"/>
    </xf>
    <xf numFmtId="3" fontId="4" fillId="5" borderId="6" xfId="3" applyNumberFormat="1" applyBorder="1" applyAlignment="1" applyProtection="1">
      <alignment horizontal="center" vertical="center" wrapText="1"/>
    </xf>
    <xf numFmtId="3" fontId="4" fillId="5" borderId="7" xfId="3" applyNumberFormat="1" applyBorder="1" applyAlignment="1" applyProtection="1">
      <alignment horizontal="center" vertical="center" wrapText="1"/>
    </xf>
    <xf numFmtId="0" fontId="0" fillId="0" borderId="1" xfId="0" applyFont="1" applyBorder="1" applyAlignment="1">
      <alignment horizontal="left" wrapText="1"/>
    </xf>
    <xf numFmtId="0" fontId="0" fillId="0" borderId="1" xfId="0" applyBorder="1"/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01%20scheduled%20national%20airli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01"/>
    </sheetNames>
    <sheetDataSet>
      <sheetData sheetId="0">
        <row r="18">
          <cell r="B18">
            <v>91283</v>
          </cell>
          <cell r="C18">
            <v>158423.79333333331</v>
          </cell>
          <cell r="D18">
            <v>95440.546000000017</v>
          </cell>
          <cell r="E18">
            <v>7470627</v>
          </cell>
          <cell r="F18">
            <v>7143.8913669999993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3"/>
  <sheetViews>
    <sheetView tabSelected="1" zoomScale="86" zoomScaleNormal="86" workbookViewId="0">
      <selection activeCell="O10" sqref="O10"/>
    </sheetView>
  </sheetViews>
  <sheetFormatPr defaultRowHeight="15" x14ac:dyDescent="0.25"/>
  <cols>
    <col min="1" max="1" width="64.42578125" customWidth="1"/>
    <col min="2" max="2" width="9.140625" style="21"/>
    <col min="3" max="3" width="10" customWidth="1"/>
    <col min="13" max="13" width="13.140625" customWidth="1"/>
  </cols>
  <sheetData>
    <row r="1" spans="1:13" x14ac:dyDescent="0.25">
      <c r="A1" s="26" t="s">
        <v>36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x14ac:dyDescent="0.25">
      <c r="A2" s="28" t="s">
        <v>37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x14ac:dyDescent="0.25">
      <c r="A3" s="30" t="s">
        <v>38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x14ac:dyDescent="0.25">
      <c r="A4" s="8" t="s">
        <v>0</v>
      </c>
      <c r="B4" s="9" t="s">
        <v>1</v>
      </c>
      <c r="C4" s="10" t="s">
        <v>8</v>
      </c>
      <c r="D4" s="10" t="s">
        <v>7</v>
      </c>
      <c r="E4" s="10" t="s">
        <v>6</v>
      </c>
      <c r="F4" s="10" t="s">
        <v>5</v>
      </c>
      <c r="G4" s="10" t="s">
        <v>4</v>
      </c>
      <c r="H4" s="10" t="s">
        <v>3</v>
      </c>
      <c r="I4" s="10" t="s">
        <v>2</v>
      </c>
      <c r="J4" s="10" t="s">
        <v>24</v>
      </c>
      <c r="K4" s="10" t="s">
        <v>26</v>
      </c>
      <c r="L4" s="10" t="s">
        <v>33</v>
      </c>
      <c r="M4" s="10" t="s">
        <v>35</v>
      </c>
    </row>
    <row r="5" spans="1:13" x14ac:dyDescent="0.25">
      <c r="A5" s="32" t="s">
        <v>9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ht="20.100000000000001" customHeight="1" x14ac:dyDescent="0.25">
      <c r="A6" s="1" t="s">
        <v>10</v>
      </c>
      <c r="B6" s="20" t="s">
        <v>11</v>
      </c>
      <c r="C6" s="13">
        <v>71.005378882722809</v>
      </c>
      <c r="D6" s="13">
        <v>75.122869363242017</v>
      </c>
      <c r="E6" s="13">
        <v>75.683698212506556</v>
      </c>
      <c r="F6" s="13">
        <v>74.401151460378912</v>
      </c>
      <c r="G6" s="13">
        <v>75.574634958298304</v>
      </c>
      <c r="H6" s="13">
        <v>75.37590989097076</v>
      </c>
      <c r="I6" s="13">
        <v>78.696014951463894</v>
      </c>
      <c r="J6" s="2">
        <v>78.652588309134501</v>
      </c>
      <c r="K6" s="2">
        <v>81.3</v>
      </c>
      <c r="L6" s="2">
        <v>66.526604201221673</v>
      </c>
      <c r="M6" s="2"/>
    </row>
    <row r="7" spans="1:13" ht="20.100000000000001" customHeight="1" x14ac:dyDescent="0.25">
      <c r="A7" s="1" t="s">
        <v>12</v>
      </c>
      <c r="B7" s="20" t="s">
        <v>11</v>
      </c>
      <c r="C7" s="13">
        <v>60.615152590266817</v>
      </c>
      <c r="D7" s="13">
        <v>62.366144740719996</v>
      </c>
      <c r="E7" s="13">
        <v>64.89631222495133</v>
      </c>
      <c r="F7" s="13">
        <v>64.290690430917607</v>
      </c>
      <c r="G7" s="13">
        <v>64.04649636177821</v>
      </c>
      <c r="H7" s="13">
        <v>66.067801534701303</v>
      </c>
      <c r="I7" s="13">
        <v>69.716721221620219</v>
      </c>
      <c r="J7" s="2">
        <v>69.145588476134307</v>
      </c>
      <c r="K7" s="2">
        <v>71.900000000000006</v>
      </c>
      <c r="L7" s="2">
        <v>54.869288005494084</v>
      </c>
      <c r="M7" s="2"/>
    </row>
    <row r="8" spans="1:13" ht="20.100000000000001" customHeight="1" x14ac:dyDescent="0.25">
      <c r="A8" s="1" t="s">
        <v>13</v>
      </c>
      <c r="B8" s="20" t="s">
        <v>14</v>
      </c>
      <c r="C8" s="13">
        <v>712.59373999982915</v>
      </c>
      <c r="D8" s="13">
        <v>705.07886197268135</v>
      </c>
      <c r="E8" s="13">
        <v>717.99420057645921</v>
      </c>
      <c r="F8" s="13">
        <v>825.80560391551421</v>
      </c>
      <c r="G8" s="13">
        <v>1037.7355395980524</v>
      </c>
      <c r="H8" s="13">
        <v>992.79219785042812</v>
      </c>
      <c r="I8" s="13">
        <v>986.17963655956794</v>
      </c>
      <c r="J8" s="2">
        <v>940.50337308860117</v>
      </c>
      <c r="K8" s="2">
        <v>912</v>
      </c>
      <c r="L8" s="2">
        <v>802.45380967156325</v>
      </c>
      <c r="M8" s="2"/>
    </row>
    <row r="9" spans="1:13" ht="20.100000000000001" customHeight="1" x14ac:dyDescent="0.25">
      <c r="A9" s="1" t="s">
        <v>15</v>
      </c>
      <c r="B9" s="20" t="s">
        <v>16</v>
      </c>
      <c r="C9" s="13">
        <v>3352.0134560205797</v>
      </c>
      <c r="D9" s="13">
        <v>2843.4475622375066</v>
      </c>
      <c r="E9" s="13">
        <v>3128.2836384330835</v>
      </c>
      <c r="F9" s="13">
        <v>3703.7309859673678</v>
      </c>
      <c r="G9" s="13">
        <v>4883.7471168340571</v>
      </c>
      <c r="H9" s="13">
        <v>4872.5180757092521</v>
      </c>
      <c r="I9" s="13">
        <v>4879.0193093377657</v>
      </c>
      <c r="J9" s="2">
        <v>4859.9145984118159</v>
      </c>
      <c r="K9" s="2">
        <v>4625.8</v>
      </c>
      <c r="L9" s="2">
        <v>4450.5676782048076</v>
      </c>
      <c r="M9" s="2"/>
    </row>
    <row r="10" spans="1:13" ht="20.100000000000001" customHeight="1" x14ac:dyDescent="0.25">
      <c r="A10" s="1" t="s">
        <v>17</v>
      </c>
      <c r="B10" s="20" t="s">
        <v>18</v>
      </c>
      <c r="C10" s="13">
        <v>138.16920945879093</v>
      </c>
      <c r="D10" s="13">
        <v>130.74455738835798</v>
      </c>
      <c r="E10" s="13">
        <v>139.69691738594327</v>
      </c>
      <c r="F10" s="13">
        <v>146.00913410187471</v>
      </c>
      <c r="G10" s="13">
        <v>151.98521639636041</v>
      </c>
      <c r="H10" s="13">
        <v>153.20261492477499</v>
      </c>
      <c r="I10" s="13">
        <v>158.07770338495953</v>
      </c>
      <c r="J10" s="2">
        <v>160.45938699563396</v>
      </c>
      <c r="K10" s="2">
        <v>163.9</v>
      </c>
      <c r="L10" s="2">
        <v>128.39075430007367</v>
      </c>
      <c r="M10" s="2"/>
    </row>
    <row r="11" spans="1:13" ht="33" customHeight="1" x14ac:dyDescent="0.25">
      <c r="A11" s="1" t="s">
        <v>19</v>
      </c>
      <c r="B11" s="20" t="s">
        <v>20</v>
      </c>
      <c r="C11" s="13">
        <v>3.9844593126613974</v>
      </c>
      <c r="D11" s="13">
        <v>3.7980515849843117</v>
      </c>
      <c r="E11" s="13">
        <v>3.9283313526946793</v>
      </c>
      <c r="F11" s="13">
        <v>3.8991464810632106</v>
      </c>
      <c r="G11" s="13">
        <v>3.9919030483274218</v>
      </c>
      <c r="H11" s="13">
        <v>4.0332678306826981</v>
      </c>
      <c r="I11" s="13">
        <v>4.0888422434064049</v>
      </c>
      <c r="J11" s="2">
        <v>4.1205100812226449</v>
      </c>
      <c r="K11" s="2">
        <v>4.0999999999999996</v>
      </c>
      <c r="L11" s="2">
        <v>5.0325545279776147</v>
      </c>
      <c r="M11" s="2"/>
    </row>
    <row r="12" spans="1:13" ht="14.25" customHeight="1" x14ac:dyDescent="0.25">
      <c r="A12" s="34" t="s">
        <v>21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6"/>
    </row>
    <row r="13" spans="1:13" ht="20.100000000000001" customHeight="1" x14ac:dyDescent="0.25">
      <c r="A13" s="3" t="s">
        <v>10</v>
      </c>
      <c r="B13" s="4" t="s">
        <v>11</v>
      </c>
      <c r="C13" s="11">
        <v>63.318822045656908</v>
      </c>
      <c r="D13" s="11">
        <v>68.323114211223185</v>
      </c>
      <c r="E13" s="11">
        <v>71.02908046567012</v>
      </c>
      <c r="F13" s="11">
        <v>76.960772109748049</v>
      </c>
      <c r="G13" s="11">
        <v>78.89802647593423</v>
      </c>
      <c r="H13" s="11">
        <v>78.801766703863535</v>
      </c>
      <c r="I13" s="11">
        <v>80.118382208917879</v>
      </c>
      <c r="J13" s="4">
        <v>80.130208009708369</v>
      </c>
      <c r="K13" s="4">
        <v>77.599999999999994</v>
      </c>
      <c r="L13" s="4">
        <v>64.098933592419399</v>
      </c>
      <c r="M13" s="4">
        <v>64.881983334211924</v>
      </c>
    </row>
    <row r="14" spans="1:13" ht="20.100000000000001" customHeight="1" x14ac:dyDescent="0.25">
      <c r="A14" s="3" t="s">
        <v>12</v>
      </c>
      <c r="B14" s="4" t="s">
        <v>11</v>
      </c>
      <c r="C14" s="11">
        <v>52.658524778292062</v>
      </c>
      <c r="D14" s="11">
        <v>59.026427805818983</v>
      </c>
      <c r="E14" s="11">
        <v>62.776235775245212</v>
      </c>
      <c r="F14" s="11">
        <v>69.774390628815425</v>
      </c>
      <c r="G14" s="11">
        <v>70.84322458665649</v>
      </c>
      <c r="H14" s="11">
        <v>69.107293723899048</v>
      </c>
      <c r="I14" s="11">
        <v>73.73715037925713</v>
      </c>
      <c r="J14" s="4">
        <v>75.878764272467862</v>
      </c>
      <c r="K14" s="4">
        <v>71.5</v>
      </c>
      <c r="L14" s="4">
        <v>62.254214710138847</v>
      </c>
      <c r="M14" s="4">
        <v>62.49052169419933</v>
      </c>
    </row>
    <row r="15" spans="1:13" ht="20.100000000000001" customHeight="1" x14ac:dyDescent="0.25">
      <c r="A15" s="3" t="s">
        <v>13</v>
      </c>
      <c r="B15" s="4" t="s">
        <v>14</v>
      </c>
      <c r="C15" s="11">
        <v>523.6636349130365</v>
      </c>
      <c r="D15" s="11">
        <v>573.12091271171516</v>
      </c>
      <c r="E15" s="11">
        <v>516.50112979263167</v>
      </c>
      <c r="F15" s="11">
        <v>548.75055721510296</v>
      </c>
      <c r="G15" s="11">
        <v>612.8996364803678</v>
      </c>
      <c r="H15" s="11">
        <v>550.95248723351074</v>
      </c>
      <c r="I15" s="11">
        <v>545.22253140413125</v>
      </c>
      <c r="J15" s="4">
        <v>557.21838708479788</v>
      </c>
      <c r="K15" s="4">
        <v>547.9</v>
      </c>
      <c r="L15" s="4">
        <v>577.04514498116032</v>
      </c>
      <c r="M15" s="4">
        <f>'[1]1.01'!$D$18/'[1]1.01'!$C$18*1000</f>
        <v>602.43820698818456</v>
      </c>
    </row>
    <row r="16" spans="1:13" ht="20.100000000000001" customHeight="1" x14ac:dyDescent="0.25">
      <c r="A16" s="3" t="s">
        <v>15</v>
      </c>
      <c r="B16" s="4" t="s">
        <v>16</v>
      </c>
      <c r="C16" s="11">
        <v>845.34542269846997</v>
      </c>
      <c r="D16" s="11">
        <v>959.7529994957232</v>
      </c>
      <c r="E16" s="11">
        <v>882.98317896492688</v>
      </c>
      <c r="F16" s="11">
        <v>947.06589791659303</v>
      </c>
      <c r="G16" s="11">
        <v>1087.3700928771191</v>
      </c>
      <c r="H16" s="11">
        <v>995.78520197823309</v>
      </c>
      <c r="I16" s="11">
        <v>1011.9843808535775</v>
      </c>
      <c r="J16" s="4">
        <v>1025.3097720386859</v>
      </c>
      <c r="K16" s="4">
        <v>1015.9</v>
      </c>
      <c r="L16" s="4">
        <v>1123.7672714578759</v>
      </c>
      <c r="M16" s="4">
        <f>'[1]1.01'!$D$18/'[1]1.01'!$B$18*1000</f>
        <v>1045.5456766320128</v>
      </c>
    </row>
    <row r="17" spans="1:13" ht="20.100000000000001" customHeight="1" x14ac:dyDescent="0.25">
      <c r="A17" s="3" t="s">
        <v>17</v>
      </c>
      <c r="B17" s="4" t="s">
        <v>18</v>
      </c>
      <c r="C17" s="11">
        <v>80.713950852609344</v>
      </c>
      <c r="D17" s="11">
        <v>97.966061217305253</v>
      </c>
      <c r="E17" s="11">
        <v>97.218445195557706</v>
      </c>
      <c r="F17" s="11">
        <v>108.13871104665559</v>
      </c>
      <c r="G17" s="11">
        <v>114.73017297931844</v>
      </c>
      <c r="H17" s="11">
        <v>116.74546789405321</v>
      </c>
      <c r="I17" s="11">
        <v>116.47662171118988</v>
      </c>
      <c r="J17" s="4">
        <v>114.25051268142307</v>
      </c>
      <c r="K17" s="4">
        <v>110.4</v>
      </c>
      <c r="L17" s="4">
        <v>88.505461671914162</v>
      </c>
      <c r="M17" s="4">
        <f>'[1]1.01'!$E$18/'[1]1.01'!$B$18</f>
        <v>81.840287895884231</v>
      </c>
    </row>
    <row r="18" spans="1:13" ht="38.25" customHeight="1" x14ac:dyDescent="0.25">
      <c r="A18" s="3" t="s">
        <v>22</v>
      </c>
      <c r="B18" s="5" t="s">
        <v>20</v>
      </c>
      <c r="C18" s="11">
        <v>0.99178122790327383</v>
      </c>
      <c r="D18" s="11">
        <v>0.99466848919289796</v>
      </c>
      <c r="E18" s="11">
        <v>0.98976740261378648</v>
      </c>
      <c r="F18" s="11">
        <v>0.96817591778331047</v>
      </c>
      <c r="G18" s="11">
        <v>0.94493150623094679</v>
      </c>
      <c r="H18" s="11">
        <v>0.93073480679706366</v>
      </c>
      <c r="I18" s="11">
        <v>0.93049195187036937</v>
      </c>
      <c r="J18" s="4">
        <v>0.92406336680660817</v>
      </c>
      <c r="K18" s="4">
        <v>0.9</v>
      </c>
      <c r="L18" s="4">
        <v>0.9978455431405524</v>
      </c>
      <c r="M18" s="4">
        <f>'[1]1.01'!$F$18/'[1]1.01'!$E$18*1000</f>
        <v>0.95626396111062695</v>
      </c>
    </row>
    <row r="19" spans="1:13" ht="12.75" customHeight="1" x14ac:dyDescent="0.25">
      <c r="A19" s="22" t="s">
        <v>23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4"/>
    </row>
    <row r="20" spans="1:13" ht="20.100000000000001" customHeight="1" x14ac:dyDescent="0.25">
      <c r="A20" s="6" t="s">
        <v>10</v>
      </c>
      <c r="B20" s="7" t="s">
        <v>11</v>
      </c>
      <c r="C20" s="12">
        <v>68.905821453813246</v>
      </c>
      <c r="D20" s="12">
        <v>72.980174369019636</v>
      </c>
      <c r="E20" s="12">
        <v>74.345037524243779</v>
      </c>
      <c r="F20" s="12">
        <v>75.09276093659588</v>
      </c>
      <c r="G20" s="12">
        <v>76.454599794287404</v>
      </c>
      <c r="H20" s="12">
        <v>76.260587628342492</v>
      </c>
      <c r="I20" s="12">
        <v>79.068772885703069</v>
      </c>
      <c r="J20" s="7">
        <v>79.033339409923741</v>
      </c>
      <c r="K20" s="7">
        <v>80.3</v>
      </c>
      <c r="L20" s="7">
        <v>65.854796477670803</v>
      </c>
      <c r="M20" s="7">
        <v>64.881983334211924</v>
      </c>
    </row>
    <row r="21" spans="1:13" ht="20.100000000000001" customHeight="1" x14ac:dyDescent="0.25">
      <c r="A21" s="6" t="s">
        <v>12</v>
      </c>
      <c r="B21" s="7" t="s">
        <v>11</v>
      </c>
      <c r="C21" s="12">
        <v>58.755110734529467</v>
      </c>
      <c r="D21" s="12">
        <v>61.441211579823793</v>
      </c>
      <c r="E21" s="12">
        <v>64.363263952564139</v>
      </c>
      <c r="F21" s="12">
        <v>65.620447350482763</v>
      </c>
      <c r="G21" s="12">
        <v>65.623233627952274</v>
      </c>
      <c r="H21" s="12">
        <v>66.761754438964886</v>
      </c>
      <c r="I21" s="12">
        <v>70.650493026306407</v>
      </c>
      <c r="J21" s="7">
        <v>70.65206720758647</v>
      </c>
      <c r="K21" s="7">
        <v>71.8</v>
      </c>
      <c r="L21" s="7">
        <v>56.61989099762512</v>
      </c>
      <c r="M21" s="7">
        <v>62.49052169419933</v>
      </c>
    </row>
    <row r="22" spans="1:13" ht="20.100000000000001" customHeight="1" x14ac:dyDescent="0.25">
      <c r="A22" s="6" t="s">
        <v>13</v>
      </c>
      <c r="B22" s="7" t="s">
        <v>14</v>
      </c>
      <c r="C22" s="12">
        <v>629.15777799967395</v>
      </c>
      <c r="D22" s="12">
        <v>643.10720232250355</v>
      </c>
      <c r="E22" s="12">
        <v>625.54469562021086</v>
      </c>
      <c r="F22" s="12">
        <v>702.55361730159495</v>
      </c>
      <c r="G22" s="12">
        <v>849.81501020910878</v>
      </c>
      <c r="H22" s="12">
        <v>801.68487652116153</v>
      </c>
      <c r="I22" s="12">
        <v>788.98663610315964</v>
      </c>
      <c r="J22" s="7">
        <v>771.50502015340271</v>
      </c>
      <c r="K22" s="7">
        <v>750.4</v>
      </c>
      <c r="L22" s="7">
        <v>692.81485903876126</v>
      </c>
      <c r="M22" s="7">
        <v>602.43820698818456</v>
      </c>
    </row>
    <row r="23" spans="1:13" ht="20.100000000000001" customHeight="1" x14ac:dyDescent="0.25">
      <c r="A23" s="6" t="s">
        <v>15</v>
      </c>
      <c r="B23" s="7" t="s">
        <v>16</v>
      </c>
      <c r="C23" s="12">
        <v>1603.8706355051766</v>
      </c>
      <c r="D23" s="12">
        <v>1561.1057854237376</v>
      </c>
      <c r="E23" s="12">
        <v>1593.3481634857758</v>
      </c>
      <c r="F23" s="12">
        <v>1841.3606872737266</v>
      </c>
      <c r="G23" s="12">
        <v>2310.4035386424671</v>
      </c>
      <c r="H23" s="12">
        <v>2258.6820318109617</v>
      </c>
      <c r="I23" s="12">
        <v>2237.1852621113608</v>
      </c>
      <c r="J23" s="7">
        <v>2218.1231792908579</v>
      </c>
      <c r="K23" s="7">
        <v>2149.6999999999998</v>
      </c>
      <c r="L23" s="7">
        <v>2023.6053199048536</v>
      </c>
      <c r="M23" s="7">
        <v>1045.5456766320128</v>
      </c>
    </row>
    <row r="24" spans="1:13" ht="20.100000000000001" customHeight="1" x14ac:dyDescent="0.25">
      <c r="A24" s="6" t="s">
        <v>17</v>
      </c>
      <c r="B24" s="7" t="s">
        <v>18</v>
      </c>
      <c r="C24" s="12">
        <v>98.100083233034539</v>
      </c>
      <c r="D24" s="12">
        <v>108.43030546415524</v>
      </c>
      <c r="E24" s="12">
        <v>110.65772416276558</v>
      </c>
      <c r="F24" s="12">
        <v>120.42432461496182</v>
      </c>
      <c r="G24" s="12">
        <v>126.73218538086628</v>
      </c>
      <c r="H24" s="12">
        <v>128.62186405274267</v>
      </c>
      <c r="I24" s="12">
        <v>129.65718068482161</v>
      </c>
      <c r="J24" s="7">
        <v>128.62450095706865</v>
      </c>
      <c r="K24" s="7">
        <v>127.9</v>
      </c>
      <c r="L24" s="7">
        <v>99.2936964597518</v>
      </c>
      <c r="M24" s="7">
        <v>81.840287895884231</v>
      </c>
    </row>
    <row r="25" spans="1:13" ht="36.75" customHeight="1" x14ac:dyDescent="0.25">
      <c r="A25" s="14" t="s">
        <v>22</v>
      </c>
      <c r="B25" s="15" t="s">
        <v>20</v>
      </c>
      <c r="C25" s="17">
        <v>2.2672654731068147</v>
      </c>
      <c r="D25" s="17">
        <v>2.0737996449056166</v>
      </c>
      <c r="E25" s="17">
        <v>2.1634409487254165</v>
      </c>
      <c r="F25" s="17">
        <v>2.1210289787157497</v>
      </c>
      <c r="G25" s="17">
        <v>2.1221357460681993</v>
      </c>
      <c r="H25" s="17">
        <v>2.1345776292645366</v>
      </c>
      <c r="I25" s="17">
        <v>2.1505023868446225</v>
      </c>
      <c r="J25" s="16">
        <v>2.1644606101282409</v>
      </c>
      <c r="K25" s="16">
        <v>2.2000000000000002</v>
      </c>
      <c r="L25" s="7">
        <v>2.4089588716148618</v>
      </c>
      <c r="M25" s="7">
        <v>0.95626396111062695</v>
      </c>
    </row>
    <row r="26" spans="1:13" ht="15.75" customHeight="1" x14ac:dyDescent="0.25">
      <c r="A26" s="25" t="s">
        <v>25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</row>
    <row r="27" spans="1:13" x14ac:dyDescent="0.25">
      <c r="A27" s="38" t="s">
        <v>32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</row>
    <row r="28" spans="1:13" x14ac:dyDescent="0.25">
      <c r="A28" s="38" t="s">
        <v>27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</row>
    <row r="29" spans="1:13" x14ac:dyDescent="0.25">
      <c r="A29" s="38" t="s">
        <v>28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</row>
    <row r="30" spans="1:13" x14ac:dyDescent="0.25">
      <c r="A30" s="38" t="s">
        <v>29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</row>
    <row r="31" spans="1:13" x14ac:dyDescent="0.25">
      <c r="A31" s="38" t="s">
        <v>30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</row>
    <row r="32" spans="1:13" x14ac:dyDescent="0.25">
      <c r="A32" s="38" t="s">
        <v>31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</row>
    <row r="33" spans="1:17" ht="15" customHeight="1" x14ac:dyDescent="0.25">
      <c r="A33" s="37" t="s">
        <v>34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18"/>
      <c r="O33" s="19"/>
      <c r="P33" s="19"/>
      <c r="Q33" s="19"/>
    </row>
  </sheetData>
  <mergeCells count="14">
    <mergeCell ref="A33:M33"/>
    <mergeCell ref="A32:M32"/>
    <mergeCell ref="A27:M27"/>
    <mergeCell ref="A28:M28"/>
    <mergeCell ref="A29:M29"/>
    <mergeCell ref="A30:M30"/>
    <mergeCell ref="A31:M31"/>
    <mergeCell ref="A19:M19"/>
    <mergeCell ref="A26:M26"/>
    <mergeCell ref="A1:M1"/>
    <mergeCell ref="A2:M2"/>
    <mergeCell ref="A3:M3"/>
    <mergeCell ref="A5:M5"/>
    <mergeCell ref="A12:M12"/>
  </mergeCells>
  <phoneticPr fontId="5" type="noConversion"/>
  <pageMargins left="0.25" right="0.25" top="0.75" bottom="0.75" header="0.3" footer="0.3"/>
  <pageSetup paperSize="9"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NATIONAL </vt:lpstr>
      <vt:lpstr>'NATIONAL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2022-12-15T09:55:14Z</cp:lastPrinted>
  <dcterms:created xsi:type="dcterms:W3CDTF">2018-10-29T04:00:17Z</dcterms:created>
  <dcterms:modified xsi:type="dcterms:W3CDTF">2022-12-15T09:55:22Z</dcterms:modified>
</cp:coreProperties>
</file>