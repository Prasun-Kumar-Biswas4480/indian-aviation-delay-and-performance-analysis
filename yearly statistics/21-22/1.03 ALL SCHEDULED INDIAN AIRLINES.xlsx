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externalReferences>
    <externalReference r:id="rId2"/>
    <externalReference r:id="rId3"/>
  </externalReference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1" l="1"/>
  <c r="H11" i="1" l="1"/>
  <c r="H13" i="1"/>
  <c r="C6" i="1"/>
  <c r="D6" i="1"/>
  <c r="E6" i="1"/>
  <c r="E18" i="1" s="1"/>
  <c r="F6" i="1"/>
  <c r="F18" i="1" s="1"/>
  <c r="G6" i="1"/>
  <c r="G18" i="1" s="1"/>
  <c r="I6" i="1"/>
  <c r="J6" i="1"/>
  <c r="J18" i="1" s="1"/>
  <c r="K6" i="1"/>
  <c r="K18" i="1" s="1"/>
  <c r="L6" i="1"/>
  <c r="L18" i="1" s="1"/>
  <c r="M6" i="1"/>
  <c r="M18" i="1" s="1"/>
  <c r="N6" i="1"/>
  <c r="N18" i="1" s="1"/>
  <c r="O6" i="1"/>
  <c r="Q6" i="1" s="1"/>
  <c r="P6" i="1"/>
  <c r="C7" i="1"/>
  <c r="D7" i="1"/>
  <c r="E7" i="1"/>
  <c r="F7" i="1"/>
  <c r="H7" i="1" s="1"/>
  <c r="G7" i="1"/>
  <c r="I7" i="1"/>
  <c r="I18" i="1" s="1"/>
  <c r="J7" i="1"/>
  <c r="K7" i="1"/>
  <c r="L7" i="1"/>
  <c r="M7" i="1"/>
  <c r="N7" i="1"/>
  <c r="O7" i="1"/>
  <c r="Q7" i="1" s="1"/>
  <c r="P7" i="1"/>
  <c r="P18" i="1" s="1"/>
  <c r="C8" i="1"/>
  <c r="D8" i="1"/>
  <c r="D18" i="1" s="1"/>
  <c r="E8" i="1"/>
  <c r="F8" i="1"/>
  <c r="H8" i="1" s="1"/>
  <c r="G8" i="1"/>
  <c r="I8" i="1"/>
  <c r="J8" i="1"/>
  <c r="K8" i="1"/>
  <c r="L8" i="1"/>
  <c r="M8" i="1"/>
  <c r="N8" i="1"/>
  <c r="O8" i="1"/>
  <c r="Q8" i="1" s="1"/>
  <c r="P8" i="1"/>
  <c r="C9" i="1"/>
  <c r="D9" i="1"/>
  <c r="E9" i="1"/>
  <c r="F9" i="1"/>
  <c r="H9" i="1" s="1"/>
  <c r="G9" i="1"/>
  <c r="I9" i="1"/>
  <c r="J9" i="1"/>
  <c r="K9" i="1"/>
  <c r="L9" i="1"/>
  <c r="M9" i="1"/>
  <c r="N9" i="1"/>
  <c r="O9" i="1"/>
  <c r="Q9" i="1" s="1"/>
  <c r="P9" i="1"/>
  <c r="C10" i="1"/>
  <c r="D10" i="1"/>
  <c r="E10" i="1"/>
  <c r="F10" i="1"/>
  <c r="H10" i="1" s="1"/>
  <c r="G10" i="1"/>
  <c r="I10" i="1"/>
  <c r="J10" i="1"/>
  <c r="K10" i="1"/>
  <c r="L10" i="1"/>
  <c r="M10" i="1"/>
  <c r="N10" i="1"/>
  <c r="O10" i="1"/>
  <c r="Q10" i="1" s="1"/>
  <c r="P10" i="1"/>
  <c r="C11" i="1"/>
  <c r="D11" i="1"/>
  <c r="E11" i="1"/>
  <c r="F11" i="1"/>
  <c r="G11" i="1"/>
  <c r="I11" i="1"/>
  <c r="J11" i="1"/>
  <c r="K11" i="1"/>
  <c r="L11" i="1"/>
  <c r="M11" i="1"/>
  <c r="N11" i="1"/>
  <c r="O11" i="1"/>
  <c r="Q11" i="1" s="1"/>
  <c r="P11" i="1"/>
  <c r="C12" i="1"/>
  <c r="C18" i="1" s="1"/>
  <c r="D12" i="1"/>
  <c r="E12" i="1"/>
  <c r="F12" i="1"/>
  <c r="H12" i="1" s="1"/>
  <c r="G12" i="1"/>
  <c r="I12" i="1"/>
  <c r="J12" i="1"/>
  <c r="K12" i="1"/>
  <c r="L12" i="1"/>
  <c r="M12" i="1"/>
  <c r="N12" i="1"/>
  <c r="O12" i="1"/>
  <c r="Q12" i="1" s="1"/>
  <c r="P12" i="1"/>
  <c r="C13" i="1"/>
  <c r="D13" i="1"/>
  <c r="E13" i="1"/>
  <c r="F13" i="1"/>
  <c r="G13" i="1"/>
  <c r="I13" i="1"/>
  <c r="J13" i="1"/>
  <c r="K13" i="1"/>
  <c r="L13" i="1"/>
  <c r="M13" i="1"/>
  <c r="N13" i="1"/>
  <c r="O13" i="1"/>
  <c r="Q13" i="1" s="1"/>
  <c r="P13" i="1"/>
  <c r="C14" i="1"/>
  <c r="D14" i="1"/>
  <c r="E14" i="1"/>
  <c r="F14" i="1"/>
  <c r="H14" i="1" s="1"/>
  <c r="G14" i="1"/>
  <c r="I14" i="1"/>
  <c r="J14" i="1"/>
  <c r="K14" i="1"/>
  <c r="L14" i="1"/>
  <c r="M14" i="1"/>
  <c r="N14" i="1"/>
  <c r="O14" i="1"/>
  <c r="Q14" i="1" s="1"/>
  <c r="P14" i="1"/>
  <c r="C15" i="1"/>
  <c r="D15" i="1"/>
  <c r="E15" i="1"/>
  <c r="F15" i="1"/>
  <c r="H15" i="1" s="1"/>
  <c r="G15" i="1"/>
  <c r="I15" i="1"/>
  <c r="J15" i="1"/>
  <c r="K15" i="1"/>
  <c r="L15" i="1"/>
  <c r="M15" i="1"/>
  <c r="N15" i="1"/>
  <c r="O15" i="1"/>
  <c r="Q15" i="1" s="1"/>
  <c r="P15" i="1"/>
  <c r="C16" i="1"/>
  <c r="E16" i="1"/>
  <c r="F16" i="1"/>
  <c r="H16" i="1" s="1"/>
  <c r="G16" i="1"/>
  <c r="I16" i="1"/>
  <c r="J16" i="1"/>
  <c r="K16" i="1"/>
  <c r="L16" i="1"/>
  <c r="M16" i="1"/>
  <c r="N16" i="1"/>
  <c r="O16" i="1"/>
  <c r="Q16" i="1" s="1"/>
  <c r="P16" i="1"/>
  <c r="D17" i="1"/>
  <c r="E17" i="1"/>
  <c r="F17" i="1"/>
  <c r="H17" i="1" s="1"/>
  <c r="G17" i="1"/>
  <c r="I17" i="1"/>
  <c r="J17" i="1"/>
  <c r="K17" i="1"/>
  <c r="L17" i="1"/>
  <c r="M17" i="1"/>
  <c r="N17" i="1"/>
  <c r="O17" i="1"/>
  <c r="Q17" i="1" s="1"/>
  <c r="P17" i="1"/>
  <c r="B7" i="1"/>
  <c r="B8" i="1"/>
  <c r="B9" i="1"/>
  <c r="B10" i="1"/>
  <c r="B11" i="1"/>
  <c r="B12" i="1"/>
  <c r="B13" i="1"/>
  <c r="B14" i="1"/>
  <c r="B15" i="1"/>
  <c r="B16" i="1"/>
  <c r="B17" i="1"/>
  <c r="B6" i="1"/>
  <c r="B18" i="1" s="1"/>
  <c r="H18" i="1" l="1"/>
  <c r="O18" i="1"/>
  <c r="Q18" i="1" s="1"/>
  <c r="H6" i="1"/>
</calcChain>
</file>

<file path=xl/sharedStrings.xml><?xml version="1.0" encoding="utf-8"?>
<sst xmlns="http://schemas.openxmlformats.org/spreadsheetml/2006/main" count="27" uniqueCount="25">
  <si>
    <t>Table 1.03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</si>
  <si>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</si>
  <si>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</si>
  <si>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</si>
  <si>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</si>
  <si>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</si>
  <si>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</si>
  <si>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</si>
  <si>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</si>
  <si>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</si>
  <si>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</si>
  <si>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</si>
  <si>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</si>
  <si>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</si>
  <si>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</si>
  <si>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</si>
  <si>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</si>
  <si>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</si>
  <si>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</si>
  <si>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</si>
  <si>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</si>
  <si>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 तालिका- 1.03 (सभी अनुसूचित भारतीय एयरलाइन्स) </t>
  </si>
  <si>
    <t>* DENOTES that THE INTERNATIONAL OPERATIONS BY SCHEDULED INDIAN OPERATORS WERE CARRIED AS PER DGCA’S CIRCULAR DATED 26.03.2020 UNDER COVID-19 RESTRICTION.</t>
  </si>
  <si>
    <t xml:space="preserve"> MONTHLY TRAFFIC AND OPERATING STATISTICS OF ALL SCHEDULED INDIAN AIRLINES ON TOTAL SCHEDULED (INTERNATIONAL+DOMESTIC) SERVICES DURING 2021-22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</si>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</sst>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3" fontId="0" fillId="0" borderId="0" xfId="0" applyNumberFormat="1" applyFont="1"/>
    <xf numFmtId="17" fontId="2" fillId="4" borderId="1" xfId="2" applyNumberForma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7" fontId="2" fillId="5" borderId="1" xfId="2" applyNumberFormat="1" applyFill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right" vertical="center" wrapText="1"/>
    </xf>
    <xf numFmtId="164" fontId="2" fillId="5" borderId="1" xfId="2" applyNumberFormat="1" applyFill="1" applyBorder="1" applyAlignment="1" applyProtection="1">
      <alignment horizontal="right" vertical="center" wrapText="1"/>
    </xf>
    <xf numFmtId="3" fontId="3" fillId="4" borderId="1" xfId="2" applyNumberFormat="1" applyFont="1" applyBorder="1" applyAlignment="1" applyProtection="1">
      <alignment horizontal="center" vertical="center" wrapText="1"/>
    </xf>
    <xf numFmtId="165" fontId="3" fillId="4" borderId="1" xfId="2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0" fontId="2" fillId="3" borderId="1" xfId="1" applyFont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all%20scheduled%20indian%20air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all%20scheduled%20indian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>
        <row r="6">
          <cell r="B6">
            <v>59967</v>
          </cell>
          <cell r="C6">
            <v>104910.09633333332</v>
          </cell>
          <cell r="D6">
            <v>57652.870999999992</v>
          </cell>
          <cell r="E6">
            <v>5647434</v>
          </cell>
          <cell r="F6">
            <v>5728.1187800000007</v>
          </cell>
          <cell r="G6">
            <v>9575.0370950000015</v>
          </cell>
          <cell r="I6">
            <v>47905.847070000011</v>
          </cell>
          <cell r="J6">
            <v>1901.92425</v>
          </cell>
          <cell r="K6">
            <v>49807.771320000014</v>
          </cell>
          <cell r="L6">
            <v>498.04638657000004</v>
          </cell>
          <cell r="M6">
            <v>54.427009805309986</v>
          </cell>
          <cell r="N6">
            <v>1.8570514541499998</v>
          </cell>
          <cell r="O6">
            <v>554.33044782946001</v>
          </cell>
          <cell r="P6">
            <v>1018.396959302</v>
          </cell>
        </row>
        <row r="7">
          <cell r="B7">
            <v>27725</v>
          </cell>
          <cell r="C7">
            <v>47577.020000000004</v>
          </cell>
          <cell r="D7">
            <v>27134.613000000001</v>
          </cell>
          <cell r="E7">
            <v>2037372</v>
          </cell>
          <cell r="F7">
            <v>2048.2258829999996</v>
          </cell>
          <cell r="G7">
            <v>4155.486132</v>
          </cell>
          <cell r="I7">
            <v>34618.054200000021</v>
          </cell>
          <cell r="J7">
            <v>1282.0685000000008</v>
          </cell>
          <cell r="K7">
            <v>35900.122700000022</v>
          </cell>
          <cell r="L7">
            <v>179.235641058</v>
          </cell>
          <cell r="M7">
            <v>39.437530242610009</v>
          </cell>
          <cell r="N7">
            <v>1.2304791340000001</v>
          </cell>
          <cell r="O7">
            <v>219.90365043461003</v>
          </cell>
          <cell r="P7">
            <v>450.26343090100102</v>
          </cell>
        </row>
        <row r="8">
          <cell r="B8">
            <v>31693</v>
          </cell>
          <cell r="C8">
            <v>54456.776666666672</v>
          </cell>
          <cell r="D8">
            <v>30298.538</v>
          </cell>
          <cell r="E8">
            <v>3028643</v>
          </cell>
          <cell r="F8">
            <v>2923.5126180000002</v>
          </cell>
          <cell r="G8">
            <v>4658.811882</v>
          </cell>
          <cell r="I8">
            <v>38829.373800000001</v>
          </cell>
          <cell r="J8">
            <v>1588.8635000000008</v>
          </cell>
          <cell r="K8">
            <v>40418.237300000001</v>
          </cell>
          <cell r="L8">
            <v>256.13773867100002</v>
          </cell>
          <cell r="M8">
            <v>45.727902811690008</v>
          </cell>
          <cell r="N8">
            <v>1.5367306570000001</v>
          </cell>
          <cell r="O8">
            <v>303.40237213969004</v>
          </cell>
          <cell r="P8">
            <v>504.02218998800004</v>
          </cell>
        </row>
        <row r="9">
          <cell r="B9">
            <v>47692</v>
          </cell>
          <cell r="C9">
            <v>80539.23000000001</v>
          </cell>
          <cell r="D9">
            <v>44342.445299999999</v>
          </cell>
          <cell r="E9">
            <v>4897664</v>
          </cell>
          <cell r="F9">
            <v>4702.8761650000006</v>
          </cell>
          <cell r="G9">
            <v>7075.920799999999</v>
          </cell>
          <cell r="I9">
            <v>45700.885780000026</v>
          </cell>
          <cell r="J9">
            <v>1998.1855</v>
          </cell>
          <cell r="K9">
            <v>47699.071280000026</v>
          </cell>
          <cell r="L9">
            <v>411.75967215100002</v>
          </cell>
          <cell r="M9">
            <v>53.474878789520005</v>
          </cell>
          <cell r="N9">
            <v>2.0204476185</v>
          </cell>
          <cell r="O9">
            <v>467.25499855902001</v>
          </cell>
          <cell r="P9">
            <v>783.75986726900123</v>
          </cell>
        </row>
        <row r="10">
          <cell r="B10">
            <v>58101</v>
          </cell>
          <cell r="C10">
            <v>98409.26999999999</v>
          </cell>
          <cell r="D10">
            <v>54053.971600000004</v>
          </cell>
          <cell r="E10">
            <v>6544056</v>
          </cell>
          <cell r="F10">
            <v>6263.4567300000008</v>
          </cell>
          <cell r="G10">
            <v>8700.6583300000002</v>
          </cell>
          <cell r="I10">
            <v>50342.357870000014</v>
          </cell>
          <cell r="J10">
            <v>2074.4864000000016</v>
          </cell>
          <cell r="K10">
            <v>52416.844270000016</v>
          </cell>
          <cell r="L10">
            <v>543.35986279999986</v>
          </cell>
          <cell r="M10">
            <v>61.081972257400004</v>
          </cell>
          <cell r="N10">
            <v>2.1018968538</v>
          </cell>
          <cell r="O10">
            <v>606.54373191119987</v>
          </cell>
          <cell r="P10">
            <v>963.32373754700006</v>
          </cell>
        </row>
        <row r="11">
          <cell r="B11">
            <v>61514</v>
          </cell>
          <cell r="C11">
            <v>104485.03666666665</v>
          </cell>
          <cell r="D11">
            <v>56781.245999999999</v>
          </cell>
          <cell r="E11">
            <v>6891878</v>
          </cell>
          <cell r="F11">
            <v>6577.7186359999996</v>
          </cell>
          <cell r="G11">
            <v>9095.9160920000013</v>
          </cell>
          <cell r="I11">
            <v>52296.967969999991</v>
          </cell>
          <cell r="J11">
            <v>2075.3187140790697</v>
          </cell>
          <cell r="K11">
            <v>54372.286684079059</v>
          </cell>
          <cell r="L11">
            <v>570.01742229500007</v>
          </cell>
          <cell r="M11">
            <v>62.791901711519998</v>
          </cell>
          <cell r="N11">
            <v>2.2035228772930133</v>
          </cell>
          <cell r="O11">
            <v>635.01284688381315</v>
          </cell>
          <cell r="P11">
            <v>1006.0347094780001</v>
          </cell>
        </row>
        <row r="12">
          <cell r="B12">
            <v>72491</v>
          </cell>
          <cell r="C12">
            <v>117610.84666666666</v>
          </cell>
          <cell r="D12">
            <v>67690.728000000003</v>
          </cell>
          <cell r="E12">
            <v>8784144</v>
          </cell>
          <cell r="F12">
            <v>8513.9381040000007</v>
          </cell>
          <cell r="G12">
            <v>11031.288355000001</v>
          </cell>
          <cell r="I12">
            <v>56495.971900000004</v>
          </cell>
          <cell r="J12">
            <v>1864.6443054042195</v>
          </cell>
          <cell r="K12">
            <v>58360.616205404222</v>
          </cell>
          <cell r="L12">
            <v>743.97710571699895</v>
          </cell>
          <cell r="M12">
            <v>68.981995773400001</v>
          </cell>
          <cell r="N12">
            <v>2.0472756835000001</v>
          </cell>
          <cell r="O12">
            <v>815.00637717389895</v>
          </cell>
          <cell r="P12">
            <v>1210.7354031240009</v>
          </cell>
        </row>
        <row r="13">
          <cell r="B13">
            <v>81620</v>
          </cell>
          <cell r="C13">
            <v>133035.35999999999</v>
          </cell>
          <cell r="D13">
            <v>76810.933000000005</v>
          </cell>
          <cell r="E13">
            <v>10471234</v>
          </cell>
          <cell r="F13">
            <v>10165.303980000001</v>
          </cell>
          <cell r="G13">
            <v>12698.682191999998</v>
          </cell>
          <cell r="I13">
            <v>49394.563470000008</v>
          </cell>
          <cell r="J13">
            <v>2209.2863162819867</v>
          </cell>
          <cell r="K13">
            <v>51603.849786281993</v>
          </cell>
          <cell r="L13">
            <v>889.52027621499997</v>
          </cell>
          <cell r="M13">
            <v>60.025807635699998</v>
          </cell>
          <cell r="N13">
            <v>2.46544880911192</v>
          </cell>
          <cell r="O13">
            <v>952.01153265981179</v>
          </cell>
          <cell r="P13">
            <v>1624.8589444339971</v>
          </cell>
        </row>
        <row r="14">
          <cell r="B14">
            <v>87258</v>
          </cell>
          <cell r="C14">
            <v>152340.79666666666</v>
          </cell>
          <cell r="D14">
            <v>82148.040999999997</v>
          </cell>
          <cell r="E14">
            <v>11156079</v>
          </cell>
          <cell r="F14">
            <v>10816.546431999999</v>
          </cell>
          <cell r="G14">
            <v>13602.345165000001</v>
          </cell>
          <cell r="I14">
            <v>55523.45153999998</v>
          </cell>
          <cell r="J14">
            <v>2398.5826647296408</v>
          </cell>
          <cell r="K14">
            <v>57922.034204729622</v>
          </cell>
          <cell r="L14">
            <v>943.98236730100098</v>
          </cell>
          <cell r="M14">
            <v>67.329576805789998</v>
          </cell>
          <cell r="N14">
            <v>2.640572513827935</v>
          </cell>
          <cell r="O14">
            <v>1013.9525166206189</v>
          </cell>
          <cell r="P14">
            <v>1485.8023581480011</v>
          </cell>
        </row>
        <row r="15">
          <cell r="B15">
            <v>63541</v>
          </cell>
          <cell r="C15">
            <v>107344.69000000002</v>
          </cell>
          <cell r="D15">
            <v>59516.356999999996</v>
          </cell>
          <cell r="E15">
            <v>6410579</v>
          </cell>
          <cell r="F15">
            <v>6257.0324269999992</v>
          </cell>
          <cell r="G15">
            <v>9572.2302550000004</v>
          </cell>
          <cell r="I15">
            <v>47907.634649999993</v>
          </cell>
          <cell r="J15">
            <v>2397.9060938220136</v>
          </cell>
          <cell r="K15">
            <v>50305.540743822006</v>
          </cell>
          <cell r="L15">
            <v>542.29578435199983</v>
          </cell>
          <cell r="M15">
            <v>56.757278032479981</v>
          </cell>
          <cell r="N15">
            <v>2.5485427484574634</v>
          </cell>
          <cell r="O15">
            <v>601.60160513293727</v>
          </cell>
          <cell r="P15">
            <v>1049.350859484</v>
          </cell>
        </row>
        <row r="16">
          <cell r="B16">
            <v>57220</v>
          </cell>
          <cell r="C16">
            <v>97246.116666666669</v>
          </cell>
          <cell r="D16">
            <v>54491.058999999994</v>
          </cell>
          <cell r="E16">
            <v>7695734</v>
          </cell>
          <cell r="F16">
            <v>7477.779790999999</v>
          </cell>
          <cell r="G16">
            <v>8762.4071960000001</v>
          </cell>
          <cell r="I16">
            <v>46893.902950000003</v>
          </cell>
          <cell r="J16">
            <v>2250.6851313144221</v>
          </cell>
          <cell r="K16">
            <v>49144.588081314425</v>
          </cell>
          <cell r="L16">
            <v>655.34683947100018</v>
          </cell>
          <cell r="M16">
            <v>56.297004191900001</v>
          </cell>
          <cell r="N16">
            <v>2.4850085545702854</v>
          </cell>
          <cell r="O16">
            <v>714.12885221747047</v>
          </cell>
          <cell r="P16">
            <v>962.19742468199922</v>
          </cell>
        </row>
        <row r="17">
          <cell r="B17">
            <v>80948</v>
          </cell>
          <cell r="D17">
            <v>77447.666999999987</v>
          </cell>
          <cell r="E17">
            <v>10619642</v>
          </cell>
          <cell r="F17">
            <v>10303.96055</v>
          </cell>
          <cell r="G17">
            <v>12526.336471999999</v>
          </cell>
          <cell r="I17">
            <v>54790.625870000003</v>
          </cell>
          <cell r="J17">
            <v>2508.0360313487777</v>
          </cell>
          <cell r="K17">
            <v>57298.66190134878</v>
          </cell>
          <cell r="L17">
            <v>902.37936897599911</v>
          </cell>
          <cell r="M17">
            <v>66.352436418789992</v>
          </cell>
          <cell r="N17">
            <v>2.7980323428057527</v>
          </cell>
          <cell r="O17">
            <v>971.5298377375949</v>
          </cell>
          <cell r="P17">
            <v>1377.1351701040001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2"/>
    </sheetNames>
    <sheetDataSet>
      <sheetData sheetId="0">
        <row r="6">
          <cell r="B6"/>
          <cell r="C6"/>
          <cell r="D6"/>
          <cell r="E6"/>
          <cell r="F6"/>
          <cell r="G6"/>
          <cell r="I6"/>
          <cell r="J6"/>
          <cell r="K6"/>
          <cell r="L6"/>
          <cell r="M6"/>
          <cell r="N6"/>
          <cell r="O6"/>
          <cell r="P6"/>
        </row>
        <row r="7">
          <cell r="B7"/>
          <cell r="C7"/>
          <cell r="D7"/>
          <cell r="E7"/>
          <cell r="F7"/>
          <cell r="G7"/>
          <cell r="I7"/>
          <cell r="J7"/>
          <cell r="K7"/>
          <cell r="L7"/>
          <cell r="M7"/>
          <cell r="N7"/>
          <cell r="O7"/>
          <cell r="P7"/>
        </row>
        <row r="8">
          <cell r="B8"/>
          <cell r="C8"/>
          <cell r="D8"/>
          <cell r="E8"/>
          <cell r="F8"/>
          <cell r="G8"/>
          <cell r="I8"/>
          <cell r="J8"/>
          <cell r="K8"/>
          <cell r="L8"/>
          <cell r="M8"/>
          <cell r="N8"/>
          <cell r="O8"/>
          <cell r="P8"/>
        </row>
        <row r="9">
          <cell r="B9"/>
          <cell r="C9"/>
          <cell r="D9"/>
          <cell r="E9"/>
          <cell r="F9"/>
          <cell r="G9"/>
          <cell r="I9"/>
          <cell r="J9"/>
          <cell r="K9"/>
          <cell r="L9"/>
          <cell r="M9"/>
          <cell r="N9"/>
          <cell r="O9"/>
          <cell r="P9"/>
        </row>
        <row r="10">
          <cell r="B10"/>
          <cell r="C10"/>
          <cell r="D10"/>
          <cell r="E10"/>
          <cell r="F10"/>
          <cell r="G10"/>
          <cell r="I10"/>
          <cell r="J10"/>
          <cell r="K10"/>
          <cell r="L10"/>
          <cell r="M10"/>
          <cell r="N10"/>
          <cell r="O10"/>
          <cell r="P10"/>
        </row>
        <row r="11">
          <cell r="B11"/>
          <cell r="C11"/>
          <cell r="D11"/>
          <cell r="E11"/>
          <cell r="F11"/>
          <cell r="G11"/>
          <cell r="I11"/>
          <cell r="J11"/>
          <cell r="K11"/>
          <cell r="L11"/>
          <cell r="M11"/>
          <cell r="N11"/>
          <cell r="O11"/>
          <cell r="P11"/>
        </row>
        <row r="12">
          <cell r="B12"/>
          <cell r="C12"/>
          <cell r="D12"/>
          <cell r="E12"/>
          <cell r="F12"/>
          <cell r="G12"/>
          <cell r="I12"/>
          <cell r="J12"/>
          <cell r="K12"/>
          <cell r="L12"/>
          <cell r="M12"/>
          <cell r="N12"/>
          <cell r="O12"/>
          <cell r="P12"/>
        </row>
        <row r="13">
          <cell r="B13"/>
          <cell r="C13"/>
          <cell r="D13"/>
          <cell r="E13"/>
          <cell r="F13"/>
          <cell r="G13"/>
          <cell r="I13"/>
          <cell r="J13"/>
          <cell r="K13"/>
          <cell r="L13"/>
          <cell r="M13"/>
          <cell r="N13"/>
          <cell r="O13"/>
          <cell r="P13"/>
        </row>
        <row r="14">
          <cell r="B14"/>
          <cell r="C14"/>
          <cell r="D14"/>
          <cell r="E14"/>
          <cell r="F14"/>
          <cell r="G14"/>
          <cell r="I14"/>
          <cell r="J14"/>
          <cell r="K14"/>
          <cell r="L14"/>
          <cell r="M14"/>
          <cell r="N14"/>
          <cell r="O14"/>
          <cell r="P14"/>
        </row>
        <row r="15">
          <cell r="B15"/>
          <cell r="C15"/>
          <cell r="D15"/>
          <cell r="E15"/>
          <cell r="F15"/>
          <cell r="G15"/>
          <cell r="I15"/>
          <cell r="J15"/>
          <cell r="K15"/>
          <cell r="L15"/>
          <cell r="M15"/>
          <cell r="N15"/>
          <cell r="O15"/>
          <cell r="P15"/>
        </row>
        <row r="16">
          <cell r="B16"/>
          <cell r="C16"/>
          <cell r="D16"/>
          <cell r="E16"/>
          <cell r="F16"/>
          <cell r="G16"/>
          <cell r="I16"/>
          <cell r="J16"/>
          <cell r="K16"/>
          <cell r="L16"/>
          <cell r="M16"/>
          <cell r="N16"/>
          <cell r="O16"/>
          <cell r="P16"/>
        </row>
        <row r="17">
          <cell r="B17">
            <v>756</v>
          </cell>
          <cell r="D17">
            <v>1816.567</v>
          </cell>
          <cell r="E17">
            <v>114371</v>
          </cell>
          <cell r="F17">
            <v>286.26495599999998</v>
          </cell>
          <cell r="G17">
            <v>349.11418400000002</v>
          </cell>
          <cell r="I17">
            <v>919.62549000000013</v>
          </cell>
          <cell r="J17"/>
          <cell r="K17">
            <v>919.62549000000013</v>
          </cell>
          <cell r="L17">
            <v>25.851984089999998</v>
          </cell>
          <cell r="M17">
            <v>2.7607930705899997</v>
          </cell>
          <cell r="N17">
            <v>0</v>
          </cell>
          <cell r="O17">
            <v>28.612777160589999</v>
          </cell>
          <cell r="P17">
            <v>41.032313127000002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R20"/>
  <sheetViews>
    <sheetView tabSelected="1" topLeftCell="A7" zoomScale="95" zoomScaleNormal="95" zoomScaleSheetLayoutView="100" workbookViewId="0">
      <selection activeCell="Q18" sqref="B18:Q18"/>
    </sheetView>
  </sheetViews>
  <sheetFormatPr defaultColWidth="9.140625" defaultRowHeight="15" x14ac:dyDescent="0.25"/>
  <cols>
    <col min="1" max="1" width="8.8554687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9.1406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8" ht="18.75" customHeight="1" x14ac:dyDescent="0.25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18.7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 ht="28.5" customHeight="1" x14ac:dyDescent="0.25">
      <c r="A4" s="22" t="s">
        <v>1</v>
      </c>
      <c r="B4" s="22" t="s">
        <v>2</v>
      </c>
      <c r="C4" s="22"/>
      <c r="D4" s="22"/>
      <c r="E4" s="22" t="s">
        <v>3</v>
      </c>
      <c r="F4" s="21"/>
      <c r="G4" s="14" t="s">
        <v>4</v>
      </c>
      <c r="H4" s="14" t="s">
        <v>5</v>
      </c>
      <c r="I4" s="22" t="s">
        <v>6</v>
      </c>
      <c r="J4" s="22"/>
      <c r="K4" s="22"/>
      <c r="L4" s="22" t="s">
        <v>7</v>
      </c>
      <c r="M4" s="22"/>
      <c r="N4" s="22"/>
      <c r="O4" s="22"/>
      <c r="P4" s="14" t="s">
        <v>8</v>
      </c>
      <c r="Q4" s="14" t="s">
        <v>9</v>
      </c>
    </row>
    <row r="5" spans="1:18" ht="115.5" customHeight="1" x14ac:dyDescent="0.25">
      <c r="A5" s="22"/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15"/>
      <c r="H5" s="15"/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16</v>
      </c>
      <c r="O5" s="7" t="s">
        <v>17</v>
      </c>
      <c r="P5" s="15"/>
      <c r="Q5" s="15"/>
    </row>
    <row r="6" spans="1:18" ht="30" customHeight="1" x14ac:dyDescent="0.25">
      <c r="A6" s="3">
        <v>44287</v>
      </c>
      <c r="B6" s="5">
        <f>'[1]1.01'!B6+'[2]1.02'!B6</f>
        <v>59967</v>
      </c>
      <c r="C6" s="5">
        <f>'[1]1.01'!C6+'[2]1.02'!C6</f>
        <v>104910.09633333332</v>
      </c>
      <c r="D6" s="5">
        <f>'[1]1.01'!D6+'[2]1.02'!D6</f>
        <v>57652.870999999992</v>
      </c>
      <c r="E6" s="5">
        <f>'[1]1.01'!E6+'[2]1.02'!E6</f>
        <v>5647434</v>
      </c>
      <c r="F6" s="5">
        <f>'[1]1.01'!F6+'[2]1.02'!F6</f>
        <v>5728.1187800000007</v>
      </c>
      <c r="G6" s="5">
        <f>'[1]1.01'!G6+'[2]1.02'!G6</f>
        <v>9575.0370950000015</v>
      </c>
      <c r="H6" s="6">
        <f>F6/G6*100</f>
        <v>59.823463065131868</v>
      </c>
      <c r="I6" s="5">
        <f>'[1]1.01'!I6+'[2]1.02'!I6</f>
        <v>47905.847070000011</v>
      </c>
      <c r="J6" s="5">
        <f>'[1]1.01'!J6+'[2]1.02'!J6</f>
        <v>1901.92425</v>
      </c>
      <c r="K6" s="5">
        <f>'[1]1.01'!K6+'[2]1.02'!K6</f>
        <v>49807.771320000014</v>
      </c>
      <c r="L6" s="5">
        <f>'[1]1.01'!L6+'[2]1.02'!L6</f>
        <v>498.04638657000004</v>
      </c>
      <c r="M6" s="5">
        <f>'[1]1.01'!M6+'[2]1.02'!M6</f>
        <v>54.427009805309986</v>
      </c>
      <c r="N6" s="5">
        <f>'[1]1.01'!N6+'[2]1.02'!N6</f>
        <v>1.8570514541499998</v>
      </c>
      <c r="O6" s="5">
        <f>'[1]1.01'!O6+'[2]1.02'!O6</f>
        <v>554.33044782946001</v>
      </c>
      <c r="P6" s="5">
        <f>'[1]1.01'!P6+'[2]1.02'!P6</f>
        <v>1018.396959302</v>
      </c>
      <c r="Q6" s="6">
        <f>O6/P6*100</f>
        <v>54.431667609199565</v>
      </c>
    </row>
    <row r="7" spans="1:18" ht="30" customHeight="1" x14ac:dyDescent="0.25">
      <c r="A7" s="8">
        <v>44317</v>
      </c>
      <c r="B7" s="9">
        <f>'[1]1.01'!B7+'[2]1.02'!B7</f>
        <v>27725</v>
      </c>
      <c r="C7" s="9">
        <f>'[1]1.01'!C7+'[2]1.02'!C7</f>
        <v>47577.020000000004</v>
      </c>
      <c r="D7" s="9">
        <f>'[1]1.01'!D7+'[2]1.02'!D7</f>
        <v>27134.613000000001</v>
      </c>
      <c r="E7" s="9">
        <f>'[1]1.01'!E7+'[2]1.02'!E7</f>
        <v>2037372</v>
      </c>
      <c r="F7" s="9">
        <f>'[1]1.01'!F7+'[2]1.02'!F7</f>
        <v>2048.2258829999996</v>
      </c>
      <c r="G7" s="9">
        <f>'[1]1.01'!G7+'[2]1.02'!G7</f>
        <v>4155.486132</v>
      </c>
      <c r="H7" s="10">
        <f t="shared" ref="H7:H17" si="0">F7/G7*100</f>
        <v>49.289681590495547</v>
      </c>
      <c r="I7" s="9">
        <f>'[1]1.01'!I7+'[2]1.02'!I7</f>
        <v>34618.054200000021</v>
      </c>
      <c r="J7" s="9">
        <f>'[1]1.01'!J7+'[2]1.02'!J7</f>
        <v>1282.0685000000008</v>
      </c>
      <c r="K7" s="9">
        <f>'[1]1.01'!K7+'[2]1.02'!K7</f>
        <v>35900.122700000022</v>
      </c>
      <c r="L7" s="9">
        <f>'[1]1.01'!L7+'[2]1.02'!L7</f>
        <v>179.235641058</v>
      </c>
      <c r="M7" s="9">
        <f>'[1]1.01'!M7+'[2]1.02'!M7</f>
        <v>39.437530242610009</v>
      </c>
      <c r="N7" s="9">
        <f>'[1]1.01'!N7+'[2]1.02'!N7</f>
        <v>1.2304791340000001</v>
      </c>
      <c r="O7" s="9">
        <f>'[1]1.01'!O7+'[2]1.02'!O7</f>
        <v>219.90365043461003</v>
      </c>
      <c r="P7" s="9">
        <f>'[1]1.01'!P7+'[2]1.02'!P7</f>
        <v>450.26343090100102</v>
      </c>
      <c r="Q7" s="10">
        <f t="shared" ref="Q7:Q17" si="1">O7/P7*100</f>
        <v>48.838887491833646</v>
      </c>
      <c r="R7" s="2"/>
    </row>
    <row r="8" spans="1:18" ht="30" customHeight="1" x14ac:dyDescent="0.25">
      <c r="A8" s="3">
        <v>44348</v>
      </c>
      <c r="B8" s="5">
        <f>'[1]1.01'!B8+'[2]1.02'!B8</f>
        <v>31693</v>
      </c>
      <c r="C8" s="5">
        <f>'[1]1.01'!C8+'[2]1.02'!C8</f>
        <v>54456.776666666672</v>
      </c>
      <c r="D8" s="5">
        <f>'[1]1.01'!D8+'[2]1.02'!D8</f>
        <v>30298.538</v>
      </c>
      <c r="E8" s="5">
        <f>'[1]1.01'!E8+'[2]1.02'!E8</f>
        <v>3028643</v>
      </c>
      <c r="F8" s="5">
        <f>'[1]1.01'!F8+'[2]1.02'!F8</f>
        <v>2923.5126180000002</v>
      </c>
      <c r="G8" s="5">
        <f>'[1]1.01'!G8+'[2]1.02'!G8</f>
        <v>4658.811882</v>
      </c>
      <c r="H8" s="6">
        <f t="shared" si="0"/>
        <v>62.752321665861167</v>
      </c>
      <c r="I8" s="5">
        <f>'[1]1.01'!I8+'[2]1.02'!I8</f>
        <v>38829.373800000001</v>
      </c>
      <c r="J8" s="5">
        <f>'[1]1.01'!J8+'[2]1.02'!J8</f>
        <v>1588.8635000000008</v>
      </c>
      <c r="K8" s="5">
        <f>'[1]1.01'!K8+'[2]1.02'!K8</f>
        <v>40418.237300000001</v>
      </c>
      <c r="L8" s="5">
        <f>'[1]1.01'!L8+'[2]1.02'!L8</f>
        <v>256.13773867100002</v>
      </c>
      <c r="M8" s="5">
        <f>'[1]1.01'!M8+'[2]1.02'!M8</f>
        <v>45.727902811690008</v>
      </c>
      <c r="N8" s="5">
        <f>'[1]1.01'!N8+'[2]1.02'!N8</f>
        <v>1.5367306570000001</v>
      </c>
      <c r="O8" s="5">
        <f>'[1]1.01'!O8+'[2]1.02'!O8</f>
        <v>303.40237213969004</v>
      </c>
      <c r="P8" s="5">
        <f>'[1]1.01'!P8+'[2]1.02'!P8</f>
        <v>504.02218998800004</v>
      </c>
      <c r="Q8" s="6">
        <f t="shared" si="1"/>
        <v>60.196233056110792</v>
      </c>
    </row>
    <row r="9" spans="1:18" ht="30" customHeight="1" x14ac:dyDescent="0.25">
      <c r="A9" s="8">
        <v>44378</v>
      </c>
      <c r="B9" s="9">
        <f>'[1]1.01'!B9+'[2]1.02'!B9</f>
        <v>47692</v>
      </c>
      <c r="C9" s="9">
        <f>'[1]1.01'!C9+'[2]1.02'!C9</f>
        <v>80539.23000000001</v>
      </c>
      <c r="D9" s="9">
        <f>'[1]1.01'!D9+'[2]1.02'!D9</f>
        <v>44342.445299999999</v>
      </c>
      <c r="E9" s="9">
        <f>'[1]1.01'!E9+'[2]1.02'!E9</f>
        <v>4897664</v>
      </c>
      <c r="F9" s="9">
        <f>'[1]1.01'!F9+'[2]1.02'!F9</f>
        <v>4702.8761650000006</v>
      </c>
      <c r="G9" s="9">
        <f>'[1]1.01'!G9+'[2]1.02'!G9</f>
        <v>7075.920799999999</v>
      </c>
      <c r="H9" s="10">
        <f t="shared" si="0"/>
        <v>66.463097848692726</v>
      </c>
      <c r="I9" s="9">
        <f>'[1]1.01'!I9+'[2]1.02'!I9</f>
        <v>45700.885780000026</v>
      </c>
      <c r="J9" s="9">
        <f>'[1]1.01'!J9+'[2]1.02'!J9</f>
        <v>1998.1855</v>
      </c>
      <c r="K9" s="9">
        <f>'[1]1.01'!K9+'[2]1.02'!K9</f>
        <v>47699.071280000026</v>
      </c>
      <c r="L9" s="9">
        <f>'[1]1.01'!L9+'[2]1.02'!L9</f>
        <v>411.75967215100002</v>
      </c>
      <c r="M9" s="9">
        <f>'[1]1.01'!M9+'[2]1.02'!M9</f>
        <v>53.474878789520005</v>
      </c>
      <c r="N9" s="9">
        <f>'[1]1.01'!N9+'[2]1.02'!N9</f>
        <v>2.0204476185</v>
      </c>
      <c r="O9" s="9">
        <f>'[1]1.01'!O9+'[2]1.02'!O9</f>
        <v>467.25499855902001</v>
      </c>
      <c r="P9" s="9">
        <f>'[1]1.01'!P9+'[2]1.02'!P9</f>
        <v>783.75986726900123</v>
      </c>
      <c r="Q9" s="10">
        <f t="shared" si="1"/>
        <v>59.61711208653265</v>
      </c>
    </row>
    <row r="10" spans="1:18" ht="30" customHeight="1" x14ac:dyDescent="0.25">
      <c r="A10" s="3">
        <v>44409</v>
      </c>
      <c r="B10" s="5">
        <f>'[1]1.01'!B10+'[2]1.02'!B10</f>
        <v>58101</v>
      </c>
      <c r="C10" s="5">
        <f>'[1]1.01'!C10+'[2]1.02'!C10</f>
        <v>98409.26999999999</v>
      </c>
      <c r="D10" s="5">
        <f>'[1]1.01'!D10+'[2]1.02'!D10</f>
        <v>54053.971600000004</v>
      </c>
      <c r="E10" s="5">
        <f>'[1]1.01'!E10+'[2]1.02'!E10</f>
        <v>6544056</v>
      </c>
      <c r="F10" s="5">
        <f>'[1]1.01'!F10+'[2]1.02'!F10</f>
        <v>6263.4567300000008</v>
      </c>
      <c r="G10" s="5">
        <f>'[1]1.01'!G10+'[2]1.02'!G10</f>
        <v>8700.6583300000002</v>
      </c>
      <c r="H10" s="6">
        <f t="shared" si="0"/>
        <v>71.988308153688877</v>
      </c>
      <c r="I10" s="5">
        <f>'[1]1.01'!I10+'[2]1.02'!I10</f>
        <v>50342.357870000014</v>
      </c>
      <c r="J10" s="5">
        <f>'[1]1.01'!J10+'[2]1.02'!J10</f>
        <v>2074.4864000000016</v>
      </c>
      <c r="K10" s="5">
        <f>'[1]1.01'!K10+'[2]1.02'!K10</f>
        <v>52416.844270000016</v>
      </c>
      <c r="L10" s="5">
        <f>'[1]1.01'!L10+'[2]1.02'!L10</f>
        <v>543.35986279999986</v>
      </c>
      <c r="M10" s="5">
        <f>'[1]1.01'!M10+'[2]1.02'!M10</f>
        <v>61.081972257400004</v>
      </c>
      <c r="N10" s="5">
        <f>'[1]1.01'!N10+'[2]1.02'!N10</f>
        <v>2.1018968538</v>
      </c>
      <c r="O10" s="5">
        <f>'[1]1.01'!O10+'[2]1.02'!O10</f>
        <v>606.54373191119987</v>
      </c>
      <c r="P10" s="5">
        <f>'[1]1.01'!P10+'[2]1.02'!P10</f>
        <v>963.32373754700006</v>
      </c>
      <c r="Q10" s="6">
        <f t="shared" si="1"/>
        <v>62.963644335776259</v>
      </c>
    </row>
    <row r="11" spans="1:18" ht="30" customHeight="1" x14ac:dyDescent="0.25">
      <c r="A11" s="8">
        <v>44440</v>
      </c>
      <c r="B11" s="9">
        <f>'[1]1.01'!B11+'[2]1.02'!B11</f>
        <v>61514</v>
      </c>
      <c r="C11" s="9">
        <f>'[1]1.01'!C11+'[2]1.02'!C11</f>
        <v>104485.03666666665</v>
      </c>
      <c r="D11" s="9">
        <f>'[1]1.01'!D11+'[2]1.02'!D11</f>
        <v>56781.245999999999</v>
      </c>
      <c r="E11" s="9">
        <f>'[1]1.01'!E11+'[2]1.02'!E11</f>
        <v>6891878</v>
      </c>
      <c r="F11" s="9">
        <f>'[1]1.01'!F11+'[2]1.02'!F11</f>
        <v>6577.7186359999996</v>
      </c>
      <c r="G11" s="9">
        <f>'[1]1.01'!G11+'[2]1.02'!G11</f>
        <v>9095.9160920000013</v>
      </c>
      <c r="H11" s="10">
        <f t="shared" si="0"/>
        <v>72.315076012906545</v>
      </c>
      <c r="I11" s="9">
        <f>'[1]1.01'!I11+'[2]1.02'!I11</f>
        <v>52296.967969999991</v>
      </c>
      <c r="J11" s="9">
        <f>'[1]1.01'!J11+'[2]1.02'!J11</f>
        <v>2075.3187140790697</v>
      </c>
      <c r="K11" s="9">
        <f>'[1]1.01'!K11+'[2]1.02'!K11</f>
        <v>54372.286684079059</v>
      </c>
      <c r="L11" s="9">
        <f>'[1]1.01'!L11+'[2]1.02'!L11</f>
        <v>570.01742229500007</v>
      </c>
      <c r="M11" s="9">
        <f>'[1]1.01'!M11+'[2]1.02'!M11</f>
        <v>62.791901711519998</v>
      </c>
      <c r="N11" s="9">
        <f>'[1]1.01'!N11+'[2]1.02'!N11</f>
        <v>2.2035228772930133</v>
      </c>
      <c r="O11" s="9">
        <f>'[1]1.01'!O11+'[2]1.02'!O11</f>
        <v>635.01284688381315</v>
      </c>
      <c r="P11" s="9">
        <f>'[1]1.01'!P11+'[2]1.02'!P11</f>
        <v>1006.0347094780001</v>
      </c>
      <c r="Q11" s="10">
        <f t="shared" si="1"/>
        <v>63.120371583730098</v>
      </c>
    </row>
    <row r="12" spans="1:18" ht="30" customHeight="1" x14ac:dyDescent="0.25">
      <c r="A12" s="3">
        <v>44470</v>
      </c>
      <c r="B12" s="5">
        <f>'[1]1.01'!B12+'[2]1.02'!B12</f>
        <v>72491</v>
      </c>
      <c r="C12" s="5">
        <f>'[1]1.01'!C12+'[2]1.02'!C12</f>
        <v>117610.84666666666</v>
      </c>
      <c r="D12" s="5">
        <f>'[1]1.01'!D12+'[2]1.02'!D12</f>
        <v>67690.728000000003</v>
      </c>
      <c r="E12" s="5">
        <f>'[1]1.01'!E12+'[2]1.02'!E12</f>
        <v>8784144</v>
      </c>
      <c r="F12" s="5">
        <f>'[1]1.01'!F12+'[2]1.02'!F12</f>
        <v>8513.9381040000007</v>
      </c>
      <c r="G12" s="5">
        <f>'[1]1.01'!G12+'[2]1.02'!G12</f>
        <v>11031.288355000001</v>
      </c>
      <c r="H12" s="6">
        <f t="shared" si="0"/>
        <v>77.179907097079962</v>
      </c>
      <c r="I12" s="5">
        <f>'[1]1.01'!I12+'[2]1.02'!I12</f>
        <v>56495.971900000004</v>
      </c>
      <c r="J12" s="5">
        <f>'[1]1.01'!J12+'[2]1.02'!J12</f>
        <v>1864.6443054042195</v>
      </c>
      <c r="K12" s="5">
        <f>'[1]1.01'!K12+'[2]1.02'!K12</f>
        <v>58360.616205404222</v>
      </c>
      <c r="L12" s="5">
        <f>'[1]1.01'!L12+'[2]1.02'!L12</f>
        <v>743.97710571699895</v>
      </c>
      <c r="M12" s="5">
        <f>'[1]1.01'!M12+'[2]1.02'!M12</f>
        <v>68.981995773400001</v>
      </c>
      <c r="N12" s="5">
        <f>'[1]1.01'!N12+'[2]1.02'!N12</f>
        <v>2.0472756835000001</v>
      </c>
      <c r="O12" s="5">
        <f>'[1]1.01'!O12+'[2]1.02'!O12</f>
        <v>815.00637717389895</v>
      </c>
      <c r="P12" s="5">
        <f>'[1]1.01'!P12+'[2]1.02'!P12</f>
        <v>1210.7354031240009</v>
      </c>
      <c r="Q12" s="6">
        <f t="shared" si="1"/>
        <v>67.314986831224914</v>
      </c>
    </row>
    <row r="13" spans="1:18" ht="30" customHeight="1" x14ac:dyDescent="0.25">
      <c r="A13" s="8">
        <v>44501</v>
      </c>
      <c r="B13" s="9">
        <f>'[1]1.01'!B13+'[2]1.02'!B13</f>
        <v>81620</v>
      </c>
      <c r="C13" s="9">
        <f>'[1]1.01'!C13+'[2]1.02'!C13</f>
        <v>133035.35999999999</v>
      </c>
      <c r="D13" s="9">
        <f>'[1]1.01'!D13+'[2]1.02'!D13</f>
        <v>76810.933000000005</v>
      </c>
      <c r="E13" s="9">
        <f>'[1]1.01'!E13+'[2]1.02'!E13</f>
        <v>10471234</v>
      </c>
      <c r="F13" s="9">
        <f>'[1]1.01'!F13+'[2]1.02'!F13</f>
        <v>10165.303980000001</v>
      </c>
      <c r="G13" s="9">
        <f>'[1]1.01'!G13+'[2]1.02'!G13</f>
        <v>12698.682191999998</v>
      </c>
      <c r="H13" s="10">
        <f t="shared" si="0"/>
        <v>80.050069970284071</v>
      </c>
      <c r="I13" s="9">
        <f>'[1]1.01'!I13+'[2]1.02'!I13</f>
        <v>49394.563470000008</v>
      </c>
      <c r="J13" s="9">
        <f>'[1]1.01'!J13+'[2]1.02'!J13</f>
        <v>2209.2863162819867</v>
      </c>
      <c r="K13" s="9">
        <f>'[1]1.01'!K13+'[2]1.02'!K13</f>
        <v>51603.849786281993</v>
      </c>
      <c r="L13" s="9">
        <f>'[1]1.01'!L13+'[2]1.02'!L13</f>
        <v>889.52027621499997</v>
      </c>
      <c r="M13" s="9">
        <f>'[1]1.01'!M13+'[2]1.02'!M13</f>
        <v>60.025807635699998</v>
      </c>
      <c r="N13" s="9">
        <f>'[1]1.01'!N13+'[2]1.02'!N13</f>
        <v>2.46544880911192</v>
      </c>
      <c r="O13" s="9">
        <f>'[1]1.01'!O13+'[2]1.02'!O13</f>
        <v>952.01153265981179</v>
      </c>
      <c r="P13" s="9">
        <f>'[1]1.01'!P13+'[2]1.02'!P13</f>
        <v>1624.8589444339971</v>
      </c>
      <c r="Q13" s="10">
        <f t="shared" si="1"/>
        <v>58.590410935112601</v>
      </c>
    </row>
    <row r="14" spans="1:18" ht="30" customHeight="1" x14ac:dyDescent="0.25">
      <c r="A14" s="3">
        <v>44531</v>
      </c>
      <c r="B14" s="5">
        <f>'[1]1.01'!B14+'[2]1.02'!B14</f>
        <v>87258</v>
      </c>
      <c r="C14" s="5">
        <f>'[1]1.01'!C14+'[2]1.02'!C14</f>
        <v>152340.79666666666</v>
      </c>
      <c r="D14" s="5">
        <f>'[1]1.01'!D14+'[2]1.02'!D14</f>
        <v>82148.040999999997</v>
      </c>
      <c r="E14" s="5">
        <f>'[1]1.01'!E14+'[2]1.02'!E14</f>
        <v>11156079</v>
      </c>
      <c r="F14" s="5">
        <f>'[1]1.01'!F14+'[2]1.02'!F14</f>
        <v>10816.546431999999</v>
      </c>
      <c r="G14" s="5">
        <f>'[1]1.01'!G14+'[2]1.02'!G14</f>
        <v>13602.345165000001</v>
      </c>
      <c r="H14" s="6">
        <f t="shared" si="0"/>
        <v>79.519717378087861</v>
      </c>
      <c r="I14" s="5">
        <f>'[1]1.01'!I14+'[2]1.02'!I14</f>
        <v>55523.45153999998</v>
      </c>
      <c r="J14" s="5">
        <f>'[1]1.01'!J14+'[2]1.02'!J14</f>
        <v>2398.5826647296408</v>
      </c>
      <c r="K14" s="5">
        <f>'[1]1.01'!K14+'[2]1.02'!K14</f>
        <v>57922.034204729622</v>
      </c>
      <c r="L14" s="5">
        <f>'[1]1.01'!L14+'[2]1.02'!L14</f>
        <v>943.98236730100098</v>
      </c>
      <c r="M14" s="5">
        <f>'[1]1.01'!M14+'[2]1.02'!M14</f>
        <v>67.329576805789998</v>
      </c>
      <c r="N14" s="5">
        <f>'[1]1.01'!N14+'[2]1.02'!N14</f>
        <v>2.640572513827935</v>
      </c>
      <c r="O14" s="5">
        <f>'[1]1.01'!O14+'[2]1.02'!O14</f>
        <v>1013.9525166206189</v>
      </c>
      <c r="P14" s="5">
        <f>'[1]1.01'!P14+'[2]1.02'!P14</f>
        <v>1485.8023581480011</v>
      </c>
      <c r="Q14" s="6">
        <f t="shared" si="1"/>
        <v>68.242758605153526</v>
      </c>
    </row>
    <row r="15" spans="1:18" ht="30" customHeight="1" x14ac:dyDescent="0.25">
      <c r="A15" s="8">
        <v>44562</v>
      </c>
      <c r="B15" s="9">
        <f>'[1]1.01'!B15+'[2]1.02'!B15</f>
        <v>63541</v>
      </c>
      <c r="C15" s="9">
        <f>'[1]1.01'!C15+'[2]1.02'!C15</f>
        <v>107344.69000000002</v>
      </c>
      <c r="D15" s="9">
        <f>'[1]1.01'!D15+'[2]1.02'!D15</f>
        <v>59516.356999999996</v>
      </c>
      <c r="E15" s="9">
        <f>'[1]1.01'!E15+'[2]1.02'!E15</f>
        <v>6410579</v>
      </c>
      <c r="F15" s="9">
        <f>'[1]1.01'!F15+'[2]1.02'!F15</f>
        <v>6257.0324269999992</v>
      </c>
      <c r="G15" s="9">
        <f>'[1]1.01'!G15+'[2]1.02'!G15</f>
        <v>9572.2302550000004</v>
      </c>
      <c r="H15" s="10">
        <f t="shared" si="0"/>
        <v>65.366505613795425</v>
      </c>
      <c r="I15" s="9">
        <f>'[1]1.01'!I15+'[2]1.02'!I15</f>
        <v>47907.634649999993</v>
      </c>
      <c r="J15" s="9">
        <f>'[1]1.01'!J15+'[2]1.02'!J15</f>
        <v>2397.9060938220136</v>
      </c>
      <c r="K15" s="9">
        <f>'[1]1.01'!K15+'[2]1.02'!K15</f>
        <v>50305.540743822006</v>
      </c>
      <c r="L15" s="9">
        <f>'[1]1.01'!L15+'[2]1.02'!L15</f>
        <v>542.29578435199983</v>
      </c>
      <c r="M15" s="9">
        <f>'[1]1.01'!M15+'[2]1.02'!M15</f>
        <v>56.757278032479981</v>
      </c>
      <c r="N15" s="9">
        <f>'[1]1.01'!N15+'[2]1.02'!N15</f>
        <v>2.5485427484574634</v>
      </c>
      <c r="O15" s="9">
        <f>'[1]1.01'!O15+'[2]1.02'!O15</f>
        <v>601.60160513293727</v>
      </c>
      <c r="P15" s="9">
        <f>'[1]1.01'!P15+'[2]1.02'!P15</f>
        <v>1049.350859484</v>
      </c>
      <c r="Q15" s="10">
        <f t="shared" si="1"/>
        <v>57.330834553160258</v>
      </c>
    </row>
    <row r="16" spans="1:18" ht="30" customHeight="1" x14ac:dyDescent="0.25">
      <c r="A16" s="3">
        <v>44593</v>
      </c>
      <c r="B16" s="5">
        <f>'[1]1.01'!B16+'[2]1.02'!B16</f>
        <v>57220</v>
      </c>
      <c r="C16" s="5">
        <f>'[1]1.01'!C16+'[2]1.02'!C16</f>
        <v>97246.116666666669</v>
      </c>
      <c r="D16" s="5">
        <f>'[1]1.01'!D16+'[2]1.02'!D16</f>
        <v>54491.058999999994</v>
      </c>
      <c r="E16" s="5">
        <f>'[1]1.01'!E16+'[2]1.02'!E16</f>
        <v>7695734</v>
      </c>
      <c r="F16" s="5">
        <f>'[1]1.01'!F16+'[2]1.02'!F16</f>
        <v>7477.779790999999</v>
      </c>
      <c r="G16" s="5">
        <f>'[1]1.01'!G16+'[2]1.02'!G16</f>
        <v>8762.4071960000001</v>
      </c>
      <c r="H16" s="6">
        <f t="shared" si="0"/>
        <v>85.339332260358461</v>
      </c>
      <c r="I16" s="5">
        <f>'[1]1.01'!I16+'[2]1.02'!I16</f>
        <v>46893.902950000003</v>
      </c>
      <c r="J16" s="5">
        <f>'[1]1.01'!J16+'[2]1.02'!J16</f>
        <v>2250.6851313144221</v>
      </c>
      <c r="K16" s="5">
        <f>'[1]1.01'!K16+'[2]1.02'!K16</f>
        <v>49144.588081314425</v>
      </c>
      <c r="L16" s="5">
        <f>'[1]1.01'!L16+'[2]1.02'!L16</f>
        <v>655.34683947100018</v>
      </c>
      <c r="M16" s="5">
        <f>'[1]1.01'!M16+'[2]1.02'!M16</f>
        <v>56.297004191900001</v>
      </c>
      <c r="N16" s="5">
        <f>'[1]1.01'!N16+'[2]1.02'!N16</f>
        <v>2.4850085545702854</v>
      </c>
      <c r="O16" s="5">
        <f>'[1]1.01'!O16+'[2]1.02'!O16</f>
        <v>714.12885221747047</v>
      </c>
      <c r="P16" s="5">
        <f>'[1]1.01'!P16+'[2]1.02'!P16</f>
        <v>962.19742468199922</v>
      </c>
      <c r="Q16" s="6">
        <f t="shared" si="1"/>
        <v>74.218537058908268</v>
      </c>
    </row>
    <row r="17" spans="1:17" ht="30" customHeight="1" x14ac:dyDescent="0.25">
      <c r="A17" s="8">
        <v>44621</v>
      </c>
      <c r="B17" s="9">
        <f>'[1]1.01'!B17+'[2]1.02'!B17</f>
        <v>81704</v>
      </c>
      <c r="C17" s="9">
        <v>140848.64666666664</v>
      </c>
      <c r="D17" s="9">
        <f>'[1]1.01'!D17+'[2]1.02'!D17</f>
        <v>79264.233999999982</v>
      </c>
      <c r="E17" s="9">
        <f>'[1]1.01'!E17+'[2]1.02'!E17</f>
        <v>10734013</v>
      </c>
      <c r="F17" s="9">
        <f>'[1]1.01'!F17+'[2]1.02'!F17</f>
        <v>10590.225505999999</v>
      </c>
      <c r="G17" s="9">
        <f>'[1]1.01'!G17+'[2]1.02'!G17</f>
        <v>12875.450655999999</v>
      </c>
      <c r="H17" s="10">
        <f t="shared" si="0"/>
        <v>82.251299693847386</v>
      </c>
      <c r="I17" s="9">
        <f>'[1]1.01'!I17+'[2]1.02'!I17</f>
        <v>55710.251360000002</v>
      </c>
      <c r="J17" s="9">
        <f>'[1]1.01'!J17+'[2]1.02'!J17</f>
        <v>2508.0360313487777</v>
      </c>
      <c r="K17" s="9">
        <f>'[1]1.01'!K17+'[2]1.02'!K17</f>
        <v>58218.287391348778</v>
      </c>
      <c r="L17" s="9">
        <f>'[1]1.01'!L17+'[2]1.02'!L17</f>
        <v>928.23135306599909</v>
      </c>
      <c r="M17" s="9">
        <f>'[1]1.01'!M17+'[2]1.02'!M17</f>
        <v>69.113229489379989</v>
      </c>
      <c r="N17" s="9">
        <f>'[1]1.01'!N17+'[2]1.02'!N17</f>
        <v>2.7980323428057527</v>
      </c>
      <c r="O17" s="9">
        <f>'[1]1.01'!O17+'[2]1.02'!O17</f>
        <v>1000.1426148981849</v>
      </c>
      <c r="P17" s="9">
        <f>'[1]1.01'!P17+'[2]1.02'!P17</f>
        <v>1418.167483231</v>
      </c>
      <c r="Q17" s="10">
        <f t="shared" si="1"/>
        <v>70.523589542440206</v>
      </c>
    </row>
    <row r="18" spans="1:17" ht="30" customHeight="1" x14ac:dyDescent="0.25">
      <c r="A18" s="4" t="s">
        <v>24</v>
      </c>
      <c r="B18" s="11">
        <f>SUM(B6:B17)</f>
        <v>730526</v>
      </c>
      <c r="C18" s="11">
        <f t="shared" ref="C18:G18" si="2">SUM(C6:C17)</f>
        <v>1238803.8863333333</v>
      </c>
      <c r="D18" s="11">
        <f t="shared" si="2"/>
        <v>690185.03689999995</v>
      </c>
      <c r="E18" s="11">
        <f t="shared" si="2"/>
        <v>84298830</v>
      </c>
      <c r="F18" s="11">
        <f t="shared" si="2"/>
        <v>82064.735052000004</v>
      </c>
      <c r="G18" s="11">
        <f t="shared" si="2"/>
        <v>111804.23415</v>
      </c>
      <c r="H18" s="4">
        <f>F18/G18*100</f>
        <v>73.400382083830053</v>
      </c>
      <c r="I18" s="11">
        <f>SUM(I6:I17)</f>
        <v>581619.26256000006</v>
      </c>
      <c r="J18" s="11">
        <f t="shared" ref="J18:P18" si="3">SUM(J6:J17)</f>
        <v>24549.987406980134</v>
      </c>
      <c r="K18" s="11">
        <f t="shared" si="3"/>
        <v>606169.24996698007</v>
      </c>
      <c r="L18" s="11">
        <f t="shared" si="3"/>
        <v>7161.9104496669988</v>
      </c>
      <c r="M18" s="11">
        <f t="shared" si="3"/>
        <v>695.44608754670003</v>
      </c>
      <c r="N18" s="11">
        <f t="shared" si="3"/>
        <v>25.935009247016367</v>
      </c>
      <c r="O18" s="11">
        <f t="shared" si="3"/>
        <v>7883.291546460714</v>
      </c>
      <c r="P18" s="11">
        <f t="shared" si="3"/>
        <v>12476.913367588</v>
      </c>
      <c r="Q18" s="12">
        <f>O18/P18*100</f>
        <v>63.183027037276673</v>
      </c>
    </row>
    <row r="19" spans="1:17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7.75" customHeight="1" x14ac:dyDescent="0.25">
      <c r="A20" s="13" t="s">
        <v>22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2020-06-11T07:28:47Z</cp:lastPrinted>
  <dcterms:created xsi:type="dcterms:W3CDTF">2018-10-29T04:00:10Z</dcterms:created>
  <dcterms:modified xsi:type="dcterms:W3CDTF">2022-11-17T04:53:02Z</dcterms:modified>
</cp:coreProperties>
</file>