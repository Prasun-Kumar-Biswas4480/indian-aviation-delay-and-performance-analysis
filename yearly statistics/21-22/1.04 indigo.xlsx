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10875" windowHeight="9495"/>
  </bookViews>
  <sheets>
    <sheet name="INDIGO" sheetId="11" r:id="rId1"/>
  </sheets>
  <definedNames>
    <definedName name="_xlnm._FilterDatabase" localSheetId="0" hidden="1">INDIGO!$A$6:$Q$40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1" l="1"/>
  <c r="C35" i="11"/>
  <c r="D35" i="11"/>
  <c r="E35" i="11"/>
  <c r="F35" i="11"/>
  <c r="G35" i="11"/>
  <c r="I35" i="11"/>
  <c r="K35" i="11"/>
  <c r="L35" i="11"/>
  <c r="M35" i="11"/>
  <c r="O35" i="11"/>
  <c r="P35" i="11"/>
  <c r="B35" i="11"/>
  <c r="C32" i="11"/>
  <c r="D32" i="11"/>
  <c r="E32" i="11"/>
  <c r="F32" i="11"/>
  <c r="G32" i="11"/>
  <c r="I32" i="11"/>
  <c r="K32" i="11"/>
  <c r="L32" i="11"/>
  <c r="M32" i="11"/>
  <c r="O32" i="11"/>
  <c r="P32" i="11"/>
  <c r="B32" i="11"/>
  <c r="C29" i="11"/>
  <c r="D29" i="11"/>
  <c r="E29" i="11"/>
  <c r="F29" i="11"/>
  <c r="G29" i="11"/>
  <c r="I29" i="11"/>
  <c r="K29" i="11"/>
  <c r="L29" i="11"/>
  <c r="M29" i="11"/>
  <c r="O29" i="11"/>
  <c r="P29" i="11"/>
  <c r="B29" i="11"/>
  <c r="C26" i="11"/>
  <c r="D26" i="11"/>
  <c r="E26" i="11"/>
  <c r="F26" i="11"/>
  <c r="G26" i="11"/>
  <c r="I26" i="11"/>
  <c r="K26" i="11"/>
  <c r="L26" i="11"/>
  <c r="M26" i="11"/>
  <c r="O26" i="11"/>
  <c r="P26" i="11"/>
  <c r="B26" i="11"/>
  <c r="C23" i="11"/>
  <c r="D23" i="11"/>
  <c r="E23" i="11"/>
  <c r="F23" i="11"/>
  <c r="G23" i="11"/>
  <c r="I23" i="11"/>
  <c r="K23" i="11"/>
  <c r="L23" i="11"/>
  <c r="M23" i="11"/>
  <c r="O23" i="11"/>
  <c r="P23" i="11"/>
  <c r="B23" i="11"/>
  <c r="C20" i="11"/>
  <c r="D20" i="11"/>
  <c r="E20" i="11"/>
  <c r="F20" i="11"/>
  <c r="G20" i="11"/>
  <c r="I20" i="11"/>
  <c r="K20" i="11"/>
  <c r="L20" i="11"/>
  <c r="M20" i="11"/>
  <c r="O20" i="11"/>
  <c r="P20" i="11"/>
  <c r="B20" i="11"/>
  <c r="C17" i="11"/>
  <c r="D17" i="11"/>
  <c r="E17" i="11"/>
  <c r="F17" i="11"/>
  <c r="G17" i="11"/>
  <c r="I17" i="11"/>
  <c r="K17" i="11"/>
  <c r="L17" i="11"/>
  <c r="M17" i="11"/>
  <c r="O17" i="11"/>
  <c r="P17" i="11"/>
  <c r="B17" i="11"/>
  <c r="C14" i="11"/>
  <c r="D14" i="11"/>
  <c r="E14" i="11"/>
  <c r="F14" i="11"/>
  <c r="G14" i="11"/>
  <c r="I14" i="11"/>
  <c r="K14" i="11"/>
  <c r="L14" i="11"/>
  <c r="M14" i="11"/>
  <c r="O14" i="11"/>
  <c r="P14" i="11"/>
  <c r="B14" i="11"/>
  <c r="B11" i="11"/>
  <c r="C11" i="11"/>
  <c r="D11" i="11"/>
  <c r="E11" i="11"/>
  <c r="F11" i="11"/>
  <c r="G11" i="11"/>
  <c r="I11" i="11"/>
  <c r="K11" i="11"/>
  <c r="L11" i="11"/>
  <c r="M11" i="11"/>
  <c r="O11" i="11"/>
  <c r="P11" i="11"/>
  <c r="B10" i="11"/>
  <c r="G10" i="11" l="1"/>
  <c r="I37" i="11"/>
  <c r="B37" i="11"/>
  <c r="H36" i="11"/>
  <c r="O36" i="11"/>
  <c r="Q36" i="11" s="1"/>
  <c r="K36" i="11"/>
  <c r="P38" i="11" l="1"/>
  <c r="O38" i="11"/>
  <c r="M38" i="11"/>
  <c r="L38" i="11"/>
  <c r="K38" i="11"/>
  <c r="I38" i="11"/>
  <c r="G38" i="11"/>
  <c r="F38" i="11"/>
  <c r="E38" i="11"/>
  <c r="D38" i="11"/>
  <c r="C38" i="11"/>
  <c r="Q37" i="11"/>
  <c r="P37" i="11"/>
  <c r="O37" i="11"/>
  <c r="N37" i="11"/>
  <c r="M37" i="11"/>
  <c r="L37" i="11"/>
  <c r="K37" i="11"/>
  <c r="J37" i="11"/>
  <c r="H37" i="11"/>
  <c r="G37" i="11"/>
  <c r="F37" i="11"/>
  <c r="E37" i="11"/>
  <c r="D37" i="11"/>
  <c r="C37" i="11"/>
  <c r="P34" i="11" l="1"/>
  <c r="O34" i="11"/>
  <c r="N34" i="11"/>
  <c r="M34" i="11"/>
  <c r="L34" i="11"/>
  <c r="K34" i="11"/>
  <c r="J34" i="11"/>
  <c r="I34" i="11"/>
  <c r="G34" i="11"/>
  <c r="F34" i="11"/>
  <c r="E34" i="11"/>
  <c r="D34" i="11"/>
  <c r="C34" i="11"/>
  <c r="B34" i="11"/>
  <c r="P31" i="11"/>
  <c r="O31" i="11"/>
  <c r="N31" i="11"/>
  <c r="M31" i="11"/>
  <c r="L31" i="11"/>
  <c r="K31" i="11"/>
  <c r="J31" i="11"/>
  <c r="I31" i="11"/>
  <c r="G31" i="11"/>
  <c r="F31" i="11"/>
  <c r="E31" i="11"/>
  <c r="D31" i="11"/>
  <c r="C31" i="11"/>
  <c r="B31" i="11"/>
  <c r="P28" i="11"/>
  <c r="O28" i="11"/>
  <c r="N28" i="11"/>
  <c r="M28" i="11"/>
  <c r="L28" i="11"/>
  <c r="K28" i="11"/>
  <c r="J28" i="11"/>
  <c r="I28" i="11"/>
  <c r="G28" i="11"/>
  <c r="F28" i="11"/>
  <c r="E28" i="11"/>
  <c r="D28" i="11"/>
  <c r="C28" i="11"/>
  <c r="B28" i="11"/>
  <c r="P25" i="11"/>
  <c r="O25" i="11"/>
  <c r="N25" i="11"/>
  <c r="M25" i="11"/>
  <c r="L25" i="11"/>
  <c r="K25" i="11"/>
  <c r="J25" i="11"/>
  <c r="I25" i="11"/>
  <c r="G25" i="11"/>
  <c r="F25" i="11"/>
  <c r="E25" i="11"/>
  <c r="D25" i="11"/>
  <c r="C25" i="11"/>
  <c r="B25" i="11"/>
  <c r="P22" i="11"/>
  <c r="O22" i="11"/>
  <c r="N22" i="11"/>
  <c r="M22" i="11"/>
  <c r="L22" i="11"/>
  <c r="K22" i="11"/>
  <c r="I22" i="11"/>
  <c r="G22" i="11"/>
  <c r="F22" i="11"/>
  <c r="E22" i="11"/>
  <c r="D22" i="11"/>
  <c r="C22" i="11"/>
  <c r="B22" i="11"/>
  <c r="P19" i="11"/>
  <c r="O19" i="11"/>
  <c r="M19" i="11"/>
  <c r="L19" i="11"/>
  <c r="K19" i="11"/>
  <c r="I19" i="11"/>
  <c r="G19" i="11"/>
  <c r="F19" i="11"/>
  <c r="E19" i="11"/>
  <c r="D19" i="11"/>
  <c r="C19" i="11"/>
  <c r="B19" i="11"/>
  <c r="P16" i="11"/>
  <c r="O16" i="11"/>
  <c r="M16" i="11"/>
  <c r="L16" i="11"/>
  <c r="K16" i="11"/>
  <c r="I16" i="11"/>
  <c r="G16" i="11"/>
  <c r="F16" i="11"/>
  <c r="E16" i="11"/>
  <c r="D16" i="11"/>
  <c r="C16" i="11"/>
  <c r="B16" i="11"/>
  <c r="P13" i="11"/>
  <c r="O13" i="11"/>
  <c r="M13" i="11"/>
  <c r="L13" i="11"/>
  <c r="K13" i="11"/>
  <c r="I13" i="11"/>
  <c r="G13" i="11"/>
  <c r="F13" i="11"/>
  <c r="E13" i="11"/>
  <c r="D13" i="11"/>
  <c r="C13" i="11"/>
  <c r="B13" i="11"/>
  <c r="P10" i="11"/>
  <c r="O10" i="11"/>
  <c r="M10" i="11"/>
  <c r="L10" i="11"/>
  <c r="K10" i="11"/>
  <c r="I10" i="11"/>
  <c r="F10" i="11"/>
  <c r="E10" i="11"/>
  <c r="D10" i="11"/>
  <c r="C10" i="11"/>
  <c r="Q30" i="11" l="1"/>
  <c r="Q32" i="11" s="1"/>
  <c r="Q27" i="11"/>
  <c r="Q29" i="11" s="1"/>
  <c r="Q24" i="11"/>
  <c r="Q26" i="11" s="1"/>
  <c r="Q21" i="11"/>
  <c r="Q23" i="11" s="1"/>
  <c r="Q18" i="11"/>
  <c r="Q15" i="11"/>
  <c r="Q12" i="11"/>
  <c r="Q9" i="11"/>
  <c r="Q6" i="11"/>
  <c r="H30" i="11"/>
  <c r="H32" i="11" s="1"/>
  <c r="H27" i="11"/>
  <c r="H29" i="11" s="1"/>
  <c r="H24" i="11"/>
  <c r="H26" i="11" s="1"/>
  <c r="H21" i="11"/>
  <c r="H23" i="11" s="1"/>
  <c r="H18" i="11"/>
  <c r="H20" i="11" s="1"/>
  <c r="H15" i="11"/>
  <c r="H17" i="11" s="1"/>
  <c r="H12" i="11"/>
  <c r="H14" i="11" s="1"/>
  <c r="H9" i="11"/>
  <c r="H6" i="11"/>
  <c r="Q14" i="11" l="1"/>
  <c r="Q38" i="11"/>
  <c r="Q35" i="11"/>
  <c r="H38" i="11"/>
  <c r="H35" i="11"/>
  <c r="Q17" i="11"/>
  <c r="Q20" i="11"/>
  <c r="Q11" i="11"/>
  <c r="H11" i="11"/>
  <c r="H16" i="11"/>
  <c r="Q25" i="11"/>
  <c r="Q10" i="11"/>
  <c r="Q13" i="11"/>
  <c r="Q16" i="11"/>
  <c r="Q19" i="11"/>
  <c r="Q28" i="11"/>
  <c r="H19" i="11"/>
  <c r="H22" i="11"/>
  <c r="H25" i="11"/>
  <c r="H28" i="11"/>
  <c r="Q22" i="11"/>
  <c r="H34" i="11"/>
  <c r="H31" i="11"/>
  <c r="H10" i="11"/>
  <c r="H13" i="11"/>
  <c r="Q31" i="11"/>
  <c r="Q34" i="11"/>
</calcChain>
</file>

<file path=xl/sharedStrings.xml><?xml version="1.0" encoding="utf-8"?>
<sst xmlns="http://schemas.openxmlformats.org/spreadsheetml/2006/main" count="102" uniqueCount="39">
  <si>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</si>
  <si>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</si>
  <si>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</si>
  <si>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</si>
  <si>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</si>
  <si>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</si>
  <si>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</si>
  <si>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</si>
  <si>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</si>
  <si>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</si>
  <si>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</si>
  <si>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</si>
  <si>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</si>
  <si>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</si>
  <si>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</si>
  <si>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</si>
  <si>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</si>
  <si>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</si>
  <si>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</si>
  <si>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</si>
  <si>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</si>
  <si>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</si>
  <si>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</si>
  <si>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</si>
  <si>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</si>
  <si>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</si>
  <si>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</si>
  <si>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</si>
  <si>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</si>
  <si>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</si>
  <si>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</si>
  <si>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</si>
  <si>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(इंडिगो) </t>
  </si>
  <si>
    <t>TABLE - 1.04 (INDIGO)</t>
  </si>
  <si>
    <t>SOURCE: ICAO ATR FORM 'A' FURNISHED BY INDIGO</t>
  </si>
  <si>
    <t>2019-20</t>
  </si>
  <si>
    <t xml:space="preserve">YEAR ON YEAR GROWTH AND CAGR FOR LAST TEN YEARS OF INDIGO ON SCHEDULED DOMESTIC SERVICES (ALL AIR TRAFFIC AND OPERATING STATISTICS) 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</si>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</sst>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8" fillId="7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9" fillId="8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165" fontId="5" fillId="3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zoomScale="60" zoomScaleNormal="100" workbookViewId="0">
      <selection activeCell="A37" sqref="A37"/>
    </sheetView>
  </sheetViews>
  <sheetFormatPr defaultRowHeight="15" x14ac:dyDescent="0.25"/>
  <cols>
    <col min="1" max="1" width="8.42578125" customWidth="1"/>
    <col min="2" max="2" width="9.7109375" customWidth="1"/>
    <col min="3" max="3" width="8.5703125" customWidth="1"/>
    <col min="4" max="4" width="9.42578125" customWidth="1"/>
    <col min="5" max="6" width="10.5703125" customWidth="1"/>
    <col min="7" max="7" width="14.28515625" customWidth="1"/>
    <col min="8" max="8" width="8" customWidth="1"/>
    <col min="9" max="9" width="10" customWidth="1"/>
    <col min="10" max="10" width="10.140625" customWidth="1"/>
    <col min="11" max="11" width="9.85546875" customWidth="1"/>
    <col min="12" max="12" width="7.42578125" customWidth="1"/>
    <col min="13" max="13" width="7" customWidth="1"/>
    <col min="14" max="14" width="6.5703125" customWidth="1"/>
    <col min="15" max="15" width="7.85546875" customWidth="1"/>
    <col min="16" max="16" width="7.42578125" customWidth="1"/>
    <col min="17" max="17" width="8" customWidth="1"/>
  </cols>
  <sheetData>
    <row r="1" spans="1:17" x14ac:dyDescent="0.25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0" customHeight="1" x14ac:dyDescent="0.25">
      <c r="A3" s="24" t="s">
        <v>36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6.6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19.25" customHeight="1" x14ac:dyDescent="0.25">
      <c r="A5" s="24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8"/>
      <c r="H5" s="18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8"/>
      <c r="Q5" s="18"/>
    </row>
    <row r="6" spans="1:17" ht="17.100000000000001" customHeight="1" x14ac:dyDescent="0.25">
      <c r="A6" s="7" t="s">
        <v>19</v>
      </c>
      <c r="B6" s="10">
        <v>70217</v>
      </c>
      <c r="C6" s="10">
        <v>125551.67</v>
      </c>
      <c r="D6" s="10">
        <v>69424</v>
      </c>
      <c r="E6" s="10">
        <v>9466897</v>
      </c>
      <c r="F6" s="10">
        <v>10633.906999999999</v>
      </c>
      <c r="G6" s="10">
        <v>12491.392</v>
      </c>
      <c r="H6" s="8">
        <f t="shared" ref="H6:H30" si="0">F6/G6*100</f>
        <v>85.129879840453327</v>
      </c>
      <c r="I6" s="11">
        <v>77793</v>
      </c>
      <c r="J6" s="11">
        <v>0</v>
      </c>
      <c r="K6" s="11">
        <v>77793</v>
      </c>
      <c r="L6" s="11">
        <v>954.47</v>
      </c>
      <c r="M6" s="11">
        <v>84.308999999999997</v>
      </c>
      <c r="N6" s="11">
        <v>0</v>
      </c>
      <c r="O6" s="11">
        <v>1038.779</v>
      </c>
      <c r="P6" s="11">
        <v>1263.5060000000001</v>
      </c>
      <c r="Q6" s="8">
        <f t="shared" ref="Q6:Q30" si="1">O6/P6*100</f>
        <v>82.214014021302631</v>
      </c>
    </row>
    <row r="7" spans="1:17" ht="17.100000000000001" customHeight="1" x14ac:dyDescent="0.25">
      <c r="A7" s="1" t="s">
        <v>30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29</v>
      </c>
    </row>
    <row r="8" spans="1:17" ht="17.100000000000001" customHeight="1" x14ac:dyDescent="0.25">
      <c r="A8" s="2" t="s">
        <v>28</v>
      </c>
      <c r="B8" s="6" t="s">
        <v>29</v>
      </c>
      <c r="C8" s="6" t="s">
        <v>29</v>
      </c>
      <c r="D8" s="6" t="s">
        <v>29</v>
      </c>
      <c r="E8" s="6" t="s">
        <v>29</v>
      </c>
      <c r="F8" s="6" t="s">
        <v>29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29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29</v>
      </c>
      <c r="Q8" s="6" t="s">
        <v>29</v>
      </c>
    </row>
    <row r="9" spans="1:17" ht="17.100000000000001" customHeight="1" x14ac:dyDescent="0.25">
      <c r="A9" s="7" t="s">
        <v>20</v>
      </c>
      <c r="B9" s="10">
        <v>95594</v>
      </c>
      <c r="C9" s="10">
        <v>167785.74000000002</v>
      </c>
      <c r="D9" s="10">
        <v>92581</v>
      </c>
      <c r="E9" s="10">
        <v>12336876</v>
      </c>
      <c r="F9" s="10">
        <v>13719.424000000001</v>
      </c>
      <c r="G9" s="10">
        <v>16660.874</v>
      </c>
      <c r="H9" s="8">
        <f t="shared" si="0"/>
        <v>82.345163885159934</v>
      </c>
      <c r="I9" s="11">
        <v>74564</v>
      </c>
      <c r="J9" s="11">
        <v>0</v>
      </c>
      <c r="K9" s="11">
        <v>74564</v>
      </c>
      <c r="L9" s="11">
        <v>1229.5840000000001</v>
      </c>
      <c r="M9" s="11">
        <v>79.697000000000003</v>
      </c>
      <c r="N9" s="11">
        <v>0</v>
      </c>
      <c r="O9" s="11">
        <v>1309.2809999999999</v>
      </c>
      <c r="P9" s="11">
        <v>1684.9949999999999</v>
      </c>
      <c r="Q9" s="8">
        <f t="shared" si="1"/>
        <v>77.702367069338479</v>
      </c>
    </row>
    <row r="10" spans="1:17" ht="17.100000000000001" customHeight="1" x14ac:dyDescent="0.25">
      <c r="A10" s="1" t="s">
        <v>30</v>
      </c>
      <c r="B10" s="5">
        <f>(B9-B6)/B6</f>
        <v>0.3614082059900024</v>
      </c>
      <c r="C10" s="5">
        <f t="shared" ref="C10:Q10" si="2">(C9-C6)/C6</f>
        <v>0.336387958837983</v>
      </c>
      <c r="D10" s="5">
        <f t="shared" si="2"/>
        <v>0.33355899976953213</v>
      </c>
      <c r="E10" s="5">
        <f t="shared" si="2"/>
        <v>0.30315941960707926</v>
      </c>
      <c r="F10" s="5">
        <f t="shared" si="2"/>
        <v>0.29015835854122118</v>
      </c>
      <c r="G10" s="5">
        <f>(G9-G6)/G6</f>
        <v>0.33378842005758846</v>
      </c>
      <c r="H10" s="5">
        <f t="shared" si="2"/>
        <v>-3.2711381250770999E-2</v>
      </c>
      <c r="I10" s="5">
        <f t="shared" si="2"/>
        <v>-4.1507590657257079E-2</v>
      </c>
      <c r="J10" s="13" t="s">
        <v>29</v>
      </c>
      <c r="K10" s="5">
        <f t="shared" si="2"/>
        <v>-4.1507590657257079E-2</v>
      </c>
      <c r="L10" s="5">
        <f t="shared" si="2"/>
        <v>0.28823745115090055</v>
      </c>
      <c r="M10" s="5">
        <f t="shared" si="2"/>
        <v>-5.470353105836856E-2</v>
      </c>
      <c r="N10" s="13" t="s">
        <v>29</v>
      </c>
      <c r="O10" s="5">
        <f t="shared" si="2"/>
        <v>0.26040380100098282</v>
      </c>
      <c r="P10" s="5">
        <f t="shared" si="2"/>
        <v>0.33358686068764198</v>
      </c>
      <c r="Q10" s="5">
        <f t="shared" si="2"/>
        <v>-5.4876860176114636E-2</v>
      </c>
    </row>
    <row r="11" spans="1:17" ht="17.100000000000001" customHeight="1" x14ac:dyDescent="0.25">
      <c r="A11" s="2" t="s">
        <v>28</v>
      </c>
      <c r="B11" s="3">
        <f>(((B9/B6)^(1/1))-1)</f>
        <v>0.36140820599000234</v>
      </c>
      <c r="C11" s="3">
        <f t="shared" ref="C11:Q11" si="3">(((C9/C6)^(1/1))-1)</f>
        <v>0.336387958837983</v>
      </c>
      <c r="D11" s="3">
        <f t="shared" si="3"/>
        <v>0.33355899976953207</v>
      </c>
      <c r="E11" s="3">
        <f t="shared" si="3"/>
        <v>0.30315941960707926</v>
      </c>
      <c r="F11" s="3">
        <f t="shared" si="3"/>
        <v>0.2901583585412213</v>
      </c>
      <c r="G11" s="3">
        <f t="shared" si="3"/>
        <v>0.33378842005758846</v>
      </c>
      <c r="H11" s="3">
        <f t="shared" si="3"/>
        <v>-3.2711381250770999E-2</v>
      </c>
      <c r="I11" s="3">
        <f t="shared" si="3"/>
        <v>-4.1507590657257065E-2</v>
      </c>
      <c r="J11" s="3"/>
      <c r="K11" s="3">
        <f t="shared" si="3"/>
        <v>-4.1507590657257065E-2</v>
      </c>
      <c r="L11" s="3">
        <f t="shared" si="3"/>
        <v>0.28823745115090049</v>
      </c>
      <c r="M11" s="3">
        <f t="shared" si="3"/>
        <v>-5.470353105836856E-2</v>
      </c>
      <c r="N11" s="3"/>
      <c r="O11" s="3">
        <f t="shared" si="3"/>
        <v>0.26040380100098282</v>
      </c>
      <c r="P11" s="3">
        <f t="shared" si="3"/>
        <v>0.33358686068764198</v>
      </c>
      <c r="Q11" s="3">
        <f t="shared" si="3"/>
        <v>-5.4876860176114595E-2</v>
      </c>
    </row>
    <row r="12" spans="1:17" ht="17.100000000000001" customHeight="1" x14ac:dyDescent="0.25">
      <c r="A12" s="7" t="s">
        <v>21</v>
      </c>
      <c r="B12" s="10">
        <v>123222</v>
      </c>
      <c r="C12" s="10">
        <v>214824.62</v>
      </c>
      <c r="D12" s="10">
        <v>118127</v>
      </c>
      <c r="E12" s="10">
        <v>15685848</v>
      </c>
      <c r="F12" s="10">
        <v>17175.834999999999</v>
      </c>
      <c r="G12" s="10">
        <v>21262.816999999999</v>
      </c>
      <c r="H12" s="8">
        <f t="shared" si="0"/>
        <v>80.778736890789219</v>
      </c>
      <c r="I12" s="11">
        <v>74564</v>
      </c>
      <c r="J12" s="11">
        <v>0</v>
      </c>
      <c r="K12" s="11">
        <v>74564</v>
      </c>
      <c r="L12" s="11">
        <v>1537.8610000000001</v>
      </c>
      <c r="M12" s="11">
        <v>98.066000000000003</v>
      </c>
      <c r="N12" s="11">
        <v>0</v>
      </c>
      <c r="O12" s="11">
        <v>1635.9269999999999</v>
      </c>
      <c r="P12" s="11">
        <v>2149.904</v>
      </c>
      <c r="Q12" s="8">
        <f t="shared" si="1"/>
        <v>76.093025549047766</v>
      </c>
    </row>
    <row r="13" spans="1:17" ht="17.100000000000001" customHeight="1" x14ac:dyDescent="0.25">
      <c r="A13" s="1" t="s">
        <v>30</v>
      </c>
      <c r="B13" s="5">
        <f>(B12-B9)/B9</f>
        <v>0.28901395485072284</v>
      </c>
      <c r="C13" s="5">
        <f t="shared" ref="C13:Q13" si="4">(C12-C9)/C9</f>
        <v>0.28035088083170817</v>
      </c>
      <c r="D13" s="5">
        <f t="shared" si="4"/>
        <v>0.2759313466045949</v>
      </c>
      <c r="E13" s="5">
        <f t="shared" si="4"/>
        <v>0.271460295134684</v>
      </c>
      <c r="F13" s="5">
        <f t="shared" si="4"/>
        <v>0.25193557688719281</v>
      </c>
      <c r="G13" s="5">
        <f t="shared" si="4"/>
        <v>0.27621258044445923</v>
      </c>
      <c r="H13" s="5">
        <f t="shared" si="4"/>
        <v>-1.9022695692916258E-2</v>
      </c>
      <c r="I13" s="5">
        <f t="shared" si="4"/>
        <v>0</v>
      </c>
      <c r="J13" s="13" t="s">
        <v>29</v>
      </c>
      <c r="K13" s="5">
        <f t="shared" si="4"/>
        <v>0</v>
      </c>
      <c r="L13" s="5">
        <f t="shared" si="4"/>
        <v>0.2507165024918997</v>
      </c>
      <c r="M13" s="5">
        <f t="shared" si="4"/>
        <v>0.23048546369374004</v>
      </c>
      <c r="N13" s="13" t="s">
        <v>29</v>
      </c>
      <c r="O13" s="5">
        <f t="shared" si="4"/>
        <v>0.24948502269566272</v>
      </c>
      <c r="P13" s="5">
        <f t="shared" si="4"/>
        <v>0.27591120448428641</v>
      </c>
      <c r="Q13" s="5">
        <f t="shared" si="4"/>
        <v>-2.0711615115336198E-2</v>
      </c>
    </row>
    <row r="14" spans="1:17" ht="17.100000000000001" customHeight="1" x14ac:dyDescent="0.25">
      <c r="A14" s="2" t="s">
        <v>28</v>
      </c>
      <c r="B14" s="3">
        <f>(((B12/B6)^(1/2))-1)</f>
        <v>0.32471663980241483</v>
      </c>
      <c r="C14" s="3">
        <f t="shared" ref="C14:Q14" si="5">(((C12/C6)^(1/2))-1)</f>
        <v>0.30806937898228481</v>
      </c>
      <c r="D14" s="3">
        <f t="shared" si="5"/>
        <v>0.30442697394396734</v>
      </c>
      <c r="E14" s="3">
        <f t="shared" si="5"/>
        <v>0.28721228251643116</v>
      </c>
      <c r="F14" s="3">
        <f t="shared" si="5"/>
        <v>0.27090328069296343</v>
      </c>
      <c r="G14" s="3">
        <f t="shared" si="5"/>
        <v>0.30468293517184986</v>
      </c>
      <c r="H14" s="3">
        <f t="shared" si="5"/>
        <v>-2.5891083241950219E-2</v>
      </c>
      <c r="I14" s="3">
        <f t="shared" si="5"/>
        <v>-2.0973744303686703E-2</v>
      </c>
      <c r="J14" s="3"/>
      <c r="K14" s="3">
        <f t="shared" si="5"/>
        <v>-2.0973744303686703E-2</v>
      </c>
      <c r="L14" s="3">
        <f t="shared" si="5"/>
        <v>0.26933834704641857</v>
      </c>
      <c r="M14" s="3">
        <f t="shared" si="5"/>
        <v>7.8505245195264806E-2</v>
      </c>
      <c r="N14" s="3"/>
      <c r="O14" s="3">
        <f t="shared" si="5"/>
        <v>0.25493253679208294</v>
      </c>
      <c r="P14" s="3">
        <f t="shared" si="5"/>
        <v>0.30443030388916803</v>
      </c>
      <c r="Q14" s="3">
        <f t="shared" si="5"/>
        <v>-3.7945888676081285E-2</v>
      </c>
    </row>
    <row r="15" spans="1:17" ht="17.100000000000001" customHeight="1" x14ac:dyDescent="0.25">
      <c r="A15" s="7" t="s">
        <v>22</v>
      </c>
      <c r="B15" s="10">
        <v>148342</v>
      </c>
      <c r="C15" s="10">
        <v>261951.44999999998</v>
      </c>
      <c r="D15" s="10">
        <v>143117</v>
      </c>
      <c r="E15" s="10">
        <v>18078096</v>
      </c>
      <c r="F15" s="10">
        <v>19700.616000000002</v>
      </c>
      <c r="G15" s="10">
        <v>25760.406999999999</v>
      </c>
      <c r="H15" s="8">
        <f t="shared" si="0"/>
        <v>76.476338281456506</v>
      </c>
      <c r="I15" s="11">
        <v>95627</v>
      </c>
      <c r="J15" s="11">
        <v>0</v>
      </c>
      <c r="K15" s="11">
        <v>95627</v>
      </c>
      <c r="L15" s="11">
        <v>1766.326</v>
      </c>
      <c r="M15" s="11">
        <v>105.187</v>
      </c>
      <c r="N15" s="11">
        <v>0</v>
      </c>
      <c r="O15" s="11">
        <v>1871.5129999999999</v>
      </c>
      <c r="P15" s="11">
        <v>2604.7109999999998</v>
      </c>
      <c r="Q15" s="8">
        <f t="shared" si="1"/>
        <v>71.851080599728718</v>
      </c>
    </row>
    <row r="16" spans="1:17" ht="17.100000000000001" customHeight="1" x14ac:dyDescent="0.25">
      <c r="A16" s="1" t="s">
        <v>30</v>
      </c>
      <c r="B16" s="5">
        <f>(B15-B12)/B12</f>
        <v>0.20385970037817921</v>
      </c>
      <c r="C16" s="5">
        <f t="shared" ref="C16:Q16" si="6">(C15-C12)/C12</f>
        <v>0.21937350569967254</v>
      </c>
      <c r="D16" s="5">
        <f t="shared" si="6"/>
        <v>0.21155197372319623</v>
      </c>
      <c r="E16" s="5">
        <f t="shared" si="6"/>
        <v>0.15250995674572393</v>
      </c>
      <c r="F16" s="5">
        <f t="shared" si="6"/>
        <v>0.14699611401716439</v>
      </c>
      <c r="G16" s="5">
        <f t="shared" si="6"/>
        <v>0.21152371296804184</v>
      </c>
      <c r="H16" s="5">
        <f t="shared" si="6"/>
        <v>-5.3261523699602346E-2</v>
      </c>
      <c r="I16" s="5">
        <f t="shared" si="6"/>
        <v>0.28248216297408935</v>
      </c>
      <c r="J16" s="13" t="s">
        <v>29</v>
      </c>
      <c r="K16" s="5">
        <f t="shared" si="6"/>
        <v>0.28248216297408935</v>
      </c>
      <c r="L16" s="5">
        <f t="shared" si="6"/>
        <v>0.14856024048987515</v>
      </c>
      <c r="M16" s="5">
        <f t="shared" si="6"/>
        <v>7.2614361756368109E-2</v>
      </c>
      <c r="N16" s="13" t="s">
        <v>29</v>
      </c>
      <c r="O16" s="5">
        <f t="shared" si="6"/>
        <v>0.14400764826303375</v>
      </c>
      <c r="P16" s="5">
        <f t="shared" si="6"/>
        <v>0.21154758538055643</v>
      </c>
      <c r="Q16" s="5">
        <f t="shared" si="6"/>
        <v>-5.5746829866618865E-2</v>
      </c>
    </row>
    <row r="17" spans="1:17" ht="17.100000000000001" customHeight="1" x14ac:dyDescent="0.25">
      <c r="A17" s="2" t="s">
        <v>28</v>
      </c>
      <c r="B17" s="3">
        <f>(((B15/B6)^(1/3))-1)</f>
        <v>0.28313973268108961</v>
      </c>
      <c r="C17" s="3">
        <f t="shared" ref="C17:Q17" si="7">(((C15/C6)^(1/3))-1)</f>
        <v>0.27780947564599212</v>
      </c>
      <c r="D17" s="3">
        <f t="shared" si="7"/>
        <v>0.27270337878805084</v>
      </c>
      <c r="E17" s="3">
        <f t="shared" si="7"/>
        <v>0.24064733054730758</v>
      </c>
      <c r="F17" s="3">
        <f t="shared" si="7"/>
        <v>0.22818083451448179</v>
      </c>
      <c r="G17" s="3">
        <f t="shared" si="7"/>
        <v>0.27285996708917493</v>
      </c>
      <c r="H17" s="3">
        <f t="shared" si="7"/>
        <v>-3.5101373073164632E-2</v>
      </c>
      <c r="I17" s="3">
        <f t="shared" si="7"/>
        <v>7.1223283832263062E-2</v>
      </c>
      <c r="J17" s="3"/>
      <c r="K17" s="3">
        <f t="shared" si="7"/>
        <v>7.1223283832263062E-2</v>
      </c>
      <c r="L17" s="3">
        <f t="shared" si="7"/>
        <v>0.22772997624582114</v>
      </c>
      <c r="M17" s="3">
        <f t="shared" si="7"/>
        <v>7.6538031328850398E-2</v>
      </c>
      <c r="N17" s="3"/>
      <c r="O17" s="3">
        <f t="shared" si="7"/>
        <v>0.21681128537768335</v>
      </c>
      <c r="P17" s="3">
        <f t="shared" si="7"/>
        <v>0.27270400814401619</v>
      </c>
      <c r="Q17" s="3">
        <f t="shared" si="7"/>
        <v>-4.3916513508778343E-2</v>
      </c>
    </row>
    <row r="18" spans="1:17" ht="17.100000000000001" customHeight="1" x14ac:dyDescent="0.25">
      <c r="A18" s="7" t="s">
        <v>23</v>
      </c>
      <c r="B18" s="10">
        <v>183149</v>
      </c>
      <c r="C18" s="10">
        <v>324875.06</v>
      </c>
      <c r="D18" s="10">
        <v>174544</v>
      </c>
      <c r="E18" s="10">
        <v>23727080</v>
      </c>
      <c r="F18" s="10">
        <v>24957.178</v>
      </c>
      <c r="G18" s="10">
        <v>31416.634999999998</v>
      </c>
      <c r="H18" s="8">
        <f t="shared" si="0"/>
        <v>79.439373440217267</v>
      </c>
      <c r="I18" s="11">
        <v>118076</v>
      </c>
      <c r="J18" s="11">
        <v>8111</v>
      </c>
      <c r="K18" s="11">
        <v>126187</v>
      </c>
      <c r="L18" s="11">
        <v>2244.1579999999999</v>
      </c>
      <c r="M18" s="11">
        <v>145.73400000000001</v>
      </c>
      <c r="N18" s="11">
        <v>9.532</v>
      </c>
      <c r="O18" s="11">
        <v>2399.424</v>
      </c>
      <c r="P18" s="11">
        <v>3176.7069999999999</v>
      </c>
      <c r="Q18" s="8">
        <f t="shared" si="1"/>
        <v>75.531800698018429</v>
      </c>
    </row>
    <row r="19" spans="1:17" ht="17.100000000000001" customHeight="1" x14ac:dyDescent="0.25">
      <c r="A19" s="1" t="s">
        <v>30</v>
      </c>
      <c r="B19" s="5">
        <f>(B18-B15)/B15</f>
        <v>0.23464022326785403</v>
      </c>
      <c r="C19" s="5">
        <f t="shared" ref="C19:Q19" si="8">(C18-C15)/C15</f>
        <v>0.2402109627566483</v>
      </c>
      <c r="D19" s="5">
        <f t="shared" si="8"/>
        <v>0.2195895665783939</v>
      </c>
      <c r="E19" s="5">
        <f t="shared" si="8"/>
        <v>0.31247671214933254</v>
      </c>
      <c r="F19" s="5">
        <f t="shared" si="8"/>
        <v>0.26682221510230936</v>
      </c>
      <c r="G19" s="5">
        <f t="shared" si="8"/>
        <v>0.21957059917570398</v>
      </c>
      <c r="H19" s="5">
        <f t="shared" si="8"/>
        <v>3.8744469535869741E-2</v>
      </c>
      <c r="I19" s="5">
        <f t="shared" si="8"/>
        <v>0.23475587438694093</v>
      </c>
      <c r="J19" s="13" t="s">
        <v>29</v>
      </c>
      <c r="K19" s="5">
        <f t="shared" si="8"/>
        <v>0.319575015424514</v>
      </c>
      <c r="L19" s="5">
        <f t="shared" si="8"/>
        <v>0.27052310841826471</v>
      </c>
      <c r="M19" s="5">
        <f t="shared" si="8"/>
        <v>0.38547539144571108</v>
      </c>
      <c r="N19" s="13" t="s">
        <v>29</v>
      </c>
      <c r="O19" s="5">
        <f t="shared" si="8"/>
        <v>0.28207712155886711</v>
      </c>
      <c r="P19" s="5">
        <f t="shared" si="8"/>
        <v>0.21960056221208424</v>
      </c>
      <c r="Q19" s="5">
        <f t="shared" si="8"/>
        <v>5.1227066699169564E-2</v>
      </c>
    </row>
    <row r="20" spans="1:17" ht="17.100000000000001" customHeight="1" x14ac:dyDescent="0.25">
      <c r="A20" s="2" t="s">
        <v>28</v>
      </c>
      <c r="B20" s="3">
        <f>(((B18/B6)^(1/4))-1)</f>
        <v>0.27083910584828219</v>
      </c>
      <c r="C20" s="3">
        <f t="shared" ref="C20:Q20" si="9">(((C18/C6)^(1/4))-1)</f>
        <v>0.26830431422314116</v>
      </c>
      <c r="D20" s="3">
        <f t="shared" si="9"/>
        <v>0.25921191053806503</v>
      </c>
      <c r="E20" s="3">
        <f t="shared" si="9"/>
        <v>0.25822746431508392</v>
      </c>
      <c r="F20" s="3">
        <f t="shared" si="9"/>
        <v>0.23772925104770515</v>
      </c>
      <c r="G20" s="3">
        <f t="shared" si="9"/>
        <v>0.25932320863951386</v>
      </c>
      <c r="H20" s="3">
        <f t="shared" si="9"/>
        <v>-1.7147271997899116E-2</v>
      </c>
      <c r="I20" s="3">
        <f t="shared" si="9"/>
        <v>0.10995476031873519</v>
      </c>
      <c r="J20" s="3"/>
      <c r="K20" s="3">
        <f t="shared" si="9"/>
        <v>0.12854407210404339</v>
      </c>
      <c r="L20" s="3">
        <f t="shared" si="9"/>
        <v>0.23829120085307887</v>
      </c>
      <c r="M20" s="3">
        <f t="shared" si="9"/>
        <v>0.14662587198670374</v>
      </c>
      <c r="N20" s="3"/>
      <c r="O20" s="3">
        <f t="shared" si="9"/>
        <v>0.23280946285055526</v>
      </c>
      <c r="P20" s="3">
        <f t="shared" si="9"/>
        <v>0.25921521575846218</v>
      </c>
      <c r="Q20" s="3">
        <f t="shared" si="9"/>
        <v>-2.0970007809190894E-2</v>
      </c>
    </row>
    <row r="21" spans="1:17" ht="17.100000000000001" customHeight="1" x14ac:dyDescent="0.25">
      <c r="A21" s="7" t="s">
        <v>24</v>
      </c>
      <c r="B21" s="10">
        <v>225341</v>
      </c>
      <c r="C21" s="10">
        <v>398809.04999999993</v>
      </c>
      <c r="D21" s="10">
        <v>213509</v>
      </c>
      <c r="E21" s="10">
        <v>31453451</v>
      </c>
      <c r="F21" s="10">
        <v>32315.911</v>
      </c>
      <c r="G21" s="10">
        <v>38414.086000000003</v>
      </c>
      <c r="H21" s="8">
        <f t="shared" si="0"/>
        <v>84.12515919290648</v>
      </c>
      <c r="I21" s="11">
        <v>127073</v>
      </c>
      <c r="J21" s="11">
        <v>11899.743924999999</v>
      </c>
      <c r="K21" s="11">
        <v>138972.74392500002</v>
      </c>
      <c r="L21" s="11">
        <v>2908.2080000000001</v>
      </c>
      <c r="M21" s="11">
        <v>157.23500000000001</v>
      </c>
      <c r="N21" s="11">
        <v>14.86</v>
      </c>
      <c r="O21" s="11">
        <v>3080.3029999999999</v>
      </c>
      <c r="P21" s="11">
        <v>4094.9520000000002</v>
      </c>
      <c r="Q21" s="8">
        <f t="shared" si="1"/>
        <v>75.22195620363803</v>
      </c>
    </row>
    <row r="22" spans="1:17" ht="17.100000000000001" customHeight="1" x14ac:dyDescent="0.25">
      <c r="A22" s="1" t="s">
        <v>30</v>
      </c>
      <c r="B22" s="5">
        <f>(B21-B18)/B18</f>
        <v>0.23036980818896091</v>
      </c>
      <c r="C22" s="5">
        <f t="shared" ref="C22:Q22" si="10">(C21-C18)/C18</f>
        <v>0.22757668748102711</v>
      </c>
      <c r="D22" s="5">
        <f t="shared" si="10"/>
        <v>0.22323883949032908</v>
      </c>
      <c r="E22" s="5">
        <f t="shared" si="10"/>
        <v>0.32563513925860238</v>
      </c>
      <c r="F22" s="5">
        <f t="shared" si="10"/>
        <v>0.2948543701535486</v>
      </c>
      <c r="G22" s="5">
        <f t="shared" si="10"/>
        <v>0.22273076031217234</v>
      </c>
      <c r="H22" s="5">
        <f t="shared" si="10"/>
        <v>5.8985683670019613E-2</v>
      </c>
      <c r="I22" s="5">
        <f t="shared" si="10"/>
        <v>7.6196686879636849E-2</v>
      </c>
      <c r="J22" s="13" t="s">
        <v>29</v>
      </c>
      <c r="K22" s="5">
        <f t="shared" si="10"/>
        <v>0.10132378077773477</v>
      </c>
      <c r="L22" s="5">
        <f t="shared" si="10"/>
        <v>0.29590162546487375</v>
      </c>
      <c r="M22" s="5">
        <f t="shared" si="10"/>
        <v>7.8917754264619125E-2</v>
      </c>
      <c r="N22" s="5">
        <f t="shared" si="10"/>
        <v>0.55895929500629449</v>
      </c>
      <c r="O22" s="5">
        <f t="shared" si="10"/>
        <v>0.28376768757835208</v>
      </c>
      <c r="P22" s="5">
        <f t="shared" si="10"/>
        <v>0.28905561639773525</v>
      </c>
      <c r="Q22" s="5">
        <f t="shared" si="10"/>
        <v>-4.1021727473330117E-3</v>
      </c>
    </row>
    <row r="23" spans="1:17" ht="17.100000000000001" customHeight="1" x14ac:dyDescent="0.25">
      <c r="A23" s="2" t="s">
        <v>28</v>
      </c>
      <c r="B23" s="3">
        <f>(((B21/B6)^(1/5))-1)</f>
        <v>0.26264013332605818</v>
      </c>
      <c r="C23" s="3">
        <f t="shared" ref="C23:Q23" si="11">(((C21/C6)^(1/5))-1)</f>
        <v>0.26005209933126139</v>
      </c>
      <c r="D23" s="3">
        <f t="shared" si="11"/>
        <v>0.25193364423139863</v>
      </c>
      <c r="E23" s="3">
        <f t="shared" si="11"/>
        <v>0.27142904980453508</v>
      </c>
      <c r="F23" s="3">
        <f t="shared" si="11"/>
        <v>0.24894901294687588</v>
      </c>
      <c r="G23" s="3">
        <f t="shared" si="11"/>
        <v>0.251918143102694</v>
      </c>
      <c r="H23" s="3">
        <f t="shared" si="11"/>
        <v>-2.3716647707169303E-3</v>
      </c>
      <c r="I23" s="3">
        <f t="shared" si="11"/>
        <v>0.10311947687238976</v>
      </c>
      <c r="J23" s="3"/>
      <c r="K23" s="3">
        <f t="shared" si="11"/>
        <v>0.12304671674026202</v>
      </c>
      <c r="L23" s="3">
        <f t="shared" si="11"/>
        <v>0.24960466096617284</v>
      </c>
      <c r="M23" s="3">
        <f t="shared" si="11"/>
        <v>0.13275257311770949</v>
      </c>
      <c r="N23" s="3"/>
      <c r="O23" s="3">
        <f t="shared" si="11"/>
        <v>0.24283666093293554</v>
      </c>
      <c r="P23" s="3">
        <f t="shared" si="11"/>
        <v>0.26512751543567159</v>
      </c>
      <c r="Q23" s="3">
        <f t="shared" si="11"/>
        <v>-1.761945276722543E-2</v>
      </c>
    </row>
    <row r="24" spans="1:17" ht="17.100000000000001" customHeight="1" x14ac:dyDescent="0.25">
      <c r="A24" s="7" t="s">
        <v>25</v>
      </c>
      <c r="B24" s="10">
        <v>287281</v>
      </c>
      <c r="C24" s="10">
        <v>512440.59499999997</v>
      </c>
      <c r="D24" s="10">
        <v>273660</v>
      </c>
      <c r="E24" s="10">
        <v>41600088</v>
      </c>
      <c r="F24" s="10">
        <v>41936.813000000002</v>
      </c>
      <c r="G24" s="10">
        <v>49212.411</v>
      </c>
      <c r="H24" s="8">
        <f t="shared" si="0"/>
        <v>85.215928559159607</v>
      </c>
      <c r="I24" s="11">
        <v>149408</v>
      </c>
      <c r="J24" s="11">
        <v>14204</v>
      </c>
      <c r="K24" s="11">
        <v>163612</v>
      </c>
      <c r="L24" s="11">
        <v>3774.4513459999998</v>
      </c>
      <c r="M24" s="11">
        <v>182.554925</v>
      </c>
      <c r="N24" s="11">
        <v>15.645637000000001</v>
      </c>
      <c r="O24" s="11">
        <v>3972.6519079999998</v>
      </c>
      <c r="P24" s="11">
        <v>5326.489223999999</v>
      </c>
      <c r="Q24" s="8">
        <f t="shared" si="1"/>
        <v>74.582933353175605</v>
      </c>
    </row>
    <row r="25" spans="1:17" ht="17.100000000000001" customHeight="1" x14ac:dyDescent="0.25">
      <c r="A25" s="1" t="s">
        <v>30</v>
      </c>
      <c r="B25" s="5">
        <f>(B24-B21)/B21</f>
        <v>0.27487230464052259</v>
      </c>
      <c r="C25" s="5">
        <f t="shared" ref="C25:Q25" si="12">(C24-C21)/C21</f>
        <v>0.28492719761499913</v>
      </c>
      <c r="D25" s="5">
        <f t="shared" si="12"/>
        <v>0.2817258288877752</v>
      </c>
      <c r="E25" s="5">
        <f t="shared" si="12"/>
        <v>0.32259216961598269</v>
      </c>
      <c r="F25" s="5">
        <f t="shared" si="12"/>
        <v>0.29771408888952572</v>
      </c>
      <c r="G25" s="5">
        <f t="shared" si="12"/>
        <v>0.28110326508874883</v>
      </c>
      <c r="H25" s="5">
        <f t="shared" si="12"/>
        <v>1.2966030337629388E-2</v>
      </c>
      <c r="I25" s="5">
        <f t="shared" si="12"/>
        <v>0.17576511139266407</v>
      </c>
      <c r="J25" s="5">
        <f t="shared" si="12"/>
        <v>0.19363913118827902</v>
      </c>
      <c r="K25" s="5">
        <f t="shared" si="12"/>
        <v>0.17729560041138104</v>
      </c>
      <c r="L25" s="5">
        <f t="shared" si="12"/>
        <v>0.2978615511682795</v>
      </c>
      <c r="M25" s="5">
        <f t="shared" si="12"/>
        <v>0.16103237192736974</v>
      </c>
      <c r="N25" s="5">
        <f t="shared" si="12"/>
        <v>5.286924629878878E-2</v>
      </c>
      <c r="O25" s="5">
        <f t="shared" si="12"/>
        <v>0.28969517219572227</v>
      </c>
      <c r="P25" s="5">
        <f t="shared" si="12"/>
        <v>0.30074521606114035</v>
      </c>
      <c r="Q25" s="5">
        <f t="shared" si="12"/>
        <v>-8.4951639483090043E-3</v>
      </c>
    </row>
    <row r="26" spans="1:17" ht="17.100000000000001" customHeight="1" x14ac:dyDescent="0.25">
      <c r="A26" s="2" t="s">
        <v>28</v>
      </c>
      <c r="B26" s="3">
        <f>(((B24/B6)^(1/6))-1)</f>
        <v>0.26467064759306091</v>
      </c>
      <c r="C26" s="3">
        <f t="shared" ref="C26:Q26" si="13">(((C24/C6)^(1/6))-1)</f>
        <v>0.26416425288511114</v>
      </c>
      <c r="D26" s="3">
        <f t="shared" si="13"/>
        <v>0.25685047894877133</v>
      </c>
      <c r="E26" s="3">
        <f t="shared" si="13"/>
        <v>0.27981668040787233</v>
      </c>
      <c r="F26" s="3">
        <f t="shared" si="13"/>
        <v>0.25694737175162374</v>
      </c>
      <c r="G26" s="3">
        <f t="shared" si="13"/>
        <v>0.25673574416959188</v>
      </c>
      <c r="H26" s="3">
        <f t="shared" si="13"/>
        <v>1.6839465497309192E-4</v>
      </c>
      <c r="I26" s="3">
        <f t="shared" si="13"/>
        <v>0.11490763285392025</v>
      </c>
      <c r="J26" s="3"/>
      <c r="K26" s="3">
        <f t="shared" si="13"/>
        <v>0.13191141306771326</v>
      </c>
      <c r="L26" s="3">
        <f t="shared" si="13"/>
        <v>0.25752103432773366</v>
      </c>
      <c r="M26" s="3">
        <f t="shared" si="13"/>
        <v>0.13741757873420202</v>
      </c>
      <c r="N26" s="3"/>
      <c r="O26" s="3">
        <f t="shared" si="13"/>
        <v>0.25052647870392564</v>
      </c>
      <c r="P26" s="3">
        <f t="shared" si="13"/>
        <v>0.27099533738368087</v>
      </c>
      <c r="Q26" s="3">
        <f t="shared" si="13"/>
        <v>-1.6104589905018729E-2</v>
      </c>
    </row>
    <row r="27" spans="1:17" ht="17.100000000000001" customHeight="1" x14ac:dyDescent="0.25">
      <c r="A27" s="7" t="s">
        <v>26</v>
      </c>
      <c r="B27" s="10">
        <v>326233</v>
      </c>
      <c r="C27" s="10">
        <v>576628.04463000002</v>
      </c>
      <c r="D27" s="10">
        <v>302623.00100000005</v>
      </c>
      <c r="E27" s="10">
        <v>48955983</v>
      </c>
      <c r="F27" s="10">
        <v>47899.64</v>
      </c>
      <c r="G27" s="10">
        <v>54298.065999999999</v>
      </c>
      <c r="H27" s="8">
        <f t="shared" si="0"/>
        <v>88.216106997254755</v>
      </c>
      <c r="I27" s="11">
        <v>170287.51</v>
      </c>
      <c r="J27" s="11">
        <v>15237.461000000001</v>
      </c>
      <c r="K27" s="11">
        <v>185524.97100000002</v>
      </c>
      <c r="L27" s="11">
        <v>4310.8915099999995</v>
      </c>
      <c r="M27" s="11">
        <v>205.79885999999999</v>
      </c>
      <c r="N27" s="11">
        <v>16.439809999999998</v>
      </c>
      <c r="O27" s="11">
        <v>4533.1301800000001</v>
      </c>
      <c r="P27" s="11">
        <v>5869.2875999999997</v>
      </c>
      <c r="Q27" s="8">
        <f t="shared" si="1"/>
        <v>77.234759802876255</v>
      </c>
    </row>
    <row r="28" spans="1:17" ht="17.100000000000001" customHeight="1" x14ac:dyDescent="0.25">
      <c r="A28" s="1" t="s">
        <v>30</v>
      </c>
      <c r="B28" s="5">
        <f>(B27-B24)/B24</f>
        <v>0.13558850045773999</v>
      </c>
      <c r="C28" s="5">
        <f t="shared" ref="C28:Q28" si="14">(C27-C24)/C24</f>
        <v>0.12525832312328816</v>
      </c>
      <c r="D28" s="5">
        <f t="shared" si="14"/>
        <v>0.10583571219761766</v>
      </c>
      <c r="E28" s="5">
        <f t="shared" si="14"/>
        <v>0.17682402498763944</v>
      </c>
      <c r="F28" s="5">
        <f t="shared" si="14"/>
        <v>0.14218598346994077</v>
      </c>
      <c r="G28" s="5">
        <f t="shared" si="14"/>
        <v>0.10334090317176289</v>
      </c>
      <c r="H28" s="5">
        <f t="shared" si="14"/>
        <v>3.5206779868769821E-2</v>
      </c>
      <c r="I28" s="5">
        <f t="shared" si="14"/>
        <v>0.13974827318483621</v>
      </c>
      <c r="J28" s="5">
        <f t="shared" si="14"/>
        <v>7.2758448324415734E-2</v>
      </c>
      <c r="K28" s="5">
        <f t="shared" si="14"/>
        <v>0.13393254162286397</v>
      </c>
      <c r="L28" s="5">
        <f t="shared" si="14"/>
        <v>0.14212401083630227</v>
      </c>
      <c r="M28" s="5">
        <f t="shared" si="14"/>
        <v>0.12732570759183842</v>
      </c>
      <c r="N28" s="5">
        <f t="shared" si="14"/>
        <v>5.0760029776991317E-2</v>
      </c>
      <c r="O28" s="5">
        <f t="shared" si="14"/>
        <v>0.14108416367196103</v>
      </c>
      <c r="P28" s="5">
        <f t="shared" si="14"/>
        <v>0.10190546778059167</v>
      </c>
      <c r="Q28" s="5">
        <f t="shared" si="14"/>
        <v>3.5555405646803241E-2</v>
      </c>
    </row>
    <row r="29" spans="1:17" ht="17.100000000000001" customHeight="1" x14ac:dyDescent="0.25">
      <c r="A29" s="2" t="s">
        <v>28</v>
      </c>
      <c r="B29" s="3">
        <f>(((B27/B6)^(1/7))-1)</f>
        <v>0.24536869794924754</v>
      </c>
      <c r="C29" s="3">
        <f t="shared" ref="C29:Q29" si="15">(((C27/C6)^(1/7))-1)</f>
        <v>0.2433170670960263</v>
      </c>
      <c r="D29" s="3">
        <f t="shared" si="15"/>
        <v>0.23407557639891863</v>
      </c>
      <c r="E29" s="3">
        <f t="shared" si="15"/>
        <v>0.26456916844938139</v>
      </c>
      <c r="F29" s="3">
        <f t="shared" si="15"/>
        <v>0.23987258094107977</v>
      </c>
      <c r="G29" s="3">
        <f t="shared" si="15"/>
        <v>0.23358092789617912</v>
      </c>
      <c r="H29" s="3">
        <f t="shared" si="15"/>
        <v>5.1003164061809159E-3</v>
      </c>
      <c r="I29" s="3">
        <f t="shared" si="15"/>
        <v>0.11842287047391498</v>
      </c>
      <c r="J29" s="3"/>
      <c r="K29" s="3">
        <f t="shared" si="15"/>
        <v>0.13219992500901134</v>
      </c>
      <c r="L29" s="3">
        <f t="shared" si="15"/>
        <v>0.24034798195092866</v>
      </c>
      <c r="M29" s="3">
        <f t="shared" si="15"/>
        <v>0.13597037043243643</v>
      </c>
      <c r="N29" s="3"/>
      <c r="O29" s="3">
        <f t="shared" si="15"/>
        <v>0.234271549799562</v>
      </c>
      <c r="P29" s="3">
        <f t="shared" si="15"/>
        <v>0.2453369350515433</v>
      </c>
      <c r="Q29" s="3">
        <f t="shared" si="15"/>
        <v>-8.885454964461692E-3</v>
      </c>
    </row>
    <row r="30" spans="1:17" ht="17.100000000000001" customHeight="1" x14ac:dyDescent="0.25">
      <c r="A30" s="9" t="s">
        <v>31</v>
      </c>
      <c r="B30" s="10">
        <v>417419</v>
      </c>
      <c r="C30" s="10">
        <v>740551.19860000012</v>
      </c>
      <c r="D30" s="10">
        <v>382121.826</v>
      </c>
      <c r="E30" s="10">
        <v>60038171</v>
      </c>
      <c r="F30" s="10">
        <v>58688.678999999996</v>
      </c>
      <c r="G30" s="10">
        <v>67643.506999999998</v>
      </c>
      <c r="H30" s="8">
        <f t="shared" si="0"/>
        <v>86.761733095831346</v>
      </c>
      <c r="I30" s="11">
        <v>163256.30495000002</v>
      </c>
      <c r="J30" s="11">
        <v>21163.398409999998</v>
      </c>
      <c r="K30" s="11">
        <v>184419.70335999998</v>
      </c>
      <c r="L30" s="11">
        <v>5281.9677139999994</v>
      </c>
      <c r="M30" s="11">
        <v>195.54945129999999</v>
      </c>
      <c r="N30" s="11">
        <v>21.825904699999995</v>
      </c>
      <c r="O30" s="11">
        <v>5499.3430699999999</v>
      </c>
      <c r="P30" s="11">
        <v>7452.3593386000002</v>
      </c>
      <c r="Q30" s="8">
        <f t="shared" si="1"/>
        <v>73.793315916957738</v>
      </c>
    </row>
    <row r="31" spans="1:17" ht="17.100000000000001" customHeight="1" x14ac:dyDescent="0.25">
      <c r="A31" s="1" t="s">
        <v>27</v>
      </c>
      <c r="B31" s="5">
        <f>(B30-B27)/B27</f>
        <v>0.27951188261150772</v>
      </c>
      <c r="C31" s="5">
        <f t="shared" ref="C31:Q31" si="16">(C30-C27)/C27</f>
        <v>0.28427884404266751</v>
      </c>
      <c r="D31" s="5">
        <f t="shared" si="16"/>
        <v>0.26269921564884602</v>
      </c>
      <c r="E31" s="5">
        <f t="shared" si="16"/>
        <v>0.22637045200379288</v>
      </c>
      <c r="F31" s="5">
        <f t="shared" si="16"/>
        <v>0.22524259054974102</v>
      </c>
      <c r="G31" s="5">
        <f t="shared" si="16"/>
        <v>0.24578114807993343</v>
      </c>
      <c r="H31" s="5">
        <f t="shared" si="16"/>
        <v>-1.6486489269682561E-2</v>
      </c>
      <c r="I31" s="5">
        <f t="shared" si="16"/>
        <v>-4.1290198265274941E-2</v>
      </c>
      <c r="J31" s="5">
        <f t="shared" si="16"/>
        <v>0.38890582952107283</v>
      </c>
      <c r="K31" s="5">
        <f t="shared" si="16"/>
        <v>-5.9575141504807699E-3</v>
      </c>
      <c r="L31" s="5">
        <f t="shared" si="16"/>
        <v>0.2252611093894126</v>
      </c>
      <c r="M31" s="5">
        <f t="shared" si="16"/>
        <v>-4.9803039239381619E-2</v>
      </c>
      <c r="N31" s="5">
        <f t="shared" si="16"/>
        <v>0.32762511853847448</v>
      </c>
      <c r="O31" s="5">
        <f t="shared" si="16"/>
        <v>0.21314474802927449</v>
      </c>
      <c r="P31" s="5">
        <f t="shared" si="16"/>
        <v>0.26972127564510567</v>
      </c>
      <c r="Q31" s="5">
        <f t="shared" si="16"/>
        <v>-4.4558226046174043E-2</v>
      </c>
    </row>
    <row r="32" spans="1:17" ht="17.100000000000001" customHeight="1" x14ac:dyDescent="0.25">
      <c r="A32" s="2" t="s">
        <v>28</v>
      </c>
      <c r="B32" s="3">
        <f>(((B30/B6)^(1/8))-1)</f>
        <v>0.24958626473925949</v>
      </c>
      <c r="C32" s="3">
        <f t="shared" ref="C32:Q32" si="17">(((C30/C6)^(1/8))-1)</f>
        <v>0.24836497250873601</v>
      </c>
      <c r="D32" s="3">
        <f t="shared" si="17"/>
        <v>0.23761774154460213</v>
      </c>
      <c r="E32" s="3">
        <f t="shared" si="17"/>
        <v>0.25973000910068889</v>
      </c>
      <c r="F32" s="3">
        <f t="shared" si="17"/>
        <v>0.2380343213351972</v>
      </c>
      <c r="G32" s="3">
        <f t="shared" si="17"/>
        <v>0.23509939725957807</v>
      </c>
      <c r="H32" s="3">
        <f t="shared" si="17"/>
        <v>2.3762654909644798E-3</v>
      </c>
      <c r="I32" s="3">
        <f t="shared" si="17"/>
        <v>9.708728156846913E-2</v>
      </c>
      <c r="J32" s="3"/>
      <c r="K32" s="3">
        <f t="shared" si="17"/>
        <v>0.11393115298998224</v>
      </c>
      <c r="L32" s="3">
        <f t="shared" si="17"/>
        <v>0.23845201032409014</v>
      </c>
      <c r="M32" s="3">
        <f t="shared" si="17"/>
        <v>0.11089454182097458</v>
      </c>
      <c r="N32" s="3"/>
      <c r="O32" s="3">
        <f t="shared" si="17"/>
        <v>0.23161070908137993</v>
      </c>
      <c r="P32" s="3">
        <f t="shared" si="17"/>
        <v>0.24835918175377381</v>
      </c>
      <c r="Q32" s="3">
        <f t="shared" si="17"/>
        <v>-1.3416389222903446E-2</v>
      </c>
    </row>
    <row r="33" spans="1:17" ht="18.75" customHeight="1" x14ac:dyDescent="0.25">
      <c r="A33" s="9" t="s">
        <v>35</v>
      </c>
      <c r="B33" s="10">
        <v>475868</v>
      </c>
      <c r="C33" s="10">
        <v>843787.93333333323</v>
      </c>
      <c r="D33" s="10">
        <v>425681.72399999999</v>
      </c>
      <c r="E33" s="10">
        <v>68058886</v>
      </c>
      <c r="F33" s="10">
        <v>65356.184999999998</v>
      </c>
      <c r="G33" s="10">
        <v>75051.152000000002</v>
      </c>
      <c r="H33" s="8">
        <v>87.082187625847496</v>
      </c>
      <c r="I33" s="11">
        <v>242078.62299999999</v>
      </c>
      <c r="J33" s="11">
        <v>17195.88</v>
      </c>
      <c r="K33" s="11">
        <v>259274.49999999997</v>
      </c>
      <c r="L33" s="11">
        <v>5880.5194268000005</v>
      </c>
      <c r="M33" s="11">
        <v>284.03334021899997</v>
      </c>
      <c r="N33" s="11">
        <v>17.485200213000002</v>
      </c>
      <c r="O33" s="11">
        <v>6182.0379672319996</v>
      </c>
      <c r="P33" s="11">
        <v>8291.4056345040026</v>
      </c>
      <c r="Q33" s="8">
        <v>74.559589046107661</v>
      </c>
    </row>
    <row r="34" spans="1:17" ht="30" x14ac:dyDescent="0.25">
      <c r="A34" s="1" t="s">
        <v>30</v>
      </c>
      <c r="B34" s="5">
        <f>(B33-B30)/B30</f>
        <v>0.14002477127298948</v>
      </c>
      <c r="C34" s="5">
        <f t="shared" ref="C34:Q34" si="18">(C33-C30)/C30</f>
        <v>0.13940526317221613</v>
      </c>
      <c r="D34" s="5">
        <f t="shared" si="18"/>
        <v>0.11399479180757392</v>
      </c>
      <c r="E34" s="5">
        <f t="shared" si="18"/>
        <v>0.13359359331582568</v>
      </c>
      <c r="F34" s="5">
        <f t="shared" si="18"/>
        <v>0.11360804355470332</v>
      </c>
      <c r="G34" s="5">
        <f t="shared" si="18"/>
        <v>0.10951006724119144</v>
      </c>
      <c r="H34" s="5">
        <f t="shared" si="18"/>
        <v>3.6935007932840246E-3</v>
      </c>
      <c r="I34" s="5">
        <f t="shared" si="18"/>
        <v>0.48281331660753091</v>
      </c>
      <c r="J34" s="5">
        <f t="shared" si="18"/>
        <v>-0.18747076122355139</v>
      </c>
      <c r="K34" s="5">
        <f t="shared" si="18"/>
        <v>0.40589370482761411</v>
      </c>
      <c r="L34" s="5">
        <f t="shared" si="18"/>
        <v>0.11331983556308446</v>
      </c>
      <c r="M34" s="5">
        <f t="shared" si="18"/>
        <v>0.45248855637673674</v>
      </c>
      <c r="N34" s="5">
        <f t="shared" si="18"/>
        <v>-0.19887855952197911</v>
      </c>
      <c r="O34" s="5">
        <f t="shared" si="18"/>
        <v>0.12414117259863908</v>
      </c>
      <c r="P34" s="5">
        <f t="shared" si="18"/>
        <v>0.11258800841206157</v>
      </c>
      <c r="Q34" s="5">
        <f t="shared" si="18"/>
        <v>1.0384045216401948E-2</v>
      </c>
    </row>
    <row r="35" spans="1:17" x14ac:dyDescent="0.25">
      <c r="A35" s="2" t="s">
        <v>28</v>
      </c>
      <c r="B35" s="3">
        <f>(((B33/B6)^(1/9))-1)</f>
        <v>0.23691041931884915</v>
      </c>
      <c r="C35" s="3">
        <f t="shared" ref="C35:Q35" si="19">(((C33/C6)^(1/9))-1)</f>
        <v>0.23576114285849115</v>
      </c>
      <c r="D35" s="3">
        <f t="shared" si="19"/>
        <v>0.2232307068534396</v>
      </c>
      <c r="E35" s="3">
        <f t="shared" si="19"/>
        <v>0.24504874195559867</v>
      </c>
      <c r="F35" s="3">
        <f t="shared" si="19"/>
        <v>0.22354948140678887</v>
      </c>
      <c r="G35" s="3">
        <f t="shared" si="19"/>
        <v>0.22047079554515503</v>
      </c>
      <c r="H35" s="3">
        <f t="shared" si="19"/>
        <v>2.5225395583994281E-3</v>
      </c>
      <c r="I35" s="3">
        <f t="shared" si="19"/>
        <v>0.13443481625552312</v>
      </c>
      <c r="J35" s="3"/>
      <c r="K35" s="3">
        <f t="shared" si="19"/>
        <v>0.14311791667446716</v>
      </c>
      <c r="L35" s="3">
        <f t="shared" si="19"/>
        <v>0.22388121050819865</v>
      </c>
      <c r="M35" s="3">
        <f t="shared" si="19"/>
        <v>0.14448629937918023</v>
      </c>
      <c r="N35" s="3"/>
      <c r="O35" s="3">
        <f t="shared" si="19"/>
        <v>0.2191793884803106</v>
      </c>
      <c r="P35" s="3">
        <f t="shared" si="19"/>
        <v>0.23249006795986515</v>
      </c>
      <c r="Q35" s="3">
        <f t="shared" si="19"/>
        <v>-1.0799826972713755E-2</v>
      </c>
    </row>
    <row r="36" spans="1:17" ht="17.25" customHeight="1" x14ac:dyDescent="0.25">
      <c r="A36" s="9" t="s">
        <v>37</v>
      </c>
      <c r="B36" s="10">
        <v>249208</v>
      </c>
      <c r="C36" s="10">
        <v>440751.03</v>
      </c>
      <c r="D36" s="10">
        <v>226023.81299999997</v>
      </c>
      <c r="E36" s="10">
        <v>29336170</v>
      </c>
      <c r="F36" s="10">
        <v>28217.864000000001</v>
      </c>
      <c r="G36" s="10">
        <v>41047.998</v>
      </c>
      <c r="H36" s="14">
        <f>F36/G36</f>
        <v>0.68743581599278003</v>
      </c>
      <c r="I36" s="11">
        <v>142981.71165000001</v>
      </c>
      <c r="J36" s="11">
        <v>21697.819789999994</v>
      </c>
      <c r="K36" s="11">
        <f>I36+J36</f>
        <v>164679.53143999999</v>
      </c>
      <c r="L36" s="11">
        <v>2539.1586056696601</v>
      </c>
      <c r="M36" s="11">
        <v>157.63319841166</v>
      </c>
      <c r="N36" s="11">
        <v>19.299671782080001</v>
      </c>
      <c r="O36" s="11">
        <f>L36+M36+N36</f>
        <v>2716.0914758634003</v>
      </c>
      <c r="P36" s="11">
        <v>4309.6716158549998</v>
      </c>
      <c r="Q36" s="14">
        <f>O36/P36</f>
        <v>0.63023165520803892</v>
      </c>
    </row>
    <row r="37" spans="1:17" x14ac:dyDescent="0.25">
      <c r="A37" s="1" t="s">
        <v>30</v>
      </c>
      <c r="B37" s="5">
        <f>(B36-B33)/B33</f>
        <v>-0.47630855615422762</v>
      </c>
      <c r="C37" s="5">
        <f t="shared" ref="C37:Q37" si="20">(C36-C33)/C33</f>
        <v>-0.47765189262799751</v>
      </c>
      <c r="D37" s="5">
        <f t="shared" si="20"/>
        <v>-0.46903096784112824</v>
      </c>
      <c r="E37" s="5">
        <f t="shared" si="20"/>
        <v>-0.56895900411887435</v>
      </c>
      <c r="F37" s="5">
        <f t="shared" si="20"/>
        <v>-0.56824493351317851</v>
      </c>
      <c r="G37" s="5">
        <f t="shared" si="20"/>
        <v>-0.45306638331147803</v>
      </c>
      <c r="H37" s="5">
        <f t="shared" si="20"/>
        <v>-0.99210589634074897</v>
      </c>
      <c r="I37" s="5">
        <f>(I36-I33)/I33</f>
        <v>-0.40935837341573106</v>
      </c>
      <c r="J37" s="5">
        <f t="shared" si="20"/>
        <v>0.26180339651125695</v>
      </c>
      <c r="K37" s="5">
        <f t="shared" si="20"/>
        <v>-0.36484485963717989</v>
      </c>
      <c r="L37" s="5">
        <f t="shared" si="20"/>
        <v>-0.56820844871328091</v>
      </c>
      <c r="M37" s="5">
        <f t="shared" si="20"/>
        <v>-0.44501867882791818</v>
      </c>
      <c r="N37" s="5">
        <f t="shared" si="20"/>
        <v>0.10377184973443794</v>
      </c>
      <c r="O37" s="5">
        <f t="shared" si="20"/>
        <v>-0.56064788177295399</v>
      </c>
      <c r="P37" s="5">
        <f t="shared" si="20"/>
        <v>-0.48022424594442037</v>
      </c>
      <c r="Q37" s="5">
        <f t="shared" si="20"/>
        <v>-0.99154727563186673</v>
      </c>
    </row>
    <row r="38" spans="1:17" x14ac:dyDescent="0.25">
      <c r="A38" s="2" t="s">
        <v>28</v>
      </c>
      <c r="B38" s="3">
        <f>(((B36/B6)^(1/10))-1)</f>
        <v>0.13504210165777408</v>
      </c>
      <c r="C38" s="3">
        <f t="shared" ref="C38:I38" si="21">(((C36/C6)^(1/10))-1)</f>
        <v>0.13380164878808354</v>
      </c>
      <c r="D38" s="3">
        <f t="shared" si="21"/>
        <v>0.12528999209713376</v>
      </c>
      <c r="E38" s="3">
        <f t="shared" si="21"/>
        <v>0.1197461455402844</v>
      </c>
      <c r="F38" s="3">
        <f t="shared" si="21"/>
        <v>0.10251149909762791</v>
      </c>
      <c r="G38" s="3">
        <f t="shared" si="21"/>
        <v>0.12633638651052226</v>
      </c>
      <c r="H38" s="3">
        <f t="shared" si="21"/>
        <v>-0.38238901267794767</v>
      </c>
      <c r="I38" s="3">
        <f t="shared" si="21"/>
        <v>6.2757056270099643E-2</v>
      </c>
      <c r="J38" s="3" t="s">
        <v>29</v>
      </c>
      <c r="K38" s="3">
        <f>(((K36/K6)^(1/10))-1)</f>
        <v>7.7878750566912291E-2</v>
      </c>
      <c r="L38" s="3">
        <f>(((L36/L6)^(1/10))-1)</f>
        <v>0.10278983589715063</v>
      </c>
      <c r="M38" s="3">
        <f>(((M36/M6)^(1/10))-1)</f>
        <v>6.4577725247414453E-2</v>
      </c>
      <c r="N38" s="3" t="s">
        <v>29</v>
      </c>
      <c r="O38" s="3">
        <f>(((O36/O6)^(1/10))-1)</f>
        <v>0.10088542787731569</v>
      </c>
      <c r="P38" s="3">
        <f>(((P36/P6)^(1/10))-1)</f>
        <v>0.1305419633661018</v>
      </c>
      <c r="Q38" s="3">
        <f>(((Q36/Q6)^(1/10))-1)</f>
        <v>-0.38559401715416264</v>
      </c>
    </row>
    <row r="39" spans="1:17" x14ac:dyDescent="0.25">
      <c r="A39" s="19" t="s">
        <v>34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15.75" customHeight="1" x14ac:dyDescent="0.25">
      <c r="A40" s="15" t="s">
        <v>38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fitToHeight="0" orientation="landscape" r:id="rId1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2022-04-26T05:41:37Z</cp:lastPrinted>
  <dcterms:created xsi:type="dcterms:W3CDTF">2018-10-29T04:00:14Z</dcterms:created>
  <dcterms:modified xsi:type="dcterms:W3CDTF">2022-04-26T05:41:44Z</dcterms:modified>
</cp:coreProperties>
</file>