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OFFICE\Yearly publication\2021-22\updated Annualtables 29 July 2022\AIRLINE WISE DOMESTIC TRAFFIC STATISTICS\"/>
    </mc:Choice>
  </mc:AlternateContent>
  <bookViews>
    <workbookView showHorizontalScroll="0" showVerticalScroll="0" showSheetTabs="0" xWindow="0" yWindow="0" windowWidth="11550" windowHeight="9030"/>
  </bookViews>
  <sheets>
    <sheet name="Airline wise domestic traffic" sheetId="1" r:id="rId1"/>
  </sheets>
  <definedNames>
    <definedName name="_xlnm.Print_Area" localSheetId="0">'Airline wise domestic traffic'!$A$1:$Q$21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O20" i="1"/>
  <c r="N20" i="1"/>
  <c r="M20" i="1"/>
  <c r="L20" i="1"/>
  <c r="K20" i="1"/>
  <c r="I20" i="1"/>
  <c r="G20" i="1"/>
  <c r="F20" i="1"/>
  <c r="E20" i="1"/>
  <c r="D20" i="1"/>
  <c r="C20" i="1"/>
  <c r="B20" i="1"/>
  <c r="J20" i="1"/>
  <c r="H20" i="1" l="1"/>
  <c r="Q20" i="1"/>
</calcChain>
</file>

<file path=xl/sharedStrings.xml><?xml version="1.0" encoding="utf-8"?>
<sst xmlns="http://schemas.openxmlformats.org/spreadsheetml/2006/main" count="40" uniqueCount="38">
  <si>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</si>
  <si>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</si>
  <si>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</si>
  <si>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</si>
  <si>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</si>
  <si>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</si>
  <si>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</si>
  <si>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</si>
  <si>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</si>
  <si>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</si>
  <si>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</si>
  <si>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</si>
  <si>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</si>
  <si>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</si>
  <si>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</si>
  <si>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</si>
  <si>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</si>
  <si>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</si>
  <si>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</si>
  <si>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</si>
  <si>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ASIA</t>
  </si>
  <si>
    <t>AIR INDIA</t>
  </si>
  <si>
    <t>AIR INDIA EXPRESS</t>
  </si>
  <si>
    <t>ALLIANCE AIR</t>
  </si>
  <si>
    <t>BLUEDART</t>
  </si>
  <si>
    <t>GO AIR</t>
  </si>
  <si>
    <t>INDIGO</t>
  </si>
  <si>
    <t>SPICEJET</t>
  </si>
  <si>
    <t>TRUJET</t>
  </si>
  <si>
    <t>VISTARA</t>
  </si>
  <si>
    <t>YEAR TOTAL</t>
  </si>
  <si>
    <t xml:space="preserve">तालिका  1.01 ( अनुसूचित भारतीय एयरलाइन्स) </t>
  </si>
  <si>
    <t>Table 1.01 ( SCHEDULED INDIAN AIRLINES)</t>
  </si>
  <si>
    <t>PAWAN HANS</t>
  </si>
  <si>
    <t>STAR AIR</t>
  </si>
  <si>
    <t>AIR TAXI</t>
  </si>
  <si>
    <t>FLYBIG</t>
  </si>
  <si>
    <t>AIRLINE-WISE TRAFFIC AND OPERATING STATISTICS OF SCHEDULED INDIAN AIRLINES ON SCHEDULED DOMESTIC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</si>
</sst>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43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2" fillId="4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right" vertical="center"/>
    </xf>
    <xf numFmtId="164" fontId="2" fillId="4" borderId="1" xfId="3" applyNumberFormat="1" applyFill="1" applyBorder="1" applyAlignment="1">
      <alignment horizontal="right" vertical="center"/>
    </xf>
    <xf numFmtId="164" fontId="0" fillId="0" borderId="1" xfId="3" applyNumberFormat="1" applyFont="1" applyBorder="1" applyAlignment="1">
      <alignment horizontal="right" vertical="center"/>
    </xf>
    <xf numFmtId="43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center" vertical="center"/>
    </xf>
    <xf numFmtId="0" fontId="4" fillId="3" borderId="1" xfId="1" applyFont="1" applyBorder="1" applyAlignment="1" applyProtection="1">
      <alignment horizontal="center" vertical="center" textRotation="90" wrapText="1"/>
    </xf>
    <xf numFmtId="166" fontId="2" fillId="6" borderId="1" xfId="4" applyNumberFormat="1" applyFill="1" applyBorder="1" applyAlignment="1">
      <alignment horizontal="center" vertical="center"/>
    </xf>
    <xf numFmtId="165" fontId="2" fillId="6" borderId="1" xfId="3" applyNumberFormat="1" applyFill="1" applyBorder="1" applyAlignment="1">
      <alignment horizontal="right" vertical="center"/>
    </xf>
    <xf numFmtId="166" fontId="2" fillId="0" borderId="1" xfId="4" applyNumberFormat="1" applyFill="1" applyBorder="1" applyAlignment="1">
      <alignment horizontal="center" vertical="center"/>
    </xf>
    <xf numFmtId="165" fontId="2" fillId="0" borderId="1" xfId="3" applyNumberFormat="1" applyFill="1" applyBorder="1" applyAlignment="1">
      <alignment horizontal="right" vertical="center"/>
    </xf>
    <xf numFmtId="43" fontId="0" fillId="0" borderId="1" xfId="3" applyNumberFormat="1" applyFont="1" applyBorder="1" applyAlignment="1">
      <alignment horizontal="right" vertical="center"/>
    </xf>
    <xf numFmtId="0" fontId="5" fillId="6" borderId="1" xfId="2" applyFont="1" applyFill="1" applyBorder="1" applyAlignment="1">
      <alignment horizontal="center" vertical="center"/>
    </xf>
    <xf numFmtId="164" fontId="5" fillId="6" borderId="1" xfId="3" applyNumberFormat="1" applyFont="1" applyFill="1" applyBorder="1" applyAlignment="1">
      <alignment horizontal="right" vertical="center"/>
    </xf>
    <xf numFmtId="165" fontId="5" fillId="6" borderId="1" xfId="3" applyNumberFormat="1" applyFont="1" applyFill="1" applyBorder="1" applyAlignment="1">
      <alignment horizontal="right" vertical="center"/>
    </xf>
    <xf numFmtId="166" fontId="5" fillId="6" borderId="1" xfId="4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3" borderId="1" xfId="1" applyFont="1" applyBorder="1" applyAlignment="1" applyProtection="1">
      <alignment horizontal="center" vertical="center" textRotation="90" wrapText="1"/>
    </xf>
    <xf numFmtId="0" fontId="4" fillId="3" borderId="1" xfId="1" applyFont="1" applyBorder="1" applyAlignment="1">
      <alignment textRotation="90"/>
    </xf>
    <xf numFmtId="0" fontId="4" fillId="4" borderId="1" xfId="2" applyFont="1" applyBorder="1" applyAlignment="1">
      <alignment horizontal="center" vertical="center" wrapText="1"/>
    </xf>
    <xf numFmtId="0" fontId="4" fillId="4" borderId="1" xfId="2" quotePrefix="1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3" borderId="1" xfId="1" applyFont="1" applyBorder="1" applyAlignment="1" applyProtection="1">
      <alignment horizontal="center" vertical="center" wrapText="1"/>
    </xf>
    <xf numFmtId="0" fontId="4" fillId="3" borderId="1" xfId="1" applyFont="1" applyBorder="1"/>
    <xf numFmtId="165" fontId="4" fillId="7" borderId="1" xfId="3" applyNumberFormat="1" applyFont="1" applyFill="1" applyBorder="1" applyAlignment="1">
      <alignment horizontal="right" vertical="center"/>
    </xf>
  </cellXfs>
  <cellStyles count="5">
    <cellStyle name="20% - Accent2" xfId="4" builtinId="34"/>
    <cellStyle name="40% - Accent2" xfId="2" builtinId="35"/>
    <cellStyle name="Accent2" xfId="1" builtinId="33"/>
    <cellStyle name="Comma" xfId="3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21"/>
  <sheetViews>
    <sheetView tabSelected="1" topLeftCell="A7" zoomScale="115" zoomScaleNormal="115" zoomScaleSheetLayoutView="100" workbookViewId="0">
      <selection activeCell="J20" sqref="J20"/>
    </sheetView>
  </sheetViews>
  <sheetFormatPr defaultColWidth="9.140625" defaultRowHeight="15" x14ac:dyDescent="0.25"/>
  <cols>
    <col min="1" max="1" width="17" style="1" customWidth="1"/>
    <col min="2" max="2" width="10.7109375" style="1" customWidth="1"/>
    <col min="3" max="3" width="11" style="1" customWidth="1"/>
    <col min="4" max="4" width="9.28515625" style="1" customWidth="1"/>
    <col min="5" max="5" width="13.28515625" style="1" customWidth="1"/>
    <col min="6" max="6" width="12.140625" style="1" customWidth="1"/>
    <col min="7" max="7" width="13.140625" style="1" customWidth="1"/>
    <col min="8" max="8" width="6.42578125" style="1" customWidth="1"/>
    <col min="9" max="9" width="11.140625" style="1" customWidth="1"/>
    <col min="10" max="10" width="10.85546875" style="1" customWidth="1"/>
    <col min="11" max="11" width="11" style="1" customWidth="1"/>
    <col min="12" max="12" width="12.140625" style="1" customWidth="1"/>
    <col min="13" max="13" width="11.7109375" style="1" customWidth="1"/>
    <col min="14" max="14" width="9.28515625" style="1" customWidth="1"/>
    <col min="15" max="16" width="11.85546875" style="1" customWidth="1"/>
    <col min="17" max="17" width="8.140625" style="1" customWidth="1"/>
    <col min="18" max="16384" width="9.140625" style="1"/>
  </cols>
  <sheetData>
    <row r="1" spans="1:17" ht="18.75" customHeight="1" x14ac:dyDescent="0.25">
      <c r="A1" s="23" t="s">
        <v>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8.75" customHeight="1" x14ac:dyDescent="0.25">
      <c r="A2" s="24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18.75" customHeight="1" x14ac:dyDescent="0.25">
      <c r="A3" s="26" t="s">
        <v>37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1" customHeight="1" x14ac:dyDescent="0.25">
      <c r="A4" s="26" t="s">
        <v>19</v>
      </c>
      <c r="B4" s="26" t="s">
        <v>0</v>
      </c>
      <c r="C4" s="26"/>
      <c r="D4" s="26"/>
      <c r="E4" s="26" t="s">
        <v>1</v>
      </c>
      <c r="F4" s="27"/>
      <c r="G4" s="21" t="s">
        <v>2</v>
      </c>
      <c r="H4" s="21" t="s">
        <v>3</v>
      </c>
      <c r="I4" s="26" t="s">
        <v>4</v>
      </c>
      <c r="J4" s="26"/>
      <c r="K4" s="26"/>
      <c r="L4" s="26" t="s">
        <v>5</v>
      </c>
      <c r="M4" s="26"/>
      <c r="N4" s="26"/>
      <c r="O4" s="26"/>
      <c r="P4" s="21" t="s">
        <v>6</v>
      </c>
      <c r="Q4" s="21" t="s">
        <v>7</v>
      </c>
    </row>
    <row r="5" spans="1:17" ht="139.5" customHeight="1" x14ac:dyDescent="0.25">
      <c r="A5" s="26"/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22"/>
      <c r="H5" s="22"/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14</v>
      </c>
      <c r="O5" s="10" t="s">
        <v>15</v>
      </c>
      <c r="P5" s="22"/>
      <c r="Q5" s="22"/>
    </row>
    <row r="6" spans="1:17" ht="20.100000000000001" customHeight="1" x14ac:dyDescent="0.25">
      <c r="A6" s="2" t="s">
        <v>20</v>
      </c>
      <c r="B6" s="6">
        <v>38797</v>
      </c>
      <c r="C6" s="6">
        <v>74262.14999999998</v>
      </c>
      <c r="D6" s="6">
        <v>40373.638999999996</v>
      </c>
      <c r="E6" s="6">
        <v>4785571</v>
      </c>
      <c r="F6" s="6">
        <v>5135.7650750000003</v>
      </c>
      <c r="G6" s="4">
        <v>7323.6971819999981</v>
      </c>
      <c r="H6" s="11">
        <v>70.125306213131751</v>
      </c>
      <c r="I6" s="4">
        <v>28933.137200000001</v>
      </c>
      <c r="J6" s="4">
        <v>2210.5072</v>
      </c>
      <c r="K6" s="4">
        <v>31143.644400000001</v>
      </c>
      <c r="L6" s="4">
        <v>338.43357356200005</v>
      </c>
      <c r="M6" s="4">
        <v>64.355079788900014</v>
      </c>
      <c r="N6" s="4">
        <v>4.4261737793000009</v>
      </c>
      <c r="O6" s="4">
        <v>407.21482713019998</v>
      </c>
      <c r="P6" s="4">
        <v>807.47278000000006</v>
      </c>
      <c r="Q6" s="12">
        <v>50.430780729252568</v>
      </c>
    </row>
    <row r="7" spans="1:17" ht="20.100000000000001" customHeight="1" x14ac:dyDescent="0.25">
      <c r="A7" s="3" t="s">
        <v>21</v>
      </c>
      <c r="B7" s="7">
        <v>76834</v>
      </c>
      <c r="C7" s="7">
        <v>145274.33333333331</v>
      </c>
      <c r="D7" s="7">
        <v>90092.270999999993</v>
      </c>
      <c r="E7" s="7">
        <v>8166932</v>
      </c>
      <c r="F7" s="5">
        <v>8549.0891410000004</v>
      </c>
      <c r="G7" s="5">
        <v>12467.57372</v>
      </c>
      <c r="H7" s="13">
        <v>68.570592265966567</v>
      </c>
      <c r="I7" s="9">
        <v>69392.127500000017</v>
      </c>
      <c r="J7" s="9">
        <v>14.974406980133722</v>
      </c>
      <c r="K7" s="9">
        <v>69407.101906980155</v>
      </c>
      <c r="L7" s="5">
        <v>785.89279236800019</v>
      </c>
      <c r="M7" s="5">
        <v>86.970966226799987</v>
      </c>
      <c r="N7" s="5">
        <v>1.2456300863737378E-3</v>
      </c>
      <c r="O7" s="5">
        <v>872.86500422488643</v>
      </c>
      <c r="P7" s="28">
        <v>1336.5526074119998</v>
      </c>
      <c r="Q7" s="14">
        <v>65.307193999272258</v>
      </c>
    </row>
    <row r="8" spans="1:17" ht="20.100000000000001" customHeight="1" x14ac:dyDescent="0.25">
      <c r="A8" s="2" t="s">
        <v>22</v>
      </c>
      <c r="B8" s="6">
        <v>190</v>
      </c>
      <c r="C8" s="6">
        <v>500.28999999999991</v>
      </c>
      <c r="D8" s="6">
        <v>287.93600000000004</v>
      </c>
      <c r="E8" s="6">
        <v>17893</v>
      </c>
      <c r="F8" s="4">
        <v>27.012776000000002</v>
      </c>
      <c r="G8" s="4">
        <v>53.556095999999997</v>
      </c>
      <c r="H8" s="11">
        <v>50.4382843738274</v>
      </c>
      <c r="I8" s="4">
        <v>42.362000000000002</v>
      </c>
      <c r="J8" s="4">
        <v>3.2440000000000002</v>
      </c>
      <c r="K8" s="4">
        <v>45.606000000000002</v>
      </c>
      <c r="L8" s="8">
        <v>1.9802184569999997</v>
      </c>
      <c r="M8" s="4">
        <v>8.2153403999999999E-2</v>
      </c>
      <c r="N8" s="4">
        <v>6.2933599999999996E-3</v>
      </c>
      <c r="O8" s="8">
        <v>2.0686652209999998</v>
      </c>
      <c r="P8" s="8">
        <v>2.4402762520000003</v>
      </c>
      <c r="Q8" s="12">
        <v>84.771763824057388</v>
      </c>
    </row>
    <row r="9" spans="1:17" ht="20.100000000000001" customHeight="1" x14ac:dyDescent="0.25">
      <c r="A9" s="3" t="s">
        <v>35</v>
      </c>
      <c r="B9" s="7">
        <v>214</v>
      </c>
      <c r="C9" s="7">
        <v>256.12666666666667</v>
      </c>
      <c r="D9" s="7">
        <v>59.754899999999999</v>
      </c>
      <c r="E9" s="7">
        <v>221</v>
      </c>
      <c r="F9" s="15">
        <v>6.2206999999999998E-2</v>
      </c>
      <c r="G9" s="15">
        <v>0.17926799999999998</v>
      </c>
      <c r="H9" s="13">
        <v>34.700560055336148</v>
      </c>
      <c r="I9" s="5"/>
      <c r="J9" s="5"/>
      <c r="K9" s="9">
        <v>0</v>
      </c>
      <c r="L9" s="5">
        <v>4.6670000000000001E-3</v>
      </c>
      <c r="M9" s="5">
        <v>0</v>
      </c>
      <c r="N9" s="5">
        <v>0</v>
      </c>
      <c r="O9" s="5">
        <v>4.6670000000000001E-3</v>
      </c>
      <c r="P9" s="5">
        <v>7.3498000000000008E-2</v>
      </c>
      <c r="Q9" s="14">
        <v>6.3498326485074417</v>
      </c>
    </row>
    <row r="10" spans="1:17" ht="20.100000000000001" customHeight="1" x14ac:dyDescent="0.25">
      <c r="A10" s="2" t="s">
        <v>23</v>
      </c>
      <c r="B10" s="6">
        <v>27947</v>
      </c>
      <c r="C10" s="6">
        <v>38688</v>
      </c>
      <c r="D10" s="6">
        <v>20976</v>
      </c>
      <c r="E10" s="6">
        <v>1077709</v>
      </c>
      <c r="F10" s="6">
        <v>458.31900000000002</v>
      </c>
      <c r="G10" s="4">
        <v>766.375</v>
      </c>
      <c r="H10" s="11">
        <v>59.803490458326536</v>
      </c>
      <c r="I10" s="4">
        <v>509.44</v>
      </c>
      <c r="J10" s="4"/>
      <c r="K10" s="4">
        <v>509.44</v>
      </c>
      <c r="L10" s="4">
        <v>41.707000000000001</v>
      </c>
      <c r="M10" s="4">
        <v>0.25700000000000001</v>
      </c>
      <c r="N10" s="4">
        <v>0</v>
      </c>
      <c r="O10" s="4">
        <v>41.963999999999999</v>
      </c>
      <c r="P10" s="4">
        <v>70.846999999999994</v>
      </c>
      <c r="Q10" s="12">
        <v>59.231865851765079</v>
      </c>
    </row>
    <row r="11" spans="1:17" ht="20.100000000000001" customHeight="1" x14ac:dyDescent="0.25">
      <c r="A11" s="3" t="s">
        <v>24</v>
      </c>
      <c r="B11" s="7">
        <v>5663</v>
      </c>
      <c r="C11" s="7">
        <v>7593.42</v>
      </c>
      <c r="D11" s="7">
        <v>5647</v>
      </c>
      <c r="E11" s="7"/>
      <c r="F11" s="7">
        <v>0</v>
      </c>
      <c r="G11" s="7">
        <v>0</v>
      </c>
      <c r="H11" s="13"/>
      <c r="I11" s="5">
        <v>124179.624</v>
      </c>
      <c r="J11" s="5"/>
      <c r="K11" s="9">
        <v>124179.624</v>
      </c>
      <c r="L11" s="5">
        <v>0</v>
      </c>
      <c r="M11" s="5">
        <v>127.82</v>
      </c>
      <c r="N11" s="5">
        <v>0</v>
      </c>
      <c r="O11" s="5">
        <v>127.82</v>
      </c>
      <c r="P11" s="5">
        <v>174.36699999999999</v>
      </c>
      <c r="Q11" s="14">
        <v>73.305155218590684</v>
      </c>
    </row>
    <row r="12" spans="1:17" ht="20.100000000000001" customHeight="1" x14ac:dyDescent="0.25">
      <c r="A12" s="2" t="s">
        <v>36</v>
      </c>
      <c r="B12" s="6">
        <v>2210</v>
      </c>
      <c r="C12" s="6">
        <v>2627.63</v>
      </c>
      <c r="D12" s="6">
        <v>11863.770000000002</v>
      </c>
      <c r="E12" s="6">
        <v>81268</v>
      </c>
      <c r="F12" s="4">
        <v>30.496769999999998</v>
      </c>
      <c r="G12" s="4">
        <v>59.71555</v>
      </c>
      <c r="H12" s="11">
        <v>51.070064664898837</v>
      </c>
      <c r="I12" s="4"/>
      <c r="J12" s="4"/>
      <c r="K12" s="4">
        <v>0</v>
      </c>
      <c r="L12" s="4">
        <v>2.2872000000000003</v>
      </c>
      <c r="M12" s="4">
        <v>0</v>
      </c>
      <c r="N12" s="4">
        <v>0</v>
      </c>
      <c r="O12" s="4">
        <v>2.2872000000000003</v>
      </c>
      <c r="P12" s="4">
        <v>18.252542000000002</v>
      </c>
      <c r="Q12" s="12">
        <v>12.530857345787783</v>
      </c>
    </row>
    <row r="13" spans="1:17" ht="20.100000000000001" customHeight="1" x14ac:dyDescent="0.25">
      <c r="A13" s="3" t="s">
        <v>25</v>
      </c>
      <c r="B13" s="7">
        <v>58349</v>
      </c>
      <c r="C13" s="7">
        <v>114527.86299999998</v>
      </c>
      <c r="D13" s="7">
        <v>54502.425999999999</v>
      </c>
      <c r="E13" s="7">
        <v>7970284</v>
      </c>
      <c r="F13" s="7">
        <v>7539.3324199999997</v>
      </c>
      <c r="G13" s="5">
        <v>10039.849147999999</v>
      </c>
      <c r="H13" s="13">
        <v>75.094080686480055</v>
      </c>
      <c r="I13" s="5">
        <v>63505.949969999994</v>
      </c>
      <c r="J13" s="5"/>
      <c r="K13" s="9">
        <v>63505.949969999994</v>
      </c>
      <c r="L13" s="5">
        <v>678.53503322999995</v>
      </c>
      <c r="M13" s="5">
        <v>67.548335390559998</v>
      </c>
      <c r="N13" s="5">
        <v>0</v>
      </c>
      <c r="O13" s="5">
        <v>746.08336862056001</v>
      </c>
      <c r="P13" s="5">
        <v>1032.8157803999998</v>
      </c>
      <c r="Q13" s="14">
        <v>72.237797173432909</v>
      </c>
    </row>
    <row r="14" spans="1:17" ht="20.100000000000001" customHeight="1" x14ac:dyDescent="0.25">
      <c r="A14" s="2" t="s">
        <v>26</v>
      </c>
      <c r="B14" s="6">
        <v>375712</v>
      </c>
      <c r="C14" s="6">
        <v>645267.6399999999</v>
      </c>
      <c r="D14" s="6">
        <v>327747.83999999997</v>
      </c>
      <c r="E14" s="6">
        <v>46606224</v>
      </c>
      <c r="F14" s="6">
        <v>43931.574999999997</v>
      </c>
      <c r="G14" s="4">
        <v>59736.658000000003</v>
      </c>
      <c r="H14" s="11">
        <v>73.54207026445971</v>
      </c>
      <c r="I14" s="4">
        <v>206198.97120000003</v>
      </c>
      <c r="J14" s="4">
        <v>20504.214250000001</v>
      </c>
      <c r="K14" s="4">
        <v>226703.18545000002</v>
      </c>
      <c r="L14" s="4">
        <v>3953.3650286399993</v>
      </c>
      <c r="M14" s="4">
        <v>236.63389344319003</v>
      </c>
      <c r="N14" s="4">
        <v>19.189513509649998</v>
      </c>
      <c r="O14" s="4">
        <v>4209.1884355928396</v>
      </c>
      <c r="P14" s="4">
        <v>6866.9443873970004</v>
      </c>
      <c r="Q14" s="12">
        <v>61.296381594672908</v>
      </c>
    </row>
    <row r="15" spans="1:17" ht="20.100000000000001" customHeight="1" x14ac:dyDescent="0.25">
      <c r="A15" s="3" t="s">
        <v>33</v>
      </c>
      <c r="B15" s="7">
        <v>532</v>
      </c>
      <c r="C15" s="7">
        <v>353.31999999999994</v>
      </c>
      <c r="D15" s="7">
        <v>47.721999999999994</v>
      </c>
      <c r="E15" s="7">
        <v>1530</v>
      </c>
      <c r="F15" s="5">
        <v>0.12157900000000002</v>
      </c>
      <c r="G15" s="5">
        <v>0.51214199999999999</v>
      </c>
      <c r="H15" s="13">
        <v>23.739314486997749</v>
      </c>
      <c r="I15" s="5"/>
      <c r="J15" s="5"/>
      <c r="K15" s="9">
        <v>0</v>
      </c>
      <c r="L15" s="5">
        <v>9.9670000000000005</v>
      </c>
      <c r="M15" s="5">
        <v>0</v>
      </c>
      <c r="N15" s="5">
        <v>0</v>
      </c>
      <c r="O15" s="5">
        <v>9.9670000000000005</v>
      </c>
      <c r="P15" s="5">
        <v>20.545999999999999</v>
      </c>
      <c r="Q15" s="14">
        <v>48.510659009052858</v>
      </c>
    </row>
    <row r="16" spans="1:17" ht="20.100000000000001" customHeight="1" x14ac:dyDescent="0.25">
      <c r="A16" s="2" t="s">
        <v>27</v>
      </c>
      <c r="B16" s="6">
        <v>78019</v>
      </c>
      <c r="C16" s="6">
        <v>119420.25000000001</v>
      </c>
      <c r="D16" s="6">
        <v>69635.927999999985</v>
      </c>
      <c r="E16" s="6">
        <v>8386574</v>
      </c>
      <c r="F16" s="6">
        <v>8400.646342</v>
      </c>
      <c r="G16" s="4">
        <v>10442.520477</v>
      </c>
      <c r="H16" s="11">
        <v>80.446539324511775</v>
      </c>
      <c r="I16" s="4">
        <v>40691.670199999993</v>
      </c>
      <c r="J16" s="4"/>
      <c r="K16" s="4">
        <v>40691.670199999993</v>
      </c>
      <c r="L16" s="4">
        <v>630.04736539999999</v>
      </c>
      <c r="M16" s="4">
        <v>47.627665745659982</v>
      </c>
      <c r="N16" s="4">
        <v>0</v>
      </c>
      <c r="O16" s="4">
        <v>677.67503114566</v>
      </c>
      <c r="P16" s="4">
        <v>933.55234649999989</v>
      </c>
      <c r="Q16" s="12">
        <v>72.59100506643739</v>
      </c>
    </row>
    <row r="17" spans="1:17" ht="20.100000000000001" customHeight="1" x14ac:dyDescent="0.25">
      <c r="A17" s="3" t="s">
        <v>34</v>
      </c>
      <c r="B17" s="7">
        <v>5746</v>
      </c>
      <c r="C17" s="7">
        <v>7996.4300000000012</v>
      </c>
      <c r="D17" s="7">
        <v>4377.8410000000003</v>
      </c>
      <c r="E17" s="7">
        <v>199633</v>
      </c>
      <c r="F17" s="5">
        <v>160.93577500000001</v>
      </c>
      <c r="G17" s="5">
        <v>218.89205000000001</v>
      </c>
      <c r="H17" s="13">
        <v>73.522896331776323</v>
      </c>
      <c r="I17" s="5"/>
      <c r="J17" s="5"/>
      <c r="K17" s="9">
        <v>0</v>
      </c>
      <c r="L17" s="5">
        <v>14.49393218</v>
      </c>
      <c r="M17" s="5">
        <v>0</v>
      </c>
      <c r="N17" s="5">
        <v>0</v>
      </c>
      <c r="O17" s="5">
        <v>14.49393218</v>
      </c>
      <c r="P17" s="5">
        <v>97.224709999999988</v>
      </c>
      <c r="Q17" s="14">
        <v>14.9076630621989</v>
      </c>
    </row>
    <row r="18" spans="1:17" ht="20.100000000000001" customHeight="1" x14ac:dyDescent="0.25">
      <c r="A18" s="2" t="s">
        <v>28</v>
      </c>
      <c r="B18" s="6">
        <v>4486</v>
      </c>
      <c r="C18" s="6">
        <v>5708.55</v>
      </c>
      <c r="D18" s="6">
        <v>1737.2</v>
      </c>
      <c r="E18" s="6">
        <v>147549</v>
      </c>
      <c r="F18" s="4">
        <v>57.771364999999996</v>
      </c>
      <c r="G18" s="4">
        <v>122.63704500000001</v>
      </c>
      <c r="H18" s="11">
        <v>47.107597056011905</v>
      </c>
      <c r="I18" s="4"/>
      <c r="J18" s="4"/>
      <c r="K18" s="4">
        <v>0</v>
      </c>
      <c r="L18" s="4">
        <v>5.4838848200000001</v>
      </c>
      <c r="M18" s="4">
        <v>0</v>
      </c>
      <c r="N18" s="4">
        <v>0</v>
      </c>
      <c r="O18" s="4">
        <v>5.4838848200000001</v>
      </c>
      <c r="P18" s="4">
        <v>12.5094919</v>
      </c>
      <c r="Q18" s="12">
        <v>43.837790246300891</v>
      </c>
    </row>
    <row r="19" spans="1:17" ht="20.100000000000001" customHeight="1" x14ac:dyDescent="0.25">
      <c r="A19" s="3" t="s">
        <v>29</v>
      </c>
      <c r="B19" s="7">
        <v>55071</v>
      </c>
      <c r="C19" s="7">
        <v>73543.650000000009</v>
      </c>
      <c r="D19" s="7">
        <v>61019.142</v>
      </c>
      <c r="E19" s="7">
        <v>6743071</v>
      </c>
      <c r="F19" s="5">
        <v>7487.3426459999991</v>
      </c>
      <c r="G19" s="5">
        <v>10222.954288000001</v>
      </c>
      <c r="H19" s="13">
        <v>73.240498148258951</v>
      </c>
      <c r="I19" s="5">
        <v>47246.355000000003</v>
      </c>
      <c r="J19" s="5">
        <v>1817.0475500000002</v>
      </c>
      <c r="K19" s="9">
        <v>49063.402550000006</v>
      </c>
      <c r="L19" s="5">
        <v>673.86076991999983</v>
      </c>
      <c r="M19" s="5">
        <v>61.390200477</v>
      </c>
      <c r="N19" s="5">
        <v>2.3117829679799993</v>
      </c>
      <c r="O19" s="5">
        <v>737.56275336497993</v>
      </c>
      <c r="P19" s="5">
        <v>1062.2826346000002</v>
      </c>
      <c r="Q19" s="14">
        <v>69.431875222426783</v>
      </c>
    </row>
    <row r="20" spans="1:17" ht="20.100000000000001" customHeight="1" x14ac:dyDescent="0.25">
      <c r="A20" s="16" t="s">
        <v>30</v>
      </c>
      <c r="B20" s="17">
        <f>SUM(B6:B19)</f>
        <v>729770</v>
      </c>
      <c r="C20" s="17">
        <f>SUM(C6:C19)</f>
        <v>1236019.6529999997</v>
      </c>
      <c r="D20" s="17">
        <f>SUM(D6:D19)</f>
        <v>688368.46989999979</v>
      </c>
      <c r="E20" s="17">
        <f>SUM(E6:E19)</f>
        <v>84184459</v>
      </c>
      <c r="F20" s="18">
        <f>SUM(F6:F19)</f>
        <v>81778.47009599999</v>
      </c>
      <c r="G20" s="18">
        <f>SUM(G6:G19)</f>
        <v>111455.119966</v>
      </c>
      <c r="H20" s="19">
        <f>F20/G20*100</f>
        <v>73.373453028400107</v>
      </c>
      <c r="I20" s="18">
        <f>SUM(I6:I19)</f>
        <v>580699.63706999994</v>
      </c>
      <c r="J20" s="18">
        <f>SUM(J6:J19)</f>
        <v>24549.987406980134</v>
      </c>
      <c r="K20" s="18">
        <f>SUM(K6:K19)</f>
        <v>605249.62447698019</v>
      </c>
      <c r="L20" s="18">
        <f>SUM(L6:L19)</f>
        <v>7136.058465576999</v>
      </c>
      <c r="M20" s="18">
        <f>SUM(M6:M19)</f>
        <v>692.68529447611002</v>
      </c>
      <c r="N20" s="18">
        <f>SUM(N6:N19)</f>
        <v>25.935009247016374</v>
      </c>
      <c r="O20" s="18">
        <f>SUM(O6:O19)</f>
        <v>7854.6787693001261</v>
      </c>
      <c r="P20" s="18">
        <f>SUM(P6:P19)</f>
        <v>12435.881054461002</v>
      </c>
      <c r="Q20" s="18">
        <f t="shared" ref="Q20" si="0">O20/P20*100</f>
        <v>63.16141763419725</v>
      </c>
    </row>
    <row r="21" spans="1:17" ht="17.100000000000001" customHeight="1" x14ac:dyDescent="0.25">
      <c r="A21" s="20" t="s">
        <v>18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</sheetData>
  <mergeCells count="13">
    <mergeCell ref="A21:Q21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Airline wise domestic traffic</vt:lpstr>
      <vt:lpstr>'Airline wise domestic traffic'!Print_Area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2020-06-09T09:07:50Z</cp:lastPrinted>
  <dcterms:created xsi:type="dcterms:W3CDTF">2018-10-29T04:00:07Z</dcterms:created>
  <dcterms:modified xsi:type="dcterms:W3CDTF">2022-09-23T09:20:16Z</dcterms:modified>
</cp:coreProperties>
</file>