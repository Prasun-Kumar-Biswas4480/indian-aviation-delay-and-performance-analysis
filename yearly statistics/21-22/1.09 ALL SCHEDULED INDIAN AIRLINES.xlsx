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STER~1\AppData\Local\Temp\Rar$DI45.3172\"/>
    </mc:Choice>
  </mc:AlternateContent>
  <bookViews>
    <workbookView showHorizontalScroll="0" showVerticalScroll="0" xWindow="0" yWindow="0" windowWidth="24000" windowHeight="9735"/>
  </bookViews>
  <sheets>
    <sheet name="INDIGO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4" l="1"/>
  <c r="O18" i="4"/>
  <c r="Q18" i="4" s="1"/>
  <c r="N18" i="4"/>
  <c r="M18" i="4"/>
  <c r="L18" i="4"/>
  <c r="K18" i="4"/>
  <c r="J18" i="4"/>
  <c r="I18" i="4"/>
  <c r="G18" i="4"/>
  <c r="F18" i="4"/>
  <c r="H18" i="4" s="1"/>
  <c r="E18" i="4"/>
  <c r="D18" i="4"/>
  <c r="C18" i="4"/>
  <c r="B18" i="4"/>
  <c r="H17" i="4"/>
  <c r="H16" i="4"/>
  <c r="H15" i="4"/>
  <c r="Q14" i="4"/>
  <c r="H14" i="4"/>
  <c r="H13" i="4"/>
  <c r="H12" i="4"/>
  <c r="H11" i="4"/>
  <c r="H10" i="4"/>
  <c r="H9" i="4"/>
  <c r="H8" i="4"/>
  <c r="H7" i="4"/>
  <c r="H6" i="4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<sst xmlns="http://schemas.openxmlformats.org/spreadsheetml/2006/main" count="27" uniqueCount="25">
  <si>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</si>
  <si>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</si>
  <si>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</si>
  <si>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</si>
  <si>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</si>
  <si>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</si>
  <si>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</si>
  <si>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</si>
  <si>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</si>
  <si>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</si>
  <si>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</si>
  <si>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</si>
  <si>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</si>
  <si>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</si>
  <si>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</si>
  <si>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</si>
  <si>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</si>
  <si>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</si>
  <si>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</si>
  <si>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* DENOTES that THE INTERNATIONAL OPERATIONS BY SCHEDULED INDIAN OPERATORS WERE CARRIED AS PER DGCA’S CIRCULAR DATED 26.03.2020 UNDER COVID-19 RESTRICTION.</t>
  </si>
  <si>
    <t>2021-22</t>
  </si>
  <si>
    <t>Table 1.09(ALL SCHEDULED INDIAN AIRLINES)</t>
  </si>
  <si>
    <t xml:space="preserve">तालिका - 1.09  (सभी अनुसूचित भारतीय एयरलाइन्स) </t>
  </si>
  <si>
    <t>SOURCE:-  ICAO ATR FORM 'A' FURNISHED BY ALL SCHEDULED INDIAN AIRLINES</t>
  </si>
  <si>
    <t>MONTHLY TRAFFIC AND OPERATING STATISTICS OF ALL SCHEDULED INDIAN AIRLINES ON NON SCHEDULED INTERNATIONAL* SERVICES DURING 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</si>
</sst>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43" fontId="3" fillId="0" borderId="0" applyFont="0" applyFill="0" applyBorder="0" applyAlignment="0" applyProtection="0"/>
  </cellStyleXfs>
  <cellXfs count="28">
    <xf numFmtId="0" fontId="0" fillId="0" borderId="0" xfId="0"/>
    <xf numFmtId="164" fontId="3" fillId="4" borderId="1" xfId="3" applyNumberFormat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4" fontId="6" fillId="4" borderId="1" xfId="3" applyNumberFormat="1" applyFont="1" applyBorder="1" applyAlignment="1" applyProtection="1">
      <alignment horizontal="right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6" fontId="0" fillId="0" borderId="0" xfId="0" applyNumberFormat="1" applyFont="1" applyBorder="1"/>
    <xf numFmtId="166" fontId="0" fillId="5" borderId="1" xfId="0" applyNumberFormat="1" applyFont="1" applyFill="1" applyBorder="1"/>
    <xf numFmtId="165" fontId="3" fillId="6" borderId="1" xfId="3" applyNumberFormat="1" applyFill="1" applyBorder="1" applyAlignment="1">
      <alignment horizontal="right" vertical="center"/>
    </xf>
    <xf numFmtId="165" fontId="6" fillId="4" borderId="1" xfId="3" applyNumberFormat="1" applyFont="1" applyBorder="1" applyAlignment="1">
      <alignment horizontal="right" vertical="center"/>
    </xf>
    <xf numFmtId="167" fontId="3" fillId="4" borderId="1" xfId="3" applyNumberFormat="1" applyBorder="1" applyAlignment="1">
      <alignment horizontal="center" vertical="center"/>
    </xf>
    <xf numFmtId="167" fontId="5" fillId="0" borderId="1" xfId="1" applyNumberFormat="1" applyFont="1" applyFill="1" applyBorder="1" applyAlignment="1">
      <alignment horizontal="center" vertical="center"/>
    </xf>
    <xf numFmtId="167" fontId="6" fillId="4" borderId="1" xfId="3" applyNumberFormat="1" applyFont="1" applyBorder="1" applyAlignment="1" applyProtection="1">
      <alignment horizontal="center" vertical="center" wrapText="1"/>
    </xf>
    <xf numFmtId="164" fontId="5" fillId="0" borderId="1" xfId="4" applyNumberFormat="1" applyFont="1" applyFill="1" applyBorder="1" applyAlignment="1">
      <alignment horizontal="right" vertical="center"/>
    </xf>
    <xf numFmtId="164" fontId="5" fillId="0" borderId="3" xfId="4" applyNumberFormat="1" applyFont="1" applyFill="1" applyBorder="1" applyAlignment="1">
      <alignment horizontal="right" vertical="center"/>
    </xf>
    <xf numFmtId="165" fontId="5" fillId="0" borderId="1" xfId="4" applyNumberFormat="1" applyFont="1" applyFill="1" applyBorder="1" applyAlignment="1">
      <alignment horizontal="right" vertical="center"/>
    </xf>
    <xf numFmtId="165" fontId="5" fillId="5" borderId="1" xfId="4" applyNumberFormat="1" applyFont="1" applyFill="1" applyBorder="1" applyAlignment="1">
      <alignment horizontal="right" vertical="center"/>
    </xf>
    <xf numFmtId="164" fontId="5" fillId="0" borderId="2" xfId="4" applyNumberFormat="1" applyFont="1" applyFill="1" applyBorder="1" applyAlignment="1">
      <alignment horizontal="right" vertical="center"/>
    </xf>
    <xf numFmtId="166" fontId="0" fillId="0" borderId="0" xfId="0" applyNumberFormat="1"/>
    <xf numFmtId="0" fontId="6" fillId="0" borderId="4" xfId="0" applyFont="1" applyBorder="1" applyAlignment="1">
      <alignment horizontal="left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5">
    <cellStyle name="40% - Accent6" xfId="3" builtinId="51"/>
    <cellStyle name="Accent6" xfId="2" builtinId="49"/>
    <cellStyle name="Comma" xfId="1" builtinId="3"/>
    <cellStyle name="Comma 3 3" xf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zoomScaleNormal="100" zoomScaleSheetLayoutView="100" workbookViewId="0">
      <selection activeCell="A3" sqref="A3:Q3"/>
    </sheetView>
  </sheetViews>
  <sheetFormatPr defaultRowHeight="15" x14ac:dyDescent="0.25"/>
  <cols>
    <col min="1" max="1" width="15.7109375" customWidth="1"/>
    <col min="2" max="2" width="8.5703125" customWidth="1"/>
    <col min="3" max="4" width="8.85546875" customWidth="1"/>
    <col min="5" max="5" width="12" customWidth="1"/>
    <col min="6" max="6" width="11.5703125" customWidth="1"/>
    <col min="7" max="7" width="10" customWidth="1"/>
    <col min="8" max="8" width="8.42578125" customWidth="1"/>
    <col min="9" max="9" width="11.140625" customWidth="1"/>
    <col min="10" max="10" width="7" customWidth="1"/>
    <col min="11" max="11" width="9.85546875" customWidth="1"/>
    <col min="12" max="12" width="11.7109375" customWidth="1"/>
    <col min="13" max="13" width="9.28515625" customWidth="1"/>
    <col min="14" max="14" width="9.42578125" customWidth="1"/>
    <col min="15" max="15" width="11.42578125" customWidth="1"/>
    <col min="16" max="16" width="10.42578125" customWidth="1"/>
    <col min="17" max="17" width="9.28515625" customWidth="1"/>
  </cols>
  <sheetData>
    <row r="1" spans="1:17" ht="15" customHeight="1" x14ac:dyDescent="0.25">
      <c r="A1" s="23" t="s">
        <v>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5" customHeight="1" x14ac:dyDescent="0.25">
      <c r="A2" s="24" t="s">
        <v>21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15" customHeight="1" x14ac:dyDescent="0.25">
      <c r="A3" s="26" t="s">
        <v>24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</row>
    <row r="4" spans="1:17" ht="30.6" customHeight="1" x14ac:dyDescent="0.25">
      <c r="A4" s="26" t="s">
        <v>0</v>
      </c>
      <c r="B4" s="26" t="s">
        <v>1</v>
      </c>
      <c r="C4" s="26"/>
      <c r="D4" s="26"/>
      <c r="E4" s="26" t="s">
        <v>2</v>
      </c>
      <c r="F4" s="27"/>
      <c r="G4" s="20" t="s">
        <v>3</v>
      </c>
      <c r="H4" s="20" t="s">
        <v>4</v>
      </c>
      <c r="I4" s="26" t="s">
        <v>5</v>
      </c>
      <c r="J4" s="26"/>
      <c r="K4" s="26"/>
      <c r="L4" s="26" t="s">
        <v>6</v>
      </c>
      <c r="M4" s="26"/>
      <c r="N4" s="26"/>
      <c r="O4" s="26"/>
      <c r="P4" s="20" t="s">
        <v>7</v>
      </c>
      <c r="Q4" s="20" t="s">
        <v>8</v>
      </c>
    </row>
    <row r="5" spans="1:17" ht="101.25" customHeight="1" x14ac:dyDescent="0.25">
      <c r="A5" s="26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21"/>
      <c r="H5" s="21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21"/>
      <c r="Q5" s="21"/>
    </row>
    <row r="6" spans="1:17" x14ac:dyDescent="0.25">
      <c r="A6" s="10">
        <v>44287</v>
      </c>
      <c r="B6" s="1">
        <v>6120</v>
      </c>
      <c r="C6" s="1">
        <v>26494.473333333346</v>
      </c>
      <c r="D6" s="1">
        <v>20118.416000000001</v>
      </c>
      <c r="E6" s="1">
        <v>656481</v>
      </c>
      <c r="F6" s="1">
        <v>2510.4518170000001</v>
      </c>
      <c r="G6" s="1">
        <v>3905.6572590000005</v>
      </c>
      <c r="H6" s="2">
        <f>F6/G6*100</f>
        <v>64.277320064760957</v>
      </c>
      <c r="I6" s="2">
        <v>17794.533809999997</v>
      </c>
      <c r="J6" s="2">
        <v>2.2610000000000001</v>
      </c>
      <c r="K6" s="2">
        <v>17796.794809999996</v>
      </c>
      <c r="L6" s="2">
        <v>223.36907006800001</v>
      </c>
      <c r="M6" s="2">
        <v>69.990334648919983</v>
      </c>
      <c r="N6" s="2">
        <v>7.0324350000000001E-3</v>
      </c>
      <c r="O6" s="2">
        <v>293.36643715191997</v>
      </c>
      <c r="P6" s="2">
        <v>536.43697351600019</v>
      </c>
      <c r="Q6" s="2">
        <v>54.687959934806727</v>
      </c>
    </row>
    <row r="7" spans="1:17" x14ac:dyDescent="0.25">
      <c r="A7" s="11">
        <v>44317</v>
      </c>
      <c r="B7" s="13">
        <v>3846</v>
      </c>
      <c r="C7" s="13">
        <v>17182.623333333329</v>
      </c>
      <c r="D7" s="14">
        <v>13157.585000000001</v>
      </c>
      <c r="E7" s="13">
        <v>222466</v>
      </c>
      <c r="F7" s="13">
        <v>890.48814999999991</v>
      </c>
      <c r="G7" s="13">
        <v>2230.636857</v>
      </c>
      <c r="H7" s="15">
        <f t="shared" ref="H7:H18" si="0">F7/G7*100</f>
        <v>39.920803209430694</v>
      </c>
      <c r="I7" s="15">
        <v>15725.714089999999</v>
      </c>
      <c r="J7" s="15">
        <v>2.2610000000000001</v>
      </c>
      <c r="K7" s="15">
        <v>15727.97509</v>
      </c>
      <c r="L7" s="15">
        <v>105.458650762</v>
      </c>
      <c r="M7" s="15">
        <v>64.275050451980007</v>
      </c>
      <c r="N7" s="15">
        <v>7.0305240000000007E-3</v>
      </c>
      <c r="O7" s="15">
        <v>169.74073173797998</v>
      </c>
      <c r="P7" s="15">
        <v>359.13240434800008</v>
      </c>
      <c r="Q7" s="15">
        <v>47.264109192859372</v>
      </c>
    </row>
    <row r="8" spans="1:17" x14ac:dyDescent="0.25">
      <c r="A8" s="10">
        <v>44348</v>
      </c>
      <c r="B8" s="1">
        <v>3311</v>
      </c>
      <c r="C8" s="1">
        <v>14286.713333333337</v>
      </c>
      <c r="D8" s="7">
        <v>10886.082</v>
      </c>
      <c r="E8" s="1">
        <v>223646</v>
      </c>
      <c r="F8" s="1">
        <v>859.99183900000003</v>
      </c>
      <c r="G8" s="1">
        <v>1804.808849</v>
      </c>
      <c r="H8" s="2">
        <f t="shared" si="0"/>
        <v>47.650023406994059</v>
      </c>
      <c r="I8" s="2">
        <v>15113.128070000002</v>
      </c>
      <c r="J8" s="2">
        <v>2.2686999999999999</v>
      </c>
      <c r="K8" s="2">
        <v>15115.396770000003</v>
      </c>
      <c r="L8" s="2">
        <v>75.294714341000017</v>
      </c>
      <c r="M8" s="2">
        <v>58.262873148109989</v>
      </c>
      <c r="N8" s="2">
        <v>6.488162999999999E-3</v>
      </c>
      <c r="O8" s="2">
        <v>133.56407565211001</v>
      </c>
      <c r="P8" s="2">
        <v>274.73917464799996</v>
      </c>
      <c r="Q8" s="2">
        <v>48.614863833391922</v>
      </c>
    </row>
    <row r="9" spans="1:17" x14ac:dyDescent="0.25">
      <c r="A9" s="11">
        <v>44378</v>
      </c>
      <c r="B9" s="13">
        <v>4252</v>
      </c>
      <c r="C9" s="13">
        <v>18303.54</v>
      </c>
      <c r="D9" s="6">
        <v>13647.176000000001</v>
      </c>
      <c r="E9" s="13">
        <v>338597</v>
      </c>
      <c r="F9" s="13">
        <v>1292.4773210000001</v>
      </c>
      <c r="G9" s="13">
        <v>2215.3780870000001</v>
      </c>
      <c r="H9" s="15">
        <f t="shared" si="0"/>
        <v>58.341162106114133</v>
      </c>
      <c r="I9" s="15">
        <v>17473.765790000005</v>
      </c>
      <c r="J9" s="15">
        <v>5.0579999999999989</v>
      </c>
      <c r="K9" s="8">
        <v>17478.823790000006</v>
      </c>
      <c r="L9" s="15">
        <v>113.25526984099999</v>
      </c>
      <c r="M9" s="15">
        <v>64.038233902110008</v>
      </c>
      <c r="N9" s="15">
        <v>1.4130255999999999E-2</v>
      </c>
      <c r="O9" s="8">
        <v>177.30763399910998</v>
      </c>
      <c r="P9" s="15">
        <v>339.51092162600003</v>
      </c>
      <c r="Q9" s="8">
        <v>52.224427170101272</v>
      </c>
    </row>
    <row r="10" spans="1:17" x14ac:dyDescent="0.25">
      <c r="A10" s="10">
        <v>44409</v>
      </c>
      <c r="B10" s="1">
        <v>5756</v>
      </c>
      <c r="C10" s="1">
        <v>24334.116666666665</v>
      </c>
      <c r="D10" s="7">
        <v>18255.436000000002</v>
      </c>
      <c r="E10" s="1">
        <v>559795</v>
      </c>
      <c r="F10" s="1">
        <v>2064.2552449999998</v>
      </c>
      <c r="G10" s="1">
        <v>3370.7847539999998</v>
      </c>
      <c r="H10" s="2">
        <f t="shared" si="0"/>
        <v>61.239604295421593</v>
      </c>
      <c r="I10" s="2">
        <v>17598.919379999999</v>
      </c>
      <c r="J10" s="2">
        <v>6.32</v>
      </c>
      <c r="K10" s="2">
        <v>17605.239379999999</v>
      </c>
      <c r="L10" s="2">
        <v>178.96597563499998</v>
      </c>
      <c r="M10" s="2">
        <v>63.972897594800003</v>
      </c>
      <c r="N10" s="2">
        <v>1.8365374E-2</v>
      </c>
      <c r="O10" s="2">
        <v>242.95723860379999</v>
      </c>
      <c r="P10" s="2">
        <v>463.21508105600009</v>
      </c>
      <c r="Q10" s="2">
        <v>52.450200466255517</v>
      </c>
    </row>
    <row r="11" spans="1:17" x14ac:dyDescent="0.25">
      <c r="A11" s="11">
        <v>44440</v>
      </c>
      <c r="B11" s="13">
        <v>7281</v>
      </c>
      <c r="C11" s="13">
        <v>30144.28666666666</v>
      </c>
      <c r="D11" s="6">
        <v>22428.62</v>
      </c>
      <c r="E11" s="13">
        <v>787960</v>
      </c>
      <c r="F11" s="13">
        <v>2587.3513190000003</v>
      </c>
      <c r="G11" s="13">
        <v>4037.2703430000001</v>
      </c>
      <c r="H11" s="15">
        <f t="shared" si="0"/>
        <v>64.086650117103645</v>
      </c>
      <c r="I11" s="15">
        <v>20684.115100000006</v>
      </c>
      <c r="J11" s="15">
        <v>7.9226582340835607</v>
      </c>
      <c r="K11" s="8">
        <v>20692.037758234092</v>
      </c>
      <c r="L11" s="15">
        <v>219.11237955100003</v>
      </c>
      <c r="M11" s="15">
        <v>80.45016806276</v>
      </c>
      <c r="N11" s="15">
        <v>2.1424928431891605E-2</v>
      </c>
      <c r="O11" s="8">
        <v>299.58397254219193</v>
      </c>
      <c r="P11" s="15">
        <v>562.09509642500007</v>
      </c>
      <c r="Q11" s="8">
        <v>53.297738131427586</v>
      </c>
    </row>
    <row r="12" spans="1:17" x14ac:dyDescent="0.25">
      <c r="A12" s="10">
        <v>44470</v>
      </c>
      <c r="B12" s="1">
        <v>8475</v>
      </c>
      <c r="C12" s="1">
        <v>35306.256666666675</v>
      </c>
      <c r="D12" s="7">
        <v>26066.164000000001</v>
      </c>
      <c r="E12" s="1">
        <v>1045969</v>
      </c>
      <c r="F12" s="1">
        <v>3529.5910710000003</v>
      </c>
      <c r="G12" s="1">
        <v>4909.9295599999996</v>
      </c>
      <c r="H12" s="2">
        <f t="shared" si="0"/>
        <v>71.886796498155874</v>
      </c>
      <c r="I12" s="2">
        <v>21662.371719999996</v>
      </c>
      <c r="J12" s="2">
        <v>9.5888827331407676</v>
      </c>
      <c r="K12" s="2">
        <v>21671.960602733136</v>
      </c>
      <c r="L12" s="2">
        <v>309.57172564800004</v>
      </c>
      <c r="M12" s="2">
        <v>86.698336831697489</v>
      </c>
      <c r="N12" s="2">
        <v>2.7887031999999999E-2</v>
      </c>
      <c r="O12" s="2">
        <v>396.29794951169754</v>
      </c>
      <c r="P12" s="2">
        <v>663.83973455399996</v>
      </c>
      <c r="Q12" s="2">
        <v>59.69783501705421</v>
      </c>
    </row>
    <row r="13" spans="1:17" x14ac:dyDescent="0.25">
      <c r="A13" s="11">
        <v>44501</v>
      </c>
      <c r="B13" s="13">
        <v>8526</v>
      </c>
      <c r="C13" s="13">
        <v>36607.903333333335</v>
      </c>
      <c r="D13" s="6">
        <v>26971.901000000005</v>
      </c>
      <c r="E13" s="13">
        <v>1162717</v>
      </c>
      <c r="F13" s="13">
        <v>4138.1658070000003</v>
      </c>
      <c r="G13" s="13">
        <v>5310.9044830000003</v>
      </c>
      <c r="H13" s="15">
        <f t="shared" si="0"/>
        <v>77.918287181516988</v>
      </c>
      <c r="I13" s="15">
        <v>18391.014539999996</v>
      </c>
      <c r="J13" s="15">
        <v>4.5810782838821469</v>
      </c>
      <c r="K13" s="8">
        <v>18395.595618283878</v>
      </c>
      <c r="L13" s="15">
        <v>385.17401078699999</v>
      </c>
      <c r="M13" s="15">
        <v>71.784090161344508</v>
      </c>
      <c r="N13" s="15">
        <v>1.3075907288737507E-2</v>
      </c>
      <c r="O13" s="8">
        <v>456.97117685563325</v>
      </c>
      <c r="P13" s="15">
        <v>780.43635743399977</v>
      </c>
      <c r="Q13" s="8">
        <v>58.553291694163356</v>
      </c>
    </row>
    <row r="14" spans="1:17" x14ac:dyDescent="0.25">
      <c r="A14" s="10">
        <v>44531</v>
      </c>
      <c r="B14" s="1">
        <v>9599</v>
      </c>
      <c r="C14" s="1">
        <v>39857.456666666665</v>
      </c>
      <c r="D14" s="7">
        <v>30316.186999999998</v>
      </c>
      <c r="E14" s="1">
        <v>1387628</v>
      </c>
      <c r="F14" s="1">
        <v>4855.5228640000005</v>
      </c>
      <c r="G14" s="1">
        <v>6120.484649</v>
      </c>
      <c r="H14" s="2">
        <f t="shared" si="0"/>
        <v>79.332326481585469</v>
      </c>
      <c r="I14" s="2">
        <v>19015.115429999998</v>
      </c>
      <c r="J14" s="16">
        <v>5.8801623916797663</v>
      </c>
      <c r="K14" s="2">
        <v>19020.995592391679</v>
      </c>
      <c r="L14" s="2">
        <v>452.25164867100005</v>
      </c>
      <c r="M14" s="2">
        <v>77.706928211357464</v>
      </c>
      <c r="N14" s="2">
        <v>1.6136632347956786E-2</v>
      </c>
      <c r="O14" s="2">
        <v>529.97471351470551</v>
      </c>
      <c r="P14" s="2">
        <v>800.7</v>
      </c>
      <c r="Q14" s="2">
        <f>O14/P14*100</f>
        <v>66.188923880942369</v>
      </c>
    </row>
    <row r="15" spans="1:17" x14ac:dyDescent="0.25">
      <c r="A15" s="11">
        <v>44562</v>
      </c>
      <c r="B15" s="13">
        <v>9826</v>
      </c>
      <c r="C15" s="13">
        <v>41978.893333333319</v>
      </c>
      <c r="D15" s="17">
        <v>31131.345000000001</v>
      </c>
      <c r="E15" s="13">
        <v>1165458</v>
      </c>
      <c r="F15" s="13">
        <v>4267.05105</v>
      </c>
      <c r="G15" s="13">
        <v>6331.1799169999995</v>
      </c>
      <c r="H15" s="15">
        <f t="shared" si="0"/>
        <v>67.397406264548593</v>
      </c>
      <c r="I15" s="15">
        <v>18343.187400000003</v>
      </c>
      <c r="J15" s="15">
        <v>9.0233813667346663</v>
      </c>
      <c r="K15" s="8">
        <v>18352.210781366739</v>
      </c>
      <c r="L15" s="15">
        <v>399.92041948700017</v>
      </c>
      <c r="M15" s="15">
        <v>78.417373606604954</v>
      </c>
      <c r="N15" s="15">
        <v>2.3383463417821458E-2</v>
      </c>
      <c r="O15" s="8">
        <v>478.36117655702293</v>
      </c>
      <c r="P15" s="15">
        <v>790.2746379299997</v>
      </c>
      <c r="Q15" s="8">
        <v>60.531004488517425</v>
      </c>
    </row>
    <row r="16" spans="1:17" x14ac:dyDescent="0.25">
      <c r="A16" s="10">
        <v>44593</v>
      </c>
      <c r="B16" s="1">
        <v>8396</v>
      </c>
      <c r="C16" s="1">
        <v>36516.696666666656</v>
      </c>
      <c r="D16" s="1">
        <v>26874.585999999999</v>
      </c>
      <c r="E16" s="1">
        <v>1108963</v>
      </c>
      <c r="F16" s="1">
        <v>4089.4566319999999</v>
      </c>
      <c r="G16" s="1">
        <v>5463.6747879999994</v>
      </c>
      <c r="H16" s="2">
        <f t="shared" si="0"/>
        <v>74.848097492584515</v>
      </c>
      <c r="I16" s="2">
        <v>18354.699619999999</v>
      </c>
      <c r="J16" s="2">
        <v>8.1874578407812848</v>
      </c>
      <c r="K16" s="2">
        <v>18362.88707784078</v>
      </c>
      <c r="L16" s="2">
        <v>389.11209584300008</v>
      </c>
      <c r="M16" s="2">
        <v>79.797445263947509</v>
      </c>
      <c r="N16" s="2">
        <v>2.0635930706586335E-2</v>
      </c>
      <c r="O16" s="2">
        <v>468.93017703765418</v>
      </c>
      <c r="P16" s="2">
        <v>704.919103898</v>
      </c>
      <c r="Q16" s="2">
        <v>66.522551941719996</v>
      </c>
    </row>
    <row r="17" spans="1:17" x14ac:dyDescent="0.25">
      <c r="A17" s="11">
        <v>44621</v>
      </c>
      <c r="B17" s="13">
        <v>9880</v>
      </c>
      <c r="C17" s="13">
        <v>43183.196666666678</v>
      </c>
      <c r="D17" s="13">
        <v>30878.793000000001</v>
      </c>
      <c r="E17" s="13">
        <v>1442487</v>
      </c>
      <c r="F17" s="13">
        <v>5140.5424699999994</v>
      </c>
      <c r="G17" s="13">
        <v>6333.9396689999994</v>
      </c>
      <c r="H17" s="15">
        <f t="shared" si="0"/>
        <v>81.158690146027027</v>
      </c>
      <c r="I17" s="15">
        <v>19671.388299999995</v>
      </c>
      <c r="J17" s="18">
        <v>9.1276876532625302</v>
      </c>
      <c r="K17" s="8">
        <v>19680.515987653256</v>
      </c>
      <c r="L17" s="15">
        <v>482.20518997219983</v>
      </c>
      <c r="M17" s="15">
        <v>83.913432875267489</v>
      </c>
      <c r="N17" s="15">
        <v>2.4412432265791994E-2</v>
      </c>
      <c r="O17" s="8">
        <v>566.14303527973311</v>
      </c>
      <c r="P17" s="15">
        <v>815.8</v>
      </c>
      <c r="Q17" s="8">
        <v>69.400091327879338</v>
      </c>
    </row>
    <row r="18" spans="1:17" x14ac:dyDescent="0.25">
      <c r="A18" s="12" t="s">
        <v>20</v>
      </c>
      <c r="B18" s="3">
        <f>SUM(B6:B17)</f>
        <v>85268</v>
      </c>
      <c r="C18" s="3">
        <f t="shared" ref="C18:N18" si="1">SUM(C6:C17)</f>
        <v>364196.15666666662</v>
      </c>
      <c r="D18" s="3">
        <f t="shared" si="1"/>
        <v>270732.29100000003</v>
      </c>
      <c r="E18" s="3">
        <f t="shared" si="1"/>
        <v>10102167</v>
      </c>
      <c r="F18" s="3">
        <f t="shared" si="1"/>
        <v>36225.345585000003</v>
      </c>
      <c r="G18" s="3">
        <f t="shared" si="1"/>
        <v>52034.649214999998</v>
      </c>
      <c r="H18" s="4">
        <f t="shared" si="0"/>
        <v>69.617737664228059</v>
      </c>
      <c r="I18" s="4">
        <f t="shared" si="1"/>
        <v>219827.95324999999</v>
      </c>
      <c r="J18" s="4">
        <f>SUM(J6:J17)</f>
        <v>72.480008503564733</v>
      </c>
      <c r="K18" s="4">
        <f t="shared" si="1"/>
        <v>219900.43325850356</v>
      </c>
      <c r="L18" s="4">
        <f>SUM(L6:L17)</f>
        <v>3333.6911506062006</v>
      </c>
      <c r="M18" s="4">
        <f>SUM(M6:M17)</f>
        <v>879.30716475889926</v>
      </c>
      <c r="N18" s="4">
        <f t="shared" si="1"/>
        <v>0.20000307845878568</v>
      </c>
      <c r="O18" s="9">
        <f>SUM(O6:O17)</f>
        <v>4213.1983184435585</v>
      </c>
      <c r="P18" s="4">
        <f>SUM(P6:P17)</f>
        <v>7091.0994854349992</v>
      </c>
      <c r="Q18" s="9">
        <f t="shared" ref="Q18" si="2">O18/P18*100</f>
        <v>59.415304031446716</v>
      </c>
    </row>
    <row r="19" spans="1:17" ht="15" customHeight="1" x14ac:dyDescent="0.25">
      <c r="A19" s="22" t="s">
        <v>23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</row>
    <row r="20" spans="1:17" x14ac:dyDescent="0.25">
      <c r="A20" s="19" t="s">
        <v>19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2022-04-26T05:39:08Z</cp:lastPrinted>
  <dcterms:created xsi:type="dcterms:W3CDTF">2018-10-29T04:00:09Z</dcterms:created>
  <dcterms:modified xsi:type="dcterms:W3CDTF">2022-11-09T09:50:17Z</dcterms:modified>
</cp:coreProperties>
</file>