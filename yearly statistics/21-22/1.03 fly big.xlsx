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ICAO B  C 2022\"/>
    </mc:Choice>
  </mc:AlternateContent>
  <bookViews>
    <workbookView xWindow="0" yWindow="0" windowWidth="24000" windowHeight="11025"/>
  </bookViews>
  <sheets>
    <sheet name="AIR HERIT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/>
  <c r="H16" i="1"/>
  <c r="Q15" i="1"/>
  <c r="H15" i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<sst xmlns="http://schemas.openxmlformats.org/spreadsheetml/2006/main" count="27" uniqueCount="25">
  <si>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</si>
  <si>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</si>
  <si>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</si>
  <si>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</si>
  <si>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</si>
  <si>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</si>
  <si>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</si>
  <si>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</si>
  <si>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</si>
  <si>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</si>
  <si>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</si>
  <si>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</si>
  <si>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</si>
  <si>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</si>
  <si>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</si>
  <si>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</si>
  <si>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</si>
  <si>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</si>
  <si>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</si>
  <si>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2020-21</t>
  </si>
  <si>
    <t xml:space="preserve">तालिका 1.03 (फ्लाई बिग) </t>
  </si>
  <si>
    <t>Table 1.03 (FLY BIG)</t>
  </si>
  <si>
    <t>SOURCE:-  ICAO ATR FORM 'A' FURNISHED BY FLY BIG</t>
  </si>
  <si>
    <t>* DENOTES that THE INTERNATIONAL OPERATIONS BY SCHEDULED INDIAN OPERATORS WERE CARRIED AS PER DGCA’S CIRCULAR DATED 26.03.2020 UNDER COVID-19 RESTRICTION.</t>
  </si>
  <si>
    <t>MONTHLY TRAFFIC AND OPERATING STATISTICS OF FLY BIG ON SCHEDULED (DOMESTIC + INTERNATIONAL*)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</si>
</sst>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5" fontId="1" fillId="3" borderId="1" xfId="3" applyNumberFormat="1" applyBorder="1" applyAlignment="1">
      <alignment horizontal="center" vertical="center"/>
    </xf>
    <xf numFmtId="43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4" fontId="2" fillId="3" borderId="1" xfId="3" applyNumberFormat="1" applyFont="1" applyBorder="1" applyAlignment="1">
      <alignment horizontal="center" vertical="center"/>
    </xf>
    <xf numFmtId="43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A10" zoomScale="130" zoomScaleNormal="100" zoomScaleSheetLayoutView="130" workbookViewId="0">
      <selection activeCell="B15" sqref="B15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20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8.600000000000001" customHeight="1" x14ac:dyDescent="0.25">
      <c r="A2" s="22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8.600000000000001" customHeight="1" x14ac:dyDescent="0.25">
      <c r="A3" s="24" t="s">
        <v>24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18.600000000000001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5" t="s">
        <v>3</v>
      </c>
      <c r="H4" s="15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5" t="s">
        <v>7</v>
      </c>
      <c r="Q4" s="15" t="s">
        <v>8</v>
      </c>
    </row>
    <row r="5" spans="1:17" ht="100.15" customHeight="1" x14ac:dyDescent="0.25">
      <c r="A5" s="24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6"/>
      <c r="H5" s="16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6"/>
      <c r="Q5" s="16"/>
    </row>
    <row r="6" spans="1:17" ht="18.600000000000001" customHeight="1" x14ac:dyDescent="0.25">
      <c r="A6" s="12">
        <v>43922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8.600000000000001" customHeight="1" x14ac:dyDescent="0.25">
      <c r="A7" s="13">
        <v>43952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8.600000000000001" customHeight="1" x14ac:dyDescent="0.25">
      <c r="A8" s="12">
        <v>43983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8.600000000000001" customHeight="1" x14ac:dyDescent="0.25">
      <c r="A9" s="13">
        <v>44013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8.600000000000001" customHeight="1" x14ac:dyDescent="0.25">
      <c r="A10" s="12">
        <v>44044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8.600000000000001" customHeight="1" x14ac:dyDescent="0.25">
      <c r="A11" s="13">
        <v>44075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8.600000000000001" customHeight="1" x14ac:dyDescent="0.25">
      <c r="A12" s="12">
        <v>44105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8.600000000000001" customHeight="1" x14ac:dyDescent="0.25">
      <c r="A13" s="13">
        <v>44136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8.600000000000001" customHeight="1" x14ac:dyDescent="0.25">
      <c r="A14" s="12">
        <v>44166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8.600000000000001" customHeight="1" x14ac:dyDescent="0.25">
      <c r="A15" s="13">
        <v>44197</v>
      </c>
      <c r="B15" s="5">
        <v>56</v>
      </c>
      <c r="C15" s="5">
        <v>67</v>
      </c>
      <c r="D15" s="5">
        <v>1.9279999999999999</v>
      </c>
      <c r="E15" s="5">
        <v>1717</v>
      </c>
      <c r="F15" s="2">
        <v>0.7772</v>
      </c>
      <c r="G15" s="6">
        <v>1.8095000000000001</v>
      </c>
      <c r="H15" s="6">
        <f t="shared" ref="H15:H18" si="0">F15/G15*100</f>
        <v>42.95109146172976</v>
      </c>
      <c r="I15" s="6">
        <v>0</v>
      </c>
      <c r="J15" s="6">
        <v>0</v>
      </c>
      <c r="K15" s="6">
        <v>0</v>
      </c>
      <c r="L15" s="6">
        <v>5.8290000000000002E-2</v>
      </c>
      <c r="M15" s="6">
        <v>0</v>
      </c>
      <c r="N15" s="6">
        <v>0</v>
      </c>
      <c r="O15" s="6">
        <v>5.8290000000000002E-2</v>
      </c>
      <c r="P15" s="6">
        <v>0.55209000000000008</v>
      </c>
      <c r="Q15" s="6">
        <f t="shared" ref="Q15:Q18" si="1">O15/P15*100</f>
        <v>10.558061185676246</v>
      </c>
    </row>
    <row r="16" spans="1:17" ht="18.600000000000001" customHeight="1" x14ac:dyDescent="0.25">
      <c r="A16" s="12">
        <v>44228</v>
      </c>
      <c r="B16" s="7">
        <v>80</v>
      </c>
      <c r="C16" s="7">
        <v>103</v>
      </c>
      <c r="D16" s="7">
        <v>38.56</v>
      </c>
      <c r="E16" s="7">
        <v>2921</v>
      </c>
      <c r="F16" s="1">
        <v>1.4125699999999999</v>
      </c>
      <c r="G16" s="8">
        <v>2.7763200000000001</v>
      </c>
      <c r="H16" s="8">
        <f t="shared" si="0"/>
        <v>50.879221415398789</v>
      </c>
      <c r="I16" s="8">
        <v>0</v>
      </c>
      <c r="J16" s="8">
        <v>0</v>
      </c>
      <c r="K16" s="8">
        <v>0</v>
      </c>
      <c r="L16" s="8">
        <v>0.10593999999999999</v>
      </c>
      <c r="M16" s="8">
        <v>0</v>
      </c>
      <c r="N16" s="8">
        <v>0</v>
      </c>
      <c r="O16" s="8">
        <v>0.10593999999999999</v>
      </c>
      <c r="P16" s="8">
        <v>0.84821000000000002</v>
      </c>
      <c r="Q16" s="8">
        <f t="shared" si="1"/>
        <v>12.489831527569823</v>
      </c>
    </row>
    <row r="17" spans="1:17" ht="18.600000000000001" customHeight="1" x14ac:dyDescent="0.25">
      <c r="A17" s="13">
        <v>44256</v>
      </c>
      <c r="B17" s="5">
        <v>90</v>
      </c>
      <c r="C17" s="5">
        <v>119</v>
      </c>
      <c r="D17" s="5">
        <v>43.69</v>
      </c>
      <c r="E17" s="5">
        <v>2600</v>
      </c>
      <c r="F17" s="2">
        <v>1.278</v>
      </c>
      <c r="G17" s="6">
        <v>3.14568</v>
      </c>
      <c r="H17" s="6">
        <f t="shared" si="0"/>
        <v>40.627145799954221</v>
      </c>
      <c r="I17" s="6">
        <v>0</v>
      </c>
      <c r="J17" s="6">
        <v>0</v>
      </c>
      <c r="K17" s="6">
        <v>0</v>
      </c>
      <c r="L17" s="6">
        <v>9.5850000000000005E-2</v>
      </c>
      <c r="M17" s="6">
        <v>0</v>
      </c>
      <c r="N17" s="6">
        <v>0</v>
      </c>
      <c r="O17" s="6">
        <v>9.1819999999999999E-2</v>
      </c>
      <c r="P17" s="6">
        <v>0.96117999999999992</v>
      </c>
      <c r="Q17" s="6">
        <f t="shared" si="1"/>
        <v>9.5528412992363556</v>
      </c>
    </row>
    <row r="18" spans="1:17" ht="18.600000000000001" customHeight="1" x14ac:dyDescent="0.25">
      <c r="A18" s="3" t="s">
        <v>19</v>
      </c>
      <c r="B18" s="9">
        <f>SUM(B6:B17)</f>
        <v>226</v>
      </c>
      <c r="C18" s="9">
        <f t="shared" ref="C18:G18" si="2">SUM(C6:C17)</f>
        <v>289</v>
      </c>
      <c r="D18" s="9">
        <f t="shared" si="2"/>
        <v>84.177999999999997</v>
      </c>
      <c r="E18" s="9">
        <f t="shared" si="2"/>
        <v>7238</v>
      </c>
      <c r="F18" s="10">
        <f t="shared" si="2"/>
        <v>3.4677699999999998</v>
      </c>
      <c r="G18" s="11">
        <f t="shared" si="2"/>
        <v>7.7315000000000005</v>
      </c>
      <c r="H18" s="11">
        <f t="shared" si="0"/>
        <v>44.852486580870462</v>
      </c>
      <c r="I18" s="11">
        <f>SUM(I6:I17)</f>
        <v>0</v>
      </c>
      <c r="J18" s="11">
        <f t="shared" ref="J18:P18" si="3">SUM(J6:J17)</f>
        <v>0</v>
      </c>
      <c r="K18" s="11">
        <f t="shared" si="3"/>
        <v>0</v>
      </c>
      <c r="L18" s="11">
        <f t="shared" si="3"/>
        <v>0.26007999999999998</v>
      </c>
      <c r="M18" s="11">
        <f t="shared" si="3"/>
        <v>0</v>
      </c>
      <c r="N18" s="11">
        <f t="shared" si="3"/>
        <v>0</v>
      </c>
      <c r="O18" s="11">
        <f t="shared" si="3"/>
        <v>0.25605</v>
      </c>
      <c r="P18" s="11">
        <f t="shared" si="3"/>
        <v>2.3614800000000002</v>
      </c>
      <c r="Q18" s="11">
        <f t="shared" si="1"/>
        <v>10.842776563849787</v>
      </c>
    </row>
    <row r="19" spans="1:17" ht="18.600000000000001" customHeight="1" x14ac:dyDescent="0.25">
      <c r="A19" s="17" t="s">
        <v>22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  <row r="20" spans="1:17" ht="21.75" customHeight="1" x14ac:dyDescent="0.25">
      <c r="A20" s="14" t="s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2022-04-26T05:17:29Z</cp:lastPrinted>
  <dcterms:created xsi:type="dcterms:W3CDTF">2020-06-03T10:38:50Z</dcterms:created>
  <dcterms:modified xsi:type="dcterms:W3CDTF">2022-04-27T06:06:28Z</dcterms:modified>
</cp:coreProperties>
</file>