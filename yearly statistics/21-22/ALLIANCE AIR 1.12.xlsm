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ALLIANCE AIR.xlsm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'1.12'!$A$1:$D$14</definedName>
    <definedName name="Print_Area_MI" localSheetId="3">'1.12'!$A$6:$D$13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<sst xmlns="http://schemas.openxmlformats.org/spreadsheetml/2006/main" count="877" uniqueCount="188">
  <si>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</si>
  <si>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</si>
  <si>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</si>
  <si>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</si>
  <si>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</si>
  <si>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</si>
  <si>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</si>
  <si>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</si>
  <si>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</si>
  <si>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</si>
  <si>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</si>
  <si>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</si>
  <si>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</si>
  <si>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</si>
  <si>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</si>
  <si>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</si>
  <si>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</si>
  <si>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</si>
  <si>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</si>
  <si>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</si>
  <si>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</si>
  <si>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</si>
  <si>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</si>
  <si>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</si>
  <si>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</si>
  <si>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</si>
  <si>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</si>
  <si>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</si>
  <si>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</si>
  <si>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</si>
  <si>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</si>
  <si>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</si>
  <si>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</si>
  <si>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</si>
  <si>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</si>
  <si>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</si>
  <si>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</si>
  <si>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</si>
  <si>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</si>
  <si>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</si>
  <si>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</si>
  <si>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</si>
  <si>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</si>
  <si>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</si>
  <si>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</si>
  <si>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</si>
  <si>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</si>
  <si>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</si>
  <si>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</si>
  <si>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</si>
  <si>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</si>
  <si>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</si>
  <si>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</si>
  <si>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</si>
  <si>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</si>
  <si>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</si>
  <si>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</si>
  <si>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</si>
  <si>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</si>
  <si>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</si>
  <si>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</si>
  <si>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</si>
  <si>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</si>
  <si>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</si>
  <si>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</si>
  <si>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</si>
  <si>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</si>
  <si>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</si>
  <si>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</si>
  <si>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</si>
  <si>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</si>
  <si>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</si>
  <si>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</si>
  <si>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</si>
  <si>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</si>
  <si>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</si>
  <si>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</si>
  <si>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</si>
  <si>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</si>
  <si>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</si>
  <si>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</si>
  <si>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</si>
  <si>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</si>
  <si>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</si>
  <si>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</si>
  <si>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</si>
  <si>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</si>
  <si>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</si>
  <si>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</si>
  <si>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</si>
  <si>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</si>
  <si>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</si>
  <si>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</si>
  <si>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</si>
  <si>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</si>
  <si>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</si>
  <si>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</si>
  <si>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</si>
  <si>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</si>
  <si>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</si>
  <si>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</si>
  <si>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</si>
  <si>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</si>
  <si>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</si>
  <si>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</si>
  <si>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</si>
  <si>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</si>
  <si>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</si>
  <si>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</si>
  <si>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</si>
  <si>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</si>
  <si>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</si>
  <si>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</si>
  <si>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</si>
  <si>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</si>
  <si>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</si>
  <si>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</si>
  <si>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</si>
  <si>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</si>
  <si>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</si>
  <si>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</si>
  <si>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</si>
  <si>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</si>
  <si>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</si>
  <si>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</si>
  <si>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</si>
  <si>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</si>
  <si>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</si>
  <si>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</si>
  <si>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</si>
  <si>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</si>
  <si>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</si>
  <si>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</si>
  <si>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</si>
  <si>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</si>
  <si>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</si>
  <si>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</si>
  <si>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</si>
  <si>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</si>
  <si>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</si>
  <si>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</si>
  <si>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</si>
  <si>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</si>
  <si>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</si>
  <si>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</si>
  <si>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</si>
  <si>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</si>
  <si>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</si>
  <si>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</si>
  <si>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</si>
  <si>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</si>
  <si>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</si>
  <si>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</si>
  <si>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</si>
  <si>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</si>
  <si>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</si>
  <si>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</si>
  <si>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</si>
  <si>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</si>
  <si>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</si>
  <si>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</si>
  <si>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</si>
  <si>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</si>
  <si>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</si>
  <si>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</si>
  <si>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</si>
  <si>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</si>
  <si>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</si>
  <si>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</si>
  <si>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</si>
  <si>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</si>
  <si>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</si>
  <si>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</si>
  <si>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</si>
  <si>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</si>
  <si>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</si>
  <si>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</si>
  <si>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</si>
  <si>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</si>
  <si>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</si>
  <si>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</si>
  <si>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</si>
  <si>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ALLIANCE AIR</t>
  </si>
  <si>
    <t xml:space="preserve">तालिका 1.12 (एलाइंस एयर) </t>
  </si>
  <si>
    <t>TABLE - 1.12 (ALLIANCE AIR)</t>
  </si>
  <si>
    <t>OTHER FLIGHT CREW</t>
  </si>
  <si>
    <t>CABIN CREW</t>
  </si>
  <si>
    <t>PERSONNEL STATISTICS OF ALLIANCE AIR DURING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</si>
</sst>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#,##0.0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8" fillId="0" borderId="0" applyFont="0" applyFill="0" applyBorder="0" applyAlignment="0" applyProtection="0"/>
    <xf numFmtId="0" fontId="6" fillId="0" borderId="0"/>
    <xf numFmtId="37" fontId="6" fillId="0" borderId="0"/>
    <xf numFmtId="165" fontId="6" fillId="0" borderId="0"/>
    <xf numFmtId="0" fontId="5" fillId="0" borderId="0"/>
    <xf numFmtId="0" fontId="2" fillId="0" borderId="0"/>
    <xf numFmtId="0" fontId="11" fillId="0" borderId="0">
      <alignment vertical="top"/>
    </xf>
    <xf numFmtId="0" fontId="14" fillId="0" borderId="0"/>
    <xf numFmtId="43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41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0" fontId="9" fillId="2" borderId="0" xfId="2" applyFont="1" applyFill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5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vertical="top" wrapText="1"/>
    </xf>
    <xf numFmtId="166" fontId="12" fillId="4" borderId="10" xfId="7" applyNumberFormat="1" applyFont="1" applyFill="1" applyBorder="1" applyAlignment="1" applyProtection="1">
      <alignment horizontal="left" vertical="center"/>
    </xf>
    <xf numFmtId="166" fontId="12" fillId="4" borderId="10" xfId="7" applyNumberFormat="1" applyFont="1" applyFill="1" applyBorder="1" applyAlignment="1" applyProtection="1">
      <alignment vertical="center"/>
    </xf>
    <xf numFmtId="166" fontId="13" fillId="4" borderId="9" xfId="7" applyNumberFormat="1" applyFont="1" applyFill="1" applyBorder="1" applyAlignment="1" applyProtection="1">
      <alignment vertical="center"/>
    </xf>
    <xf numFmtId="166" fontId="12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3" fontId="3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9" fillId="2" borderId="1" xfId="2" applyFont="1" applyFill="1" applyBorder="1" applyAlignment="1" applyProtection="1">
      <alignment horizontal="center" vertical="center" wrapText="1"/>
    </xf>
    <xf numFmtId="0" fontId="9" fillId="2" borderId="0" xfId="2" applyFont="1" applyFill="1" applyBorder="1" applyAlignment="1">
      <alignment horizontal="left" vertical="center" wrapText="1"/>
    </xf>
    <xf numFmtId="0" fontId="9" fillId="2" borderId="2" xfId="2" applyFont="1" applyFill="1" applyBorder="1" applyAlignment="1" applyProtection="1">
      <alignment horizontal="center" vertical="center" wrapText="1"/>
    </xf>
    <xf numFmtId="0" fontId="19" fillId="2" borderId="5" xfId="2" applyFont="1" applyFill="1" applyBorder="1" applyAlignment="1">
      <alignment horizontal="center" vertical="center"/>
    </xf>
    <xf numFmtId="0" fontId="19" fillId="2" borderId="6" xfId="2" applyFont="1" applyFill="1" applyBorder="1" applyAlignment="1">
      <alignment horizontal="center" vertical="center"/>
    </xf>
    <xf numFmtId="0" fontId="19" fillId="2" borderId="7" xfId="2" applyFont="1" applyFill="1" applyBorder="1" applyAlignment="1">
      <alignment horizontal="center" vertical="center"/>
    </xf>
    <xf numFmtId="0" fontId="9" fillId="2" borderId="3" xfId="2" quotePrefix="1" applyFont="1" applyFill="1" applyBorder="1" applyAlignment="1" applyProtection="1">
      <alignment horizontal="center" vertical="center" wrapText="1"/>
    </xf>
    <xf numFmtId="0" fontId="9" fillId="2" borderId="4" xfId="2" applyFont="1" applyFill="1" applyBorder="1" applyAlignment="1" applyProtection="1">
      <alignment horizontal="center" vertical="center" wrapText="1"/>
    </xf>
    <xf numFmtId="0" fontId="9" fillId="2" borderId="8" xfId="2" applyFont="1" applyFill="1" applyBorder="1" applyAlignment="1" applyProtection="1">
      <alignment horizontal="center" vertical="center" wrapText="1"/>
    </xf>
    <xf numFmtId="0" fontId="9" fillId="2" borderId="6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%20(2)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%20(2)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%20(2)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98</v>
      </c>
      <c r="B1" s="9" t="s">
        <v>98</v>
      </c>
      <c r="C1" s="9" t="s">
        <v>98</v>
      </c>
      <c r="D1" s="9" t="s">
        <v>98</v>
      </c>
      <c r="E1" s="9" t="s">
        <v>98</v>
      </c>
      <c r="F1" s="9" t="s">
        <v>98</v>
      </c>
      <c r="G1" s="9" t="s">
        <v>98</v>
      </c>
      <c r="H1" s="9" t="s">
        <v>98</v>
      </c>
      <c r="I1" s="9" t="s">
        <v>98</v>
      </c>
      <c r="J1" s="9" t="s">
        <v>98</v>
      </c>
      <c r="K1" s="9" t="s">
        <v>98</v>
      </c>
      <c r="L1" s="9" t="s">
        <v>98</v>
      </c>
      <c r="M1" s="9" t="s">
        <v>98</v>
      </c>
      <c r="N1" s="9" t="s">
        <v>98</v>
      </c>
      <c r="O1" s="9" t="s">
        <v>98</v>
      </c>
      <c r="P1" s="9" t="s">
        <v>98</v>
      </c>
      <c r="Q1" s="9" t="s">
        <v>98</v>
      </c>
      <c r="R1" s="9" t="s">
        <v>98</v>
      </c>
      <c r="S1" s="9" t="s">
        <v>98</v>
      </c>
      <c r="T1" s="9" t="s">
        <v>98</v>
      </c>
      <c r="U1" s="9" t="s">
        <v>98</v>
      </c>
      <c r="V1" s="9" t="s">
        <v>98</v>
      </c>
      <c r="W1" s="9" t="s">
        <v>98</v>
      </c>
      <c r="X1" s="9" t="s">
        <v>98</v>
      </c>
      <c r="Y1" s="9" t="s">
        <v>98</v>
      </c>
      <c r="Z1" s="9" t="s">
        <v>98</v>
      </c>
      <c r="AA1" s="9" t="s">
        <v>98</v>
      </c>
      <c r="AB1" s="9" t="s">
        <v>98</v>
      </c>
      <c r="AC1" s="9" t="s">
        <v>98</v>
      </c>
      <c r="AD1" s="9" t="s">
        <v>98</v>
      </c>
      <c r="AE1" s="9" t="s">
        <v>98</v>
      </c>
      <c r="AF1" s="9" t="s">
        <v>98</v>
      </c>
      <c r="AG1" s="9" t="s">
        <v>98</v>
      </c>
      <c r="AH1" s="9" t="s">
        <v>98</v>
      </c>
      <c r="AI1" s="9" t="s">
        <v>98</v>
      </c>
      <c r="AJ1" s="9" t="s">
        <v>98</v>
      </c>
      <c r="AK1" s="9" t="s">
        <v>98</v>
      </c>
      <c r="AQ1" s="5" t="s">
        <v>34</v>
      </c>
      <c r="AR1" t="s">
        <v>24</v>
      </c>
    </row>
    <row r="2" spans="1:57">
      <c r="A2" s="9" t="s">
        <v>98</v>
      </c>
      <c r="B2" s="26" t="e">
        <f>#REF!</f>
        <v>#REF!</v>
      </c>
      <c r="C2" s="9" t="s">
        <v>98</v>
      </c>
      <c r="D2" s="9" t="s">
        <v>98</v>
      </c>
      <c r="E2" s="9" t="s">
        <v>98</v>
      </c>
      <c r="F2" s="9" t="s">
        <v>98</v>
      </c>
      <c r="G2" s="9" t="s">
        <v>98</v>
      </c>
      <c r="H2" s="9" t="s">
        <v>98</v>
      </c>
      <c r="I2" s="9" t="s">
        <v>98</v>
      </c>
      <c r="J2" s="9" t="s">
        <v>98</v>
      </c>
      <c r="K2" s="9" t="s">
        <v>98</v>
      </c>
      <c r="L2" s="9" t="s">
        <v>98</v>
      </c>
      <c r="M2" s="9" t="s">
        <v>98</v>
      </c>
      <c r="N2" s="9" t="s">
        <v>98</v>
      </c>
      <c r="O2" s="9" t="s">
        <v>98</v>
      </c>
      <c r="P2" s="9" t="s">
        <v>98</v>
      </c>
      <c r="Q2" s="9" t="s">
        <v>98</v>
      </c>
      <c r="R2" s="9" t="s">
        <v>98</v>
      </c>
      <c r="S2" s="9" t="s">
        <v>98</v>
      </c>
      <c r="T2" s="9" t="s">
        <v>98</v>
      </c>
      <c r="U2" s="9" t="s">
        <v>98</v>
      </c>
      <c r="V2" s="9" t="s">
        <v>98</v>
      </c>
      <c r="W2" s="9" t="s">
        <v>98</v>
      </c>
      <c r="X2" s="9" t="s">
        <v>98</v>
      </c>
      <c r="Y2" s="9" t="s">
        <v>98</v>
      </c>
      <c r="Z2" s="9" t="s">
        <v>98</v>
      </c>
      <c r="AA2" s="9" t="s">
        <v>98</v>
      </c>
      <c r="AB2" s="9" t="s">
        <v>98</v>
      </c>
      <c r="AC2" s="9" t="s">
        <v>98</v>
      </c>
      <c r="AD2" s="9" t="s">
        <v>98</v>
      </c>
      <c r="AE2" s="9" t="s">
        <v>98</v>
      </c>
      <c r="AF2" s="9" t="s">
        <v>98</v>
      </c>
      <c r="AG2" s="9" t="s">
        <v>98</v>
      </c>
      <c r="AH2" s="9" t="s">
        <v>98</v>
      </c>
      <c r="AI2" s="9" t="s">
        <v>98</v>
      </c>
      <c r="AJ2" s="9" t="s">
        <v>98</v>
      </c>
      <c r="AK2" s="9" t="s">
        <v>98</v>
      </c>
    </row>
    <row r="3" spans="1:57" ht="15.75" customHeight="1">
      <c r="A3" s="5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9" t="s">
        <v>98</v>
      </c>
      <c r="L3" s="9" t="s">
        <v>98</v>
      </c>
      <c r="M3" s="9" t="s">
        <v>98</v>
      </c>
      <c r="N3" s="9" t="s">
        <v>98</v>
      </c>
      <c r="O3" s="9" t="s">
        <v>98</v>
      </c>
      <c r="P3" s="9" t="s">
        <v>98</v>
      </c>
      <c r="Q3" s="9" t="s">
        <v>98</v>
      </c>
      <c r="R3" s="9" t="s">
        <v>98</v>
      </c>
      <c r="S3" s="9" t="s">
        <v>98</v>
      </c>
      <c r="T3" s="22" t="s">
        <v>98</v>
      </c>
      <c r="U3" s="5" t="s">
        <v>34</v>
      </c>
      <c r="V3" s="5" t="s">
        <v>35</v>
      </c>
      <c r="W3" s="5" t="s">
        <v>49</v>
      </c>
      <c r="X3" s="5" t="s">
        <v>50</v>
      </c>
      <c r="Y3" s="5" t="s">
        <v>51</v>
      </c>
      <c r="Z3" s="5" t="s">
        <v>52</v>
      </c>
      <c r="AA3" s="5" t="s">
        <v>36</v>
      </c>
      <c r="AB3" s="5" t="s">
        <v>37</v>
      </c>
      <c r="AC3" s="5" t="s">
        <v>38</v>
      </c>
      <c r="AD3" s="5" t="s">
        <v>53</v>
      </c>
      <c r="AE3" s="5" t="s">
        <v>54</v>
      </c>
      <c r="AF3" s="5" t="s">
        <v>55</v>
      </c>
      <c r="AG3" s="5" t="s">
        <v>56</v>
      </c>
      <c r="AH3" s="5" t="s">
        <v>57</v>
      </c>
      <c r="AI3" s="5" t="s">
        <v>58</v>
      </c>
      <c r="AJ3" s="5" t="s">
        <v>59</v>
      </c>
      <c r="AK3" s="5" t="s">
        <v>60</v>
      </c>
      <c r="AQ3" s="5" t="s">
        <v>35</v>
      </c>
      <c r="AR3" s="5" t="s">
        <v>49</v>
      </c>
      <c r="AS3" s="5" t="s">
        <v>50</v>
      </c>
      <c r="AT3" s="5" t="s">
        <v>51</v>
      </c>
      <c r="AU3" s="5" t="s">
        <v>52</v>
      </c>
      <c r="AV3" s="5" t="s">
        <v>36</v>
      </c>
      <c r="AW3" s="5" t="s">
        <v>37</v>
      </c>
      <c r="AX3" s="5" t="s">
        <v>38</v>
      </c>
      <c r="AY3" s="5" t="s">
        <v>53</v>
      </c>
      <c r="AZ3" s="5" t="s">
        <v>54</v>
      </c>
      <c r="BA3" s="5" t="s">
        <v>56</v>
      </c>
      <c r="BB3" s="5" t="s">
        <v>57</v>
      </c>
      <c r="BC3" s="5" t="s">
        <v>58</v>
      </c>
      <c r="BD3" s="5" t="s">
        <v>60</v>
      </c>
    </row>
    <row r="4" spans="1:57" ht="15.75" customHeight="1">
      <c r="A4" s="6" t="s">
        <v>19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6" t="s">
        <v>46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4"/>
    </row>
    <row r="6" spans="1:57">
      <c r="A6" s="6" t="s">
        <v>24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4"/>
    </row>
    <row r="7" spans="1:57">
      <c r="A7" s="6" t="s">
        <v>21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6" t="s">
        <v>22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>
      <c r="A9" s="6" t="s">
        <v>23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6" t="s">
        <v>27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6" t="s">
        <v>29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6" t="s">
        <v>30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6" t="s">
        <v>172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6" t="s">
        <v>33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6" t="s">
        <v>42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6" t="s">
        <v>43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6" t="s">
        <v>44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>
      <c r="A18" s="6" t="s">
        <v>179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>
      <c r="A19" s="6" t="s">
        <v>180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>
      <c r="A20" s="6" t="s">
        <v>47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3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3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3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3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3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3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3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3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3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3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3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3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>
      <c r="T33" s="23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>
      <c r="T34" s="23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>
      <c r="T35" s="23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3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3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3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3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3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>
      <c r="T41" s="23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3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3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3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3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>
      <c r="T49" s="23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3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3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3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3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3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3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3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45</v>
      </c>
      <c r="B3" t="s">
        <v>63</v>
      </c>
      <c r="C3" t="s">
        <v>73</v>
      </c>
      <c r="V3" s="8" t="s">
        <v>74</v>
      </c>
      <c r="W3" s="5" t="s">
        <v>39</v>
      </c>
      <c r="X3" s="5" t="s">
        <v>61</v>
      </c>
      <c r="Y3" t="s">
        <v>72</v>
      </c>
      <c r="Z3" t="s">
        <v>63</v>
      </c>
      <c r="AA3" t="s">
        <v>73</v>
      </c>
    </row>
    <row r="4" spans="1:27">
      <c r="A4" s="6" t="s">
        <v>29</v>
      </c>
      <c r="B4" s="7">
        <v>2467</v>
      </c>
      <c r="C4" s="7">
        <v>3806.1423290000002</v>
      </c>
      <c r="V4" t="str">
        <f>W4&amp;X4</f>
        <v>AIR ASIAP1</v>
      </c>
      <c r="W4" t="s">
        <v>29</v>
      </c>
      <c r="X4" t="s">
        <v>9</v>
      </c>
      <c r="Y4" s="7">
        <v>263</v>
      </c>
      <c r="Z4" s="7">
        <v>311</v>
      </c>
      <c r="AA4" s="7">
        <v>1997.191354</v>
      </c>
    </row>
    <row r="5" spans="1:27">
      <c r="A5" s="6" t="s">
        <v>21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7"/>
      <c r="Z5" s="7"/>
      <c r="AA5" s="7"/>
    </row>
    <row r="6" spans="1:27">
      <c r="A6" s="6" t="s">
        <v>22</v>
      </c>
      <c r="B6" s="7">
        <v>1472</v>
      </c>
      <c r="C6" s="7">
        <v>2956.1</v>
      </c>
      <c r="V6" t="str">
        <f t="shared" si="0"/>
        <v>AIR ASIAP3</v>
      </c>
      <c r="W6" t="s">
        <v>29</v>
      </c>
      <c r="X6" t="s">
        <v>11</v>
      </c>
      <c r="Y6" s="7">
        <v>476</v>
      </c>
      <c r="Z6" s="7">
        <v>488</v>
      </c>
      <c r="AA6" s="7">
        <v>399.74493799999999</v>
      </c>
    </row>
    <row r="7" spans="1:27">
      <c r="A7" s="6" t="s">
        <v>44</v>
      </c>
      <c r="B7" s="7">
        <v>60728</v>
      </c>
      <c r="C7" s="7">
        <v>93775.981349000009</v>
      </c>
      <c r="V7" t="str">
        <f t="shared" si="0"/>
        <v>AIR ASIAP4</v>
      </c>
      <c r="W7" t="s">
        <v>29</v>
      </c>
      <c r="X7" t="s">
        <v>12</v>
      </c>
      <c r="Y7" s="7">
        <v>180</v>
      </c>
      <c r="Z7" s="7">
        <v>199</v>
      </c>
      <c r="AA7" s="7">
        <v>337.623289</v>
      </c>
    </row>
    <row r="8" spans="1:27">
      <c r="A8" s="6" t="s">
        <v>23</v>
      </c>
      <c r="B8" s="7">
        <v>324</v>
      </c>
      <c r="C8" s="7">
        <v>1392.7165519999999</v>
      </c>
      <c r="V8" t="str">
        <f t="shared" si="0"/>
        <v>AIR ASIAP4.1</v>
      </c>
      <c r="W8" t="s">
        <v>29</v>
      </c>
      <c r="X8" t="s">
        <v>40</v>
      </c>
      <c r="Y8" s="7">
        <v>180</v>
      </c>
      <c r="Z8" s="7">
        <v>199</v>
      </c>
      <c r="AA8" s="7">
        <v>337.623289</v>
      </c>
    </row>
    <row r="9" spans="1:27">
      <c r="A9" s="6" t="s">
        <v>31</v>
      </c>
      <c r="B9" s="7">
        <v>1389</v>
      </c>
      <c r="C9" s="7">
        <v>1617.18</v>
      </c>
      <c r="V9" t="str">
        <f t="shared" si="0"/>
        <v>AIR ASIAP4.2</v>
      </c>
      <c r="W9" t="s">
        <v>29</v>
      </c>
      <c r="X9" t="s">
        <v>41</v>
      </c>
      <c r="Y9" s="7"/>
      <c r="Z9" s="7"/>
      <c r="AA9" s="7"/>
    </row>
    <row r="10" spans="1:27">
      <c r="A10" s="6" t="s">
        <v>24</v>
      </c>
      <c r="B10" s="7">
        <v>4140</v>
      </c>
      <c r="C10" s="7">
        <v>6380</v>
      </c>
      <c r="V10" t="str">
        <f t="shared" si="0"/>
        <v>AIR ASIAP5</v>
      </c>
      <c r="W10" t="s">
        <v>29</v>
      </c>
      <c r="X10" t="s">
        <v>13</v>
      </c>
      <c r="Y10" s="7"/>
      <c r="Z10" s="7"/>
      <c r="AA10" s="7"/>
    </row>
    <row r="11" spans="1:27">
      <c r="A11" s="6" t="s">
        <v>19</v>
      </c>
      <c r="B11" s="7">
        <v>25201</v>
      </c>
      <c r="C11" s="7">
        <v>33290.79</v>
      </c>
      <c r="V11" t="str">
        <f t="shared" si="0"/>
        <v>AIR ASIAP6</v>
      </c>
      <c r="W11" t="s">
        <v>29</v>
      </c>
      <c r="X11" t="s">
        <v>14</v>
      </c>
      <c r="Y11" s="7">
        <v>1253</v>
      </c>
      <c r="Z11" s="7">
        <v>1270</v>
      </c>
      <c r="AA11" s="7">
        <v>733.95945900000004</v>
      </c>
    </row>
    <row r="12" spans="1:27">
      <c r="A12" s="6" t="s">
        <v>42</v>
      </c>
      <c r="B12" s="7">
        <v>11788</v>
      </c>
      <c r="C12" s="7">
        <v>34401.086552000001</v>
      </c>
      <c r="V12" t="str">
        <f t="shared" si="0"/>
        <v>AIR INDIAP1</v>
      </c>
      <c r="W12" t="s">
        <v>21</v>
      </c>
      <c r="X12" t="s">
        <v>9</v>
      </c>
      <c r="Y12" s="7">
        <v>1329</v>
      </c>
      <c r="Z12" s="7">
        <v>1318</v>
      </c>
      <c r="AA12" s="7">
        <v>12079.48</v>
      </c>
    </row>
    <row r="13" spans="1:27">
      <c r="A13" s="6" t="s">
        <v>43</v>
      </c>
      <c r="B13" s="7">
        <v>48940</v>
      </c>
      <c r="C13" s="7">
        <v>59374.894797000001</v>
      </c>
      <c r="V13" t="str">
        <f t="shared" si="0"/>
        <v>AIR INDIAP2</v>
      </c>
      <c r="W13" t="s">
        <v>21</v>
      </c>
      <c r="X13" t="s">
        <v>10</v>
      </c>
      <c r="Y13" s="7"/>
      <c r="Z13" s="7"/>
      <c r="AA13" s="7"/>
    </row>
    <row r="14" spans="1:27">
      <c r="A14" s="6" t="s">
        <v>27</v>
      </c>
      <c r="B14" s="7">
        <v>12094</v>
      </c>
      <c r="C14" s="7">
        <v>9401.4900000000016</v>
      </c>
      <c r="V14" t="str">
        <f t="shared" si="0"/>
        <v>AIR INDIAP3</v>
      </c>
      <c r="W14" t="s">
        <v>21</v>
      </c>
      <c r="X14" t="s">
        <v>11</v>
      </c>
      <c r="Y14" s="7">
        <v>1766</v>
      </c>
      <c r="Z14" s="7">
        <v>1703</v>
      </c>
      <c r="AA14" s="7">
        <v>5986.11</v>
      </c>
    </row>
    <row r="15" spans="1:27">
      <c r="A15" s="6" t="s">
        <v>33</v>
      </c>
      <c r="B15" s="7">
        <v>895</v>
      </c>
      <c r="C15" s="7">
        <v>801.87858399999982</v>
      </c>
      <c r="V15" t="str">
        <f t="shared" si="0"/>
        <v>AIR INDIAP4</v>
      </c>
      <c r="W15" t="s">
        <v>21</v>
      </c>
      <c r="X15" t="s">
        <v>12</v>
      </c>
      <c r="Y15" s="7">
        <v>577</v>
      </c>
      <c r="Z15" s="7">
        <v>543</v>
      </c>
      <c r="AA15" s="7">
        <v>69.31</v>
      </c>
    </row>
    <row r="16" spans="1:27">
      <c r="A16" s="6" t="s">
        <v>30</v>
      </c>
      <c r="B16" s="7">
        <v>2721</v>
      </c>
      <c r="C16" s="7">
        <v>4070.3999999999996</v>
      </c>
      <c r="V16" t="str">
        <f t="shared" si="0"/>
        <v>AIR INDIAP4.1</v>
      </c>
      <c r="W16" t="s">
        <v>21</v>
      </c>
      <c r="X16" t="s">
        <v>40</v>
      </c>
      <c r="Y16" s="7"/>
      <c r="Z16" s="7"/>
      <c r="AA16" s="7"/>
    </row>
    <row r="17" spans="1:27">
      <c r="A17" s="6" t="s">
        <v>46</v>
      </c>
      <c r="B17" s="7"/>
      <c r="C17" s="7"/>
      <c r="V17" t="str">
        <f t="shared" si="0"/>
        <v>AIR INDIAP4.2</v>
      </c>
      <c r="W17" t="s">
        <v>21</v>
      </c>
      <c r="X17" t="s">
        <v>41</v>
      </c>
      <c r="Y17" s="7"/>
      <c r="Z17" s="7"/>
      <c r="AA17" s="7"/>
    </row>
    <row r="18" spans="1:27">
      <c r="A18" s="6" t="s">
        <v>179</v>
      </c>
      <c r="B18" s="7"/>
      <c r="C18" s="7"/>
      <c r="V18" t="str">
        <f t="shared" si="0"/>
        <v>AIR INDIAP5</v>
      </c>
      <c r="W18" t="s">
        <v>21</v>
      </c>
      <c r="X18" t="s">
        <v>13</v>
      </c>
      <c r="Y18" s="7">
        <v>2113</v>
      </c>
      <c r="Z18" s="7">
        <v>1989</v>
      </c>
      <c r="AA18" s="7">
        <v>3208.24</v>
      </c>
    </row>
    <row r="19" spans="1:27">
      <c r="A19" s="6" t="s">
        <v>181</v>
      </c>
      <c r="B19" s="7">
        <v>33</v>
      </c>
      <c r="C19" s="7">
        <v>7.0138840000000009</v>
      </c>
      <c r="V19" t="str">
        <f t="shared" si="0"/>
        <v>AIR INDIAP6</v>
      </c>
      <c r="W19" t="s">
        <v>21</v>
      </c>
      <c r="X19" t="s">
        <v>14</v>
      </c>
      <c r="Y19" s="7">
        <v>4964</v>
      </c>
      <c r="Z19" s="7">
        <v>4439</v>
      </c>
      <c r="AA19" s="7">
        <v>8709.1299999999992</v>
      </c>
    </row>
    <row r="20" spans="1:27">
      <c r="A20" s="6" t="s">
        <v>47</v>
      </c>
      <c r="B20" s="7">
        <v>182184</v>
      </c>
      <c r="C20" s="7">
        <v>281327.94404700003</v>
      </c>
      <c r="V20" t="str">
        <f t="shared" si="0"/>
        <v>AIR INDIA EXPRESSP1</v>
      </c>
      <c r="W20" t="s">
        <v>22</v>
      </c>
      <c r="X20" t="s">
        <v>9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7"/>
      <c r="Z21" s="7"/>
      <c r="AA21" s="7"/>
    </row>
    <row r="22" spans="1:27">
      <c r="V22" t="str">
        <f t="shared" si="0"/>
        <v>AIR INDIA EXPRESSP3</v>
      </c>
      <c r="W22" t="s">
        <v>22</v>
      </c>
      <c r="X22" t="s">
        <v>11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7"/>
      <c r="Z26" s="7"/>
      <c r="AA26" s="7"/>
    </row>
    <row r="27" spans="1:27">
      <c r="V27" t="str">
        <f t="shared" si="0"/>
        <v>AIR INDIA EXPRESSP6</v>
      </c>
      <c r="W27" t="s">
        <v>22</v>
      </c>
      <c r="X27" t="s">
        <v>14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7">
        <v>26636</v>
      </c>
      <c r="Z35" s="7">
        <v>29472</v>
      </c>
      <c r="AA35" s="7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7"/>
      <c r="Z37" s="7"/>
      <c r="AA37" s="7"/>
    </row>
    <row r="38" spans="22:27">
      <c r="V38" t="str">
        <f t="shared" si="0"/>
        <v>ALLIANCE AIRP3</v>
      </c>
      <c r="W38" t="s">
        <v>23</v>
      </c>
      <c r="X38" t="s">
        <v>11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7"/>
      <c r="Z39" s="7"/>
      <c r="AA39" s="7"/>
    </row>
    <row r="40" spans="22:27">
      <c r="V40" t="str">
        <f t="shared" si="0"/>
        <v>ALLIANCE AIRP4.1</v>
      </c>
      <c r="W40" t="s">
        <v>23</v>
      </c>
      <c r="X40" t="s">
        <v>40</v>
      </c>
      <c r="Y40" s="7"/>
      <c r="Z40" s="7"/>
      <c r="AA40" s="7"/>
    </row>
    <row r="41" spans="22:27">
      <c r="V41" t="str">
        <f t="shared" si="0"/>
        <v>ALLIANCE AIRP4.2</v>
      </c>
      <c r="W41" t="s">
        <v>23</v>
      </c>
      <c r="X41" t="s">
        <v>41</v>
      </c>
      <c r="Y41" s="7"/>
      <c r="Z41" s="7"/>
      <c r="AA41" s="7"/>
    </row>
    <row r="42" spans="22:27">
      <c r="V42" t="str">
        <f t="shared" si="0"/>
        <v>ALLIANCE AIRP5</v>
      </c>
      <c r="W42" t="s">
        <v>23</v>
      </c>
      <c r="X42" t="s">
        <v>13</v>
      </c>
      <c r="Y42" s="7"/>
      <c r="Z42" s="7"/>
      <c r="AA42" s="7"/>
    </row>
    <row r="43" spans="22:27">
      <c r="V43" t="str">
        <f t="shared" si="0"/>
        <v>ALLIANCE AIRP6</v>
      </c>
      <c r="W43" t="s">
        <v>23</v>
      </c>
      <c r="X43" t="s">
        <v>14</v>
      </c>
      <c r="Y43" s="7"/>
      <c r="Z43" s="7"/>
      <c r="AA43" s="7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7"/>
      <c r="Z45" s="7"/>
      <c r="AA45" s="7"/>
    </row>
    <row r="46" spans="22:27">
      <c r="V46" t="str">
        <f t="shared" si="0"/>
        <v>Blue Dart P3</v>
      </c>
      <c r="W46" t="s">
        <v>31</v>
      </c>
      <c r="X46" t="s">
        <v>11</v>
      </c>
      <c r="Y46" s="7"/>
      <c r="Z46" s="7"/>
      <c r="AA46" s="7"/>
    </row>
    <row r="47" spans="22:27">
      <c r="V47" t="str">
        <f t="shared" si="0"/>
        <v>Blue Dart P4</v>
      </c>
      <c r="W47" t="s">
        <v>31</v>
      </c>
      <c r="X47" t="s">
        <v>12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7"/>
      <c r="Z50" s="7"/>
      <c r="AA50" s="7"/>
    </row>
    <row r="51" spans="22:27">
      <c r="V51" t="str">
        <f t="shared" si="0"/>
        <v>Blue Dart P6</v>
      </c>
      <c r="W51" t="s">
        <v>31</v>
      </c>
      <c r="X51" t="s">
        <v>14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7"/>
      <c r="Z53" s="7"/>
      <c r="AA53" s="7"/>
    </row>
    <row r="54" spans="22:27">
      <c r="V54" t="str">
        <f t="shared" si="0"/>
        <v>GO AIRP3</v>
      </c>
      <c r="W54" t="s">
        <v>24</v>
      </c>
      <c r="X54" t="s">
        <v>11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19</v>
      </c>
      <c r="X60" t="s">
        <v>9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19</v>
      </c>
      <c r="X61" t="s">
        <v>10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19</v>
      </c>
      <c r="X62" t="s">
        <v>11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19</v>
      </c>
      <c r="X63" t="s">
        <v>12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19</v>
      </c>
      <c r="X64" t="s">
        <v>40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19</v>
      </c>
      <c r="X65" t="s">
        <v>41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19</v>
      </c>
      <c r="X66" t="s">
        <v>13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19</v>
      </c>
      <c r="X67" t="s">
        <v>14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7">
        <v>5322</v>
      </c>
      <c r="Z75" s="7">
        <v>4795</v>
      </c>
      <c r="AA75" s="7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7"/>
      <c r="Z93" s="7"/>
      <c r="AA93" s="7"/>
    </row>
    <row r="94" spans="22:27">
      <c r="V94" t="str">
        <f t="shared" si="1"/>
        <v>TRUEJETP3</v>
      </c>
      <c r="W94" t="s">
        <v>33</v>
      </c>
      <c r="X94" t="s">
        <v>11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7"/>
      <c r="Z101" s="7"/>
      <c r="AA101" s="7"/>
    </row>
    <row r="102" spans="22:27">
      <c r="V102" t="str">
        <f t="shared" si="1"/>
        <v>VISTARAP3</v>
      </c>
      <c r="W102" t="s">
        <v>30</v>
      </c>
      <c r="X102" t="s">
        <v>11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7"/>
      <c r="Z108" s="7"/>
      <c r="AA108" s="7"/>
    </row>
    <row r="109" spans="22:27">
      <c r="V109" t="str">
        <f t="shared" si="1"/>
        <v>STAR AIRP1</v>
      </c>
      <c r="W109" t="s">
        <v>179</v>
      </c>
      <c r="X109" t="s">
        <v>9</v>
      </c>
      <c r="Y109" s="7"/>
      <c r="Z109" s="7"/>
      <c r="AA109" s="7"/>
    </row>
    <row r="110" spans="22:27">
      <c r="V110" t="str">
        <f t="shared" si="1"/>
        <v>STAR AIRP2</v>
      </c>
      <c r="W110" t="s">
        <v>179</v>
      </c>
      <c r="X110" t="s">
        <v>10</v>
      </c>
      <c r="Y110" s="7"/>
      <c r="Z110" s="7"/>
      <c r="AA110" s="7"/>
    </row>
    <row r="111" spans="22:27">
      <c r="V111" t="str">
        <f t="shared" si="1"/>
        <v>STAR AIRP3</v>
      </c>
      <c r="W111" t="s">
        <v>179</v>
      </c>
      <c r="X111" t="s">
        <v>11</v>
      </c>
      <c r="Y111" s="7"/>
      <c r="Z111" s="7"/>
      <c r="AA111" s="7"/>
    </row>
    <row r="112" spans="22:27">
      <c r="V112" t="str">
        <f t="shared" si="1"/>
        <v>STAR AIRP4</v>
      </c>
      <c r="W112" t="s">
        <v>179</v>
      </c>
      <c r="X112" t="s">
        <v>12</v>
      </c>
      <c r="Y112" s="7"/>
      <c r="Z112" s="7"/>
      <c r="AA112" s="7"/>
    </row>
    <row r="113" spans="22:27">
      <c r="V113" t="str">
        <f t="shared" si="1"/>
        <v>STAR AIRP4.1</v>
      </c>
      <c r="W113" t="s">
        <v>179</v>
      </c>
      <c r="X113" t="s">
        <v>40</v>
      </c>
      <c r="Y113" s="7"/>
      <c r="Z113" s="7"/>
      <c r="AA113" s="7"/>
    </row>
    <row r="114" spans="22:27">
      <c r="V114" t="str">
        <f t="shared" si="1"/>
        <v>STAR AIRP4.2</v>
      </c>
      <c r="W114" t="s">
        <v>179</v>
      </c>
      <c r="X114" t="s">
        <v>41</v>
      </c>
      <c r="Y114" s="7"/>
      <c r="Z114" s="7"/>
      <c r="AA114" s="7"/>
    </row>
    <row r="115" spans="22:27">
      <c r="V115" t="str">
        <f t="shared" si="1"/>
        <v>STAR AIRP5</v>
      </c>
      <c r="W115" t="s">
        <v>179</v>
      </c>
      <c r="X115" t="s">
        <v>13</v>
      </c>
      <c r="Y115" s="7"/>
      <c r="Z115" s="7"/>
      <c r="AA115" s="7"/>
    </row>
    <row r="116" spans="22:27">
      <c r="V116" t="str">
        <f t="shared" si="1"/>
        <v>STAR AIRP6</v>
      </c>
      <c r="W116" t="s">
        <v>179</v>
      </c>
      <c r="X116" t="s">
        <v>14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181</v>
      </c>
      <c r="X117" t="s">
        <v>9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10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181</v>
      </c>
      <c r="X119" t="s">
        <v>11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181</v>
      </c>
      <c r="X120" t="s">
        <v>12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181</v>
      </c>
      <c r="X121" t="s">
        <v>40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181</v>
      </c>
      <c r="X122" t="s">
        <v>41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181</v>
      </c>
      <c r="X123" t="s">
        <v>13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14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17</v>
      </c>
      <c r="C2" s="11" t="s">
        <v>100</v>
      </c>
      <c r="D2" s="11" t="s">
        <v>101</v>
      </c>
      <c r="E2" s="11" t="s">
        <v>18</v>
      </c>
      <c r="F2" s="11" t="s">
        <v>102</v>
      </c>
      <c r="G2" s="12" t="s">
        <v>103</v>
      </c>
      <c r="H2" s="12" t="s">
        <v>104</v>
      </c>
      <c r="I2" s="13" t="s">
        <v>105</v>
      </c>
      <c r="J2" s="12" t="s">
        <v>106</v>
      </c>
      <c r="K2" s="12" t="s">
        <v>107</v>
      </c>
      <c r="L2" s="12" t="s">
        <v>108</v>
      </c>
      <c r="M2" s="12" t="s">
        <v>109</v>
      </c>
      <c r="N2" s="12" t="s">
        <v>110</v>
      </c>
      <c r="O2" s="12" t="s">
        <v>111</v>
      </c>
      <c r="P2" s="12" t="s">
        <v>112</v>
      </c>
      <c r="Q2" s="12" t="s">
        <v>113</v>
      </c>
      <c r="R2" s="12" t="s">
        <v>114</v>
      </c>
      <c r="S2" s="14" t="s">
        <v>115</v>
      </c>
      <c r="T2" s="12" t="s">
        <v>116</v>
      </c>
      <c r="U2" s="12" t="s">
        <v>117</v>
      </c>
      <c r="V2" s="11" t="s">
        <v>118</v>
      </c>
      <c r="W2" s="12" t="s">
        <v>119</v>
      </c>
      <c r="X2" s="11" t="s">
        <v>120</v>
      </c>
      <c r="Y2" s="11" t="s">
        <v>121</v>
      </c>
    </row>
    <row r="3" spans="1:25">
      <c r="A3" s="5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9" customFormat="1">
      <c r="A4" s="21" t="s">
        <v>29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21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22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23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31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24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19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25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26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27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33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30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46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42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43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44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179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180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178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47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4" transitionEvaluation="1" transitionEntry="1" codeName="Sheet12">
    <tabColor theme="9" tint="0.59999389629810485"/>
  </sheetPr>
  <dimension ref="A1:E14"/>
  <sheetViews>
    <sheetView showGridLines="0" tabSelected="1" view="pageBreakPreview" topLeftCell="A4" zoomScaleNormal="100" zoomScaleSheetLayoutView="100" workbookViewId="0">
      <selection activeCell="D25" sqref="D25"/>
    </sheetView>
  </sheetViews>
  <sheetFormatPr defaultColWidth="11" defaultRowHeight="15"/>
  <cols>
    <col min="1" max="1" width="38.28515625" style="2" customWidth="1"/>
    <col min="2" max="3" width="17.5703125" style="2" customWidth="1"/>
    <col min="4" max="4" width="18.28515625" style="2" customWidth="1"/>
    <col min="5" max="5" width="11" style="2"/>
    <col min="6" max="7" width="11" style="2" customWidth="1"/>
    <col min="8" max="16384" width="11" style="2"/>
  </cols>
  <sheetData>
    <row r="1" spans="1:5" ht="24.95" customHeight="1">
      <c r="A1" s="34" t="s">
        <v>183</v>
      </c>
      <c r="B1" s="35"/>
      <c r="C1" s="35"/>
      <c r="D1" s="36"/>
    </row>
    <row r="2" spans="1:5" ht="24.95" customHeight="1">
      <c r="A2" s="37" t="s">
        <v>184</v>
      </c>
      <c r="B2" s="38"/>
      <c r="C2" s="38"/>
      <c r="D2" s="39"/>
    </row>
    <row r="3" spans="1:5" ht="45" customHeight="1">
      <c r="A3" s="33" t="s">
        <v>187</v>
      </c>
      <c r="B3" s="33"/>
      <c r="C3" s="33"/>
      <c r="D3" s="33"/>
    </row>
    <row r="4" spans="1:5" ht="36" customHeight="1">
      <c r="A4" s="31" t="s">
        <v>8</v>
      </c>
      <c r="B4" s="31" t="s">
        <v>7</v>
      </c>
      <c r="C4" s="31"/>
      <c r="D4" s="31" t="s">
        <v>15</v>
      </c>
    </row>
    <row r="5" spans="1:5" ht="36" customHeight="1">
      <c r="A5" s="31"/>
      <c r="B5" s="3" t="s">
        <v>6</v>
      </c>
      <c r="C5" s="3" t="s">
        <v>5</v>
      </c>
      <c r="D5" s="31"/>
    </row>
    <row r="6" spans="1:5" ht="50.1" customHeight="1">
      <c r="A6" s="3" t="s">
        <v>4</v>
      </c>
      <c r="B6" s="27">
        <v>188</v>
      </c>
      <c r="C6" s="27">
        <v>196</v>
      </c>
      <c r="D6" s="29">
        <v>687.91645329999994</v>
      </c>
      <c r="E6" s="1"/>
    </row>
    <row r="7" spans="1:5" ht="50.1" customHeight="1">
      <c r="A7" s="3" t="s">
        <v>185</v>
      </c>
      <c r="B7" s="27"/>
      <c r="C7" s="27"/>
      <c r="D7" s="29"/>
      <c r="E7" s="1"/>
    </row>
    <row r="8" spans="1:5" ht="50.1" customHeight="1">
      <c r="A8" s="3" t="s">
        <v>186</v>
      </c>
      <c r="B8" s="27">
        <v>165</v>
      </c>
      <c r="C8" s="27">
        <v>157</v>
      </c>
      <c r="D8" s="29">
        <v>73.455509489999997</v>
      </c>
      <c r="E8" s="1"/>
    </row>
    <row r="9" spans="1:5" ht="50.1" customHeight="1">
      <c r="A9" s="3" t="s">
        <v>3</v>
      </c>
      <c r="B9" s="27"/>
      <c r="C9" s="27"/>
      <c r="D9" s="29"/>
      <c r="E9" s="1"/>
    </row>
    <row r="10" spans="1:5" ht="50.1" customHeight="1">
      <c r="A10" s="3" t="s">
        <v>2</v>
      </c>
      <c r="B10" s="27"/>
      <c r="C10" s="27"/>
      <c r="D10" s="29"/>
      <c r="E10" s="1"/>
    </row>
    <row r="11" spans="1:5" ht="50.1" customHeight="1">
      <c r="A11" s="3" t="s">
        <v>1</v>
      </c>
      <c r="B11" s="27">
        <v>478</v>
      </c>
      <c r="C11" s="27">
        <v>496</v>
      </c>
      <c r="D11" s="29">
        <v>261.58549799999997</v>
      </c>
      <c r="E11" s="1"/>
    </row>
    <row r="12" spans="1:5" ht="50.1" customHeight="1">
      <c r="A12" s="3" t="s">
        <v>0</v>
      </c>
      <c r="B12" s="28">
        <v>831</v>
      </c>
      <c r="C12" s="28">
        <v>849</v>
      </c>
      <c r="D12" s="30">
        <v>1022.9574607899999</v>
      </c>
    </row>
    <row r="13" spans="1:5" ht="32.25" customHeight="1">
      <c r="A13" s="40" t="s">
        <v>182</v>
      </c>
      <c r="B13" s="40"/>
      <c r="C13" s="40"/>
      <c r="D13" s="40"/>
    </row>
    <row r="14" spans="1:5" ht="20.100000000000001" customHeight="1">
      <c r="A14" s="32" t="s">
        <v>16</v>
      </c>
      <c r="B14" s="32"/>
      <c r="C14" s="32"/>
      <c r="D14" s="4"/>
    </row>
  </sheetData>
  <mergeCells count="8">
    <mergeCell ref="A14:C14"/>
    <mergeCell ref="A3:D3"/>
    <mergeCell ref="A4:A5"/>
    <mergeCell ref="A1:D1"/>
    <mergeCell ref="D4:D5"/>
    <mergeCell ref="B4:C4"/>
    <mergeCell ref="A2:D2"/>
    <mergeCell ref="A13:D13"/>
  </mergeCells>
  <printOptions gridLines="1"/>
  <pageMargins left="0.54" right="0.53" top="1.25" bottom="1" header="0.5" footer="0.75"/>
  <pageSetup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2023-02-07T06:49:57Z</dcterms:modified>
</cp:coreProperties>
</file>