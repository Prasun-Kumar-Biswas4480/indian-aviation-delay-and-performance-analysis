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5. ALLIANCE AIR\"/>
    </mc:Choice>
  </mc:AlternateContent>
  <bookViews>
    <workbookView xWindow="0" yWindow="0" windowWidth="24000" windowHeight="10725"/>
  </bookViews>
  <sheets>
    <sheet name="Alliance Air" sheetId="1" r:id="rId1"/>
  </sheets>
  <definedNames>
    <definedName name="_xlnm.Print_Area" localSheetId="0">'Alliance Air'!$A$1:$Q$41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" l="1"/>
  <c r="Q38" i="1" l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Q37" i="1"/>
  <c r="P37" i="1"/>
  <c r="O37" i="1"/>
  <c r="M37" i="1"/>
  <c r="L37" i="1"/>
  <c r="K37" i="1"/>
  <c r="I37" i="1"/>
  <c r="H37" i="1"/>
  <c r="G37" i="1"/>
  <c r="F37" i="1"/>
  <c r="E37" i="1"/>
  <c r="D37" i="1"/>
  <c r="C37" i="1"/>
  <c r="B37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Q34" i="1"/>
  <c r="P34" i="1"/>
  <c r="O34" i="1"/>
  <c r="N34" i="1"/>
  <c r="M34" i="1"/>
  <c r="L34" i="1"/>
  <c r="K34" i="1"/>
  <c r="I34" i="1"/>
  <c r="H34" i="1"/>
  <c r="G34" i="1"/>
  <c r="F34" i="1"/>
  <c r="E34" i="1"/>
  <c r="D34" i="1"/>
  <c r="C34" i="1"/>
  <c r="B34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<sst xmlns="http://schemas.openxmlformats.org/spreadsheetml/2006/main" count="94" uniqueCount="39">
  <si>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</si>
  <si>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</si>
  <si>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</si>
  <si>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</si>
  <si>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</si>
  <si>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</si>
  <si>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</si>
  <si>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</si>
  <si>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</si>
  <si>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</si>
  <si>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</si>
  <si>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</si>
  <si>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</si>
  <si>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</si>
  <si>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</si>
  <si>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</si>
  <si>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</si>
  <si>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</si>
  <si>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</si>
  <si>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</si>
  <si>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</si>
  <si>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</si>
  <si>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</si>
  <si>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</si>
  <si>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</si>
  <si>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</si>
  <si>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</si>
  <si>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</si>
  <si>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</si>
  <si>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</si>
  <si>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</si>
  <si>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 xml:space="preserve"> तालिका- 1.06 (एलाइंस एयर) </t>
  </si>
  <si>
    <t>TABLE - 1.06 (ALLIANCE AIR)</t>
  </si>
  <si>
    <t>SOURCE: ICAO ATR FORM 'A' FURNISHED BY ALLIANCE AIR</t>
  </si>
  <si>
    <t>2019-20</t>
  </si>
  <si>
    <t xml:space="preserve">YEAR ON YEAR GROWTH AND CAGR FOR LAST TEN YEARS OF  ALLIANCE AIR ON TOTAL (DOMESTIC + INTERNATIONAL) SCHEDULED SERVICES (ALL AIR TRAFFIC AND OPERATING STATISTICS)
</t>
  </si>
  <si>
    <t>Note: Growth has been calculated with respect to preceeding year while Compound Annual Growth Rate (CAGR) has been calculating taking 2010-11 as a Base Year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</si>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</sst>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5" fontId="4" fillId="8" borderId="1" xfId="1" applyNumberFormat="1" applyFill="1" applyBorder="1" applyAlignment="1" applyProtection="1">
      <alignment horizontal="right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top" wrapText="1"/>
    </xf>
    <xf numFmtId="0" fontId="3" fillId="3" borderId="1" xfId="2" applyFont="1" applyBorder="1" applyAlignment="1">
      <alignment vertical="top"/>
    </xf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1" fillId="0" borderId="1" xfId="0" applyFont="1" applyBorder="1" applyAlignment="1">
      <alignment horizontal="left" wrapText="1"/>
    </xf>
    <xf numFmtId="165" fontId="0" fillId="4" borderId="1" xfId="3" applyNumberFormat="1" applyFont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right" vertical="center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zoomScaleNormal="100" zoomScaleSheetLayoutView="100" workbookViewId="0">
      <selection activeCell="G36" sqref="G36"/>
    </sheetView>
  </sheetViews>
  <sheetFormatPr defaultColWidth="9.140625" defaultRowHeight="15" x14ac:dyDescent="0.25"/>
  <cols>
    <col min="1" max="1" width="10.28515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10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710937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x14ac:dyDescent="0.25">
      <c r="A1" s="22" t="s">
        <v>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32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5">
      <c r="A3" s="25" t="s">
        <v>35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7" t="s">
        <v>0</v>
      </c>
      <c r="B4" s="27" t="s">
        <v>1</v>
      </c>
      <c r="C4" s="27"/>
      <c r="D4" s="27"/>
      <c r="E4" s="27" t="s">
        <v>2</v>
      </c>
      <c r="F4" s="28"/>
      <c r="G4" s="16" t="s">
        <v>3</v>
      </c>
      <c r="H4" s="16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16" t="s">
        <v>7</v>
      </c>
      <c r="Q4" s="16" t="s">
        <v>8</v>
      </c>
    </row>
    <row r="5" spans="1:17" ht="90" x14ac:dyDescent="0.25">
      <c r="A5" s="27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7"/>
      <c r="H5" s="17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17"/>
      <c r="Q5" s="17"/>
    </row>
    <row r="6" spans="1:17" x14ac:dyDescent="0.25">
      <c r="A6" s="4" t="s">
        <v>19</v>
      </c>
      <c r="B6" s="8">
        <v>16230</v>
      </c>
      <c r="C6" s="8">
        <v>22276</v>
      </c>
      <c r="D6" s="8">
        <v>9320</v>
      </c>
      <c r="E6" s="8">
        <v>503801</v>
      </c>
      <c r="F6" s="8">
        <v>365.733</v>
      </c>
      <c r="G6" s="8">
        <v>538.50900000000001</v>
      </c>
      <c r="H6" s="10">
        <v>67.915856559500398</v>
      </c>
      <c r="I6" s="7">
        <v>1427</v>
      </c>
      <c r="J6" s="7">
        <v>6040</v>
      </c>
      <c r="K6" s="7">
        <v>7467</v>
      </c>
      <c r="L6" s="7">
        <v>30.959</v>
      </c>
      <c r="M6" s="7">
        <v>1.373</v>
      </c>
      <c r="N6" s="7">
        <v>3.911</v>
      </c>
      <c r="O6" s="7">
        <v>36.243000000000002</v>
      </c>
      <c r="P6" s="7">
        <v>53.125999999999998</v>
      </c>
      <c r="Q6" s="10">
        <v>68.220833490193129</v>
      </c>
    </row>
    <row r="7" spans="1:17" x14ac:dyDescent="0.25">
      <c r="A7" s="3" t="s">
        <v>27</v>
      </c>
      <c r="B7" s="11" t="s">
        <v>28</v>
      </c>
      <c r="C7" s="11" t="s">
        <v>28</v>
      </c>
      <c r="D7" s="11" t="s">
        <v>28</v>
      </c>
      <c r="E7" s="11" t="s">
        <v>28</v>
      </c>
      <c r="F7" s="11" t="s">
        <v>28</v>
      </c>
      <c r="G7" s="11" t="s">
        <v>28</v>
      </c>
      <c r="H7" s="12" t="s">
        <v>28</v>
      </c>
      <c r="I7" s="11" t="s">
        <v>28</v>
      </c>
      <c r="J7" s="11" t="s">
        <v>28</v>
      </c>
      <c r="K7" s="11" t="s">
        <v>28</v>
      </c>
      <c r="L7" s="11" t="s">
        <v>28</v>
      </c>
      <c r="M7" s="11" t="s">
        <v>28</v>
      </c>
      <c r="N7" s="11" t="s">
        <v>28</v>
      </c>
      <c r="O7" s="11" t="s">
        <v>28</v>
      </c>
      <c r="P7" s="11" t="s">
        <v>28</v>
      </c>
      <c r="Q7" s="12" t="s">
        <v>28</v>
      </c>
    </row>
    <row r="8" spans="1:17" x14ac:dyDescent="0.25">
      <c r="A8" s="5" t="s">
        <v>29</v>
      </c>
      <c r="B8" s="6" t="s">
        <v>28</v>
      </c>
      <c r="C8" s="6" t="s">
        <v>28</v>
      </c>
      <c r="D8" s="6" t="s">
        <v>28</v>
      </c>
      <c r="E8" s="6" t="s">
        <v>28</v>
      </c>
      <c r="F8" s="6" t="s">
        <v>28</v>
      </c>
      <c r="G8" s="6" t="s">
        <v>28</v>
      </c>
      <c r="H8" s="9" t="s">
        <v>28</v>
      </c>
      <c r="I8" s="6" t="s">
        <v>28</v>
      </c>
      <c r="J8" s="6" t="s">
        <v>28</v>
      </c>
      <c r="K8" s="6" t="s">
        <v>28</v>
      </c>
      <c r="L8" s="6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9" t="s">
        <v>28</v>
      </c>
    </row>
    <row r="9" spans="1:17" x14ac:dyDescent="0.25">
      <c r="A9" s="4" t="s">
        <v>20</v>
      </c>
      <c r="B9" s="8">
        <v>14359</v>
      </c>
      <c r="C9" s="8">
        <v>19951</v>
      </c>
      <c r="D9" s="8">
        <v>8511</v>
      </c>
      <c r="E9" s="8">
        <v>467257</v>
      </c>
      <c r="F9" s="8">
        <v>347.791</v>
      </c>
      <c r="G9" s="8">
        <v>518.10199999999998</v>
      </c>
      <c r="H9" s="10">
        <v>67.127901455697909</v>
      </c>
      <c r="I9" s="7">
        <v>457.34000000000003</v>
      </c>
      <c r="J9" s="7">
        <v>452</v>
      </c>
      <c r="K9" s="7">
        <v>909.34</v>
      </c>
      <c r="L9" s="7">
        <v>29.594999999999999</v>
      </c>
      <c r="M9" s="7">
        <v>0.28999999999999998</v>
      </c>
      <c r="N9" s="7">
        <v>0.34100000000000003</v>
      </c>
      <c r="O9" s="7">
        <v>30.225999999999999</v>
      </c>
      <c r="P9" s="7">
        <v>46.677999999999997</v>
      </c>
      <c r="Q9" s="10">
        <v>64.754273962037786</v>
      </c>
    </row>
    <row r="10" spans="1:17" x14ac:dyDescent="0.25">
      <c r="A10" s="3" t="s">
        <v>27</v>
      </c>
      <c r="B10" s="14">
        <f>(B9-B6)/B6</f>
        <v>-0.11528034504004929</v>
      </c>
      <c r="C10" s="14">
        <f t="shared" ref="C10:Q10" si="0">(C9-C6)/C6</f>
        <v>-0.10437241874663315</v>
      </c>
      <c r="D10" s="14">
        <f t="shared" si="0"/>
        <v>-8.6802575107296137E-2</v>
      </c>
      <c r="E10" s="14">
        <f t="shared" si="0"/>
        <v>-7.2536576942086262E-2</v>
      </c>
      <c r="F10" s="14">
        <f t="shared" si="0"/>
        <v>-4.9057645878277344E-2</v>
      </c>
      <c r="G10" s="14">
        <f t="shared" si="0"/>
        <v>-3.789537407917052E-2</v>
      </c>
      <c r="H10" s="12">
        <f t="shared" si="0"/>
        <v>-1.1601931326775936E-2</v>
      </c>
      <c r="I10" s="14">
        <f t="shared" si="0"/>
        <v>-0.67950946040644711</v>
      </c>
      <c r="J10" s="14">
        <f t="shared" si="0"/>
        <v>-0.92516556291390728</v>
      </c>
      <c r="K10" s="14">
        <f t="shared" si="0"/>
        <v>-0.8782188295165394</v>
      </c>
      <c r="L10" s="14">
        <f t="shared" si="0"/>
        <v>-4.4058270615975996E-2</v>
      </c>
      <c r="M10" s="14">
        <f t="shared" si="0"/>
        <v>-0.78878368536052434</v>
      </c>
      <c r="N10" s="14">
        <f t="shared" si="0"/>
        <v>-0.9128100230120173</v>
      </c>
      <c r="O10" s="14">
        <f t="shared" si="0"/>
        <v>-0.16601826559611518</v>
      </c>
      <c r="P10" s="14">
        <f t="shared" si="0"/>
        <v>-0.12137183300079059</v>
      </c>
      <c r="Q10" s="12">
        <f t="shared" si="0"/>
        <v>-5.0813796179339669E-2</v>
      </c>
    </row>
    <row r="11" spans="1:17" x14ac:dyDescent="0.25">
      <c r="A11" s="5" t="s">
        <v>29</v>
      </c>
      <c r="B11" s="6">
        <f>(((B9/B6)^(1/1))-1)</f>
        <v>-0.11528034504004925</v>
      </c>
      <c r="C11" s="6">
        <f t="shared" ref="C11:Q11" si="1">(((C9/C6)^(1/1))-1)</f>
        <v>-0.10437241874663317</v>
      </c>
      <c r="D11" s="6">
        <f t="shared" si="1"/>
        <v>-8.6802575107296165E-2</v>
      </c>
      <c r="E11" s="6">
        <f t="shared" si="1"/>
        <v>-7.2536576942086262E-2</v>
      </c>
      <c r="F11" s="6">
        <f t="shared" si="1"/>
        <v>-4.9057645878277323E-2</v>
      </c>
      <c r="G11" s="6">
        <f t="shared" si="1"/>
        <v>-3.7895374079170541E-2</v>
      </c>
      <c r="H11" s="9">
        <f t="shared" si="1"/>
        <v>-1.1601931326775894E-2</v>
      </c>
      <c r="I11" s="6">
        <f t="shared" si="1"/>
        <v>-0.67950946040644711</v>
      </c>
      <c r="J11" s="6">
        <f t="shared" si="1"/>
        <v>-0.92516556291390728</v>
      </c>
      <c r="K11" s="6">
        <f t="shared" si="1"/>
        <v>-0.8782188295165394</v>
      </c>
      <c r="L11" s="6">
        <f t="shared" si="1"/>
        <v>-4.4058270615976003E-2</v>
      </c>
      <c r="M11" s="6">
        <f t="shared" si="1"/>
        <v>-0.78878368536052434</v>
      </c>
      <c r="N11" s="6">
        <f t="shared" si="1"/>
        <v>-0.91281002301201741</v>
      </c>
      <c r="O11" s="6">
        <f t="shared" si="1"/>
        <v>-0.16601826559611521</v>
      </c>
      <c r="P11" s="6">
        <f t="shared" si="1"/>
        <v>-0.12137183300079057</v>
      </c>
      <c r="Q11" s="9">
        <f t="shared" si="1"/>
        <v>-5.0813796179339676E-2</v>
      </c>
    </row>
    <row r="12" spans="1:17" x14ac:dyDescent="0.25">
      <c r="A12" s="4" t="s">
        <v>21</v>
      </c>
      <c r="B12" s="8">
        <v>10171</v>
      </c>
      <c r="C12" s="8">
        <v>16645</v>
      </c>
      <c r="D12" s="8">
        <v>9393</v>
      </c>
      <c r="E12" s="8">
        <v>392947</v>
      </c>
      <c r="F12" s="8">
        <v>286.26499999999999</v>
      </c>
      <c r="G12" s="8">
        <v>404.65499999999997</v>
      </c>
      <c r="H12" s="10">
        <v>70.742978586697319</v>
      </c>
      <c r="I12" s="7">
        <v>243</v>
      </c>
      <c r="J12" s="7">
        <v>102</v>
      </c>
      <c r="K12" s="7">
        <v>345</v>
      </c>
      <c r="L12" s="7">
        <v>26.34</v>
      </c>
      <c r="M12" s="7">
        <v>0.193</v>
      </c>
      <c r="N12" s="7">
        <v>7.4999999999999997E-2</v>
      </c>
      <c r="O12" s="7">
        <v>26.608000000000001</v>
      </c>
      <c r="P12" s="7">
        <v>43.325000000000003</v>
      </c>
      <c r="Q12" s="10">
        <v>61.414887478361223</v>
      </c>
    </row>
    <row r="13" spans="1:17" x14ac:dyDescent="0.25">
      <c r="A13" s="3" t="s">
        <v>27</v>
      </c>
      <c r="B13" s="14">
        <f>(B12-B9)/B9</f>
        <v>-0.29166376488613416</v>
      </c>
      <c r="C13" s="14">
        <f t="shared" ref="C13:Q13" si="2">(C12-C9)/C9</f>
        <v>-0.16570597965014286</v>
      </c>
      <c r="D13" s="14">
        <f t="shared" si="2"/>
        <v>0.10363059569968276</v>
      </c>
      <c r="E13" s="14">
        <f t="shared" si="2"/>
        <v>-0.15903453559818259</v>
      </c>
      <c r="F13" s="14">
        <f t="shared" si="2"/>
        <v>-0.17690509530148857</v>
      </c>
      <c r="G13" s="14">
        <f t="shared" si="2"/>
        <v>-0.21896653554705445</v>
      </c>
      <c r="H13" s="12">
        <f t="shared" si="2"/>
        <v>5.3853569865955596E-2</v>
      </c>
      <c r="I13" s="14">
        <f t="shared" si="2"/>
        <v>-0.46866663751257276</v>
      </c>
      <c r="J13" s="14">
        <f t="shared" si="2"/>
        <v>-0.77433628318584069</v>
      </c>
      <c r="K13" s="14">
        <f t="shared" si="2"/>
        <v>-0.62060395451646255</v>
      </c>
      <c r="L13" s="14">
        <f t="shared" si="2"/>
        <v>-0.10998479472883931</v>
      </c>
      <c r="M13" s="14">
        <f t="shared" si="2"/>
        <v>-0.3344827586206896</v>
      </c>
      <c r="N13" s="14">
        <f t="shared" si="2"/>
        <v>-0.78005865102639294</v>
      </c>
      <c r="O13" s="14">
        <f t="shared" si="2"/>
        <v>-0.11969827300999135</v>
      </c>
      <c r="P13" s="14">
        <f t="shared" si="2"/>
        <v>-7.1832554950940375E-2</v>
      </c>
      <c r="Q13" s="12">
        <f t="shared" si="2"/>
        <v>-5.1570132430706885E-2</v>
      </c>
    </row>
    <row r="14" spans="1:17" s="2" customFormat="1" x14ac:dyDescent="0.25">
      <c r="A14" s="5" t="s">
        <v>29</v>
      </c>
      <c r="B14" s="6">
        <f>(((B12/B6)^(1/2))-1)</f>
        <v>-0.20836941094626094</v>
      </c>
      <c r="C14" s="6">
        <f t="shared" ref="C14:Q14" si="3">(((C12/C6)^(1/2))-1)</f>
        <v>-0.13558300832289871</v>
      </c>
      <c r="D14" s="6">
        <f t="shared" si="3"/>
        <v>3.9086701616593E-3</v>
      </c>
      <c r="E14" s="6">
        <f t="shared" si="3"/>
        <v>-0.11684389359094749</v>
      </c>
      <c r="F14" s="6">
        <f t="shared" si="3"/>
        <v>-0.11528772680628108</v>
      </c>
      <c r="G14" s="6">
        <f t="shared" si="3"/>
        <v>-0.13314597010272222</v>
      </c>
      <c r="H14" s="9">
        <f t="shared" si="3"/>
        <v>2.0601211600247415E-2</v>
      </c>
      <c r="I14" s="6">
        <f t="shared" si="3"/>
        <v>-0.58734116264442804</v>
      </c>
      <c r="J14" s="6">
        <f t="shared" si="3"/>
        <v>-0.87004840432475228</v>
      </c>
      <c r="K14" s="6">
        <f t="shared" si="3"/>
        <v>-0.78505048384380705</v>
      </c>
      <c r="L14" s="6">
        <f t="shared" si="3"/>
        <v>-7.7610345621228038E-2</v>
      </c>
      <c r="M14" s="6">
        <f t="shared" si="3"/>
        <v>-0.62507587560525235</v>
      </c>
      <c r="N14" s="6">
        <f t="shared" si="3"/>
        <v>-0.86152010559032532</v>
      </c>
      <c r="O14" s="6">
        <f t="shared" si="3"/>
        <v>-0.1431712183441417</v>
      </c>
      <c r="P14" s="6">
        <f t="shared" si="3"/>
        <v>-9.6941828611359804E-2</v>
      </c>
      <c r="Q14" s="9">
        <f t="shared" si="3"/>
        <v>-5.1192039668601308E-2</v>
      </c>
    </row>
    <row r="15" spans="1:17" x14ac:dyDescent="0.25">
      <c r="A15" s="4" t="s">
        <v>22</v>
      </c>
      <c r="B15" s="8">
        <v>9097</v>
      </c>
      <c r="C15" s="8">
        <v>14119</v>
      </c>
      <c r="D15" s="8">
        <v>6446</v>
      </c>
      <c r="E15" s="8">
        <v>363801</v>
      </c>
      <c r="F15" s="8">
        <v>249.57599999999999</v>
      </c>
      <c r="G15" s="8">
        <v>340.892</v>
      </c>
      <c r="H15" s="10">
        <v>73.21263039320371</v>
      </c>
      <c r="I15" s="7">
        <v>161</v>
      </c>
      <c r="J15" s="7">
        <v>52</v>
      </c>
      <c r="K15" s="7">
        <v>213</v>
      </c>
      <c r="L15" s="7">
        <v>22.593</v>
      </c>
      <c r="M15" s="7">
        <v>0.104</v>
      </c>
      <c r="N15" s="7">
        <v>0.03</v>
      </c>
      <c r="O15" s="7">
        <v>22.727</v>
      </c>
      <c r="P15" s="7">
        <v>36.814999999999998</v>
      </c>
      <c r="Q15" s="10">
        <v>61.73298927067772</v>
      </c>
    </row>
    <row r="16" spans="1:17" x14ac:dyDescent="0.25">
      <c r="A16" s="3" t="s">
        <v>27</v>
      </c>
      <c r="B16" s="14">
        <f>(B15-B12)/B12</f>
        <v>-0.1055943368400354</v>
      </c>
      <c r="C16" s="14">
        <f t="shared" ref="C16:Q16" si="4">(C15-C12)/C12</f>
        <v>-0.15175728446981077</v>
      </c>
      <c r="D16" s="14">
        <f t="shared" si="4"/>
        <v>-0.31374427765357182</v>
      </c>
      <c r="E16" s="14">
        <f t="shared" si="4"/>
        <v>-7.4172852827480554E-2</v>
      </c>
      <c r="F16" s="14">
        <f t="shared" si="4"/>
        <v>-0.12816446299757217</v>
      </c>
      <c r="G16" s="14">
        <f t="shared" si="4"/>
        <v>-0.15757373565135729</v>
      </c>
      <c r="H16" s="12">
        <f t="shared" si="4"/>
        <v>3.4910203893659501E-2</v>
      </c>
      <c r="I16" s="14">
        <f t="shared" si="4"/>
        <v>-0.33744855967078191</v>
      </c>
      <c r="J16" s="14">
        <f t="shared" si="4"/>
        <v>-0.49019607843137253</v>
      </c>
      <c r="K16" s="14">
        <f t="shared" si="4"/>
        <v>-0.38260869565217392</v>
      </c>
      <c r="L16" s="14">
        <f t="shared" si="4"/>
        <v>-0.14225512528473805</v>
      </c>
      <c r="M16" s="14">
        <f t="shared" si="4"/>
        <v>-0.46113989637305702</v>
      </c>
      <c r="N16" s="14">
        <f t="shared" si="4"/>
        <v>-0.6</v>
      </c>
      <c r="O16" s="14">
        <f t="shared" si="4"/>
        <v>-0.14585838845460011</v>
      </c>
      <c r="P16" s="14">
        <f t="shared" si="4"/>
        <v>-0.150259665320254</v>
      </c>
      <c r="Q16" s="12">
        <f t="shared" si="4"/>
        <v>5.1795550782141623E-3</v>
      </c>
    </row>
    <row r="17" spans="1:17" x14ac:dyDescent="0.25">
      <c r="A17" s="5" t="s">
        <v>29</v>
      </c>
      <c r="B17" s="6">
        <f>(((B15/B6)^(1/3))-1)</f>
        <v>-0.17549513041692266</v>
      </c>
      <c r="C17" s="6">
        <f t="shared" ref="C17:Q17" si="5">(((C15/C6)^(1/3))-1)</f>
        <v>-0.14100841435238431</v>
      </c>
      <c r="D17" s="6">
        <f t="shared" si="5"/>
        <v>-0.1156487454013172</v>
      </c>
      <c r="E17" s="6">
        <f t="shared" si="5"/>
        <v>-0.10284333520265376</v>
      </c>
      <c r="F17" s="6">
        <f t="shared" si="5"/>
        <v>-0.11960096637596651</v>
      </c>
      <c r="G17" s="6">
        <f t="shared" si="5"/>
        <v>-0.14136626448466505</v>
      </c>
      <c r="H17" s="9">
        <f t="shared" si="5"/>
        <v>2.5348757227242391E-2</v>
      </c>
      <c r="I17" s="6">
        <f t="shared" si="5"/>
        <v>-0.51679216491415714</v>
      </c>
      <c r="J17" s="6">
        <f t="shared" si="5"/>
        <v>-0.79504643904835171</v>
      </c>
      <c r="K17" s="6">
        <f t="shared" si="5"/>
        <v>-0.69445314535651925</v>
      </c>
      <c r="L17" s="6">
        <f t="shared" si="5"/>
        <v>-9.9682567342683548E-2</v>
      </c>
      <c r="M17" s="6">
        <f t="shared" si="5"/>
        <v>-0.57688904761268767</v>
      </c>
      <c r="N17" s="6">
        <f t="shared" si="5"/>
        <v>-0.80278294032182473</v>
      </c>
      <c r="O17" s="6">
        <f t="shared" si="5"/>
        <v>-0.14406787973272184</v>
      </c>
      <c r="P17" s="6">
        <f t="shared" si="5"/>
        <v>-0.11507615918964154</v>
      </c>
      <c r="Q17" s="9">
        <f t="shared" si="5"/>
        <v>-3.2761825601321237E-2</v>
      </c>
    </row>
    <row r="18" spans="1:17" x14ac:dyDescent="0.25">
      <c r="A18" s="4" t="s">
        <v>23</v>
      </c>
      <c r="B18" s="8">
        <v>9059</v>
      </c>
      <c r="C18" s="8">
        <v>13164</v>
      </c>
      <c r="D18" s="8">
        <v>5519</v>
      </c>
      <c r="E18" s="8">
        <v>310492</v>
      </c>
      <c r="F18" s="8">
        <v>197.91499999999999</v>
      </c>
      <c r="G18" s="8">
        <v>289.61399999999998</v>
      </c>
      <c r="H18" s="10">
        <v>68.337511308155001</v>
      </c>
      <c r="I18" s="7">
        <v>168</v>
      </c>
      <c r="J18" s="7">
        <v>52</v>
      </c>
      <c r="K18" s="7">
        <v>220</v>
      </c>
      <c r="L18" s="7">
        <v>17.876000000000001</v>
      </c>
      <c r="M18" s="7">
        <v>0.108</v>
      </c>
      <c r="N18" s="7">
        <v>2.8000000000000001E-2</v>
      </c>
      <c r="O18" s="7">
        <v>18.012</v>
      </c>
      <c r="P18" s="7">
        <v>30.779</v>
      </c>
      <c r="Q18" s="10">
        <v>58.520419766724061</v>
      </c>
    </row>
    <row r="19" spans="1:17" x14ac:dyDescent="0.25">
      <c r="A19" s="3" t="s">
        <v>27</v>
      </c>
      <c r="B19" s="15">
        <f>(B18-B15)/B15</f>
        <v>-4.1772012751456521E-3</v>
      </c>
      <c r="C19" s="15">
        <f t="shared" ref="C19:Q19" si="6">(C18-C15)/C15</f>
        <v>-6.7639351228840572E-2</v>
      </c>
      <c r="D19" s="15">
        <f t="shared" si="6"/>
        <v>-0.1438101147998759</v>
      </c>
      <c r="E19" s="15">
        <f t="shared" si="6"/>
        <v>-0.14653340699998077</v>
      </c>
      <c r="F19" s="15">
        <f t="shared" si="6"/>
        <v>-0.20699506362791295</v>
      </c>
      <c r="G19" s="15">
        <f t="shared" si="6"/>
        <v>-0.15042300787346144</v>
      </c>
      <c r="H19" s="12">
        <f t="shared" si="6"/>
        <v>-6.6588497898052088E-2</v>
      </c>
      <c r="I19" s="15">
        <f t="shared" si="6"/>
        <v>4.3478260869565216E-2</v>
      </c>
      <c r="J19" s="15">
        <f t="shared" si="6"/>
        <v>0</v>
      </c>
      <c r="K19" s="15">
        <f t="shared" si="6"/>
        <v>3.2863849765258218E-2</v>
      </c>
      <c r="L19" s="15">
        <f t="shared" si="6"/>
        <v>-0.20878148098968702</v>
      </c>
      <c r="M19" s="15">
        <f t="shared" si="6"/>
        <v>3.8461538461538498E-2</v>
      </c>
      <c r="N19" s="15">
        <f t="shared" si="6"/>
        <v>-6.666666666666661E-2</v>
      </c>
      <c r="O19" s="15">
        <f t="shared" si="6"/>
        <v>-0.20746248954987459</v>
      </c>
      <c r="P19" s="15">
        <f t="shared" si="6"/>
        <v>-0.16395490968355286</v>
      </c>
      <c r="Q19" s="12">
        <f t="shared" si="6"/>
        <v>-5.2039752843777869E-2</v>
      </c>
    </row>
    <row r="20" spans="1:17" x14ac:dyDescent="0.25">
      <c r="A20" s="5" t="s">
        <v>29</v>
      </c>
      <c r="B20" s="6">
        <f>(((B18/B6)^(1/4))-1)</f>
        <v>-0.13564841054229482</v>
      </c>
      <c r="C20" s="6">
        <f t="shared" ref="C20:Q20" si="7">(((C18/C6)^(1/4))-1)</f>
        <v>-0.12322599311632221</v>
      </c>
      <c r="D20" s="6">
        <f t="shared" si="7"/>
        <v>-0.12277475699769447</v>
      </c>
      <c r="E20" s="6">
        <f t="shared" si="7"/>
        <v>-0.11397118219898505</v>
      </c>
      <c r="F20" s="6">
        <f t="shared" si="7"/>
        <v>-0.14231336917626958</v>
      </c>
      <c r="G20" s="6">
        <f t="shared" si="7"/>
        <v>-0.14363946170257658</v>
      </c>
      <c r="H20" s="9">
        <f t="shared" si="7"/>
        <v>1.5485212909780444E-3</v>
      </c>
      <c r="I20" s="6">
        <f t="shared" si="7"/>
        <v>-0.41423782091496431</v>
      </c>
      <c r="J20" s="6">
        <f t="shared" si="7"/>
        <v>-0.69539179231015802</v>
      </c>
      <c r="K20" s="6">
        <f t="shared" si="7"/>
        <v>-0.58569599422664664</v>
      </c>
      <c r="L20" s="6">
        <f t="shared" si="7"/>
        <v>-0.12829235374719494</v>
      </c>
      <c r="M20" s="6">
        <f t="shared" si="7"/>
        <v>-0.47041179422039603</v>
      </c>
      <c r="N20" s="6">
        <f t="shared" si="7"/>
        <v>-0.70911752697195696</v>
      </c>
      <c r="O20" s="6">
        <f t="shared" si="7"/>
        <v>-0.16037676220011532</v>
      </c>
      <c r="P20" s="6">
        <f t="shared" si="7"/>
        <v>-0.12755743297869393</v>
      </c>
      <c r="Q20" s="9">
        <f t="shared" si="7"/>
        <v>-3.7617753261940501E-2</v>
      </c>
    </row>
    <row r="21" spans="1:17" x14ac:dyDescent="0.25">
      <c r="A21" s="4" t="s">
        <v>24</v>
      </c>
      <c r="B21" s="8">
        <v>10796</v>
      </c>
      <c r="C21" s="8">
        <v>16133</v>
      </c>
      <c r="D21" s="8">
        <v>7318</v>
      </c>
      <c r="E21" s="8">
        <v>400340</v>
      </c>
      <c r="F21" s="8">
        <v>227.98400000000001</v>
      </c>
      <c r="G21" s="8">
        <v>342.601</v>
      </c>
      <c r="H21" s="10">
        <v>66.545048029632142</v>
      </c>
      <c r="I21" s="7">
        <v>127</v>
      </c>
      <c r="J21" s="7">
        <v>45</v>
      </c>
      <c r="K21" s="7">
        <v>172</v>
      </c>
      <c r="L21" s="7">
        <v>20.065000000000001</v>
      </c>
      <c r="M21" s="7">
        <v>7.2999999999999995E-2</v>
      </c>
      <c r="N21" s="7">
        <v>2.4E-2</v>
      </c>
      <c r="O21" s="7">
        <v>20.161999999999999</v>
      </c>
      <c r="P21" s="7">
        <v>32.779000000000003</v>
      </c>
      <c r="Q21" s="10">
        <v>61.50889288873973</v>
      </c>
    </row>
    <row r="22" spans="1:17" x14ac:dyDescent="0.25">
      <c r="A22" s="3" t="s">
        <v>27</v>
      </c>
      <c r="B22" s="15">
        <f>(B21-B18)/B18</f>
        <v>0.19174301799315599</v>
      </c>
      <c r="C22" s="15">
        <f t="shared" ref="C22:Q22" si="8">(C21-C18)/C18</f>
        <v>0.22553934974171985</v>
      </c>
      <c r="D22" s="15">
        <f t="shared" si="8"/>
        <v>0.32596484870447545</v>
      </c>
      <c r="E22" s="15">
        <f t="shared" si="8"/>
        <v>0.28937299511742653</v>
      </c>
      <c r="F22" s="15">
        <f t="shared" si="8"/>
        <v>0.15192885834828093</v>
      </c>
      <c r="G22" s="15">
        <f t="shared" si="8"/>
        <v>0.18295731559938411</v>
      </c>
      <c r="H22" s="12">
        <f t="shared" si="8"/>
        <v>-2.622956622520372E-2</v>
      </c>
      <c r="I22" s="15">
        <f t="shared" si="8"/>
        <v>-0.24404761904761904</v>
      </c>
      <c r="J22" s="15">
        <f t="shared" si="8"/>
        <v>-0.13461538461538461</v>
      </c>
      <c r="K22" s="15">
        <f t="shared" si="8"/>
        <v>-0.21818181818181817</v>
      </c>
      <c r="L22" s="15">
        <f t="shared" si="8"/>
        <v>0.12245468784963079</v>
      </c>
      <c r="M22" s="15">
        <f t="shared" si="8"/>
        <v>-0.32407407407407413</v>
      </c>
      <c r="N22" s="15">
        <f t="shared" si="8"/>
        <v>-0.14285714285714285</v>
      </c>
      <c r="O22" s="15">
        <f t="shared" si="8"/>
        <v>0.11936486786586711</v>
      </c>
      <c r="P22" s="15">
        <f t="shared" si="8"/>
        <v>6.4979369050326641E-2</v>
      </c>
      <c r="Q22" s="12">
        <f t="shared" si="8"/>
        <v>5.1067185333400121E-2</v>
      </c>
    </row>
    <row r="23" spans="1:17" x14ac:dyDescent="0.25">
      <c r="A23" s="5" t="s">
        <v>29</v>
      </c>
      <c r="B23" s="6">
        <f>(((B21/B6)^(1/5))-1)</f>
        <v>-7.8301520150841575E-2</v>
      </c>
      <c r="C23" s="6">
        <f t="shared" ref="C23:Q23" si="9">(((C21/C6)^(1/5))-1)</f>
        <v>-6.2490699270532524E-2</v>
      </c>
      <c r="D23" s="6">
        <f t="shared" si="9"/>
        <v>-4.7214150384161768E-2</v>
      </c>
      <c r="E23" s="6">
        <f t="shared" si="9"/>
        <v>-4.493266444621391E-2</v>
      </c>
      <c r="F23" s="6">
        <f t="shared" si="9"/>
        <v>-9.0195576304999081E-2</v>
      </c>
      <c r="G23" s="6">
        <f t="shared" si="9"/>
        <v>-8.6477744856789385E-2</v>
      </c>
      <c r="H23" s="9">
        <f t="shared" si="9"/>
        <v>-4.0697765459767332E-3</v>
      </c>
      <c r="I23" s="6">
        <f t="shared" si="9"/>
        <v>-0.38358109513353189</v>
      </c>
      <c r="J23" s="6">
        <f t="shared" si="9"/>
        <v>-0.62465112802586742</v>
      </c>
      <c r="K23" s="6">
        <f t="shared" si="9"/>
        <v>-0.52959009348182873</v>
      </c>
      <c r="L23" s="6">
        <f t="shared" si="9"/>
        <v>-8.308210654170789E-2</v>
      </c>
      <c r="M23" s="6">
        <f t="shared" si="9"/>
        <v>-0.44392872078634493</v>
      </c>
      <c r="N23" s="6">
        <f t="shared" si="9"/>
        <v>-0.63893558760605129</v>
      </c>
      <c r="O23" s="6">
        <f t="shared" si="9"/>
        <v>-0.11067214698860317</v>
      </c>
      <c r="P23" s="6">
        <f t="shared" si="9"/>
        <v>-9.2058815111409009E-2</v>
      </c>
      <c r="Q23" s="9">
        <f t="shared" si="9"/>
        <v>-2.0500592094495729E-2</v>
      </c>
    </row>
    <row r="24" spans="1:17" x14ac:dyDescent="0.25">
      <c r="A24" s="4" t="s">
        <v>25</v>
      </c>
      <c r="B24" s="8">
        <v>12686</v>
      </c>
      <c r="C24" s="8">
        <v>22938</v>
      </c>
      <c r="D24" s="8">
        <v>9324</v>
      </c>
      <c r="E24" s="8">
        <v>625411</v>
      </c>
      <c r="F24" s="8">
        <v>323.77</v>
      </c>
      <c r="G24" s="8">
        <v>470.59300000000002</v>
      </c>
      <c r="H24" s="10">
        <v>68.800428395662479</v>
      </c>
      <c r="I24" s="7">
        <v>64</v>
      </c>
      <c r="J24" s="7">
        <v>33</v>
      </c>
      <c r="K24" s="7">
        <v>97</v>
      </c>
      <c r="L24" s="7">
        <v>29.280999999999999</v>
      </c>
      <c r="M24" s="7">
        <v>5.6000000000000001E-2</v>
      </c>
      <c r="N24" s="7">
        <v>2.4E-2</v>
      </c>
      <c r="O24" s="7">
        <v>29.361000000000001</v>
      </c>
      <c r="P24" s="7">
        <v>45.115000000000002</v>
      </c>
      <c r="Q24" s="10">
        <v>65.080350216114368</v>
      </c>
    </row>
    <row r="25" spans="1:17" x14ac:dyDescent="0.25">
      <c r="A25" s="3" t="s">
        <v>27</v>
      </c>
      <c r="B25" s="15">
        <f>(B24-B21)/B21</f>
        <v>0.17506483882919599</v>
      </c>
      <c r="C25" s="15">
        <f t="shared" ref="C25:Q25" si="10">(C24-C21)/C21</f>
        <v>0.42180623566602615</v>
      </c>
      <c r="D25" s="15">
        <f t="shared" si="10"/>
        <v>0.27411861164252527</v>
      </c>
      <c r="E25" s="15">
        <f t="shared" si="10"/>
        <v>0.56219963031423292</v>
      </c>
      <c r="F25" s="15">
        <f t="shared" si="10"/>
        <v>0.42014351884342749</v>
      </c>
      <c r="G25" s="15">
        <f t="shared" si="10"/>
        <v>0.3735891021917625</v>
      </c>
      <c r="H25" s="12">
        <f t="shared" si="10"/>
        <v>3.389253494904728E-2</v>
      </c>
      <c r="I25" s="15">
        <f t="shared" si="10"/>
        <v>-0.49606299212598426</v>
      </c>
      <c r="J25" s="15">
        <f t="shared" si="10"/>
        <v>-0.26666666666666666</v>
      </c>
      <c r="K25" s="15">
        <f t="shared" si="10"/>
        <v>-0.43604651162790697</v>
      </c>
      <c r="L25" s="15">
        <f t="shared" si="10"/>
        <v>0.45930725143284312</v>
      </c>
      <c r="M25" s="15">
        <f t="shared" si="10"/>
        <v>-0.23287671232876705</v>
      </c>
      <c r="N25" s="15">
        <f t="shared" si="10"/>
        <v>0</v>
      </c>
      <c r="O25" s="15">
        <f t="shared" si="10"/>
        <v>0.45625433984723746</v>
      </c>
      <c r="P25" s="15">
        <f t="shared" si="10"/>
        <v>0.37633850941151337</v>
      </c>
      <c r="Q25" s="12">
        <f t="shared" si="10"/>
        <v>5.8064080812425992E-2</v>
      </c>
    </row>
    <row r="26" spans="1:17" x14ac:dyDescent="0.25">
      <c r="A26" s="5" t="s">
        <v>29</v>
      </c>
      <c r="B26" s="6">
        <f>(((B24/B6)^(1/6))-1)</f>
        <v>-4.0228835312837052E-2</v>
      </c>
      <c r="C26" s="6">
        <f t="shared" ref="C26:Q26" si="11">(((C24/C6)^(1/6))-1)</f>
        <v>4.8927737529431692E-3</v>
      </c>
      <c r="D26" s="6">
        <f t="shared" si="11"/>
        <v>7.1517969956635952E-5</v>
      </c>
      <c r="E26" s="6">
        <f t="shared" si="11"/>
        <v>3.6695185697240618E-2</v>
      </c>
      <c r="F26" s="6">
        <f t="shared" si="11"/>
        <v>-2.010680240534668E-2</v>
      </c>
      <c r="G26" s="6">
        <f t="shared" si="11"/>
        <v>-2.2217899274893704E-2</v>
      </c>
      <c r="H26" s="9">
        <f t="shared" si="11"/>
        <v>2.1590667981969958E-3</v>
      </c>
      <c r="I26" s="6">
        <f t="shared" si="11"/>
        <v>-0.4039363102838055</v>
      </c>
      <c r="J26" s="6">
        <f t="shared" si="11"/>
        <v>-0.58032525661862344</v>
      </c>
      <c r="K26" s="6">
        <f t="shared" si="11"/>
        <v>-0.51515350118155867</v>
      </c>
      <c r="L26" s="6">
        <f t="shared" si="11"/>
        <v>-9.2444890159589788E-3</v>
      </c>
      <c r="M26" s="6">
        <f t="shared" si="11"/>
        <v>-0.41329528063768739</v>
      </c>
      <c r="N26" s="6">
        <f t="shared" si="11"/>
        <v>-0.57212139525324157</v>
      </c>
      <c r="O26" s="6">
        <f t="shared" si="11"/>
        <v>-3.4487759540677843E-2</v>
      </c>
      <c r="P26" s="6">
        <f t="shared" si="11"/>
        <v>-2.6874229087981094E-2</v>
      </c>
      <c r="Q26" s="9">
        <f t="shared" si="11"/>
        <v>-7.8237887437317966E-3</v>
      </c>
    </row>
    <row r="27" spans="1:17" x14ac:dyDescent="0.25">
      <c r="A27" s="4" t="s">
        <v>26</v>
      </c>
      <c r="B27" s="8">
        <v>20828</v>
      </c>
      <c r="C27" s="8">
        <v>38202</v>
      </c>
      <c r="D27" s="8">
        <v>17564</v>
      </c>
      <c r="E27" s="8">
        <v>1281251</v>
      </c>
      <c r="F27" s="8">
        <v>570.33299999999997</v>
      </c>
      <c r="G27" s="8">
        <v>729.71299999999997</v>
      </c>
      <c r="H27" s="10">
        <v>78.158536301258167</v>
      </c>
      <c r="I27" s="7">
        <v>76</v>
      </c>
      <c r="J27" s="7">
        <v>38</v>
      </c>
      <c r="K27" s="7">
        <v>114</v>
      </c>
      <c r="L27" s="7">
        <v>51.292999999999999</v>
      </c>
      <c r="M27" s="7">
        <v>5.1999999999999998E-2</v>
      </c>
      <c r="N27" s="7">
        <v>2.4E-2</v>
      </c>
      <c r="O27" s="7">
        <v>51.369</v>
      </c>
      <c r="P27" s="7">
        <v>67.221999999999994</v>
      </c>
      <c r="Q27" s="10">
        <v>76.41694683288209</v>
      </c>
    </row>
    <row r="28" spans="1:17" x14ac:dyDescent="0.25">
      <c r="A28" s="3" t="s">
        <v>27</v>
      </c>
      <c r="B28" s="15">
        <f>(B27-B24)/B24</f>
        <v>0.64180986914709126</v>
      </c>
      <c r="C28" s="15">
        <f t="shared" ref="C28:Q28" si="12">(C27-C24)/C24</f>
        <v>0.66544598482866857</v>
      </c>
      <c r="D28" s="15">
        <f t="shared" si="12"/>
        <v>0.88374088374088378</v>
      </c>
      <c r="E28" s="15">
        <f t="shared" si="12"/>
        <v>1.0486544048633619</v>
      </c>
      <c r="F28" s="15">
        <f t="shared" si="12"/>
        <v>0.7615375111962196</v>
      </c>
      <c r="G28" s="15">
        <f t="shared" si="12"/>
        <v>0.55062442492769748</v>
      </c>
      <c r="H28" s="12">
        <f t="shared" si="12"/>
        <v>0.13601816331401897</v>
      </c>
      <c r="I28" s="15">
        <f t="shared" si="12"/>
        <v>0.1875</v>
      </c>
      <c r="J28" s="15">
        <f t="shared" si="12"/>
        <v>0.15151515151515152</v>
      </c>
      <c r="K28" s="15">
        <f t="shared" si="12"/>
        <v>0.17525773195876287</v>
      </c>
      <c r="L28" s="15">
        <f t="shared" si="12"/>
        <v>0.75175028175267244</v>
      </c>
      <c r="M28" s="15">
        <f t="shared" si="12"/>
        <v>-7.1428571428571494E-2</v>
      </c>
      <c r="N28" s="15">
        <f t="shared" si="12"/>
        <v>0</v>
      </c>
      <c r="O28" s="15">
        <f t="shared" si="12"/>
        <v>0.74956575048533769</v>
      </c>
      <c r="P28" s="15">
        <f t="shared" si="12"/>
        <v>0.49001440762495824</v>
      </c>
      <c r="Q28" s="12">
        <f t="shared" si="12"/>
        <v>0.17419384774547045</v>
      </c>
    </row>
    <row r="29" spans="1:17" x14ac:dyDescent="0.25">
      <c r="A29" s="5" t="s">
        <v>29</v>
      </c>
      <c r="B29" s="6">
        <f>(((B27/B6)^(1/7))-1)</f>
        <v>3.6276330189085826E-2</v>
      </c>
      <c r="C29" s="6">
        <f t="shared" ref="C29:Q29" si="13">(((C27/C6)^(1/7))-1)</f>
        <v>8.0100400939286276E-2</v>
      </c>
      <c r="D29" s="6">
        <f t="shared" si="13"/>
        <v>9.4751022357220993E-2</v>
      </c>
      <c r="E29" s="6">
        <f t="shared" si="13"/>
        <v>0.14264346914802495</v>
      </c>
      <c r="F29" s="6">
        <f t="shared" si="13"/>
        <v>6.5531605313079666E-2</v>
      </c>
      <c r="G29" s="6">
        <f t="shared" si="13"/>
        <v>4.4362580072756286E-2</v>
      </c>
      <c r="H29" s="9">
        <f t="shared" si="13"/>
        <v>2.0269804418737936E-2</v>
      </c>
      <c r="I29" s="6">
        <f t="shared" si="13"/>
        <v>-0.34225787075463132</v>
      </c>
      <c r="J29" s="6">
        <f t="shared" si="13"/>
        <v>-0.51523055678526775</v>
      </c>
      <c r="K29" s="6">
        <f t="shared" si="13"/>
        <v>-0.44977925936417062</v>
      </c>
      <c r="L29" s="6">
        <f t="shared" si="13"/>
        <v>7.4792070746278139E-2</v>
      </c>
      <c r="M29" s="6">
        <f t="shared" si="13"/>
        <v>-0.3735236413963946</v>
      </c>
      <c r="N29" s="6">
        <f t="shared" si="13"/>
        <v>-0.51695336527874458</v>
      </c>
      <c r="O29" s="6">
        <f t="shared" si="13"/>
        <v>5.1089184918234443E-2</v>
      </c>
      <c r="P29" s="6">
        <f t="shared" si="13"/>
        <v>3.4190671180933441E-2</v>
      </c>
      <c r="Q29" s="9">
        <f t="shared" si="13"/>
        <v>1.6339843520348563E-2</v>
      </c>
    </row>
    <row r="30" spans="1:17" x14ac:dyDescent="0.25">
      <c r="A30" s="4" t="s">
        <v>30</v>
      </c>
      <c r="B30" s="8">
        <v>28983</v>
      </c>
      <c r="C30" s="8">
        <v>51698</v>
      </c>
      <c r="D30" s="8">
        <v>23821</v>
      </c>
      <c r="E30" s="8">
        <v>1597382</v>
      </c>
      <c r="F30" s="8">
        <v>679.84728900000005</v>
      </c>
      <c r="G30" s="8">
        <v>984.52216399999998</v>
      </c>
      <c r="H30" s="10">
        <v>69.053528082888349</v>
      </c>
      <c r="I30" s="7">
        <v>83.3</v>
      </c>
      <c r="J30" s="7">
        <v>15</v>
      </c>
      <c r="K30" s="7">
        <v>98.3</v>
      </c>
      <c r="L30" s="7">
        <v>61.920999999999999</v>
      </c>
      <c r="M30" s="7">
        <v>5.1799999999999999E-2</v>
      </c>
      <c r="N30" s="7">
        <v>8.9999999999999993E-3</v>
      </c>
      <c r="O30" s="7">
        <v>61.9818</v>
      </c>
      <c r="P30" s="7">
        <v>91.338999999999999</v>
      </c>
      <c r="Q30" s="10">
        <v>67.859074436987484</v>
      </c>
    </row>
    <row r="31" spans="1:17" x14ac:dyDescent="0.25">
      <c r="A31" s="3" t="s">
        <v>27</v>
      </c>
      <c r="B31" s="15">
        <f>(B30-B27)/B27</f>
        <v>0.3915402342999808</v>
      </c>
      <c r="C31" s="15">
        <f t="shared" ref="C31:Q31" si="14">(C30-C27)/C27</f>
        <v>0.35327993298780169</v>
      </c>
      <c r="D31" s="15">
        <f t="shared" si="14"/>
        <v>0.35624003643816898</v>
      </c>
      <c r="E31" s="15">
        <f t="shared" si="14"/>
        <v>0.24673619766930913</v>
      </c>
      <c r="F31" s="15">
        <f t="shared" si="14"/>
        <v>0.19201815255298235</v>
      </c>
      <c r="G31" s="15">
        <f t="shared" si="14"/>
        <v>0.34919093396993067</v>
      </c>
      <c r="H31" s="12">
        <f t="shared" si="14"/>
        <v>-0.11649409839604748</v>
      </c>
      <c r="I31" s="15">
        <f t="shared" si="14"/>
        <v>9.6052631578947334E-2</v>
      </c>
      <c r="J31" s="15">
        <f t="shared" si="14"/>
        <v>-0.60526315789473684</v>
      </c>
      <c r="K31" s="15">
        <f t="shared" si="14"/>
        <v>-0.13771929824561405</v>
      </c>
      <c r="L31" s="15">
        <f t="shared" si="14"/>
        <v>0.20720176242372254</v>
      </c>
      <c r="M31" s="15">
        <f t="shared" si="14"/>
        <v>-3.8461538461538229E-3</v>
      </c>
      <c r="N31" s="15">
        <f t="shared" si="14"/>
        <v>-0.625</v>
      </c>
      <c r="O31" s="15">
        <f t="shared" si="14"/>
        <v>0.20659931086842259</v>
      </c>
      <c r="P31" s="15">
        <f t="shared" si="14"/>
        <v>0.35876647526107536</v>
      </c>
      <c r="Q31" s="12">
        <f t="shared" si="14"/>
        <v>-0.11198919546746622</v>
      </c>
    </row>
    <row r="32" spans="1:17" x14ac:dyDescent="0.25">
      <c r="A32" s="5" t="s">
        <v>29</v>
      </c>
      <c r="B32" s="6">
        <f>(((B30/B6)^(1/8))-1)</f>
        <v>7.5172386985256301E-2</v>
      </c>
      <c r="C32" s="6">
        <f t="shared" ref="C32:Q32" si="15">(((C30/C6)^(1/8))-1)</f>
        <v>0.11097571728547062</v>
      </c>
      <c r="D32" s="6">
        <f t="shared" si="15"/>
        <v>0.12445740707139441</v>
      </c>
      <c r="E32" s="6">
        <f t="shared" si="15"/>
        <v>0.15516419744500176</v>
      </c>
      <c r="F32" s="6">
        <f t="shared" si="15"/>
        <v>8.0577456155895621E-2</v>
      </c>
      <c r="G32" s="6">
        <f t="shared" si="15"/>
        <v>7.8335906098173202E-2</v>
      </c>
      <c r="H32" s="9">
        <f t="shared" si="15"/>
        <v>2.0787122500938171E-3</v>
      </c>
      <c r="I32" s="6">
        <f t="shared" si="15"/>
        <v>-0.29890377525123413</v>
      </c>
      <c r="J32" s="6">
        <f t="shared" si="15"/>
        <v>-0.52752178372288183</v>
      </c>
      <c r="K32" s="6">
        <f t="shared" si="15"/>
        <v>-0.41799606522124977</v>
      </c>
      <c r="L32" s="6">
        <f t="shared" si="15"/>
        <v>9.0514337073209106E-2</v>
      </c>
      <c r="M32" s="6">
        <f t="shared" si="15"/>
        <v>-0.33613097937785275</v>
      </c>
      <c r="N32" s="6">
        <f t="shared" si="15"/>
        <v>-0.53200163407199452</v>
      </c>
      <c r="O32" s="6">
        <f t="shared" si="15"/>
        <v>6.9374947740197035E-2</v>
      </c>
      <c r="P32" s="6">
        <f t="shared" si="15"/>
        <v>7.0085900533880974E-2</v>
      </c>
      <c r="Q32" s="9">
        <f t="shared" si="15"/>
        <v>-6.6438852556538475E-4</v>
      </c>
    </row>
    <row r="33" spans="1:17" x14ac:dyDescent="0.25">
      <c r="A33" s="4" t="s">
        <v>34</v>
      </c>
      <c r="B33" s="8">
        <v>30669</v>
      </c>
      <c r="C33" s="8">
        <v>53661.600000000006</v>
      </c>
      <c r="D33" s="8">
        <v>20921.399999999998</v>
      </c>
      <c r="E33" s="8">
        <v>1639757</v>
      </c>
      <c r="F33" s="8">
        <v>672.04899999999986</v>
      </c>
      <c r="G33" s="8">
        <v>1028.5710000000001</v>
      </c>
      <c r="H33" s="10">
        <v>65.338124446440716</v>
      </c>
      <c r="I33" s="7">
        <v>225</v>
      </c>
      <c r="J33" s="7">
        <v>0</v>
      </c>
      <c r="K33" s="7">
        <v>225</v>
      </c>
      <c r="L33" s="7">
        <v>61.1569</v>
      </c>
      <c r="M33" s="7">
        <v>0.1089</v>
      </c>
      <c r="N33" s="7">
        <v>0</v>
      </c>
      <c r="O33" s="7">
        <v>61.265800000000006</v>
      </c>
      <c r="P33" s="7">
        <v>95.361299999999986</v>
      </c>
      <c r="Q33" s="10">
        <v>64.245978190314119</v>
      </c>
    </row>
    <row r="34" spans="1:17" ht="30" x14ac:dyDescent="0.25">
      <c r="A34" s="3" t="s">
        <v>27</v>
      </c>
      <c r="B34" s="15">
        <f>(B33-B30)/B30</f>
        <v>5.8172031880757688E-2</v>
      </c>
      <c r="C34" s="15">
        <f t="shared" ref="C34:Q34" si="16">(C33-C30)/C30</f>
        <v>3.7982126968161355E-2</v>
      </c>
      <c r="D34" s="15">
        <f t="shared" si="16"/>
        <v>-0.12172452877712951</v>
      </c>
      <c r="E34" s="15">
        <f t="shared" si="16"/>
        <v>2.6527781081795088E-2</v>
      </c>
      <c r="F34" s="15">
        <f t="shared" si="16"/>
        <v>-1.1470648079616275E-2</v>
      </c>
      <c r="G34" s="15">
        <f t="shared" si="16"/>
        <v>4.4741335046267344E-2</v>
      </c>
      <c r="H34" s="12">
        <f t="shared" si="16"/>
        <v>-5.380468948650749E-2</v>
      </c>
      <c r="I34" s="15">
        <f t="shared" si="16"/>
        <v>1.701080432172869</v>
      </c>
      <c r="J34" s="15">
        <f t="shared" si="16"/>
        <v>-1</v>
      </c>
      <c r="K34" s="15">
        <f t="shared" si="16"/>
        <v>1.288911495422177</v>
      </c>
      <c r="L34" s="15">
        <f t="shared" si="16"/>
        <v>-1.2339916991004653E-2</v>
      </c>
      <c r="M34" s="15">
        <f t="shared" si="16"/>
        <v>1.1023166023166022</v>
      </c>
      <c r="N34" s="15">
        <f t="shared" si="16"/>
        <v>-1</v>
      </c>
      <c r="O34" s="15">
        <f t="shared" si="16"/>
        <v>-1.1551778102604215E-2</v>
      </c>
      <c r="P34" s="15">
        <f t="shared" si="16"/>
        <v>4.4037048796242428E-2</v>
      </c>
      <c r="Q34" s="12">
        <f t="shared" si="16"/>
        <v>-5.324411328404443E-2</v>
      </c>
    </row>
    <row r="35" spans="1:17" ht="30" x14ac:dyDescent="0.25">
      <c r="A35" s="5" t="s">
        <v>29</v>
      </c>
      <c r="B35" s="6">
        <f>(((B33/B6)^(1/9))-1)</f>
        <v>7.3270050621574656E-2</v>
      </c>
      <c r="C35" s="6">
        <f t="shared" ref="C35:Q35" si="17">(((C33/C6)^(1/9))-1)</f>
        <v>0.10261819937582861</v>
      </c>
      <c r="D35" s="6">
        <f t="shared" si="17"/>
        <v>9.4005299089687577E-2</v>
      </c>
      <c r="E35" s="6">
        <f t="shared" si="17"/>
        <v>0.14010990492262376</v>
      </c>
      <c r="F35" s="6">
        <f t="shared" si="17"/>
        <v>6.9940540478017121E-2</v>
      </c>
      <c r="G35" s="6">
        <f t="shared" si="17"/>
        <v>7.4550454431072888E-2</v>
      </c>
      <c r="H35" s="9">
        <f t="shared" si="17"/>
        <v>-4.2900860858102741E-3</v>
      </c>
      <c r="I35" s="6">
        <f t="shared" si="17"/>
        <v>-0.18555443907212898</v>
      </c>
      <c r="J35" s="6">
        <f t="shared" si="17"/>
        <v>-1</v>
      </c>
      <c r="K35" s="6">
        <f t="shared" si="17"/>
        <v>-0.32235218746198413</v>
      </c>
      <c r="L35" s="6">
        <f t="shared" si="17"/>
        <v>7.857648789150895E-2</v>
      </c>
      <c r="M35" s="6">
        <f t="shared" si="17"/>
        <v>-0.24541812131374185</v>
      </c>
      <c r="N35" s="6">
        <f t="shared" si="17"/>
        <v>-1</v>
      </c>
      <c r="O35" s="6">
        <f t="shared" si="17"/>
        <v>6.0065409084975707E-2</v>
      </c>
      <c r="P35" s="6">
        <f t="shared" si="17"/>
        <v>6.7159781495563342E-2</v>
      </c>
      <c r="Q35" s="9">
        <f t="shared" si="17"/>
        <v>-6.6479008425949226E-3</v>
      </c>
    </row>
    <row r="36" spans="1:17" ht="18" customHeight="1" x14ac:dyDescent="0.25">
      <c r="A36" s="4" t="s">
        <v>37</v>
      </c>
      <c r="B36" s="8">
        <v>15557</v>
      </c>
      <c r="C36" s="8">
        <v>29081</v>
      </c>
      <c r="D36" s="8">
        <v>12190</v>
      </c>
      <c r="E36" s="8">
        <v>705273</v>
      </c>
      <c r="F36" s="8">
        <v>282.64299999999997</v>
      </c>
      <c r="G36" s="8">
        <v>552.82900000000006</v>
      </c>
      <c r="H36" s="10">
        <v>51.126659419097031</v>
      </c>
      <c r="I36" s="7">
        <v>355.36799999999999</v>
      </c>
      <c r="J36" s="31">
        <v>0</v>
      </c>
      <c r="K36" s="7">
        <v>355.36799999999999</v>
      </c>
      <c r="L36" s="7">
        <v>25.717600000000001</v>
      </c>
      <c r="M36" s="7">
        <v>0.13</v>
      </c>
      <c r="N36" s="31">
        <v>0</v>
      </c>
      <c r="O36" s="7">
        <v>25.8476</v>
      </c>
      <c r="P36" s="7">
        <v>51.180900000000001</v>
      </c>
      <c r="Q36" s="10">
        <v>50.502433525006396</v>
      </c>
    </row>
    <row r="37" spans="1:17" x14ac:dyDescent="0.25">
      <c r="A37" s="3" t="s">
        <v>27</v>
      </c>
      <c r="B37" s="15">
        <f>(B36-B33)/B33</f>
        <v>-0.492745117219342</v>
      </c>
      <c r="C37" s="15">
        <f t="shared" ref="C37:Q37" si="18">(C36-C33)/C33</f>
        <v>-0.4580668485471921</v>
      </c>
      <c r="D37" s="15">
        <f t="shared" si="18"/>
        <v>-0.41734300763811211</v>
      </c>
      <c r="E37" s="15">
        <f t="shared" si="18"/>
        <v>-0.56989175835199968</v>
      </c>
      <c r="F37" s="15">
        <f t="shared" si="18"/>
        <v>-0.57943096411124784</v>
      </c>
      <c r="G37" s="15">
        <f t="shared" si="18"/>
        <v>-0.46252713716408494</v>
      </c>
      <c r="H37" s="12">
        <f t="shared" si="18"/>
        <v>-0.21750647340655113</v>
      </c>
      <c r="I37" s="15">
        <f t="shared" si="18"/>
        <v>0.57941333333333334</v>
      </c>
      <c r="J37" s="30" t="s">
        <v>28</v>
      </c>
      <c r="K37" s="15">
        <f t="shared" si="18"/>
        <v>0.57941333333333334</v>
      </c>
      <c r="L37" s="15">
        <f t="shared" si="18"/>
        <v>-0.57948162840170125</v>
      </c>
      <c r="M37" s="15">
        <f t="shared" si="18"/>
        <v>0.19375573921028474</v>
      </c>
      <c r="N37" s="30" t="s">
        <v>28</v>
      </c>
      <c r="O37" s="15">
        <f t="shared" si="18"/>
        <v>-0.57810719846961933</v>
      </c>
      <c r="P37" s="15">
        <f t="shared" si="18"/>
        <v>-0.46329485860616404</v>
      </c>
      <c r="Q37" s="12">
        <f t="shared" si="18"/>
        <v>-0.21392070060160956</v>
      </c>
    </row>
    <row r="38" spans="1:17" ht="30" x14ac:dyDescent="0.25">
      <c r="A38" s="5" t="s">
        <v>29</v>
      </c>
      <c r="B38" s="6">
        <f>(((B36/B6)^(1/10))-1)</f>
        <v>-4.2261130867201624E-3</v>
      </c>
      <c r="C38" s="6">
        <f t="shared" ref="C38:Q38" si="19">(((C36/C6)^(1/10))-1)</f>
        <v>2.701600743743926E-2</v>
      </c>
      <c r="D38" s="6">
        <f t="shared" si="19"/>
        <v>2.7208913593389727E-2</v>
      </c>
      <c r="E38" s="6">
        <f t="shared" si="19"/>
        <v>3.4212596970698117E-2</v>
      </c>
      <c r="F38" s="6">
        <f t="shared" si="19"/>
        <v>-2.5442633534432879E-2</v>
      </c>
      <c r="G38" s="6">
        <f t="shared" si="19"/>
        <v>2.627899062481065E-3</v>
      </c>
      <c r="H38" s="9">
        <f t="shared" si="19"/>
        <v>-2.7996959413518874E-2</v>
      </c>
      <c r="I38" s="6">
        <f t="shared" si="19"/>
        <v>-0.12978726524744988</v>
      </c>
      <c r="J38" s="6">
        <f t="shared" si="19"/>
        <v>-1</v>
      </c>
      <c r="K38" s="6">
        <f t="shared" si="19"/>
        <v>-0.2625149571654426</v>
      </c>
      <c r="L38" s="6">
        <f t="shared" si="19"/>
        <v>-1.8377846037822887E-2</v>
      </c>
      <c r="M38" s="6">
        <f t="shared" si="19"/>
        <v>-0.20999965398795772</v>
      </c>
      <c r="N38" s="6">
        <f t="shared" si="19"/>
        <v>-1</v>
      </c>
      <c r="O38" s="6">
        <f t="shared" si="19"/>
        <v>-3.3237917573957887E-2</v>
      </c>
      <c r="P38" s="6">
        <f t="shared" si="19"/>
        <v>-3.7230556806531201E-3</v>
      </c>
      <c r="Q38" s="9">
        <f t="shared" si="19"/>
        <v>-2.9625158006109653E-2</v>
      </c>
    </row>
    <row r="39" spans="1:17" x14ac:dyDescent="0.25">
      <c r="A39" s="18" t="s">
        <v>33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x14ac:dyDescent="0.25">
      <c r="A40" s="20" t="s">
        <v>36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17" x14ac:dyDescent="0.25">
      <c r="A41" s="29" t="s">
        <v>38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P4:P5"/>
    <mergeCell ref="Q4:Q5"/>
    <mergeCell ref="A39:Q39"/>
    <mergeCell ref="A40:Q40"/>
  </mergeCells>
  <printOptions horizontalCentered="1"/>
  <pageMargins left="0.25" right="0.25" top="0.75" bottom="0.75" header="0.3" footer="0.3"/>
  <pageSetup paperSize="9" scale="83" orientation="landscape" r:id="rId1"/>
  <rowBreaks count="1" manualBreakCount="1">
    <brk id="2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Alliance Air</vt:lpstr>
      <vt:lpstr>'Alliance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2022-04-25T07:16:58Z</cp:lastPrinted>
  <dcterms:created xsi:type="dcterms:W3CDTF">2018-10-29T04:00:16Z</dcterms:created>
  <dcterms:modified xsi:type="dcterms:W3CDTF">2022-04-25T07:19:41Z</dcterms:modified>
</cp:coreProperties>
</file>