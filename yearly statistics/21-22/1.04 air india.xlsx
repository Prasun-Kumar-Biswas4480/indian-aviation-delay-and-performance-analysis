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S Terminal 2\Desktop\Yearly publication\AD\Traffic Data Tables for Scheduled Airlines\03. AIR INDIA\"/>
    </mc:Choice>
  </mc:AlternateContent>
  <bookViews>
    <workbookView xWindow="0" yWindow="0" windowWidth="24000" windowHeight="10725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2" l="1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B38" i="2"/>
  <c r="C35" i="2" l="1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B35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B32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B29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B26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B23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B20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B17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B14" i="2"/>
  <c r="B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B11" i="2"/>
  <c r="Q37" i="2" l="1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I34" i="2" l="1"/>
  <c r="J34" i="2"/>
  <c r="K34" i="2"/>
  <c r="L34" i="2"/>
  <c r="M34" i="2"/>
  <c r="N34" i="2"/>
  <c r="O34" i="2"/>
  <c r="P34" i="2"/>
  <c r="I31" i="2"/>
  <c r="J31" i="2"/>
  <c r="K31" i="2"/>
  <c r="L31" i="2"/>
  <c r="M31" i="2"/>
  <c r="N31" i="2"/>
  <c r="O31" i="2"/>
  <c r="P31" i="2"/>
  <c r="I28" i="2"/>
  <c r="J28" i="2"/>
  <c r="K28" i="2"/>
  <c r="L28" i="2"/>
  <c r="M28" i="2"/>
  <c r="N28" i="2"/>
  <c r="O28" i="2"/>
  <c r="P28" i="2"/>
  <c r="I25" i="2"/>
  <c r="J25" i="2"/>
  <c r="K25" i="2"/>
  <c r="L25" i="2"/>
  <c r="M25" i="2"/>
  <c r="N25" i="2"/>
  <c r="O25" i="2"/>
  <c r="P25" i="2"/>
  <c r="I22" i="2"/>
  <c r="K22" i="2"/>
  <c r="L22" i="2"/>
  <c r="M22" i="2"/>
  <c r="N22" i="2"/>
  <c r="O22" i="2"/>
  <c r="P22" i="2"/>
  <c r="I19" i="2"/>
  <c r="K19" i="2"/>
  <c r="L19" i="2"/>
  <c r="M19" i="2"/>
  <c r="N19" i="2"/>
  <c r="O19" i="2"/>
  <c r="P19" i="2"/>
  <c r="I16" i="2"/>
  <c r="J16" i="2"/>
  <c r="K16" i="2"/>
  <c r="L16" i="2"/>
  <c r="M16" i="2"/>
  <c r="N16" i="2"/>
  <c r="O16" i="2"/>
  <c r="P16" i="2"/>
  <c r="I13" i="2"/>
  <c r="J13" i="2"/>
  <c r="K13" i="2"/>
  <c r="L13" i="2"/>
  <c r="M13" i="2"/>
  <c r="N13" i="2"/>
  <c r="O13" i="2"/>
  <c r="P13" i="2"/>
  <c r="I10" i="2"/>
  <c r="J10" i="2"/>
  <c r="K10" i="2"/>
  <c r="L10" i="2"/>
  <c r="M10" i="2"/>
  <c r="N10" i="2"/>
  <c r="O10" i="2"/>
  <c r="P10" i="2"/>
  <c r="H16" i="2" l="1"/>
  <c r="Q19" i="2"/>
  <c r="Q16" i="2"/>
  <c r="H19" i="2"/>
  <c r="Q22" i="2"/>
  <c r="Q25" i="2"/>
  <c r="H25" i="2"/>
  <c r="H31" i="2"/>
  <c r="Q31" i="2"/>
  <c r="H13" i="2"/>
  <c r="Q13" i="2"/>
  <c r="Q10" i="2"/>
  <c r="Q28" i="2"/>
  <c r="Q34" i="2"/>
  <c r="H10" i="2"/>
  <c r="H22" i="2"/>
  <c r="H28" i="2"/>
  <c r="H34" i="2"/>
  <c r="C34" i="2"/>
  <c r="D34" i="2"/>
  <c r="E34" i="2"/>
  <c r="F34" i="2"/>
  <c r="G34" i="2"/>
  <c r="C31" i="2"/>
  <c r="D31" i="2"/>
  <c r="E31" i="2"/>
  <c r="F31" i="2"/>
  <c r="G31" i="2"/>
  <c r="C28" i="2"/>
  <c r="D28" i="2"/>
  <c r="E28" i="2"/>
  <c r="F28" i="2"/>
  <c r="G28" i="2"/>
  <c r="C25" i="2"/>
  <c r="D25" i="2"/>
  <c r="E25" i="2"/>
  <c r="F25" i="2"/>
  <c r="G25" i="2"/>
  <c r="C22" i="2"/>
  <c r="D22" i="2"/>
  <c r="E22" i="2"/>
  <c r="F22" i="2"/>
  <c r="G22" i="2"/>
  <c r="C19" i="2"/>
  <c r="D19" i="2"/>
  <c r="E19" i="2"/>
  <c r="F19" i="2"/>
  <c r="G19" i="2"/>
  <c r="C16" i="2"/>
  <c r="D16" i="2"/>
  <c r="E16" i="2"/>
  <c r="F16" i="2"/>
  <c r="G16" i="2"/>
  <c r="C13" i="2"/>
  <c r="D13" i="2"/>
  <c r="E13" i="2"/>
  <c r="F13" i="2"/>
  <c r="G13" i="2"/>
  <c r="B34" i="2"/>
  <c r="B31" i="2"/>
  <c r="B28" i="2"/>
  <c r="B25" i="2"/>
  <c r="B22" i="2"/>
  <c r="B19" i="2"/>
  <c r="B16" i="2"/>
  <c r="B13" i="2"/>
  <c r="C10" i="2"/>
  <c r="D10" i="2"/>
  <c r="E10" i="2"/>
  <c r="F10" i="2"/>
  <c r="G10" i="2"/>
</calcChain>
</file>

<file path=xl/sharedStrings.xml><?xml version="1.0" encoding="utf-8"?>
<sst xmlns="http://schemas.openxmlformats.org/spreadsheetml/2006/main" count="93" uniqueCount="39">
  <si>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</si>
  <si>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</si>
  <si>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</si>
  <si>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</si>
  <si>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</si>
  <si>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</si>
  <si>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</si>
  <si>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</si>
  <si>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</si>
  <si>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</si>
  <si>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</si>
  <si>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</si>
  <si>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</si>
  <si>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</si>
  <si>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</si>
  <si>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</si>
  <si>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</si>
  <si>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</si>
  <si>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</si>
  <si>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</si>
  <si>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</si>
  <si>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</si>
  <si>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</si>
  <si>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</si>
  <si>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</si>
  <si>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</si>
  <si>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</si>
  <si>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</si>
  <si>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</si>
  <si>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</si>
  <si>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</si>
  <si>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</si>
  <si>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1.04 (एयर इंडिया) </t>
  </si>
  <si>
    <t>Table 1.04 (AIR INDIA)</t>
  </si>
  <si>
    <t xml:space="preserve">SOURCE: ICAO ATR FORM 'A' FURNISHED BY AIR INDIA </t>
  </si>
  <si>
    <t>2019-20</t>
  </si>
  <si>
    <t>Note: Growth has been calculated with respect to preceeding year while Compound Annual Growth Rate (CAGR) has been calculating taking 2009-10 as a Base Year</t>
  </si>
  <si>
    <t>YEAR ON YEAR GROWTH AND CAGR FOR LAST TEN YEARS OF AIR INDIA ON SCHEDULED DOMESTIC SERVICES (ALL AIR TRAFFIC AND OPERATING STATISTICS)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</si>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</sst>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7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2" xfId="1" applyFont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5" fillId="3" borderId="2" xfId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6" fontId="5" fillId="3" borderId="2" xfId="4" applyNumberFormat="1" applyFont="1" applyFill="1" applyBorder="1" applyAlignment="1" applyProtection="1">
      <alignment horizontal="center" vertical="center" wrapText="1"/>
    </xf>
    <xf numFmtId="165" fontId="0" fillId="5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6" fontId="5" fillId="3" borderId="2" xfId="1" applyNumberFormat="1" applyAlignment="1">
      <alignment horizontal="center" vertical="center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3" borderId="2" xfId="1" applyFont="1" applyAlignment="1">
      <alignment horizontal="center" vertical="center" wrapText="1"/>
    </xf>
    <xf numFmtId="0" fontId="3" fillId="3" borderId="2" xfId="1" quotePrefix="1" applyFont="1" applyAlignment="1" applyProtection="1">
      <alignment horizontal="center" vertical="center" wrapText="1"/>
    </xf>
    <xf numFmtId="0" fontId="3" fillId="3" borderId="2" xfId="1" applyFont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5" xfId="0" applyFont="1" applyFill="1" applyBorder="1" applyAlignment="1" applyProtection="1">
      <alignment horizontal="left" vertical="center" wrapText="1"/>
    </xf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zoomScaleNormal="100" zoomScaleSheetLayoutView="100" workbookViewId="0">
      <selection activeCell="H11" sqref="H11"/>
    </sheetView>
  </sheetViews>
  <sheetFormatPr defaultRowHeight="15" x14ac:dyDescent="0.25"/>
  <cols>
    <col min="1" max="1" width="8" customWidth="1"/>
    <col min="2" max="2" width="8.28515625" customWidth="1"/>
    <col min="3" max="3" width="8.7109375" customWidth="1"/>
    <col min="4" max="4" width="7.85546875" customWidth="1"/>
    <col min="5" max="5" width="10.85546875" customWidth="1"/>
    <col min="6" max="6" width="7.28515625" customWidth="1"/>
    <col min="7" max="8" width="7" customWidth="1"/>
    <col min="9" max="9" width="9.7109375" customWidth="1"/>
    <col min="10" max="10" width="8.42578125" customWidth="1"/>
    <col min="11" max="11" width="9.42578125" customWidth="1"/>
    <col min="12" max="12" width="7.7109375" customWidth="1"/>
    <col min="13" max="13" width="6.7109375" customWidth="1"/>
    <col min="14" max="14" width="6.5703125" customWidth="1"/>
    <col min="15" max="15" width="7.5703125" customWidth="1"/>
    <col min="16" max="16" width="7.28515625" customWidth="1"/>
    <col min="17" max="17" width="6.5703125" customWidth="1"/>
  </cols>
  <sheetData>
    <row r="1" spans="1:17" ht="15" customHeight="1" x14ac:dyDescent="0.25">
      <c r="A1" s="19" t="s">
        <v>32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5" customHeight="1" x14ac:dyDescent="0.25">
      <c r="A2" s="20" t="s">
        <v>33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33.75" customHeight="1" x14ac:dyDescent="0.25">
      <c r="A3" s="22" t="s">
        <v>37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33" customHeight="1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5" t="s">
        <v>3</v>
      </c>
      <c r="H4" s="15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5" t="s">
        <v>7</v>
      </c>
      <c r="Q4" s="15" t="s">
        <v>8</v>
      </c>
    </row>
    <row r="5" spans="1:17" ht="114.75" customHeight="1" x14ac:dyDescent="0.25">
      <c r="A5" s="22"/>
      <c r="B5" s="14" t="s">
        <v>9</v>
      </c>
      <c r="C5" s="14" t="s">
        <v>10</v>
      </c>
      <c r="D5" s="14" t="s">
        <v>11</v>
      </c>
      <c r="E5" s="14" t="s">
        <v>12</v>
      </c>
      <c r="F5" s="14" t="s">
        <v>13</v>
      </c>
      <c r="G5" s="16"/>
      <c r="H5" s="16"/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15</v>
      </c>
      <c r="O5" s="14" t="s">
        <v>16</v>
      </c>
      <c r="P5" s="16"/>
      <c r="Q5" s="16"/>
    </row>
    <row r="6" spans="1:17" ht="20.100000000000001" customHeight="1" x14ac:dyDescent="0.25">
      <c r="A6" s="5" t="s">
        <v>19</v>
      </c>
      <c r="B6" s="1">
        <v>92785</v>
      </c>
      <c r="C6" s="1">
        <v>157949</v>
      </c>
      <c r="D6" s="1">
        <v>80934</v>
      </c>
      <c r="E6" s="1">
        <v>7937811</v>
      </c>
      <c r="F6" s="1">
        <v>7875.308</v>
      </c>
      <c r="G6" s="1">
        <v>12625.349</v>
      </c>
      <c r="H6" s="10">
        <v>62.376952906410743</v>
      </c>
      <c r="I6" s="2">
        <v>85341</v>
      </c>
      <c r="J6" s="2">
        <v>12653.800000000001</v>
      </c>
      <c r="K6" s="2">
        <v>97994.800000000017</v>
      </c>
      <c r="L6" s="2">
        <v>671.41499999999996</v>
      </c>
      <c r="M6" s="2">
        <v>99.56</v>
      </c>
      <c r="N6" s="2">
        <v>13.943</v>
      </c>
      <c r="O6" s="2">
        <v>784.91800000000001</v>
      </c>
      <c r="P6" s="2">
        <v>1453.279</v>
      </c>
      <c r="Q6" s="10">
        <v>54.010138452423796</v>
      </c>
    </row>
    <row r="7" spans="1:17" ht="20.100000000000001" customHeight="1" x14ac:dyDescent="0.25">
      <c r="A7" s="6" t="s">
        <v>30</v>
      </c>
      <c r="B7" s="3" t="s">
        <v>29</v>
      </c>
      <c r="C7" s="3" t="s">
        <v>29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29</v>
      </c>
      <c r="M7" s="3" t="s">
        <v>29</v>
      </c>
      <c r="N7" s="3" t="s">
        <v>29</v>
      </c>
      <c r="O7" s="3" t="s">
        <v>29</v>
      </c>
      <c r="P7" s="3" t="s">
        <v>29</v>
      </c>
      <c r="Q7" s="3" t="s">
        <v>29</v>
      </c>
    </row>
    <row r="8" spans="1:17" ht="20.100000000000001" customHeight="1" x14ac:dyDescent="0.25">
      <c r="A8" s="7" t="s">
        <v>28</v>
      </c>
      <c r="B8" s="4" t="s">
        <v>29</v>
      </c>
      <c r="C8" s="4" t="s">
        <v>29</v>
      </c>
      <c r="D8" s="4" t="s">
        <v>29</v>
      </c>
      <c r="E8" s="4" t="s">
        <v>29</v>
      </c>
      <c r="F8" s="4" t="s">
        <v>29</v>
      </c>
      <c r="G8" s="4" t="s">
        <v>29</v>
      </c>
      <c r="H8" s="4" t="s">
        <v>29</v>
      </c>
      <c r="I8" s="4" t="s">
        <v>29</v>
      </c>
      <c r="J8" s="4" t="s">
        <v>29</v>
      </c>
      <c r="K8" s="4" t="s">
        <v>29</v>
      </c>
      <c r="L8" s="4" t="s">
        <v>29</v>
      </c>
      <c r="M8" s="4" t="s">
        <v>29</v>
      </c>
      <c r="N8" s="4" t="s">
        <v>29</v>
      </c>
      <c r="O8" s="4" t="s">
        <v>29</v>
      </c>
      <c r="P8" s="4" t="s">
        <v>29</v>
      </c>
      <c r="Q8" s="4" t="s">
        <v>29</v>
      </c>
    </row>
    <row r="9" spans="1:17" ht="20.100000000000001" customHeight="1" x14ac:dyDescent="0.25">
      <c r="A9" s="5" t="s">
        <v>20</v>
      </c>
      <c r="B9" s="1">
        <v>97775</v>
      </c>
      <c r="C9" s="1">
        <v>162112</v>
      </c>
      <c r="D9" s="1">
        <v>87044</v>
      </c>
      <c r="E9" s="1">
        <v>8711624</v>
      </c>
      <c r="F9" s="1">
        <v>8744.5210000000006</v>
      </c>
      <c r="G9" s="1">
        <v>13742.335999999999</v>
      </c>
      <c r="H9" s="10">
        <v>63.631983674391321</v>
      </c>
      <c r="I9" s="2">
        <v>70656</v>
      </c>
      <c r="J9" s="2">
        <v>10935</v>
      </c>
      <c r="K9" s="2">
        <v>81591</v>
      </c>
      <c r="L9" s="2">
        <v>750.54700000000003</v>
      </c>
      <c r="M9" s="2">
        <v>80.087000000000003</v>
      </c>
      <c r="N9" s="2">
        <v>11.988</v>
      </c>
      <c r="O9" s="2">
        <v>842.62199999999996</v>
      </c>
      <c r="P9" s="2">
        <v>1605.712</v>
      </c>
      <c r="Q9" s="10">
        <v>52.476533774425306</v>
      </c>
    </row>
    <row r="10" spans="1:17" ht="20.100000000000001" customHeight="1" x14ac:dyDescent="0.25">
      <c r="A10" s="6" t="s">
        <v>30</v>
      </c>
      <c r="B10" s="12">
        <f>(B9-B6)/B6</f>
        <v>5.3780244651613948E-2</v>
      </c>
      <c r="C10" s="12">
        <f t="shared" ref="C10:Q10" si="0">(C9-C6)/C6</f>
        <v>2.6356608778783024E-2</v>
      </c>
      <c r="D10" s="12">
        <f t="shared" si="0"/>
        <v>7.5493612078977937E-2</v>
      </c>
      <c r="E10" s="12">
        <f t="shared" si="0"/>
        <v>9.7484432420978526E-2</v>
      </c>
      <c r="F10" s="12">
        <f t="shared" si="0"/>
        <v>0.11037193719915471</v>
      </c>
      <c r="G10" s="12">
        <f t="shared" si="0"/>
        <v>8.8471772146655053E-2</v>
      </c>
      <c r="H10" s="12">
        <f t="shared" si="0"/>
        <v>2.012010381243861E-2</v>
      </c>
      <c r="I10" s="12">
        <f t="shared" si="0"/>
        <v>-0.1720743839420677</v>
      </c>
      <c r="J10" s="12">
        <f t="shared" si="0"/>
        <v>-0.13583271428345642</v>
      </c>
      <c r="K10" s="12">
        <f t="shared" si="0"/>
        <v>-0.16739459644797494</v>
      </c>
      <c r="L10" s="12">
        <f t="shared" si="0"/>
        <v>0.11785855246010302</v>
      </c>
      <c r="M10" s="12">
        <f t="shared" si="0"/>
        <v>-0.19559059863398953</v>
      </c>
      <c r="N10" s="12">
        <f t="shared" si="0"/>
        <v>-0.14021372731836765</v>
      </c>
      <c r="O10" s="12">
        <f t="shared" si="0"/>
        <v>7.3515959628903851E-2</v>
      </c>
      <c r="P10" s="12">
        <f t="shared" si="0"/>
        <v>0.10488901305255219</v>
      </c>
      <c r="Q10" s="12">
        <f t="shared" si="0"/>
        <v>-2.8394755539266105E-2</v>
      </c>
    </row>
    <row r="11" spans="1:17" ht="20.100000000000001" customHeight="1" x14ac:dyDescent="0.25">
      <c r="A11" s="7" t="s">
        <v>28</v>
      </c>
      <c r="B11" s="9">
        <f>(((B9/B6)^(1/1))-1)</f>
        <v>5.3780244651614018E-2</v>
      </c>
      <c r="C11" s="9">
        <f t="shared" ref="C11:Q11" si="1">(((C9/C6)^(1/1))-1)</f>
        <v>2.6356608778782986E-2</v>
      </c>
      <c r="D11" s="9">
        <f t="shared" si="1"/>
        <v>7.5493612078977979E-2</v>
      </c>
      <c r="E11" s="9">
        <f t="shared" si="1"/>
        <v>9.7484432420978484E-2</v>
      </c>
      <c r="F11" s="9">
        <f t="shared" si="1"/>
        <v>0.11037193719915472</v>
      </c>
      <c r="G11" s="9">
        <f t="shared" si="1"/>
        <v>8.8471772146655026E-2</v>
      </c>
      <c r="H11" s="9">
        <f t="shared" si="1"/>
        <v>2.0120103812438561E-2</v>
      </c>
      <c r="I11" s="9">
        <f t="shared" si="1"/>
        <v>-0.17207438394206775</v>
      </c>
      <c r="J11" s="9">
        <f t="shared" si="1"/>
        <v>-0.13583271428345645</v>
      </c>
      <c r="K11" s="9">
        <f t="shared" si="1"/>
        <v>-0.16739459644797494</v>
      </c>
      <c r="L11" s="9">
        <f t="shared" si="1"/>
        <v>0.11785855246010302</v>
      </c>
      <c r="M11" s="9">
        <f t="shared" si="1"/>
        <v>-0.19559059863398953</v>
      </c>
      <c r="N11" s="9">
        <f t="shared" si="1"/>
        <v>-0.14021372731836768</v>
      </c>
      <c r="O11" s="9">
        <f t="shared" si="1"/>
        <v>7.3515959628903893E-2</v>
      </c>
      <c r="P11" s="9">
        <f t="shared" si="1"/>
        <v>0.10488901305255216</v>
      </c>
      <c r="Q11" s="9">
        <f t="shared" si="1"/>
        <v>-2.839475553926607E-2</v>
      </c>
    </row>
    <row r="12" spans="1:17" ht="20.100000000000001" customHeight="1" x14ac:dyDescent="0.25">
      <c r="A12" s="5" t="s">
        <v>21</v>
      </c>
      <c r="B12" s="1">
        <v>93101</v>
      </c>
      <c r="C12" s="1">
        <v>156111</v>
      </c>
      <c r="D12" s="1">
        <v>89844</v>
      </c>
      <c r="E12" s="1">
        <v>9683582</v>
      </c>
      <c r="F12" s="1">
        <v>9769.1659999999993</v>
      </c>
      <c r="G12" s="1">
        <v>14280.905000000001</v>
      </c>
      <c r="H12" s="10">
        <v>68.40719128094473</v>
      </c>
      <c r="I12" s="2">
        <v>67409</v>
      </c>
      <c r="J12" s="2">
        <v>0</v>
      </c>
      <c r="K12" s="2">
        <v>67409</v>
      </c>
      <c r="L12" s="2">
        <v>897.15899999999999</v>
      </c>
      <c r="M12" s="2">
        <v>77.254000000000005</v>
      </c>
      <c r="N12" s="2">
        <v>13.483000000000001</v>
      </c>
      <c r="O12" s="2">
        <v>987.89599999999996</v>
      </c>
      <c r="P12" s="2">
        <v>1674.684</v>
      </c>
      <c r="Q12" s="10">
        <v>58.989994530311385</v>
      </c>
    </row>
    <row r="13" spans="1:17" ht="20.100000000000001" customHeight="1" x14ac:dyDescent="0.25">
      <c r="A13" s="6" t="s">
        <v>30</v>
      </c>
      <c r="B13" s="12">
        <f>(B12-B9)/B9</f>
        <v>-4.7803630784965481E-2</v>
      </c>
      <c r="C13" s="12">
        <f t="shared" ref="C13:Q13" si="2">(C12-C9)/C9</f>
        <v>-3.7017617449664426E-2</v>
      </c>
      <c r="D13" s="12">
        <f t="shared" si="2"/>
        <v>3.2167639354809062E-2</v>
      </c>
      <c r="E13" s="12">
        <f t="shared" si="2"/>
        <v>0.11157024224185984</v>
      </c>
      <c r="F13" s="12">
        <f t="shared" si="2"/>
        <v>0.11717565776330099</v>
      </c>
      <c r="G13" s="12">
        <f t="shared" si="2"/>
        <v>3.9190498616829141E-2</v>
      </c>
      <c r="H13" s="12">
        <f t="shared" si="2"/>
        <v>7.5044141810640896E-2</v>
      </c>
      <c r="I13" s="12">
        <f t="shared" si="2"/>
        <v>-4.5955049818840576E-2</v>
      </c>
      <c r="J13" s="12">
        <f t="shared" si="2"/>
        <v>-1</v>
      </c>
      <c r="K13" s="12">
        <f t="shared" si="2"/>
        <v>-0.17381819073182092</v>
      </c>
      <c r="L13" s="12">
        <f t="shared" si="2"/>
        <v>0.19534019854852522</v>
      </c>
      <c r="M13" s="12">
        <f t="shared" si="2"/>
        <v>-3.5374030741568523E-2</v>
      </c>
      <c r="N13" s="12">
        <f t="shared" si="2"/>
        <v>0.12470804137470813</v>
      </c>
      <c r="O13" s="12">
        <f t="shared" si="2"/>
        <v>0.1724070817044891</v>
      </c>
      <c r="P13" s="12">
        <f t="shared" si="2"/>
        <v>4.2954153671393117E-2</v>
      </c>
      <c r="Q13" s="12">
        <f t="shared" si="2"/>
        <v>0.1241213984118068</v>
      </c>
    </row>
    <row r="14" spans="1:17" ht="20.100000000000001" customHeight="1" x14ac:dyDescent="0.25">
      <c r="A14" s="7" t="s">
        <v>28</v>
      </c>
      <c r="B14" s="9">
        <f>(((B12/B6)^(1/2))-1)</f>
        <v>1.7014140490156926E-3</v>
      </c>
      <c r="C14" s="9">
        <f t="shared" ref="C14:Q14" si="3">(((C12/C6)^(1/2))-1)</f>
        <v>-5.8353594760699457E-3</v>
      </c>
      <c r="D14" s="9">
        <f t="shared" si="3"/>
        <v>5.3607945452546213E-2</v>
      </c>
      <c r="E14" s="9">
        <f t="shared" si="3"/>
        <v>0.10450488292395388</v>
      </c>
      <c r="F14" s="9">
        <f t="shared" si="3"/>
        <v>0.11376860222506568</v>
      </c>
      <c r="G14" s="9">
        <f t="shared" si="3"/>
        <v>6.3545731798791083E-2</v>
      </c>
      <c r="H14" s="9">
        <f t="shared" si="3"/>
        <v>4.722210707510599E-2</v>
      </c>
      <c r="I14" s="9">
        <f t="shared" si="3"/>
        <v>-0.11124904887494169</v>
      </c>
      <c r="J14" s="9">
        <f t="shared" si="3"/>
        <v>-1</v>
      </c>
      <c r="K14" s="9">
        <f t="shared" si="3"/>
        <v>-0.17061261239811798</v>
      </c>
      <c r="L14" s="9">
        <f t="shared" si="3"/>
        <v>0.15595037265741918</v>
      </c>
      <c r="M14" s="9">
        <f t="shared" si="3"/>
        <v>-0.11911737531423494</v>
      </c>
      <c r="N14" s="9">
        <f t="shared" si="3"/>
        <v>-1.6634078916388573E-2</v>
      </c>
      <c r="O14" s="9">
        <f t="shared" si="3"/>
        <v>0.12187241404346749</v>
      </c>
      <c r="P14" s="9">
        <f t="shared" si="3"/>
        <v>7.3475004603761329E-2</v>
      </c>
      <c r="Q14" s="9">
        <f t="shared" si="3"/>
        <v>4.5084803309016541E-2</v>
      </c>
    </row>
    <row r="15" spans="1:17" ht="20.100000000000001" customHeight="1" x14ac:dyDescent="0.25">
      <c r="A15" s="5" t="s">
        <v>22</v>
      </c>
      <c r="B15" s="1">
        <v>102270</v>
      </c>
      <c r="C15" s="1">
        <v>176293</v>
      </c>
      <c r="D15" s="1">
        <v>92022</v>
      </c>
      <c r="E15" s="1">
        <v>10355226</v>
      </c>
      <c r="F15" s="1">
        <v>10418.531999999999</v>
      </c>
      <c r="G15" s="1">
        <v>14697.727000000001</v>
      </c>
      <c r="H15" s="10">
        <v>70.885328051065301</v>
      </c>
      <c r="I15" s="2">
        <v>81129</v>
      </c>
      <c r="J15" s="2">
        <v>0</v>
      </c>
      <c r="K15" s="2">
        <v>81129</v>
      </c>
      <c r="L15" s="2">
        <v>957.78800000000001</v>
      </c>
      <c r="M15" s="2">
        <v>91.91</v>
      </c>
      <c r="N15" s="2">
        <v>15.788</v>
      </c>
      <c r="O15" s="2">
        <v>1065.4860000000001</v>
      </c>
      <c r="P15" s="2">
        <v>1701.491</v>
      </c>
      <c r="Q15" s="10">
        <v>62.620724999426983</v>
      </c>
    </row>
    <row r="16" spans="1:17" ht="20.100000000000001" customHeight="1" x14ac:dyDescent="0.25">
      <c r="A16" s="6" t="s">
        <v>30</v>
      </c>
      <c r="B16" s="12">
        <f>(B15-B12)/B12</f>
        <v>9.848444162790948E-2</v>
      </c>
      <c r="C16" s="12">
        <f t="shared" ref="C16:Q16" si="4">(C15-C12)/C12</f>
        <v>0.12927980731658884</v>
      </c>
      <c r="D16" s="12">
        <f t="shared" si="4"/>
        <v>2.4242019500467477E-2</v>
      </c>
      <c r="E16" s="12">
        <f t="shared" si="4"/>
        <v>6.9359045031063923E-2</v>
      </c>
      <c r="F16" s="12">
        <f t="shared" si="4"/>
        <v>6.6470976130408685E-2</v>
      </c>
      <c r="G16" s="12">
        <f t="shared" si="4"/>
        <v>2.9187365926739244E-2</v>
      </c>
      <c r="H16" s="12">
        <f t="shared" si="4"/>
        <v>3.6226261065784644E-2</v>
      </c>
      <c r="I16" s="12">
        <f t="shared" si="4"/>
        <v>0.20353365277633551</v>
      </c>
      <c r="J16" s="12" t="e">
        <f t="shared" si="4"/>
        <v>#DIV/0!</v>
      </c>
      <c r="K16" s="12">
        <f t="shared" si="4"/>
        <v>0.20353365277633551</v>
      </c>
      <c r="L16" s="12">
        <f t="shared" si="4"/>
        <v>6.7578879552008086E-2</v>
      </c>
      <c r="M16" s="12">
        <f t="shared" si="4"/>
        <v>0.18971185958008635</v>
      </c>
      <c r="N16" s="12">
        <f t="shared" si="4"/>
        <v>0.17095601869020244</v>
      </c>
      <c r="O16" s="12">
        <f t="shared" si="4"/>
        <v>7.8540656101452125E-2</v>
      </c>
      <c r="P16" s="12">
        <f t="shared" si="4"/>
        <v>1.6007198970074365E-2</v>
      </c>
      <c r="Q16" s="12">
        <f t="shared" si="4"/>
        <v>6.1548242172661756E-2</v>
      </c>
    </row>
    <row r="17" spans="1:17" ht="20.100000000000001" customHeight="1" x14ac:dyDescent="0.25">
      <c r="A17" s="7" t="s">
        <v>28</v>
      </c>
      <c r="B17" s="9">
        <f>(((B15/B6)^(1/3))-1)</f>
        <v>3.2975833457425274E-2</v>
      </c>
      <c r="C17" s="9">
        <f t="shared" ref="C17:Q17" si="5">(((C15/C6)^(1/3))-1)</f>
        <v>3.7304023725553526E-2</v>
      </c>
      <c r="D17" s="9">
        <f t="shared" si="5"/>
        <v>4.3726926293786939E-2</v>
      </c>
      <c r="E17" s="9">
        <f t="shared" si="5"/>
        <v>9.2663097404130257E-2</v>
      </c>
      <c r="F17" s="9">
        <f t="shared" si="5"/>
        <v>9.7774135047641764E-2</v>
      </c>
      <c r="G17" s="9">
        <f t="shared" si="5"/>
        <v>5.1967351577317578E-2</v>
      </c>
      <c r="H17" s="9">
        <f t="shared" si="5"/>
        <v>4.3543921207860325E-2</v>
      </c>
      <c r="I17" s="9">
        <f t="shared" si="5"/>
        <v>-1.6729978230631715E-2</v>
      </c>
      <c r="J17" s="9">
        <f t="shared" si="5"/>
        <v>-1</v>
      </c>
      <c r="K17" s="9">
        <f t="shared" si="5"/>
        <v>-6.1017069701226223E-2</v>
      </c>
      <c r="L17" s="9">
        <f t="shared" si="5"/>
        <v>0.12570894571450775</v>
      </c>
      <c r="M17" s="9">
        <f t="shared" si="5"/>
        <v>-2.6298230180854199E-2</v>
      </c>
      <c r="N17" s="9">
        <f t="shared" si="5"/>
        <v>4.229414169923551E-2</v>
      </c>
      <c r="O17" s="9">
        <f t="shared" si="5"/>
        <v>0.10723843553176393</v>
      </c>
      <c r="P17" s="9">
        <f t="shared" si="5"/>
        <v>5.396669147865496E-2</v>
      </c>
      <c r="Q17" s="9">
        <f t="shared" si="5"/>
        <v>5.0544048956966403E-2</v>
      </c>
    </row>
    <row r="18" spans="1:17" ht="20.100000000000001" customHeight="1" x14ac:dyDescent="0.25">
      <c r="A18" s="5" t="s">
        <v>23</v>
      </c>
      <c r="B18" s="1">
        <v>102808</v>
      </c>
      <c r="C18" s="1">
        <v>180314</v>
      </c>
      <c r="D18" s="1">
        <v>100721</v>
      </c>
      <c r="E18" s="1">
        <v>11727171</v>
      </c>
      <c r="F18" s="1">
        <v>11527.876</v>
      </c>
      <c r="G18" s="1">
        <v>14939.433000000001</v>
      </c>
      <c r="H18" s="10">
        <v>77.164079788034783</v>
      </c>
      <c r="I18" s="2">
        <v>100721</v>
      </c>
      <c r="J18" s="2">
        <v>16403</v>
      </c>
      <c r="K18" s="2">
        <v>117124</v>
      </c>
      <c r="L18" s="2">
        <v>1059.8320000000001</v>
      </c>
      <c r="M18" s="2">
        <v>118.41800000000001</v>
      </c>
      <c r="N18" s="2">
        <v>15.295999999999999</v>
      </c>
      <c r="O18" s="2">
        <v>1193.546</v>
      </c>
      <c r="P18" s="2">
        <v>1702.2329999999999</v>
      </c>
      <c r="Q18" s="10">
        <v>70.116488165838646</v>
      </c>
    </row>
    <row r="19" spans="1:17" ht="20.100000000000001" customHeight="1" x14ac:dyDescent="0.25">
      <c r="A19" s="6" t="s">
        <v>30</v>
      </c>
      <c r="B19" s="12">
        <f>(B18-B15)/B15</f>
        <v>5.2605847267038234E-3</v>
      </c>
      <c r="C19" s="12">
        <f t="shared" ref="C19:Q19" si="6">(C18-C15)/C15</f>
        <v>2.2808619740999358E-2</v>
      </c>
      <c r="D19" s="12">
        <f t="shared" si="6"/>
        <v>9.453174240942383E-2</v>
      </c>
      <c r="E19" s="12">
        <f t="shared" si="6"/>
        <v>0.13248817553571501</v>
      </c>
      <c r="F19" s="12">
        <f t="shared" si="6"/>
        <v>0.10647795677932372</v>
      </c>
      <c r="G19" s="12">
        <f t="shared" si="6"/>
        <v>1.6445127875895377E-2</v>
      </c>
      <c r="H19" s="12">
        <f t="shared" si="6"/>
        <v>8.8576182259413591E-2</v>
      </c>
      <c r="I19" s="12">
        <f t="shared" si="6"/>
        <v>0.24149194492721468</v>
      </c>
      <c r="J19" s="11" t="s">
        <v>29</v>
      </c>
      <c r="K19" s="12">
        <f t="shared" si="6"/>
        <v>0.44367612074597246</v>
      </c>
      <c r="L19" s="12">
        <f t="shared" si="6"/>
        <v>0.10654132229679229</v>
      </c>
      <c r="M19" s="12">
        <f t="shared" si="6"/>
        <v>0.28841257752148852</v>
      </c>
      <c r="N19" s="12">
        <f t="shared" si="6"/>
        <v>-3.116290853813028E-2</v>
      </c>
      <c r="O19" s="12">
        <f t="shared" si="6"/>
        <v>0.1201892845142967</v>
      </c>
      <c r="P19" s="12">
        <f t="shared" si="6"/>
        <v>4.3608811330765889E-4</v>
      </c>
      <c r="Q19" s="12">
        <f t="shared" si="6"/>
        <v>0.11970099621938669</v>
      </c>
    </row>
    <row r="20" spans="1:17" ht="20.100000000000001" customHeight="1" x14ac:dyDescent="0.25">
      <c r="A20" s="7" t="s">
        <v>28</v>
      </c>
      <c r="B20" s="9">
        <f>(((B18/B6)^(1/4))-1)</f>
        <v>2.5976195848592676E-2</v>
      </c>
      <c r="C20" s="9">
        <f t="shared" ref="C20:Q20" si="7">(((C18/C6)^(1/4))-1)</f>
        <v>3.3661026388722037E-2</v>
      </c>
      <c r="D20" s="9">
        <f t="shared" si="7"/>
        <v>5.6202657751913243E-2</v>
      </c>
      <c r="E20" s="9">
        <f t="shared" si="7"/>
        <v>0.10248610836646899</v>
      </c>
      <c r="F20" s="9">
        <f t="shared" si="7"/>
        <v>9.9943650628200986E-2</v>
      </c>
      <c r="G20" s="9">
        <f t="shared" si="7"/>
        <v>4.2972075289738676E-2</v>
      </c>
      <c r="H20" s="9">
        <f t="shared" si="7"/>
        <v>5.4624257627065909E-2</v>
      </c>
      <c r="I20" s="9">
        <f t="shared" si="7"/>
        <v>4.229481030303428E-2</v>
      </c>
      <c r="J20" s="9">
        <f t="shared" si="7"/>
        <v>6.7027419673117983E-2</v>
      </c>
      <c r="K20" s="9">
        <f t="shared" si="7"/>
        <v>4.5588303274248121E-2</v>
      </c>
      <c r="L20" s="9">
        <f t="shared" si="7"/>
        <v>0.12088613514875246</v>
      </c>
      <c r="M20" s="9">
        <f t="shared" si="7"/>
        <v>4.4319069721078019E-2</v>
      </c>
      <c r="N20" s="9">
        <f t="shared" si="7"/>
        <v>2.3423563171209194E-2</v>
      </c>
      <c r="O20" s="9">
        <f t="shared" si="7"/>
        <v>0.11046204264886117</v>
      </c>
      <c r="P20" s="9">
        <f t="shared" si="7"/>
        <v>4.0321327278131092E-2</v>
      </c>
      <c r="Q20" s="9">
        <f t="shared" si="7"/>
        <v>6.7422164221360825E-2</v>
      </c>
    </row>
    <row r="21" spans="1:17" ht="20.100000000000001" customHeight="1" x14ac:dyDescent="0.25">
      <c r="A21" s="5" t="s">
        <v>24</v>
      </c>
      <c r="B21" s="1">
        <v>104122</v>
      </c>
      <c r="C21" s="1">
        <v>188049</v>
      </c>
      <c r="D21" s="1">
        <v>118071</v>
      </c>
      <c r="E21" s="1">
        <v>12742163</v>
      </c>
      <c r="F21" s="1">
        <v>12249.286</v>
      </c>
      <c r="G21" s="1">
        <v>15467.941999999999</v>
      </c>
      <c r="H21" s="10">
        <v>79.191439947214704</v>
      </c>
      <c r="I21" s="2">
        <v>83405</v>
      </c>
      <c r="J21" s="2">
        <v>16207</v>
      </c>
      <c r="K21" s="2">
        <v>99612</v>
      </c>
      <c r="L21" s="2">
        <v>1123.7159999999999</v>
      </c>
      <c r="M21" s="2">
        <v>98.012</v>
      </c>
      <c r="N21" s="2">
        <v>15.452</v>
      </c>
      <c r="O21" s="2">
        <v>1237.18</v>
      </c>
      <c r="P21" s="2">
        <v>1740.549</v>
      </c>
      <c r="Q21" s="10">
        <v>71.079871925467202</v>
      </c>
    </row>
    <row r="22" spans="1:17" ht="20.100000000000001" customHeight="1" x14ac:dyDescent="0.25">
      <c r="A22" s="6" t="s">
        <v>30</v>
      </c>
      <c r="B22" s="12">
        <f>(B21-B18)/B18</f>
        <v>1.2781106528674811E-2</v>
      </c>
      <c r="C22" s="12">
        <f t="shared" ref="C22:Q22" si="8">(C21-C18)/C18</f>
        <v>4.2897390108366518E-2</v>
      </c>
      <c r="D22" s="12">
        <f t="shared" si="8"/>
        <v>0.17225801967812074</v>
      </c>
      <c r="E22" s="12">
        <f t="shared" si="8"/>
        <v>8.6550456201244103E-2</v>
      </c>
      <c r="F22" s="12">
        <f t="shared" si="8"/>
        <v>6.257961136986552E-2</v>
      </c>
      <c r="G22" s="12">
        <f t="shared" si="8"/>
        <v>3.5376777686274855E-2</v>
      </c>
      <c r="H22" s="12">
        <f t="shared" si="8"/>
        <v>2.6273366633140192E-2</v>
      </c>
      <c r="I22" s="12">
        <f t="shared" si="8"/>
        <v>-0.17192045353004834</v>
      </c>
      <c r="J22" s="11" t="s">
        <v>29</v>
      </c>
      <c r="K22" s="12">
        <f t="shared" si="8"/>
        <v>-0.14951675147706703</v>
      </c>
      <c r="L22" s="12">
        <f t="shared" si="8"/>
        <v>6.0277477939899703E-2</v>
      </c>
      <c r="M22" s="12">
        <f t="shared" si="8"/>
        <v>-0.17232177540576604</v>
      </c>
      <c r="N22" s="12">
        <f t="shared" si="8"/>
        <v>1.0198744769874516E-2</v>
      </c>
      <c r="O22" s="12">
        <f t="shared" si="8"/>
        <v>3.655828933279489E-2</v>
      </c>
      <c r="P22" s="12">
        <f t="shared" si="8"/>
        <v>2.2509256958360008E-2</v>
      </c>
      <c r="Q22" s="12">
        <f t="shared" si="8"/>
        <v>1.373976057314754E-2</v>
      </c>
    </row>
    <row r="23" spans="1:17" ht="20.100000000000001" customHeight="1" x14ac:dyDescent="0.25">
      <c r="A23" s="7" t="s">
        <v>28</v>
      </c>
      <c r="B23" s="9">
        <f>(((B21/B6)^(1/5))-1)</f>
        <v>2.3323496096941732E-2</v>
      </c>
      <c r="C23" s="9">
        <f t="shared" ref="C23:Q23" si="9">(((C21/C6)^(1/5))-1)</f>
        <v>3.5501731728041497E-2</v>
      </c>
      <c r="D23" s="9">
        <f t="shared" si="9"/>
        <v>7.8456040477546729E-2</v>
      </c>
      <c r="E23" s="9">
        <f t="shared" si="9"/>
        <v>9.9280389407311098E-2</v>
      </c>
      <c r="F23" s="9">
        <f t="shared" si="9"/>
        <v>9.2367185109897942E-2</v>
      </c>
      <c r="G23" s="9">
        <f t="shared" si="9"/>
        <v>4.1448571400542589E-2</v>
      </c>
      <c r="H23" s="9">
        <f t="shared" si="9"/>
        <v>4.8892105772328165E-2</v>
      </c>
      <c r="I23" s="9">
        <f t="shared" si="9"/>
        <v>-4.5788322219115773E-3</v>
      </c>
      <c r="J23" s="9">
        <f t="shared" si="9"/>
        <v>5.0742583378690531E-2</v>
      </c>
      <c r="K23" s="9">
        <f t="shared" si="9"/>
        <v>3.2790088710785703E-3</v>
      </c>
      <c r="L23" s="9">
        <f t="shared" si="9"/>
        <v>0.10849338303840539</v>
      </c>
      <c r="M23" s="9">
        <f t="shared" si="9"/>
        <v>-3.1292052686128224E-3</v>
      </c>
      <c r="N23" s="9">
        <f t="shared" si="9"/>
        <v>2.0764821092069896E-2</v>
      </c>
      <c r="O23" s="9">
        <f t="shared" si="9"/>
        <v>9.5271331922849534E-2</v>
      </c>
      <c r="P23" s="9">
        <f t="shared" si="9"/>
        <v>3.6734261696286019E-2</v>
      </c>
      <c r="Q23" s="9">
        <f t="shared" si="9"/>
        <v>5.6462945606510662E-2</v>
      </c>
    </row>
    <row r="24" spans="1:17" ht="20.100000000000001" customHeight="1" x14ac:dyDescent="0.25">
      <c r="A24" s="5" t="s">
        <v>25</v>
      </c>
      <c r="B24" s="1">
        <v>109258</v>
      </c>
      <c r="C24" s="1">
        <v>199338</v>
      </c>
      <c r="D24" s="1">
        <v>113547</v>
      </c>
      <c r="E24" s="1">
        <v>13734192</v>
      </c>
      <c r="F24" s="1">
        <v>13083.157999999999</v>
      </c>
      <c r="G24" s="1">
        <v>16517.294999999998</v>
      </c>
      <c r="H24" s="10">
        <v>79.208841399272714</v>
      </c>
      <c r="I24" s="2">
        <v>63802</v>
      </c>
      <c r="J24" s="2">
        <v>10031</v>
      </c>
      <c r="K24" s="2">
        <v>73833</v>
      </c>
      <c r="L24" s="2">
        <v>1204.115</v>
      </c>
      <c r="M24" s="2">
        <v>76.305000000000007</v>
      </c>
      <c r="N24" s="2">
        <v>9.6180000000000003</v>
      </c>
      <c r="O24" s="2">
        <v>1290.038</v>
      </c>
      <c r="P24" s="2">
        <v>1861.8820000000001</v>
      </c>
      <c r="Q24" s="10">
        <v>69.286775424006464</v>
      </c>
    </row>
    <row r="25" spans="1:17" ht="20.100000000000001" customHeight="1" x14ac:dyDescent="0.25">
      <c r="A25" s="6" t="s">
        <v>30</v>
      </c>
      <c r="B25" s="12">
        <f>(B24-B21)/B21</f>
        <v>4.932675131096214E-2</v>
      </c>
      <c r="C25" s="12">
        <f t="shared" ref="C25:Q25" si="10">(C24-C21)/C21</f>
        <v>6.0032225643316367E-2</v>
      </c>
      <c r="D25" s="12">
        <f t="shared" si="10"/>
        <v>-3.8315928551464797E-2</v>
      </c>
      <c r="E25" s="12">
        <f t="shared" si="10"/>
        <v>7.7854050368057606E-2</v>
      </c>
      <c r="F25" s="12">
        <f t="shared" si="10"/>
        <v>6.807515148229859E-2</v>
      </c>
      <c r="G25" s="12">
        <f t="shared" si="10"/>
        <v>6.7840505220410005E-2</v>
      </c>
      <c r="H25" s="12">
        <f t="shared" si="10"/>
        <v>2.1973905348367359E-4</v>
      </c>
      <c r="I25" s="12">
        <f t="shared" si="10"/>
        <v>-0.2350338708710509</v>
      </c>
      <c r="J25" s="12">
        <f t="shared" si="10"/>
        <v>-0.3810699080644166</v>
      </c>
      <c r="K25" s="12">
        <f t="shared" si="10"/>
        <v>-0.25879412119021805</v>
      </c>
      <c r="L25" s="12">
        <f t="shared" si="10"/>
        <v>7.154743725282911E-2</v>
      </c>
      <c r="M25" s="12">
        <f t="shared" si="10"/>
        <v>-0.22147288087172992</v>
      </c>
      <c r="N25" s="12">
        <f t="shared" si="10"/>
        <v>-0.37755630339114676</v>
      </c>
      <c r="O25" s="12">
        <f t="shared" si="10"/>
        <v>4.2724583326597537E-2</v>
      </c>
      <c r="P25" s="12">
        <f t="shared" si="10"/>
        <v>6.9709614610102957E-2</v>
      </c>
      <c r="Q25" s="12">
        <f t="shared" si="10"/>
        <v>-2.5226501580376225E-2</v>
      </c>
    </row>
    <row r="26" spans="1:17" ht="20.100000000000001" customHeight="1" x14ac:dyDescent="0.25">
      <c r="A26" s="7" t="s">
        <v>28</v>
      </c>
      <c r="B26" s="9">
        <f>(((B24/B6)^(1/6))-1)</f>
        <v>2.7612185956176205E-2</v>
      </c>
      <c r="C26" s="9">
        <f t="shared" ref="C26:Q26" si="11">(((C24/C6)^(1/6))-1)</f>
        <v>3.9550366792382219E-2</v>
      </c>
      <c r="D26" s="9">
        <f t="shared" si="11"/>
        <v>5.8053049413091529E-2</v>
      </c>
      <c r="E26" s="9">
        <f t="shared" si="11"/>
        <v>9.5679980808116127E-2</v>
      </c>
      <c r="F26" s="9">
        <f t="shared" si="11"/>
        <v>8.8280480574868037E-2</v>
      </c>
      <c r="G26" s="9">
        <f t="shared" si="11"/>
        <v>4.580148831227171E-2</v>
      </c>
      <c r="H26" s="9">
        <f t="shared" si="11"/>
        <v>4.0618599932525923E-2</v>
      </c>
      <c r="I26" s="9">
        <f t="shared" si="11"/>
        <v>-4.7322092235612567E-2</v>
      </c>
      <c r="J26" s="9">
        <f t="shared" si="11"/>
        <v>-3.7973111326743525E-2</v>
      </c>
      <c r="K26" s="9">
        <f t="shared" si="11"/>
        <v>-4.6088874427437698E-2</v>
      </c>
      <c r="L26" s="9">
        <f t="shared" si="11"/>
        <v>0.1022484272831945</v>
      </c>
      <c r="M26" s="9">
        <f t="shared" si="11"/>
        <v>-4.3368483359695342E-2</v>
      </c>
      <c r="N26" s="9">
        <f t="shared" si="11"/>
        <v>-6.001391582131943E-2</v>
      </c>
      <c r="O26" s="9">
        <f t="shared" si="11"/>
        <v>8.633315833134958E-2</v>
      </c>
      <c r="P26" s="9">
        <f t="shared" si="11"/>
        <v>4.2158701992841774E-2</v>
      </c>
      <c r="Q26" s="9">
        <f t="shared" si="11"/>
        <v>4.2387456204161955E-2</v>
      </c>
    </row>
    <row r="27" spans="1:17" ht="20.100000000000001" customHeight="1" x14ac:dyDescent="0.25">
      <c r="A27" s="5" t="s">
        <v>26</v>
      </c>
      <c r="B27" s="1">
        <v>115736</v>
      </c>
      <c r="C27" s="1">
        <v>216527.5</v>
      </c>
      <c r="D27" s="1">
        <v>121639.3</v>
      </c>
      <c r="E27" s="1">
        <v>14755383</v>
      </c>
      <c r="F27" s="1">
        <v>14330.642199999998</v>
      </c>
      <c r="G27" s="1">
        <v>17811.933699999998</v>
      </c>
      <c r="H27" s="10">
        <v>80.45528599738725</v>
      </c>
      <c r="I27" s="2">
        <v>75049</v>
      </c>
      <c r="J27" s="2">
        <v>10194.1</v>
      </c>
      <c r="K27" s="2">
        <v>85243.1</v>
      </c>
      <c r="L27" s="2">
        <v>1396.8109999999999</v>
      </c>
      <c r="M27" s="2">
        <v>90.887500000000003</v>
      </c>
      <c r="N27" s="2">
        <v>9.8983999999999988</v>
      </c>
      <c r="O27" s="2">
        <v>1497.5969</v>
      </c>
      <c r="P27" s="2">
        <v>2026.5603999999998</v>
      </c>
      <c r="Q27" s="10">
        <v>73.898458688919419</v>
      </c>
    </row>
    <row r="28" spans="1:17" ht="20.100000000000001" customHeight="1" x14ac:dyDescent="0.25">
      <c r="A28" s="6" t="s">
        <v>30</v>
      </c>
      <c r="B28" s="12">
        <f>(B27-B24)/B24</f>
        <v>5.929085284372769E-2</v>
      </c>
      <c r="C28" s="12">
        <f t="shared" ref="C28:Q28" si="12">(C27-C24)/C24</f>
        <v>8.6232931001615346E-2</v>
      </c>
      <c r="D28" s="12">
        <f t="shared" si="12"/>
        <v>7.1268285379622556E-2</v>
      </c>
      <c r="E28" s="12">
        <f t="shared" si="12"/>
        <v>7.4353919036518487E-2</v>
      </c>
      <c r="F28" s="12">
        <f t="shared" si="12"/>
        <v>9.5350388644698705E-2</v>
      </c>
      <c r="G28" s="12">
        <f t="shared" si="12"/>
        <v>7.8380794191785008E-2</v>
      </c>
      <c r="H28" s="12">
        <f t="shared" si="12"/>
        <v>1.5736180154832826E-2</v>
      </c>
      <c r="I28" s="12">
        <f t="shared" si="12"/>
        <v>0.17627974044700792</v>
      </c>
      <c r="J28" s="12">
        <f t="shared" si="12"/>
        <v>1.6259595254710435E-2</v>
      </c>
      <c r="K28" s="12">
        <f t="shared" si="12"/>
        <v>0.15453929814581563</v>
      </c>
      <c r="L28" s="12">
        <f t="shared" si="12"/>
        <v>0.16003122625330629</v>
      </c>
      <c r="M28" s="12">
        <f t="shared" si="12"/>
        <v>0.19110805320752236</v>
      </c>
      <c r="N28" s="12">
        <f t="shared" si="12"/>
        <v>2.9153670201704972E-2</v>
      </c>
      <c r="O28" s="12">
        <f t="shared" si="12"/>
        <v>0.16089363259066786</v>
      </c>
      <c r="P28" s="12">
        <f t="shared" si="12"/>
        <v>8.8447280762153441E-2</v>
      </c>
      <c r="Q28" s="12">
        <f t="shared" si="12"/>
        <v>6.6559357636307312E-2</v>
      </c>
    </row>
    <row r="29" spans="1:17" ht="20.100000000000001" customHeight="1" x14ac:dyDescent="0.25">
      <c r="A29" s="7" t="s">
        <v>28</v>
      </c>
      <c r="B29" s="9">
        <f>(((B27/B6)^(1/7))-1)</f>
        <v>3.2079036109648129E-2</v>
      </c>
      <c r="C29" s="9">
        <f t="shared" ref="C29:Q29" si="13">(((C27/C6)^(1/7))-1)</f>
        <v>4.6094413912296073E-2</v>
      </c>
      <c r="D29" s="9">
        <f t="shared" si="13"/>
        <v>5.9930911985101476E-2</v>
      </c>
      <c r="E29" s="9">
        <f t="shared" si="13"/>
        <v>9.2607676626865532E-2</v>
      </c>
      <c r="F29" s="9">
        <f t="shared" si="13"/>
        <v>8.9287666720698766E-2</v>
      </c>
      <c r="G29" s="9">
        <f t="shared" si="13"/>
        <v>5.0394708826493995E-2</v>
      </c>
      <c r="H29" s="9">
        <f t="shared" si="13"/>
        <v>3.7026993345821602E-2</v>
      </c>
      <c r="I29" s="9">
        <f t="shared" si="13"/>
        <v>-1.8191607043757219E-2</v>
      </c>
      <c r="J29" s="9">
        <f t="shared" si="13"/>
        <v>-3.0406482182272376E-2</v>
      </c>
      <c r="K29" s="9">
        <f t="shared" si="13"/>
        <v>-1.9718320174544557E-2</v>
      </c>
      <c r="L29" s="9">
        <f t="shared" si="13"/>
        <v>0.11032345786969167</v>
      </c>
      <c r="M29" s="9">
        <f t="shared" si="13"/>
        <v>-1.2935324379327873E-2</v>
      </c>
      <c r="N29" s="9">
        <f t="shared" si="13"/>
        <v>-4.7765065418727715E-2</v>
      </c>
      <c r="O29" s="9">
        <f t="shared" si="13"/>
        <v>9.6684033186804852E-2</v>
      </c>
      <c r="P29" s="9">
        <f t="shared" si="13"/>
        <v>4.8648836080650959E-2</v>
      </c>
      <c r="Q29" s="9">
        <f t="shared" si="13"/>
        <v>4.5806751939654555E-2</v>
      </c>
    </row>
    <row r="30" spans="1:17" ht="20.100000000000001" customHeight="1" x14ac:dyDescent="0.25">
      <c r="A30" s="5" t="s">
        <v>31</v>
      </c>
      <c r="B30" s="1">
        <v>119091</v>
      </c>
      <c r="C30" s="1">
        <v>221689.27970000001</v>
      </c>
      <c r="D30" s="1">
        <v>128943.655</v>
      </c>
      <c r="E30" s="1">
        <v>15479331</v>
      </c>
      <c r="F30" s="1">
        <v>15013.722734999999</v>
      </c>
      <c r="G30" s="1">
        <v>18517.913667000004</v>
      </c>
      <c r="H30" s="10">
        <v>81.076750896378371</v>
      </c>
      <c r="I30" s="2">
        <v>73036.244699999996</v>
      </c>
      <c r="J30" s="2">
        <v>8762.1279999999988</v>
      </c>
      <c r="K30" s="2">
        <v>81798.372699999993</v>
      </c>
      <c r="L30" s="2">
        <v>1475.0026169999999</v>
      </c>
      <c r="M30" s="2">
        <v>85.048941375000012</v>
      </c>
      <c r="N30" s="2">
        <v>8.843221999999999</v>
      </c>
      <c r="O30" s="2">
        <v>1568.894780375</v>
      </c>
      <c r="P30" s="2">
        <v>2047.1803712200001</v>
      </c>
      <c r="Q30" s="10">
        <v>76.636861237587496</v>
      </c>
    </row>
    <row r="31" spans="1:17" ht="20.100000000000001" customHeight="1" x14ac:dyDescent="0.25">
      <c r="A31" s="6" t="s">
        <v>30</v>
      </c>
      <c r="B31" s="12">
        <f>(B30-B27)/B27</f>
        <v>2.8988387364346443E-2</v>
      </c>
      <c r="C31" s="12">
        <f t="shared" ref="C31:Q31" si="14">(C30-C27)/C27</f>
        <v>2.3838910530994972E-2</v>
      </c>
      <c r="D31" s="12">
        <f t="shared" si="14"/>
        <v>6.004930150041965E-2</v>
      </c>
      <c r="E31" s="12">
        <f t="shared" si="14"/>
        <v>4.9063314723853661E-2</v>
      </c>
      <c r="F31" s="12">
        <f t="shared" si="14"/>
        <v>4.7665730918883806E-2</v>
      </c>
      <c r="G31" s="12">
        <f t="shared" si="14"/>
        <v>3.963522315378968E-2</v>
      </c>
      <c r="H31" s="12">
        <f t="shared" si="14"/>
        <v>7.724351374641847E-3</v>
      </c>
      <c r="I31" s="12">
        <f t="shared" si="14"/>
        <v>-2.681921544590873E-2</v>
      </c>
      <c r="J31" s="12">
        <f t="shared" si="14"/>
        <v>-0.14047066440392006</v>
      </c>
      <c r="K31" s="12">
        <f t="shared" si="14"/>
        <v>-4.041062913009983E-2</v>
      </c>
      <c r="L31" s="12">
        <f t="shared" si="14"/>
        <v>5.5978666405118484E-2</v>
      </c>
      <c r="M31" s="12">
        <f t="shared" si="14"/>
        <v>-6.4239401732911455E-2</v>
      </c>
      <c r="N31" s="12">
        <f t="shared" si="14"/>
        <v>-0.10660086478622806</v>
      </c>
      <c r="O31" s="12">
        <f t="shared" si="14"/>
        <v>4.7608191747058222E-2</v>
      </c>
      <c r="P31" s="12">
        <f t="shared" si="14"/>
        <v>1.0174861415430921E-2</v>
      </c>
      <c r="Q31" s="12">
        <f t="shared" si="14"/>
        <v>3.7056287739309537E-2</v>
      </c>
    </row>
    <row r="32" spans="1:17" ht="20.100000000000001" customHeight="1" x14ac:dyDescent="0.25">
      <c r="A32" s="7" t="s">
        <v>28</v>
      </c>
      <c r="B32" s="9">
        <f>(((B30/B6)^(1/8))-1)</f>
        <v>3.1692197922760235E-2</v>
      </c>
      <c r="C32" s="9">
        <f t="shared" ref="C32:Q32" si="15">(((C30/C6)^(1/8))-1)</f>
        <v>4.3286232759332188E-2</v>
      </c>
      <c r="D32" s="9">
        <f t="shared" si="15"/>
        <v>5.994570995140247E-2</v>
      </c>
      <c r="E32" s="9">
        <f t="shared" si="15"/>
        <v>8.7067292886785275E-2</v>
      </c>
      <c r="F32" s="9">
        <f t="shared" si="15"/>
        <v>8.3995814776936406E-2</v>
      </c>
      <c r="G32" s="9">
        <f t="shared" si="15"/>
        <v>4.9043707003196158E-2</v>
      </c>
      <c r="H32" s="9">
        <f t="shared" si="15"/>
        <v>3.3318066292574278E-2</v>
      </c>
      <c r="I32" s="9">
        <f t="shared" si="15"/>
        <v>-1.9274227133010746E-2</v>
      </c>
      <c r="J32" s="9">
        <f t="shared" si="15"/>
        <v>-4.4900586427327527E-2</v>
      </c>
      <c r="K32" s="9">
        <f t="shared" si="15"/>
        <v>-2.2329065428721595E-2</v>
      </c>
      <c r="L32" s="9">
        <f t="shared" si="15"/>
        <v>0.10338028276125799</v>
      </c>
      <c r="M32" s="9">
        <f t="shared" si="15"/>
        <v>-1.9499085567997732E-2</v>
      </c>
      <c r="N32" s="9">
        <f t="shared" si="15"/>
        <v>-5.5326380695096988E-2</v>
      </c>
      <c r="O32" s="9">
        <f t="shared" si="15"/>
        <v>9.0425982356868495E-2</v>
      </c>
      <c r="P32" s="9">
        <f t="shared" si="15"/>
        <v>4.3760575533487778E-2</v>
      </c>
      <c r="Q32" s="9">
        <f t="shared" si="15"/>
        <v>4.4708918804994058E-2</v>
      </c>
    </row>
    <row r="33" spans="1:17" ht="20.100000000000001" customHeight="1" x14ac:dyDescent="0.25">
      <c r="A33" s="8" t="s">
        <v>35</v>
      </c>
      <c r="B33" s="1">
        <v>122268</v>
      </c>
      <c r="C33" s="1">
        <v>231052.08333333346</v>
      </c>
      <c r="D33" s="1">
        <v>135213.19</v>
      </c>
      <c r="E33" s="1">
        <v>15419648</v>
      </c>
      <c r="F33" s="1">
        <v>15002.343380999999</v>
      </c>
      <c r="G33" s="1">
        <v>19078.509264</v>
      </c>
      <c r="H33" s="10">
        <v>78.634777871814748</v>
      </c>
      <c r="I33" s="13">
        <v>74350.787199999992</v>
      </c>
      <c r="J33" s="2">
        <v>8431.7339999999986</v>
      </c>
      <c r="K33" s="2">
        <v>82782.525200000004</v>
      </c>
      <c r="L33" s="2">
        <v>1390.1368331270003</v>
      </c>
      <c r="M33" s="2">
        <v>87.348951041200024</v>
      </c>
      <c r="N33" s="2">
        <v>7.881910999999997</v>
      </c>
      <c r="O33" s="2">
        <v>1485.3676951681998</v>
      </c>
      <c r="P33" s="2">
        <v>2062.6449561999998</v>
      </c>
      <c r="Q33" s="10">
        <v>72.012766458105574</v>
      </c>
    </row>
    <row r="34" spans="1:17" ht="20.100000000000001" customHeight="1" x14ac:dyDescent="0.25">
      <c r="A34" s="6" t="s">
        <v>27</v>
      </c>
      <c r="B34" s="12">
        <f>(B33-B30)/B30</f>
        <v>2.6677078872458876E-2</v>
      </c>
      <c r="C34" s="12">
        <f t="shared" ref="C34:Q34" si="16">(C33-C30)/C30</f>
        <v>4.223390344361088E-2</v>
      </c>
      <c r="D34" s="12">
        <f t="shared" si="16"/>
        <v>4.8622283896016472E-2</v>
      </c>
      <c r="E34" s="12">
        <f t="shared" si="16"/>
        <v>-3.8556575862354774E-3</v>
      </c>
      <c r="F34" s="12">
        <f t="shared" si="16"/>
        <v>-7.5793020830690089E-4</v>
      </c>
      <c r="G34" s="12">
        <f t="shared" si="16"/>
        <v>3.0273151019113442E-2</v>
      </c>
      <c r="H34" s="12">
        <f t="shared" si="16"/>
        <v>-3.0119275841290576E-2</v>
      </c>
      <c r="I34" s="12">
        <f t="shared" si="16"/>
        <v>1.7998495204669198E-2</v>
      </c>
      <c r="J34" s="12">
        <f t="shared" si="16"/>
        <v>-3.7707050159504665E-2</v>
      </c>
      <c r="K34" s="12">
        <f t="shared" si="16"/>
        <v>1.2031443505721613E-2</v>
      </c>
      <c r="L34" s="12">
        <f t="shared" si="16"/>
        <v>-5.7536022577104086E-2</v>
      </c>
      <c r="M34" s="12">
        <f t="shared" si="16"/>
        <v>2.704336619616168E-2</v>
      </c>
      <c r="N34" s="12">
        <f t="shared" si="16"/>
        <v>-0.10870596712374767</v>
      </c>
      <c r="O34" s="12">
        <f t="shared" si="16"/>
        <v>-5.3239443620836942E-2</v>
      </c>
      <c r="P34" s="12">
        <f t="shared" si="16"/>
        <v>7.5540901023702705E-3</v>
      </c>
      <c r="Q34" s="12">
        <f t="shared" si="16"/>
        <v>-6.0337737021176147E-2</v>
      </c>
    </row>
    <row r="35" spans="1:17" ht="20.100000000000001" customHeight="1" x14ac:dyDescent="0.25">
      <c r="A35" s="7" t="s">
        <v>28</v>
      </c>
      <c r="B35" s="9">
        <f>(((B33/B6)^(1/9))-1)</f>
        <v>3.1133754883607256E-2</v>
      </c>
      <c r="C35" s="9">
        <f t="shared" ref="C35:Q35" si="17">(((C33/C6)^(1/9))-1)</f>
        <v>4.3169254829171111E-2</v>
      </c>
      <c r="D35" s="9">
        <f t="shared" si="17"/>
        <v>5.8681537256598748E-2</v>
      </c>
      <c r="E35" s="9">
        <f t="shared" si="17"/>
        <v>7.6568139274600044E-2</v>
      </c>
      <c r="F35" s="9">
        <f t="shared" si="17"/>
        <v>7.4234414677488703E-2</v>
      </c>
      <c r="G35" s="9">
        <f t="shared" si="17"/>
        <v>4.6941314597079176E-2</v>
      </c>
      <c r="H35" s="9">
        <f t="shared" si="17"/>
        <v>2.6069369600638437E-2</v>
      </c>
      <c r="I35" s="9">
        <f t="shared" si="17"/>
        <v>-1.5201137761542527E-2</v>
      </c>
      <c r="J35" s="9">
        <f t="shared" si="17"/>
        <v>-4.4103967539387834E-2</v>
      </c>
      <c r="K35" s="9">
        <f t="shared" si="17"/>
        <v>-1.8569579104682599E-2</v>
      </c>
      <c r="L35" s="9">
        <f t="shared" si="17"/>
        <v>8.4222713759159351E-2</v>
      </c>
      <c r="M35" s="9">
        <f t="shared" si="17"/>
        <v>-1.44336493265671E-2</v>
      </c>
      <c r="N35" s="9">
        <f t="shared" si="17"/>
        <v>-6.1411922486377502E-2</v>
      </c>
      <c r="O35" s="9">
        <f t="shared" si="17"/>
        <v>7.3442668043427473E-2</v>
      </c>
      <c r="P35" s="9">
        <f t="shared" si="17"/>
        <v>3.9674221057676817E-2</v>
      </c>
      <c r="Q35" s="9">
        <f t="shared" si="17"/>
        <v>3.2479834838453181E-2</v>
      </c>
    </row>
    <row r="36" spans="1:17" ht="20.100000000000001" customHeight="1" x14ac:dyDescent="0.25">
      <c r="A36" s="8" t="s">
        <v>38</v>
      </c>
      <c r="B36" s="1">
        <v>46244</v>
      </c>
      <c r="C36" s="1">
        <v>90968.68333333332</v>
      </c>
      <c r="D36" s="1">
        <v>57086.676999999996</v>
      </c>
      <c r="E36" s="1">
        <v>4781615</v>
      </c>
      <c r="F36" s="1">
        <v>5176.7283370000005</v>
      </c>
      <c r="G36" s="1">
        <v>7889.9327330000006</v>
      </c>
      <c r="H36" s="10">
        <v>65.61181840433315</v>
      </c>
      <c r="I36" s="13">
        <v>35613.347900000001</v>
      </c>
      <c r="J36" s="2">
        <v>12.214000000000004</v>
      </c>
      <c r="K36" s="2">
        <v>35625.561900000001</v>
      </c>
      <c r="L36" s="2">
        <v>482.24094538600002</v>
      </c>
      <c r="M36" s="2">
        <v>46.288386454799998</v>
      </c>
      <c r="N36" s="2">
        <v>8.4000000000000012E-3</v>
      </c>
      <c r="O36" s="2">
        <v>528.53773184079989</v>
      </c>
      <c r="P36" s="2">
        <v>841.06701992000012</v>
      </c>
      <c r="Q36" s="10">
        <v>62.841333606336491</v>
      </c>
    </row>
    <row r="37" spans="1:17" ht="20.100000000000001" customHeight="1" x14ac:dyDescent="0.25">
      <c r="A37" s="6" t="s">
        <v>27</v>
      </c>
      <c r="B37" s="12">
        <f>(B36-B33)/B33</f>
        <v>-0.62178165996008772</v>
      </c>
      <c r="C37" s="12">
        <f t="shared" ref="C37:Q37" si="18">(C36-C33)/C33</f>
        <v>-0.6062849465758986</v>
      </c>
      <c r="D37" s="12">
        <f t="shared" si="18"/>
        <v>-0.57780245403573427</v>
      </c>
      <c r="E37" s="12">
        <f t="shared" si="18"/>
        <v>-0.68990115727674195</v>
      </c>
      <c r="F37" s="12">
        <f t="shared" si="18"/>
        <v>-0.65493868487531315</v>
      </c>
      <c r="G37" s="12">
        <f t="shared" si="18"/>
        <v>-0.58644920188351246</v>
      </c>
      <c r="H37" s="12">
        <f t="shared" si="18"/>
        <v>-0.16561322890376534</v>
      </c>
      <c r="I37" s="12">
        <f t="shared" si="18"/>
        <v>-0.52100913465513377</v>
      </c>
      <c r="J37" s="12">
        <f t="shared" si="18"/>
        <v>-0.99855142489077575</v>
      </c>
      <c r="K37" s="12">
        <f t="shared" si="18"/>
        <v>-0.56964876567935385</v>
      </c>
      <c r="L37" s="12">
        <f t="shared" si="18"/>
        <v>-0.65309821746019203</v>
      </c>
      <c r="M37" s="12">
        <f t="shared" si="18"/>
        <v>-0.47007507356365302</v>
      </c>
      <c r="N37" s="12">
        <f t="shared" si="18"/>
        <v>-0.99893426860567192</v>
      </c>
      <c r="O37" s="12">
        <f t="shared" si="18"/>
        <v>-0.64417044105638133</v>
      </c>
      <c r="P37" s="12">
        <f t="shared" si="18"/>
        <v>-0.5922385879392964</v>
      </c>
      <c r="Q37" s="12">
        <f t="shared" si="18"/>
        <v>-0.12735842966267227</v>
      </c>
    </row>
    <row r="38" spans="1:17" ht="20.100000000000001" customHeight="1" x14ac:dyDescent="0.25">
      <c r="A38" s="7" t="s">
        <v>28</v>
      </c>
      <c r="B38" s="9">
        <f>(((B36/B6)^(1/10))-1)</f>
        <v>-6.7266098582702716E-2</v>
      </c>
      <c r="C38" s="9">
        <f t="shared" ref="C38:Q38" si="19">(((C36/C6)^(1/10))-1)</f>
        <v>-5.3681124281510506E-2</v>
      </c>
      <c r="D38" s="9">
        <f t="shared" si="19"/>
        <v>-3.4304126010267555E-2</v>
      </c>
      <c r="E38" s="9">
        <f t="shared" si="19"/>
        <v>-4.9422818021987669E-2</v>
      </c>
      <c r="F38" s="9">
        <f t="shared" si="19"/>
        <v>-4.108793555018142E-2</v>
      </c>
      <c r="G38" s="9">
        <f t="shared" si="19"/>
        <v>-4.5923956852633174E-2</v>
      </c>
      <c r="H38" s="9">
        <f t="shared" si="19"/>
        <v>5.0688006864718638E-3</v>
      </c>
      <c r="I38" s="9">
        <f t="shared" si="19"/>
        <v>-8.3683498829605352E-2</v>
      </c>
      <c r="J38" s="9">
        <f t="shared" si="19"/>
        <v>-0.50058257054283672</v>
      </c>
      <c r="K38" s="9">
        <f t="shared" si="19"/>
        <v>-9.6234270080863382E-2</v>
      </c>
      <c r="L38" s="9">
        <f t="shared" si="19"/>
        <v>-3.2552728188589453E-2</v>
      </c>
      <c r="M38" s="9">
        <f t="shared" si="19"/>
        <v>-7.3727617515413457E-2</v>
      </c>
      <c r="N38" s="9">
        <f t="shared" si="19"/>
        <v>-0.52357745375722087</v>
      </c>
      <c r="O38" s="9">
        <f t="shared" si="19"/>
        <v>-3.8774749478374226E-2</v>
      </c>
      <c r="P38" s="9">
        <f t="shared" si="19"/>
        <v>-5.3221993973396109E-2</v>
      </c>
      <c r="Q38" s="9">
        <f t="shared" si="19"/>
        <v>1.5259379076256074E-2</v>
      </c>
    </row>
    <row r="39" spans="1:17" x14ac:dyDescent="0.25">
      <c r="A39" s="24" t="s">
        <v>34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6"/>
    </row>
    <row r="40" spans="1:17" ht="31.5" customHeight="1" x14ac:dyDescent="0.25">
      <c r="A40" s="17" t="s">
        <v>36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</sheetData>
  <mergeCells count="14">
    <mergeCell ref="P4:P5"/>
    <mergeCell ref="Q4:Q5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39:Q39"/>
  </mergeCells>
  <pageMargins left="0.7" right="0.7" top="0.75" bottom="0.75" header="0.3" footer="0.3"/>
  <pageSetup paperSize="9" scale="9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2021-08-27T22:57:42Z</cp:lastPrinted>
  <dcterms:created xsi:type="dcterms:W3CDTF">2018-10-29T04:00:14Z</dcterms:created>
  <dcterms:modified xsi:type="dcterms:W3CDTF">2022-04-20T06:33:33Z</dcterms:modified>
</cp:coreProperties>
</file>