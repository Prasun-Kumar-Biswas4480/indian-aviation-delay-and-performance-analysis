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Publication FY 2021-22\25-11-2022 (Revised)\12-12-2022\EXCEL\SCHEDULED NATIONAL AIRLINES\"/>
    </mc:Choice>
  </mc:AlternateContent>
  <bookViews>
    <workbookView showHorizontalScroll="0" showVerticalScroll="0" xWindow="0" yWindow="0" windowWidth="24000" windowHeight="9735"/>
  </bookViews>
  <sheets>
    <sheet name="sche national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" i="4" l="1"/>
  <c r="O18" i="4"/>
  <c r="M18" i="4"/>
  <c r="L18" i="4"/>
  <c r="Q18" i="4" l="1"/>
  <c r="J18" i="4" l="1"/>
  <c r="I18" i="4"/>
  <c r="F18" i="4"/>
  <c r="B18" i="4"/>
  <c r="N18" i="4"/>
  <c r="K18" i="4"/>
  <c r="G18" i="4"/>
  <c r="E18" i="4"/>
  <c r="D18" i="4"/>
  <c r="C18" i="4"/>
  <c r="H18" i="4" l="1"/>
</calcChain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<sst xmlns="http://schemas.openxmlformats.org/spreadsheetml/2006/main" count="27" uniqueCount="25">
  <si>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</si>
  <si>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</si>
  <si>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</si>
  <si>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</si>
  <si>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</si>
  <si>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</si>
  <si>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</si>
  <si>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</si>
  <si>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</si>
  <si>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</si>
  <si>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</si>
  <si>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</si>
  <si>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</si>
  <si>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</si>
  <si>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</si>
  <si>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</si>
  <si>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</si>
  <si>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</si>
  <si>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</si>
  <si>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2021-22</t>
  </si>
  <si>
    <t>SOURCE:-  ICAO ATR FORM 'A' FURNISHEDBY ALL SCHEDULED NATIONAL AIRLINES</t>
  </si>
  <si>
    <t xml:space="preserve"> THE INTERNATIONAL OPERATIONS BY SCHEDULED INDIAN OPERATORS WERE CARRIED AS PER DGCA’S CIRCULAR DATED 26.03.2020 UNDER COVID-19 RESTRICTION.</t>
  </si>
  <si>
    <t>तालिका - 1.09 (अनुसूचित 
राष्ट्रीय एयरलाइन्स)</t>
  </si>
  <si>
    <t>Table 1.09 (SCHEDULED NATIONAL AIRLINES)</t>
  </si>
  <si>
    <t>MONTHLY TRAFFIC AND OPERATING STATISTICS OF SCHEDULED NATIONAL AIRLINES ON NON SCHEDULED INTERNATIONAL SERVICES DURING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</si>
</sst>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7">
    <xf numFmtId="0" fontId="0" fillId="0" borderId="0" xfId="0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5" fontId="5" fillId="0" borderId="2" xfId="1" applyNumberFormat="1" applyFont="1" applyFill="1" applyBorder="1" applyAlignment="1">
      <alignment horizontal="right" vertical="center"/>
    </xf>
    <xf numFmtId="165" fontId="5" fillId="0" borderId="3" xfId="1" applyNumberFormat="1" applyFont="1" applyFill="1" applyBorder="1" applyAlignment="1">
      <alignment horizontal="right" vertical="center"/>
    </xf>
    <xf numFmtId="167" fontId="0" fillId="0" borderId="0" xfId="0" applyNumberFormat="1" applyFont="1" applyBorder="1"/>
    <xf numFmtId="167" fontId="0" fillId="5" borderId="1" xfId="0" applyNumberFormat="1" applyFont="1" applyFill="1" applyBorder="1"/>
    <xf numFmtId="166" fontId="5" fillId="5" borderId="1" xfId="1" applyNumberFormat="1" applyFont="1" applyFill="1" applyBorder="1" applyAlignment="1">
      <alignment horizontal="right" vertical="center"/>
    </xf>
    <xf numFmtId="166" fontId="3" fillId="6" borderId="1" xfId="3" applyNumberFormat="1" applyFill="1" applyBorder="1" applyAlignment="1">
      <alignment horizontal="right" vertical="center"/>
    </xf>
    <xf numFmtId="166" fontId="6" fillId="4" borderId="1" xfId="3" applyNumberFormat="1" applyFont="1" applyBorder="1" applyAlignment="1">
      <alignment horizontal="right" vertical="center"/>
    </xf>
    <xf numFmtId="168" fontId="3" fillId="4" borderId="1" xfId="3" applyNumberFormat="1" applyBorder="1" applyAlignment="1">
      <alignment horizontal="center" vertical="center"/>
    </xf>
    <xf numFmtId="168" fontId="5" fillId="0" borderId="1" xfId="1" applyNumberFormat="1" applyFont="1" applyFill="1" applyBorder="1" applyAlignment="1">
      <alignment horizontal="center" vertical="center"/>
    </xf>
    <xf numFmtId="168" fontId="6" fillId="4" borderId="1" xfId="3" applyNumberFormat="1" applyFont="1" applyBorder="1" applyAlignment="1" applyProtection="1">
      <alignment horizontal="center" vertical="center" wrapText="1"/>
    </xf>
    <xf numFmtId="0" fontId="6" fillId="0" borderId="4" xfId="0" applyFont="1" applyBorder="1" applyAlignment="1">
      <alignment horizontal="left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zoomScaleNormal="100" zoomScaleSheetLayoutView="100" workbookViewId="0">
      <selection activeCell="A3" sqref="A3:Q3"/>
    </sheetView>
  </sheetViews>
  <sheetFormatPr defaultRowHeight="15" x14ac:dyDescent="0.25"/>
  <cols>
    <col min="1" max="1" width="15.7109375" customWidth="1"/>
    <col min="2" max="2" width="8.5703125" customWidth="1"/>
    <col min="3" max="4" width="8.85546875" customWidth="1"/>
    <col min="5" max="5" width="10.5703125" customWidth="1"/>
    <col min="6" max="6" width="7.85546875" customWidth="1"/>
    <col min="7" max="7" width="8.85546875" customWidth="1"/>
    <col min="8" max="8" width="7.140625" customWidth="1"/>
    <col min="9" max="9" width="9.5703125" customWidth="1"/>
    <col min="10" max="10" width="7" customWidth="1"/>
    <col min="11" max="11" width="9.85546875" customWidth="1"/>
    <col min="12" max="12" width="9.28515625" customWidth="1"/>
    <col min="13" max="14" width="7.140625" customWidth="1"/>
    <col min="15" max="16" width="8.42578125" customWidth="1"/>
    <col min="17" max="17" width="7.5703125" customWidth="1"/>
  </cols>
  <sheetData>
    <row r="1" spans="1:17" ht="17.25" customHeight="1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5" customHeight="1" x14ac:dyDescent="0.25">
      <c r="A2" s="23" t="s">
        <v>23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5" customHeight="1" x14ac:dyDescent="0.25">
      <c r="A3" s="25" t="s">
        <v>24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30.6" customHeight="1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9" t="s">
        <v>3</v>
      </c>
      <c r="H4" s="19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9" t="s">
        <v>7</v>
      </c>
      <c r="Q4" s="19" t="s">
        <v>8</v>
      </c>
    </row>
    <row r="5" spans="1:17" ht="101.25" customHeight="1" x14ac:dyDescent="0.25">
      <c r="A5" s="25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20"/>
      <c r="H5" s="20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20"/>
      <c r="Q5" s="20"/>
    </row>
    <row r="6" spans="1:17" x14ac:dyDescent="0.25">
      <c r="A6" s="15">
        <v>44287</v>
      </c>
      <c r="B6" s="3">
        <v>3023</v>
      </c>
      <c r="C6" s="3">
        <v>15271.820000000012</v>
      </c>
      <c r="D6" s="3">
        <v>12192.308000000001</v>
      </c>
      <c r="E6" s="3">
        <v>356936</v>
      </c>
      <c r="F6" s="3">
        <v>1736.7656650000001</v>
      </c>
      <c r="G6" s="3">
        <v>2770.7979500000001</v>
      </c>
      <c r="H6" s="4">
        <v>62.681065033991381</v>
      </c>
      <c r="I6" s="4">
        <v>7457.2956999999997</v>
      </c>
      <c r="J6" s="4">
        <v>2.2610000000000001</v>
      </c>
      <c r="K6" s="4">
        <v>7459.5567000000001</v>
      </c>
      <c r="L6" s="4">
        <v>152.38123465800001</v>
      </c>
      <c r="M6" s="4">
        <v>42.219642413299994</v>
      </c>
      <c r="N6" s="4">
        <v>7.0324350000000001E-3</v>
      </c>
      <c r="O6" s="4">
        <v>194.60790950630002</v>
      </c>
      <c r="P6" s="4">
        <v>341.87064688400011</v>
      </c>
      <c r="Q6" s="4">
        <v>56.924427785791245</v>
      </c>
    </row>
    <row r="7" spans="1:17" x14ac:dyDescent="0.25">
      <c r="A7" s="16">
        <v>44317</v>
      </c>
      <c r="B7" s="1">
        <v>2118</v>
      </c>
      <c r="C7" s="1">
        <v>10271.279999999995</v>
      </c>
      <c r="D7" s="9">
        <v>8300.277</v>
      </c>
      <c r="E7" s="1">
        <v>138366</v>
      </c>
      <c r="F7" s="1">
        <v>643.04351799999995</v>
      </c>
      <c r="G7" s="1">
        <v>1777.4424320000001</v>
      </c>
      <c r="H7" s="2">
        <v>36.178022220187437</v>
      </c>
      <c r="I7" s="2">
        <v>7187.1669999999995</v>
      </c>
      <c r="J7" s="2">
        <v>2.2610000000000001</v>
      </c>
      <c r="K7" s="2">
        <v>7189.4279999999999</v>
      </c>
      <c r="L7" s="2">
        <v>82.006522695000001</v>
      </c>
      <c r="M7" s="2">
        <v>39.215446385700012</v>
      </c>
      <c r="N7" s="2">
        <v>7.0305240000000007E-3</v>
      </c>
      <c r="O7" s="2">
        <v>121.22899960470001</v>
      </c>
      <c r="P7" s="2">
        <v>227.05898850200003</v>
      </c>
      <c r="Q7" s="2">
        <v>53.390971396682751</v>
      </c>
    </row>
    <row r="8" spans="1:17" x14ac:dyDescent="0.25">
      <c r="A8" s="15">
        <v>44348</v>
      </c>
      <c r="B8" s="3">
        <v>1993</v>
      </c>
      <c r="C8" s="3">
        <v>8985.5766666666696</v>
      </c>
      <c r="D8" s="11">
        <v>6997.8450000000012</v>
      </c>
      <c r="E8" s="3">
        <v>150319</v>
      </c>
      <c r="F8" s="3">
        <v>636.49291200000005</v>
      </c>
      <c r="G8" s="3">
        <v>1442.915986</v>
      </c>
      <c r="H8" s="4">
        <v>44.111571163922228</v>
      </c>
      <c r="I8" s="4">
        <v>6870.586400000002</v>
      </c>
      <c r="J8" s="4">
        <v>2.2686999999999999</v>
      </c>
      <c r="K8" s="4">
        <v>6872.8551000000016</v>
      </c>
      <c r="L8" s="4">
        <v>55.230688376000003</v>
      </c>
      <c r="M8" s="4">
        <v>34.41086290869999</v>
      </c>
      <c r="N8" s="4">
        <v>6.488162999999999E-3</v>
      </c>
      <c r="O8" s="4">
        <v>89.6480394477</v>
      </c>
      <c r="P8" s="4">
        <v>163.92625375</v>
      </c>
      <c r="Q8" s="4">
        <v>54.688030377623384</v>
      </c>
    </row>
    <row r="9" spans="1:17" x14ac:dyDescent="0.25">
      <c r="A9" s="16">
        <v>44378</v>
      </c>
      <c r="B9" s="1">
        <v>2415</v>
      </c>
      <c r="C9" s="1">
        <v>10822.390000000001</v>
      </c>
      <c r="D9" s="10">
        <v>8299.3610000000008</v>
      </c>
      <c r="E9" s="1">
        <v>206748</v>
      </c>
      <c r="F9" s="1">
        <v>917.67988000000003</v>
      </c>
      <c r="G9" s="1">
        <v>1706.8955320000002</v>
      </c>
      <c r="H9" s="2">
        <v>53.763095795601387</v>
      </c>
      <c r="I9" s="2">
        <v>7130.5546999999988</v>
      </c>
      <c r="J9" s="2">
        <v>5.0579999999999989</v>
      </c>
      <c r="K9" s="13">
        <v>7135.6126999999988</v>
      </c>
      <c r="L9" s="2">
        <v>80.053435585999992</v>
      </c>
      <c r="M9" s="2">
        <v>33.413930302400004</v>
      </c>
      <c r="N9" s="2">
        <v>1.4130255999999999E-2</v>
      </c>
      <c r="O9" s="13">
        <v>113.4814961444</v>
      </c>
      <c r="P9" s="2">
        <v>182.14383795500001</v>
      </c>
      <c r="Q9" s="13">
        <v>62.303231017036353</v>
      </c>
    </row>
    <row r="10" spans="1:17" x14ac:dyDescent="0.25">
      <c r="A10" s="15">
        <v>44409</v>
      </c>
      <c r="B10" s="3">
        <v>2720</v>
      </c>
      <c r="C10" s="3">
        <v>13609.559999999998</v>
      </c>
      <c r="D10" s="11">
        <v>10344.932000000001</v>
      </c>
      <c r="E10" s="3">
        <v>309386</v>
      </c>
      <c r="F10" s="3">
        <v>1406.756183</v>
      </c>
      <c r="G10" s="3">
        <v>2260.9886160000005</v>
      </c>
      <c r="H10" s="4">
        <v>62.218631842947744</v>
      </c>
      <c r="I10" s="4">
        <v>7830.5406999999996</v>
      </c>
      <c r="J10" s="4">
        <v>6.32</v>
      </c>
      <c r="K10" s="4">
        <v>7836.8606999999993</v>
      </c>
      <c r="L10" s="4">
        <v>120.483322805</v>
      </c>
      <c r="M10" s="4">
        <v>37.027217921800002</v>
      </c>
      <c r="N10" s="4">
        <v>1.8365374E-2</v>
      </c>
      <c r="O10" s="4">
        <v>157.52890610080001</v>
      </c>
      <c r="P10" s="4">
        <v>272.37822391000003</v>
      </c>
      <c r="Q10" s="4">
        <v>57.834618289034424</v>
      </c>
    </row>
    <row r="11" spans="1:17" x14ac:dyDescent="0.25">
      <c r="A11" s="16">
        <v>44440</v>
      </c>
      <c r="B11" s="1">
        <v>3172</v>
      </c>
      <c r="C11" s="1">
        <v>15812.446666666658</v>
      </c>
      <c r="D11" s="10">
        <v>11886.182000000001</v>
      </c>
      <c r="E11" s="1">
        <v>403414</v>
      </c>
      <c r="F11" s="1">
        <v>1614.0462660000001</v>
      </c>
      <c r="G11" s="1">
        <v>2524.1569560000003</v>
      </c>
      <c r="H11" s="2">
        <v>63.943973934083672</v>
      </c>
      <c r="I11" s="2">
        <v>8244.3550000000014</v>
      </c>
      <c r="J11" s="2">
        <v>7.9226582340835607</v>
      </c>
      <c r="K11" s="13">
        <v>8252.2776582340848</v>
      </c>
      <c r="L11" s="2">
        <v>132.80915076100001</v>
      </c>
      <c r="M11" s="2">
        <v>42.6771159193</v>
      </c>
      <c r="N11" s="2">
        <v>2.1424928431891605E-2</v>
      </c>
      <c r="O11" s="13">
        <v>175.5076916087319</v>
      </c>
      <c r="P11" s="2">
        <v>301.29130929100006</v>
      </c>
      <c r="Q11" s="13">
        <v>58.25182678575672</v>
      </c>
    </row>
    <row r="12" spans="1:17" x14ac:dyDescent="0.25">
      <c r="A12" s="15">
        <v>44470</v>
      </c>
      <c r="B12" s="3">
        <v>3876</v>
      </c>
      <c r="C12" s="3">
        <v>19513.60666666667</v>
      </c>
      <c r="D12" s="11">
        <v>14453.93</v>
      </c>
      <c r="E12" s="3">
        <v>537138</v>
      </c>
      <c r="F12" s="3">
        <v>2245.8103160000001</v>
      </c>
      <c r="G12" s="3">
        <v>3166.3295819999994</v>
      </c>
      <c r="H12" s="4">
        <v>70.927875884020992</v>
      </c>
      <c r="I12" s="4">
        <v>9089.3847999999998</v>
      </c>
      <c r="J12" s="4">
        <v>9.5888827331407676</v>
      </c>
      <c r="K12" s="4">
        <v>9098.9736827331399</v>
      </c>
      <c r="L12" s="4">
        <v>195.61299217799998</v>
      </c>
      <c r="M12" s="4">
        <v>52.480320773099997</v>
      </c>
      <c r="N12" s="4">
        <v>2.7887031999999999E-2</v>
      </c>
      <c r="O12" s="4">
        <v>248.12119998309998</v>
      </c>
      <c r="P12" s="4">
        <v>386.58758857499993</v>
      </c>
      <c r="Q12" s="4">
        <v>64.182401948727659</v>
      </c>
    </row>
    <row r="13" spans="1:17" x14ac:dyDescent="0.25">
      <c r="A13" s="16">
        <v>44501</v>
      </c>
      <c r="B13" s="1">
        <v>4101</v>
      </c>
      <c r="C13" s="1">
        <v>21151.273333333331</v>
      </c>
      <c r="D13" s="10">
        <v>15654.010000000002</v>
      </c>
      <c r="E13" s="1">
        <v>606632</v>
      </c>
      <c r="F13" s="1">
        <v>2710.6759500000003</v>
      </c>
      <c r="G13" s="1">
        <v>3494.1280339999998</v>
      </c>
      <c r="H13" s="2">
        <v>77.578037313557715</v>
      </c>
      <c r="I13" s="2">
        <v>8250.9323999999979</v>
      </c>
      <c r="J13" s="2">
        <v>4.5810782838821469</v>
      </c>
      <c r="K13" s="13">
        <v>8255.5134782838795</v>
      </c>
      <c r="L13" s="2">
        <v>257.43885816699998</v>
      </c>
      <c r="M13" s="2">
        <v>43.796800008800012</v>
      </c>
      <c r="N13" s="2">
        <v>1.3075907288737507E-2</v>
      </c>
      <c r="O13" s="13">
        <v>301.24873408308872</v>
      </c>
      <c r="P13" s="2">
        <v>424.42798098399982</v>
      </c>
      <c r="Q13" s="13">
        <v>70.977585734255641</v>
      </c>
    </row>
    <row r="14" spans="1:17" x14ac:dyDescent="0.25">
      <c r="A14" s="15">
        <v>44531</v>
      </c>
      <c r="B14" s="3">
        <v>4408</v>
      </c>
      <c r="C14" s="3">
        <v>23148.676666666666</v>
      </c>
      <c r="D14" s="11">
        <v>17154.516</v>
      </c>
      <c r="E14" s="3">
        <v>683349</v>
      </c>
      <c r="F14" s="3">
        <v>3068.5512439999998</v>
      </c>
      <c r="G14" s="3">
        <v>3869.5789499999996</v>
      </c>
      <c r="H14" s="4">
        <v>79.299357466269043</v>
      </c>
      <c r="I14" s="4">
        <v>8996.8083000000024</v>
      </c>
      <c r="J14" s="12">
        <v>5.8801623916797663</v>
      </c>
      <c r="K14" s="4">
        <v>9002.6884623916831</v>
      </c>
      <c r="L14" s="4">
        <v>292.21500903600003</v>
      </c>
      <c r="M14" s="4">
        <v>49.209759100099959</v>
      </c>
      <c r="N14" s="4">
        <v>1.6136632347956786E-2</v>
      </c>
      <c r="O14" s="4">
        <v>341.44090476844798</v>
      </c>
      <c r="P14" s="4">
        <v>484.242272034</v>
      </c>
      <c r="Q14" s="4">
        <v>70.510346677143147</v>
      </c>
    </row>
    <row r="15" spans="1:17" x14ac:dyDescent="0.25">
      <c r="A15" s="16">
        <v>44562</v>
      </c>
      <c r="B15" s="1">
        <v>4383</v>
      </c>
      <c r="C15" s="1">
        <v>23108.333333333318</v>
      </c>
      <c r="D15" s="8">
        <v>17280.932999999997</v>
      </c>
      <c r="E15" s="1">
        <v>560663</v>
      </c>
      <c r="F15" s="1">
        <v>2686.7585260000001</v>
      </c>
      <c r="G15" s="1">
        <v>3892.2622719999999</v>
      </c>
      <c r="H15" s="2">
        <v>69.028198467711064</v>
      </c>
      <c r="I15" s="2">
        <v>9062.5965000000051</v>
      </c>
      <c r="J15" s="2">
        <v>9.0233813667346663</v>
      </c>
      <c r="K15" s="13">
        <v>9071.6198813667397</v>
      </c>
      <c r="L15" s="2">
        <v>258.92079016700006</v>
      </c>
      <c r="M15" s="2">
        <v>51.934932719499969</v>
      </c>
      <c r="N15" s="2">
        <v>2.3383463417821458E-2</v>
      </c>
      <c r="O15" s="13">
        <v>310.87910634991783</v>
      </c>
      <c r="P15" s="2">
        <v>472.58683823299981</v>
      </c>
      <c r="Q15" s="13">
        <v>65.782430063497642</v>
      </c>
    </row>
    <row r="16" spans="1:17" x14ac:dyDescent="0.25">
      <c r="A16" s="15">
        <v>44593</v>
      </c>
      <c r="B16" s="3"/>
      <c r="C16" s="3"/>
      <c r="D16" s="3"/>
      <c r="E16" s="3"/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16">
        <v>44621</v>
      </c>
      <c r="B17" s="1"/>
      <c r="C17" s="1"/>
      <c r="D17" s="1"/>
      <c r="E17" s="1"/>
      <c r="F17" s="1"/>
      <c r="G17" s="1"/>
      <c r="H17" s="2"/>
      <c r="I17" s="2"/>
      <c r="K17" s="13"/>
      <c r="L17" s="2"/>
      <c r="M17" s="2"/>
      <c r="N17" s="2"/>
      <c r="O17" s="13"/>
      <c r="P17" s="2"/>
      <c r="Q17" s="13"/>
    </row>
    <row r="18" spans="1:17" x14ac:dyDescent="0.25">
      <c r="A18" s="17" t="s">
        <v>19</v>
      </c>
      <c r="B18" s="5">
        <f>SUM(B6:B17)</f>
        <v>32209</v>
      </c>
      <c r="C18" s="5">
        <f t="shared" ref="C18:N18" si="0">SUM(C6:C17)</f>
        <v>161694.96333333332</v>
      </c>
      <c r="D18" s="5">
        <f t="shared" si="0"/>
        <v>122564.29399999999</v>
      </c>
      <c r="E18" s="5">
        <f t="shared" si="0"/>
        <v>3952951</v>
      </c>
      <c r="F18" s="5">
        <f t="shared" si="0"/>
        <v>17666.580460000001</v>
      </c>
      <c r="G18" s="5">
        <f t="shared" si="0"/>
        <v>26905.496310000002</v>
      </c>
      <c r="H18" s="6">
        <f t="shared" ref="H18" si="1">F18/G18*100</f>
        <v>65.661604069477207</v>
      </c>
      <c r="I18" s="6">
        <f t="shared" si="0"/>
        <v>80120.2215</v>
      </c>
      <c r="J18" s="6">
        <f>SUM(J6:J16)</f>
        <v>55.164863009520914</v>
      </c>
      <c r="K18" s="6">
        <f t="shared" si="0"/>
        <v>80175.386363009515</v>
      </c>
      <c r="L18" s="6">
        <f>SUM(L6:L17)</f>
        <v>1627.152004429</v>
      </c>
      <c r="M18" s="6">
        <f>SUM(M6:M17)</f>
        <v>426.38602845269992</v>
      </c>
      <c r="N18" s="6">
        <f t="shared" si="0"/>
        <v>0.15495471548640735</v>
      </c>
      <c r="O18" s="14">
        <f>SUM(O6:O17)</f>
        <v>2053.6929875971864</v>
      </c>
      <c r="P18" s="6">
        <f>SUM(P6:P17)</f>
        <v>3256.5139401179999</v>
      </c>
      <c r="Q18" s="14">
        <f t="shared" ref="Q18" si="2">O18/P18*100</f>
        <v>63.064154656214086</v>
      </c>
    </row>
    <row r="19" spans="1:17" ht="15" customHeight="1" x14ac:dyDescent="0.25">
      <c r="A19" s="21" t="s">
        <v>20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25">
      <c r="A20" s="18" t="s">
        <v>21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 national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2022-12-15T10:14:24Z</cp:lastPrinted>
  <dcterms:created xsi:type="dcterms:W3CDTF">2018-10-29T04:00:09Z</dcterms:created>
  <dcterms:modified xsi:type="dcterms:W3CDTF">2022-12-15T10:28:59Z</dcterms:modified>
</cp:coreProperties>
</file>