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4. 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1" l="1"/>
  <c r="N22" i="1"/>
  <c r="J35" i="1" l="1"/>
  <c r="Q38" i="1" l="1"/>
  <c r="P38" i="1"/>
  <c r="O38" i="1"/>
  <c r="L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5" i="1"/>
  <c r="P35" i="1"/>
  <c r="O35" i="1"/>
  <c r="L35" i="1"/>
  <c r="H35" i="1"/>
  <c r="G35" i="1"/>
  <c r="F35" i="1"/>
  <c r="E35" i="1"/>
  <c r="D35" i="1"/>
  <c r="C35" i="1"/>
  <c r="B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M25" i="1"/>
  <c r="M28" i="1"/>
  <c r="M31" i="1"/>
  <c r="Q32" i="1"/>
  <c r="P32" i="1"/>
  <c r="O32" i="1"/>
  <c r="L32" i="1"/>
  <c r="H32" i="1"/>
  <c r="G32" i="1"/>
  <c r="F32" i="1"/>
  <c r="E32" i="1"/>
  <c r="D32" i="1"/>
  <c r="C32" i="1"/>
  <c r="B32" i="1"/>
  <c r="Q31" i="1"/>
  <c r="P31" i="1"/>
  <c r="O31" i="1"/>
  <c r="N31" i="1"/>
  <c r="L31" i="1"/>
  <c r="K31" i="1"/>
  <c r="J31" i="1"/>
  <c r="I31" i="1"/>
  <c r="H31" i="1"/>
  <c r="G31" i="1"/>
  <c r="F31" i="1"/>
  <c r="E31" i="1"/>
  <c r="D31" i="1"/>
  <c r="C31" i="1"/>
  <c r="B31" i="1"/>
  <c r="Q29" i="1"/>
  <c r="P29" i="1"/>
  <c r="O29" i="1"/>
  <c r="L29" i="1"/>
  <c r="H29" i="1"/>
  <c r="G29" i="1"/>
  <c r="F29" i="1"/>
  <c r="E29" i="1"/>
  <c r="D29" i="1"/>
  <c r="C29" i="1"/>
  <c r="B29" i="1"/>
  <c r="Q28" i="1"/>
  <c r="P28" i="1"/>
  <c r="O28" i="1"/>
  <c r="N28" i="1"/>
  <c r="L28" i="1"/>
  <c r="K28" i="1"/>
  <c r="J28" i="1"/>
  <c r="I28" i="1"/>
  <c r="H28" i="1"/>
  <c r="G28" i="1"/>
  <c r="F28" i="1"/>
  <c r="E28" i="1"/>
  <c r="D28" i="1"/>
  <c r="C28" i="1"/>
  <c r="B28" i="1"/>
  <c r="Q26" i="1"/>
  <c r="P26" i="1"/>
  <c r="O26" i="1"/>
  <c r="L26" i="1"/>
  <c r="H26" i="1"/>
  <c r="G26" i="1"/>
  <c r="F26" i="1"/>
  <c r="E26" i="1"/>
  <c r="D26" i="1"/>
  <c r="C26" i="1"/>
  <c r="B26" i="1"/>
  <c r="Q25" i="1"/>
  <c r="P25" i="1"/>
  <c r="O25" i="1"/>
  <c r="N25" i="1"/>
  <c r="L25" i="1"/>
  <c r="H25" i="1"/>
  <c r="G25" i="1"/>
  <c r="F25" i="1"/>
  <c r="E25" i="1"/>
  <c r="D25" i="1"/>
  <c r="C25" i="1"/>
  <c r="B25" i="1"/>
  <c r="Q23" i="1"/>
  <c r="P23" i="1"/>
  <c r="O23" i="1"/>
  <c r="L23" i="1"/>
  <c r="H23" i="1"/>
  <c r="G23" i="1"/>
  <c r="F23" i="1"/>
  <c r="E23" i="1"/>
  <c r="D23" i="1"/>
  <c r="C23" i="1"/>
  <c r="B23" i="1"/>
  <c r="Q22" i="1"/>
  <c r="P22" i="1"/>
  <c r="O22" i="1"/>
  <c r="L22" i="1"/>
  <c r="H22" i="1"/>
  <c r="G22" i="1"/>
  <c r="F22" i="1"/>
  <c r="E22" i="1"/>
  <c r="D22" i="1"/>
  <c r="C22" i="1"/>
  <c r="B22" i="1"/>
  <c r="Q20" i="1"/>
  <c r="P20" i="1"/>
  <c r="O20" i="1"/>
  <c r="L20" i="1"/>
  <c r="H20" i="1"/>
  <c r="G20" i="1"/>
  <c r="F20" i="1"/>
  <c r="E20" i="1"/>
  <c r="D20" i="1"/>
  <c r="C20" i="1"/>
  <c r="B20" i="1"/>
  <c r="Q19" i="1"/>
  <c r="P19" i="1"/>
  <c r="O19" i="1"/>
  <c r="L19" i="1"/>
  <c r="H19" i="1"/>
  <c r="G19" i="1"/>
  <c r="F19" i="1"/>
  <c r="E19" i="1"/>
  <c r="D19" i="1"/>
  <c r="C19" i="1"/>
  <c r="B19" i="1"/>
  <c r="Q17" i="1"/>
  <c r="P17" i="1"/>
  <c r="O17" i="1"/>
  <c r="L17" i="1"/>
  <c r="H17" i="1"/>
  <c r="G17" i="1"/>
  <c r="F17" i="1"/>
  <c r="E17" i="1"/>
  <c r="D17" i="1"/>
  <c r="C17" i="1"/>
  <c r="B17" i="1"/>
  <c r="Q16" i="1"/>
  <c r="P16" i="1"/>
  <c r="O16" i="1"/>
  <c r="L16" i="1"/>
  <c r="H16" i="1"/>
  <c r="G16" i="1"/>
  <c r="F16" i="1"/>
  <c r="E16" i="1"/>
  <c r="D16" i="1"/>
  <c r="C16" i="1"/>
  <c r="B16" i="1"/>
  <c r="Q14" i="1"/>
  <c r="P14" i="1"/>
  <c r="O14" i="1"/>
  <c r="L14" i="1"/>
  <c r="H14" i="1"/>
  <c r="G14" i="1"/>
  <c r="F14" i="1"/>
  <c r="E14" i="1"/>
  <c r="D14" i="1"/>
  <c r="C14" i="1"/>
  <c r="B14" i="1"/>
  <c r="Q13" i="1"/>
  <c r="P13" i="1"/>
  <c r="O13" i="1"/>
  <c r="L13" i="1"/>
  <c r="H13" i="1"/>
  <c r="G13" i="1"/>
  <c r="F13" i="1"/>
  <c r="E13" i="1"/>
  <c r="D13" i="1"/>
  <c r="C13" i="1"/>
  <c r="B13" i="1"/>
  <c r="Q11" i="1"/>
  <c r="P11" i="1"/>
  <c r="O11" i="1"/>
  <c r="L11" i="1"/>
  <c r="H11" i="1"/>
  <c r="G11" i="1"/>
  <c r="F11" i="1"/>
  <c r="E11" i="1"/>
  <c r="D11" i="1"/>
  <c r="C11" i="1"/>
  <c r="B11" i="1"/>
  <c r="Q10" i="1"/>
  <c r="P10" i="1"/>
  <c r="O10" i="1"/>
  <c r="L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<sst xmlns="http://schemas.openxmlformats.org/spreadsheetml/2006/main" count="167" uniqueCount="39">
  <si>
    <t xml:space="preserve">तालिका - 1.05 (एयर इंडिया एक्सप्रेस) </t>
  </si>
  <si>
    <t>TABLE - 1.05 (AIR INDIA EXPRESS)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</si>
  <si>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</si>
  <si>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</si>
  <si>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</si>
  <si>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</si>
  <si>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</si>
  <si>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</si>
  <si>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</si>
  <si>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</si>
  <si>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</si>
  <si>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</si>
  <si>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</si>
  <si>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</si>
  <si>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</si>
  <si>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</si>
  <si>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</si>
  <si>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</si>
  <si>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</si>
  <si>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</si>
  <si>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</si>
  <si>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Growth </t>
  </si>
  <si>
    <t>-</t>
  </si>
  <si>
    <t xml:space="preserve">CAGR 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</si>
  <si>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</si>
  <si>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</si>
  <si>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</si>
  <si>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</si>
  <si>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</si>
  <si>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</si>
  <si>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</si>
  <si>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</si>
  <si>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</si>
  <si>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SOURCE: ICAO ATR FORM 'A' FURNISHED BY AIR INDIA EXPRESS</t>
  </si>
  <si>
    <t>2019-20</t>
  </si>
  <si>
    <t>YEAR ON YEAR GROWTH AND CAGR FOR LAST TEN YEARS OFAIR INDIA EXPRESS ON SCHEDULED INTERNATIONAL SERVICES (ALL AIR TRAFFIC AND OPERATING STATISTICS)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</si>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</sst>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7">
    <xf numFmtId="0" fontId="0" fillId="0" borderId="0" xfId="0"/>
    <xf numFmtId="0" fontId="1" fillId="4" borderId="1" xfId="4" applyBorder="1" applyAlignment="1" applyProtection="1">
      <alignment horizontal="center" vertical="center" wrapText="1"/>
    </xf>
    <xf numFmtId="3" fontId="1" fillId="4" borderId="1" xfId="4" applyNumberFormat="1" applyBorder="1" applyAlignment="1" applyProtection="1">
      <alignment horizontal="center" vertical="center" wrapText="1"/>
    </xf>
    <xf numFmtId="164" fontId="0" fillId="4" borderId="1" xfId="1" applyNumberFormat="1" applyFont="1" applyFill="1" applyBorder="1" applyAlignment="1" applyProtection="1">
      <alignment horizontal="center" vertical="center" wrapText="1"/>
    </xf>
    <xf numFmtId="165" fontId="1" fillId="4" borderId="1" xfId="4" applyNumberFormat="1" applyBorder="1" applyAlignment="1" applyProtection="1">
      <alignment horizontal="center" vertical="center" wrapText="1"/>
    </xf>
    <xf numFmtId="0" fontId="0" fillId="3" borderId="1" xfId="3" applyFont="1" applyBorder="1" applyAlignment="1" applyProtection="1">
      <alignment horizontal="center" vertical="center" wrapText="1"/>
    </xf>
    <xf numFmtId="3" fontId="0" fillId="3" borderId="1" xfId="3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4" fillId="5" borderId="1" xfId="1" applyNumberFormat="1" applyFont="1" applyFill="1" applyBorder="1" applyAlignment="1" applyProtection="1">
      <alignment horizontal="center" vertical="center" wrapText="1"/>
    </xf>
    <xf numFmtId="166" fontId="5" fillId="6" borderId="1" xfId="1" applyNumberFormat="1" applyFont="1" applyFill="1" applyBorder="1" applyAlignment="1" applyProtection="1">
      <alignment horizontal="center" vertical="center" wrapText="1"/>
    </xf>
    <xf numFmtId="4" fontId="1" fillId="4" borderId="1" xfId="4" applyNumberFormat="1" applyBorder="1" applyAlignment="1" applyProtection="1">
      <alignment horizontal="center" vertical="center" wrapText="1"/>
    </xf>
    <xf numFmtId="0" fontId="0" fillId="4" borderId="1" xfId="4" applyFont="1" applyBorder="1" applyAlignment="1" applyProtection="1">
      <alignment horizontal="center" vertical="center" wrapText="1"/>
    </xf>
    <xf numFmtId="165" fontId="0" fillId="0" borderId="0" xfId="0" applyNumberFormat="1"/>
    <xf numFmtId="0" fontId="7" fillId="2" borderId="1" xfId="2" applyFont="1" applyBorder="1" applyAlignment="1" applyProtection="1">
      <alignment horizontal="center" vertical="center" textRotation="90" wrapText="1"/>
    </xf>
    <xf numFmtId="166" fontId="0" fillId="5" borderId="1" xfId="3" applyNumberFormat="1" applyFont="1" applyFill="1" applyBorder="1" applyAlignment="1" applyProtection="1">
      <alignment horizontal="center" vertical="center" wrapText="1"/>
    </xf>
    <xf numFmtId="0" fontId="7" fillId="4" borderId="1" xfId="4" applyFont="1" applyBorder="1" applyAlignment="1">
      <alignment horizontal="center" vertical="center" wrapText="1"/>
    </xf>
    <xf numFmtId="0" fontId="7" fillId="4" borderId="1" xfId="4" quotePrefix="1" applyFont="1" applyBorder="1" applyAlignment="1" applyProtection="1">
      <alignment horizontal="center" vertical="center" wrapText="1"/>
    </xf>
    <xf numFmtId="0" fontId="7" fillId="4" borderId="1" xfId="4" applyFont="1" applyBorder="1"/>
    <xf numFmtId="0" fontId="7" fillId="2" borderId="1" xfId="2" applyFont="1" applyBorder="1" applyAlignment="1" applyProtection="1">
      <alignment horizontal="center" vertical="center" wrapText="1"/>
    </xf>
    <xf numFmtId="0" fontId="7" fillId="2" borderId="1" xfId="2" applyFont="1" applyBorder="1"/>
    <xf numFmtId="0" fontId="7" fillId="2" borderId="1" xfId="2" applyFont="1" applyBorder="1" applyAlignment="1" applyProtection="1">
      <alignment horizontal="center" vertical="center" textRotation="90" wrapText="1"/>
    </xf>
    <xf numFmtId="0" fontId="7" fillId="2" borderId="1" xfId="2" applyFont="1" applyBorder="1" applyAlignment="1">
      <alignment textRotation="90"/>
    </xf>
    <xf numFmtId="0" fontId="6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view="pageBreakPreview" zoomScale="60" zoomScaleNormal="100" workbookViewId="0">
      <selection activeCell="I15" sqref="I15"/>
    </sheetView>
  </sheetViews>
  <sheetFormatPr defaultRowHeight="15" x14ac:dyDescent="0.25"/>
  <cols>
    <col min="1" max="1" width="10.140625" customWidth="1"/>
    <col min="2" max="2" width="7.7109375" customWidth="1"/>
    <col min="3" max="3" width="9.28515625" customWidth="1"/>
    <col min="4" max="4" width="7.85546875" customWidth="1"/>
    <col min="5" max="5" width="11.42578125" customWidth="1"/>
    <col min="6" max="6" width="9.7109375" customWidth="1"/>
    <col min="7" max="7" width="7.5703125" customWidth="1"/>
    <col min="8" max="8" width="6.42578125" customWidth="1"/>
    <col min="9" max="9" width="10.7109375" customWidth="1"/>
    <col min="10" max="10" width="7" customWidth="1"/>
    <col min="11" max="11" width="11.5703125" customWidth="1"/>
    <col min="12" max="12" width="9.7109375" customWidth="1"/>
    <col min="13" max="13" width="7" customWidth="1"/>
    <col min="14" max="14" width="6.85546875" customWidth="1"/>
    <col min="15" max="15" width="8.28515625" customWidth="1"/>
    <col min="16" max="16" width="8.5703125" customWidth="1"/>
    <col min="17" max="17" width="6.85546875" customWidth="1"/>
  </cols>
  <sheetData>
    <row r="1" spans="1:17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2</v>
      </c>
      <c r="B4" s="18" t="s">
        <v>3</v>
      </c>
      <c r="C4" s="18"/>
      <c r="D4" s="18"/>
      <c r="E4" s="18" t="s">
        <v>4</v>
      </c>
      <c r="F4" s="19"/>
      <c r="G4" s="20" t="s">
        <v>5</v>
      </c>
      <c r="H4" s="20" t="s">
        <v>6</v>
      </c>
      <c r="I4" s="18" t="s">
        <v>7</v>
      </c>
      <c r="J4" s="18"/>
      <c r="K4" s="18"/>
      <c r="L4" s="18" t="s">
        <v>8</v>
      </c>
      <c r="M4" s="18"/>
      <c r="N4" s="18"/>
      <c r="O4" s="18"/>
      <c r="P4" s="20" t="s">
        <v>9</v>
      </c>
      <c r="Q4" s="20" t="s">
        <v>10</v>
      </c>
    </row>
    <row r="5" spans="1:17" ht="117" customHeight="1" x14ac:dyDescent="0.25">
      <c r="A5" s="18"/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21"/>
      <c r="H5" s="21"/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17</v>
      </c>
      <c r="O5" s="13" t="s">
        <v>18</v>
      </c>
      <c r="P5" s="21"/>
      <c r="Q5" s="21"/>
    </row>
    <row r="6" spans="1:17" ht="17.100000000000001" customHeight="1" x14ac:dyDescent="0.25">
      <c r="A6" s="1" t="s">
        <v>24</v>
      </c>
      <c r="B6" s="2">
        <v>19356</v>
      </c>
      <c r="C6" s="2">
        <v>66657</v>
      </c>
      <c r="D6" s="2">
        <v>44100</v>
      </c>
      <c r="E6" s="2">
        <v>2124035</v>
      </c>
      <c r="F6" s="2">
        <v>5415.817</v>
      </c>
      <c r="G6" s="2">
        <v>7727.3119999999999</v>
      </c>
      <c r="H6" s="3">
        <v>70.08668732413031</v>
      </c>
      <c r="I6" s="4">
        <v>0</v>
      </c>
      <c r="J6" s="4">
        <v>0</v>
      </c>
      <c r="K6" s="4">
        <v>0</v>
      </c>
      <c r="L6" s="4">
        <v>525.33699999999999</v>
      </c>
      <c r="M6" s="4">
        <v>0</v>
      </c>
      <c r="N6" s="4">
        <v>0</v>
      </c>
      <c r="O6" s="4">
        <v>525.33699999999999</v>
      </c>
      <c r="P6" s="4">
        <v>797.48800000000006</v>
      </c>
      <c r="Q6" s="3">
        <v>65.873969263487339</v>
      </c>
    </row>
    <row r="7" spans="1:17" ht="17.100000000000001" customHeight="1" x14ac:dyDescent="0.25">
      <c r="A7" s="5" t="s">
        <v>21</v>
      </c>
      <c r="B7" s="6" t="s">
        <v>22</v>
      </c>
      <c r="C7" s="6" t="s">
        <v>22</v>
      </c>
      <c r="D7" s="6" t="s">
        <v>22</v>
      </c>
      <c r="E7" s="6" t="s">
        <v>22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  <c r="O7" s="6" t="s">
        <v>22</v>
      </c>
      <c r="P7" s="6" t="s">
        <v>22</v>
      </c>
      <c r="Q7" s="6" t="s">
        <v>22</v>
      </c>
    </row>
    <row r="8" spans="1:17" ht="17.100000000000001" customHeight="1" x14ac:dyDescent="0.25">
      <c r="A8" s="7" t="s">
        <v>23</v>
      </c>
      <c r="B8" s="7" t="s">
        <v>22</v>
      </c>
      <c r="C8" s="7" t="s">
        <v>22</v>
      </c>
      <c r="D8" s="7" t="s">
        <v>22</v>
      </c>
      <c r="E8" s="7" t="s">
        <v>22</v>
      </c>
      <c r="F8" s="7" t="s">
        <v>22</v>
      </c>
      <c r="G8" s="7" t="s">
        <v>22</v>
      </c>
      <c r="H8" s="7" t="s">
        <v>22</v>
      </c>
      <c r="I8" s="7" t="s">
        <v>22</v>
      </c>
      <c r="J8" s="7" t="s">
        <v>22</v>
      </c>
      <c r="K8" s="7" t="s">
        <v>22</v>
      </c>
      <c r="L8" s="7" t="s">
        <v>22</v>
      </c>
      <c r="M8" s="7" t="s">
        <v>22</v>
      </c>
      <c r="N8" s="7" t="s">
        <v>22</v>
      </c>
      <c r="O8" s="7" t="s">
        <v>22</v>
      </c>
      <c r="P8" s="7" t="s">
        <v>22</v>
      </c>
      <c r="Q8" s="7" t="s">
        <v>22</v>
      </c>
    </row>
    <row r="9" spans="1:17" ht="17.100000000000001" customHeight="1" x14ac:dyDescent="0.25">
      <c r="A9" s="1" t="s">
        <v>25</v>
      </c>
      <c r="B9" s="2">
        <v>17688</v>
      </c>
      <c r="C9" s="2">
        <v>61862.69</v>
      </c>
      <c r="D9" s="2">
        <v>41441</v>
      </c>
      <c r="E9" s="2">
        <v>2079857</v>
      </c>
      <c r="F9" s="2">
        <v>5318.4120000000003</v>
      </c>
      <c r="G9" s="2">
        <v>7302.9390000000003</v>
      </c>
      <c r="H9" s="3">
        <v>72.825639102284711</v>
      </c>
      <c r="I9" s="4">
        <v>0</v>
      </c>
      <c r="J9" s="4">
        <v>0</v>
      </c>
      <c r="K9" s="4">
        <v>0</v>
      </c>
      <c r="L9" s="4">
        <v>515.88900000000001</v>
      </c>
      <c r="M9" s="4">
        <v>0</v>
      </c>
      <c r="N9" s="4">
        <v>0</v>
      </c>
      <c r="O9" s="4">
        <v>515.88900000000001</v>
      </c>
      <c r="P9" s="4">
        <v>759.34500000000003</v>
      </c>
      <c r="Q9" s="3">
        <v>67.938683997392488</v>
      </c>
    </row>
    <row r="10" spans="1:17" ht="17.100000000000001" customHeight="1" x14ac:dyDescent="0.25">
      <c r="A10" s="5" t="s">
        <v>21</v>
      </c>
      <c r="B10" s="14">
        <f t="shared" ref="B10:Q10" si="0">(B9-B6)/B6</f>
        <v>-8.6174829510229381E-2</v>
      </c>
      <c r="C10" s="8">
        <f t="shared" si="0"/>
        <v>-7.1925079136474751E-2</v>
      </c>
      <c r="D10" s="8">
        <f t="shared" si="0"/>
        <v>-6.0294784580498868E-2</v>
      </c>
      <c r="E10" s="8">
        <f t="shared" si="0"/>
        <v>-2.0799092293676893E-2</v>
      </c>
      <c r="F10" s="8">
        <f t="shared" si="0"/>
        <v>-1.7985282737581373E-2</v>
      </c>
      <c r="G10" s="8">
        <f t="shared" si="0"/>
        <v>-5.4918579707924256E-2</v>
      </c>
      <c r="H10" s="8">
        <f t="shared" si="0"/>
        <v>3.9079486885826908E-2</v>
      </c>
      <c r="I10" s="8" t="s">
        <v>22</v>
      </c>
      <c r="J10" s="8" t="s">
        <v>22</v>
      </c>
      <c r="K10" s="8" t="s">
        <v>22</v>
      </c>
      <c r="L10" s="8">
        <f t="shared" si="0"/>
        <v>-1.7984646046252176E-2</v>
      </c>
      <c r="M10" s="8" t="s">
        <v>22</v>
      </c>
      <c r="N10" s="8" t="s">
        <v>22</v>
      </c>
      <c r="O10" s="8">
        <f t="shared" si="0"/>
        <v>-1.7984646046252176E-2</v>
      </c>
      <c r="P10" s="8">
        <f t="shared" si="0"/>
        <v>-4.7828932849146355E-2</v>
      </c>
      <c r="Q10" s="8">
        <f t="shared" si="0"/>
        <v>3.1343408587488589E-2</v>
      </c>
    </row>
    <row r="11" spans="1:17" ht="17.100000000000001" customHeight="1" x14ac:dyDescent="0.25">
      <c r="A11" s="7" t="s">
        <v>23</v>
      </c>
      <c r="B11" s="9">
        <f t="shared" ref="B11:Q11" si="1">(((B9/B6)^(1/1))-1)</f>
        <v>-8.6174829510229367E-2</v>
      </c>
      <c r="C11" s="9">
        <f t="shared" si="1"/>
        <v>-7.1925079136474723E-2</v>
      </c>
      <c r="D11" s="9">
        <f t="shared" si="1"/>
        <v>-6.0294784580498861E-2</v>
      </c>
      <c r="E11" s="9">
        <f t="shared" si="1"/>
        <v>-2.0799092293676935E-2</v>
      </c>
      <c r="F11" s="9">
        <f t="shared" si="1"/>
        <v>-1.7985282737581376E-2</v>
      </c>
      <c r="G11" s="9">
        <f t="shared" si="1"/>
        <v>-5.4918579707924242E-2</v>
      </c>
      <c r="H11" s="9">
        <f t="shared" si="1"/>
        <v>3.9079486885826853E-2</v>
      </c>
      <c r="I11" s="9" t="s">
        <v>22</v>
      </c>
      <c r="J11" s="9" t="s">
        <v>22</v>
      </c>
      <c r="K11" s="9" t="s">
        <v>22</v>
      </c>
      <c r="L11" s="9">
        <f t="shared" si="1"/>
        <v>-1.7984646046252162E-2</v>
      </c>
      <c r="M11" s="9" t="s">
        <v>22</v>
      </c>
      <c r="N11" s="9" t="s">
        <v>22</v>
      </c>
      <c r="O11" s="9">
        <f t="shared" si="1"/>
        <v>-1.7984646046252162E-2</v>
      </c>
      <c r="P11" s="9">
        <f t="shared" si="1"/>
        <v>-4.7828932849146355E-2</v>
      </c>
      <c r="Q11" s="9">
        <f t="shared" si="1"/>
        <v>3.134340858748863E-2</v>
      </c>
    </row>
    <row r="12" spans="1:17" ht="17.100000000000001" customHeight="1" x14ac:dyDescent="0.25">
      <c r="A12" s="1" t="s">
        <v>26</v>
      </c>
      <c r="B12" s="2">
        <v>16657</v>
      </c>
      <c r="C12" s="2">
        <v>55091</v>
      </c>
      <c r="D12" s="2">
        <v>35715</v>
      </c>
      <c r="E12" s="2">
        <v>1944351</v>
      </c>
      <c r="F12" s="2">
        <v>5050.45</v>
      </c>
      <c r="G12" s="2">
        <v>6643.0190000000002</v>
      </c>
      <c r="H12" s="3">
        <v>76.026427141033309</v>
      </c>
      <c r="I12" s="4">
        <v>0</v>
      </c>
      <c r="J12" s="4">
        <v>0</v>
      </c>
      <c r="K12" s="4">
        <v>0</v>
      </c>
      <c r="L12" s="4">
        <v>489.89679170033196</v>
      </c>
      <c r="M12" s="4">
        <v>0</v>
      </c>
      <c r="N12" s="4">
        <v>0</v>
      </c>
      <c r="O12" s="4">
        <v>489.89679170033196</v>
      </c>
      <c r="P12" s="4">
        <v>688.60878273669709</v>
      </c>
      <c r="Q12" s="3">
        <v>71.142977548640047</v>
      </c>
    </row>
    <row r="13" spans="1:17" ht="17.100000000000001" customHeight="1" x14ac:dyDescent="0.25">
      <c r="A13" s="5" t="s">
        <v>21</v>
      </c>
      <c r="B13" s="8">
        <f t="shared" ref="B13:Q13" si="2">(B12-B9)/B9</f>
        <v>-5.8288104929895973E-2</v>
      </c>
      <c r="C13" s="8">
        <f t="shared" si="2"/>
        <v>-0.10946323220021635</v>
      </c>
      <c r="D13" s="8">
        <f t="shared" si="2"/>
        <v>-0.13817234140102796</v>
      </c>
      <c r="E13" s="8">
        <f t="shared" si="2"/>
        <v>-6.515159455674116E-2</v>
      </c>
      <c r="F13" s="8">
        <f t="shared" si="2"/>
        <v>-5.0383836378227263E-2</v>
      </c>
      <c r="G13" s="8">
        <f t="shared" si="2"/>
        <v>-9.0363619359274408E-2</v>
      </c>
      <c r="H13" s="8">
        <f t="shared" si="2"/>
        <v>4.3951389623275987E-2</v>
      </c>
      <c r="I13" s="8" t="s">
        <v>22</v>
      </c>
      <c r="J13" s="8" t="s">
        <v>22</v>
      </c>
      <c r="K13" s="8" t="s">
        <v>22</v>
      </c>
      <c r="L13" s="8">
        <f t="shared" si="2"/>
        <v>-5.0383334980331138E-2</v>
      </c>
      <c r="M13" s="8" t="s">
        <v>22</v>
      </c>
      <c r="N13" s="8" t="s">
        <v>22</v>
      </c>
      <c r="O13" s="8">
        <f t="shared" si="2"/>
        <v>-5.0383334980331138E-2</v>
      </c>
      <c r="P13" s="8">
        <f t="shared" si="2"/>
        <v>-9.3154254341969639E-2</v>
      </c>
      <c r="Q13" s="8">
        <f t="shared" si="2"/>
        <v>4.7164492491060639E-2</v>
      </c>
    </row>
    <row r="14" spans="1:17" ht="17.100000000000001" customHeight="1" x14ac:dyDescent="0.25">
      <c r="A14" s="7" t="s">
        <v>23</v>
      </c>
      <c r="B14" s="9">
        <f t="shared" ref="B14:Q14" si="3">(((B12/B6)^(1/2))-1)</f>
        <v>-7.2336249999665703E-2</v>
      </c>
      <c r="C14" s="9">
        <f t="shared" si="3"/>
        <v>-9.0887883535895386E-2</v>
      </c>
      <c r="D14" s="9">
        <f t="shared" si="3"/>
        <v>-0.10007558896414459</v>
      </c>
      <c r="E14" s="9">
        <f t="shared" si="3"/>
        <v>-4.3232312848177412E-2</v>
      </c>
      <c r="F14" s="9">
        <f t="shared" si="3"/>
        <v>-3.4320421450853233E-2</v>
      </c>
      <c r="G14" s="9">
        <f t="shared" si="3"/>
        <v>-7.281046028048821E-2</v>
      </c>
      <c r="H14" s="9">
        <f t="shared" si="3"/>
        <v>4.1512589584734583E-2</v>
      </c>
      <c r="I14" s="9" t="s">
        <v>22</v>
      </c>
      <c r="J14" s="9" t="s">
        <v>22</v>
      </c>
      <c r="K14" s="9" t="s">
        <v>22</v>
      </c>
      <c r="L14" s="9">
        <f t="shared" si="3"/>
        <v>-3.4319853460956895E-2</v>
      </c>
      <c r="M14" s="9" t="s">
        <v>22</v>
      </c>
      <c r="N14" s="9" t="s">
        <v>22</v>
      </c>
      <c r="O14" s="9">
        <f t="shared" si="3"/>
        <v>-3.4319853460956895E-2</v>
      </c>
      <c r="P14" s="9">
        <f t="shared" si="3"/>
        <v>-7.0767907686987819E-2</v>
      </c>
      <c r="Q14" s="9">
        <f t="shared" si="3"/>
        <v>3.9223843566686956E-2</v>
      </c>
    </row>
    <row r="15" spans="1:17" ht="17.100000000000001" customHeight="1" x14ac:dyDescent="0.25">
      <c r="A15" s="1" t="s">
        <v>27</v>
      </c>
      <c r="B15" s="2">
        <v>18351</v>
      </c>
      <c r="C15" s="2">
        <v>62969</v>
      </c>
      <c r="D15" s="2">
        <v>41546.472000000002</v>
      </c>
      <c r="E15" s="2">
        <v>2313553</v>
      </c>
      <c r="F15" s="2">
        <v>6104.0542660000001</v>
      </c>
      <c r="G15" s="2">
        <v>7727.6587679999993</v>
      </c>
      <c r="H15" s="3">
        <v>78.989697258330082</v>
      </c>
      <c r="I15" s="4">
        <v>0</v>
      </c>
      <c r="J15" s="4">
        <v>0</v>
      </c>
      <c r="K15" s="4">
        <v>0</v>
      </c>
      <c r="L15" s="4">
        <v>592.09699046139201</v>
      </c>
      <c r="M15" s="4">
        <v>0</v>
      </c>
      <c r="N15" s="4">
        <v>0</v>
      </c>
      <c r="O15" s="4">
        <v>592.09699046139201</v>
      </c>
      <c r="P15" s="4">
        <v>802.65461942018783</v>
      </c>
      <c r="Q15" s="3">
        <v>73.767343529288354</v>
      </c>
    </row>
    <row r="16" spans="1:17" ht="17.100000000000001" customHeight="1" x14ac:dyDescent="0.25">
      <c r="A16" s="5" t="s">
        <v>21</v>
      </c>
      <c r="B16" s="8">
        <f t="shared" ref="B16:Q16" si="4">(B15-B12)/B12</f>
        <v>0.1016989854115387</v>
      </c>
      <c r="C16" s="8">
        <f t="shared" si="4"/>
        <v>0.14299976402679204</v>
      </c>
      <c r="D16" s="8">
        <f t="shared" si="4"/>
        <v>0.16327795044099122</v>
      </c>
      <c r="E16" s="8">
        <f t="shared" si="4"/>
        <v>0.18988443958935397</v>
      </c>
      <c r="F16" s="8">
        <f t="shared" si="4"/>
        <v>0.2086159185815126</v>
      </c>
      <c r="G16" s="8">
        <f t="shared" si="4"/>
        <v>0.16327512656519561</v>
      </c>
      <c r="H16" s="8">
        <f t="shared" si="4"/>
        <v>3.8976843036431785E-2</v>
      </c>
      <c r="I16" s="8" t="s">
        <v>22</v>
      </c>
      <c r="J16" s="8" t="s">
        <v>22</v>
      </c>
      <c r="K16" s="8" t="s">
        <v>22</v>
      </c>
      <c r="L16" s="8">
        <f t="shared" si="4"/>
        <v>0.20861577477644624</v>
      </c>
      <c r="M16" s="8" t="s">
        <v>22</v>
      </c>
      <c r="N16" s="8" t="s">
        <v>22</v>
      </c>
      <c r="O16" s="8">
        <f t="shared" si="4"/>
        <v>0.20861577477644624</v>
      </c>
      <c r="P16" s="8">
        <f t="shared" si="4"/>
        <v>0.16561774921058242</v>
      </c>
      <c r="Q16" s="8">
        <f t="shared" si="4"/>
        <v>3.6888616010681344E-2</v>
      </c>
    </row>
    <row r="17" spans="1:17" ht="17.100000000000001" customHeight="1" x14ac:dyDescent="0.25">
      <c r="A17" s="7" t="s">
        <v>23</v>
      </c>
      <c r="B17" s="9">
        <f t="shared" ref="B17:Q17" si="5">(((B15/B6)^(1/3))-1)</f>
        <v>-1.7615788755331874E-2</v>
      </c>
      <c r="C17" s="9">
        <f t="shared" si="5"/>
        <v>-1.8793663316839737E-2</v>
      </c>
      <c r="D17" s="9">
        <f t="shared" si="5"/>
        <v>-1.9686040219573209E-2</v>
      </c>
      <c r="E17" s="9">
        <f t="shared" si="5"/>
        <v>2.88986436806562E-2</v>
      </c>
      <c r="F17" s="9">
        <f t="shared" si="5"/>
        <v>4.0682220461338847E-2</v>
      </c>
      <c r="G17" s="9">
        <f t="shared" si="5"/>
        <v>1.495831983078233E-5</v>
      </c>
      <c r="H17" s="9">
        <f t="shared" si="5"/>
        <v>4.0666653836693545E-2</v>
      </c>
      <c r="I17" s="9" t="s">
        <v>22</v>
      </c>
      <c r="J17" s="9" t="s">
        <v>22</v>
      </c>
      <c r="K17" s="9" t="s">
        <v>22</v>
      </c>
      <c r="L17" s="9">
        <f t="shared" si="5"/>
        <v>4.0682587256476666E-2</v>
      </c>
      <c r="M17" s="9" t="s">
        <v>22</v>
      </c>
      <c r="N17" s="9" t="s">
        <v>22</v>
      </c>
      <c r="O17" s="9">
        <f t="shared" si="5"/>
        <v>4.0682587256476666E-2</v>
      </c>
      <c r="P17" s="9">
        <f t="shared" si="5"/>
        <v>2.154892148714449E-3</v>
      </c>
      <c r="Q17" s="9">
        <f t="shared" si="5"/>
        <v>3.8444850601043523E-2</v>
      </c>
    </row>
    <row r="18" spans="1:17" ht="17.100000000000001" customHeight="1" x14ac:dyDescent="0.25">
      <c r="A18" s="1" t="s">
        <v>28</v>
      </c>
      <c r="B18" s="2">
        <v>18307</v>
      </c>
      <c r="C18" s="2">
        <v>64931</v>
      </c>
      <c r="D18" s="2">
        <v>43033</v>
      </c>
      <c r="E18" s="2">
        <v>2392160</v>
      </c>
      <c r="F18" s="2">
        <v>6525.4009999999998</v>
      </c>
      <c r="G18" s="2">
        <v>8005.9049999999997</v>
      </c>
      <c r="H18" s="3">
        <v>81.507349887364384</v>
      </c>
      <c r="I18" s="4">
        <v>0</v>
      </c>
      <c r="J18" s="4">
        <v>0</v>
      </c>
      <c r="K18" s="4">
        <v>0</v>
      </c>
      <c r="L18" s="4">
        <v>515.32898999999998</v>
      </c>
      <c r="M18" s="4">
        <v>11.435270000000001</v>
      </c>
      <c r="N18" s="4">
        <v>2.4619999999999996E-2</v>
      </c>
      <c r="O18" s="4">
        <v>526.78888000000018</v>
      </c>
      <c r="P18" s="4">
        <v>635.13477999999998</v>
      </c>
      <c r="Q18" s="3">
        <v>82.941274291418935</v>
      </c>
    </row>
    <row r="19" spans="1:17" ht="17.100000000000001" customHeight="1" x14ac:dyDescent="0.25">
      <c r="A19" s="5" t="s">
        <v>21</v>
      </c>
      <c r="B19" s="8">
        <f t="shared" ref="B19:Q19" si="6">(B18-B15)/B15</f>
        <v>-2.3976894992098524E-3</v>
      </c>
      <c r="C19" s="8">
        <f t="shared" si="6"/>
        <v>3.1158188950118314E-2</v>
      </c>
      <c r="D19" s="8">
        <f t="shared" si="6"/>
        <v>3.5779885233095082E-2</v>
      </c>
      <c r="E19" s="8">
        <f t="shared" si="6"/>
        <v>3.3976744859529909E-2</v>
      </c>
      <c r="F19" s="8">
        <f t="shared" si="6"/>
        <v>6.9027357169304651E-2</v>
      </c>
      <c r="G19" s="8">
        <f t="shared" si="6"/>
        <v>3.6006537083677868E-2</v>
      </c>
      <c r="H19" s="8">
        <f t="shared" si="6"/>
        <v>3.1873177343628774E-2</v>
      </c>
      <c r="I19" s="8" t="s">
        <v>22</v>
      </c>
      <c r="J19" s="8" t="s">
        <v>22</v>
      </c>
      <c r="K19" s="8" t="s">
        <v>22</v>
      </c>
      <c r="L19" s="8">
        <f t="shared" si="6"/>
        <v>-0.12965443448981309</v>
      </c>
      <c r="M19" s="8" t="s">
        <v>22</v>
      </c>
      <c r="N19" s="8" t="s">
        <v>22</v>
      </c>
      <c r="O19" s="8">
        <f t="shared" si="6"/>
        <v>-0.11029968318281848</v>
      </c>
      <c r="P19" s="8">
        <f t="shared" si="6"/>
        <v>-0.20870725137195231</v>
      </c>
      <c r="Q19" s="8">
        <f t="shared" si="6"/>
        <v>0.12436303550077268</v>
      </c>
    </row>
    <row r="20" spans="1:17" ht="17.100000000000001" customHeight="1" x14ac:dyDescent="0.25">
      <c r="A20" s="7" t="s">
        <v>23</v>
      </c>
      <c r="B20" s="9">
        <f t="shared" ref="B20:Q20" si="7">(((B18/B6)^(1/4))-1)</f>
        <v>-1.3833167269805768E-2</v>
      </c>
      <c r="C20" s="9">
        <f t="shared" si="7"/>
        <v>-6.5372634500433513E-3</v>
      </c>
      <c r="D20" s="9">
        <f t="shared" si="7"/>
        <v>-6.1044216522333494E-3</v>
      </c>
      <c r="E20" s="9">
        <f t="shared" si="7"/>
        <v>3.0165826076887337E-2</v>
      </c>
      <c r="F20" s="9">
        <f t="shared" si="7"/>
        <v>4.7697254895194607E-2</v>
      </c>
      <c r="G20" s="9">
        <f t="shared" si="7"/>
        <v>8.893899865712207E-3</v>
      </c>
      <c r="H20" s="9">
        <f t="shared" si="7"/>
        <v>3.8461284218932468E-2</v>
      </c>
      <c r="I20" s="9" t="s">
        <v>22</v>
      </c>
      <c r="J20" s="9" t="s">
        <v>22</v>
      </c>
      <c r="K20" s="9" t="s">
        <v>22</v>
      </c>
      <c r="L20" s="9">
        <f t="shared" si="7"/>
        <v>-4.7970694277499337E-3</v>
      </c>
      <c r="M20" s="9" t="s">
        <v>22</v>
      </c>
      <c r="N20" s="9" t="s">
        <v>22</v>
      </c>
      <c r="O20" s="9">
        <f t="shared" si="7"/>
        <v>6.9021299880467346E-4</v>
      </c>
      <c r="P20" s="9">
        <f t="shared" si="7"/>
        <v>-5.5318447533380222E-2</v>
      </c>
      <c r="Q20" s="9">
        <f t="shared" si="7"/>
        <v>5.9288402939533524E-2</v>
      </c>
    </row>
    <row r="21" spans="1:17" ht="17.100000000000001" customHeight="1" x14ac:dyDescent="0.25">
      <c r="A21" s="1" t="s">
        <v>29</v>
      </c>
      <c r="B21" s="2">
        <v>19167</v>
      </c>
      <c r="C21" s="2">
        <v>69039.75</v>
      </c>
      <c r="D21" s="2">
        <v>46353</v>
      </c>
      <c r="E21" s="2">
        <v>2634791</v>
      </c>
      <c r="F21" s="2">
        <v>7106.5690000000004</v>
      </c>
      <c r="G21" s="2">
        <v>8621.16</v>
      </c>
      <c r="H21" s="3">
        <v>82.431702926288352</v>
      </c>
      <c r="I21" s="4">
        <v>3793.7699999999995</v>
      </c>
      <c r="J21" s="4">
        <v>2.2960000000000003</v>
      </c>
      <c r="K21" s="4">
        <v>3796.0659999999993</v>
      </c>
      <c r="L21" s="4">
        <v>649.40377999999998</v>
      </c>
      <c r="M21" s="4">
        <v>13.848400000000002</v>
      </c>
      <c r="N21" s="10">
        <v>2.462E-2</v>
      </c>
      <c r="O21" s="4">
        <v>663.27679999999998</v>
      </c>
      <c r="P21" s="4">
        <v>803.52521000000002</v>
      </c>
      <c r="Q21" s="3">
        <v>82.545860633296115</v>
      </c>
    </row>
    <row r="22" spans="1:17" ht="17.100000000000001" customHeight="1" x14ac:dyDescent="0.25">
      <c r="A22" s="5" t="s">
        <v>21</v>
      </c>
      <c r="B22" s="8">
        <f t="shared" ref="B22:Q22" si="8">(B21-B18)/B18</f>
        <v>4.6976566340743979E-2</v>
      </c>
      <c r="C22" s="8">
        <f t="shared" si="8"/>
        <v>6.3278711247324079E-2</v>
      </c>
      <c r="D22" s="8">
        <f t="shared" si="8"/>
        <v>7.7150094113819623E-2</v>
      </c>
      <c r="E22" s="8">
        <f t="shared" si="8"/>
        <v>0.10142758009497692</v>
      </c>
      <c r="F22" s="8">
        <f t="shared" si="8"/>
        <v>8.9062419305725518E-2</v>
      </c>
      <c r="G22" s="8">
        <f t="shared" si="8"/>
        <v>7.6850149983043778E-2</v>
      </c>
      <c r="H22" s="8">
        <f t="shared" si="8"/>
        <v>1.1340732341332878E-2</v>
      </c>
      <c r="I22" s="8" t="s">
        <v>22</v>
      </c>
      <c r="J22" s="8" t="s">
        <v>22</v>
      </c>
      <c r="K22" s="8" t="s">
        <v>22</v>
      </c>
      <c r="L22" s="8">
        <f t="shared" si="8"/>
        <v>0.26017319537951866</v>
      </c>
      <c r="M22" s="8">
        <f t="shared" si="8"/>
        <v>0.21102518786176455</v>
      </c>
      <c r="N22" s="8">
        <f t="shared" si="8"/>
        <v>1.4091985994937508E-16</v>
      </c>
      <c r="O22" s="8">
        <f t="shared" si="8"/>
        <v>0.25909415551824055</v>
      </c>
      <c r="P22" s="8">
        <f t="shared" si="8"/>
        <v>0.26512550611698521</v>
      </c>
      <c r="Q22" s="8">
        <f t="shared" si="8"/>
        <v>-4.7673930922921583E-3</v>
      </c>
    </row>
    <row r="23" spans="1:17" ht="17.100000000000001" customHeight="1" x14ac:dyDescent="0.25">
      <c r="A23" s="7" t="s">
        <v>23</v>
      </c>
      <c r="B23" s="9">
        <f t="shared" ref="B23:Q23" si="9">(((B21/B6)^(1/5))-1)</f>
        <v>-1.9605553242827423E-3</v>
      </c>
      <c r="C23" s="9">
        <f t="shared" si="9"/>
        <v>7.0492011335772098E-3</v>
      </c>
      <c r="D23" s="9">
        <f t="shared" si="9"/>
        <v>1.0015064892136438E-2</v>
      </c>
      <c r="E23" s="9">
        <f t="shared" si="9"/>
        <v>4.4039429089692161E-2</v>
      </c>
      <c r="F23" s="9">
        <f t="shared" si="9"/>
        <v>5.5842645524624812E-2</v>
      </c>
      <c r="G23" s="9">
        <f t="shared" si="9"/>
        <v>2.213309789005069E-2</v>
      </c>
      <c r="H23" s="9">
        <f t="shared" si="9"/>
        <v>3.2979606769568015E-2</v>
      </c>
      <c r="I23" s="9" t="s">
        <v>22</v>
      </c>
      <c r="J23" s="9" t="s">
        <v>22</v>
      </c>
      <c r="K23" s="9" t="s">
        <v>22</v>
      </c>
      <c r="L23" s="9">
        <f t="shared" si="9"/>
        <v>4.3314791288138643E-2</v>
      </c>
      <c r="M23" s="9" t="s">
        <v>22</v>
      </c>
      <c r="N23" s="9" t="s">
        <v>22</v>
      </c>
      <c r="O23" s="9">
        <f t="shared" si="9"/>
        <v>4.7734786518894845E-2</v>
      </c>
      <c r="P23" s="9">
        <f t="shared" si="9"/>
        <v>1.509492617760122E-3</v>
      </c>
      <c r="Q23" s="9">
        <f t="shared" si="9"/>
        <v>4.6155622329959289E-2</v>
      </c>
    </row>
    <row r="24" spans="1:17" ht="17.100000000000001" customHeight="1" x14ac:dyDescent="0.25">
      <c r="A24" s="1" t="s">
        <v>30</v>
      </c>
      <c r="B24" s="2">
        <v>23958</v>
      </c>
      <c r="C24" s="2">
        <v>92216</v>
      </c>
      <c r="D24" s="2">
        <v>61671.490000000005</v>
      </c>
      <c r="E24" s="2">
        <v>3309882</v>
      </c>
      <c r="F24" s="2">
        <v>8725.2091900000014</v>
      </c>
      <c r="G24" s="2">
        <v>11470.829589999999</v>
      </c>
      <c r="H24" s="3">
        <v>76.064325788663396</v>
      </c>
      <c r="I24" s="4">
        <v>9988.67</v>
      </c>
      <c r="J24" s="4">
        <v>9.625</v>
      </c>
      <c r="K24" s="4">
        <v>9998.2949999999983</v>
      </c>
      <c r="L24" s="4">
        <v>804.18450199000006</v>
      </c>
      <c r="M24" s="4">
        <v>26.825370000000003</v>
      </c>
      <c r="N24" s="10">
        <v>2.2540000000000001E-2</v>
      </c>
      <c r="O24" s="4">
        <v>831.0324119899999</v>
      </c>
      <c r="P24" s="4">
        <v>1070.15211045</v>
      </c>
      <c r="Q24" s="3">
        <v>77.655541102521397</v>
      </c>
    </row>
    <row r="25" spans="1:17" ht="17.100000000000001" customHeight="1" x14ac:dyDescent="0.25">
      <c r="A25" s="5" t="s">
        <v>21</v>
      </c>
      <c r="B25" s="8">
        <f t="shared" ref="B25:Q25" si="10">(B24-B21)/B21</f>
        <v>0.24996087024573485</v>
      </c>
      <c r="C25" s="8">
        <f t="shared" si="10"/>
        <v>0.33569429205638779</v>
      </c>
      <c r="D25" s="8">
        <f t="shared" si="10"/>
        <v>0.33047461868703226</v>
      </c>
      <c r="E25" s="8">
        <f t="shared" si="10"/>
        <v>0.25622184074562271</v>
      </c>
      <c r="F25" s="8">
        <f t="shared" si="10"/>
        <v>0.22776675917731903</v>
      </c>
      <c r="G25" s="8">
        <f t="shared" si="10"/>
        <v>0.33054363797911179</v>
      </c>
      <c r="H25" s="8">
        <f t="shared" si="10"/>
        <v>-7.7244275097880233E-2</v>
      </c>
      <c r="I25" s="8" t="s">
        <v>22</v>
      </c>
      <c r="J25" s="8" t="s">
        <v>22</v>
      </c>
      <c r="K25" s="8" t="s">
        <v>22</v>
      </c>
      <c r="L25" s="8">
        <f t="shared" si="10"/>
        <v>0.23834281036984428</v>
      </c>
      <c r="M25" s="8">
        <f t="shared" si="10"/>
        <v>0.93707359694982817</v>
      </c>
      <c r="N25" s="8">
        <f t="shared" si="10"/>
        <v>-8.4484159220146168E-2</v>
      </c>
      <c r="O25" s="8">
        <f t="shared" si="10"/>
        <v>0.25291946286980027</v>
      </c>
      <c r="P25" s="8">
        <f t="shared" si="10"/>
        <v>0.33182145019445003</v>
      </c>
      <c r="Q25" s="8">
        <f t="shared" si="10"/>
        <v>-5.9243667620107583E-2</v>
      </c>
    </row>
    <row r="26" spans="1:17" ht="17.100000000000001" customHeight="1" x14ac:dyDescent="0.25">
      <c r="A26" s="7" t="s">
        <v>23</v>
      </c>
      <c r="B26" s="9">
        <f t="shared" ref="B26:Q26" si="11">(((B24/B6)^(1/6))-1)</f>
        <v>3.6189430120823873E-2</v>
      </c>
      <c r="C26" s="9">
        <f t="shared" si="11"/>
        <v>5.5585508479621515E-2</v>
      </c>
      <c r="D26" s="9">
        <f t="shared" si="11"/>
        <v>5.7485226032455428E-2</v>
      </c>
      <c r="E26" s="9">
        <f t="shared" si="11"/>
        <v>7.6734115884563581E-2</v>
      </c>
      <c r="F26" s="9">
        <f t="shared" si="11"/>
        <v>8.272619614576282E-2</v>
      </c>
      <c r="G26" s="9">
        <f t="shared" si="11"/>
        <v>6.8056916341160179E-2</v>
      </c>
      <c r="H26" s="9">
        <f t="shared" si="11"/>
        <v>1.3734548768107979E-2</v>
      </c>
      <c r="I26" s="9" t="s">
        <v>22</v>
      </c>
      <c r="J26" s="9" t="s">
        <v>22</v>
      </c>
      <c r="K26" s="9" t="s">
        <v>22</v>
      </c>
      <c r="L26" s="9">
        <f t="shared" si="11"/>
        <v>7.3543429589082221E-2</v>
      </c>
      <c r="M26" s="9" t="s">
        <v>22</v>
      </c>
      <c r="N26" s="9" t="s">
        <v>22</v>
      </c>
      <c r="O26" s="9">
        <f t="shared" si="11"/>
        <v>7.9435413726403725E-2</v>
      </c>
      <c r="P26" s="9">
        <f t="shared" si="11"/>
        <v>5.023597973278493E-2</v>
      </c>
      <c r="Q26" s="9">
        <f t="shared" si="11"/>
        <v>2.7802736296511199E-2</v>
      </c>
    </row>
    <row r="27" spans="1:17" ht="17.100000000000001" customHeight="1" x14ac:dyDescent="0.25">
      <c r="A27" s="1" t="s">
        <v>31</v>
      </c>
      <c r="B27" s="2">
        <v>26610</v>
      </c>
      <c r="C27" s="2">
        <v>102793.3</v>
      </c>
      <c r="D27" s="2">
        <v>69679.31</v>
      </c>
      <c r="E27" s="2">
        <v>3758856</v>
      </c>
      <c r="F27" s="2">
        <v>9911.4933829999991</v>
      </c>
      <c r="G27" s="2">
        <v>12960.353590000002</v>
      </c>
      <c r="H27" s="3">
        <v>76.475485905319331</v>
      </c>
      <c r="I27" s="4">
        <v>13988.957999999999</v>
      </c>
      <c r="J27" s="4">
        <v>8.4489999999999998</v>
      </c>
      <c r="K27" s="4">
        <v>13997.407000000001</v>
      </c>
      <c r="L27" s="4">
        <v>947.22081999999978</v>
      </c>
      <c r="M27" s="4">
        <v>38.218789999999998</v>
      </c>
      <c r="N27" s="10">
        <v>2.0570000000000001E-2</v>
      </c>
      <c r="O27" s="4">
        <v>985.46018000000004</v>
      </c>
      <c r="P27" s="4">
        <v>1251.0795600000001</v>
      </c>
      <c r="Q27" s="3">
        <v>78.768785895598839</v>
      </c>
    </row>
    <row r="28" spans="1:17" ht="17.100000000000001" customHeight="1" x14ac:dyDescent="0.25">
      <c r="A28" s="5" t="s">
        <v>21</v>
      </c>
      <c r="B28" s="8">
        <f t="shared" ref="B28:Q28" si="12">(B27-B24)/B24</f>
        <v>0.11069371399949912</v>
      </c>
      <c r="C28" s="8">
        <f t="shared" si="12"/>
        <v>0.11470135334432206</v>
      </c>
      <c r="D28" s="8">
        <f t="shared" si="12"/>
        <v>0.12984638444765956</v>
      </c>
      <c r="E28" s="8">
        <f t="shared" si="12"/>
        <v>0.13564652758013729</v>
      </c>
      <c r="F28" s="8">
        <f t="shared" si="12"/>
        <v>0.13596054457463358</v>
      </c>
      <c r="G28" s="8">
        <f t="shared" si="12"/>
        <v>0.12985320619692017</v>
      </c>
      <c r="H28" s="8">
        <f t="shared" si="12"/>
        <v>5.4054264255006977E-3</v>
      </c>
      <c r="I28" s="8">
        <f t="shared" si="12"/>
        <v>0.40048254672543976</v>
      </c>
      <c r="J28" s="8">
        <f t="shared" si="12"/>
        <v>-0.1221818181818182</v>
      </c>
      <c r="K28" s="8">
        <f t="shared" si="12"/>
        <v>0.3999793964871014</v>
      </c>
      <c r="L28" s="8">
        <f t="shared" si="12"/>
        <v>0.17786505168409519</v>
      </c>
      <c r="M28" s="8">
        <f t="shared" si="12"/>
        <v>0.42472554898590381</v>
      </c>
      <c r="N28" s="8">
        <f t="shared" si="12"/>
        <v>-8.7400177462289244E-2</v>
      </c>
      <c r="O28" s="8">
        <f t="shared" si="12"/>
        <v>0.18582640794984831</v>
      </c>
      <c r="P28" s="8">
        <f t="shared" si="12"/>
        <v>0.16906703989390812</v>
      </c>
      <c r="Q28" s="8">
        <f t="shared" si="12"/>
        <v>1.4335677496699535E-2</v>
      </c>
    </row>
    <row r="29" spans="1:17" ht="17.100000000000001" customHeight="1" x14ac:dyDescent="0.25">
      <c r="A29" s="7" t="s">
        <v>23</v>
      </c>
      <c r="B29" s="9">
        <f t="shared" ref="B29:Q29" si="13">(((B27/B6)^(1/7))-1)</f>
        <v>4.6518806630784892E-2</v>
      </c>
      <c r="C29" s="9">
        <f t="shared" si="13"/>
        <v>6.3834693386203067E-2</v>
      </c>
      <c r="D29" s="9">
        <f t="shared" si="13"/>
        <v>6.753162664849155E-2</v>
      </c>
      <c r="E29" s="9">
        <f t="shared" si="13"/>
        <v>8.4959261379194739E-2</v>
      </c>
      <c r="F29" s="9">
        <f t="shared" si="13"/>
        <v>9.0175568228013869E-2</v>
      </c>
      <c r="G29" s="9">
        <f t="shared" si="13"/>
        <v>7.6673583154605041E-2</v>
      </c>
      <c r="H29" s="9">
        <f t="shared" si="13"/>
        <v>1.2540462852119516E-2</v>
      </c>
      <c r="I29" s="9" t="s">
        <v>22</v>
      </c>
      <c r="J29" s="9" t="s">
        <v>22</v>
      </c>
      <c r="K29" s="9" t="s">
        <v>22</v>
      </c>
      <c r="L29" s="9">
        <f t="shared" si="13"/>
        <v>8.7860782833081075E-2</v>
      </c>
      <c r="M29" s="9" t="s">
        <v>22</v>
      </c>
      <c r="N29" s="9" t="s">
        <v>22</v>
      </c>
      <c r="O29" s="9">
        <f t="shared" si="13"/>
        <v>9.4028730453840748E-2</v>
      </c>
      <c r="P29" s="9">
        <f t="shared" si="13"/>
        <v>6.6442030526457696E-2</v>
      </c>
      <c r="Q29" s="9">
        <f t="shared" si="13"/>
        <v>2.5867978884670295E-2</v>
      </c>
    </row>
    <row r="30" spans="1:17" ht="17.100000000000001" customHeight="1" x14ac:dyDescent="0.25">
      <c r="A30" s="1" t="s">
        <v>32</v>
      </c>
      <c r="B30" s="2">
        <v>27759</v>
      </c>
      <c r="C30" s="2">
        <v>110513.03</v>
      </c>
      <c r="D30" s="2">
        <v>73950.574999999997</v>
      </c>
      <c r="E30" s="2">
        <v>4148427</v>
      </c>
      <c r="F30" s="2">
        <v>11026.258781</v>
      </c>
      <c r="G30" s="2">
        <v>13754.803464000002</v>
      </c>
      <c r="H30" s="3">
        <v>80.162968593907337</v>
      </c>
      <c r="I30" s="4">
        <v>16193.879999999997</v>
      </c>
      <c r="J30" s="4">
        <v>11.837</v>
      </c>
      <c r="K30" s="4">
        <v>16205.716999999997</v>
      </c>
      <c r="L30" s="4">
        <v>965.83051083700002</v>
      </c>
      <c r="M30" s="4">
        <v>44.302828012999996</v>
      </c>
      <c r="N30" s="10">
        <v>2.0812008900000002E-2</v>
      </c>
      <c r="O30" s="4">
        <v>1010.1585201890001</v>
      </c>
      <c r="P30" s="4">
        <v>1260.0275541240001</v>
      </c>
      <c r="Q30" s="3">
        <v>80.16955794996764</v>
      </c>
    </row>
    <row r="31" spans="1:17" ht="17.100000000000001" customHeight="1" x14ac:dyDescent="0.25">
      <c r="A31" s="5" t="s">
        <v>21</v>
      </c>
      <c r="B31" s="8">
        <f t="shared" ref="B31:Q31" si="14">(B30-B27)/B27</f>
        <v>4.3179255918827507E-2</v>
      </c>
      <c r="C31" s="8">
        <f t="shared" si="14"/>
        <v>7.5099544425560771E-2</v>
      </c>
      <c r="D31" s="8">
        <f t="shared" si="14"/>
        <v>6.1298899199776803E-2</v>
      </c>
      <c r="E31" s="8">
        <f t="shared" si="14"/>
        <v>0.10364084178803339</v>
      </c>
      <c r="F31" s="8">
        <f t="shared" si="14"/>
        <v>0.11247199134613008</v>
      </c>
      <c r="G31" s="8">
        <f t="shared" si="14"/>
        <v>6.1298472181575699E-2</v>
      </c>
      <c r="H31" s="8">
        <f t="shared" si="14"/>
        <v>4.8217839284516645E-2</v>
      </c>
      <c r="I31" s="8">
        <f t="shared" si="14"/>
        <v>0.15761874472709109</v>
      </c>
      <c r="J31" s="8">
        <f t="shared" si="14"/>
        <v>0.40099420049710022</v>
      </c>
      <c r="K31" s="8">
        <f t="shared" si="14"/>
        <v>0.15776564902342238</v>
      </c>
      <c r="L31" s="8">
        <f t="shared" si="14"/>
        <v>1.9646623515940292E-2</v>
      </c>
      <c r="M31" s="8">
        <f t="shared" si="14"/>
        <v>0.1591897078112624</v>
      </c>
      <c r="N31" s="8">
        <f t="shared" si="14"/>
        <v>1.1765138551288284E-2</v>
      </c>
      <c r="O31" s="8">
        <f t="shared" si="14"/>
        <v>2.5062748034121559E-2</v>
      </c>
      <c r="P31" s="8">
        <f t="shared" si="14"/>
        <v>7.1522183001694415E-3</v>
      </c>
      <c r="Q31" s="8">
        <f t="shared" si="14"/>
        <v>1.7783339408397155E-2</v>
      </c>
    </row>
    <row r="32" spans="1:17" ht="17.100000000000001" customHeight="1" x14ac:dyDescent="0.25">
      <c r="A32" s="7" t="s">
        <v>23</v>
      </c>
      <c r="B32" s="9">
        <f>(((B30/B6)^(1/8))-1)</f>
        <v>4.6100778830017841E-2</v>
      </c>
      <c r="C32" s="9">
        <f t="shared" ref="C32:Q32" si="15">(((C30/C6)^(1/8))-1)</f>
        <v>6.5236319349544658E-2</v>
      </c>
      <c r="D32" s="9">
        <f t="shared" si="15"/>
        <v>6.6750538376860291E-2</v>
      </c>
      <c r="E32" s="9">
        <f t="shared" si="15"/>
        <v>8.727705447268197E-2</v>
      </c>
      <c r="F32" s="9">
        <f t="shared" si="15"/>
        <v>9.2937997254402438E-2</v>
      </c>
      <c r="G32" s="9">
        <f t="shared" si="15"/>
        <v>7.4739578838839194E-2</v>
      </c>
      <c r="H32" s="9">
        <f t="shared" si="15"/>
        <v>1.6932863340926696E-2</v>
      </c>
      <c r="I32" s="9" t="s">
        <v>22</v>
      </c>
      <c r="J32" s="9" t="s">
        <v>22</v>
      </c>
      <c r="K32" s="9" t="s">
        <v>22</v>
      </c>
      <c r="L32" s="9">
        <f t="shared" si="15"/>
        <v>7.9090493127346839E-2</v>
      </c>
      <c r="M32" s="9" t="s">
        <v>22</v>
      </c>
      <c r="N32" s="9" t="s">
        <v>22</v>
      </c>
      <c r="O32" s="9">
        <f t="shared" si="15"/>
        <v>8.5160414302665632E-2</v>
      </c>
      <c r="P32" s="9">
        <f t="shared" si="15"/>
        <v>5.8844013850180454E-2</v>
      </c>
      <c r="Q32" s="9">
        <f t="shared" si="15"/>
        <v>2.4853897371335476E-2</v>
      </c>
    </row>
    <row r="33" spans="1:17" ht="17.100000000000001" customHeight="1" x14ac:dyDescent="0.25">
      <c r="A33" s="11" t="s">
        <v>34</v>
      </c>
      <c r="B33" s="2">
        <v>29531</v>
      </c>
      <c r="C33" s="2">
        <v>116981.49000000005</v>
      </c>
      <c r="D33" s="2">
        <v>78209.034</v>
      </c>
      <c r="E33" s="2">
        <v>4648162</v>
      </c>
      <c r="F33" s="2">
        <v>12242.024616999999</v>
      </c>
      <c r="G33" s="2">
        <v>14546.879764000001</v>
      </c>
      <c r="H33" s="3">
        <v>84.155673351312359</v>
      </c>
      <c r="I33" s="4">
        <v>22552.885999999999</v>
      </c>
      <c r="J33" s="4">
        <v>11.107000000000001</v>
      </c>
      <c r="K33" s="4">
        <v>22563.993000000002</v>
      </c>
      <c r="L33" s="4">
        <v>1107.9605328940002</v>
      </c>
      <c r="M33" s="4">
        <v>62.308979075000003</v>
      </c>
      <c r="N33" s="10">
        <v>2.4473668000000001E-2</v>
      </c>
      <c r="O33" s="4">
        <v>1170.2939856370001</v>
      </c>
      <c r="P33" s="4">
        <v>1341.9517089800001</v>
      </c>
      <c r="Q33" s="3">
        <v>87.208353162464036</v>
      </c>
    </row>
    <row r="34" spans="1:17" ht="17.100000000000001" customHeight="1" x14ac:dyDescent="0.25">
      <c r="A34" s="5" t="s">
        <v>21</v>
      </c>
      <c r="B34" s="8">
        <f>(B33-B30)/B30</f>
        <v>6.3835152563132672E-2</v>
      </c>
      <c r="C34" s="8">
        <f t="shared" ref="C34:Q34" si="16">(C33-C30)/C30</f>
        <v>5.8531197633437886E-2</v>
      </c>
      <c r="D34" s="8">
        <f t="shared" si="16"/>
        <v>5.7585204712742297E-2</v>
      </c>
      <c r="E34" s="8">
        <f t="shared" si="16"/>
        <v>0.12046373239784622</v>
      </c>
      <c r="F34" s="8">
        <f t="shared" si="16"/>
        <v>0.11026095615449882</v>
      </c>
      <c r="G34" s="8">
        <f t="shared" si="16"/>
        <v>5.7585432032749448E-2</v>
      </c>
      <c r="H34" s="8">
        <f t="shared" si="16"/>
        <v>4.9807346552139559E-2</v>
      </c>
      <c r="I34" s="8">
        <f t="shared" si="16"/>
        <v>0.39267958018708315</v>
      </c>
      <c r="J34" s="8">
        <f t="shared" si="16"/>
        <v>-6.1671031511362565E-2</v>
      </c>
      <c r="K34" s="8">
        <f t="shared" si="16"/>
        <v>0.39234771284726289</v>
      </c>
      <c r="L34" s="8">
        <f t="shared" si="16"/>
        <v>0.14715834762129082</v>
      </c>
      <c r="M34" s="8">
        <f t="shared" si="16"/>
        <v>0.4064334461158185</v>
      </c>
      <c r="N34" s="8">
        <f t="shared" si="16"/>
        <v>0.1759397239158397</v>
      </c>
      <c r="O34" s="8">
        <f t="shared" si="16"/>
        <v>0.15852508516983921</v>
      </c>
      <c r="P34" s="8">
        <f t="shared" si="16"/>
        <v>6.5017748689595631E-2</v>
      </c>
      <c r="Q34" s="8">
        <f t="shared" si="16"/>
        <v>8.7798852737708488E-2</v>
      </c>
    </row>
    <row r="35" spans="1:17" ht="17.100000000000001" customHeight="1" x14ac:dyDescent="0.25">
      <c r="A35" s="7" t="s">
        <v>23</v>
      </c>
      <c r="B35" s="9">
        <f>(((B33/B6)^(1/9))-1)</f>
        <v>4.8056574549918407E-2</v>
      </c>
      <c r="C35" s="9">
        <f t="shared" ref="C35:Q35" si="17">(((C33/C6)^(1/9))-1)</f>
        <v>6.4489213313497773E-2</v>
      </c>
      <c r="D35" s="9">
        <f t="shared" si="17"/>
        <v>6.5728258063739498E-2</v>
      </c>
      <c r="E35" s="9">
        <f t="shared" si="17"/>
        <v>9.0915381612004964E-2</v>
      </c>
      <c r="F35" s="9">
        <f t="shared" si="17"/>
        <v>9.4849345373986038E-2</v>
      </c>
      <c r="G35" s="9">
        <f t="shared" si="17"/>
        <v>7.2819904023080806E-2</v>
      </c>
      <c r="H35" s="9">
        <f t="shared" si="17"/>
        <v>2.053414675500953E-2</v>
      </c>
      <c r="I35" s="9" t="s">
        <v>22</v>
      </c>
      <c r="J35" s="9">
        <f>-K100</f>
        <v>0</v>
      </c>
      <c r="K35" s="9" t="s">
        <v>22</v>
      </c>
      <c r="L35" s="9">
        <f t="shared" si="17"/>
        <v>8.6449611554900052E-2</v>
      </c>
      <c r="M35" s="9" t="s">
        <v>22</v>
      </c>
      <c r="N35" s="9" t="s">
        <v>22</v>
      </c>
      <c r="O35" s="9">
        <f t="shared" si="17"/>
        <v>9.3077049722767313E-2</v>
      </c>
      <c r="P35" s="9">
        <f t="shared" si="17"/>
        <v>5.9528213266413887E-2</v>
      </c>
      <c r="Q35" s="9">
        <f t="shared" si="17"/>
        <v>3.1663938757162446E-2</v>
      </c>
    </row>
    <row r="36" spans="1:17" ht="17.100000000000001" customHeight="1" x14ac:dyDescent="0.25">
      <c r="A36" s="11" t="s">
        <v>37</v>
      </c>
      <c r="B36" s="2">
        <v>12879</v>
      </c>
      <c r="C36" s="2">
        <v>47970.670000000006</v>
      </c>
      <c r="D36" s="2">
        <v>32257.052580645162</v>
      </c>
      <c r="E36" s="2">
        <v>1444283</v>
      </c>
      <c r="F36" s="2">
        <v>3954.3915439999996</v>
      </c>
      <c r="G36" s="2">
        <v>5985.2288760000001</v>
      </c>
      <c r="H36" s="3">
        <v>66.069178404465077</v>
      </c>
      <c r="I36" s="4">
        <v>12171.398999999999</v>
      </c>
      <c r="J36" s="4">
        <v>51.954999999999998</v>
      </c>
      <c r="K36" s="4">
        <v>12223.353999999999</v>
      </c>
      <c r="L36" s="4">
        <v>272.82293911099998</v>
      </c>
      <c r="M36" s="4">
        <v>34.25210011299999</v>
      </c>
      <c r="N36" s="10">
        <v>0.151426854</v>
      </c>
      <c r="O36" s="4">
        <v>307.22646607799999</v>
      </c>
      <c r="P36" s="4">
        <v>385.08555359799999</v>
      </c>
      <c r="Q36" s="3">
        <v>79.781353314209497</v>
      </c>
    </row>
    <row r="37" spans="1:17" ht="17.100000000000001" customHeight="1" x14ac:dyDescent="0.25">
      <c r="A37" s="5" t="s">
        <v>21</v>
      </c>
      <c r="B37" s="8">
        <f>(B36-B33)/B33</f>
        <v>-0.56388202228167006</v>
      </c>
      <c r="C37" s="8">
        <f t="shared" ref="C37:Q37" si="18">(C36-C33)/C33</f>
        <v>-0.58992939823214774</v>
      </c>
      <c r="D37" s="8">
        <f t="shared" si="18"/>
        <v>-0.58755336908207867</v>
      </c>
      <c r="E37" s="8">
        <f t="shared" si="18"/>
        <v>-0.68927868693044692</v>
      </c>
      <c r="F37" s="8">
        <f t="shared" si="18"/>
        <v>-0.67698222575792744</v>
      </c>
      <c r="G37" s="8">
        <f t="shared" si="18"/>
        <v>-0.58855582962801478</v>
      </c>
      <c r="H37" s="8">
        <f t="shared" si="18"/>
        <v>-0.21491711998244303</v>
      </c>
      <c r="I37" s="8">
        <f t="shared" si="18"/>
        <v>-0.46031745116789041</v>
      </c>
      <c r="J37" s="8">
        <f t="shared" si="18"/>
        <v>3.677680741874493</v>
      </c>
      <c r="K37" s="8">
        <f t="shared" si="18"/>
        <v>-0.45828054458268985</v>
      </c>
      <c r="L37" s="8">
        <f t="shared" si="18"/>
        <v>-0.75376113948898105</v>
      </c>
      <c r="M37" s="8">
        <f t="shared" si="18"/>
        <v>-0.45028628904717793</v>
      </c>
      <c r="N37" s="8">
        <f t="shared" si="18"/>
        <v>5.1873379176345775</v>
      </c>
      <c r="O37" s="8">
        <f t="shared" si="18"/>
        <v>-0.73747924038866686</v>
      </c>
      <c r="P37" s="8">
        <f t="shared" si="18"/>
        <v>-0.71304067723070419</v>
      </c>
      <c r="Q37" s="8">
        <f t="shared" si="18"/>
        <v>-8.5163858494363198E-2</v>
      </c>
    </row>
    <row r="38" spans="1:17" ht="17.100000000000001" customHeight="1" x14ac:dyDescent="0.25">
      <c r="A38" s="7" t="s">
        <v>23</v>
      </c>
      <c r="B38" s="9">
        <f>(((B36/B6)^(1/10))-1)</f>
        <v>-3.9921701685666E-2</v>
      </c>
      <c r="C38" s="9">
        <f t="shared" ref="C38:Q38" si="19">(((C36/C6)^(1/10))-1)</f>
        <v>-3.2361806373622626E-2</v>
      </c>
      <c r="D38" s="9">
        <f t="shared" si="19"/>
        <v>-3.0788386787049093E-2</v>
      </c>
      <c r="E38" s="9">
        <f t="shared" si="19"/>
        <v>-3.7836089498733183E-2</v>
      </c>
      <c r="F38" s="9">
        <f t="shared" si="19"/>
        <v>-3.0960302233682624E-2</v>
      </c>
      <c r="G38" s="9">
        <f t="shared" si="19"/>
        <v>-2.5223094087396647E-2</v>
      </c>
      <c r="H38" s="9">
        <f t="shared" si="19"/>
        <v>-5.8856627721547428E-3</v>
      </c>
      <c r="I38" s="9" t="s">
        <v>22</v>
      </c>
      <c r="J38" s="9" t="s">
        <v>22</v>
      </c>
      <c r="K38" s="9" t="s">
        <v>22</v>
      </c>
      <c r="L38" s="9">
        <f t="shared" si="19"/>
        <v>-6.3421272661437489E-2</v>
      </c>
      <c r="M38" s="9" t="s">
        <v>22</v>
      </c>
      <c r="N38" s="9" t="s">
        <v>22</v>
      </c>
      <c r="O38" s="9">
        <f t="shared" si="19"/>
        <v>-5.2231951389273501E-2</v>
      </c>
      <c r="P38" s="9">
        <f t="shared" si="19"/>
        <v>-7.02133484410572E-2</v>
      </c>
      <c r="Q38" s="9">
        <f t="shared" si="19"/>
        <v>1.9339272102513849E-2</v>
      </c>
    </row>
    <row r="39" spans="1:17" x14ac:dyDescent="0.25">
      <c r="A39" s="22" t="s">
        <v>33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x14ac:dyDescent="0.25">
      <c r="A40" s="24" t="s">
        <v>36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1:17" x14ac:dyDescent="0.25">
      <c r="A41" s="26" t="s">
        <v>38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 spans="1:17" x14ac:dyDescent="0.25">
      <c r="J42" s="12"/>
      <c r="K42" s="12"/>
      <c r="L42" s="12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89" orientation="landscape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2022-04-25T07:00:51Z</cp:lastPrinted>
  <dcterms:created xsi:type="dcterms:W3CDTF">2020-06-05T08:00:46Z</dcterms:created>
  <dcterms:modified xsi:type="dcterms:W3CDTF">2022-04-25T07:01:02Z</dcterms:modified>
</cp:coreProperties>
</file>