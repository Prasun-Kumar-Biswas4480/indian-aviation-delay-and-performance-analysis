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Annual Publication FY 2021-22\25-11-2022 (Revised)\12-12-2022\EXCEL\SCHEDULED NATIONAL AIRLINES\"/>
    </mc:Choice>
  </mc:AlternateContent>
  <bookViews>
    <workbookView showHorizontalScroll="0" showVerticalScroll="0" showSheetTabs="0" xWindow="0" yWindow="0" windowWidth="24000" windowHeight="10725"/>
  </bookViews>
  <sheets>
    <sheet name="2017-18" sheetId="1" r:id="rId1"/>
    <sheet name="2018-19" sheetId="2" r:id="rId2"/>
  </sheets>
  <definedNames>
    <definedName name="_xlnm.Print_Area" localSheetId="0">'2017-18'!$A$1:$Q$40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8" i="1" l="1"/>
  <c r="B35" i="1"/>
  <c r="B32" i="1"/>
  <c r="B29" i="1"/>
  <c r="B26" i="1"/>
  <c r="B23" i="1"/>
  <c r="B20" i="1"/>
  <c r="B17" i="1"/>
  <c r="B14" i="1"/>
  <c r="B11" i="1"/>
  <c r="H11" i="1"/>
  <c r="G11" i="1"/>
  <c r="C11" i="1"/>
  <c r="C38" i="1" l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D11" i="1"/>
  <c r="E11" i="1"/>
  <c r="F11" i="1"/>
  <c r="I11" i="1"/>
  <c r="J11" i="1"/>
  <c r="K11" i="1"/>
  <c r="L11" i="1"/>
  <c r="M11" i="1"/>
  <c r="N11" i="1"/>
  <c r="O11" i="1"/>
  <c r="P11" i="1"/>
  <c r="Q11" i="1"/>
  <c r="Q37" i="1" l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Q13" i="1" l="1"/>
  <c r="Q10" i="1"/>
  <c r="H31" i="1"/>
  <c r="H10" i="1" l="1"/>
  <c r="Q19" i="1"/>
  <c r="Q34" i="1"/>
  <c r="H19" i="1"/>
  <c r="Q25" i="1"/>
  <c r="H13" i="1"/>
  <c r="H34" i="1"/>
  <c r="Q28" i="1"/>
  <c r="Q31" i="1"/>
  <c r="Q22" i="1"/>
  <c r="Q16" i="1"/>
  <c r="H28" i="1"/>
  <c r="H22" i="1"/>
  <c r="H16" i="1"/>
  <c r="H25" i="1"/>
  <c r="I31" i="1"/>
  <c r="J31" i="1"/>
  <c r="K31" i="1"/>
  <c r="L31" i="1"/>
  <c r="M31" i="1"/>
  <c r="N31" i="1"/>
  <c r="O31" i="1"/>
  <c r="P31" i="1"/>
  <c r="I28" i="1"/>
  <c r="J28" i="1"/>
  <c r="K28" i="1"/>
  <c r="L28" i="1"/>
  <c r="M28" i="1"/>
  <c r="N28" i="1"/>
  <c r="O28" i="1"/>
  <c r="P28" i="1"/>
  <c r="I25" i="1"/>
  <c r="J25" i="1"/>
  <c r="K25" i="1"/>
  <c r="L25" i="1"/>
  <c r="M25" i="1"/>
  <c r="N25" i="1"/>
  <c r="O25" i="1"/>
  <c r="P25" i="1"/>
  <c r="I22" i="1"/>
  <c r="J22" i="1"/>
  <c r="K22" i="1"/>
  <c r="L22" i="1"/>
  <c r="M22" i="1"/>
  <c r="N22" i="1"/>
  <c r="O22" i="1"/>
  <c r="P22" i="1"/>
  <c r="I19" i="1"/>
  <c r="J19" i="1"/>
  <c r="K19" i="1"/>
  <c r="L19" i="1"/>
  <c r="M19" i="1"/>
  <c r="N19" i="1"/>
  <c r="O19" i="1"/>
  <c r="P19" i="1"/>
  <c r="I16" i="1"/>
  <c r="J16" i="1"/>
  <c r="K16" i="1"/>
  <c r="L16" i="1"/>
  <c r="M16" i="1"/>
  <c r="N16" i="1"/>
  <c r="O16" i="1"/>
  <c r="P16" i="1"/>
  <c r="I13" i="1"/>
  <c r="J13" i="1"/>
  <c r="K13" i="1"/>
  <c r="L13" i="1"/>
  <c r="M13" i="1"/>
  <c r="N13" i="1"/>
  <c r="O13" i="1"/>
  <c r="P13" i="1"/>
  <c r="I10" i="1"/>
  <c r="J10" i="1"/>
  <c r="K10" i="1"/>
  <c r="L10" i="1"/>
  <c r="M10" i="1"/>
  <c r="N10" i="1"/>
  <c r="O10" i="1"/>
  <c r="P10" i="1"/>
  <c r="P36" i="2" l="1"/>
  <c r="O36" i="2"/>
  <c r="N36" i="2"/>
  <c r="N38" i="2" s="1"/>
  <c r="M36" i="2"/>
  <c r="M38" i="2" s="1"/>
  <c r="L36" i="2"/>
  <c r="G36" i="2"/>
  <c r="F36" i="2"/>
  <c r="Q33" i="2"/>
  <c r="Q35" i="2" s="1"/>
  <c r="H33" i="2"/>
  <c r="Q30" i="2"/>
  <c r="H30" i="2"/>
  <c r="Q27" i="2"/>
  <c r="Q31" i="2" s="1"/>
  <c r="H27" i="2"/>
  <c r="Q24" i="2"/>
  <c r="H24" i="2"/>
  <c r="Q21" i="2"/>
  <c r="Q23" i="2" s="1"/>
  <c r="H21" i="2"/>
  <c r="Q18" i="2"/>
  <c r="H18" i="2"/>
  <c r="H22" i="2" s="1"/>
  <c r="Q15" i="2"/>
  <c r="Q19" i="2" s="1"/>
  <c r="H15" i="2"/>
  <c r="Q12" i="2"/>
  <c r="H12" i="2"/>
  <c r="Q9" i="2"/>
  <c r="Q13" i="2" s="1"/>
  <c r="H9" i="2"/>
  <c r="Q6" i="2"/>
  <c r="H6" i="2"/>
  <c r="H35" i="2" s="1"/>
  <c r="I35" i="2"/>
  <c r="J35" i="2"/>
  <c r="K35" i="2"/>
  <c r="L35" i="2"/>
  <c r="M35" i="2"/>
  <c r="N35" i="2"/>
  <c r="O35" i="2"/>
  <c r="P35" i="2"/>
  <c r="I34" i="2"/>
  <c r="J34" i="2"/>
  <c r="K34" i="2"/>
  <c r="L34" i="2"/>
  <c r="M34" i="2"/>
  <c r="N34" i="2"/>
  <c r="O34" i="2"/>
  <c r="P34" i="2"/>
  <c r="I32" i="2"/>
  <c r="J32" i="2"/>
  <c r="K32" i="2"/>
  <c r="L32" i="2"/>
  <c r="M32" i="2"/>
  <c r="N32" i="2"/>
  <c r="O32" i="2"/>
  <c r="P32" i="2"/>
  <c r="Q32" i="2"/>
  <c r="I31" i="2"/>
  <c r="J31" i="2"/>
  <c r="K31" i="2"/>
  <c r="L31" i="2"/>
  <c r="M31" i="2"/>
  <c r="N31" i="2"/>
  <c r="O31" i="2"/>
  <c r="P31" i="2"/>
  <c r="I29" i="2"/>
  <c r="J29" i="2"/>
  <c r="K29" i="2"/>
  <c r="L29" i="2"/>
  <c r="M29" i="2"/>
  <c r="N29" i="2"/>
  <c r="O29" i="2"/>
  <c r="P29" i="2"/>
  <c r="H28" i="2"/>
  <c r="I28" i="2"/>
  <c r="J28" i="2"/>
  <c r="K28" i="2"/>
  <c r="L28" i="2"/>
  <c r="M28" i="2"/>
  <c r="N28" i="2"/>
  <c r="O28" i="2"/>
  <c r="P28" i="2"/>
  <c r="Q28" i="2"/>
  <c r="I26" i="2"/>
  <c r="J26" i="2"/>
  <c r="K26" i="2"/>
  <c r="L26" i="2"/>
  <c r="M26" i="2"/>
  <c r="N26" i="2"/>
  <c r="O26" i="2"/>
  <c r="P26" i="2"/>
  <c r="Q26" i="2"/>
  <c r="H25" i="2"/>
  <c r="I25" i="2"/>
  <c r="J25" i="2"/>
  <c r="K25" i="2"/>
  <c r="L25" i="2"/>
  <c r="M25" i="2"/>
  <c r="N25" i="2"/>
  <c r="O25" i="2"/>
  <c r="P25" i="2"/>
  <c r="I23" i="2"/>
  <c r="J23" i="2"/>
  <c r="K23" i="2"/>
  <c r="L23" i="2"/>
  <c r="M23" i="2"/>
  <c r="N23" i="2"/>
  <c r="O23" i="2"/>
  <c r="P23" i="2"/>
  <c r="I22" i="2"/>
  <c r="J22" i="2"/>
  <c r="K22" i="2"/>
  <c r="L22" i="2"/>
  <c r="M22" i="2"/>
  <c r="N22" i="2"/>
  <c r="O22" i="2"/>
  <c r="P22" i="2"/>
  <c r="Q22" i="2"/>
  <c r="I20" i="2"/>
  <c r="J20" i="2"/>
  <c r="K20" i="2"/>
  <c r="L20" i="2"/>
  <c r="M20" i="2"/>
  <c r="N20" i="2"/>
  <c r="O20" i="2"/>
  <c r="P20" i="2"/>
  <c r="Q20" i="2"/>
  <c r="I19" i="2"/>
  <c r="J19" i="2"/>
  <c r="K19" i="2"/>
  <c r="L19" i="2"/>
  <c r="M19" i="2"/>
  <c r="N19" i="2"/>
  <c r="O19" i="2"/>
  <c r="P19" i="2"/>
  <c r="H17" i="2"/>
  <c r="I17" i="2"/>
  <c r="J17" i="2"/>
  <c r="K17" i="2"/>
  <c r="L17" i="2"/>
  <c r="M17" i="2"/>
  <c r="N17" i="2"/>
  <c r="O17" i="2"/>
  <c r="P17" i="2"/>
  <c r="Q17" i="2"/>
  <c r="H16" i="2"/>
  <c r="I16" i="2"/>
  <c r="J16" i="2"/>
  <c r="K16" i="2"/>
  <c r="L16" i="2"/>
  <c r="M16" i="2"/>
  <c r="N16" i="2"/>
  <c r="O16" i="2"/>
  <c r="P16" i="2"/>
  <c r="I14" i="2"/>
  <c r="J14" i="2"/>
  <c r="K14" i="2"/>
  <c r="L14" i="2"/>
  <c r="M14" i="2"/>
  <c r="N14" i="2"/>
  <c r="O14" i="2"/>
  <c r="P14" i="2"/>
  <c r="Q14" i="2"/>
  <c r="H13" i="2"/>
  <c r="I13" i="2"/>
  <c r="J13" i="2"/>
  <c r="K13" i="2"/>
  <c r="L13" i="2"/>
  <c r="M13" i="2"/>
  <c r="N13" i="2"/>
  <c r="O13" i="2"/>
  <c r="P13" i="2"/>
  <c r="I11" i="2"/>
  <c r="J11" i="2"/>
  <c r="K11" i="2"/>
  <c r="L11" i="2"/>
  <c r="M11" i="2"/>
  <c r="N11" i="2"/>
  <c r="O11" i="2"/>
  <c r="P11" i="2"/>
  <c r="I10" i="2"/>
  <c r="J10" i="2"/>
  <c r="K10" i="2"/>
  <c r="L10" i="2"/>
  <c r="M10" i="2"/>
  <c r="N10" i="2"/>
  <c r="O10" i="2"/>
  <c r="P10" i="2"/>
  <c r="Q36" i="2"/>
  <c r="Q38" i="2" s="1"/>
  <c r="H36" i="2"/>
  <c r="P38" i="2"/>
  <c r="O38" i="2"/>
  <c r="L38" i="2"/>
  <c r="K38" i="2"/>
  <c r="J38" i="2"/>
  <c r="I38" i="2"/>
  <c r="G38" i="2"/>
  <c r="F38" i="2"/>
  <c r="E38" i="2"/>
  <c r="D38" i="2"/>
  <c r="C38" i="2"/>
  <c r="B38" i="2"/>
  <c r="P37" i="2"/>
  <c r="O37" i="2"/>
  <c r="L37" i="2"/>
  <c r="K37" i="2"/>
  <c r="J37" i="2"/>
  <c r="I37" i="2"/>
  <c r="H37" i="2"/>
  <c r="G37" i="2"/>
  <c r="F37" i="2"/>
  <c r="E37" i="2"/>
  <c r="D37" i="2"/>
  <c r="C37" i="2"/>
  <c r="B37" i="2"/>
  <c r="G35" i="2"/>
  <c r="F35" i="2"/>
  <c r="E35" i="2"/>
  <c r="D35" i="2"/>
  <c r="C35" i="2"/>
  <c r="B35" i="2"/>
  <c r="G34" i="2"/>
  <c r="F34" i="2"/>
  <c r="E34" i="2"/>
  <c r="D34" i="2"/>
  <c r="C34" i="2"/>
  <c r="B34" i="2"/>
  <c r="G32" i="2"/>
  <c r="F32" i="2"/>
  <c r="E32" i="2"/>
  <c r="D32" i="2"/>
  <c r="C32" i="2"/>
  <c r="B32" i="2"/>
  <c r="G31" i="2"/>
  <c r="F31" i="2"/>
  <c r="E31" i="2"/>
  <c r="D31" i="2"/>
  <c r="C31" i="2"/>
  <c r="B31" i="2"/>
  <c r="G29" i="2"/>
  <c r="F29" i="2"/>
  <c r="E29" i="2"/>
  <c r="D29" i="2"/>
  <c r="C29" i="2"/>
  <c r="B29" i="2"/>
  <c r="G28" i="2"/>
  <c r="F28" i="2"/>
  <c r="E28" i="2"/>
  <c r="D28" i="2"/>
  <c r="C28" i="2"/>
  <c r="B28" i="2"/>
  <c r="G26" i="2"/>
  <c r="F26" i="2"/>
  <c r="E26" i="2"/>
  <c r="D26" i="2"/>
  <c r="C26" i="2"/>
  <c r="B26" i="2"/>
  <c r="G25" i="2"/>
  <c r="F25" i="2"/>
  <c r="E25" i="2"/>
  <c r="D25" i="2"/>
  <c r="C25" i="2"/>
  <c r="B25" i="2"/>
  <c r="G23" i="2"/>
  <c r="F23" i="2"/>
  <c r="E23" i="2"/>
  <c r="D23" i="2"/>
  <c r="C23" i="2"/>
  <c r="B23" i="2"/>
  <c r="G22" i="2"/>
  <c r="F22" i="2"/>
  <c r="E22" i="2"/>
  <c r="D22" i="2"/>
  <c r="C22" i="2"/>
  <c r="B22" i="2"/>
  <c r="G20" i="2"/>
  <c r="F20" i="2"/>
  <c r="E20" i="2"/>
  <c r="D20" i="2"/>
  <c r="C20" i="2"/>
  <c r="B20" i="2"/>
  <c r="G19" i="2"/>
  <c r="F19" i="2"/>
  <c r="E19" i="2"/>
  <c r="D19" i="2"/>
  <c r="C19" i="2"/>
  <c r="B19" i="2"/>
  <c r="G17" i="2"/>
  <c r="F17" i="2"/>
  <c r="E17" i="2"/>
  <c r="D17" i="2"/>
  <c r="C17" i="2"/>
  <c r="B17" i="2"/>
  <c r="G16" i="2"/>
  <c r="F16" i="2"/>
  <c r="E16" i="2"/>
  <c r="D16" i="2"/>
  <c r="C16" i="2"/>
  <c r="B16" i="2"/>
  <c r="G14" i="2"/>
  <c r="F14" i="2"/>
  <c r="E14" i="2"/>
  <c r="D14" i="2"/>
  <c r="C14" i="2"/>
  <c r="B14" i="2"/>
  <c r="G13" i="2"/>
  <c r="F13" i="2"/>
  <c r="E13" i="2"/>
  <c r="D13" i="2"/>
  <c r="C13" i="2"/>
  <c r="B13" i="2"/>
  <c r="G11" i="2"/>
  <c r="F11" i="2"/>
  <c r="E11" i="2"/>
  <c r="D11" i="2"/>
  <c r="C11" i="2"/>
  <c r="B11" i="2"/>
  <c r="G10" i="2"/>
  <c r="F10" i="2"/>
  <c r="E10" i="2"/>
  <c r="D10" i="2"/>
  <c r="C10" i="2"/>
  <c r="B10" i="2"/>
  <c r="M37" i="2" l="1"/>
  <c r="Q25" i="2"/>
  <c r="H32" i="2"/>
  <c r="Q16" i="2"/>
  <c r="Q29" i="2"/>
  <c r="Q11" i="2"/>
  <c r="Q10" i="2"/>
  <c r="H10" i="2"/>
  <c r="H23" i="2"/>
  <c r="H29" i="2"/>
  <c r="H11" i="2"/>
  <c r="N37" i="2"/>
  <c r="H19" i="2"/>
  <c r="H38" i="2"/>
  <c r="H26" i="2"/>
  <c r="Q34" i="2"/>
  <c r="Q37" i="2"/>
  <c r="H14" i="2"/>
  <c r="H20" i="2"/>
  <c r="H34" i="2"/>
  <c r="H31" i="2"/>
  <c r="C34" i="1"/>
  <c r="D34" i="1"/>
  <c r="E34" i="1"/>
  <c r="F34" i="1"/>
  <c r="G34" i="1"/>
  <c r="I34" i="1"/>
  <c r="J34" i="1"/>
  <c r="K34" i="1"/>
  <c r="L34" i="1"/>
  <c r="M34" i="1"/>
  <c r="N34" i="1"/>
  <c r="O34" i="1"/>
  <c r="P34" i="1"/>
  <c r="C31" i="1"/>
  <c r="D31" i="1"/>
  <c r="E31" i="1"/>
  <c r="F31" i="1"/>
  <c r="G31" i="1"/>
  <c r="C28" i="1"/>
  <c r="D28" i="1"/>
  <c r="E28" i="1"/>
  <c r="F28" i="1"/>
  <c r="G28" i="1"/>
  <c r="C25" i="1"/>
  <c r="D25" i="1"/>
  <c r="E25" i="1"/>
  <c r="F25" i="1"/>
  <c r="G25" i="1"/>
  <c r="C22" i="1"/>
  <c r="D22" i="1"/>
  <c r="E22" i="1"/>
  <c r="F22" i="1"/>
  <c r="G22" i="1"/>
  <c r="C19" i="1"/>
  <c r="D19" i="1"/>
  <c r="E19" i="1"/>
  <c r="F19" i="1"/>
  <c r="G19" i="1"/>
  <c r="C16" i="1"/>
  <c r="D16" i="1"/>
  <c r="E16" i="1"/>
  <c r="F16" i="1"/>
  <c r="G16" i="1"/>
  <c r="C13" i="1"/>
  <c r="D13" i="1"/>
  <c r="E13" i="1"/>
  <c r="F13" i="1"/>
  <c r="G13" i="1"/>
  <c r="C10" i="1"/>
  <c r="D10" i="1"/>
  <c r="E10" i="1"/>
  <c r="F10" i="1"/>
  <c r="G10" i="1"/>
  <c r="B34" i="1"/>
  <c r="B31" i="1"/>
  <c r="B28" i="1"/>
  <c r="B25" i="1"/>
  <c r="B22" i="1"/>
  <c r="B19" i="1"/>
  <c r="B16" i="1"/>
  <c r="B13" i="1"/>
  <c r="B10" i="1"/>
</calcChain>
</file>

<file path=xl/sharedStrings.xml><?xml version="1.0" encoding="utf-8"?>
<sst xmlns="http://schemas.openxmlformats.org/spreadsheetml/2006/main" count="150" uniqueCount="46">
  <si>
    <t>YEAR-WISE DETAILS OF ANNUAL TRAFFIC AND OPERATING STATISTICS ON SCHEDULED (INTERNATIONAL+DOMESTIC) SERVICES OF ALL SCHEDULED INDIAN AIRLINES</t>
  </si>
  <si>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</si>
  <si>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</si>
  <si>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</si>
  <si>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</si>
  <si>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</si>
  <si>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</si>
  <si>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</si>
  <si>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</si>
  <si>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</si>
  <si>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</si>
  <si>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</si>
  <si>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</si>
  <si>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</si>
  <si>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</si>
  <si>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</si>
  <si>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</si>
  <si>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</si>
  <si>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</si>
  <si>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</si>
  <si>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</si>
  <si>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</si>
  <si>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</si>
  <si>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</si>
  <si>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</si>
  <si>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</si>
  <si>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</si>
  <si>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</si>
  <si>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</si>
  <si>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</si>
  <si>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 xml:space="preserve">SOURCE: ICAO ATR FORM 'A' FURNISHED BY ALL SCHEDULED INDIAN AIRLINES </t>
  </si>
  <si>
    <t>Growth</t>
  </si>
  <si>
    <t>-</t>
  </si>
  <si>
    <t>CAGR</t>
  </si>
  <si>
    <t xml:space="preserve"> तालिका- 1.06 (सभी अनुसूचित भारतीय एयरलाइन्स) </t>
  </si>
  <si>
    <t>TABLE - 1.06 (ALL SCHEDULED INDIAN AIRLINES)</t>
  </si>
  <si>
    <t>2018-19</t>
  </si>
  <si>
    <t xml:space="preserve">SOURCE: ICAO ATR FORM 'A' FURNISHED BY ALL SCHEDULED NATIONAL AIRLINES </t>
  </si>
  <si>
    <t>2019-20</t>
  </si>
  <si>
    <t>2020-21*</t>
  </si>
  <si>
    <t>* DENOTES that THE INTERNATIONAL OPERATIONS BY SCHEDULED INDIAN OPERATORS WERE CARRIED AS PER DGCA’S CIRCULAR DATED 26.03.2020 UNDER COVID-19 RESTRICTION.</t>
  </si>
  <si>
    <t>2021-22</t>
  </si>
  <si>
    <t>Note: Growth has been calculated with respect to preceeding year while Compound Annual Growth Rate (CAGR) has been calculating taking 2011-12 as a Base Year</t>
  </si>
  <si>
    <t>TABLE - 1.06 (SCHEDULED NATIONAL AIRLINES)</t>
  </si>
  <si>
    <t>YEAR ON YEAR GROWTH AND CAGR FOR LAST TEN YEARS OF SCHEDULED NATIONAL AIRLINES ON TOTAL (DOMESTIC + INTERNATIONAL) SCHEDULED SERVICES (ALL AIR TRAFFIC AND OPERATING STATISTICS)</t>
  </si>
  <si>
    <t xml:space="preserve"> तालिका- 1.06 (अनुसूचित राष्ट्रीय एयरलाइन्स)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</si>
</sst>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0.0%"/>
    <numFmt numFmtId="166" formatCode="_(* #,##0_);_(* \(#,##0\);_(* &quot;-&quot;??_);_(@_)"/>
    <numFmt numFmtId="167" formatCode="_(* #,##0.0_);_(* \(#,##0.0\);_(* &quot;-&quot;??_);_(@_)"/>
    <numFmt numFmtId="168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color theme="0" tint="-4.9989318521683403E-2"/>
      <name val="Calibri"/>
      <family val="2"/>
      <scheme val="minor"/>
    </font>
    <font>
      <sz val="10.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4" fillId="0" borderId="0" applyFont="0" applyFill="0" applyBorder="0" applyAlignment="0" applyProtection="0"/>
    <xf numFmtId="0" fontId="5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6" borderId="0" applyNumberFormat="0" applyBorder="0" applyAlignment="0" applyProtection="0"/>
    <xf numFmtId="164" fontId="4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Font="1"/>
    <xf numFmtId="0" fontId="0" fillId="0" borderId="0" xfId="0" applyFont="1" applyBorder="1"/>
    <xf numFmtId="0" fontId="5" fillId="3" borderId="1" xfId="2" applyBorder="1" applyAlignment="1" applyProtection="1">
      <alignment horizontal="center" vertical="center" textRotation="90" wrapText="1"/>
    </xf>
    <xf numFmtId="0" fontId="4" fillId="4" borderId="1" xfId="3" applyBorder="1" applyAlignment="1" applyProtection="1">
      <alignment horizontal="center" vertical="center" wrapText="1"/>
    </xf>
    <xf numFmtId="3" fontId="4" fillId="4" borderId="1" xfId="3" applyNumberFormat="1" applyBorder="1" applyAlignment="1" applyProtection="1">
      <alignment horizontal="center" vertical="center" wrapText="1"/>
    </xf>
    <xf numFmtId="0" fontId="5" fillId="6" borderId="1" xfId="5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165" fontId="3" fillId="2" borderId="1" xfId="1" applyNumberFormat="1" applyFont="1" applyFill="1" applyBorder="1" applyAlignment="1" applyProtection="1">
      <alignment horizontal="right" vertical="center" wrapText="1"/>
    </xf>
    <xf numFmtId="165" fontId="4" fillId="4" borderId="1" xfId="1" applyNumberFormat="1" applyFill="1" applyBorder="1" applyAlignment="1" applyProtection="1">
      <alignment horizontal="right" vertical="center" wrapText="1"/>
    </xf>
    <xf numFmtId="165" fontId="4" fillId="4" borderId="1" xfId="3" applyNumberFormat="1" applyBorder="1" applyAlignment="1" applyProtection="1">
      <alignment horizontal="right" vertical="center" wrapText="1"/>
    </xf>
    <xf numFmtId="165" fontId="5" fillId="6" borderId="1" xfId="1" applyNumberFormat="1" applyFont="1" applyFill="1" applyBorder="1" applyAlignment="1" applyProtection="1">
      <alignment horizontal="center" vertical="center" wrapText="1"/>
    </xf>
    <xf numFmtId="167" fontId="5" fillId="6" borderId="1" xfId="6" applyNumberFormat="1" applyFont="1" applyFill="1" applyBorder="1" applyAlignment="1" applyProtection="1">
      <alignment horizontal="center" vertical="center" wrapText="1"/>
    </xf>
    <xf numFmtId="166" fontId="5" fillId="6" borderId="1" xfId="6" applyNumberFormat="1" applyFont="1" applyFill="1" applyBorder="1" applyAlignment="1" applyProtection="1">
      <alignment horizontal="center" vertical="center" wrapText="1"/>
    </xf>
    <xf numFmtId="168" fontId="5" fillId="6" borderId="1" xfId="5" applyNumberFormat="1" applyBorder="1" applyAlignment="1" applyProtection="1">
      <alignment horizontal="center" vertical="center" wrapText="1"/>
    </xf>
    <xf numFmtId="1" fontId="5" fillId="6" borderId="1" xfId="5" applyNumberFormat="1" applyBorder="1" applyAlignment="1" applyProtection="1">
      <alignment horizontal="center" vertical="center" wrapText="1"/>
    </xf>
    <xf numFmtId="168" fontId="7" fillId="7" borderId="1" xfId="1" applyNumberFormat="1" applyFont="1" applyFill="1" applyBorder="1" applyAlignment="1" applyProtection="1">
      <alignment horizontal="center" vertical="center" wrapText="1"/>
    </xf>
    <xf numFmtId="165" fontId="6" fillId="8" borderId="1" xfId="1" applyNumberFormat="1" applyFont="1" applyFill="1" applyBorder="1" applyAlignment="1" applyProtection="1">
      <alignment horizontal="center" vertical="center" wrapText="1"/>
    </xf>
    <xf numFmtId="165" fontId="8" fillId="2" borderId="1" xfId="1" applyNumberFormat="1" applyFont="1" applyFill="1" applyBorder="1" applyAlignment="1" applyProtection="1">
      <alignment horizontal="center" vertical="center" wrapText="1"/>
    </xf>
    <xf numFmtId="0" fontId="3" fillId="3" borderId="1" xfId="2" applyFont="1" applyBorder="1" applyAlignment="1" applyProtection="1">
      <alignment horizontal="center" vertical="center" textRotation="90" wrapText="1"/>
    </xf>
    <xf numFmtId="165" fontId="4" fillId="4" borderId="1" xfId="1" applyNumberFormat="1" applyFill="1" applyBorder="1" applyAlignment="1" applyProtection="1">
      <alignment horizontal="center" vertical="center" wrapText="1"/>
    </xf>
    <xf numFmtId="165" fontId="3" fillId="2" borderId="1" xfId="1" applyNumberFormat="1" applyFont="1" applyFill="1" applyBorder="1" applyAlignment="1" applyProtection="1">
      <alignment horizontal="center" vertical="center" wrapText="1"/>
    </xf>
    <xf numFmtId="165" fontId="4" fillId="4" borderId="1" xfId="3" applyNumberFormat="1" applyBorder="1" applyAlignment="1" applyProtection="1">
      <alignment horizontal="center" vertical="center" wrapText="1"/>
    </xf>
    <xf numFmtId="0" fontId="0" fillId="0" borderId="0" xfId="0" applyFont="1" applyAlignment="1">
      <alignment horizontal="center"/>
    </xf>
    <xf numFmtId="3" fontId="0" fillId="0" borderId="0" xfId="0" applyNumberFormat="1" applyFont="1"/>
    <xf numFmtId="0" fontId="3" fillId="5" borderId="1" xfId="4" applyFont="1" applyBorder="1" applyAlignment="1">
      <alignment horizontal="center" vertical="center" wrapText="1"/>
    </xf>
    <xf numFmtId="0" fontId="3" fillId="5" borderId="1" xfId="4" applyFont="1" applyBorder="1" applyAlignment="1">
      <alignment horizontal="center" vertical="center"/>
    </xf>
    <xf numFmtId="0" fontId="3" fillId="5" borderId="1" xfId="4" quotePrefix="1" applyFont="1" applyBorder="1" applyAlignment="1" applyProtection="1">
      <alignment horizontal="center" vertical="center" wrapText="1"/>
    </xf>
    <xf numFmtId="0" fontId="3" fillId="5" borderId="1" xfId="4" applyFont="1" applyBorder="1"/>
    <xf numFmtId="0" fontId="3" fillId="3" borderId="1" xfId="2" applyFont="1" applyBorder="1" applyAlignment="1" applyProtection="1">
      <alignment horizontal="center" vertical="center" wrapText="1"/>
    </xf>
    <xf numFmtId="0" fontId="3" fillId="3" borderId="1" xfId="2" applyFont="1" applyBorder="1"/>
    <xf numFmtId="0" fontId="3" fillId="3" borderId="1" xfId="2" applyFont="1" applyBorder="1" applyAlignment="1">
      <alignment horizontal="center"/>
    </xf>
    <xf numFmtId="0" fontId="3" fillId="3" borderId="1" xfId="2" applyFont="1" applyBorder="1" applyAlignment="1" applyProtection="1">
      <alignment horizontal="center" vertical="center" textRotation="90" wrapText="1"/>
    </xf>
    <xf numFmtId="0" fontId="3" fillId="3" borderId="1" xfId="2" applyFont="1" applyBorder="1" applyAlignment="1">
      <alignment horizontal="center" textRotation="90"/>
    </xf>
    <xf numFmtId="0" fontId="1" fillId="0" borderId="3" xfId="0" applyFont="1" applyBorder="1" applyAlignment="1">
      <alignment horizontal="left" wrapText="1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5" fillId="3" borderId="1" xfId="2" applyBorder="1" applyAlignment="1" applyProtection="1">
      <alignment horizontal="center" vertical="center" textRotation="90" wrapText="1"/>
    </xf>
    <xf numFmtId="0" fontId="5" fillId="3" borderId="1" xfId="2" applyBorder="1" applyAlignment="1">
      <alignment textRotation="90"/>
    </xf>
    <xf numFmtId="0" fontId="2" fillId="2" borderId="2" xfId="0" applyFont="1" applyFill="1" applyBorder="1" applyAlignment="1" applyProtection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0" fillId="5" borderId="1" xfId="4" applyFont="1" applyBorder="1" applyAlignment="1">
      <alignment horizontal="center" vertical="center" wrapText="1"/>
    </xf>
    <xf numFmtId="0" fontId="4" fillId="5" borderId="1" xfId="4" applyBorder="1" applyAlignment="1">
      <alignment horizontal="center" vertical="center" wrapText="1"/>
    </xf>
    <xf numFmtId="0" fontId="0" fillId="5" borderId="1" xfId="4" quotePrefix="1" applyFont="1" applyBorder="1" applyAlignment="1" applyProtection="1">
      <alignment horizontal="center" vertical="center" wrapText="1"/>
    </xf>
    <xf numFmtId="0" fontId="4" fillId="5" borderId="1" xfId="4" applyBorder="1"/>
    <xf numFmtId="0" fontId="5" fillId="3" borderId="1" xfId="2" applyBorder="1" applyAlignment="1" applyProtection="1">
      <alignment horizontal="center" vertical="center" wrapText="1"/>
    </xf>
    <xf numFmtId="0" fontId="5" fillId="3" borderId="1" xfId="2" applyBorder="1"/>
  </cellXfs>
  <cellStyles count="7">
    <cellStyle name="20% - Accent1" xfId="3" builtinId="30"/>
    <cellStyle name="40% - Accent1" xfId="4" builtinId="31"/>
    <cellStyle name="60% - Accent1" xfId="5" builtinId="32"/>
    <cellStyle name="Accent1" xfId="2" builtinId="29"/>
    <cellStyle name="Comma" xfId="6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AG41"/>
  <sheetViews>
    <sheetView tabSelected="1" zoomScaleNormal="100" zoomScaleSheetLayoutView="100" workbookViewId="0">
      <selection activeCell="S4" sqref="S4"/>
    </sheetView>
  </sheetViews>
  <sheetFormatPr defaultColWidth="9.140625" defaultRowHeight="15" x14ac:dyDescent="0.25"/>
  <cols>
    <col min="1" max="1" width="8.85546875" style="1" customWidth="1"/>
    <col min="2" max="2" width="9" style="24" customWidth="1"/>
    <col min="3" max="3" width="9.140625" style="24" customWidth="1"/>
    <col min="4" max="4" width="9" style="24" customWidth="1"/>
    <col min="5" max="5" width="10.5703125" style="24" customWidth="1"/>
    <col min="6" max="6" width="9.140625" style="24" customWidth="1"/>
    <col min="7" max="7" width="9.28515625" style="24" customWidth="1"/>
    <col min="8" max="8" width="7.42578125" style="24" customWidth="1"/>
    <col min="9" max="9" width="10.7109375" style="24" customWidth="1"/>
    <col min="10" max="10" width="9.42578125" style="24" customWidth="1"/>
    <col min="11" max="11" width="10.140625" style="24" customWidth="1"/>
    <col min="12" max="12" width="8.7109375" style="24" customWidth="1"/>
    <col min="13" max="13" width="7.5703125" style="24" customWidth="1"/>
    <col min="14" max="14" width="10.28515625" style="24" customWidth="1"/>
    <col min="15" max="16" width="8.7109375" style="24" customWidth="1"/>
    <col min="17" max="17" width="8" style="24" customWidth="1"/>
    <col min="18" max="20" width="9.140625" style="1"/>
    <col min="21" max="21" width="10.85546875" style="1" customWidth="1"/>
    <col min="22" max="16384" width="9.140625" style="1"/>
  </cols>
  <sheetData>
    <row r="1" spans="1:33" ht="24" customHeight="1" x14ac:dyDescent="0.25">
      <c r="A1" s="26" t="s">
        <v>45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</row>
    <row r="2" spans="1:33" ht="21" customHeight="1" x14ac:dyDescent="0.25">
      <c r="A2" s="28" t="s">
        <v>43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</row>
    <row r="3" spans="1:33" ht="32.25" customHeight="1" x14ac:dyDescent="0.25">
      <c r="A3" s="30" t="s">
        <v>44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</row>
    <row r="4" spans="1:33" ht="15" customHeight="1" x14ac:dyDescent="0.25">
      <c r="A4" s="30" t="s">
        <v>1</v>
      </c>
      <c r="B4" s="30" t="s">
        <v>2</v>
      </c>
      <c r="C4" s="30"/>
      <c r="D4" s="30"/>
      <c r="E4" s="30" t="s">
        <v>3</v>
      </c>
      <c r="F4" s="32"/>
      <c r="G4" s="33" t="s">
        <v>4</v>
      </c>
      <c r="H4" s="33" t="s">
        <v>5</v>
      </c>
      <c r="I4" s="30" t="s">
        <v>6</v>
      </c>
      <c r="J4" s="30"/>
      <c r="K4" s="30"/>
      <c r="L4" s="30" t="s">
        <v>7</v>
      </c>
      <c r="M4" s="30"/>
      <c r="N4" s="30"/>
      <c r="O4" s="30"/>
      <c r="P4" s="33" t="s">
        <v>8</v>
      </c>
      <c r="Q4" s="33" t="s">
        <v>9</v>
      </c>
    </row>
    <row r="5" spans="1:33" ht="132" customHeight="1" x14ac:dyDescent="0.25">
      <c r="A5" s="30"/>
      <c r="B5" s="20" t="s">
        <v>10</v>
      </c>
      <c r="C5" s="20" t="s">
        <v>11</v>
      </c>
      <c r="D5" s="20" t="s">
        <v>12</v>
      </c>
      <c r="E5" s="20" t="s">
        <v>13</v>
      </c>
      <c r="F5" s="20" t="s">
        <v>14</v>
      </c>
      <c r="G5" s="34"/>
      <c r="H5" s="34"/>
      <c r="I5" s="20" t="s">
        <v>15</v>
      </c>
      <c r="J5" s="20" t="s">
        <v>16</v>
      </c>
      <c r="K5" s="20" t="s">
        <v>17</v>
      </c>
      <c r="L5" s="20" t="s">
        <v>18</v>
      </c>
      <c r="M5" s="20" t="s">
        <v>19</v>
      </c>
      <c r="N5" s="20" t="s">
        <v>16</v>
      </c>
      <c r="O5" s="20" t="s">
        <v>17</v>
      </c>
      <c r="P5" s="34"/>
      <c r="Q5" s="34"/>
    </row>
    <row r="6" spans="1:33" ht="24.95" customHeight="1" x14ac:dyDescent="0.25">
      <c r="A6" s="6" t="s">
        <v>23</v>
      </c>
      <c r="B6" s="6">
        <v>167001</v>
      </c>
      <c r="C6" s="6">
        <v>425724.69</v>
      </c>
      <c r="D6" s="6">
        <v>267848</v>
      </c>
      <c r="E6" s="6">
        <v>16382812</v>
      </c>
      <c r="F6" s="16">
        <v>37144.184000000001</v>
      </c>
      <c r="G6" s="16">
        <v>53905.726999999999</v>
      </c>
      <c r="H6" s="17">
        <v>68.90582145381326</v>
      </c>
      <c r="I6" s="15">
        <v>153155.34</v>
      </c>
      <c r="J6" s="15">
        <v>13801</v>
      </c>
      <c r="K6" s="15">
        <v>166956.34</v>
      </c>
      <c r="L6" s="15">
        <v>3666.2860000000001</v>
      </c>
      <c r="M6" s="15">
        <v>571.63199999999995</v>
      </c>
      <c r="N6" s="15">
        <v>35.011000000000003</v>
      </c>
      <c r="O6" s="15">
        <v>4272.9290000000001</v>
      </c>
      <c r="P6" s="15">
        <v>7272.4380000000001</v>
      </c>
      <c r="Q6" s="17">
        <v>58.755110734529467</v>
      </c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</row>
    <row r="7" spans="1:33" ht="24.95" customHeight="1" x14ac:dyDescent="0.25">
      <c r="A7" s="4" t="s">
        <v>31</v>
      </c>
      <c r="B7" s="21"/>
      <c r="C7" s="21"/>
      <c r="D7" s="21"/>
      <c r="E7" s="21"/>
      <c r="F7" s="21"/>
      <c r="G7" s="21"/>
      <c r="H7" s="18"/>
      <c r="I7" s="21"/>
      <c r="J7" s="21"/>
      <c r="K7" s="21"/>
      <c r="L7" s="21"/>
      <c r="M7" s="21"/>
      <c r="N7" s="21"/>
      <c r="O7" s="21"/>
      <c r="P7" s="21"/>
      <c r="Q7" s="18"/>
    </row>
    <row r="8" spans="1:33" ht="24.95" customHeight="1" x14ac:dyDescent="0.25">
      <c r="A8" s="7" t="s">
        <v>33</v>
      </c>
      <c r="B8" s="22"/>
      <c r="C8" s="22"/>
      <c r="D8" s="22"/>
      <c r="E8" s="22"/>
      <c r="F8" s="22"/>
      <c r="G8" s="22"/>
      <c r="H8" s="19"/>
      <c r="I8" s="22"/>
      <c r="J8" s="22"/>
      <c r="K8" s="22"/>
      <c r="L8" s="22"/>
      <c r="M8" s="22"/>
      <c r="N8" s="22"/>
      <c r="O8" s="22"/>
      <c r="P8" s="22"/>
      <c r="Q8" s="19"/>
    </row>
    <row r="9" spans="1:33" ht="24.95" customHeight="1" x14ac:dyDescent="0.25">
      <c r="A9" s="6" t="s">
        <v>24</v>
      </c>
      <c r="B9" s="6">
        <v>154388</v>
      </c>
      <c r="C9" s="16">
        <v>374768</v>
      </c>
      <c r="D9" s="6">
        <v>241016</v>
      </c>
      <c r="E9" s="6">
        <v>16740338</v>
      </c>
      <c r="F9" s="16">
        <v>34716.107000000004</v>
      </c>
      <c r="G9" s="16">
        <v>47569.23</v>
      </c>
      <c r="H9" s="17">
        <v>72.980174369019636</v>
      </c>
      <c r="I9" s="15">
        <v>135451</v>
      </c>
      <c r="J9" s="15">
        <v>1772</v>
      </c>
      <c r="K9" s="15">
        <v>137223</v>
      </c>
      <c r="L9" s="15">
        <v>3405.2799785552465</v>
      </c>
      <c r="M9" s="15">
        <v>437.24200000000002</v>
      </c>
      <c r="N9" s="15">
        <v>38.304000000000002</v>
      </c>
      <c r="O9" s="15">
        <v>3880.8259785552468</v>
      </c>
      <c r="P9" s="15">
        <v>6316.3239766411789</v>
      </c>
      <c r="Q9" s="17">
        <v>61.441211579823793</v>
      </c>
    </row>
    <row r="10" spans="1:33" ht="24.95" customHeight="1" x14ac:dyDescent="0.25">
      <c r="A10" s="4" t="s">
        <v>31</v>
      </c>
      <c r="B10" s="21">
        <f>(B9-B6)/B6</f>
        <v>-7.5526493853330226E-2</v>
      </c>
      <c r="C10" s="21">
        <f t="shared" ref="C10:Q10" si="0">(C9-C6)/C6</f>
        <v>-0.11969399754569086</v>
      </c>
      <c r="D10" s="21">
        <f t="shared" si="0"/>
        <v>-0.10017621934828709</v>
      </c>
      <c r="E10" s="21">
        <f t="shared" si="0"/>
        <v>2.1823237671286223E-2</v>
      </c>
      <c r="F10" s="21">
        <f t="shared" si="0"/>
        <v>-6.5368968665457758E-2</v>
      </c>
      <c r="G10" s="21">
        <f t="shared" si="0"/>
        <v>-0.11754775146618458</v>
      </c>
      <c r="H10" s="18">
        <f t="shared" si="0"/>
        <v>5.9129298936481951E-2</v>
      </c>
      <c r="I10" s="21">
        <f t="shared" si="0"/>
        <v>-0.11559727528925859</v>
      </c>
      <c r="J10" s="21">
        <f t="shared" si="0"/>
        <v>-0.87160350699224698</v>
      </c>
      <c r="K10" s="21">
        <f t="shared" si="0"/>
        <v>-0.17809051156727559</v>
      </c>
      <c r="L10" s="21">
        <f t="shared" si="0"/>
        <v>-7.1190851298767607E-2</v>
      </c>
      <c r="M10" s="21">
        <f t="shared" si="0"/>
        <v>-0.23509880482548204</v>
      </c>
      <c r="N10" s="21">
        <f t="shared" si="0"/>
        <v>9.4056153780240473E-2</v>
      </c>
      <c r="O10" s="21">
        <f t="shared" si="0"/>
        <v>-9.1764459799063655E-2</v>
      </c>
      <c r="P10" s="21">
        <f t="shared" si="0"/>
        <v>-0.13147090746718243</v>
      </c>
      <c r="Q10" s="18">
        <f t="shared" si="0"/>
        <v>4.5716888483638696E-2</v>
      </c>
    </row>
    <row r="11" spans="1:33" ht="24.95" customHeight="1" x14ac:dyDescent="0.25">
      <c r="A11" s="7" t="s">
        <v>33</v>
      </c>
      <c r="B11" s="22">
        <f>(((B9/B6)^(1/1))-1)</f>
        <v>-7.5526493853330212E-2</v>
      </c>
      <c r="C11" s="22">
        <f>(((C9/C6)^(1/1))-1)</f>
        <v>-0.11969399754569088</v>
      </c>
      <c r="D11" s="22">
        <f t="shared" ref="D11:Q11" si="1">(((D9/D6)^(1/1))-1)</f>
        <v>-0.10017621934828713</v>
      </c>
      <c r="E11" s="22">
        <f t="shared" si="1"/>
        <v>2.1823237671286133E-2</v>
      </c>
      <c r="F11" s="22">
        <f t="shared" si="1"/>
        <v>-6.5368968665457716E-2</v>
      </c>
      <c r="G11" s="22">
        <f>(((G9/G6)^(1/1))-1)</f>
        <v>-0.11754775146618457</v>
      </c>
      <c r="H11" s="22">
        <f>(((H9/H6)^(1/1))-1)</f>
        <v>5.9129298936482E-2</v>
      </c>
      <c r="I11" s="22">
        <f t="shared" si="1"/>
        <v>-0.11559727528925856</v>
      </c>
      <c r="J11" s="22">
        <f t="shared" si="1"/>
        <v>-0.87160350699224698</v>
      </c>
      <c r="K11" s="22">
        <f t="shared" si="1"/>
        <v>-0.17809051156727562</v>
      </c>
      <c r="L11" s="22">
        <f t="shared" si="1"/>
        <v>-7.1190851298767566E-2</v>
      </c>
      <c r="M11" s="22">
        <f t="shared" si="1"/>
        <v>-0.23509880482548207</v>
      </c>
      <c r="N11" s="22">
        <f t="shared" si="1"/>
        <v>9.4056153780240459E-2</v>
      </c>
      <c r="O11" s="22">
        <f t="shared" si="1"/>
        <v>-9.1764459799063669E-2</v>
      </c>
      <c r="P11" s="22">
        <f t="shared" si="1"/>
        <v>-0.13147090746718237</v>
      </c>
      <c r="Q11" s="22">
        <f t="shared" si="1"/>
        <v>4.5716888483638751E-2</v>
      </c>
    </row>
    <row r="12" spans="1:33" ht="24.95" customHeight="1" x14ac:dyDescent="0.25">
      <c r="A12" s="6" t="s">
        <v>25</v>
      </c>
      <c r="B12" s="6">
        <v>166620</v>
      </c>
      <c r="C12" s="6">
        <v>424404</v>
      </c>
      <c r="D12" s="6">
        <v>265483.67099999997</v>
      </c>
      <c r="E12" s="6">
        <v>18437790</v>
      </c>
      <c r="F12" s="16">
        <v>39889.069889999999</v>
      </c>
      <c r="G12" s="16">
        <v>53653.977747999998</v>
      </c>
      <c r="H12" s="17">
        <v>74.345037524243764</v>
      </c>
      <c r="I12" s="15">
        <v>178355</v>
      </c>
      <c r="J12" s="15">
        <v>2429.7629999999999</v>
      </c>
      <c r="K12" s="15">
        <v>180784.76300000001</v>
      </c>
      <c r="L12" s="15">
        <v>3907.5915654672426</v>
      </c>
      <c r="M12" s="15">
        <v>612.33399999999995</v>
      </c>
      <c r="N12" s="15">
        <v>33.228999999999999</v>
      </c>
      <c r="O12" s="15">
        <v>4553.1545654672427</v>
      </c>
      <c r="P12" s="15">
        <v>7074.1511319608135</v>
      </c>
      <c r="Q12" s="17">
        <v>64.363263952564139</v>
      </c>
    </row>
    <row r="13" spans="1:33" ht="24.95" customHeight="1" x14ac:dyDescent="0.25">
      <c r="A13" s="4" t="s">
        <v>31</v>
      </c>
      <c r="B13" s="21">
        <f>(B12-B9)/B9</f>
        <v>7.9228955618312308E-2</v>
      </c>
      <c r="C13" s="21">
        <f t="shared" ref="C13:Q13" si="2">(C12-C9)/C9</f>
        <v>0.13244460572941127</v>
      </c>
      <c r="D13" s="21">
        <f t="shared" si="2"/>
        <v>0.10151886596740455</v>
      </c>
      <c r="E13" s="21">
        <f t="shared" si="2"/>
        <v>0.10139890843303163</v>
      </c>
      <c r="F13" s="21">
        <f t="shared" si="2"/>
        <v>0.14900757420755717</v>
      </c>
      <c r="G13" s="21">
        <f t="shared" si="2"/>
        <v>0.12791352199730779</v>
      </c>
      <c r="H13" s="18">
        <f t="shared" si="2"/>
        <v>1.8701834669821206E-2</v>
      </c>
      <c r="I13" s="21">
        <f t="shared" si="2"/>
        <v>0.31674923034898228</v>
      </c>
      <c r="J13" s="21">
        <f t="shared" si="2"/>
        <v>0.3711980812641083</v>
      </c>
      <c r="K13" s="21">
        <f t="shared" si="2"/>
        <v>0.31745234399481143</v>
      </c>
      <c r="L13" s="21">
        <f t="shared" si="2"/>
        <v>0.14750962918623542</v>
      </c>
      <c r="M13" s="21">
        <f t="shared" si="2"/>
        <v>0.40044643469748997</v>
      </c>
      <c r="N13" s="21">
        <f t="shared" si="2"/>
        <v>-0.13249269005847961</v>
      </c>
      <c r="O13" s="21">
        <f t="shared" si="2"/>
        <v>0.17324368333627016</v>
      </c>
      <c r="P13" s="21">
        <f t="shared" si="2"/>
        <v>0.11997914580097632</v>
      </c>
      <c r="Q13" s="18">
        <f t="shared" si="2"/>
        <v>4.7558508330260471E-2</v>
      </c>
    </row>
    <row r="14" spans="1:33" s="2" customFormat="1" ht="24.95" customHeight="1" x14ac:dyDescent="0.25">
      <c r="A14" s="7" t="s">
        <v>33</v>
      </c>
      <c r="B14" s="22">
        <f>(((B12/B6)^(1/2))-1)</f>
        <v>-1.1413630871134339E-3</v>
      </c>
      <c r="C14" s="22">
        <f t="shared" ref="C14:Q14" si="3">(((C12/C6)^(1/2))-1)</f>
        <v>-1.5523129023713444E-3</v>
      </c>
      <c r="D14" s="22">
        <f t="shared" si="3"/>
        <v>-4.4233477858285353E-3</v>
      </c>
      <c r="E14" s="22">
        <f t="shared" si="3"/>
        <v>6.0865212259625823E-2</v>
      </c>
      <c r="F14" s="22">
        <f t="shared" si="3"/>
        <v>3.629056451017143E-2</v>
      </c>
      <c r="G14" s="22">
        <f t="shared" si="3"/>
        <v>-2.3378208841334791E-3</v>
      </c>
      <c r="H14" s="22">
        <f t="shared" si="3"/>
        <v>3.871890325494487E-2</v>
      </c>
      <c r="I14" s="22">
        <f t="shared" si="3"/>
        <v>7.913697327142466E-2</v>
      </c>
      <c r="J14" s="22">
        <f t="shared" si="3"/>
        <v>-0.58040850240588582</v>
      </c>
      <c r="K14" s="22">
        <f t="shared" si="3"/>
        <v>4.0589535834023804E-2</v>
      </c>
      <c r="L14" s="22">
        <f t="shared" si="3"/>
        <v>3.2384347910667355E-2</v>
      </c>
      <c r="M14" s="22">
        <f t="shared" si="3"/>
        <v>3.4989445201255576E-2</v>
      </c>
      <c r="N14" s="22">
        <f t="shared" si="3"/>
        <v>-2.5781487092930044E-2</v>
      </c>
      <c r="O14" s="22">
        <f t="shared" si="3"/>
        <v>3.2270124784328669E-2</v>
      </c>
      <c r="P14" s="22">
        <f t="shared" si="3"/>
        <v>-1.3726979402659434E-2</v>
      </c>
      <c r="Q14" s="22">
        <f t="shared" si="3"/>
        <v>4.663729335222988E-2</v>
      </c>
    </row>
    <row r="15" spans="1:33" ht="24.95" customHeight="1" x14ac:dyDescent="0.25">
      <c r="A15" s="6" t="s">
        <v>26</v>
      </c>
      <c r="B15" s="6">
        <v>167386</v>
      </c>
      <c r="C15" s="6">
        <v>438711</v>
      </c>
      <c r="D15" s="16">
        <v>308218</v>
      </c>
      <c r="E15" s="6">
        <v>20157346</v>
      </c>
      <c r="F15" s="16">
        <v>42754.315000000002</v>
      </c>
      <c r="G15" s="16">
        <v>56935.334999999999</v>
      </c>
      <c r="H15" s="17">
        <v>75.09276093659588</v>
      </c>
      <c r="I15" s="15">
        <v>206131</v>
      </c>
      <c r="J15" s="15">
        <v>19464</v>
      </c>
      <c r="K15" s="15">
        <v>225595</v>
      </c>
      <c r="L15" s="15">
        <v>4048.3838500000002</v>
      </c>
      <c r="M15" s="15">
        <v>669.28488000000004</v>
      </c>
      <c r="N15" s="15">
        <v>38.158619999999999</v>
      </c>
      <c r="O15" s="15">
        <v>4755.3578199999993</v>
      </c>
      <c r="P15" s="15">
        <v>7246.7622699999993</v>
      </c>
      <c r="Q15" s="17">
        <v>65.620447350482763</v>
      </c>
    </row>
    <row r="16" spans="1:33" ht="24.95" customHeight="1" x14ac:dyDescent="0.25">
      <c r="A16" s="4" t="s">
        <v>31</v>
      </c>
      <c r="B16" s="23">
        <f>(B15-B12)/B12</f>
        <v>4.5972872404273198E-3</v>
      </c>
      <c r="C16" s="23">
        <f t="shared" ref="C16:Q16" si="4">(C15-C12)/C12</f>
        <v>3.3710803856702574E-2</v>
      </c>
      <c r="D16" s="23">
        <f t="shared" si="4"/>
        <v>0.16096782464636039</v>
      </c>
      <c r="E16" s="23">
        <f t="shared" si="4"/>
        <v>9.326258732744E-2</v>
      </c>
      <c r="F16" s="23">
        <f t="shared" si="4"/>
        <v>7.1830331414127729E-2</v>
      </c>
      <c r="G16" s="23">
        <f t="shared" si="4"/>
        <v>6.1157762941859747E-2</v>
      </c>
      <c r="H16" s="18">
        <f t="shared" si="4"/>
        <v>1.0057475754293414E-2</v>
      </c>
      <c r="I16" s="23">
        <f t="shared" si="4"/>
        <v>0.15573435003223907</v>
      </c>
      <c r="J16" s="23">
        <f t="shared" si="4"/>
        <v>7.0106578295907882</v>
      </c>
      <c r="K16" s="23">
        <f t="shared" si="4"/>
        <v>0.24786512013736464</v>
      </c>
      <c r="L16" s="23">
        <f t="shared" si="4"/>
        <v>3.6030450515091794E-2</v>
      </c>
      <c r="M16" s="23">
        <f t="shared" si="4"/>
        <v>9.300623515924332E-2</v>
      </c>
      <c r="N16" s="23">
        <f t="shared" si="4"/>
        <v>0.14835294471696409</v>
      </c>
      <c r="O16" s="23">
        <f t="shared" si="4"/>
        <v>4.440948613217275E-2</v>
      </c>
      <c r="P16" s="23">
        <f t="shared" si="4"/>
        <v>2.4400261574753977E-2</v>
      </c>
      <c r="Q16" s="18">
        <f t="shared" si="4"/>
        <v>1.9532623436331175E-2</v>
      </c>
    </row>
    <row r="17" spans="1:17" ht="24.95" customHeight="1" x14ac:dyDescent="0.25">
      <c r="A17" s="7" t="s">
        <v>33</v>
      </c>
      <c r="B17" s="22">
        <f>(((B15/B6)^(1/3))-1)</f>
        <v>7.6786869904821309E-4</v>
      </c>
      <c r="C17" s="22">
        <f t="shared" ref="C17:Q17" si="5">(((C15/C6)^(1/3))-1)</f>
        <v>1.0066332122898425E-2</v>
      </c>
      <c r="D17" s="22">
        <f t="shared" si="5"/>
        <v>4.7908098511626918E-2</v>
      </c>
      <c r="E17" s="22">
        <f t="shared" si="5"/>
        <v>7.1556235029484272E-2</v>
      </c>
      <c r="F17" s="22">
        <f t="shared" si="5"/>
        <v>4.8004249252465936E-2</v>
      </c>
      <c r="G17" s="22">
        <f t="shared" si="5"/>
        <v>1.8393591152616962E-2</v>
      </c>
      <c r="H17" s="22">
        <f t="shared" si="5"/>
        <v>2.9075848824162032E-2</v>
      </c>
      <c r="I17" s="22">
        <f t="shared" si="5"/>
        <v>0.10408808247158907</v>
      </c>
      <c r="J17" s="22">
        <f t="shared" si="5"/>
        <v>0.12143432958967404</v>
      </c>
      <c r="K17" s="22">
        <f t="shared" si="5"/>
        <v>0.10554269199198441</v>
      </c>
      <c r="L17" s="22">
        <f t="shared" si="5"/>
        <v>3.3598287462921261E-2</v>
      </c>
      <c r="M17" s="22">
        <f t="shared" si="5"/>
        <v>5.3977873622085726E-2</v>
      </c>
      <c r="N17" s="22">
        <f t="shared" si="5"/>
        <v>2.911217192311133E-2</v>
      </c>
      <c r="O17" s="22">
        <f t="shared" si="5"/>
        <v>3.6300819469492263E-2</v>
      </c>
      <c r="P17" s="22">
        <f t="shared" si="5"/>
        <v>-1.1782388023660051E-3</v>
      </c>
      <c r="Q17" s="22">
        <f t="shared" si="5"/>
        <v>3.7523269644144541E-2</v>
      </c>
    </row>
    <row r="18" spans="1:17" ht="24.95" customHeight="1" x14ac:dyDescent="0.25">
      <c r="A18" s="6" t="s">
        <v>27</v>
      </c>
      <c r="B18" s="6">
        <v>170913</v>
      </c>
      <c r="C18" s="6">
        <v>464663.48</v>
      </c>
      <c r="D18" s="6">
        <v>394878</v>
      </c>
      <c r="E18" s="6">
        <v>21660178</v>
      </c>
      <c r="F18" s="16">
        <v>45965.838000000003</v>
      </c>
      <c r="G18" s="16">
        <v>60121.743000000002</v>
      </c>
      <c r="H18" s="17">
        <v>76.454599794287404</v>
      </c>
      <c r="I18" s="15">
        <v>191773.66000000003</v>
      </c>
      <c r="J18" s="15">
        <v>19091.512000000002</v>
      </c>
      <c r="K18" s="15">
        <v>210865.17200000002</v>
      </c>
      <c r="L18" s="15">
        <v>4440.1644800000004</v>
      </c>
      <c r="M18" s="15">
        <v>579.51639</v>
      </c>
      <c r="N18" s="15">
        <v>36.425730000000001</v>
      </c>
      <c r="O18" s="15">
        <v>5056.0066999999999</v>
      </c>
      <c r="P18" s="15">
        <v>7704.5985400000009</v>
      </c>
      <c r="Q18" s="17">
        <v>65.623233627952274</v>
      </c>
    </row>
    <row r="19" spans="1:17" ht="24.95" customHeight="1" x14ac:dyDescent="0.25">
      <c r="A19" s="4" t="s">
        <v>31</v>
      </c>
      <c r="B19" s="23">
        <f>(B18-B15)/B15</f>
        <v>2.1071057316621462E-2</v>
      </c>
      <c r="C19" s="23">
        <f t="shared" ref="C19:Q19" si="6">(C18-C15)/C15</f>
        <v>5.9156209896720123E-2</v>
      </c>
      <c r="D19" s="23">
        <f t="shared" si="6"/>
        <v>0.28116463022925331</v>
      </c>
      <c r="E19" s="23">
        <f t="shared" si="6"/>
        <v>7.4555053031286955E-2</v>
      </c>
      <c r="F19" s="23">
        <f t="shared" si="6"/>
        <v>7.5115763169167862E-2</v>
      </c>
      <c r="G19" s="23">
        <f t="shared" si="6"/>
        <v>5.5965385994479581E-2</v>
      </c>
      <c r="H19" s="18">
        <f t="shared" si="6"/>
        <v>1.813542132032386E-2</v>
      </c>
      <c r="I19" s="23">
        <f t="shared" si="6"/>
        <v>-6.9651532278017222E-2</v>
      </c>
      <c r="J19" s="23">
        <f t="shared" si="6"/>
        <v>-1.913727907932581E-2</v>
      </c>
      <c r="K19" s="23">
        <f t="shared" si="6"/>
        <v>-6.5293237882045163E-2</v>
      </c>
      <c r="L19" s="23">
        <f t="shared" si="6"/>
        <v>9.677457585945072E-2</v>
      </c>
      <c r="M19" s="23">
        <f t="shared" si="6"/>
        <v>-0.13412597935874487</v>
      </c>
      <c r="N19" s="23">
        <f t="shared" si="6"/>
        <v>-4.5412805809015043E-2</v>
      </c>
      <c r="O19" s="23">
        <f t="shared" si="6"/>
        <v>6.3223187692740379E-2</v>
      </c>
      <c r="P19" s="23">
        <f t="shared" si="6"/>
        <v>6.3178044613846795E-2</v>
      </c>
      <c r="Q19" s="18">
        <f t="shared" si="6"/>
        <v>4.2460507082940209E-5</v>
      </c>
    </row>
    <row r="20" spans="1:17" ht="24.95" customHeight="1" x14ac:dyDescent="0.25">
      <c r="A20" s="7" t="s">
        <v>33</v>
      </c>
      <c r="B20" s="22">
        <f>(((B18/B6)^(1/4))-1)</f>
        <v>5.8055006494448502E-3</v>
      </c>
      <c r="C20" s="22">
        <f t="shared" ref="C20:Q20" si="7">(((C18/C6)^(1/4))-1)</f>
        <v>2.212126948649451E-2</v>
      </c>
      <c r="D20" s="22">
        <f t="shared" si="7"/>
        <v>0.10190367786036569</v>
      </c>
      <c r="E20" s="22">
        <f t="shared" si="7"/>
        <v>7.230515402606752E-2</v>
      </c>
      <c r="F20" s="22">
        <f t="shared" si="7"/>
        <v>5.4717349644356705E-2</v>
      </c>
      <c r="G20" s="22">
        <f t="shared" si="7"/>
        <v>2.7659316550465718E-2</v>
      </c>
      <c r="H20" s="22">
        <f t="shared" si="7"/>
        <v>2.6329769660159652E-2</v>
      </c>
      <c r="I20" s="22">
        <f t="shared" si="7"/>
        <v>5.7825917321756792E-2</v>
      </c>
      <c r="J20" s="22">
        <f t="shared" si="7"/>
        <v>8.4507206506852173E-2</v>
      </c>
      <c r="K20" s="22">
        <f t="shared" si="7"/>
        <v>6.010891009125352E-2</v>
      </c>
      <c r="L20" s="22">
        <f t="shared" si="7"/>
        <v>4.9042732563915559E-2</v>
      </c>
      <c r="M20" s="22">
        <f t="shared" si="7"/>
        <v>3.430500165305217E-3</v>
      </c>
      <c r="N20" s="22">
        <f t="shared" si="7"/>
        <v>9.9524735032900935E-3</v>
      </c>
      <c r="O20" s="22">
        <f t="shared" si="7"/>
        <v>4.2966816795592333E-2</v>
      </c>
      <c r="P20" s="22">
        <f t="shared" si="7"/>
        <v>1.453608041254606E-2</v>
      </c>
      <c r="Q20" s="22">
        <f t="shared" si="7"/>
        <v>2.8023386187985944E-2</v>
      </c>
    </row>
    <row r="21" spans="1:17" ht="24.95" customHeight="1" x14ac:dyDescent="0.25">
      <c r="A21" s="6" t="s">
        <v>28</v>
      </c>
      <c r="B21" s="6">
        <v>183836</v>
      </c>
      <c r="C21" s="6">
        <v>517943</v>
      </c>
      <c r="D21" s="6">
        <v>415227.06999999995</v>
      </c>
      <c r="E21" s="6">
        <v>23645329</v>
      </c>
      <c r="F21" s="16">
        <v>50472.79032</v>
      </c>
      <c r="G21" s="16">
        <v>66184.633359999993</v>
      </c>
      <c r="H21" s="17">
        <v>76.260587628342506</v>
      </c>
      <c r="I21" s="15">
        <v>188163.59999999998</v>
      </c>
      <c r="J21" s="15">
        <v>13205.804999999997</v>
      </c>
      <c r="K21" s="15">
        <v>201369.40500000003</v>
      </c>
      <c r="L21" s="15">
        <v>4904.3383719900003</v>
      </c>
      <c r="M21" s="15">
        <v>669.83970999999997</v>
      </c>
      <c r="N21" s="15">
        <v>30.316649999999996</v>
      </c>
      <c r="O21" s="15">
        <v>5604.4947319900011</v>
      </c>
      <c r="P21" s="15">
        <v>8394.7685004499963</v>
      </c>
      <c r="Q21" s="17">
        <v>66.761754438964886</v>
      </c>
    </row>
    <row r="22" spans="1:17" ht="24.95" customHeight="1" x14ac:dyDescent="0.25">
      <c r="A22" s="4" t="s">
        <v>31</v>
      </c>
      <c r="B22" s="23">
        <f>(B21-B18)/B18</f>
        <v>7.5611568458806525E-2</v>
      </c>
      <c r="C22" s="23">
        <f t="shared" ref="C22:Q22" si="8">(C21-C18)/C18</f>
        <v>0.11466259409928239</v>
      </c>
      <c r="D22" s="23">
        <f t="shared" si="8"/>
        <v>5.1532549293705772E-2</v>
      </c>
      <c r="E22" s="23">
        <f t="shared" si="8"/>
        <v>9.1649800846511975E-2</v>
      </c>
      <c r="F22" s="23">
        <f t="shared" si="8"/>
        <v>9.8050041424241979E-2</v>
      </c>
      <c r="G22" s="23">
        <f t="shared" si="8"/>
        <v>0.10084355604926475</v>
      </c>
      <c r="H22" s="18">
        <f t="shared" si="8"/>
        <v>-2.5376127331372682E-3</v>
      </c>
      <c r="I22" s="23">
        <f t="shared" si="8"/>
        <v>-1.882458727648028E-2</v>
      </c>
      <c r="J22" s="23">
        <f t="shared" si="8"/>
        <v>-0.30828920202862953</v>
      </c>
      <c r="K22" s="23">
        <f t="shared" si="8"/>
        <v>-4.5032410568019224E-2</v>
      </c>
      <c r="L22" s="23">
        <f t="shared" si="8"/>
        <v>0.10453979668563987</v>
      </c>
      <c r="M22" s="23">
        <f t="shared" si="8"/>
        <v>0.15585981959888998</v>
      </c>
      <c r="N22" s="23">
        <f t="shared" si="8"/>
        <v>-0.16771331693283856</v>
      </c>
      <c r="O22" s="23">
        <f t="shared" si="8"/>
        <v>0.10848245750742404</v>
      </c>
      <c r="P22" s="23">
        <f t="shared" si="8"/>
        <v>8.9578964675036177E-2</v>
      </c>
      <c r="Q22" s="18">
        <f t="shared" si="8"/>
        <v>1.7349355526541099E-2</v>
      </c>
    </row>
    <row r="23" spans="1:17" ht="24.95" customHeight="1" x14ac:dyDescent="0.25">
      <c r="A23" s="7" t="s">
        <v>33</v>
      </c>
      <c r="B23" s="22">
        <f>(((B21/B6)^(1/5))-1)</f>
        <v>1.9394528032770975E-2</v>
      </c>
      <c r="C23" s="22">
        <f t="shared" ref="C23:Q23" si="9">(((C21/C6)^(1/5))-1)</f>
        <v>3.9993502534088288E-2</v>
      </c>
      <c r="D23" s="22">
        <f t="shared" si="9"/>
        <v>9.164002370804547E-2</v>
      </c>
      <c r="E23" s="22">
        <f t="shared" si="9"/>
        <v>7.614646324809704E-2</v>
      </c>
      <c r="F23" s="22">
        <f t="shared" si="9"/>
        <v>6.3244876289654028E-2</v>
      </c>
      <c r="G23" s="22">
        <f t="shared" si="9"/>
        <v>4.189619493749519E-2</v>
      </c>
      <c r="H23" s="22">
        <f t="shared" si="9"/>
        <v>2.0490219136887644E-2</v>
      </c>
      <c r="I23" s="22">
        <f t="shared" si="9"/>
        <v>4.2031131273044808E-2</v>
      </c>
      <c r="J23" s="22">
        <f t="shared" si="9"/>
        <v>-8.7781545680606365E-3</v>
      </c>
      <c r="K23" s="22">
        <f t="shared" si="9"/>
        <v>3.8193042829317347E-2</v>
      </c>
      <c r="L23" s="22">
        <f t="shared" si="9"/>
        <v>5.9914460234116618E-2</v>
      </c>
      <c r="M23" s="22">
        <f t="shared" si="9"/>
        <v>3.2216677101246649E-2</v>
      </c>
      <c r="N23" s="22">
        <f t="shared" si="9"/>
        <v>-2.838247645543257E-2</v>
      </c>
      <c r="O23" s="22">
        <f t="shared" si="9"/>
        <v>5.5752595415723194E-2</v>
      </c>
      <c r="P23" s="22">
        <f t="shared" si="9"/>
        <v>2.9119338798554439E-2</v>
      </c>
      <c r="Q23" s="22">
        <f t="shared" si="9"/>
        <v>2.5879658085389501E-2</v>
      </c>
    </row>
    <row r="24" spans="1:17" ht="24.95" customHeight="1" x14ac:dyDescent="0.25">
      <c r="A24" s="6" t="s">
        <v>29</v>
      </c>
      <c r="B24" s="6">
        <v>203177</v>
      </c>
      <c r="C24" s="6">
        <v>576111.9</v>
      </c>
      <c r="D24" s="16">
        <v>454544.58999999997</v>
      </c>
      <c r="E24" s="6">
        <v>26343357</v>
      </c>
      <c r="F24" s="16">
        <v>56651.45210599999</v>
      </c>
      <c r="G24" s="16">
        <v>71648.325929999992</v>
      </c>
      <c r="H24" s="17">
        <v>79.068772885703069</v>
      </c>
      <c r="I24" s="15">
        <v>219561.90800000002</v>
      </c>
      <c r="J24" s="15">
        <v>14759.962000000001</v>
      </c>
      <c r="K24" s="15">
        <v>234321.87</v>
      </c>
      <c r="L24" s="15">
        <v>5567.1056799999988</v>
      </c>
      <c r="M24" s="15">
        <v>839.50873000000001</v>
      </c>
      <c r="N24" s="15">
        <v>39.574520099999994</v>
      </c>
      <c r="O24" s="15">
        <v>6446.1889301000001</v>
      </c>
      <c r="P24" s="15">
        <v>9124.0537099999983</v>
      </c>
      <c r="Q24" s="17">
        <v>70.650493026306421</v>
      </c>
    </row>
    <row r="25" spans="1:17" ht="24.95" customHeight="1" x14ac:dyDescent="0.25">
      <c r="A25" s="4" t="s">
        <v>31</v>
      </c>
      <c r="B25" s="23">
        <f>(B24-B21)/B21</f>
        <v>0.10520790269588111</v>
      </c>
      <c r="C25" s="23">
        <f t="shared" ref="C25:Q25" si="10">(C24-C21)/C21</f>
        <v>0.11230753190988202</v>
      </c>
      <c r="D25" s="23">
        <f t="shared" si="10"/>
        <v>9.4689202223737542E-2</v>
      </c>
      <c r="E25" s="23">
        <f t="shared" si="10"/>
        <v>0.11410405835334328</v>
      </c>
      <c r="F25" s="23">
        <f t="shared" si="10"/>
        <v>0.1224156965926981</v>
      </c>
      <c r="G25" s="23">
        <f t="shared" si="10"/>
        <v>8.2552282797748205E-2</v>
      </c>
      <c r="H25" s="18">
        <f t="shared" si="10"/>
        <v>3.6823546011031411E-2</v>
      </c>
      <c r="I25" s="23">
        <f t="shared" si="10"/>
        <v>0.16686706674404642</v>
      </c>
      <c r="J25" s="23">
        <f t="shared" si="10"/>
        <v>0.11768741095298658</v>
      </c>
      <c r="K25" s="23">
        <f t="shared" si="10"/>
        <v>0.16364186505889494</v>
      </c>
      <c r="L25" s="23">
        <f t="shared" si="10"/>
        <v>0.13513898465800023</v>
      </c>
      <c r="M25" s="23">
        <f t="shared" si="10"/>
        <v>0.25329794198077632</v>
      </c>
      <c r="N25" s="23">
        <f t="shared" si="10"/>
        <v>0.30537246364621418</v>
      </c>
      <c r="O25" s="23">
        <f t="shared" si="10"/>
        <v>0.15018199469537849</v>
      </c>
      <c r="P25" s="23">
        <f t="shared" si="10"/>
        <v>8.6873772577636788E-2</v>
      </c>
      <c r="Q25" s="18">
        <f t="shared" si="10"/>
        <v>5.8247998723531279E-2</v>
      </c>
    </row>
    <row r="26" spans="1:17" ht="24.95" customHeight="1" x14ac:dyDescent="0.25">
      <c r="A26" s="7" t="s">
        <v>33</v>
      </c>
      <c r="B26" s="22">
        <f>(((B24/B6)^(1/6))-1)</f>
        <v>3.321946333999648E-2</v>
      </c>
      <c r="C26" s="22">
        <f t="shared" ref="C26:Q26" si="11">(((C24/C6)^(1/6))-1)</f>
        <v>5.1710802356306873E-2</v>
      </c>
      <c r="D26" s="22">
        <f t="shared" si="11"/>
        <v>9.2147629677134635E-2</v>
      </c>
      <c r="E26" s="22">
        <f t="shared" si="11"/>
        <v>8.238170998162464E-2</v>
      </c>
      <c r="F26" s="22">
        <f t="shared" si="11"/>
        <v>7.2885487287800865E-2</v>
      </c>
      <c r="G26" s="22">
        <f t="shared" si="11"/>
        <v>4.8564596003517257E-2</v>
      </c>
      <c r="H26" s="22">
        <f t="shared" si="11"/>
        <v>2.3194461625902552E-2</v>
      </c>
      <c r="I26" s="22">
        <f t="shared" si="11"/>
        <v>6.1868673480766523E-2</v>
      </c>
      <c r="J26" s="22">
        <f t="shared" si="11"/>
        <v>1.1259110559815877E-2</v>
      </c>
      <c r="K26" s="22">
        <f t="shared" si="11"/>
        <v>5.8120150004377757E-2</v>
      </c>
      <c r="L26" s="22">
        <f t="shared" si="11"/>
        <v>7.2096440719014998E-2</v>
      </c>
      <c r="M26" s="22">
        <f t="shared" si="11"/>
        <v>6.6149515803857195E-2</v>
      </c>
      <c r="N26" s="22">
        <f t="shared" si="11"/>
        <v>2.0630455777310708E-2</v>
      </c>
      <c r="O26" s="22">
        <f t="shared" si="11"/>
        <v>7.0934457389624006E-2</v>
      </c>
      <c r="P26" s="22">
        <f t="shared" si="11"/>
        <v>3.8527420048610983E-2</v>
      </c>
      <c r="Q26" s="22">
        <f t="shared" si="11"/>
        <v>3.1204797018740349E-2</v>
      </c>
    </row>
    <row r="27" spans="1:17" ht="24.95" customHeight="1" x14ac:dyDescent="0.25">
      <c r="A27" s="6" t="s">
        <v>36</v>
      </c>
      <c r="B27" s="6">
        <v>219420</v>
      </c>
      <c r="C27" s="16">
        <v>630845.65269999998</v>
      </c>
      <c r="D27" s="16">
        <v>486700.58799999999</v>
      </c>
      <c r="E27" s="6">
        <v>28222788</v>
      </c>
      <c r="F27" s="16">
        <v>61087.11293399999</v>
      </c>
      <c r="G27" s="16">
        <v>77292.840451999989</v>
      </c>
      <c r="H27" s="17">
        <v>79.033339409923741</v>
      </c>
      <c r="I27" s="15">
        <v>232047.15554999997</v>
      </c>
      <c r="J27" s="15">
        <v>13706.612000000001</v>
      </c>
      <c r="K27" s="15">
        <v>245753.76754999996</v>
      </c>
      <c r="L27" s="15">
        <v>5916.0299949700011</v>
      </c>
      <c r="M27" s="15">
        <v>921.41599240840003</v>
      </c>
      <c r="N27" s="15">
        <v>38.025710374900001</v>
      </c>
      <c r="O27" s="15">
        <v>6875.4756564833988</v>
      </c>
      <c r="P27" s="15">
        <v>9731.4571649860009</v>
      </c>
      <c r="Q27" s="17">
        <v>70.652067207586484</v>
      </c>
    </row>
    <row r="28" spans="1:17" ht="24.95" customHeight="1" x14ac:dyDescent="0.25">
      <c r="A28" s="4" t="s">
        <v>31</v>
      </c>
      <c r="B28" s="23">
        <f>(B27-B24)/B24</f>
        <v>7.9945072522972574E-2</v>
      </c>
      <c r="C28" s="23">
        <f t="shared" ref="C28:Q28" si="12">(C27-C24)/C24</f>
        <v>9.5005419433273203E-2</v>
      </c>
      <c r="D28" s="23">
        <f t="shared" si="12"/>
        <v>7.074333015381401E-2</v>
      </c>
      <c r="E28" s="23">
        <f t="shared" si="12"/>
        <v>7.1343640827552846E-2</v>
      </c>
      <c r="F28" s="23">
        <f t="shared" si="12"/>
        <v>7.8297389795066105E-2</v>
      </c>
      <c r="G28" s="23">
        <f t="shared" si="12"/>
        <v>7.8780829122436946E-2</v>
      </c>
      <c r="H28" s="18">
        <f t="shared" si="12"/>
        <v>-4.4813488923811488E-4</v>
      </c>
      <c r="I28" s="23">
        <f t="shared" si="12"/>
        <v>5.6864360779739352E-2</v>
      </c>
      <c r="J28" s="23">
        <f t="shared" si="12"/>
        <v>-7.136535988371788E-2</v>
      </c>
      <c r="K28" s="23">
        <f t="shared" si="12"/>
        <v>4.8787155676079087E-2</v>
      </c>
      <c r="L28" s="23">
        <f t="shared" si="12"/>
        <v>6.2676071737514133E-2</v>
      </c>
      <c r="M28" s="23">
        <f t="shared" si="12"/>
        <v>9.7565706563170596E-2</v>
      </c>
      <c r="N28" s="23">
        <f t="shared" si="12"/>
        <v>-3.9136538388496921E-2</v>
      </c>
      <c r="O28" s="23">
        <f t="shared" si="12"/>
        <v>6.659543042228816E-2</v>
      </c>
      <c r="P28" s="23">
        <f t="shared" si="12"/>
        <v>6.6571665872624794E-2</v>
      </c>
      <c r="Q28" s="18">
        <f t="shared" si="12"/>
        <v>2.2281249749758478E-5</v>
      </c>
    </row>
    <row r="29" spans="1:17" ht="24.95" customHeight="1" x14ac:dyDescent="0.25">
      <c r="A29" s="7" t="s">
        <v>33</v>
      </c>
      <c r="B29" s="22">
        <f>(((B27/B6)^(1/7))-1)</f>
        <v>3.9768686477733128E-2</v>
      </c>
      <c r="C29" s="22">
        <f t="shared" ref="C29:Q29" si="13">(((C27/C6)^(1/7))-1)</f>
        <v>5.778933106493489E-2</v>
      </c>
      <c r="D29" s="22">
        <f t="shared" si="13"/>
        <v>8.9063873572255758E-2</v>
      </c>
      <c r="E29" s="22">
        <f t="shared" si="13"/>
        <v>8.0797907359535071E-2</v>
      </c>
      <c r="F29" s="22">
        <f t="shared" si="13"/>
        <v>7.3656950051087078E-2</v>
      </c>
      <c r="G29" s="22">
        <f t="shared" si="13"/>
        <v>5.2828822344721305E-2</v>
      </c>
      <c r="H29" s="22">
        <f t="shared" si="13"/>
        <v>1.9783014355534201E-2</v>
      </c>
      <c r="I29" s="22">
        <f t="shared" si="13"/>
        <v>6.1152323519217289E-2</v>
      </c>
      <c r="J29" s="22">
        <f t="shared" si="13"/>
        <v>-9.7990660078439706E-4</v>
      </c>
      <c r="K29" s="22">
        <f t="shared" si="13"/>
        <v>5.678179738692446E-2</v>
      </c>
      <c r="L29" s="22">
        <f t="shared" si="13"/>
        <v>7.0745578091098382E-2</v>
      </c>
      <c r="M29" s="22">
        <f t="shared" si="13"/>
        <v>7.0581877718364883E-2</v>
      </c>
      <c r="N29" s="22">
        <f t="shared" si="13"/>
        <v>1.1869926729047187E-2</v>
      </c>
      <c r="O29" s="22">
        <f t="shared" si="13"/>
        <v>7.0313517353040256E-2</v>
      </c>
      <c r="P29" s="22">
        <f t="shared" si="13"/>
        <v>4.2488135834293894E-2</v>
      </c>
      <c r="Q29" s="22">
        <f t="shared" si="13"/>
        <v>2.6691317207632181E-2</v>
      </c>
    </row>
    <row r="30" spans="1:17" ht="24.95" customHeight="1" x14ac:dyDescent="0.25">
      <c r="A30" s="6" t="s">
        <v>38</v>
      </c>
      <c r="B30" s="6">
        <v>227588</v>
      </c>
      <c r="C30" s="16">
        <v>652021.89000000013</v>
      </c>
      <c r="D30" s="16">
        <v>489256.11299999995</v>
      </c>
      <c r="E30" s="6">
        <v>28946388</v>
      </c>
      <c r="F30" s="16">
        <v>63622.886774999999</v>
      </c>
      <c r="G30" s="16">
        <v>79197.471827000001</v>
      </c>
      <c r="H30" s="17">
        <v>80.334492133762396</v>
      </c>
      <c r="I30" s="15">
        <v>228384.64980000004</v>
      </c>
      <c r="J30" s="15">
        <v>14604.619999999995</v>
      </c>
      <c r="K30" s="15">
        <v>242989.27380000002</v>
      </c>
      <c r="L30" s="15">
        <v>6174.5973598819992</v>
      </c>
      <c r="M30" s="15">
        <v>885.80502860159993</v>
      </c>
      <c r="N30" s="15">
        <v>41.782707470000013</v>
      </c>
      <c r="O30" s="15">
        <v>7102.1850959536005</v>
      </c>
      <c r="P30" s="15">
        <v>9888.9604853120036</v>
      </c>
      <c r="Q30" s="17">
        <v>71.819329306679109</v>
      </c>
    </row>
    <row r="31" spans="1:17" ht="24.95" customHeight="1" x14ac:dyDescent="0.25">
      <c r="A31" s="4" t="s">
        <v>31</v>
      </c>
      <c r="B31" s="23">
        <f>(B30-B27)/B27</f>
        <v>3.7225412451007203E-2</v>
      </c>
      <c r="C31" s="23">
        <f t="shared" ref="C31:Q31" si="14">(C30-C27)/C27</f>
        <v>3.3568016533626746E-2</v>
      </c>
      <c r="D31" s="23">
        <f t="shared" si="14"/>
        <v>5.2507127852493268E-3</v>
      </c>
      <c r="E31" s="23">
        <f t="shared" si="14"/>
        <v>2.5638856090333811E-2</v>
      </c>
      <c r="F31" s="23">
        <f t="shared" si="14"/>
        <v>4.1510782212603847E-2</v>
      </c>
      <c r="G31" s="23">
        <f t="shared" si="14"/>
        <v>2.4641756776720043E-2</v>
      </c>
      <c r="H31" s="18">
        <f t="shared" si="14"/>
        <v>1.6463339820299645E-2</v>
      </c>
      <c r="I31" s="23">
        <f t="shared" si="14"/>
        <v>-1.5783454622915003E-2</v>
      </c>
      <c r="J31" s="23">
        <f t="shared" si="14"/>
        <v>6.5516409160775418E-2</v>
      </c>
      <c r="K31" s="23">
        <f t="shared" si="14"/>
        <v>-1.1249039140112001E-2</v>
      </c>
      <c r="L31" s="23">
        <f t="shared" si="14"/>
        <v>4.3706229537686651E-2</v>
      </c>
      <c r="M31" s="23">
        <f t="shared" si="14"/>
        <v>-3.8648085229907994E-2</v>
      </c>
      <c r="N31" s="23">
        <f t="shared" si="14"/>
        <v>9.8801496620558316E-2</v>
      </c>
      <c r="O31" s="23">
        <f t="shared" si="14"/>
        <v>3.2973637141223887E-2</v>
      </c>
      <c r="P31" s="23">
        <f t="shared" si="14"/>
        <v>1.6184967744882355E-2</v>
      </c>
      <c r="Q31" s="18">
        <f t="shared" si="14"/>
        <v>1.6521273123729443E-2</v>
      </c>
    </row>
    <row r="32" spans="1:17" ht="24.95" customHeight="1" x14ac:dyDescent="0.25">
      <c r="A32" s="7" t="s">
        <v>33</v>
      </c>
      <c r="B32" s="22">
        <f>(((B30/B6)^(1/8))-1)</f>
        <v>3.9450436500775954E-2</v>
      </c>
      <c r="C32" s="22">
        <f t="shared" ref="C32:Q32" si="15">(((C30/C6)^(1/8))-1)</f>
        <v>5.473089457147684E-2</v>
      </c>
      <c r="D32" s="22">
        <f t="shared" si="15"/>
        <v>7.8216519918266503E-2</v>
      </c>
      <c r="E32" s="22">
        <f t="shared" si="15"/>
        <v>7.3743978749337913E-2</v>
      </c>
      <c r="F32" s="22">
        <f t="shared" si="15"/>
        <v>6.9585036631004016E-2</v>
      </c>
      <c r="G32" s="22">
        <f t="shared" si="15"/>
        <v>4.9263465438550869E-2</v>
      </c>
      <c r="H32" s="22">
        <f t="shared" si="15"/>
        <v>1.9367462855441886E-2</v>
      </c>
      <c r="I32" s="22">
        <f t="shared" si="15"/>
        <v>5.1215717864813382E-2</v>
      </c>
      <c r="J32" s="22">
        <f t="shared" si="15"/>
        <v>7.0996921211174957E-3</v>
      </c>
      <c r="K32" s="22">
        <f t="shared" si="15"/>
        <v>4.8028332188464473E-2</v>
      </c>
      <c r="L32" s="22">
        <f t="shared" si="15"/>
        <v>6.732771753380673E-2</v>
      </c>
      <c r="M32" s="22">
        <f t="shared" si="15"/>
        <v>5.6276702755973851E-2</v>
      </c>
      <c r="N32" s="22">
        <f t="shared" si="15"/>
        <v>2.2348602954937347E-2</v>
      </c>
      <c r="O32" s="22">
        <f t="shared" si="15"/>
        <v>6.5573199124717707E-2</v>
      </c>
      <c r="P32" s="22">
        <f t="shared" si="15"/>
        <v>3.9163363049558475E-2</v>
      </c>
      <c r="Q32" s="22">
        <f t="shared" si="15"/>
        <v>2.5414518076980919E-2</v>
      </c>
    </row>
    <row r="33" spans="1:17" ht="24.95" customHeight="1" x14ac:dyDescent="0.25">
      <c r="A33" s="6" t="s">
        <v>39</v>
      </c>
      <c r="B33" s="6">
        <v>62252</v>
      </c>
      <c r="C33" s="16">
        <v>121232.73333333332</v>
      </c>
      <c r="D33" s="16">
        <v>69956.760182795697</v>
      </c>
      <c r="E33" s="6">
        <v>5509642</v>
      </c>
      <c r="F33" s="16">
        <v>5497.7717139999995</v>
      </c>
      <c r="G33" s="16">
        <v>8577.0096410000006</v>
      </c>
      <c r="H33" s="17">
        <v>64.098933592419399</v>
      </c>
      <c r="I33" s="15">
        <v>36117.980899999995</v>
      </c>
      <c r="J33" s="15">
        <v>12.319000000000003</v>
      </c>
      <c r="K33" s="15">
        <v>36130.299899999998</v>
      </c>
      <c r="L33" s="15">
        <v>511.727341696</v>
      </c>
      <c r="M33" s="15">
        <v>46.687557515800002</v>
      </c>
      <c r="N33" s="15">
        <v>8.6037000000000023E-3</v>
      </c>
      <c r="O33" s="15">
        <v>558.42350291179991</v>
      </c>
      <c r="P33" s="15">
        <v>897.0051353340001</v>
      </c>
      <c r="Q33" s="17">
        <v>62.254214710138847</v>
      </c>
    </row>
    <row r="34" spans="1:17" ht="24.95" customHeight="1" x14ac:dyDescent="0.25">
      <c r="A34" s="4" t="s">
        <v>31</v>
      </c>
      <c r="B34" s="23">
        <f>(B33-B30)/B30</f>
        <v>-0.72647063992829153</v>
      </c>
      <c r="C34" s="23">
        <f t="shared" ref="C34:Q34" si="16">(C33-C30)/C30</f>
        <v>-0.81406646741057531</v>
      </c>
      <c r="D34" s="23">
        <f t="shared" si="16"/>
        <v>-0.85701402941327032</v>
      </c>
      <c r="E34" s="23">
        <f t="shared" si="16"/>
        <v>-0.80966046610029552</v>
      </c>
      <c r="F34" s="23">
        <f t="shared" si="16"/>
        <v>-0.91358814425628521</v>
      </c>
      <c r="G34" s="23">
        <f t="shared" si="16"/>
        <v>-0.89170096667055576</v>
      </c>
      <c r="H34" s="18">
        <f t="shared" si="16"/>
        <v>-0.20209947321643221</v>
      </c>
      <c r="I34" s="23">
        <f t="shared" si="16"/>
        <v>-0.84185460392531164</v>
      </c>
      <c r="J34" s="23">
        <f t="shared" si="16"/>
        <v>-0.99915649979253141</v>
      </c>
      <c r="K34" s="23">
        <f t="shared" si="16"/>
        <v>-0.85130907494403163</v>
      </c>
      <c r="L34" s="23">
        <f t="shared" si="16"/>
        <v>-0.91712377149952673</v>
      </c>
      <c r="M34" s="23">
        <f t="shared" si="16"/>
        <v>-0.94729364136766692</v>
      </c>
      <c r="N34" s="23">
        <f t="shared" si="16"/>
        <v>-0.9997940846699277</v>
      </c>
      <c r="O34" s="23">
        <f t="shared" si="16"/>
        <v>-0.92137300065159433</v>
      </c>
      <c r="P34" s="23">
        <f t="shared" si="16"/>
        <v>-0.90929227225992915</v>
      </c>
      <c r="Q34" s="18">
        <f t="shared" si="16"/>
        <v>-0.13318301199522226</v>
      </c>
    </row>
    <row r="35" spans="1:17" ht="24.95" customHeight="1" x14ac:dyDescent="0.25">
      <c r="A35" s="7" t="s">
        <v>33</v>
      </c>
      <c r="B35" s="22">
        <f>(((B33/B6)^(1/9))-1)</f>
        <v>-0.10384819906918585</v>
      </c>
      <c r="C35" s="22">
        <f t="shared" ref="C35:Q35" si="17">(((C33/C6)^(1/9))-1)</f>
        <v>-0.13026310133342023</v>
      </c>
      <c r="D35" s="22">
        <f t="shared" si="17"/>
        <v>-0.13857851820226919</v>
      </c>
      <c r="E35" s="22">
        <f t="shared" si="17"/>
        <v>-0.11403820869315962</v>
      </c>
      <c r="F35" s="22">
        <f t="shared" si="17"/>
        <v>-0.19125677897331383</v>
      </c>
      <c r="G35" s="22">
        <f t="shared" si="17"/>
        <v>-0.18473253713215265</v>
      </c>
      <c r="H35" s="22">
        <f t="shared" si="17"/>
        <v>-8.0025784645090248E-3</v>
      </c>
      <c r="I35" s="22">
        <f t="shared" si="17"/>
        <v>-0.14829749521511926</v>
      </c>
      <c r="J35" s="22">
        <f t="shared" si="17"/>
        <v>-0.54166292504020119</v>
      </c>
      <c r="K35" s="22">
        <f t="shared" si="17"/>
        <v>-0.15639147228629546</v>
      </c>
      <c r="L35" s="22">
        <f t="shared" si="17"/>
        <v>-0.19651246735370786</v>
      </c>
      <c r="M35" s="22">
        <f t="shared" si="17"/>
        <v>-0.24295706030960551</v>
      </c>
      <c r="N35" s="22">
        <f t="shared" si="17"/>
        <v>-0.60286121316840435</v>
      </c>
      <c r="O35" s="22">
        <f t="shared" si="17"/>
        <v>-0.20236496121455538</v>
      </c>
      <c r="P35" s="22">
        <f t="shared" si="17"/>
        <v>-0.20747537214603218</v>
      </c>
      <c r="Q35" s="22">
        <f t="shared" si="17"/>
        <v>6.4482676649622039E-3</v>
      </c>
    </row>
    <row r="36" spans="1:17" ht="24.95" customHeight="1" x14ac:dyDescent="0.25">
      <c r="A36" s="6" t="s">
        <v>41</v>
      </c>
      <c r="B36" s="6">
        <v>91283</v>
      </c>
      <c r="C36" s="16">
        <v>158423.79333333331</v>
      </c>
      <c r="D36" s="16">
        <v>95440.546000000017</v>
      </c>
      <c r="E36" s="6">
        <v>7470627</v>
      </c>
      <c r="F36" s="16">
        <v>7143.8913669999993</v>
      </c>
      <c r="G36" s="16">
        <v>11010.593387999999</v>
      </c>
      <c r="H36" s="17">
        <v>64.881983334211924</v>
      </c>
      <c r="I36" s="15">
        <v>56937.548300000024</v>
      </c>
      <c r="J36" s="15">
        <v>15.180374316931639</v>
      </c>
      <c r="K36" s="15">
        <v>56952.728674316946</v>
      </c>
      <c r="L36" s="15">
        <v>656.66978298799995</v>
      </c>
      <c r="M36" s="15">
        <v>71.014558174100003</v>
      </c>
      <c r="N36" s="15">
        <v>7.2178894703319833E-3</v>
      </c>
      <c r="O36" s="15">
        <v>727.69155905157027</v>
      </c>
      <c r="P36" s="15">
        <v>1164.4830917119998</v>
      </c>
      <c r="Q36" s="17">
        <v>62.49052169419933</v>
      </c>
    </row>
    <row r="37" spans="1:17" ht="24.95" customHeight="1" x14ac:dyDescent="0.25">
      <c r="A37" s="4" t="s">
        <v>31</v>
      </c>
      <c r="B37" s="23">
        <f>(B36-B33)/B33</f>
        <v>0.46634646276424851</v>
      </c>
      <c r="C37" s="23">
        <f t="shared" ref="C37:Q37" si="18">(C36-C33)/C33</f>
        <v>0.30677407806802443</v>
      </c>
      <c r="D37" s="23">
        <f t="shared" si="18"/>
        <v>0.36427910255728918</v>
      </c>
      <c r="E37" s="23">
        <f t="shared" si="18"/>
        <v>0.35591876931386829</v>
      </c>
      <c r="F37" s="23">
        <f t="shared" si="18"/>
        <v>0.29941578854723611</v>
      </c>
      <c r="G37" s="23">
        <f t="shared" si="18"/>
        <v>0.28373335799541732</v>
      </c>
      <c r="H37" s="18">
        <f t="shared" si="18"/>
        <v>1.2216267851999507E-2</v>
      </c>
      <c r="I37" s="23">
        <f t="shared" si="18"/>
        <v>0.57643220582134014</v>
      </c>
      <c r="J37" s="23">
        <f t="shared" si="18"/>
        <v>0.23227326219105734</v>
      </c>
      <c r="K37" s="23">
        <f t="shared" si="18"/>
        <v>0.57631486126460163</v>
      </c>
      <c r="L37" s="23">
        <f t="shared" si="18"/>
        <v>0.28324154189538181</v>
      </c>
      <c r="M37" s="23">
        <f t="shared" si="18"/>
        <v>0.52105961315425975</v>
      </c>
      <c r="N37" s="23">
        <f t="shared" si="18"/>
        <v>-0.16107146107698067</v>
      </c>
      <c r="O37" s="23">
        <f t="shared" si="18"/>
        <v>0.30311771488333178</v>
      </c>
      <c r="P37" s="23">
        <f t="shared" si="18"/>
        <v>0.29818999450700384</v>
      </c>
      <c r="Q37" s="18">
        <f t="shared" si="18"/>
        <v>3.7958391276919959E-3</v>
      </c>
    </row>
    <row r="38" spans="1:17" ht="24.95" customHeight="1" x14ac:dyDescent="0.25">
      <c r="A38" s="7" t="s">
        <v>33</v>
      </c>
      <c r="B38" s="22">
        <f>(((B36/B6)^(1/10))-1)</f>
        <v>-5.8615413354920043E-2</v>
      </c>
      <c r="C38" s="22">
        <f t="shared" ref="C38:Q38" si="19">(((C36/C6)^(1/9))-1)</f>
        <v>-0.10401845712520219</v>
      </c>
      <c r="D38" s="22">
        <f t="shared" si="19"/>
        <v>-0.10832837782331228</v>
      </c>
      <c r="E38" s="22">
        <f t="shared" si="19"/>
        <v>-8.3552432460631598E-2</v>
      </c>
      <c r="F38" s="22">
        <f t="shared" si="19"/>
        <v>-0.16737521304913139</v>
      </c>
      <c r="G38" s="22">
        <f t="shared" si="19"/>
        <v>-0.16178994047037798</v>
      </c>
      <c r="H38" s="22">
        <f t="shared" si="19"/>
        <v>-6.6633327949889853E-3</v>
      </c>
      <c r="I38" s="22">
        <f t="shared" si="19"/>
        <v>-0.10411586353315649</v>
      </c>
      <c r="J38" s="22">
        <f t="shared" si="19"/>
        <v>-0.53090203689218285</v>
      </c>
      <c r="K38" s="22">
        <f t="shared" si="19"/>
        <v>-0.11263705098860777</v>
      </c>
      <c r="L38" s="22">
        <f t="shared" si="19"/>
        <v>-0.17393654347821963</v>
      </c>
      <c r="M38" s="22">
        <f t="shared" si="19"/>
        <v>-0.20684332392405747</v>
      </c>
      <c r="N38" s="22">
        <f t="shared" si="19"/>
        <v>-0.61053601672931113</v>
      </c>
      <c r="O38" s="22">
        <f t="shared" si="19"/>
        <v>-0.17855179578638403</v>
      </c>
      <c r="P38" s="22">
        <f t="shared" si="19"/>
        <v>-0.18415828678438384</v>
      </c>
      <c r="Q38" s="22">
        <f t="shared" si="19"/>
        <v>6.872032781827464E-3</v>
      </c>
    </row>
    <row r="39" spans="1:17" x14ac:dyDescent="0.25">
      <c r="A39" s="36" t="s">
        <v>37</v>
      </c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</row>
    <row r="40" spans="1:17" x14ac:dyDescent="0.25">
      <c r="A40" s="38" t="s">
        <v>42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</row>
    <row r="41" spans="1:17" ht="29.25" customHeight="1" x14ac:dyDescent="0.25">
      <c r="A41" s="35" t="s">
        <v>40</v>
      </c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</row>
  </sheetData>
  <mergeCells count="15">
    <mergeCell ref="A41:Q41"/>
    <mergeCell ref="P4:P5"/>
    <mergeCell ref="Q4:Q5"/>
    <mergeCell ref="A39:Q39"/>
    <mergeCell ref="A40:Q40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8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view="pageBreakPreview" zoomScale="98" zoomScaleNormal="100" zoomScaleSheetLayoutView="98" workbookViewId="0">
      <selection activeCell="J26" sqref="J26"/>
    </sheetView>
  </sheetViews>
  <sheetFormatPr defaultRowHeight="15" x14ac:dyDescent="0.25"/>
  <cols>
    <col min="1" max="4" width="10.7109375" customWidth="1"/>
    <col min="5" max="5" width="13" customWidth="1"/>
    <col min="6" max="7" width="10.7109375" customWidth="1"/>
    <col min="8" max="8" width="8.5703125" customWidth="1"/>
    <col min="9" max="9" width="11.5703125" customWidth="1"/>
    <col min="10" max="10" width="9.140625" customWidth="1"/>
    <col min="11" max="11" width="12" customWidth="1"/>
    <col min="12" max="13" width="10.7109375" customWidth="1"/>
    <col min="14" max="14" width="8.42578125" customWidth="1"/>
    <col min="15" max="16" width="10.7109375" customWidth="1"/>
    <col min="17" max="17" width="8.42578125" customWidth="1"/>
  </cols>
  <sheetData>
    <row r="1" spans="1:17" ht="19.5" customHeight="1" x14ac:dyDescent="0.25">
      <c r="A1" s="45" t="s">
        <v>34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</row>
    <row r="2" spans="1:17" ht="19.5" customHeight="1" x14ac:dyDescent="0.25">
      <c r="A2" s="47" t="s">
        <v>35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</row>
    <row r="3" spans="1:17" x14ac:dyDescent="0.25">
      <c r="A3" s="49" t="s">
        <v>0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</row>
    <row r="4" spans="1:17" x14ac:dyDescent="0.25">
      <c r="A4" s="49" t="s">
        <v>1</v>
      </c>
      <c r="B4" s="49" t="s">
        <v>2</v>
      </c>
      <c r="C4" s="49"/>
      <c r="D4" s="49"/>
      <c r="E4" s="49" t="s">
        <v>3</v>
      </c>
      <c r="F4" s="50"/>
      <c r="G4" s="40" t="s">
        <v>4</v>
      </c>
      <c r="H4" s="40" t="s">
        <v>5</v>
      </c>
      <c r="I4" s="49" t="s">
        <v>6</v>
      </c>
      <c r="J4" s="49"/>
      <c r="K4" s="49"/>
      <c r="L4" s="49" t="s">
        <v>7</v>
      </c>
      <c r="M4" s="49"/>
      <c r="N4" s="49"/>
      <c r="O4" s="49"/>
      <c r="P4" s="40" t="s">
        <v>8</v>
      </c>
      <c r="Q4" s="40" t="s">
        <v>9</v>
      </c>
    </row>
    <row r="5" spans="1:17" ht="75.75" customHeight="1" x14ac:dyDescent="0.25">
      <c r="A5" s="49"/>
      <c r="B5" s="3" t="s">
        <v>10</v>
      </c>
      <c r="C5" s="3" t="s">
        <v>11</v>
      </c>
      <c r="D5" s="3" t="s">
        <v>12</v>
      </c>
      <c r="E5" s="3" t="s">
        <v>13</v>
      </c>
      <c r="F5" s="3" t="s">
        <v>14</v>
      </c>
      <c r="G5" s="41"/>
      <c r="H5" s="41"/>
      <c r="I5" s="3" t="s">
        <v>15</v>
      </c>
      <c r="J5" s="3" t="s">
        <v>16</v>
      </c>
      <c r="K5" s="3" t="s">
        <v>17</v>
      </c>
      <c r="L5" s="3" t="s">
        <v>18</v>
      </c>
      <c r="M5" s="3" t="s">
        <v>19</v>
      </c>
      <c r="N5" s="3" t="s">
        <v>16</v>
      </c>
      <c r="O5" s="3" t="s">
        <v>17</v>
      </c>
      <c r="P5" s="41"/>
      <c r="Q5" s="41"/>
    </row>
    <row r="6" spans="1:17" ht="20.100000000000001" customHeight="1" x14ac:dyDescent="0.25">
      <c r="A6" s="6" t="s">
        <v>20</v>
      </c>
      <c r="B6" s="14">
        <v>596949</v>
      </c>
      <c r="C6" s="14">
        <v>1211765.3</v>
      </c>
      <c r="D6" s="14">
        <v>712681</v>
      </c>
      <c r="E6" s="14">
        <v>49516433</v>
      </c>
      <c r="F6" s="14">
        <v>78444.705999999962</v>
      </c>
      <c r="G6" s="14">
        <v>121331.97099999996</v>
      </c>
      <c r="H6" s="12">
        <f t="shared" ref="H6" si="0">F6/G6</f>
        <v>0.64652956144592744</v>
      </c>
      <c r="I6" s="13">
        <v>423703</v>
      </c>
      <c r="J6" s="13">
        <v>27997</v>
      </c>
      <c r="K6" s="13">
        <v>451700</v>
      </c>
      <c r="L6" s="13">
        <v>7213.0243550000023</v>
      </c>
      <c r="M6" s="13">
        <v>1196.0349999999999</v>
      </c>
      <c r="N6" s="13">
        <v>48.713999999999999</v>
      </c>
      <c r="O6" s="13">
        <v>8457.7733550000012</v>
      </c>
      <c r="P6" s="13">
        <v>14720.277931000001</v>
      </c>
      <c r="Q6" s="12">
        <f t="shared" ref="Q6" si="1">O6/P6</f>
        <v>0.57456614573753739</v>
      </c>
    </row>
    <row r="7" spans="1:17" ht="20.100000000000001" customHeight="1" x14ac:dyDescent="0.25">
      <c r="A7" s="4" t="s">
        <v>31</v>
      </c>
      <c r="B7" s="5" t="s">
        <v>32</v>
      </c>
      <c r="C7" s="5" t="s">
        <v>32</v>
      </c>
      <c r="D7" s="5" t="s">
        <v>32</v>
      </c>
      <c r="E7" s="5" t="s">
        <v>32</v>
      </c>
      <c r="F7" s="5" t="s">
        <v>32</v>
      </c>
      <c r="G7" s="5" t="s">
        <v>32</v>
      </c>
      <c r="H7" s="5" t="s">
        <v>32</v>
      </c>
      <c r="I7" s="5" t="s">
        <v>32</v>
      </c>
      <c r="J7" s="5" t="s">
        <v>32</v>
      </c>
      <c r="K7" s="5" t="s">
        <v>32</v>
      </c>
      <c r="L7" s="5" t="s">
        <v>32</v>
      </c>
      <c r="M7" s="5" t="s">
        <v>32</v>
      </c>
      <c r="N7" s="5" t="s">
        <v>32</v>
      </c>
      <c r="O7" s="5" t="s">
        <v>32</v>
      </c>
      <c r="P7" s="5" t="s">
        <v>32</v>
      </c>
      <c r="Q7" s="5" t="s">
        <v>32</v>
      </c>
    </row>
    <row r="8" spans="1:17" ht="20.100000000000001" customHeight="1" x14ac:dyDescent="0.25">
      <c r="A8" s="7" t="s">
        <v>33</v>
      </c>
      <c r="B8" s="8" t="s">
        <v>32</v>
      </c>
      <c r="C8" s="8" t="s">
        <v>32</v>
      </c>
      <c r="D8" s="8" t="s">
        <v>32</v>
      </c>
      <c r="E8" s="8" t="s">
        <v>32</v>
      </c>
      <c r="F8" s="8" t="s">
        <v>32</v>
      </c>
      <c r="G8" s="8" t="s">
        <v>32</v>
      </c>
      <c r="H8" s="8" t="s">
        <v>32</v>
      </c>
      <c r="I8" s="8" t="s">
        <v>32</v>
      </c>
      <c r="J8" s="8" t="s">
        <v>32</v>
      </c>
      <c r="K8" s="8" t="s">
        <v>32</v>
      </c>
      <c r="L8" s="8" t="s">
        <v>32</v>
      </c>
      <c r="M8" s="8" t="s">
        <v>32</v>
      </c>
      <c r="N8" s="8" t="s">
        <v>32</v>
      </c>
      <c r="O8" s="8" t="s">
        <v>32</v>
      </c>
      <c r="P8" s="8" t="s">
        <v>32</v>
      </c>
      <c r="Q8" s="8" t="s">
        <v>32</v>
      </c>
    </row>
    <row r="9" spans="1:17" ht="20.100000000000001" customHeight="1" x14ac:dyDescent="0.25">
      <c r="A9" s="6" t="s">
        <v>21</v>
      </c>
      <c r="B9" s="14">
        <v>609297</v>
      </c>
      <c r="C9" s="14">
        <v>1253634.54</v>
      </c>
      <c r="D9" s="14">
        <v>716202.4040000001</v>
      </c>
      <c r="E9" s="14">
        <v>56948624</v>
      </c>
      <c r="F9" s="14">
        <v>89442.611130000034</v>
      </c>
      <c r="G9" s="14">
        <v>125078.28393800004</v>
      </c>
      <c r="H9" s="12">
        <f t="shared" ref="H9" si="2">F9/G9</f>
        <v>0.71509304664217954</v>
      </c>
      <c r="I9" s="13">
        <v>513706</v>
      </c>
      <c r="J9" s="13">
        <v>33360.642</v>
      </c>
      <c r="K9" s="13">
        <v>547066.64199999999</v>
      </c>
      <c r="L9" s="13">
        <v>8002.6258279999965</v>
      </c>
      <c r="M9" s="13">
        <v>1427.097064</v>
      </c>
      <c r="N9" s="13">
        <v>57.587000000000003</v>
      </c>
      <c r="O9" s="13">
        <v>9487.3098919999957</v>
      </c>
      <c r="P9" s="13">
        <v>15095.270302000004</v>
      </c>
      <c r="Q9" s="12">
        <f t="shared" ref="Q9" si="3">O9/P9</f>
        <v>0.62849552887721405</v>
      </c>
    </row>
    <row r="10" spans="1:17" ht="20.100000000000001" customHeight="1" x14ac:dyDescent="0.25">
      <c r="A10" s="4" t="s">
        <v>31</v>
      </c>
      <c r="B10" s="10">
        <f>(B9-B6)/B6</f>
        <v>2.0685184161461031E-2</v>
      </c>
      <c r="C10" s="10">
        <f t="shared" ref="C10:Q10" si="4">(C9-C6)/C6</f>
        <v>3.4552268496217863E-2</v>
      </c>
      <c r="D10" s="10">
        <f t="shared" si="4"/>
        <v>4.941066199323536E-3</v>
      </c>
      <c r="E10" s="10">
        <f t="shared" si="4"/>
        <v>0.15009544407207198</v>
      </c>
      <c r="F10" s="10">
        <f t="shared" si="4"/>
        <v>0.14019945628963257</v>
      </c>
      <c r="G10" s="10">
        <f t="shared" si="4"/>
        <v>3.0876552215574546E-2</v>
      </c>
      <c r="H10" s="10">
        <f t="shared" si="4"/>
        <v>0.10604849226524721</v>
      </c>
      <c r="I10" s="10">
        <f t="shared" si="4"/>
        <v>0.21242002062765664</v>
      </c>
      <c r="J10" s="10">
        <f t="shared" si="4"/>
        <v>0.19157916919669965</v>
      </c>
      <c r="K10" s="10">
        <f t="shared" si="4"/>
        <v>0.2111282754040292</v>
      </c>
      <c r="L10" s="10">
        <f t="shared" si="4"/>
        <v>0.10946884886817965</v>
      </c>
      <c r="M10" s="10">
        <f t="shared" si="4"/>
        <v>0.19319005213058166</v>
      </c>
      <c r="N10" s="10">
        <f t="shared" si="4"/>
        <v>0.1821447633123949</v>
      </c>
      <c r="O10" s="10">
        <f t="shared" si="4"/>
        <v>0.12172666419245688</v>
      </c>
      <c r="P10" s="10">
        <f t="shared" si="4"/>
        <v>2.5474544214297273E-2</v>
      </c>
      <c r="Q10" s="10">
        <f t="shared" si="4"/>
        <v>9.3861052447583068E-2</v>
      </c>
    </row>
    <row r="11" spans="1:17" ht="20.100000000000001" customHeight="1" x14ac:dyDescent="0.25">
      <c r="A11" s="7" t="s">
        <v>33</v>
      </c>
      <c r="B11" s="9">
        <f>(((B9/B6)^(1/1))-1)</f>
        <v>2.0685184161461034E-2</v>
      </c>
      <c r="C11" s="9">
        <f t="shared" ref="C11:Q11" si="5">(((C9/C6)^(1/1))-1)</f>
        <v>3.4552268496217842E-2</v>
      </c>
      <c r="D11" s="9">
        <f t="shared" si="5"/>
        <v>4.9410661993234406E-3</v>
      </c>
      <c r="E11" s="9">
        <f t="shared" si="5"/>
        <v>0.15009544407207209</v>
      </c>
      <c r="F11" s="9">
        <f t="shared" si="5"/>
        <v>0.14019945628963248</v>
      </c>
      <c r="G11" s="9">
        <f t="shared" si="5"/>
        <v>3.0876552215574504E-2</v>
      </c>
      <c r="H11" s="9">
        <f t="shared" si="5"/>
        <v>0.10604849226524715</v>
      </c>
      <c r="I11" s="9">
        <f t="shared" si="5"/>
        <v>0.21242002062765675</v>
      </c>
      <c r="J11" s="9">
        <f t="shared" si="5"/>
        <v>0.19157916919669971</v>
      </c>
      <c r="K11" s="9">
        <f t="shared" si="5"/>
        <v>0.21112827540402912</v>
      </c>
      <c r="L11" s="9">
        <f t="shared" si="5"/>
        <v>0.10946884886817965</v>
      </c>
      <c r="M11" s="9">
        <f t="shared" si="5"/>
        <v>0.1931900521305816</v>
      </c>
      <c r="N11" s="9">
        <f t="shared" si="5"/>
        <v>0.18214476331239493</v>
      </c>
      <c r="O11" s="9">
        <f t="shared" si="5"/>
        <v>0.12172666419245681</v>
      </c>
      <c r="P11" s="9">
        <f t="shared" si="5"/>
        <v>2.5474544214297179E-2</v>
      </c>
      <c r="Q11" s="9">
        <f t="shared" si="5"/>
        <v>9.3861052447583138E-2</v>
      </c>
    </row>
    <row r="12" spans="1:17" ht="20.100000000000001" customHeight="1" x14ac:dyDescent="0.25">
      <c r="A12" s="6" t="s">
        <v>22</v>
      </c>
      <c r="B12" s="14">
        <v>632758</v>
      </c>
      <c r="C12" s="14">
        <v>1354727.5699999998</v>
      </c>
      <c r="D12" s="14">
        <v>761774.18826985103</v>
      </c>
      <c r="E12" s="14">
        <v>67000819</v>
      </c>
      <c r="F12" s="14">
        <v>103171.49127099999</v>
      </c>
      <c r="G12" s="14">
        <v>137490.86081300001</v>
      </c>
      <c r="H12" s="12">
        <f t="shared" ref="H12" si="6">F12/G12</f>
        <v>0.75038799423419522</v>
      </c>
      <c r="I12" s="13">
        <v>619784.80000000005</v>
      </c>
      <c r="J12" s="13">
        <v>24845.474000000002</v>
      </c>
      <c r="K12" s="13">
        <v>644630.27400000009</v>
      </c>
      <c r="L12" s="13">
        <v>9068.7457905999981</v>
      </c>
      <c r="M12" s="13">
        <v>1647.0854240000003</v>
      </c>
      <c r="N12" s="13">
        <v>48.435000000000002</v>
      </c>
      <c r="O12" s="13">
        <v>10764.266214599998</v>
      </c>
      <c r="P12" s="13">
        <v>16506.093430999998</v>
      </c>
      <c r="Q12" s="12">
        <f t="shared" ref="Q12" si="7">O12/P12</f>
        <v>0.65213893642354481</v>
      </c>
    </row>
    <row r="13" spans="1:17" ht="20.100000000000001" customHeight="1" x14ac:dyDescent="0.25">
      <c r="A13" s="4" t="s">
        <v>31</v>
      </c>
      <c r="B13" s="10">
        <f>(B12-B9)/B9</f>
        <v>3.8505031208097201E-2</v>
      </c>
      <c r="C13" s="10">
        <f t="shared" ref="C13:Q13" si="8">(C12-C9)/C9</f>
        <v>8.0639952693070976E-2</v>
      </c>
      <c r="D13" s="10">
        <f t="shared" si="8"/>
        <v>6.362975607919201E-2</v>
      </c>
      <c r="E13" s="10">
        <f t="shared" si="8"/>
        <v>0.17651339565289584</v>
      </c>
      <c r="F13" s="10">
        <f t="shared" si="8"/>
        <v>0.15349373153972179</v>
      </c>
      <c r="G13" s="10">
        <f t="shared" si="8"/>
        <v>9.9238464777408927E-2</v>
      </c>
      <c r="H13" s="10">
        <f t="shared" si="8"/>
        <v>4.9357139966257672E-2</v>
      </c>
      <c r="I13" s="10">
        <f t="shared" si="8"/>
        <v>0.2064971014549179</v>
      </c>
      <c r="J13" s="10">
        <f t="shared" si="8"/>
        <v>-0.25524592722166434</v>
      </c>
      <c r="K13" s="10">
        <f t="shared" si="8"/>
        <v>0.17833957421224031</v>
      </c>
      <c r="L13" s="10">
        <f t="shared" si="8"/>
        <v>0.13322126830793546</v>
      </c>
      <c r="M13" s="10">
        <f t="shared" si="8"/>
        <v>0.15415094428363302</v>
      </c>
      <c r="N13" s="10">
        <f t="shared" si="8"/>
        <v>-0.15892475732370154</v>
      </c>
      <c r="O13" s="10">
        <f t="shared" si="8"/>
        <v>0.13459624879300858</v>
      </c>
      <c r="P13" s="10">
        <f t="shared" si="8"/>
        <v>9.346126970731157E-2</v>
      </c>
      <c r="Q13" s="10">
        <f t="shared" si="8"/>
        <v>3.7619054488054846E-2</v>
      </c>
    </row>
    <row r="14" spans="1:17" ht="20.100000000000001" customHeight="1" x14ac:dyDescent="0.25">
      <c r="A14" s="7" t="s">
        <v>33</v>
      </c>
      <c r="B14" s="9">
        <f>(((B12/B6)^(1/2))-1)</f>
        <v>2.9556554556980474E-2</v>
      </c>
      <c r="C14" s="9">
        <f t="shared" ref="C14:Q14" si="9">(((C12/C6)^(1/2))-1)</f>
        <v>5.7345030955488152E-2</v>
      </c>
      <c r="D14" s="9">
        <f t="shared" si="9"/>
        <v>3.386905414348762E-2</v>
      </c>
      <c r="E14" s="9">
        <f t="shared" si="9"/>
        <v>0.16322942544889174</v>
      </c>
      <c r="F14" s="9">
        <f t="shared" si="9"/>
        <v>0.14682733030526007</v>
      </c>
      <c r="G14" s="9">
        <f t="shared" si="9"/>
        <v>6.4508881424892861E-2</v>
      </c>
      <c r="H14" s="9">
        <f t="shared" si="9"/>
        <v>7.7329978468738014E-2</v>
      </c>
      <c r="I14" s="9">
        <f t="shared" si="9"/>
        <v>0.20945493534615811</v>
      </c>
      <c r="J14" s="9">
        <f t="shared" si="9"/>
        <v>-5.7963143344663126E-2</v>
      </c>
      <c r="K14" s="9">
        <f t="shared" si="9"/>
        <v>0.19462143642075524</v>
      </c>
      <c r="L14" s="9">
        <f t="shared" si="9"/>
        <v>0.12128216612168763</v>
      </c>
      <c r="M14" s="9">
        <f t="shared" si="9"/>
        <v>0.17350817013617248</v>
      </c>
      <c r="N14" s="9">
        <f t="shared" si="9"/>
        <v>-2.8677651978711305E-3</v>
      </c>
      <c r="O14" s="9">
        <f t="shared" si="9"/>
        <v>0.12814310500213422</v>
      </c>
      <c r="P14" s="9">
        <f t="shared" si="9"/>
        <v>5.8922422639681393E-2</v>
      </c>
      <c r="Q14" s="9">
        <f t="shared" si="9"/>
        <v>6.5368983489743737E-2</v>
      </c>
    </row>
    <row r="15" spans="1:17" ht="20.100000000000001" customHeight="1" x14ac:dyDescent="0.25">
      <c r="A15" s="6" t="s">
        <v>23</v>
      </c>
      <c r="B15" s="14">
        <v>704554</v>
      </c>
      <c r="C15" s="14">
        <v>1460502.11</v>
      </c>
      <c r="D15" s="14">
        <v>830288.65321000014</v>
      </c>
      <c r="E15" s="14">
        <v>75216631</v>
      </c>
      <c r="F15" s="14">
        <v>112794.15904500001</v>
      </c>
      <c r="G15" s="14">
        <v>150149.73236100009</v>
      </c>
      <c r="H15" s="12">
        <f t="shared" ref="H15" si="10">F15/G15</f>
        <v>0.75121118946660992</v>
      </c>
      <c r="I15" s="13">
        <v>602252.23899999983</v>
      </c>
      <c r="J15" s="13">
        <v>18591.792000000001</v>
      </c>
      <c r="K15" s="13">
        <v>620844.03099999984</v>
      </c>
      <c r="L15" s="13">
        <v>10151.131010999999</v>
      </c>
      <c r="M15" s="13">
        <v>1749.8955708680005</v>
      </c>
      <c r="N15" s="13">
        <v>44.89</v>
      </c>
      <c r="O15" s="13">
        <v>11945.916581867999</v>
      </c>
      <c r="P15" s="13">
        <v>18533.285097</v>
      </c>
      <c r="Q15" s="12">
        <f t="shared" ref="Q15" si="11">O15/P15</f>
        <v>0.64456552194309558</v>
      </c>
    </row>
    <row r="16" spans="1:17" ht="20.100000000000001" customHeight="1" x14ac:dyDescent="0.25">
      <c r="A16" s="4" t="s">
        <v>31</v>
      </c>
      <c r="B16" s="10">
        <f>(B15-B12)/B12</f>
        <v>0.11346517942088445</v>
      </c>
      <c r="C16" s="10">
        <f t="shared" ref="C16:Q16" si="12">(C15-C12)/C12</f>
        <v>7.8078089161498568E-2</v>
      </c>
      <c r="D16" s="10">
        <f t="shared" si="12"/>
        <v>8.9940649073132581E-2</v>
      </c>
      <c r="E16" s="10">
        <f t="shared" si="12"/>
        <v>0.12262256077795108</v>
      </c>
      <c r="F16" s="10">
        <f t="shared" si="12"/>
        <v>9.3268670011992044E-2</v>
      </c>
      <c r="G16" s="10">
        <f t="shared" si="12"/>
        <v>9.2070639991244888E-2</v>
      </c>
      <c r="H16" s="10">
        <f t="shared" si="12"/>
        <v>1.0970261234720382E-3</v>
      </c>
      <c r="I16" s="10">
        <f t="shared" si="12"/>
        <v>-2.8288142916703053E-2</v>
      </c>
      <c r="J16" s="10">
        <f t="shared" si="12"/>
        <v>-0.25170306672354087</v>
      </c>
      <c r="K16" s="10">
        <f t="shared" si="12"/>
        <v>-3.6899047344463143E-2</v>
      </c>
      <c r="L16" s="10">
        <f t="shared" si="12"/>
        <v>0.11935335330734742</v>
      </c>
      <c r="M16" s="10">
        <f t="shared" si="12"/>
        <v>6.2419438220952986E-2</v>
      </c>
      <c r="N16" s="10">
        <f t="shared" si="12"/>
        <v>-7.3190874367709338E-2</v>
      </c>
      <c r="O16" s="10">
        <f t="shared" si="12"/>
        <v>0.1097752827466569</v>
      </c>
      <c r="P16" s="10">
        <f t="shared" si="12"/>
        <v>0.12281474562556066</v>
      </c>
      <c r="Q16" s="10">
        <f t="shared" si="12"/>
        <v>-1.1613191694983429E-2</v>
      </c>
    </row>
    <row r="17" spans="1:17" ht="20.100000000000001" customHeight="1" x14ac:dyDescent="0.25">
      <c r="A17" s="7" t="s">
        <v>33</v>
      </c>
      <c r="B17" s="9">
        <f>(((B15/B6)^(1/3))-1)</f>
        <v>5.6798898540900034E-2</v>
      </c>
      <c r="C17" s="9">
        <f t="shared" ref="C17:Q17" si="13">(((C15/C6)^(1/3))-1)</f>
        <v>6.4211364292236617E-2</v>
      </c>
      <c r="D17" s="9">
        <f t="shared" si="13"/>
        <v>5.2231520655817043E-2</v>
      </c>
      <c r="E17" s="9">
        <f t="shared" si="13"/>
        <v>0.1495331725489697</v>
      </c>
      <c r="F17" s="9">
        <f t="shared" si="13"/>
        <v>0.12868908094877241</v>
      </c>
      <c r="G17" s="9">
        <f t="shared" si="13"/>
        <v>7.3617964828210924E-2</v>
      </c>
      <c r="H17" s="9">
        <f t="shared" si="13"/>
        <v>5.1294890663806436E-2</v>
      </c>
      <c r="I17" s="9">
        <f t="shared" si="13"/>
        <v>0.12436062456637709</v>
      </c>
      <c r="J17" s="9">
        <f t="shared" si="13"/>
        <v>-0.12755795937297398</v>
      </c>
      <c r="K17" s="9">
        <f t="shared" si="13"/>
        <v>0.11184472465029316</v>
      </c>
      <c r="L17" s="9">
        <f t="shared" si="13"/>
        <v>0.12063885950697495</v>
      </c>
      <c r="M17" s="9">
        <f t="shared" si="13"/>
        <v>0.13524452056376424</v>
      </c>
      <c r="N17" s="9">
        <f t="shared" si="13"/>
        <v>-2.6882525838383353E-2</v>
      </c>
      <c r="O17" s="9">
        <f t="shared" si="13"/>
        <v>0.12198696538386367</v>
      </c>
      <c r="P17" s="9">
        <f t="shared" si="13"/>
        <v>7.9805326736540838E-2</v>
      </c>
      <c r="Q17" s="9">
        <f t="shared" si="13"/>
        <v>3.9064114246228909E-2</v>
      </c>
    </row>
    <row r="18" spans="1:17" ht="20.100000000000001" customHeight="1" x14ac:dyDescent="0.25">
      <c r="A18" s="6" t="s">
        <v>24</v>
      </c>
      <c r="B18" s="14">
        <v>653181</v>
      </c>
      <c r="C18" s="14">
        <v>1312388.1299999999</v>
      </c>
      <c r="D18" s="14">
        <v>757191.91099999985</v>
      </c>
      <c r="E18" s="14">
        <v>71594505</v>
      </c>
      <c r="F18" s="14">
        <v>105208.08073100002</v>
      </c>
      <c r="G18" s="14">
        <v>137936.72376700002</v>
      </c>
      <c r="H18" s="12">
        <f t="shared" ref="H18" si="14">F18/G18</f>
        <v>0.76272712485701366</v>
      </c>
      <c r="I18" s="13">
        <v>593329.35899999994</v>
      </c>
      <c r="J18" s="13">
        <v>6987.58</v>
      </c>
      <c r="K18" s="13">
        <v>600316.9389999999</v>
      </c>
      <c r="L18" s="13">
        <v>9323.8382245552457</v>
      </c>
      <c r="M18" s="13">
        <v>1558.6663264019996</v>
      </c>
      <c r="N18" s="13">
        <v>48.459999999999994</v>
      </c>
      <c r="O18" s="13">
        <v>10930.964550957244</v>
      </c>
      <c r="P18" s="13">
        <v>16534.707429641181</v>
      </c>
      <c r="Q18" s="12">
        <f t="shared" ref="Q18" si="15">O18/P18</f>
        <v>0.66109210564933818</v>
      </c>
    </row>
    <row r="19" spans="1:17" ht="20.100000000000001" customHeight="1" x14ac:dyDescent="0.25">
      <c r="A19" s="4" t="s">
        <v>31</v>
      </c>
      <c r="B19" s="11">
        <f>(B18-B15)/B15</f>
        <v>-7.291563173298285E-2</v>
      </c>
      <c r="C19" s="11">
        <f t="shared" ref="C19:Q19" si="16">(C18-C15)/C15</f>
        <v>-0.10141305444604952</v>
      </c>
      <c r="D19" s="11">
        <f t="shared" si="16"/>
        <v>-8.8037746785288598E-2</v>
      </c>
      <c r="E19" s="11">
        <f t="shared" si="16"/>
        <v>-4.8155919134426531E-2</v>
      </c>
      <c r="F19" s="11">
        <f t="shared" si="16"/>
        <v>-6.7255949937739826E-2</v>
      </c>
      <c r="G19" s="11">
        <f t="shared" si="16"/>
        <v>-8.1338863559455007E-2</v>
      </c>
      <c r="H19" s="11">
        <f t="shared" si="16"/>
        <v>1.532982409191817E-2</v>
      </c>
      <c r="I19" s="11">
        <f t="shared" si="16"/>
        <v>-1.4815851934092836E-2</v>
      </c>
      <c r="J19" s="11">
        <f t="shared" si="16"/>
        <v>-0.62415780038847257</v>
      </c>
      <c r="K19" s="11">
        <f t="shared" si="16"/>
        <v>-3.3063202632288735E-2</v>
      </c>
      <c r="L19" s="11">
        <f t="shared" si="16"/>
        <v>-8.1497597218308016E-2</v>
      </c>
      <c r="M19" s="11">
        <f t="shared" si="16"/>
        <v>-0.10928037515469877</v>
      </c>
      <c r="N19" s="11">
        <f t="shared" si="16"/>
        <v>7.9527734462018107E-2</v>
      </c>
      <c r="O19" s="11">
        <f t="shared" si="16"/>
        <v>-8.4962256680353135E-2</v>
      </c>
      <c r="P19" s="11">
        <f t="shared" si="16"/>
        <v>-0.10783720516349962</v>
      </c>
      <c r="Q19" s="11">
        <f t="shared" si="16"/>
        <v>2.5639881662335683E-2</v>
      </c>
    </row>
    <row r="20" spans="1:17" ht="20.100000000000001" customHeight="1" x14ac:dyDescent="0.25">
      <c r="A20" s="7" t="s">
        <v>33</v>
      </c>
      <c r="B20" s="9">
        <f>(((B18/B6)^(1/4))-1)</f>
        <v>2.2760810316774016E-2</v>
      </c>
      <c r="C20" s="9">
        <f t="shared" ref="C20:Q20" si="17">(((C18/C6)^(1/4))-1)</f>
        <v>2.0142745306687804E-2</v>
      </c>
      <c r="D20" s="9">
        <f t="shared" si="17"/>
        <v>1.5260982829152336E-2</v>
      </c>
      <c r="E20" s="9">
        <f t="shared" si="17"/>
        <v>9.6560466906562503E-2</v>
      </c>
      <c r="F20" s="9">
        <f t="shared" si="17"/>
        <v>7.6146418321741072E-2</v>
      </c>
      <c r="G20" s="9">
        <f t="shared" si="17"/>
        <v>3.25858358812261E-2</v>
      </c>
      <c r="H20" s="9">
        <f t="shared" si="17"/>
        <v>4.218591900724622E-2</v>
      </c>
      <c r="I20" s="9">
        <f t="shared" si="17"/>
        <v>8.7823846513992443E-2</v>
      </c>
      <c r="J20" s="9">
        <f t="shared" si="17"/>
        <v>-0.29318814686455763</v>
      </c>
      <c r="K20" s="9">
        <f t="shared" si="17"/>
        <v>7.3699193363101934E-2</v>
      </c>
      <c r="L20" s="9">
        <f t="shared" si="17"/>
        <v>6.627526009117779E-2</v>
      </c>
      <c r="M20" s="9">
        <f t="shared" si="17"/>
        <v>6.8445356761738685E-2</v>
      </c>
      <c r="N20" s="9">
        <f t="shared" si="17"/>
        <v>-1.3060832598649208E-3</v>
      </c>
      <c r="O20" s="9">
        <f t="shared" si="17"/>
        <v>6.6229294921947623E-2</v>
      </c>
      <c r="P20" s="9">
        <f t="shared" si="17"/>
        <v>2.9485244288855572E-2</v>
      </c>
      <c r="Q20" s="9">
        <f t="shared" si="17"/>
        <v>3.5691672937453456E-2</v>
      </c>
    </row>
    <row r="21" spans="1:17" ht="20.100000000000001" customHeight="1" x14ac:dyDescent="0.25">
      <c r="A21" s="6" t="s">
        <v>25</v>
      </c>
      <c r="B21" s="14">
        <v>700076</v>
      </c>
      <c r="C21" s="14">
        <v>1433015.5</v>
      </c>
      <c r="D21" s="14">
        <v>819621.00899999996</v>
      </c>
      <c r="E21" s="14">
        <v>76433474</v>
      </c>
      <c r="F21" s="14">
        <v>114036.09724400003</v>
      </c>
      <c r="G21" s="14">
        <v>150899.08637199999</v>
      </c>
      <c r="H21" s="12">
        <f t="shared" ref="H21" si="18">F21/G21</f>
        <v>0.7557109853062699</v>
      </c>
      <c r="I21" s="13">
        <v>747925.52059999993</v>
      </c>
      <c r="J21" s="13">
        <v>7193.3989000000001</v>
      </c>
      <c r="K21" s="13">
        <v>755118.91949999996</v>
      </c>
      <c r="L21" s="13">
        <v>10156.423807467247</v>
      </c>
      <c r="M21" s="13">
        <v>1749.0226564949999</v>
      </c>
      <c r="N21" s="13">
        <v>42.793000000000006</v>
      </c>
      <c r="O21" s="13">
        <v>11948.239463962245</v>
      </c>
      <c r="P21" s="13">
        <v>17724.245024960812</v>
      </c>
      <c r="Q21" s="12">
        <f t="shared" ref="Q21" si="19">O21/P21</f>
        <v>0.67411838682751812</v>
      </c>
    </row>
    <row r="22" spans="1:17" ht="20.100000000000001" customHeight="1" x14ac:dyDescent="0.25">
      <c r="A22" s="4" t="s">
        <v>31</v>
      </c>
      <c r="B22" s="11">
        <f>(B21-B18)/B18</f>
        <v>7.179480113475438E-2</v>
      </c>
      <c r="C22" s="11">
        <f t="shared" ref="C22:Q22" si="20">(C21-C18)/C18</f>
        <v>9.1914401877438587E-2</v>
      </c>
      <c r="D22" s="11">
        <f t="shared" si="20"/>
        <v>8.2448183998098903E-2</v>
      </c>
      <c r="E22" s="11">
        <f t="shared" si="20"/>
        <v>6.75885530600428E-2</v>
      </c>
      <c r="F22" s="11">
        <f t="shared" si="20"/>
        <v>8.3910061391309035E-2</v>
      </c>
      <c r="G22" s="11">
        <f t="shared" si="20"/>
        <v>9.3973252742291749E-2</v>
      </c>
      <c r="H22" s="11">
        <f t="shared" si="20"/>
        <v>-9.1987544720650346E-3</v>
      </c>
      <c r="I22" s="11">
        <f t="shared" si="20"/>
        <v>0.26055707383257942</v>
      </c>
      <c r="J22" s="11">
        <f t="shared" si="20"/>
        <v>2.9454961517435253E-2</v>
      </c>
      <c r="K22" s="11">
        <f t="shared" si="20"/>
        <v>0.25786708727204527</v>
      </c>
      <c r="L22" s="11">
        <f t="shared" si="20"/>
        <v>8.9296442394217537E-2</v>
      </c>
      <c r="M22" s="11">
        <f t="shared" si="20"/>
        <v>0.12212769780714755</v>
      </c>
      <c r="N22" s="11">
        <f t="shared" si="20"/>
        <v>-0.11694180767643393</v>
      </c>
      <c r="O22" s="11">
        <f t="shared" si="20"/>
        <v>9.3063600038472083E-2</v>
      </c>
      <c r="P22" s="11">
        <f t="shared" si="20"/>
        <v>7.194185929091125E-2</v>
      </c>
      <c r="Q22" s="11">
        <f t="shared" si="20"/>
        <v>1.9704185039973007E-2</v>
      </c>
    </row>
    <row r="23" spans="1:17" ht="20.100000000000001" customHeight="1" x14ac:dyDescent="0.25">
      <c r="A23" s="7" t="s">
        <v>33</v>
      </c>
      <c r="B23" s="9">
        <f>(((B21/B6)^(1/5))-1)</f>
        <v>3.2384777097363759E-2</v>
      </c>
      <c r="C23" s="9">
        <f t="shared" ref="C23:Q23" si="21">(((C21/C6)^(1/5))-1)</f>
        <v>3.410937461028607E-2</v>
      </c>
      <c r="D23" s="9">
        <f t="shared" si="21"/>
        <v>2.835622240758684E-2</v>
      </c>
      <c r="E23" s="9">
        <f t="shared" si="21"/>
        <v>9.0703858365819956E-2</v>
      </c>
      <c r="F23" s="9">
        <f t="shared" si="21"/>
        <v>7.7694685493489013E-2</v>
      </c>
      <c r="G23" s="9">
        <f t="shared" si="21"/>
        <v>4.4581359330584824E-2</v>
      </c>
      <c r="H23" s="9">
        <f t="shared" si="21"/>
        <v>3.1700092929213941E-2</v>
      </c>
      <c r="I23" s="9">
        <f t="shared" si="21"/>
        <v>0.12036456040798482</v>
      </c>
      <c r="J23" s="9">
        <f t="shared" si="21"/>
        <v>-0.23798322957602447</v>
      </c>
      <c r="K23" s="9">
        <f t="shared" si="21"/>
        <v>0.1082380376676062</v>
      </c>
      <c r="L23" s="9">
        <f t="shared" si="21"/>
        <v>7.0840241282144945E-2</v>
      </c>
      <c r="M23" s="9">
        <f t="shared" si="21"/>
        <v>7.897233462831732E-2</v>
      </c>
      <c r="N23" s="9">
        <f t="shared" si="21"/>
        <v>-2.5585386845963898E-2</v>
      </c>
      <c r="O23" s="9">
        <f t="shared" si="21"/>
        <v>7.1542929544807787E-2</v>
      </c>
      <c r="P23" s="9">
        <f t="shared" si="21"/>
        <v>3.7839861346061987E-2</v>
      </c>
      <c r="Q23" s="9">
        <f t="shared" si="21"/>
        <v>3.2474247187840088E-2</v>
      </c>
    </row>
    <row r="24" spans="1:17" ht="20.100000000000001" customHeight="1" x14ac:dyDescent="0.25">
      <c r="A24" s="6" t="s">
        <v>26</v>
      </c>
      <c r="B24" s="14">
        <v>734736</v>
      </c>
      <c r="C24" s="14">
        <v>1500004.6099999999</v>
      </c>
      <c r="D24" s="14">
        <v>897883.96900000004</v>
      </c>
      <c r="E24" s="14">
        <v>87412197</v>
      </c>
      <c r="F24" s="14">
        <v>126903.03977500004</v>
      </c>
      <c r="G24" s="14">
        <v>160953.15840099999</v>
      </c>
      <c r="H24" s="12">
        <f t="shared" ref="H24" si="22">F24/G24</f>
        <v>0.78844703040143382</v>
      </c>
      <c r="I24" s="13">
        <v>815210.56822000002</v>
      </c>
      <c r="J24" s="13">
        <v>31816.010000000002</v>
      </c>
      <c r="K24" s="13">
        <v>847026.57822000002</v>
      </c>
      <c r="L24" s="13">
        <v>11205.620582000003</v>
      </c>
      <c r="M24" s="13">
        <v>1874.1585833867703</v>
      </c>
      <c r="N24" s="13">
        <v>57.143620000000013</v>
      </c>
      <c r="O24" s="13">
        <v>13136.922785386774</v>
      </c>
      <c r="P24" s="13">
        <v>18685.587016000005</v>
      </c>
      <c r="Q24" s="12">
        <f t="shared" ref="Q24" si="23">O24/P24</f>
        <v>0.70305111496566597</v>
      </c>
    </row>
    <row r="25" spans="1:17" ht="20.100000000000001" customHeight="1" x14ac:dyDescent="0.25">
      <c r="A25" s="4" t="s">
        <v>31</v>
      </c>
      <c r="B25" s="11">
        <f>(B24-B21)/B21</f>
        <v>4.9508910461149934E-2</v>
      </c>
      <c r="C25" s="11">
        <f t="shared" ref="C25:Q25" si="24">(C24-C21)/C21</f>
        <v>4.674695423741046E-2</v>
      </c>
      <c r="D25" s="11">
        <f t="shared" si="24"/>
        <v>9.5486766616056915E-2</v>
      </c>
      <c r="E25" s="11">
        <f t="shared" si="24"/>
        <v>0.14363762924082191</v>
      </c>
      <c r="F25" s="11">
        <f t="shared" si="24"/>
        <v>0.11283218947303107</v>
      </c>
      <c r="G25" s="11">
        <f t="shared" si="24"/>
        <v>6.6627785964286534E-2</v>
      </c>
      <c r="H25" s="11">
        <f t="shared" si="24"/>
        <v>4.3318207266627017E-2</v>
      </c>
      <c r="I25" s="11">
        <f t="shared" si="24"/>
        <v>8.9962229883562145E-2</v>
      </c>
      <c r="J25" s="11">
        <f t="shared" si="24"/>
        <v>3.4229453200489135</v>
      </c>
      <c r="K25" s="11">
        <f t="shared" si="24"/>
        <v>0.12171282740585614</v>
      </c>
      <c r="L25" s="11">
        <f t="shared" si="24"/>
        <v>0.10330376069590183</v>
      </c>
      <c r="M25" s="11">
        <f t="shared" si="24"/>
        <v>7.1546201203899693E-2</v>
      </c>
      <c r="N25" s="11">
        <f t="shared" si="24"/>
        <v>0.33534970672773595</v>
      </c>
      <c r="O25" s="11">
        <f t="shared" si="24"/>
        <v>9.9486064454079898E-2</v>
      </c>
      <c r="P25" s="11">
        <f t="shared" si="24"/>
        <v>5.4238811847012292E-2</v>
      </c>
      <c r="Q25" s="11">
        <f t="shared" si="24"/>
        <v>4.2919357643260152E-2</v>
      </c>
    </row>
    <row r="26" spans="1:17" ht="20.100000000000001" customHeight="1" x14ac:dyDescent="0.25">
      <c r="A26" s="7" t="s">
        <v>33</v>
      </c>
      <c r="B26" s="9">
        <f>(((B24/B6)^(1/6))-1)</f>
        <v>3.5219272122124723E-2</v>
      </c>
      <c r="C26" s="9">
        <f t="shared" ref="C26:Q26" si="25">(((C24/C6)^(1/6))-1)</f>
        <v>3.620499225351792E-2</v>
      </c>
      <c r="D26" s="9">
        <f t="shared" si="25"/>
        <v>3.9251929475656588E-2</v>
      </c>
      <c r="E26" s="9">
        <f t="shared" si="25"/>
        <v>9.93528685879006E-2</v>
      </c>
      <c r="F26" s="9">
        <f t="shared" si="25"/>
        <v>8.3472927670688479E-2</v>
      </c>
      <c r="G26" s="9">
        <f t="shared" si="25"/>
        <v>4.8223861818694091E-2</v>
      </c>
      <c r="H26" s="9">
        <f t="shared" si="25"/>
        <v>3.3627421713942063E-2</v>
      </c>
      <c r="I26" s="9">
        <f t="shared" si="25"/>
        <v>0.1152392448667181</v>
      </c>
      <c r="J26" s="9">
        <f t="shared" si="25"/>
        <v>2.1540767002565353E-2</v>
      </c>
      <c r="K26" s="9">
        <f t="shared" si="25"/>
        <v>0.11047254223297021</v>
      </c>
      <c r="L26" s="9">
        <f t="shared" si="25"/>
        <v>7.6183722885784011E-2</v>
      </c>
      <c r="M26" s="9">
        <f t="shared" si="25"/>
        <v>7.7731081340660424E-2</v>
      </c>
      <c r="N26" s="9">
        <f t="shared" si="25"/>
        <v>2.6957157736033466E-2</v>
      </c>
      <c r="O26" s="9">
        <f t="shared" si="25"/>
        <v>7.6150307292923047E-2</v>
      </c>
      <c r="P26" s="9">
        <f t="shared" si="25"/>
        <v>4.0555197120771158E-2</v>
      </c>
      <c r="Q26" s="9">
        <f t="shared" si="25"/>
        <v>3.4207805862335849E-2</v>
      </c>
    </row>
    <row r="27" spans="1:17" ht="20.100000000000001" customHeight="1" x14ac:dyDescent="0.25">
      <c r="A27" s="6" t="s">
        <v>27</v>
      </c>
      <c r="B27" s="14">
        <v>823732</v>
      </c>
      <c r="C27" s="14">
        <v>1685787.4160000002</v>
      </c>
      <c r="D27" s="14">
        <v>1077172.6250000002</v>
      </c>
      <c r="E27" s="14">
        <v>103822908</v>
      </c>
      <c r="F27" s="14">
        <v>145787.25543000002</v>
      </c>
      <c r="G27" s="14">
        <v>179448.71800300002</v>
      </c>
      <c r="H27" s="12">
        <f t="shared" ref="H27" si="26">F27/G27</f>
        <v>0.81241736944346832</v>
      </c>
      <c r="I27" s="13">
        <v>839234.69550999999</v>
      </c>
      <c r="J27" s="13">
        <v>36399.646725000006</v>
      </c>
      <c r="K27" s="13">
        <v>875634.34223499999</v>
      </c>
      <c r="L27" s="13">
        <v>12930.720884154998</v>
      </c>
      <c r="M27" s="13">
        <v>1797.5325222250008</v>
      </c>
      <c r="N27" s="13">
        <v>58.969729999999984</v>
      </c>
      <c r="O27" s="13">
        <v>14787.22313638</v>
      </c>
      <c r="P27" s="13">
        <v>21040.456198585005</v>
      </c>
      <c r="Q27" s="12">
        <f t="shared" ref="Q27" si="27">O27/P27</f>
        <v>0.70279954944011425</v>
      </c>
    </row>
    <row r="28" spans="1:17" ht="20.100000000000001" customHeight="1" x14ac:dyDescent="0.25">
      <c r="A28" s="4" t="s">
        <v>31</v>
      </c>
      <c r="B28" s="11">
        <f>(B27-B24)/B24</f>
        <v>0.12112649985845256</v>
      </c>
      <c r="C28" s="11">
        <f t="shared" ref="C28:Q28" si="28">(C27-C24)/C24</f>
        <v>0.12385482335284313</v>
      </c>
      <c r="D28" s="11">
        <f t="shared" si="28"/>
        <v>0.1996790923883843</v>
      </c>
      <c r="E28" s="11">
        <f t="shared" si="28"/>
        <v>0.18773937234411348</v>
      </c>
      <c r="F28" s="11">
        <f t="shared" si="28"/>
        <v>0.14880822152473117</v>
      </c>
      <c r="G28" s="11">
        <f t="shared" si="28"/>
        <v>0.11491268506778871</v>
      </c>
      <c r="H28" s="11">
        <f t="shared" si="28"/>
        <v>3.0401965024625836E-2</v>
      </c>
      <c r="I28" s="11">
        <f t="shared" si="28"/>
        <v>2.9469842794673646E-2</v>
      </c>
      <c r="J28" s="11">
        <f t="shared" si="28"/>
        <v>0.14406698781525412</v>
      </c>
      <c r="K28" s="11">
        <f t="shared" si="28"/>
        <v>3.3774340440554169E-2</v>
      </c>
      <c r="L28" s="11">
        <f t="shared" si="28"/>
        <v>0.15394955500510935</v>
      </c>
      <c r="M28" s="11">
        <f t="shared" si="28"/>
        <v>-4.0885580249724343E-2</v>
      </c>
      <c r="N28" s="11">
        <f t="shared" si="28"/>
        <v>3.1956498380746108E-2</v>
      </c>
      <c r="O28" s="11">
        <f t="shared" si="28"/>
        <v>0.12562305327918832</v>
      </c>
      <c r="P28" s="11">
        <f t="shared" si="28"/>
        <v>0.12602596753147674</v>
      </c>
      <c r="Q28" s="11">
        <f t="shared" si="28"/>
        <v>-3.578196808122661E-4</v>
      </c>
    </row>
    <row r="29" spans="1:17" ht="20.100000000000001" customHeight="1" x14ac:dyDescent="0.25">
      <c r="A29" s="7" t="s">
        <v>33</v>
      </c>
      <c r="B29" s="9">
        <f>(((B27/B6)^(1/7))-1)</f>
        <v>4.7076438047140901E-2</v>
      </c>
      <c r="C29" s="9">
        <f t="shared" ref="C29:Q29" si="29">(((C27/C6)^(1/7))-1)</f>
        <v>4.8294894863764926E-2</v>
      </c>
      <c r="D29" s="9">
        <f t="shared" si="29"/>
        <v>6.0784489609699843E-2</v>
      </c>
      <c r="E29" s="9">
        <f t="shared" si="29"/>
        <v>0.11156492378375504</v>
      </c>
      <c r="F29" s="9">
        <f t="shared" si="29"/>
        <v>9.2573960710335967E-2</v>
      </c>
      <c r="G29" s="9">
        <f t="shared" si="29"/>
        <v>5.750086096878837E-2</v>
      </c>
      <c r="H29" s="9">
        <f t="shared" si="29"/>
        <v>3.3166024762775859E-2</v>
      </c>
      <c r="I29" s="9">
        <f t="shared" si="29"/>
        <v>0.10256227148142627</v>
      </c>
      <c r="J29" s="9">
        <f t="shared" si="29"/>
        <v>3.820631773076455E-2</v>
      </c>
      <c r="K29" s="9">
        <f t="shared" si="29"/>
        <v>9.9176735865258436E-2</v>
      </c>
      <c r="L29" s="9">
        <f t="shared" si="29"/>
        <v>8.6963719190439326E-2</v>
      </c>
      <c r="M29" s="9">
        <f t="shared" si="29"/>
        <v>5.9927411762258798E-2</v>
      </c>
      <c r="N29" s="9">
        <f t="shared" si="29"/>
        <v>2.766986369022173E-2</v>
      </c>
      <c r="O29" s="9">
        <f t="shared" si="29"/>
        <v>8.3082433054304294E-2</v>
      </c>
      <c r="P29" s="9">
        <f t="shared" si="29"/>
        <v>5.2356128536049873E-2</v>
      </c>
      <c r="Q29" s="9">
        <f t="shared" si="29"/>
        <v>2.9197629666487757E-2</v>
      </c>
    </row>
    <row r="30" spans="1:17" ht="20.100000000000001" customHeight="1" x14ac:dyDescent="0.25">
      <c r="A30" s="6" t="s">
        <v>28</v>
      </c>
      <c r="B30" s="14">
        <v>946379</v>
      </c>
      <c r="C30" s="14">
        <v>1946015.264</v>
      </c>
      <c r="D30" s="14">
        <v>1214418.9890000003</v>
      </c>
      <c r="E30" s="14">
        <v>124562836</v>
      </c>
      <c r="F30" s="14">
        <v>170085.25055600004</v>
      </c>
      <c r="G30" s="14">
        <v>208190.41587000003</v>
      </c>
      <c r="H30" s="12">
        <f t="shared" ref="H30" si="30">F30/G30</f>
        <v>0.81696964697071395</v>
      </c>
      <c r="I30" s="13">
        <v>891126.84184000001</v>
      </c>
      <c r="J30" s="13">
        <v>39954.805</v>
      </c>
      <c r="K30" s="13">
        <v>931081.64684000006</v>
      </c>
      <c r="L30" s="13">
        <v>15080.519955989999</v>
      </c>
      <c r="M30" s="13">
        <v>1999.5806925300001</v>
      </c>
      <c r="N30" s="13">
        <v>61.322286999999996</v>
      </c>
      <c r="O30" s="13">
        <v>17141.422935519997</v>
      </c>
      <c r="P30" s="13">
        <v>24312.008027229989</v>
      </c>
      <c r="Q30" s="12">
        <f t="shared" ref="Q30" si="31">O30/P30</f>
        <v>0.70505994059895105</v>
      </c>
    </row>
    <row r="31" spans="1:17" ht="20.100000000000001" customHeight="1" x14ac:dyDescent="0.25">
      <c r="A31" s="4" t="s">
        <v>31</v>
      </c>
      <c r="B31" s="11">
        <f>(B30-B27)/B27</f>
        <v>0.14889187259934056</v>
      </c>
      <c r="C31" s="11">
        <f t="shared" ref="C31:Q31" si="32">(C30-C27)/C27</f>
        <v>0.15436575545062661</v>
      </c>
      <c r="D31" s="11">
        <f t="shared" si="32"/>
        <v>0.12741352761355221</v>
      </c>
      <c r="E31" s="11">
        <f t="shared" si="32"/>
        <v>0.19976254180821057</v>
      </c>
      <c r="F31" s="11">
        <f t="shared" si="32"/>
        <v>0.16666748444048146</v>
      </c>
      <c r="G31" s="11">
        <f t="shared" si="32"/>
        <v>0.16016663806157427</v>
      </c>
      <c r="H31" s="11">
        <f t="shared" si="32"/>
        <v>5.6033729687046006E-3</v>
      </c>
      <c r="I31" s="11">
        <f t="shared" si="32"/>
        <v>6.183269901450552E-2</v>
      </c>
      <c r="J31" s="11">
        <f t="shared" si="32"/>
        <v>9.7670131302627194E-2</v>
      </c>
      <c r="K31" s="11">
        <f t="shared" si="32"/>
        <v>6.332244172090648E-2</v>
      </c>
      <c r="L31" s="11">
        <f t="shared" si="32"/>
        <v>0.16625516017976341</v>
      </c>
      <c r="M31" s="11">
        <f t="shared" si="32"/>
        <v>0.11240306798727757</v>
      </c>
      <c r="N31" s="11">
        <f t="shared" si="32"/>
        <v>3.989431526988528E-2</v>
      </c>
      <c r="O31" s="11">
        <f t="shared" si="32"/>
        <v>0.15920499592300863</v>
      </c>
      <c r="P31" s="11">
        <f t="shared" si="32"/>
        <v>0.15548863569151128</v>
      </c>
      <c r="Q31" s="11">
        <f t="shared" si="32"/>
        <v>3.2162672281698919E-3</v>
      </c>
    </row>
    <row r="32" spans="1:17" ht="20.100000000000001" customHeight="1" x14ac:dyDescent="0.25">
      <c r="A32" s="7" t="s">
        <v>33</v>
      </c>
      <c r="B32" s="9">
        <f>(((B30/B6)^(1/8))-1)</f>
        <v>5.9292709326441262E-2</v>
      </c>
      <c r="C32" s="9">
        <f t="shared" ref="C32:Q32" si="33">(((C30/C6)^(1/8))-1)</f>
        <v>6.1001422858974585E-2</v>
      </c>
      <c r="D32" s="9">
        <f t="shared" si="33"/>
        <v>6.8892847706221172E-2</v>
      </c>
      <c r="E32" s="9">
        <f t="shared" si="33"/>
        <v>0.12222487754944278</v>
      </c>
      <c r="F32" s="9">
        <f t="shared" si="33"/>
        <v>0.10157197060252687</v>
      </c>
      <c r="G32" s="9">
        <f t="shared" si="33"/>
        <v>6.981993190124447E-2</v>
      </c>
      <c r="H32" s="9">
        <f t="shared" si="33"/>
        <v>2.9679797276588094E-2</v>
      </c>
      <c r="I32" s="9">
        <f t="shared" si="33"/>
        <v>9.7386841303005012E-2</v>
      </c>
      <c r="J32" s="9">
        <f t="shared" si="33"/>
        <v>4.545944318264894E-2</v>
      </c>
      <c r="K32" s="9">
        <f t="shared" si="33"/>
        <v>9.4629654614192926E-2</v>
      </c>
      <c r="L32" s="9">
        <f t="shared" si="33"/>
        <v>9.6572535978401319E-2</v>
      </c>
      <c r="M32" s="9">
        <f t="shared" si="33"/>
        <v>6.6349036158462882E-2</v>
      </c>
      <c r="N32" s="9">
        <f t="shared" si="33"/>
        <v>2.9190026450319095E-2</v>
      </c>
      <c r="O32" s="9">
        <f t="shared" si="33"/>
        <v>9.2317404167722827E-2</v>
      </c>
      <c r="P32" s="9">
        <f t="shared" si="33"/>
        <v>6.4726596109388579E-2</v>
      </c>
      <c r="Q32" s="9">
        <f t="shared" si="33"/>
        <v>2.5913514473249188E-2</v>
      </c>
    </row>
    <row r="33" spans="1:17" ht="20.100000000000001" customHeight="1" x14ac:dyDescent="0.25">
      <c r="A33" s="6" t="s">
        <v>29</v>
      </c>
      <c r="B33" s="14">
        <v>1073127</v>
      </c>
      <c r="C33" s="14">
        <v>2215495.6658300003</v>
      </c>
      <c r="D33" s="14">
        <v>1366674.9050000003</v>
      </c>
      <c r="E33" s="14">
        <v>147120152</v>
      </c>
      <c r="F33" s="14">
        <v>199408.671974</v>
      </c>
      <c r="G33" s="14">
        <v>236210.76280200004</v>
      </c>
      <c r="H33" s="12">
        <f t="shared" ref="H33" si="34">F33/G33</f>
        <v>0.84419807805773517</v>
      </c>
      <c r="I33" s="13">
        <v>1024286.0248199997</v>
      </c>
      <c r="J33" s="13">
        <v>42863.362219999995</v>
      </c>
      <c r="K33" s="13">
        <v>1067149.3870399997</v>
      </c>
      <c r="L33" s="13">
        <v>17690.940125500001</v>
      </c>
      <c r="M33" s="13">
        <v>2490.5569689999998</v>
      </c>
      <c r="N33" s="13">
        <v>77.276630100000006</v>
      </c>
      <c r="O33" s="13">
        <v>20258.773724600003</v>
      </c>
      <c r="P33" s="13">
        <v>27865.255075000001</v>
      </c>
      <c r="Q33" s="12">
        <f t="shared" ref="Q33" si="35">O33/P33</f>
        <v>0.72702631539072693</v>
      </c>
    </row>
    <row r="34" spans="1:17" ht="20.100000000000001" customHeight="1" x14ac:dyDescent="0.25">
      <c r="A34" s="4" t="s">
        <v>31</v>
      </c>
      <c r="B34" s="11">
        <f>(B33-B30)/B30</f>
        <v>0.13392942996410528</v>
      </c>
      <c r="C34" s="11">
        <f t="shared" ref="C34:Q34" si="36">(C33-C30)/C30</f>
        <v>0.13847805143937469</v>
      </c>
      <c r="D34" s="11">
        <f t="shared" si="36"/>
        <v>0.12537346449545672</v>
      </c>
      <c r="E34" s="11">
        <f t="shared" si="36"/>
        <v>0.18109186274467931</v>
      </c>
      <c r="F34" s="11">
        <f t="shared" si="36"/>
        <v>0.17240425799499473</v>
      </c>
      <c r="G34" s="11">
        <f t="shared" si="36"/>
        <v>0.134589994524516</v>
      </c>
      <c r="H34" s="11">
        <f t="shared" si="36"/>
        <v>3.3328571248617371E-2</v>
      </c>
      <c r="I34" s="11">
        <f t="shared" si="36"/>
        <v>0.14942786675020631</v>
      </c>
      <c r="J34" s="11">
        <f t="shared" si="36"/>
        <v>7.2796181085103412E-2</v>
      </c>
      <c r="K34" s="11">
        <f t="shared" si="36"/>
        <v>0.14613942897682522</v>
      </c>
      <c r="L34" s="11">
        <f t="shared" si="36"/>
        <v>0.17309881735696653</v>
      </c>
      <c r="M34" s="11">
        <f t="shared" si="36"/>
        <v>0.24553961653269638</v>
      </c>
      <c r="N34" s="11">
        <f t="shared" si="36"/>
        <v>0.26017201706779153</v>
      </c>
      <c r="O34" s="11">
        <f t="shared" si="36"/>
        <v>0.18186067754155438</v>
      </c>
      <c r="P34" s="11">
        <f t="shared" si="36"/>
        <v>0.14615193626911838</v>
      </c>
      <c r="Q34" s="11">
        <f t="shared" si="36"/>
        <v>3.1155329535692187E-2</v>
      </c>
    </row>
    <row r="35" spans="1:17" ht="20.100000000000001" customHeight="1" x14ac:dyDescent="0.25">
      <c r="A35" s="7" t="s">
        <v>33</v>
      </c>
      <c r="B35" s="9">
        <f>(((B33/B6)^(1/9))-1)</f>
        <v>6.7336947994268703E-2</v>
      </c>
      <c r="C35" s="9">
        <f t="shared" ref="C35:Q35" si="37">(((C33/C6)^(1/9))-1)</f>
        <v>6.9342757921067033E-2</v>
      </c>
      <c r="D35" s="9">
        <f t="shared" si="37"/>
        <v>7.502581498599703E-2</v>
      </c>
      <c r="E35" s="9">
        <f t="shared" si="37"/>
        <v>0.12861801764216541</v>
      </c>
      <c r="F35" s="9">
        <f t="shared" si="37"/>
        <v>0.10922600977043162</v>
      </c>
      <c r="G35" s="9">
        <f t="shared" si="37"/>
        <v>7.683003107192099E-2</v>
      </c>
      <c r="H35" s="9">
        <f t="shared" si="37"/>
        <v>3.0084579519260135E-2</v>
      </c>
      <c r="I35" s="9">
        <f t="shared" si="37"/>
        <v>0.10305082338842997</v>
      </c>
      <c r="J35" s="9">
        <f t="shared" si="37"/>
        <v>4.8462129996586611E-2</v>
      </c>
      <c r="K35" s="9">
        <f t="shared" si="37"/>
        <v>0.10023669500873278</v>
      </c>
      <c r="L35" s="9">
        <f t="shared" si="37"/>
        <v>0.10482276072807628</v>
      </c>
      <c r="M35" s="9">
        <f t="shared" si="37"/>
        <v>8.4912548370974728E-2</v>
      </c>
      <c r="N35" s="9">
        <f t="shared" si="37"/>
        <v>5.260648801725365E-2</v>
      </c>
      <c r="O35" s="9">
        <f t="shared" si="37"/>
        <v>0.10192183807426658</v>
      </c>
      <c r="P35" s="9">
        <f t="shared" si="37"/>
        <v>7.3480383231241841E-2</v>
      </c>
      <c r="Q35" s="9">
        <f t="shared" si="37"/>
        <v>2.6494620011046965E-2</v>
      </c>
    </row>
    <row r="36" spans="1:17" ht="20.100000000000001" customHeight="1" x14ac:dyDescent="0.25">
      <c r="A36" s="6" t="s">
        <v>36</v>
      </c>
      <c r="B36" s="14">
        <v>1218108</v>
      </c>
      <c r="C36" s="14">
        <v>2565278.2113900003</v>
      </c>
      <c r="D36" s="14">
        <v>1549746.63</v>
      </c>
      <c r="E36" s="14">
        <v>166233287</v>
      </c>
      <c r="F36" s="14">
        <f>225340615.569/1000</f>
        <v>225340.61556900002</v>
      </c>
      <c r="G36" s="14">
        <f>268503796.484/1000</f>
        <v>268503.79648400005</v>
      </c>
      <c r="H36" s="12">
        <f t="shared" ref="H36" si="38">F36/G36</f>
        <v>0.83924554706409116</v>
      </c>
      <c r="I36" s="13">
        <v>1099186.3980700001</v>
      </c>
      <c r="J36" s="13">
        <v>45933.591180000003</v>
      </c>
      <c r="K36" s="13">
        <v>1236105.8602499999</v>
      </c>
      <c r="L36" s="13">
        <f>20024797.5940368/1000</f>
        <v>20024.797594036798</v>
      </c>
      <c r="M36" s="13">
        <f>2677725.0096554/1000</f>
        <v>2677.7250096554003</v>
      </c>
      <c r="N36" s="13">
        <f>80300.5725539/1000</f>
        <v>80.300572553899997</v>
      </c>
      <c r="O36" s="13">
        <f>22780305.1384972/1000</f>
        <v>22780.305138497199</v>
      </c>
      <c r="P36" s="13">
        <f>31666313.940436/1000</f>
        <v>31666.313940435997</v>
      </c>
      <c r="Q36" s="12">
        <f t="shared" ref="Q36" si="39">O36/P36</f>
        <v>0.71938607004739208</v>
      </c>
    </row>
    <row r="37" spans="1:17" ht="20.100000000000001" customHeight="1" x14ac:dyDescent="0.25">
      <c r="A37" s="4" t="s">
        <v>31</v>
      </c>
      <c r="B37" s="11">
        <f>(B36-B33)/B33</f>
        <v>0.13510143720174778</v>
      </c>
      <c r="C37" s="11">
        <f t="shared" ref="C37:Q37" si="40">(C36-C33)/C33</f>
        <v>0.1578800405501852</v>
      </c>
      <c r="D37" s="11">
        <f t="shared" si="40"/>
        <v>0.13395411324977799</v>
      </c>
      <c r="E37" s="11">
        <f t="shared" si="40"/>
        <v>0.12991513902187921</v>
      </c>
      <c r="F37" s="11">
        <f t="shared" si="40"/>
        <v>0.13004421191060922</v>
      </c>
      <c r="G37" s="11">
        <f t="shared" si="40"/>
        <v>0.13671279538210176</v>
      </c>
      <c r="H37" s="11">
        <f t="shared" si="40"/>
        <v>-5.8665508988582473E-3</v>
      </c>
      <c r="I37" s="11">
        <f t="shared" si="40"/>
        <v>7.3124470543433254E-2</v>
      </c>
      <c r="J37" s="11">
        <f t="shared" si="40"/>
        <v>7.1628281147003495E-2</v>
      </c>
      <c r="K37" s="11">
        <f t="shared" si="40"/>
        <v>0.15832504358048913</v>
      </c>
      <c r="L37" s="11">
        <f t="shared" si="40"/>
        <v>0.1319238803579883</v>
      </c>
      <c r="M37" s="11">
        <f t="shared" si="40"/>
        <v>7.5151077845270753E-2</v>
      </c>
      <c r="N37" s="11">
        <f t="shared" si="40"/>
        <v>3.9131396516474015E-2</v>
      </c>
      <c r="O37" s="11">
        <f t="shared" si="40"/>
        <v>0.12446614233295512</v>
      </c>
      <c r="P37" s="11">
        <f t="shared" si="40"/>
        <v>0.13640854372965025</v>
      </c>
      <c r="Q37" s="11">
        <f t="shared" si="40"/>
        <v>-1.0508897933397007E-2</v>
      </c>
    </row>
    <row r="38" spans="1:17" ht="20.100000000000001" customHeight="1" x14ac:dyDescent="0.25">
      <c r="A38" s="7" t="s">
        <v>33</v>
      </c>
      <c r="B38" s="9">
        <f>(((B36/B6)^(1/10))-1)</f>
        <v>7.3927235830560489E-2</v>
      </c>
      <c r="C38" s="9">
        <f t="shared" ref="C38:Q38" si="41">(((C36/C6)^(1/10))-1)</f>
        <v>7.788293451352879E-2</v>
      </c>
      <c r="D38" s="9">
        <f t="shared" si="41"/>
        <v>8.0778140006505517E-2</v>
      </c>
      <c r="E38" s="9">
        <f t="shared" si="41"/>
        <v>0.12874766274371896</v>
      </c>
      <c r="F38" s="9">
        <f t="shared" si="41"/>
        <v>0.11129045374538959</v>
      </c>
      <c r="G38" s="9">
        <f t="shared" si="41"/>
        <v>8.267352714186349E-2</v>
      </c>
      <c r="H38" s="9">
        <f t="shared" si="41"/>
        <v>2.6431722847303218E-2</v>
      </c>
      <c r="I38" s="9">
        <f t="shared" si="41"/>
        <v>0.10002101139624719</v>
      </c>
      <c r="J38" s="9">
        <f t="shared" si="41"/>
        <v>5.0756028462653147E-2</v>
      </c>
      <c r="K38" s="9">
        <f t="shared" si="41"/>
        <v>0.1059119668039683</v>
      </c>
      <c r="L38" s="9">
        <f t="shared" si="41"/>
        <v>0.1075034139637232</v>
      </c>
      <c r="M38" s="9">
        <f t="shared" si="41"/>
        <v>8.3932426363555468E-2</v>
      </c>
      <c r="N38" s="9">
        <f t="shared" si="41"/>
        <v>5.125115269145053E-2</v>
      </c>
      <c r="O38" s="9">
        <f t="shared" si="41"/>
        <v>0.10415577790758812</v>
      </c>
      <c r="P38" s="9">
        <f t="shared" si="41"/>
        <v>7.9613111630060018E-2</v>
      </c>
      <c r="Q38" s="9">
        <f t="shared" si="41"/>
        <v>2.2732834580410088E-2</v>
      </c>
    </row>
    <row r="39" spans="1:17" ht="20.100000000000001" customHeight="1" x14ac:dyDescent="0.25">
      <c r="A39" s="42" t="s">
        <v>30</v>
      </c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4"/>
    </row>
  </sheetData>
  <mergeCells count="13"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2017-18</vt:lpstr>
      <vt:lpstr>2018-19</vt:lpstr>
      <vt:lpstr>'2017-18'!Print_Area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2020-05-11T09:59:33Z</cp:lastPrinted>
  <dcterms:created xsi:type="dcterms:W3CDTF">2018-10-29T04:00:16Z</dcterms:created>
  <dcterms:modified xsi:type="dcterms:W3CDTF">2022-12-15T09:59:14Z</dcterms:modified>
</cp:coreProperties>
</file>