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3. AIR INDIA\"/>
    </mc:Choice>
  </mc:AlternateContent>
  <bookViews>
    <workbookView xWindow="0" yWindow="0" windowWidth="24000" windowHeight="1072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" l="1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3" i="2"/>
  <c r="Q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7" i="2"/>
  <c r="B20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4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B38" i="2" l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P34" i="2" l="1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Q22" i="2"/>
  <c r="Q34" i="2"/>
  <c r="H16" i="2"/>
  <c r="H28" i="2"/>
  <c r="H10" i="2" l="1"/>
  <c r="H13" i="2"/>
  <c r="H22" i="2"/>
  <c r="H25" i="2"/>
  <c r="H34" i="2"/>
  <c r="Q10" i="2"/>
  <c r="Q13" i="2"/>
  <c r="Q16" i="2"/>
  <c r="Q19" i="2"/>
  <c r="Q25" i="2"/>
  <c r="Q28" i="2"/>
  <c r="Q31" i="2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<sst xmlns="http://schemas.openxmlformats.org/spreadsheetml/2006/main" count="60" uniqueCount="38">
  <si>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</si>
  <si>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</si>
  <si>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</si>
  <si>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</si>
  <si>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</si>
  <si>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</si>
  <si>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</si>
  <si>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</si>
  <si>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</si>
  <si>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</si>
  <si>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</si>
  <si>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</si>
  <si>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</si>
  <si>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</si>
  <si>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</si>
  <si>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</si>
  <si>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</si>
  <si>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</si>
  <si>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</si>
  <si>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</si>
  <si>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</si>
  <si>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</si>
  <si>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</si>
  <si>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</si>
  <si>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</si>
  <si>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</si>
  <si>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</si>
  <si>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</si>
  <si>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</si>
  <si>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2018-19</t>
  </si>
  <si>
    <t xml:space="preserve">तालिका - 1.05 (एयर इंडिया) </t>
  </si>
  <si>
    <t>TABLE - 1.05 (AIR INDIA)</t>
  </si>
  <si>
    <t>SOURCE: ICAO ATR FORM 'A' FURNISHED BY AIR INDIA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</si>
  <si>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</si>
  <si>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</si>
  <si>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AIR INDIA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</si>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</sst>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0" fillId="6" borderId="1" xfId="3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view="pageBreakPreview" topLeftCell="A25" zoomScaleNormal="100" zoomScaleSheetLayoutView="100" workbookViewId="0">
      <selection activeCell="L32" sqref="L32"/>
    </sheetView>
  </sheetViews>
  <sheetFormatPr defaultRowHeight="15" x14ac:dyDescent="0.25"/>
  <cols>
    <col min="1" max="1" width="10.28515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8" width="8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7.5703125" customWidth="1"/>
  </cols>
  <sheetData>
    <row r="1" spans="1:17" x14ac:dyDescent="0.25">
      <c r="A1" s="12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3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8.75" customHeight="1" x14ac:dyDescent="0.25">
      <c r="A3" s="15" t="s">
        <v>35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17" t="s">
        <v>3</v>
      </c>
      <c r="H4" s="17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17" t="s">
        <v>7</v>
      </c>
      <c r="Q4" s="17" t="s">
        <v>8</v>
      </c>
    </row>
    <row r="5" spans="1:17" ht="119.25" customHeight="1" x14ac:dyDescent="0.25">
      <c r="A5" s="15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8"/>
      <c r="H5" s="18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8"/>
      <c r="Q5" s="18"/>
    </row>
    <row r="6" spans="1:17" ht="20.100000000000001" customHeight="1" x14ac:dyDescent="0.25">
      <c r="A6" s="1" t="s">
        <v>19</v>
      </c>
      <c r="B6" s="2">
        <v>36607</v>
      </c>
      <c r="C6" s="2">
        <v>185397</v>
      </c>
      <c r="D6" s="2">
        <v>133988</v>
      </c>
      <c r="E6" s="2">
        <v>4891564</v>
      </c>
      <c r="F6" s="2">
        <v>22347.205000000002</v>
      </c>
      <c r="G6" s="2">
        <v>33052.845999999998</v>
      </c>
      <c r="H6" s="7">
        <v>67.610531934224369</v>
      </c>
      <c r="I6" s="3">
        <v>89075</v>
      </c>
      <c r="J6" s="3">
        <v>2792</v>
      </c>
      <c r="K6" s="3">
        <v>91867</v>
      </c>
      <c r="L6" s="3">
        <v>2336.2979999999998</v>
      </c>
      <c r="M6" s="3">
        <v>536.39599999999996</v>
      </c>
      <c r="N6" s="3">
        <v>23.841000000000001</v>
      </c>
      <c r="O6" s="3">
        <v>2896.5349999999999</v>
      </c>
      <c r="P6" s="3">
        <v>4875.4650000000001</v>
      </c>
      <c r="Q6" s="7">
        <v>59.41043572254133</v>
      </c>
    </row>
    <row r="7" spans="1:17" ht="20.100000000000001" customHeight="1" x14ac:dyDescent="0.25">
      <c r="A7" s="4" t="s">
        <v>27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20.100000000000001" customHeight="1" x14ac:dyDescent="0.25">
      <c r="A8" s="10" t="s">
        <v>28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20.100000000000001" customHeight="1" x14ac:dyDescent="0.25">
      <c r="A9" s="1" t="s">
        <v>20</v>
      </c>
      <c r="B9" s="2">
        <v>32847</v>
      </c>
      <c r="C9" s="2">
        <v>175852</v>
      </c>
      <c r="D9" s="2">
        <v>127953</v>
      </c>
      <c r="E9" s="2">
        <v>4902524</v>
      </c>
      <c r="F9" s="2">
        <v>22502.600999999999</v>
      </c>
      <c r="G9" s="2">
        <v>31878.617999999999</v>
      </c>
      <c r="H9" s="7">
        <v>70.588383097410315</v>
      </c>
      <c r="I9" s="3">
        <v>82042</v>
      </c>
      <c r="J9" s="3">
        <v>2414</v>
      </c>
      <c r="K9" s="3">
        <v>84456</v>
      </c>
      <c r="L9" s="3">
        <v>2347.857</v>
      </c>
      <c r="M9" s="3">
        <v>491.255</v>
      </c>
      <c r="N9" s="3">
        <v>22.681999999999999</v>
      </c>
      <c r="O9" s="3">
        <v>2861.7939999999999</v>
      </c>
      <c r="P9" s="3">
        <v>4812.9960000000001</v>
      </c>
      <c r="Q9" s="7">
        <v>59.459721138351242</v>
      </c>
    </row>
    <row r="10" spans="1:17" ht="20.100000000000001" customHeight="1" x14ac:dyDescent="0.25">
      <c r="A10" s="4" t="s">
        <v>27</v>
      </c>
      <c r="B10" s="9">
        <f t="shared" ref="B10:Q10" si="0">(B9-B6)/B6</f>
        <v>-0.10271259595159396</v>
      </c>
      <c r="C10" s="9">
        <f t="shared" si="0"/>
        <v>-5.1484112472154349E-2</v>
      </c>
      <c r="D10" s="9">
        <f t="shared" si="0"/>
        <v>-4.5041346986297283E-2</v>
      </c>
      <c r="E10" s="9">
        <f t="shared" si="0"/>
        <v>2.2405921705205127E-3</v>
      </c>
      <c r="F10" s="9">
        <f t="shared" si="0"/>
        <v>6.9537107660665835E-3</v>
      </c>
      <c r="G10" s="9">
        <f t="shared" si="0"/>
        <v>-3.5525775904441004E-2</v>
      </c>
      <c r="H10" s="9">
        <f t="shared" si="0"/>
        <v>4.404419071991595E-2</v>
      </c>
      <c r="I10" s="9">
        <f t="shared" si="0"/>
        <v>-7.8955936008981195E-2</v>
      </c>
      <c r="J10" s="9">
        <f t="shared" si="0"/>
        <v>-0.13538681948424069</v>
      </c>
      <c r="K10" s="9">
        <f t="shared" si="0"/>
        <v>-8.0670969989223545E-2</v>
      </c>
      <c r="L10" s="9">
        <f t="shared" si="0"/>
        <v>4.9475709006300559E-3</v>
      </c>
      <c r="M10" s="9">
        <f t="shared" si="0"/>
        <v>-8.4156108546670674E-2</v>
      </c>
      <c r="N10" s="9">
        <f t="shared" si="0"/>
        <v>-4.8613732645442824E-2</v>
      </c>
      <c r="O10" s="9">
        <f t="shared" si="0"/>
        <v>-1.1993985917656783E-2</v>
      </c>
      <c r="P10" s="9">
        <f t="shared" si="0"/>
        <v>-1.2812931689592695E-2</v>
      </c>
      <c r="Q10" s="9">
        <f t="shared" si="0"/>
        <v>8.2957506051773247E-4</v>
      </c>
    </row>
    <row r="11" spans="1:17" ht="20.100000000000001" customHeight="1" x14ac:dyDescent="0.25">
      <c r="A11" s="10" t="s">
        <v>28</v>
      </c>
      <c r="B11" s="6">
        <f>(((B9/B6)^(1/1))-1)</f>
        <v>-0.10271259595159399</v>
      </c>
      <c r="C11" s="6">
        <f t="shared" ref="C11:Q11" si="1">(((C9/C6)^(1/1))-1)</f>
        <v>-5.1484112472154342E-2</v>
      </c>
      <c r="D11" s="6">
        <f t="shared" si="1"/>
        <v>-4.5041346986297248E-2</v>
      </c>
      <c r="E11" s="6">
        <f t="shared" si="1"/>
        <v>2.2405921705204168E-3</v>
      </c>
      <c r="F11" s="6">
        <f t="shared" si="1"/>
        <v>6.9537107660666564E-3</v>
      </c>
      <c r="G11" s="6">
        <f t="shared" si="1"/>
        <v>-3.5525775904441059E-2</v>
      </c>
      <c r="H11" s="6">
        <f t="shared" si="1"/>
        <v>4.4044190719916054E-2</v>
      </c>
      <c r="I11" s="6">
        <f t="shared" si="1"/>
        <v>-7.8955936008981209E-2</v>
      </c>
      <c r="J11" s="6">
        <f t="shared" si="1"/>
        <v>-0.13538681948424069</v>
      </c>
      <c r="K11" s="6">
        <f t="shared" si="1"/>
        <v>-8.0670969989223518E-2</v>
      </c>
      <c r="L11" s="6">
        <f t="shared" si="1"/>
        <v>4.9475709006301383E-3</v>
      </c>
      <c r="M11" s="6">
        <f t="shared" si="1"/>
        <v>-8.415610854667066E-2</v>
      </c>
      <c r="N11" s="6">
        <f t="shared" si="1"/>
        <v>-4.8613732645442775E-2</v>
      </c>
      <c r="O11" s="6">
        <f t="shared" si="1"/>
        <v>-1.1993985917656769E-2</v>
      </c>
      <c r="P11" s="6">
        <f t="shared" si="1"/>
        <v>-1.2812931689592744E-2</v>
      </c>
      <c r="Q11" s="6">
        <f t="shared" si="1"/>
        <v>8.295750605178398E-4</v>
      </c>
    </row>
    <row r="12" spans="1:17" ht="20.100000000000001" customHeight="1" x14ac:dyDescent="0.25">
      <c r="A12" s="1" t="s">
        <v>21</v>
      </c>
      <c r="B12" s="2">
        <v>32630</v>
      </c>
      <c r="C12" s="2">
        <v>143674</v>
      </c>
      <c r="D12" s="2">
        <v>104430</v>
      </c>
      <c r="E12" s="2">
        <v>4499656</v>
      </c>
      <c r="F12" s="2">
        <v>19424.221000000001</v>
      </c>
      <c r="G12" s="2">
        <v>25936.502</v>
      </c>
      <c r="H12" s="7">
        <v>74.891444497796968</v>
      </c>
      <c r="I12" s="3">
        <v>67799</v>
      </c>
      <c r="J12" s="3">
        <v>1670</v>
      </c>
      <c r="K12" s="3">
        <v>69469</v>
      </c>
      <c r="L12" s="3">
        <v>1973.837</v>
      </c>
      <c r="M12" s="3">
        <v>359.79500000000002</v>
      </c>
      <c r="N12" s="3">
        <v>24.745999999999999</v>
      </c>
      <c r="O12" s="3">
        <v>2358.3780000000002</v>
      </c>
      <c r="P12" s="3">
        <v>3878.4119999999998</v>
      </c>
      <c r="Q12" s="7">
        <v>60.807825470837038</v>
      </c>
    </row>
    <row r="13" spans="1:17" ht="20.100000000000001" customHeight="1" x14ac:dyDescent="0.25">
      <c r="A13" s="4" t="s">
        <v>27</v>
      </c>
      <c r="B13" s="9">
        <f t="shared" ref="B13:Q13" si="2">(B12-B9)/B9</f>
        <v>-6.6063871890888054E-3</v>
      </c>
      <c r="C13" s="9">
        <f t="shared" si="2"/>
        <v>-0.18298341787412142</v>
      </c>
      <c r="D13" s="9">
        <f t="shared" si="2"/>
        <v>-0.18384094159574219</v>
      </c>
      <c r="E13" s="9">
        <f t="shared" si="2"/>
        <v>-8.2175630348775452E-2</v>
      </c>
      <c r="F13" s="9">
        <f t="shared" si="2"/>
        <v>-0.13680107468465524</v>
      </c>
      <c r="G13" s="9">
        <f t="shared" si="2"/>
        <v>-0.18639816820164534</v>
      </c>
      <c r="H13" s="9">
        <f t="shared" si="2"/>
        <v>6.0959908862744869E-2</v>
      </c>
      <c r="I13" s="9">
        <f t="shared" si="2"/>
        <v>-0.17360620170156749</v>
      </c>
      <c r="J13" s="9">
        <f t="shared" si="2"/>
        <v>-0.30820215410107704</v>
      </c>
      <c r="K13" s="9">
        <f t="shared" si="2"/>
        <v>-0.17745334848915412</v>
      </c>
      <c r="L13" s="9">
        <f t="shared" si="2"/>
        <v>-0.15930271732903664</v>
      </c>
      <c r="M13" s="9">
        <f t="shared" si="2"/>
        <v>-0.26760032976763592</v>
      </c>
      <c r="N13" s="9">
        <f t="shared" si="2"/>
        <v>9.0997266554977529E-2</v>
      </c>
      <c r="O13" s="9">
        <f t="shared" si="2"/>
        <v>-0.17590923735251374</v>
      </c>
      <c r="P13" s="9">
        <f t="shared" si="2"/>
        <v>-0.19417925965448554</v>
      </c>
      <c r="Q13" s="9">
        <f t="shared" si="2"/>
        <v>2.2672563992505432E-2</v>
      </c>
    </row>
    <row r="14" spans="1:17" ht="20.100000000000001" customHeight="1" x14ac:dyDescent="0.25">
      <c r="A14" s="10" t="s">
        <v>28</v>
      </c>
      <c r="B14" s="6">
        <f>(((B12/B6)^(1/2))-1)</f>
        <v>-5.588158791528175E-2</v>
      </c>
      <c r="C14" s="6">
        <f t="shared" ref="C14:Q14" si="3">(((C12/C6)^(1/2))-1)</f>
        <v>-0.11968573309295116</v>
      </c>
      <c r="D14" s="6">
        <f t="shared" si="3"/>
        <v>-0.11716470672120161</v>
      </c>
      <c r="E14" s="6">
        <f t="shared" si="3"/>
        <v>-4.0895813924379687E-2</v>
      </c>
      <c r="F14" s="6">
        <f t="shared" si="3"/>
        <v>-6.7690308440608749E-2</v>
      </c>
      <c r="G14" s="6">
        <f t="shared" si="3"/>
        <v>-0.11416819009111911</v>
      </c>
      <c r="H14" s="6">
        <f t="shared" si="3"/>
        <v>5.246806575538443E-2</v>
      </c>
      <c r="I14" s="6">
        <f t="shared" si="3"/>
        <v>-0.12756369720090022</v>
      </c>
      <c r="J14" s="6">
        <f t="shared" si="3"/>
        <v>-0.22660648062152799</v>
      </c>
      <c r="K14" s="6">
        <f t="shared" si="3"/>
        <v>-0.13040755794908265</v>
      </c>
      <c r="L14" s="6">
        <f t="shared" si="3"/>
        <v>-8.0839136993450467E-2</v>
      </c>
      <c r="M14" s="6">
        <f t="shared" si="3"/>
        <v>-0.18099831252631504</v>
      </c>
      <c r="N14" s="6">
        <f t="shared" si="3"/>
        <v>1.8803129717299694E-2</v>
      </c>
      <c r="O14" s="6">
        <f t="shared" si="3"/>
        <v>-9.7666009924583852E-2</v>
      </c>
      <c r="P14" s="6">
        <f t="shared" si="3"/>
        <v>-0.10809427950852879</v>
      </c>
      <c r="Q14" s="6">
        <f t="shared" si="3"/>
        <v>1.1692120976865894E-2</v>
      </c>
    </row>
    <row r="15" spans="1:17" ht="20.100000000000001" customHeight="1" x14ac:dyDescent="0.25">
      <c r="A15" s="1" t="s">
        <v>22</v>
      </c>
      <c r="B15" s="2">
        <v>34364</v>
      </c>
      <c r="C15" s="2">
        <v>166709</v>
      </c>
      <c r="D15" s="2">
        <v>123361</v>
      </c>
      <c r="E15" s="2">
        <v>5050570</v>
      </c>
      <c r="F15" s="2">
        <v>22824.661</v>
      </c>
      <c r="G15" s="2">
        <v>30495.52</v>
      </c>
      <c r="H15" s="7">
        <v>74.845947863817372</v>
      </c>
      <c r="I15" s="3">
        <v>97065</v>
      </c>
      <c r="J15" s="3">
        <v>2377.7629999999999</v>
      </c>
      <c r="K15" s="3">
        <v>99442.763000000006</v>
      </c>
      <c r="L15" s="3">
        <v>2306.7600000000002</v>
      </c>
      <c r="M15" s="3">
        <v>520.32000000000005</v>
      </c>
      <c r="N15" s="3">
        <v>17.411000000000001</v>
      </c>
      <c r="O15" s="3">
        <v>2844.491</v>
      </c>
      <c r="P15" s="3">
        <v>4492.8512000000001</v>
      </c>
      <c r="Q15" s="7">
        <v>63.3114891496963</v>
      </c>
    </row>
    <row r="16" spans="1:17" ht="20.100000000000001" customHeight="1" x14ac:dyDescent="0.25">
      <c r="A16" s="4" t="s">
        <v>27</v>
      </c>
      <c r="B16" s="9">
        <f t="shared" ref="B16:Q16" si="4">(B15-B12)/B12</f>
        <v>5.3141281029727247E-2</v>
      </c>
      <c r="C16" s="9">
        <f t="shared" si="4"/>
        <v>0.16032824310592034</v>
      </c>
      <c r="D16" s="9">
        <f t="shared" si="4"/>
        <v>0.18127932586421527</v>
      </c>
      <c r="E16" s="9">
        <f t="shared" si="4"/>
        <v>0.12243469278540405</v>
      </c>
      <c r="F16" s="9">
        <f t="shared" si="4"/>
        <v>0.17506184675308206</v>
      </c>
      <c r="G16" s="9">
        <f t="shared" si="4"/>
        <v>0.17577613203199105</v>
      </c>
      <c r="H16" s="9">
        <f t="shared" si="4"/>
        <v>-6.0750108753656446E-4</v>
      </c>
      <c r="I16" s="9">
        <f t="shared" si="4"/>
        <v>0.43165828404548739</v>
      </c>
      <c r="J16" s="9">
        <f t="shared" si="4"/>
        <v>0.42381017964071849</v>
      </c>
      <c r="K16" s="9">
        <f t="shared" si="4"/>
        <v>0.43146961954252983</v>
      </c>
      <c r="L16" s="9">
        <f t="shared" si="4"/>
        <v>0.16866792952001622</v>
      </c>
      <c r="M16" s="9">
        <f t="shared" si="4"/>
        <v>0.44615683931127453</v>
      </c>
      <c r="N16" s="9">
        <f t="shared" si="4"/>
        <v>-0.29641154125919333</v>
      </c>
      <c r="O16" s="9">
        <f t="shared" si="4"/>
        <v>0.20612174977887335</v>
      </c>
      <c r="P16" s="9">
        <f t="shared" si="4"/>
        <v>0.15842545866710403</v>
      </c>
      <c r="Q16" s="9">
        <f t="shared" si="4"/>
        <v>4.1173379568720136E-2</v>
      </c>
    </row>
    <row r="17" spans="1:17" ht="20.100000000000001" customHeight="1" x14ac:dyDescent="0.25">
      <c r="A17" s="10" t="s">
        <v>28</v>
      </c>
      <c r="B17" s="6">
        <f>(((B15/B6)^(1/3))-1)</f>
        <v>-2.0856097577904409E-2</v>
      </c>
      <c r="C17" s="6">
        <f t="shared" ref="C17:Q17" si="5">(((C15/C6)^(1/3))-1)</f>
        <v>-3.4796737160252889E-2</v>
      </c>
      <c r="D17" s="6">
        <f t="shared" si="5"/>
        <v>-2.7169169616169442E-2</v>
      </c>
      <c r="E17" s="6">
        <f t="shared" si="5"/>
        <v>1.0720058941591448E-2</v>
      </c>
      <c r="F17" s="6">
        <f t="shared" si="5"/>
        <v>7.0716592310964277E-3</v>
      </c>
      <c r="G17" s="6">
        <f t="shared" si="5"/>
        <v>-2.648556757816134E-2</v>
      </c>
      <c r="H17" s="6">
        <f t="shared" si="5"/>
        <v>3.4470189338412283E-2</v>
      </c>
      <c r="I17" s="6">
        <f t="shared" si="5"/>
        <v>2.9047943986375113E-2</v>
      </c>
      <c r="J17" s="6">
        <f t="shared" si="5"/>
        <v>-5.2125040852783244E-2</v>
      </c>
      <c r="K17" s="6">
        <f t="shared" si="5"/>
        <v>2.6765378071752943E-2</v>
      </c>
      <c r="L17" s="6">
        <f t="shared" si="5"/>
        <v>-4.2322462801378524E-3</v>
      </c>
      <c r="M17" s="6">
        <f t="shared" si="5"/>
        <v>-1.0091630086127457E-2</v>
      </c>
      <c r="N17" s="6">
        <f t="shared" si="5"/>
        <v>-9.9466757171770226E-2</v>
      </c>
      <c r="O17" s="6">
        <f t="shared" si="5"/>
        <v>-6.0254582839746051E-3</v>
      </c>
      <c r="P17" s="6">
        <f t="shared" si="5"/>
        <v>-2.6874923440680876E-2</v>
      </c>
      <c r="Q17" s="6">
        <f t="shared" si="5"/>
        <v>2.1425267582687146E-2</v>
      </c>
    </row>
    <row r="18" spans="1:17" ht="20.100000000000001" customHeight="1" x14ac:dyDescent="0.25">
      <c r="A18" s="1" t="s">
        <v>23</v>
      </c>
      <c r="B18" s="2">
        <v>35995</v>
      </c>
      <c r="C18" s="2">
        <v>178613</v>
      </c>
      <c r="D18" s="2">
        <v>158087</v>
      </c>
      <c r="E18" s="2">
        <v>5536428</v>
      </c>
      <c r="F18" s="2">
        <v>24389.325000000001</v>
      </c>
      <c r="G18" s="2">
        <v>33545.502999999997</v>
      </c>
      <c r="H18" s="7">
        <v>72.70519985942677</v>
      </c>
      <c r="I18" s="3">
        <v>105242</v>
      </c>
      <c r="J18" s="3">
        <v>3009</v>
      </c>
      <c r="K18" s="3">
        <v>108251</v>
      </c>
      <c r="L18" s="3">
        <v>2440.9050000000002</v>
      </c>
      <c r="M18" s="3">
        <v>539.18799999999999</v>
      </c>
      <c r="N18" s="3">
        <v>22.34</v>
      </c>
      <c r="O18" s="3">
        <v>3002.433</v>
      </c>
      <c r="P18" s="3">
        <v>4854.3410000000003</v>
      </c>
      <c r="Q18" s="7">
        <v>61.850475687637108</v>
      </c>
    </row>
    <row r="19" spans="1:17" ht="20.100000000000001" customHeight="1" x14ac:dyDescent="0.25">
      <c r="A19" s="4" t="s">
        <v>27</v>
      </c>
      <c r="B19" s="9">
        <f t="shared" ref="B19:Q19" si="6">(B18-B15)/B15</f>
        <v>4.7462460714701435E-2</v>
      </c>
      <c r="C19" s="9">
        <f t="shared" si="6"/>
        <v>7.1405862910820656E-2</v>
      </c>
      <c r="D19" s="9">
        <f t="shared" si="6"/>
        <v>0.28149901508580505</v>
      </c>
      <c r="E19" s="9">
        <f t="shared" si="6"/>
        <v>9.6198646885401057E-2</v>
      </c>
      <c r="F19" s="9">
        <f t="shared" si="6"/>
        <v>6.8551467204704619E-2</v>
      </c>
      <c r="G19" s="9">
        <f t="shared" si="6"/>
        <v>0.10001413322350287</v>
      </c>
      <c r="H19" s="9">
        <f t="shared" si="6"/>
        <v>-2.8602056163223494E-2</v>
      </c>
      <c r="I19" s="9">
        <f t="shared" si="6"/>
        <v>8.424251790037604E-2</v>
      </c>
      <c r="J19" s="9">
        <f t="shared" si="6"/>
        <v>0.26547515458857762</v>
      </c>
      <c r="K19" s="9">
        <f t="shared" si="6"/>
        <v>8.8575947955106524E-2</v>
      </c>
      <c r="L19" s="9">
        <f t="shared" si="6"/>
        <v>5.8152993809499023E-2</v>
      </c>
      <c r="M19" s="9">
        <f t="shared" si="6"/>
        <v>3.6262300123001107E-2</v>
      </c>
      <c r="N19" s="9">
        <f t="shared" si="6"/>
        <v>0.28309689276893907</v>
      </c>
      <c r="O19" s="9">
        <f t="shared" si="6"/>
        <v>5.5525575577493477E-2</v>
      </c>
      <c r="P19" s="9">
        <f t="shared" si="6"/>
        <v>8.045888544005203E-2</v>
      </c>
      <c r="Q19" s="9">
        <f t="shared" si="6"/>
        <v>-2.3076592916724981E-2</v>
      </c>
    </row>
    <row r="20" spans="1:17" ht="20.100000000000001" customHeight="1" x14ac:dyDescent="0.25">
      <c r="A20" s="10" t="s">
        <v>28</v>
      </c>
      <c r="B20" s="6">
        <f>(((B18/B6)^(1/4))-1)</f>
        <v>-4.2059897023513093E-3</v>
      </c>
      <c r="C20" s="6">
        <f t="shared" ref="C20:Q20" si="7">(((C18/C6)^(1/4))-1)</f>
        <v>-9.2762124157620418E-3</v>
      </c>
      <c r="D20" s="6">
        <f t="shared" si="7"/>
        <v>4.2215585363374775E-2</v>
      </c>
      <c r="E20" s="6">
        <f t="shared" si="7"/>
        <v>3.1443584836043037E-2</v>
      </c>
      <c r="F20" s="6">
        <f t="shared" si="7"/>
        <v>2.2101773816613823E-2</v>
      </c>
      <c r="G20" s="6">
        <f t="shared" si="7"/>
        <v>3.7056342338788184E-3</v>
      </c>
      <c r="H20" s="6">
        <f t="shared" si="7"/>
        <v>1.8328221896230401E-2</v>
      </c>
      <c r="I20" s="6">
        <f t="shared" si="7"/>
        <v>4.2577421509406133E-2</v>
      </c>
      <c r="J20" s="6">
        <f t="shared" si="7"/>
        <v>1.8888577368540771E-2</v>
      </c>
      <c r="K20" s="6">
        <f t="shared" si="7"/>
        <v>4.1880945922497803E-2</v>
      </c>
      <c r="L20" s="6">
        <f t="shared" si="7"/>
        <v>1.1010485818091942E-2</v>
      </c>
      <c r="M20" s="6">
        <f t="shared" si="7"/>
        <v>1.2987451147825624E-3</v>
      </c>
      <c r="N20" s="6">
        <f t="shared" si="7"/>
        <v>-1.6125566688963255E-2</v>
      </c>
      <c r="O20" s="6">
        <f t="shared" si="7"/>
        <v>9.017354815247236E-3</v>
      </c>
      <c r="P20" s="6">
        <f t="shared" si="7"/>
        <v>-1.0849431082756711E-3</v>
      </c>
      <c r="Q20" s="6">
        <f t="shared" si="7"/>
        <v>1.0113270246378869E-2</v>
      </c>
    </row>
    <row r="21" spans="1:17" ht="20.100000000000001" customHeight="1" x14ac:dyDescent="0.25">
      <c r="A21" s="1" t="s">
        <v>24</v>
      </c>
      <c r="B21" s="2">
        <v>35894</v>
      </c>
      <c r="C21" s="2">
        <v>190086</v>
      </c>
      <c r="D21" s="2">
        <v>222551</v>
      </c>
      <c r="E21" s="2">
        <v>5733667</v>
      </c>
      <c r="F21" s="2">
        <v>26299.504000000001</v>
      </c>
      <c r="G21" s="2">
        <v>35581.597999999998</v>
      </c>
      <c r="H21" s="7">
        <v>73.913217725634468</v>
      </c>
      <c r="I21" s="3">
        <v>104209</v>
      </c>
      <c r="J21" s="3">
        <v>2837</v>
      </c>
      <c r="K21" s="3">
        <v>107046</v>
      </c>
      <c r="L21" s="3">
        <v>2638.1979999999999</v>
      </c>
      <c r="M21" s="3">
        <v>467.49099999999999</v>
      </c>
      <c r="N21" s="3">
        <v>20.824999999999999</v>
      </c>
      <c r="O21" s="3">
        <v>3126.5140000000001</v>
      </c>
      <c r="P21" s="3">
        <v>5113.7240000000002</v>
      </c>
      <c r="Q21" s="7">
        <v>61.13967042413708</v>
      </c>
    </row>
    <row r="22" spans="1:17" ht="20.100000000000001" customHeight="1" x14ac:dyDescent="0.25">
      <c r="A22" s="4" t="s">
        <v>27</v>
      </c>
      <c r="B22" s="9">
        <f t="shared" ref="B22:Q22" si="8">(B21-B18)/B18</f>
        <v>-2.8059452701764136E-3</v>
      </c>
      <c r="C22" s="9">
        <f t="shared" si="8"/>
        <v>6.4233846360567254E-2</v>
      </c>
      <c r="D22" s="9">
        <f t="shared" si="8"/>
        <v>0.40777546540828785</v>
      </c>
      <c r="E22" s="9">
        <f t="shared" si="8"/>
        <v>3.5625677783581763E-2</v>
      </c>
      <c r="F22" s="9">
        <f t="shared" si="8"/>
        <v>7.8320289716915084E-2</v>
      </c>
      <c r="G22" s="9">
        <f t="shared" si="8"/>
        <v>6.0696511243250741E-2</v>
      </c>
      <c r="H22" s="9">
        <f t="shared" si="8"/>
        <v>1.6615288432510499E-2</v>
      </c>
      <c r="I22" s="9">
        <f t="shared" si="8"/>
        <v>-9.8154729100549207E-3</v>
      </c>
      <c r="J22" s="9">
        <f t="shared" si="8"/>
        <v>-5.7161847789963444E-2</v>
      </c>
      <c r="K22" s="9">
        <f t="shared" si="8"/>
        <v>-1.1131536891114169E-2</v>
      </c>
      <c r="L22" s="9">
        <f t="shared" si="8"/>
        <v>8.0827807718858224E-2</v>
      </c>
      <c r="M22" s="9">
        <f t="shared" si="8"/>
        <v>-0.13297217297120856</v>
      </c>
      <c r="N22" s="9">
        <f t="shared" si="8"/>
        <v>-6.7815577439570299E-2</v>
      </c>
      <c r="O22" s="9">
        <f t="shared" si="8"/>
        <v>4.1326817284515635E-2</v>
      </c>
      <c r="P22" s="9">
        <f t="shared" si="8"/>
        <v>5.3433205454664144E-2</v>
      </c>
      <c r="Q22" s="9">
        <f t="shared" si="8"/>
        <v>-1.1492316843120189E-2</v>
      </c>
    </row>
    <row r="23" spans="1:17" ht="20.100000000000001" customHeight="1" x14ac:dyDescent="0.25">
      <c r="A23" s="10" t="s">
        <v>28</v>
      </c>
      <c r="B23" s="6">
        <f>(((B21/B6)^(1/5))-1)</f>
        <v>-3.9261381554870356E-3</v>
      </c>
      <c r="C23" s="6">
        <f t="shared" ref="C23:Q23" si="9">(((C21/C6)^(1/5))-1)</f>
        <v>5.0079238545241989E-3</v>
      </c>
      <c r="D23" s="6">
        <f t="shared" si="9"/>
        <v>0.10680912017335142</v>
      </c>
      <c r="E23" s="6">
        <f t="shared" si="9"/>
        <v>3.2278650178639845E-2</v>
      </c>
      <c r="F23" s="6">
        <f t="shared" si="9"/>
        <v>3.310596472605587E-2</v>
      </c>
      <c r="G23" s="6">
        <f t="shared" si="9"/>
        <v>1.4853415575202034E-2</v>
      </c>
      <c r="H23" s="6">
        <f t="shared" si="9"/>
        <v>1.798540446406105E-2</v>
      </c>
      <c r="I23" s="6">
        <f t="shared" si="9"/>
        <v>3.1881626309168354E-2</v>
      </c>
      <c r="J23" s="6">
        <f t="shared" si="9"/>
        <v>3.2029125835506544E-3</v>
      </c>
      <c r="K23" s="6">
        <f t="shared" si="9"/>
        <v>3.1055829034576155E-2</v>
      </c>
      <c r="L23" s="6">
        <f t="shared" si="9"/>
        <v>2.4603487826707848E-2</v>
      </c>
      <c r="M23" s="6">
        <f t="shared" si="9"/>
        <v>-2.7123877017271369E-2</v>
      </c>
      <c r="N23" s="6">
        <f t="shared" si="9"/>
        <v>-2.6687931360392381E-2</v>
      </c>
      <c r="O23" s="6">
        <f t="shared" si="9"/>
        <v>1.5398036863968345E-2</v>
      </c>
      <c r="P23" s="6">
        <f t="shared" si="9"/>
        <v>9.5881589509336784E-3</v>
      </c>
      <c r="Q23" s="6">
        <f t="shared" si="9"/>
        <v>5.7547009258425152E-3</v>
      </c>
    </row>
    <row r="24" spans="1:17" ht="20.100000000000001" customHeight="1" x14ac:dyDescent="0.25">
      <c r="A24" s="1" t="s">
        <v>25</v>
      </c>
      <c r="B24" s="2">
        <v>35929</v>
      </c>
      <c r="C24" s="2">
        <v>201703</v>
      </c>
      <c r="D24" s="2">
        <v>230129</v>
      </c>
      <c r="E24" s="2">
        <v>5864963</v>
      </c>
      <c r="F24" s="2">
        <v>28279.398000000001</v>
      </c>
      <c r="G24" s="2">
        <v>37622.584000000003</v>
      </c>
      <c r="H24" s="7">
        <v>75.166017304925148</v>
      </c>
      <c r="I24" s="3">
        <v>113730</v>
      </c>
      <c r="J24" s="3">
        <v>3132</v>
      </c>
      <c r="K24" s="3">
        <v>116862</v>
      </c>
      <c r="L24" s="3">
        <v>2861.7020000000002</v>
      </c>
      <c r="M24" s="3">
        <v>566.57899999999995</v>
      </c>
      <c r="N24" s="3">
        <v>20.652000000000001</v>
      </c>
      <c r="O24" s="3">
        <v>3448.933</v>
      </c>
      <c r="P24" s="3">
        <v>5407.9889999999996</v>
      </c>
      <c r="Q24" s="7">
        <v>63.774778388047757</v>
      </c>
    </row>
    <row r="25" spans="1:17" ht="20.100000000000001" customHeight="1" x14ac:dyDescent="0.25">
      <c r="A25" s="4" t="s">
        <v>27</v>
      </c>
      <c r="B25" s="9">
        <f t="shared" ref="B25:Q25" si="10">(B24-B21)/B21</f>
        <v>9.7509333036162034E-4</v>
      </c>
      <c r="C25" s="9">
        <f t="shared" si="10"/>
        <v>6.1114442936355123E-2</v>
      </c>
      <c r="D25" s="9">
        <f t="shared" si="10"/>
        <v>3.4050622104596251E-2</v>
      </c>
      <c r="E25" s="9">
        <f t="shared" si="10"/>
        <v>2.2899132440024856E-2</v>
      </c>
      <c r="F25" s="9">
        <f t="shared" si="10"/>
        <v>7.5282560461976775E-2</v>
      </c>
      <c r="G25" s="9">
        <f t="shared" si="10"/>
        <v>5.7360717750788048E-2</v>
      </c>
      <c r="H25" s="9">
        <f t="shared" si="10"/>
        <v>1.6949601408790878E-2</v>
      </c>
      <c r="I25" s="9">
        <f t="shared" si="10"/>
        <v>9.1364469479603486E-2</v>
      </c>
      <c r="J25" s="9">
        <f t="shared" si="10"/>
        <v>0.10398308071906943</v>
      </c>
      <c r="K25" s="9">
        <f t="shared" si="10"/>
        <v>9.1698895801804833E-2</v>
      </c>
      <c r="L25" s="9">
        <f t="shared" si="10"/>
        <v>8.4718432809061481E-2</v>
      </c>
      <c r="M25" s="9">
        <f t="shared" si="10"/>
        <v>0.21195702163250194</v>
      </c>
      <c r="N25" s="9">
        <f t="shared" si="10"/>
        <v>-8.3073229291715858E-3</v>
      </c>
      <c r="O25" s="9">
        <f t="shared" si="10"/>
        <v>0.10312411842710439</v>
      </c>
      <c r="P25" s="9">
        <f t="shared" si="10"/>
        <v>5.7544169376368262E-2</v>
      </c>
      <c r="Q25" s="9">
        <f t="shared" si="10"/>
        <v>4.3099806486205289E-2</v>
      </c>
    </row>
    <row r="26" spans="1:17" ht="20.100000000000001" customHeight="1" x14ac:dyDescent="0.25">
      <c r="A26" s="10" t="s">
        <v>28</v>
      </c>
      <c r="B26" s="6">
        <f>(((B24/B6)^(1/6))-1)</f>
        <v>-3.1109359973210404E-3</v>
      </c>
      <c r="C26" s="6">
        <f t="shared" ref="C26:Q26" si="11">(((C24/C6)^(1/6))-1)</f>
        <v>1.4148632135203787E-2</v>
      </c>
      <c r="D26" s="6">
        <f t="shared" si="11"/>
        <v>9.4336557690886114E-2</v>
      </c>
      <c r="E26" s="6">
        <f t="shared" si="11"/>
        <v>3.0709445783600797E-2</v>
      </c>
      <c r="F26" s="6">
        <f t="shared" si="11"/>
        <v>4.001872319188049E-2</v>
      </c>
      <c r="G26" s="6">
        <f t="shared" si="11"/>
        <v>2.1817399078135846E-2</v>
      </c>
      <c r="H26" s="6">
        <f t="shared" si="11"/>
        <v>1.7812697386211607E-2</v>
      </c>
      <c r="I26" s="6">
        <f t="shared" si="11"/>
        <v>4.1565376380354291E-2</v>
      </c>
      <c r="J26" s="6">
        <f t="shared" si="11"/>
        <v>1.9336846674885555E-2</v>
      </c>
      <c r="K26" s="6">
        <f t="shared" si="11"/>
        <v>4.0923859666718965E-2</v>
      </c>
      <c r="L26" s="6">
        <f t="shared" si="11"/>
        <v>3.4386145433338511E-2</v>
      </c>
      <c r="M26" s="6">
        <f t="shared" si="11"/>
        <v>9.16572185255915E-3</v>
      </c>
      <c r="N26" s="6">
        <f t="shared" si="11"/>
        <v>-2.3648326995985958E-2</v>
      </c>
      <c r="O26" s="6">
        <f t="shared" si="11"/>
        <v>2.9518913444338324E-2</v>
      </c>
      <c r="P26" s="6">
        <f t="shared" si="11"/>
        <v>1.7427080116255933E-2</v>
      </c>
      <c r="Q26" s="6">
        <f t="shared" si="11"/>
        <v>1.188471740569419E-2</v>
      </c>
    </row>
    <row r="27" spans="1:17" ht="20.100000000000001" customHeight="1" x14ac:dyDescent="0.25">
      <c r="A27" s="1" t="s">
        <v>26</v>
      </c>
      <c r="B27" s="2">
        <v>37763</v>
      </c>
      <c r="C27" s="2">
        <v>215685.3</v>
      </c>
      <c r="D27" s="2">
        <v>244397.8</v>
      </c>
      <c r="E27" s="2">
        <v>6417080</v>
      </c>
      <c r="F27" s="2">
        <v>31696.303600000003</v>
      </c>
      <c r="G27" s="2">
        <v>39911.188900000001</v>
      </c>
      <c r="H27" s="7">
        <v>79.417086971317957</v>
      </c>
      <c r="I27" s="3">
        <v>129845.6</v>
      </c>
      <c r="J27" s="3">
        <v>4519.232</v>
      </c>
      <c r="K27" s="3">
        <v>134364.83199999999</v>
      </c>
      <c r="L27" s="3">
        <v>3158.2957999999999</v>
      </c>
      <c r="M27" s="3">
        <v>710.22080000000005</v>
      </c>
      <c r="N27" s="3">
        <v>29.6312</v>
      </c>
      <c r="O27" s="3">
        <v>3898.1477999999997</v>
      </c>
      <c r="P27" s="3">
        <v>5753.8510999999999</v>
      </c>
      <c r="Q27" s="7">
        <v>67.748499783040955</v>
      </c>
    </row>
    <row r="28" spans="1:17" ht="20.100000000000001" customHeight="1" x14ac:dyDescent="0.25">
      <c r="A28" s="4" t="s">
        <v>27</v>
      </c>
      <c r="B28" s="9">
        <f t="shared" ref="B28:Q28" si="12">(B27-B24)/B24</f>
        <v>5.1045116758050603E-2</v>
      </c>
      <c r="C28" s="9">
        <f t="shared" si="12"/>
        <v>6.9321229728858708E-2</v>
      </c>
      <c r="D28" s="9">
        <f t="shared" si="12"/>
        <v>6.2003485001890193E-2</v>
      </c>
      <c r="E28" s="9">
        <f t="shared" si="12"/>
        <v>9.4138189789091595E-2</v>
      </c>
      <c r="F28" s="9">
        <f t="shared" si="12"/>
        <v>0.12082667389171445</v>
      </c>
      <c r="G28" s="9">
        <f t="shared" si="12"/>
        <v>6.0830614399053462E-2</v>
      </c>
      <c r="H28" s="9">
        <f t="shared" si="12"/>
        <v>5.6555739133384457E-2</v>
      </c>
      <c r="I28" s="9">
        <f t="shared" si="12"/>
        <v>0.14170051877253148</v>
      </c>
      <c r="J28" s="9">
        <f t="shared" si="12"/>
        <v>0.44292209450830139</v>
      </c>
      <c r="K28" s="9">
        <f t="shared" si="12"/>
        <v>0.14977351063647718</v>
      </c>
      <c r="L28" s="9">
        <f t="shared" si="12"/>
        <v>0.10364244774613136</v>
      </c>
      <c r="M28" s="9">
        <f t="shared" si="12"/>
        <v>0.25352475118209483</v>
      </c>
      <c r="N28" s="9">
        <f t="shared" si="12"/>
        <v>0.43478597714507061</v>
      </c>
      <c r="O28" s="9">
        <f t="shared" si="12"/>
        <v>0.1302474707395011</v>
      </c>
      <c r="P28" s="9">
        <f t="shared" si="12"/>
        <v>6.3953920764261971E-2</v>
      </c>
      <c r="Q28" s="9">
        <f t="shared" si="12"/>
        <v>6.2308666457677991E-2</v>
      </c>
    </row>
    <row r="29" spans="1:17" ht="20.100000000000001" customHeight="1" x14ac:dyDescent="0.25">
      <c r="A29" s="10" t="s">
        <v>28</v>
      </c>
      <c r="B29" s="6">
        <f>(((B27/B6)^(1/7))-1)</f>
        <v>4.451350575927826E-3</v>
      </c>
      <c r="C29" s="6">
        <f t="shared" ref="C29:Q29" si="13">(((C27/C6)^(1/7))-1)</f>
        <v>2.185262167431179E-2</v>
      </c>
      <c r="D29" s="6">
        <f t="shared" si="13"/>
        <v>8.9657966242404852E-2</v>
      </c>
      <c r="E29" s="6">
        <f t="shared" si="13"/>
        <v>3.9540437130545891E-2</v>
      </c>
      <c r="F29" s="6">
        <f t="shared" si="13"/>
        <v>5.1195829726308206E-2</v>
      </c>
      <c r="G29" s="6">
        <f t="shared" si="13"/>
        <v>2.7301617987172788E-2</v>
      </c>
      <c r="H29" s="6">
        <f t="shared" si="13"/>
        <v>2.3259198000634029E-2</v>
      </c>
      <c r="I29" s="6">
        <f t="shared" si="13"/>
        <v>5.531382963523046E-2</v>
      </c>
      <c r="J29" s="6">
        <f t="shared" si="13"/>
        <v>7.1219476925101111E-2</v>
      </c>
      <c r="K29" s="6">
        <f t="shared" si="13"/>
        <v>5.5818919263613598E-2</v>
      </c>
      <c r="L29" s="6">
        <f t="shared" si="13"/>
        <v>4.4007237447503789E-2</v>
      </c>
      <c r="M29" s="6">
        <f t="shared" si="13"/>
        <v>4.091533830560401E-2</v>
      </c>
      <c r="N29" s="6">
        <f t="shared" si="13"/>
        <v>3.1547552940875079E-2</v>
      </c>
      <c r="O29" s="6">
        <f t="shared" si="13"/>
        <v>4.3339490661967739E-2</v>
      </c>
      <c r="P29" s="6">
        <f t="shared" si="13"/>
        <v>2.3947077581612186E-2</v>
      </c>
      <c r="Q29" s="6">
        <f t="shared" si="13"/>
        <v>1.8938882199026397E-2</v>
      </c>
    </row>
    <row r="30" spans="1:17" ht="20.100000000000001" customHeight="1" x14ac:dyDescent="0.25">
      <c r="A30" s="1" t="s">
        <v>29</v>
      </c>
      <c r="B30" s="2">
        <v>40495</v>
      </c>
      <c r="C30" s="2">
        <v>242179.60299999997</v>
      </c>
      <c r="D30" s="2">
        <v>257758.03599999999</v>
      </c>
      <c r="E30" s="2">
        <v>6803568</v>
      </c>
      <c r="F30" s="2">
        <v>34101.547025999993</v>
      </c>
      <c r="G30" s="2">
        <v>43621.319530999994</v>
      </c>
      <c r="H30" s="7">
        <v>78.176330731502361</v>
      </c>
      <c r="I30" s="3">
        <v>142299.19584999999</v>
      </c>
      <c r="J30" s="3">
        <v>4917.4400000000005</v>
      </c>
      <c r="K30" s="3">
        <v>147216.63585000002</v>
      </c>
      <c r="L30" s="3">
        <v>3392.1562839999997</v>
      </c>
      <c r="M30" s="3">
        <v>791.89041525240009</v>
      </c>
      <c r="N30" s="3">
        <v>29.152007000000001</v>
      </c>
      <c r="O30" s="3">
        <v>4213.1987062523995</v>
      </c>
      <c r="P30" s="3">
        <v>6294.1163060360004</v>
      </c>
      <c r="Q30" s="7">
        <v>66.938685295852892</v>
      </c>
    </row>
    <row r="31" spans="1:17" ht="20.100000000000001" customHeight="1" x14ac:dyDescent="0.25">
      <c r="A31" s="4" t="s">
        <v>27</v>
      </c>
      <c r="B31" s="9">
        <f>(B30-B27)/B27</f>
        <v>7.234594709106798E-2</v>
      </c>
      <c r="C31" s="9">
        <f t="shared" ref="C31:Q31" si="14">(C30-C27)/C27</f>
        <v>0.1228377780034151</v>
      </c>
      <c r="D31" s="9">
        <f t="shared" si="14"/>
        <v>5.466594216478219E-2</v>
      </c>
      <c r="E31" s="9">
        <f t="shared" si="14"/>
        <v>6.0228016481016285E-2</v>
      </c>
      <c r="F31" s="9">
        <f t="shared" si="14"/>
        <v>7.5884035449483453E-2</v>
      </c>
      <c r="G31" s="9">
        <f t="shared" si="14"/>
        <v>9.2959662020992637E-2</v>
      </c>
      <c r="H31" s="9">
        <f t="shared" si="14"/>
        <v>-1.5623290744266456E-2</v>
      </c>
      <c r="I31" s="9">
        <f t="shared" si="14"/>
        <v>9.5910803677598494E-2</v>
      </c>
      <c r="J31" s="9">
        <f t="shared" si="14"/>
        <v>8.8114086641270142E-2</v>
      </c>
      <c r="K31" s="9">
        <f t="shared" si="14"/>
        <v>9.5648568592710523E-2</v>
      </c>
      <c r="L31" s="9">
        <f t="shared" si="14"/>
        <v>7.4046415791706344E-2</v>
      </c>
      <c r="M31" s="9">
        <f t="shared" si="14"/>
        <v>0.11499186626525164</v>
      </c>
      <c r="N31" s="9">
        <f t="shared" si="14"/>
        <v>-1.6171906638948089E-2</v>
      </c>
      <c r="O31" s="9">
        <f t="shared" si="14"/>
        <v>8.0820667254432932E-2</v>
      </c>
      <c r="P31" s="9">
        <f t="shared" si="14"/>
        <v>9.3896278622156312E-2</v>
      </c>
      <c r="Q31" s="9">
        <f t="shared" si="14"/>
        <v>-1.1953246046501817E-2</v>
      </c>
    </row>
    <row r="32" spans="1:17" ht="20.100000000000001" customHeight="1" x14ac:dyDescent="0.25">
      <c r="A32" s="10" t="s">
        <v>28</v>
      </c>
      <c r="B32" s="6">
        <f>(((B30/B6)^(1/8))-1)</f>
        <v>1.2697313804339805E-2</v>
      </c>
      <c r="C32" s="6">
        <f t="shared" ref="C32:Q32" si="15">(((C30/C6)^(1/8))-1)</f>
        <v>3.3961475375354322E-2</v>
      </c>
      <c r="D32" s="6">
        <f t="shared" si="15"/>
        <v>8.5221248666223159E-2</v>
      </c>
      <c r="E32" s="6">
        <f t="shared" si="15"/>
        <v>4.2104145947555738E-2</v>
      </c>
      <c r="F32" s="6">
        <f t="shared" si="15"/>
        <v>5.4250604101830247E-2</v>
      </c>
      <c r="G32" s="6">
        <f t="shared" si="15"/>
        <v>3.5288148218823645E-2</v>
      </c>
      <c r="H32" s="6">
        <f t="shared" si="15"/>
        <v>1.8316114132699068E-2</v>
      </c>
      <c r="I32" s="6">
        <f t="shared" si="15"/>
        <v>6.0305042653234109E-2</v>
      </c>
      <c r="J32" s="6">
        <f t="shared" si="15"/>
        <v>7.331687360831296E-2</v>
      </c>
      <c r="K32" s="6">
        <f t="shared" si="15"/>
        <v>6.0717342062809987E-2</v>
      </c>
      <c r="L32" s="6">
        <f t="shared" si="15"/>
        <v>4.7715700271909522E-2</v>
      </c>
      <c r="M32" s="6">
        <f t="shared" si="15"/>
        <v>4.9898812444689966E-2</v>
      </c>
      <c r="N32" s="6">
        <f t="shared" si="15"/>
        <v>2.5458286755341453E-2</v>
      </c>
      <c r="O32" s="6">
        <f t="shared" si="15"/>
        <v>4.795261374555615E-2</v>
      </c>
      <c r="P32" s="6">
        <f t="shared" si="15"/>
        <v>3.2440042659725332E-2</v>
      </c>
      <c r="Q32" s="6">
        <f t="shared" si="15"/>
        <v>1.502515443499064E-2</v>
      </c>
    </row>
    <row r="33" spans="1:17" ht="20.100000000000001" customHeight="1" x14ac:dyDescent="0.25">
      <c r="A33" s="5" t="s">
        <v>33</v>
      </c>
      <c r="B33" s="2">
        <v>41821</v>
      </c>
      <c r="C33" s="2">
        <v>245421.01666666658</v>
      </c>
      <c r="D33" s="2">
        <v>252408.75699999998</v>
      </c>
      <c r="E33" s="2">
        <v>7061529</v>
      </c>
      <c r="F33" s="2">
        <v>35436.686162999998</v>
      </c>
      <c r="G33" s="2">
        <v>44106.834387000003</v>
      </c>
      <c r="H33" s="7">
        <v>80.342846308291314</v>
      </c>
      <c r="I33" s="3">
        <v>130412.41660000003</v>
      </c>
      <c r="J33" s="3">
        <v>6161.6389999999992</v>
      </c>
      <c r="K33" s="3">
        <v>136574.05560000002</v>
      </c>
      <c r="L33" s="3">
        <v>3593.0507414399999</v>
      </c>
      <c r="M33" s="3">
        <v>735.78242448939989</v>
      </c>
      <c r="N33" s="3">
        <v>33.876048000000011</v>
      </c>
      <c r="O33" s="3">
        <v>4362.7092139293991</v>
      </c>
      <c r="P33" s="3">
        <v>6351.8741288840038</v>
      </c>
      <c r="Q33" s="7">
        <v>68.683810878599829</v>
      </c>
    </row>
    <row r="34" spans="1:17" ht="20.100000000000001" customHeight="1" x14ac:dyDescent="0.25">
      <c r="A34" s="4" t="s">
        <v>27</v>
      </c>
      <c r="B34" s="9">
        <f>(B33-B30)/B30</f>
        <v>3.2744783306581059E-2</v>
      </c>
      <c r="C34" s="9">
        <f t="shared" ref="C34:Q34" si="16">(C33-C30)/C30</f>
        <v>1.3384338014075455E-2</v>
      </c>
      <c r="D34" s="9">
        <f t="shared" si="16"/>
        <v>-2.0753102727707039E-2</v>
      </c>
      <c r="E34" s="9">
        <f t="shared" si="16"/>
        <v>3.7915546666102258E-2</v>
      </c>
      <c r="F34" s="9">
        <f t="shared" si="16"/>
        <v>3.9151864165636166E-2</v>
      </c>
      <c r="G34" s="9">
        <f t="shared" si="16"/>
        <v>1.1130219379424598E-2</v>
      </c>
      <c r="H34" s="9">
        <f t="shared" si="16"/>
        <v>2.7713190891881064E-2</v>
      </c>
      <c r="I34" s="9">
        <f t="shared" si="16"/>
        <v>-8.3533706420449633E-2</v>
      </c>
      <c r="J34" s="9">
        <f t="shared" si="16"/>
        <v>0.25301762705798109</v>
      </c>
      <c r="K34" s="9">
        <f t="shared" si="16"/>
        <v>-7.229196747060429E-2</v>
      </c>
      <c r="L34" s="9">
        <f t="shared" si="16"/>
        <v>5.9223231661693167E-2</v>
      </c>
      <c r="M34" s="9">
        <f t="shared" si="16"/>
        <v>-7.0853226257470037E-2</v>
      </c>
      <c r="N34" s="9">
        <f t="shared" si="16"/>
        <v>0.16204856838844783</v>
      </c>
      <c r="O34" s="9">
        <f t="shared" si="16"/>
        <v>3.5486222725532882E-2</v>
      </c>
      <c r="P34" s="9">
        <f t="shared" si="16"/>
        <v>9.1764784823906275E-3</v>
      </c>
      <c r="Q34" s="9">
        <f t="shared" si="16"/>
        <v>2.6070508780295001E-2</v>
      </c>
    </row>
    <row r="35" spans="1:17" ht="20.100000000000001" customHeight="1" x14ac:dyDescent="0.25">
      <c r="A35" s="10" t="s">
        <v>28</v>
      </c>
      <c r="B35" s="6">
        <f>(((B33/B6)^(1/9))-1)</f>
        <v>1.490545313031677E-2</v>
      </c>
      <c r="C35" s="6">
        <f t="shared" ref="C35:Q35" si="17">(((C33/C6)^(1/9))-1)</f>
        <v>3.1654646915712403E-2</v>
      </c>
      <c r="D35" s="6">
        <f t="shared" si="17"/>
        <v>7.2901456444469659E-2</v>
      </c>
      <c r="E35" s="6">
        <f t="shared" si="17"/>
        <v>4.1637912533629917E-2</v>
      </c>
      <c r="F35" s="6">
        <f t="shared" si="17"/>
        <v>5.2562190475099246E-2</v>
      </c>
      <c r="G35" s="6">
        <f t="shared" si="17"/>
        <v>3.2575680203763335E-2</v>
      </c>
      <c r="H35" s="6">
        <f t="shared" si="17"/>
        <v>1.9355976181224754E-2</v>
      </c>
      <c r="I35" s="6">
        <f t="shared" si="17"/>
        <v>4.3268035443088548E-2</v>
      </c>
      <c r="J35" s="6">
        <f t="shared" si="17"/>
        <v>9.1937725352921218E-2</v>
      </c>
      <c r="K35" s="6">
        <f t="shared" si="17"/>
        <v>4.5043327958235846E-2</v>
      </c>
      <c r="L35" s="6">
        <f t="shared" si="17"/>
        <v>4.8988116096175816E-2</v>
      </c>
      <c r="M35" s="6">
        <f t="shared" si="17"/>
        <v>3.5741891730553199E-2</v>
      </c>
      <c r="N35" s="6">
        <f t="shared" si="17"/>
        <v>3.9805308268481943E-2</v>
      </c>
      <c r="O35" s="6">
        <f t="shared" si="17"/>
        <v>4.6560080424511652E-2</v>
      </c>
      <c r="P35" s="6">
        <f t="shared" si="17"/>
        <v>2.9828943002228492E-2</v>
      </c>
      <c r="Q35" s="6">
        <f t="shared" si="17"/>
        <v>1.6246520877056803E-2</v>
      </c>
    </row>
    <row r="36" spans="1:17" ht="20.100000000000001" customHeight="1" x14ac:dyDescent="0.25">
      <c r="A36" s="5" t="s">
        <v>36</v>
      </c>
      <c r="B36" s="2">
        <v>10202</v>
      </c>
      <c r="C36" s="2">
        <v>80041.125000000015</v>
      </c>
      <c r="D36" s="2">
        <v>70466.5</v>
      </c>
      <c r="E36" s="2">
        <v>1519104</v>
      </c>
      <c r="F36" s="2">
        <v>10959.015120999999</v>
      </c>
      <c r="G36" s="2">
        <v>16431.978261</v>
      </c>
      <c r="H36" s="7">
        <v>66.69321822930084</v>
      </c>
      <c r="I36" s="3">
        <v>39382.725299999998</v>
      </c>
      <c r="J36" s="3">
        <v>35.51</v>
      </c>
      <c r="K36" s="3">
        <v>39418.235300000008</v>
      </c>
      <c r="L36" s="3">
        <v>1011.1704910899997</v>
      </c>
      <c r="M36" s="3">
        <v>265.38220219579995</v>
      </c>
      <c r="N36" s="3">
        <v>0.30548060680614414</v>
      </c>
      <c r="O36" s="3">
        <v>1276.8581738926064</v>
      </c>
      <c r="P36" s="3">
        <v>2501.9295646080004</v>
      </c>
      <c r="Q36" s="7">
        <v>51.034936872519957</v>
      </c>
    </row>
    <row r="37" spans="1:17" ht="20.100000000000001" customHeight="1" x14ac:dyDescent="0.25">
      <c r="A37" s="4" t="s">
        <v>27</v>
      </c>
      <c r="B37" s="9">
        <f>(B36-B33)/B33</f>
        <v>-0.75605557016809732</v>
      </c>
      <c r="C37" s="9">
        <f t="shared" ref="C37:Q37" si="18">(C36-C33)/C33</f>
        <v>-0.67386197772657452</v>
      </c>
      <c r="D37" s="9">
        <f t="shared" si="18"/>
        <v>-0.72082386983110891</v>
      </c>
      <c r="E37" s="9">
        <f t="shared" si="18"/>
        <v>-0.78487605163131102</v>
      </c>
      <c r="F37" s="9">
        <f t="shared" si="18"/>
        <v>-0.69074379385839757</v>
      </c>
      <c r="G37" s="9">
        <f t="shared" si="18"/>
        <v>-0.62745051896440018</v>
      </c>
      <c r="H37" s="9">
        <f t="shared" si="18"/>
        <v>-0.1698922642921333</v>
      </c>
      <c r="I37" s="9">
        <f t="shared" si="18"/>
        <v>-0.69801399033349421</v>
      </c>
      <c r="J37" s="9">
        <f t="shared" si="18"/>
        <v>-0.9942369230005198</v>
      </c>
      <c r="K37" s="9">
        <f t="shared" si="18"/>
        <v>-0.7113783058808133</v>
      </c>
      <c r="L37" s="9">
        <f t="shared" si="18"/>
        <v>-0.7185760614433323</v>
      </c>
      <c r="M37" s="9">
        <f t="shared" si="18"/>
        <v>-0.63931973180799562</v>
      </c>
      <c r="N37" s="9">
        <f t="shared" si="18"/>
        <v>-0.99098240128818615</v>
      </c>
      <c r="O37" s="9">
        <f t="shared" si="18"/>
        <v>-0.70732448318677477</v>
      </c>
      <c r="P37" s="9">
        <f t="shared" si="18"/>
        <v>-0.60611159575235818</v>
      </c>
      <c r="Q37" s="9">
        <f t="shared" si="18"/>
        <v>-0.25695828143948873</v>
      </c>
    </row>
    <row r="38" spans="1:17" ht="20.100000000000001" customHeight="1" x14ac:dyDescent="0.25">
      <c r="A38" s="10" t="s">
        <v>28</v>
      </c>
      <c r="B38" s="6">
        <f>(((B36/B6)^(1/10))-1)</f>
        <v>-0.11994033260014647</v>
      </c>
      <c r="C38" s="6">
        <f t="shared" ref="C38:Q38" si="19">(((C36/C6)^(1/10))-1)</f>
        <v>-8.0564965649017828E-2</v>
      </c>
      <c r="D38" s="6">
        <f t="shared" si="19"/>
        <v>-6.2240052662831391E-2</v>
      </c>
      <c r="E38" s="6">
        <f t="shared" si="19"/>
        <v>-0.11036066515741028</v>
      </c>
      <c r="F38" s="6">
        <f t="shared" si="19"/>
        <v>-6.8774561224231978E-2</v>
      </c>
      <c r="G38" s="6">
        <f t="shared" si="19"/>
        <v>-6.750159174651138E-2</v>
      </c>
      <c r="H38" s="6">
        <f t="shared" si="19"/>
        <v>-1.365117051625564E-3</v>
      </c>
      <c r="I38" s="6">
        <f t="shared" si="19"/>
        <v>-7.8373415612084774E-2</v>
      </c>
      <c r="J38" s="6">
        <f t="shared" si="19"/>
        <v>-0.35368605591379021</v>
      </c>
      <c r="K38" s="6">
        <f t="shared" si="19"/>
        <v>-8.1130652159752681E-2</v>
      </c>
      <c r="L38" s="6">
        <f t="shared" si="19"/>
        <v>-8.0335092569329913E-2</v>
      </c>
      <c r="M38" s="6">
        <f t="shared" si="19"/>
        <v>-6.7951254374607473E-2</v>
      </c>
      <c r="N38" s="6">
        <f t="shared" si="19"/>
        <v>-0.35320609653964274</v>
      </c>
      <c r="O38" s="6">
        <f t="shared" si="19"/>
        <v>-7.8646291934998502E-2</v>
      </c>
      <c r="P38" s="6">
        <f t="shared" si="19"/>
        <v>-6.4538531686536893E-2</v>
      </c>
      <c r="Q38" s="6">
        <f t="shared" si="19"/>
        <v>-1.5081070387534368E-2</v>
      </c>
    </row>
    <row r="39" spans="1:17" x14ac:dyDescent="0.25">
      <c r="A39" s="21" t="s">
        <v>32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19" t="s">
        <v>34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ht="32.25" customHeight="1" x14ac:dyDescent="0.25">
      <c r="A41" s="23" t="s">
        <v>37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9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2022-04-25T06:26:03Z</cp:lastPrinted>
  <dcterms:created xsi:type="dcterms:W3CDTF">2018-10-29T04:00:15Z</dcterms:created>
  <dcterms:modified xsi:type="dcterms:W3CDTF">2022-04-25T06:26:08Z</dcterms:modified>
</cp:coreProperties>
</file>