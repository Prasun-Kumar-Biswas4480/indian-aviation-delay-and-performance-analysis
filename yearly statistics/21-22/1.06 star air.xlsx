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4. STAR AIR\"/>
    </mc:Choice>
  </mc:AlternateContent>
  <bookViews>
    <workbookView xWindow="0" yWindow="0" windowWidth="11970" windowHeight="9495"/>
  </bookViews>
  <sheets>
    <sheet name="STAR AIR" sheetId="1" r:id="rId1"/>
  </sheets>
  <definedNames>
    <definedName name="_xlnm.Print_Area" localSheetId="0">'STAR AIR'!$A$1:$Q$40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6" i="1" l="1"/>
  <c r="H36" i="1"/>
  <c r="Q37" i="1" l="1"/>
  <c r="P37" i="1"/>
  <c r="O37" i="1"/>
  <c r="L37" i="1"/>
  <c r="H37" i="1"/>
  <c r="G37" i="1"/>
  <c r="F37" i="1"/>
  <c r="E37" i="1"/>
  <c r="D37" i="1"/>
  <c r="C37" i="1"/>
  <c r="B37" i="1"/>
</calcChain>
</file>

<file path=xl/sharedStrings.xml><?xml version="1.0" encoding="utf-8"?>
<sst xmlns="http://schemas.openxmlformats.org/spreadsheetml/2006/main" count="150" uniqueCount="39">
  <si>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</si>
  <si>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</si>
  <si>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</si>
  <si>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</si>
  <si>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</si>
  <si>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</si>
  <si>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</si>
  <si>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</si>
  <si>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</si>
  <si>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</si>
  <si>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</si>
  <si>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</si>
  <si>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</si>
  <si>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</si>
  <si>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</si>
  <si>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</si>
  <si>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</si>
  <si>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</si>
  <si>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</si>
  <si>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</si>
  <si>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</si>
  <si>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</si>
  <si>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</si>
  <si>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</si>
  <si>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</si>
  <si>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</si>
  <si>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</si>
  <si>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</si>
  <si>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</si>
  <si>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</si>
  <si>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</si>
  <si>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 xml:space="preserve"> तालिका- 1.06 (स्टार एयर))</t>
  </si>
  <si>
    <t>TABLE - 1.06 (STAR AIR)</t>
  </si>
  <si>
    <t>SOURCE: ICAO ATR FORM 'A' FURNISHED BY STAR AIR</t>
  </si>
  <si>
    <t>2019-20</t>
  </si>
  <si>
    <t xml:space="preserve">YEAR ON YEAR GROWTH AND CAGR FOR LAST TEN YEARS OF STAR AIR ON TOTAL (DOMESTIC + INTERNATIONAL) SCHEDULED SERVICES (ALL AIR TRAFFIC AND OPERATING STATISTICS) 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</si>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</sst>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4" fontId="4" fillId="8" borderId="1" xfId="1" applyNumberFormat="1" applyFill="1" applyBorder="1" applyAlignment="1" applyProtection="1">
      <alignment horizontal="right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8" borderId="1" xfId="3" applyNumberFormat="1" applyFill="1" applyBorder="1" applyAlignment="1" applyProtection="1">
      <alignment horizontal="right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8" fillId="7" borderId="1" xfId="1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right" vertical="center" wrapText="1"/>
    </xf>
    <xf numFmtId="0" fontId="1" fillId="0" borderId="2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topLeftCell="A25" zoomScaleNormal="100" zoomScaleSheetLayoutView="100" workbookViewId="0">
      <selection activeCell="N37" sqref="N37"/>
    </sheetView>
  </sheetViews>
  <sheetFormatPr defaultColWidth="9.140625" defaultRowHeight="15" x14ac:dyDescent="0.25"/>
  <cols>
    <col min="1" max="1" width="9.5703125" style="1" customWidth="1"/>
    <col min="2" max="17" width="9.7109375" style="1" customWidth="1"/>
    <col min="18" max="16384" width="9.140625" style="1"/>
  </cols>
  <sheetData>
    <row r="1" spans="1:17" ht="21" customHeight="1" x14ac:dyDescent="0.25">
      <c r="A1" s="26" t="s">
        <v>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21" customHeight="1" x14ac:dyDescent="0.25">
      <c r="A2" s="27" t="s">
        <v>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2.5" customHeight="1" x14ac:dyDescent="0.25">
      <c r="A3" s="29" t="s">
        <v>35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ht="15" customHeight="1" x14ac:dyDescent="0.25">
      <c r="A4" s="29" t="s">
        <v>0</v>
      </c>
      <c r="B4" s="29" t="s">
        <v>1</v>
      </c>
      <c r="C4" s="29"/>
      <c r="D4" s="29"/>
      <c r="E4" s="29" t="s">
        <v>2</v>
      </c>
      <c r="F4" s="30"/>
      <c r="G4" s="20" t="s">
        <v>3</v>
      </c>
      <c r="H4" s="20" t="s">
        <v>4</v>
      </c>
      <c r="I4" s="29" t="s">
        <v>5</v>
      </c>
      <c r="J4" s="29"/>
      <c r="K4" s="29"/>
      <c r="L4" s="29" t="s">
        <v>6</v>
      </c>
      <c r="M4" s="29"/>
      <c r="N4" s="29"/>
      <c r="O4" s="29"/>
      <c r="P4" s="20" t="s">
        <v>7</v>
      </c>
      <c r="Q4" s="20" t="s">
        <v>8</v>
      </c>
    </row>
    <row r="5" spans="1:17" ht="132" customHeight="1" x14ac:dyDescent="0.25">
      <c r="A5" s="29"/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  <c r="G5" s="21"/>
      <c r="H5" s="21"/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15</v>
      </c>
      <c r="O5" s="16" t="s">
        <v>16</v>
      </c>
      <c r="P5" s="21"/>
      <c r="Q5" s="21"/>
    </row>
    <row r="6" spans="1:17" ht="24.95" customHeight="1" x14ac:dyDescent="0.25">
      <c r="A6" s="4" t="s">
        <v>19</v>
      </c>
      <c r="B6" s="8"/>
      <c r="C6" s="8"/>
      <c r="D6" s="8"/>
      <c r="E6" s="8"/>
      <c r="F6" s="8"/>
      <c r="G6" s="8"/>
      <c r="H6" s="10"/>
      <c r="I6" s="7"/>
      <c r="J6" s="7"/>
      <c r="K6" s="7"/>
      <c r="L6" s="7"/>
      <c r="M6" s="7"/>
      <c r="N6" s="7"/>
      <c r="O6" s="7"/>
      <c r="P6" s="7"/>
      <c r="Q6" s="10"/>
    </row>
    <row r="7" spans="1:17" ht="24.95" customHeight="1" x14ac:dyDescent="0.25">
      <c r="A7" s="3" t="s">
        <v>27</v>
      </c>
      <c r="B7" s="11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2"/>
    </row>
    <row r="8" spans="1:17" ht="24.95" customHeight="1" x14ac:dyDescent="0.25">
      <c r="A8" s="5" t="s">
        <v>29</v>
      </c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O8" s="6"/>
      <c r="P8" s="6"/>
      <c r="Q8" s="9"/>
    </row>
    <row r="9" spans="1:17" ht="24.95" customHeight="1" x14ac:dyDescent="0.25">
      <c r="A9" s="4" t="s">
        <v>20</v>
      </c>
      <c r="B9" s="8"/>
      <c r="C9" s="8"/>
      <c r="D9" s="8"/>
      <c r="E9" s="8"/>
      <c r="F9" s="8"/>
      <c r="G9" s="8"/>
      <c r="H9" s="10"/>
      <c r="I9" s="7"/>
      <c r="J9" s="7"/>
      <c r="K9" s="7"/>
      <c r="L9" s="7"/>
      <c r="M9" s="7"/>
      <c r="N9" s="7"/>
      <c r="O9" s="7"/>
      <c r="P9" s="7"/>
      <c r="Q9" s="10"/>
    </row>
    <row r="10" spans="1:17" ht="24.95" customHeight="1" x14ac:dyDescent="0.25">
      <c r="A10" s="3" t="s">
        <v>27</v>
      </c>
      <c r="B10" s="11"/>
      <c r="C10" s="11"/>
      <c r="D10" s="11"/>
      <c r="E10" s="11"/>
      <c r="F10" s="11"/>
      <c r="G10" s="11"/>
      <c r="H10" s="12"/>
      <c r="I10" s="11"/>
      <c r="J10" s="11"/>
      <c r="K10" s="11"/>
      <c r="L10" s="11"/>
      <c r="M10" s="11"/>
      <c r="N10" s="11"/>
      <c r="O10" s="11"/>
      <c r="P10" s="11"/>
      <c r="Q10" s="12"/>
    </row>
    <row r="11" spans="1:17" s="2" customFormat="1" ht="24.95" customHeight="1" x14ac:dyDescent="0.25">
      <c r="A11" s="5" t="s">
        <v>29</v>
      </c>
      <c r="B11" s="6"/>
      <c r="C11" s="6"/>
      <c r="D11" s="6"/>
      <c r="E11" s="6"/>
      <c r="F11" s="6"/>
      <c r="G11" s="6"/>
      <c r="H11" s="9"/>
      <c r="I11" s="6"/>
      <c r="J11" s="6"/>
      <c r="K11" s="6"/>
      <c r="L11" s="6"/>
      <c r="M11" s="6"/>
      <c r="N11" s="6"/>
      <c r="O11" s="6"/>
      <c r="P11" s="6"/>
      <c r="Q11" s="9"/>
    </row>
    <row r="12" spans="1:17" ht="24.95" customHeight="1" x14ac:dyDescent="0.25">
      <c r="A12" s="4" t="s">
        <v>21</v>
      </c>
      <c r="B12" s="8"/>
      <c r="C12" s="8"/>
      <c r="D12" s="8"/>
      <c r="E12" s="8"/>
      <c r="F12" s="8"/>
      <c r="G12" s="8"/>
      <c r="H12" s="10"/>
      <c r="I12" s="7"/>
      <c r="J12" s="7"/>
      <c r="K12" s="7"/>
      <c r="L12" s="7"/>
      <c r="M12" s="7"/>
      <c r="N12" s="7"/>
      <c r="O12" s="7"/>
      <c r="P12" s="7"/>
      <c r="Q12" s="10"/>
    </row>
    <row r="13" spans="1:17" ht="24.95" customHeight="1" x14ac:dyDescent="0.25">
      <c r="A13" s="3" t="s">
        <v>27</v>
      </c>
      <c r="B13" s="13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3"/>
      <c r="O13" s="13"/>
      <c r="P13" s="13"/>
      <c r="Q13" s="12"/>
    </row>
    <row r="14" spans="1:17" ht="24.95" customHeight="1" x14ac:dyDescent="0.25">
      <c r="A14" s="5" t="s">
        <v>29</v>
      </c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O14" s="6"/>
      <c r="P14" s="6"/>
      <c r="Q14" s="9"/>
    </row>
    <row r="15" spans="1:17" ht="24.95" customHeight="1" x14ac:dyDescent="0.25">
      <c r="A15" s="4" t="s">
        <v>22</v>
      </c>
      <c r="B15" s="8"/>
      <c r="C15" s="8"/>
      <c r="D15" s="8"/>
      <c r="E15" s="8"/>
      <c r="F15" s="8"/>
      <c r="G15" s="8"/>
      <c r="H15" s="10"/>
      <c r="I15" s="7"/>
      <c r="J15" s="7"/>
      <c r="K15" s="7"/>
      <c r="L15" s="7"/>
      <c r="M15" s="7"/>
      <c r="N15" s="7"/>
      <c r="O15" s="7"/>
      <c r="P15" s="7"/>
      <c r="Q15" s="10"/>
    </row>
    <row r="16" spans="1:17" ht="24.95" customHeight="1" x14ac:dyDescent="0.25">
      <c r="A16" s="3" t="s">
        <v>27</v>
      </c>
      <c r="B16" s="13"/>
      <c r="C16" s="13"/>
      <c r="D16" s="13"/>
      <c r="E16" s="13"/>
      <c r="F16" s="13"/>
      <c r="G16" s="13"/>
      <c r="H16" s="12"/>
      <c r="I16" s="13"/>
      <c r="J16" s="13"/>
      <c r="K16" s="13"/>
      <c r="L16" s="13"/>
      <c r="M16" s="13"/>
      <c r="N16" s="13"/>
      <c r="O16" s="13"/>
      <c r="P16" s="13"/>
      <c r="Q16" s="12"/>
    </row>
    <row r="17" spans="1:17" ht="24.95" customHeight="1" x14ac:dyDescent="0.25">
      <c r="A17" s="5" t="s">
        <v>29</v>
      </c>
      <c r="B17" s="6"/>
      <c r="C17" s="6"/>
      <c r="D17" s="6"/>
      <c r="E17" s="6"/>
      <c r="F17" s="6"/>
      <c r="G17" s="6"/>
      <c r="H17" s="9"/>
      <c r="I17" s="6"/>
      <c r="J17" s="6"/>
      <c r="K17" s="6"/>
      <c r="L17" s="6"/>
      <c r="M17" s="6"/>
      <c r="N17" s="6"/>
      <c r="O17" s="6"/>
      <c r="P17" s="6"/>
      <c r="Q17" s="9"/>
    </row>
    <row r="18" spans="1:17" ht="24.95" customHeight="1" x14ac:dyDescent="0.25">
      <c r="A18" s="4" t="s">
        <v>23</v>
      </c>
      <c r="B18" s="8"/>
      <c r="C18" s="8"/>
      <c r="D18" s="8"/>
      <c r="E18" s="8"/>
      <c r="F18" s="8"/>
      <c r="G18" s="8"/>
      <c r="H18" s="10"/>
      <c r="I18" s="7"/>
      <c r="J18" s="7"/>
      <c r="K18" s="7"/>
      <c r="L18" s="7"/>
      <c r="M18" s="7"/>
      <c r="N18" s="7"/>
      <c r="O18" s="7"/>
      <c r="P18" s="7"/>
      <c r="Q18" s="10"/>
    </row>
    <row r="19" spans="1:17" ht="24.95" customHeight="1" x14ac:dyDescent="0.25">
      <c r="A19" s="3" t="s">
        <v>27</v>
      </c>
      <c r="B19" s="13"/>
      <c r="C19" s="13"/>
      <c r="D19" s="13"/>
      <c r="E19" s="13"/>
      <c r="F19" s="13"/>
      <c r="G19" s="13"/>
      <c r="H19" s="12"/>
      <c r="I19" s="13"/>
      <c r="J19" s="13"/>
      <c r="K19" s="13"/>
      <c r="L19" s="13"/>
      <c r="M19" s="13"/>
      <c r="N19" s="13"/>
      <c r="O19" s="13"/>
      <c r="P19" s="13"/>
      <c r="Q19" s="12"/>
    </row>
    <row r="20" spans="1:17" ht="24.95" customHeight="1" x14ac:dyDescent="0.25">
      <c r="A20" s="5" t="s">
        <v>29</v>
      </c>
      <c r="B20" s="6"/>
      <c r="C20" s="6"/>
      <c r="D20" s="6"/>
      <c r="E20" s="6"/>
      <c r="F20" s="6"/>
      <c r="G20" s="6"/>
      <c r="H20" s="9"/>
      <c r="I20" s="6"/>
      <c r="J20" s="6"/>
      <c r="K20" s="6"/>
      <c r="L20" s="6"/>
      <c r="M20" s="6"/>
      <c r="N20" s="6"/>
      <c r="O20" s="6"/>
      <c r="P20" s="6"/>
      <c r="Q20" s="9"/>
    </row>
    <row r="21" spans="1:17" ht="24.95" customHeight="1" x14ac:dyDescent="0.25">
      <c r="A21" s="4" t="s">
        <v>24</v>
      </c>
      <c r="B21" s="8"/>
      <c r="C21" s="8"/>
      <c r="D21" s="8"/>
      <c r="E21" s="8"/>
      <c r="F21" s="8"/>
      <c r="G21" s="8"/>
      <c r="H21" s="10"/>
      <c r="I21" s="7"/>
      <c r="J21" s="7"/>
      <c r="K21" s="7"/>
      <c r="L21" s="7"/>
      <c r="M21" s="7"/>
      <c r="N21" s="7"/>
      <c r="O21" s="7"/>
      <c r="P21" s="7"/>
      <c r="Q21" s="10"/>
    </row>
    <row r="22" spans="1:17" ht="24.95" customHeight="1" x14ac:dyDescent="0.25">
      <c r="A22" s="3" t="s">
        <v>27</v>
      </c>
      <c r="B22" s="13"/>
      <c r="C22" s="13"/>
      <c r="D22" s="13"/>
      <c r="E22" s="13"/>
      <c r="F22" s="13"/>
      <c r="G22" s="13"/>
      <c r="H22" s="12"/>
      <c r="I22" s="13"/>
      <c r="J22" s="13"/>
      <c r="K22" s="13"/>
      <c r="L22" s="13"/>
      <c r="M22" s="13"/>
      <c r="N22" s="13"/>
      <c r="O22" s="13"/>
      <c r="P22" s="13"/>
      <c r="Q22" s="12"/>
    </row>
    <row r="23" spans="1:17" ht="24.95" customHeight="1" x14ac:dyDescent="0.25">
      <c r="A23" s="5" t="s">
        <v>29</v>
      </c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O23" s="6"/>
      <c r="P23" s="6"/>
      <c r="Q23" s="9"/>
    </row>
    <row r="24" spans="1:17" ht="24.95" customHeight="1" x14ac:dyDescent="0.25">
      <c r="A24" s="4" t="s">
        <v>25</v>
      </c>
      <c r="B24" s="8"/>
      <c r="C24" s="8"/>
      <c r="D24" s="8"/>
      <c r="E24" s="8"/>
      <c r="F24" s="8"/>
      <c r="G24" s="8"/>
      <c r="H24" s="10"/>
      <c r="I24" s="7"/>
      <c r="J24" s="7"/>
      <c r="K24" s="7"/>
      <c r="L24" s="7"/>
      <c r="M24" s="7"/>
      <c r="N24" s="7"/>
      <c r="O24" s="7"/>
      <c r="P24" s="7"/>
      <c r="Q24" s="10"/>
    </row>
    <row r="25" spans="1:17" ht="24.95" customHeight="1" x14ac:dyDescent="0.25">
      <c r="A25" s="3" t="s">
        <v>27</v>
      </c>
      <c r="B25" s="13"/>
      <c r="C25" s="13"/>
      <c r="D25" s="13"/>
      <c r="E25" s="13"/>
      <c r="F25" s="13"/>
      <c r="G25" s="13"/>
      <c r="H25" s="12"/>
      <c r="I25" s="13"/>
      <c r="J25" s="13"/>
      <c r="K25" s="13"/>
      <c r="L25" s="13"/>
      <c r="M25" s="13"/>
      <c r="N25" s="13"/>
      <c r="O25" s="13"/>
      <c r="P25" s="13"/>
      <c r="Q25" s="12"/>
    </row>
    <row r="26" spans="1:17" ht="24.95" customHeight="1" x14ac:dyDescent="0.25">
      <c r="A26" s="5" t="s">
        <v>29</v>
      </c>
      <c r="B26" s="6"/>
      <c r="C26" s="6"/>
      <c r="D26" s="6"/>
      <c r="E26" s="6"/>
      <c r="F26" s="6"/>
      <c r="G26" s="6"/>
      <c r="H26" s="9"/>
      <c r="I26" s="6"/>
      <c r="J26" s="6"/>
      <c r="K26" s="6"/>
      <c r="L26" s="6"/>
      <c r="M26" s="6"/>
      <c r="N26" s="6"/>
      <c r="O26" s="6"/>
      <c r="P26" s="6"/>
      <c r="Q26" s="9"/>
    </row>
    <row r="27" spans="1:17" ht="24.95" customHeight="1" x14ac:dyDescent="0.25">
      <c r="A27" s="4" t="s">
        <v>26</v>
      </c>
      <c r="B27" s="8"/>
      <c r="C27" s="8"/>
      <c r="D27" s="8"/>
      <c r="E27" s="8"/>
      <c r="F27" s="8"/>
      <c r="G27" s="8"/>
      <c r="H27" s="10"/>
      <c r="I27" s="7"/>
      <c r="J27" s="7"/>
      <c r="K27" s="7"/>
      <c r="L27" s="7"/>
      <c r="M27" s="7"/>
      <c r="N27" s="7"/>
      <c r="O27" s="7"/>
      <c r="P27" s="7"/>
      <c r="Q27" s="10"/>
    </row>
    <row r="28" spans="1:17" ht="24.95" customHeight="1" x14ac:dyDescent="0.25">
      <c r="A28" s="3" t="s">
        <v>27</v>
      </c>
      <c r="B28" s="13"/>
      <c r="C28" s="13"/>
      <c r="D28" s="13"/>
      <c r="E28" s="13"/>
      <c r="F28" s="13"/>
      <c r="G28" s="13"/>
      <c r="H28" s="12"/>
      <c r="I28" s="13"/>
      <c r="J28" s="13"/>
      <c r="K28" s="13"/>
      <c r="L28" s="13"/>
      <c r="M28" s="13"/>
      <c r="N28" s="13"/>
      <c r="O28" s="13"/>
      <c r="P28" s="13"/>
      <c r="Q28" s="12"/>
    </row>
    <row r="29" spans="1:17" ht="24.95" customHeight="1" x14ac:dyDescent="0.25">
      <c r="A29" s="5" t="s">
        <v>29</v>
      </c>
      <c r="B29" s="6"/>
      <c r="C29" s="6"/>
      <c r="D29" s="6"/>
      <c r="E29" s="6"/>
      <c r="F29" s="6"/>
      <c r="G29" s="6"/>
      <c r="H29" s="9"/>
      <c r="I29" s="6"/>
      <c r="J29" s="6"/>
      <c r="K29" s="6"/>
      <c r="L29" s="6"/>
      <c r="M29" s="6"/>
      <c r="N29" s="6"/>
      <c r="O29" s="6"/>
      <c r="P29" s="6"/>
      <c r="Q29" s="9"/>
    </row>
    <row r="30" spans="1:17" ht="18.75" customHeight="1" x14ac:dyDescent="0.25">
      <c r="A30" s="4" t="s">
        <v>30</v>
      </c>
      <c r="B30" s="8">
        <v>278</v>
      </c>
      <c r="C30" s="8">
        <v>290.2</v>
      </c>
      <c r="D30" s="8">
        <v>126.92</v>
      </c>
      <c r="E30" s="8">
        <v>7385</v>
      </c>
      <c r="F30" s="7">
        <v>4.8811260000000001</v>
      </c>
      <c r="G30" s="8">
        <v>9.0361000000000011</v>
      </c>
      <c r="H30" s="10">
        <v>54.018060889100397</v>
      </c>
      <c r="I30" s="7">
        <v>0</v>
      </c>
      <c r="J30" s="7">
        <v>0</v>
      </c>
      <c r="K30" s="7">
        <v>0</v>
      </c>
      <c r="L30" s="7">
        <v>0.80164000000000002</v>
      </c>
      <c r="M30" s="7">
        <v>0</v>
      </c>
      <c r="N30" s="7">
        <v>0</v>
      </c>
      <c r="O30" s="7">
        <v>0.80164000000000002</v>
      </c>
      <c r="P30" s="7">
        <v>5.8134572000000011</v>
      </c>
      <c r="Q30" s="10">
        <v>13.7893850839738</v>
      </c>
    </row>
    <row r="31" spans="1:17" ht="24.95" customHeight="1" x14ac:dyDescent="0.25">
      <c r="A31" s="3" t="s">
        <v>27</v>
      </c>
      <c r="B31" s="13" t="s">
        <v>28</v>
      </c>
      <c r="C31" s="13" t="s">
        <v>28</v>
      </c>
      <c r="D31" s="13" t="s">
        <v>28</v>
      </c>
      <c r="E31" s="13" t="s">
        <v>28</v>
      </c>
      <c r="F31" s="13" t="s">
        <v>28</v>
      </c>
      <c r="G31" s="13" t="s">
        <v>28</v>
      </c>
      <c r="H31" s="12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2" t="s">
        <v>28</v>
      </c>
    </row>
    <row r="32" spans="1:17" ht="24.95" customHeight="1" x14ac:dyDescent="0.25">
      <c r="A32" s="5" t="s">
        <v>29</v>
      </c>
      <c r="B32" s="6" t="s">
        <v>28</v>
      </c>
      <c r="C32" s="6" t="s">
        <v>28</v>
      </c>
      <c r="D32" s="6" t="s">
        <v>28</v>
      </c>
      <c r="E32" s="6" t="s">
        <v>28</v>
      </c>
      <c r="F32" s="6" t="s">
        <v>28</v>
      </c>
      <c r="G32" s="6" t="s">
        <v>28</v>
      </c>
      <c r="H32" s="9" t="s">
        <v>28</v>
      </c>
      <c r="I32" s="6" t="s">
        <v>28</v>
      </c>
      <c r="J32" s="6" t="s">
        <v>28</v>
      </c>
      <c r="K32" s="6" t="s">
        <v>28</v>
      </c>
      <c r="L32" s="6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9" t="s">
        <v>28</v>
      </c>
    </row>
    <row r="33" spans="1:17" ht="18" customHeight="1" x14ac:dyDescent="0.25">
      <c r="A33" s="4" t="s">
        <v>34</v>
      </c>
      <c r="B33" s="8">
        <v>2595</v>
      </c>
      <c r="C33" s="8">
        <v>3029.4</v>
      </c>
      <c r="D33" s="8">
        <v>1642.1389999999999</v>
      </c>
      <c r="E33" s="8">
        <v>84876</v>
      </c>
      <c r="F33" s="7">
        <v>54.899259999999998</v>
      </c>
      <c r="G33" s="8">
        <v>80.928200000000004</v>
      </c>
      <c r="H33" s="10">
        <v>67.8369962509978</v>
      </c>
      <c r="I33" s="7">
        <v>0</v>
      </c>
      <c r="J33" s="7">
        <v>0</v>
      </c>
      <c r="K33" s="7">
        <v>0</v>
      </c>
      <c r="L33" s="7">
        <v>4.9341540000000004</v>
      </c>
      <c r="M33" s="7">
        <v>0</v>
      </c>
      <c r="N33" s="7">
        <v>0</v>
      </c>
      <c r="O33" s="7">
        <v>4.9341540000000004</v>
      </c>
      <c r="P33" s="7">
        <v>35.540754</v>
      </c>
      <c r="Q33" s="10">
        <v>13.88308756758509</v>
      </c>
    </row>
    <row r="34" spans="1:17" x14ac:dyDescent="0.25">
      <c r="A34" s="3" t="s">
        <v>27</v>
      </c>
      <c r="B34" s="13" t="s">
        <v>28</v>
      </c>
      <c r="C34" s="13" t="s">
        <v>28</v>
      </c>
      <c r="D34" s="13" t="s">
        <v>28</v>
      </c>
      <c r="E34" s="13" t="s">
        <v>28</v>
      </c>
      <c r="F34" s="13" t="s">
        <v>28</v>
      </c>
      <c r="G34" s="13" t="s">
        <v>28</v>
      </c>
      <c r="H34" s="12" t="s">
        <v>28</v>
      </c>
      <c r="I34" s="13" t="s">
        <v>28</v>
      </c>
      <c r="J34" s="13" t="s">
        <v>28</v>
      </c>
      <c r="K34" s="13" t="s">
        <v>28</v>
      </c>
      <c r="L34" s="13" t="s">
        <v>28</v>
      </c>
      <c r="M34" s="13" t="s">
        <v>28</v>
      </c>
      <c r="N34" s="13" t="s">
        <v>28</v>
      </c>
      <c r="O34" s="13" t="s">
        <v>28</v>
      </c>
      <c r="P34" s="13" t="s">
        <v>28</v>
      </c>
      <c r="Q34" s="12" t="s">
        <v>28</v>
      </c>
    </row>
    <row r="35" spans="1:17" x14ac:dyDescent="0.25">
      <c r="A35" s="5" t="s">
        <v>29</v>
      </c>
      <c r="B35" s="15" t="s">
        <v>28</v>
      </c>
      <c r="C35" s="15" t="s">
        <v>28</v>
      </c>
      <c r="D35" s="15" t="s">
        <v>28</v>
      </c>
      <c r="E35" s="15" t="s">
        <v>28</v>
      </c>
      <c r="F35" s="15" t="s">
        <v>28</v>
      </c>
      <c r="G35" s="15" t="s">
        <v>28</v>
      </c>
      <c r="H35" s="9" t="s">
        <v>28</v>
      </c>
      <c r="I35" s="15" t="s">
        <v>28</v>
      </c>
      <c r="J35" s="15" t="s">
        <v>28</v>
      </c>
      <c r="K35" s="15" t="s">
        <v>28</v>
      </c>
      <c r="L35" s="15" t="s">
        <v>28</v>
      </c>
      <c r="M35" s="15" t="s">
        <v>28</v>
      </c>
      <c r="N35" s="15" t="s">
        <v>28</v>
      </c>
      <c r="O35" s="15" t="s">
        <v>28</v>
      </c>
      <c r="P35" s="15" t="s">
        <v>28</v>
      </c>
      <c r="Q35" s="9" t="s">
        <v>28</v>
      </c>
    </row>
    <row r="36" spans="1:17" ht="18.75" customHeight="1" x14ac:dyDescent="0.25">
      <c r="A36" s="4" t="s">
        <v>37</v>
      </c>
      <c r="B36" s="8">
        <v>3229</v>
      </c>
      <c r="C36" s="8">
        <v>4173</v>
      </c>
      <c r="D36" s="8">
        <v>2205.1570000000002</v>
      </c>
      <c r="E36" s="8">
        <v>112239</v>
      </c>
      <c r="F36" s="7">
        <v>79.749519000000006</v>
      </c>
      <c r="G36" s="8">
        <v>110.26405</v>
      </c>
      <c r="H36" s="17">
        <f>F36/G36</f>
        <v>0.72325947577655647</v>
      </c>
      <c r="I36" s="18" t="s">
        <v>28</v>
      </c>
      <c r="J36" s="18" t="s">
        <v>28</v>
      </c>
      <c r="K36" s="18" t="s">
        <v>28</v>
      </c>
      <c r="L36" s="7">
        <v>6.9771140000000003</v>
      </c>
      <c r="M36" s="18" t="s">
        <v>28</v>
      </c>
      <c r="N36" s="18" t="s">
        <v>28</v>
      </c>
      <c r="O36" s="7">
        <v>6.9771140000000003</v>
      </c>
      <c r="P36" s="7">
        <v>47.182549999999999</v>
      </c>
      <c r="Q36" s="17">
        <f>O36/P36</f>
        <v>0.14787488170944554</v>
      </c>
    </row>
    <row r="37" spans="1:17" x14ac:dyDescent="0.25">
      <c r="A37" s="3" t="s">
        <v>27</v>
      </c>
      <c r="B37" s="14">
        <f>(B36-B33)/B33</f>
        <v>0.2443159922928709</v>
      </c>
      <c r="C37" s="14">
        <f t="shared" ref="C37:H37" si="0">(C36-C33)/C33</f>
        <v>0.37750049514755391</v>
      </c>
      <c r="D37" s="14">
        <f t="shared" si="0"/>
        <v>0.34285648169856531</v>
      </c>
      <c r="E37" s="14">
        <f t="shared" si="0"/>
        <v>0.32238795419199773</v>
      </c>
      <c r="F37" s="14">
        <f t="shared" si="0"/>
        <v>0.45265198474442114</v>
      </c>
      <c r="G37" s="14">
        <f t="shared" si="0"/>
        <v>0.36249230799647086</v>
      </c>
      <c r="H37" s="12">
        <f t="shared" si="0"/>
        <v>-0.98933827386607021</v>
      </c>
      <c r="I37" s="14" t="s">
        <v>28</v>
      </c>
      <c r="J37" s="14" t="s">
        <v>28</v>
      </c>
      <c r="K37" s="14" t="s">
        <v>28</v>
      </c>
      <c r="L37" s="14">
        <f t="shared" ref="L37" si="1">(L36-L33)/L33</f>
        <v>0.41404463662869051</v>
      </c>
      <c r="M37" s="14" t="s">
        <v>28</v>
      </c>
      <c r="N37" s="14" t="s">
        <v>28</v>
      </c>
      <c r="O37" s="14">
        <f t="shared" ref="O37:Q37" si="2">(O36-O33)/O33</f>
        <v>0.41404463662869051</v>
      </c>
      <c r="P37" s="14">
        <f t="shared" si="2"/>
        <v>0.32756187446107643</v>
      </c>
      <c r="Q37" s="12">
        <f t="shared" si="2"/>
        <v>-0.98934855946203848</v>
      </c>
    </row>
    <row r="38" spans="1:17" x14ac:dyDescent="0.25">
      <c r="A38" s="5" t="s">
        <v>29</v>
      </c>
      <c r="B38" s="15" t="s">
        <v>28</v>
      </c>
      <c r="C38" s="15" t="s">
        <v>28</v>
      </c>
      <c r="D38" s="15" t="s">
        <v>28</v>
      </c>
      <c r="E38" s="15" t="s">
        <v>28</v>
      </c>
      <c r="F38" s="15" t="s">
        <v>28</v>
      </c>
      <c r="G38" s="15" t="s">
        <v>28</v>
      </c>
      <c r="H38" s="9" t="s">
        <v>28</v>
      </c>
      <c r="I38" s="15" t="s">
        <v>28</v>
      </c>
      <c r="J38" s="15" t="s">
        <v>28</v>
      </c>
      <c r="K38" s="15" t="s">
        <v>28</v>
      </c>
      <c r="L38" s="15" t="s">
        <v>28</v>
      </c>
      <c r="M38" s="15" t="s">
        <v>28</v>
      </c>
      <c r="N38" s="15" t="s">
        <v>28</v>
      </c>
      <c r="O38" s="15" t="s">
        <v>28</v>
      </c>
      <c r="P38" s="15" t="s">
        <v>28</v>
      </c>
      <c r="Q38" s="9" t="s">
        <v>28</v>
      </c>
    </row>
    <row r="39" spans="1:17" x14ac:dyDescent="0.25">
      <c r="A39" s="22" t="s">
        <v>33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x14ac:dyDescent="0.25">
      <c r="A40" s="24" t="s">
        <v>36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17" x14ac:dyDescent="0.25">
      <c r="A41" s="19" t="s">
        <v>38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2020-05-20T07:45:17Z</cp:lastPrinted>
  <dcterms:created xsi:type="dcterms:W3CDTF">2018-10-29T04:00:16Z</dcterms:created>
  <dcterms:modified xsi:type="dcterms:W3CDTF">2022-04-21T07:22:05Z</dcterms:modified>
</cp:coreProperties>
</file>