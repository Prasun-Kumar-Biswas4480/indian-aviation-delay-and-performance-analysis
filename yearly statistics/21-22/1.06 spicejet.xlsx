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3. SPICEJET\"/>
    </mc:Choice>
  </mc:AlternateContent>
  <bookViews>
    <workbookView xWindow="0" yWindow="0" windowWidth="24000" windowHeight="10725"/>
  </bookViews>
  <sheets>
    <sheet name="SPICEJET" sheetId="6" r:id="rId1"/>
  </sheets>
  <definedNames>
    <definedName name="_xlnm._FilterDatabase" localSheetId="0" hidden="1">SPICEJET!$A$6:$Q$40</definedName>
    <definedName name="_xlnm.Print_Titles" localSheetId="0">SPICEJET!$1:$5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6" i="6" l="1"/>
  <c r="O36" i="6"/>
  <c r="M36" i="6"/>
  <c r="L36" i="6"/>
  <c r="F36" i="6"/>
  <c r="G36" i="6"/>
  <c r="Q30" i="6"/>
  <c r="H30" i="6"/>
  <c r="Q27" i="6"/>
  <c r="H27" i="6"/>
  <c r="Q24" i="6"/>
  <c r="H24" i="6"/>
  <c r="Q21" i="6"/>
  <c r="H21" i="6"/>
  <c r="Q18" i="6"/>
  <c r="H18" i="6"/>
  <c r="Q15" i="6"/>
  <c r="H15" i="6"/>
  <c r="Q12" i="6"/>
  <c r="H12" i="6"/>
  <c r="Q9" i="6"/>
  <c r="H9" i="6"/>
  <c r="Q6" i="6"/>
  <c r="H6" i="6"/>
  <c r="Q38" i="6" l="1"/>
  <c r="P38" i="6"/>
  <c r="O38" i="6"/>
  <c r="M38" i="6"/>
  <c r="L38" i="6"/>
  <c r="K38" i="6"/>
  <c r="I38" i="6"/>
  <c r="H38" i="6"/>
  <c r="G38" i="6"/>
  <c r="F38" i="6"/>
  <c r="E38" i="6"/>
  <c r="D38" i="6"/>
  <c r="C38" i="6"/>
  <c r="B38" i="6"/>
  <c r="P37" i="6"/>
  <c r="O37" i="6"/>
  <c r="M37" i="6"/>
  <c r="L37" i="6"/>
  <c r="K37" i="6"/>
  <c r="I37" i="6"/>
  <c r="G37" i="6"/>
  <c r="F37" i="6"/>
  <c r="E37" i="6"/>
  <c r="D37" i="6"/>
  <c r="C37" i="6"/>
  <c r="B37" i="6"/>
  <c r="P35" i="6"/>
  <c r="O35" i="6"/>
  <c r="M35" i="6"/>
  <c r="L35" i="6"/>
  <c r="K35" i="6"/>
  <c r="I35" i="6"/>
  <c r="G35" i="6"/>
  <c r="F35" i="6"/>
  <c r="E35" i="6"/>
  <c r="D35" i="6"/>
  <c r="C35" i="6"/>
  <c r="B35" i="6"/>
  <c r="P34" i="6"/>
  <c r="O34" i="6"/>
  <c r="M34" i="6"/>
  <c r="L34" i="6"/>
  <c r="K34" i="6"/>
  <c r="I34" i="6"/>
  <c r="G34" i="6"/>
  <c r="F34" i="6"/>
  <c r="E34" i="6"/>
  <c r="D34" i="6"/>
  <c r="C34" i="6"/>
  <c r="B34" i="6"/>
  <c r="P32" i="6"/>
  <c r="O32" i="6"/>
  <c r="M32" i="6"/>
  <c r="L32" i="6"/>
  <c r="K32" i="6"/>
  <c r="I32" i="6"/>
  <c r="G32" i="6"/>
  <c r="F32" i="6"/>
  <c r="E32" i="6"/>
  <c r="D32" i="6"/>
  <c r="C32" i="6"/>
  <c r="B32" i="6"/>
  <c r="P31" i="6"/>
  <c r="O31" i="6"/>
  <c r="M31" i="6"/>
  <c r="L31" i="6"/>
  <c r="K31" i="6"/>
  <c r="I31" i="6"/>
  <c r="G31" i="6"/>
  <c r="F31" i="6"/>
  <c r="E31" i="6"/>
  <c r="D31" i="6"/>
  <c r="C31" i="6"/>
  <c r="B31" i="6"/>
  <c r="P29" i="6"/>
  <c r="O29" i="6"/>
  <c r="M29" i="6"/>
  <c r="L29" i="6"/>
  <c r="K29" i="6"/>
  <c r="I29" i="6"/>
  <c r="G29" i="6"/>
  <c r="F29" i="6"/>
  <c r="E29" i="6"/>
  <c r="D29" i="6"/>
  <c r="C29" i="6"/>
  <c r="B29" i="6"/>
  <c r="P28" i="6"/>
  <c r="O28" i="6"/>
  <c r="M28" i="6"/>
  <c r="L28" i="6"/>
  <c r="K28" i="6"/>
  <c r="I28" i="6"/>
  <c r="G28" i="6"/>
  <c r="F28" i="6"/>
  <c r="E28" i="6"/>
  <c r="D28" i="6"/>
  <c r="C28" i="6"/>
  <c r="B28" i="6"/>
  <c r="P26" i="6"/>
  <c r="O26" i="6"/>
  <c r="M26" i="6"/>
  <c r="L26" i="6"/>
  <c r="K26" i="6"/>
  <c r="I26" i="6"/>
  <c r="G26" i="6"/>
  <c r="F26" i="6"/>
  <c r="E26" i="6"/>
  <c r="D26" i="6"/>
  <c r="C26" i="6"/>
  <c r="B26" i="6"/>
  <c r="P25" i="6"/>
  <c r="O25" i="6"/>
  <c r="M25" i="6"/>
  <c r="L25" i="6"/>
  <c r="K25" i="6"/>
  <c r="I25" i="6"/>
  <c r="G25" i="6"/>
  <c r="F25" i="6"/>
  <c r="E25" i="6"/>
  <c r="D25" i="6"/>
  <c r="C25" i="6"/>
  <c r="B25" i="6"/>
  <c r="P23" i="6"/>
  <c r="O23" i="6"/>
  <c r="M23" i="6"/>
  <c r="L23" i="6"/>
  <c r="K23" i="6"/>
  <c r="I23" i="6"/>
  <c r="G23" i="6"/>
  <c r="F23" i="6"/>
  <c r="E23" i="6"/>
  <c r="D23" i="6"/>
  <c r="C23" i="6"/>
  <c r="B23" i="6"/>
  <c r="P22" i="6"/>
  <c r="O22" i="6"/>
  <c r="M22" i="6"/>
  <c r="L22" i="6"/>
  <c r="K22" i="6"/>
  <c r="I22" i="6"/>
  <c r="G22" i="6"/>
  <c r="F22" i="6"/>
  <c r="E22" i="6"/>
  <c r="D22" i="6"/>
  <c r="C22" i="6"/>
  <c r="B22" i="6"/>
  <c r="P20" i="6"/>
  <c r="O20" i="6"/>
  <c r="M20" i="6"/>
  <c r="L20" i="6"/>
  <c r="K20" i="6"/>
  <c r="I20" i="6"/>
  <c r="G20" i="6"/>
  <c r="F20" i="6"/>
  <c r="E20" i="6"/>
  <c r="D20" i="6"/>
  <c r="C20" i="6"/>
  <c r="B20" i="6"/>
  <c r="P19" i="6"/>
  <c r="O19" i="6"/>
  <c r="M19" i="6"/>
  <c r="L19" i="6"/>
  <c r="K19" i="6"/>
  <c r="I19" i="6"/>
  <c r="G19" i="6"/>
  <c r="F19" i="6"/>
  <c r="E19" i="6"/>
  <c r="D19" i="6"/>
  <c r="C19" i="6"/>
  <c r="B19" i="6"/>
  <c r="P17" i="6"/>
  <c r="O17" i="6"/>
  <c r="M17" i="6"/>
  <c r="L17" i="6"/>
  <c r="K17" i="6"/>
  <c r="I17" i="6"/>
  <c r="G17" i="6"/>
  <c r="F17" i="6"/>
  <c r="E17" i="6"/>
  <c r="D17" i="6"/>
  <c r="C17" i="6"/>
  <c r="B17" i="6"/>
  <c r="P16" i="6"/>
  <c r="O16" i="6"/>
  <c r="M16" i="6"/>
  <c r="L16" i="6"/>
  <c r="K16" i="6"/>
  <c r="I16" i="6"/>
  <c r="G16" i="6"/>
  <c r="F16" i="6"/>
  <c r="E16" i="6"/>
  <c r="D16" i="6"/>
  <c r="C16" i="6"/>
  <c r="B16" i="6"/>
  <c r="P14" i="6"/>
  <c r="O14" i="6"/>
  <c r="M14" i="6"/>
  <c r="L14" i="6"/>
  <c r="K14" i="6"/>
  <c r="I14" i="6"/>
  <c r="G14" i="6"/>
  <c r="F14" i="6"/>
  <c r="E14" i="6"/>
  <c r="D14" i="6"/>
  <c r="C14" i="6"/>
  <c r="B14" i="6"/>
  <c r="P13" i="6"/>
  <c r="O13" i="6"/>
  <c r="M13" i="6"/>
  <c r="L13" i="6"/>
  <c r="K13" i="6"/>
  <c r="I13" i="6"/>
  <c r="G13" i="6"/>
  <c r="F13" i="6"/>
  <c r="E13" i="6"/>
  <c r="D13" i="6"/>
  <c r="C13" i="6"/>
  <c r="B13" i="6"/>
  <c r="P11" i="6"/>
  <c r="O11" i="6"/>
  <c r="M11" i="6"/>
  <c r="L11" i="6"/>
  <c r="K11" i="6"/>
  <c r="I11" i="6"/>
  <c r="G11" i="6"/>
  <c r="F11" i="6"/>
  <c r="E11" i="6"/>
  <c r="D11" i="6"/>
  <c r="C11" i="6"/>
  <c r="B11" i="6"/>
  <c r="P10" i="6"/>
  <c r="O10" i="6"/>
  <c r="M10" i="6"/>
  <c r="L10" i="6"/>
  <c r="K10" i="6"/>
  <c r="I10" i="6"/>
  <c r="G10" i="6"/>
  <c r="F10" i="6"/>
  <c r="E10" i="6"/>
  <c r="D10" i="6"/>
  <c r="C10" i="6"/>
  <c r="B10" i="6"/>
  <c r="H20" i="6" l="1"/>
  <c r="H19" i="6"/>
  <c r="H25" i="6"/>
  <c r="H26" i="6"/>
  <c r="Q26" i="6"/>
  <c r="Q25" i="6"/>
  <c r="Q14" i="6"/>
  <c r="Q13" i="6"/>
  <c r="H28" i="6"/>
  <c r="H29" i="6"/>
  <c r="H34" i="6"/>
  <c r="H35" i="6"/>
  <c r="H37" i="6"/>
  <c r="Q17" i="6"/>
  <c r="Q16" i="6"/>
  <c r="Q23" i="6"/>
  <c r="Q22" i="6"/>
  <c r="H14" i="6"/>
  <c r="H13" i="6"/>
  <c r="Q32" i="6"/>
  <c r="Q31" i="6"/>
  <c r="H22" i="6"/>
  <c r="H23" i="6"/>
  <c r="Q20" i="6"/>
  <c r="Q19" i="6"/>
  <c r="H31" i="6"/>
  <c r="H32" i="6"/>
  <c r="H10" i="6"/>
  <c r="H11" i="6"/>
  <c r="Q29" i="6"/>
  <c r="Q28" i="6"/>
  <c r="H16" i="6"/>
  <c r="H17" i="6"/>
  <c r="Q10" i="6"/>
  <c r="Q11" i="6"/>
  <c r="Q34" i="6"/>
  <c r="Q35" i="6"/>
  <c r="Q37" i="6"/>
</calcChain>
</file>

<file path=xl/sharedStrings.xml><?xml version="1.0" encoding="utf-8"?>
<sst xmlns="http://schemas.openxmlformats.org/spreadsheetml/2006/main" count="132" uniqueCount="39">
  <si>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</si>
  <si>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</si>
  <si>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</si>
  <si>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</si>
  <si>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</si>
  <si>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</si>
  <si>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</si>
  <si>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</si>
  <si>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</si>
  <si>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</si>
  <si>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</si>
  <si>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</si>
  <si>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</si>
  <si>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</si>
  <si>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</si>
  <si>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</si>
  <si>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</si>
  <si>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</si>
  <si>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</si>
  <si>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</si>
  <si>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</si>
  <si>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</si>
  <si>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</si>
  <si>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</si>
  <si>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</si>
  <si>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</si>
  <si>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</si>
  <si>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Growth</t>
  </si>
  <si>
    <t>-</t>
  </si>
  <si>
    <t>CAGR</t>
  </si>
  <si>
    <t>2018-19</t>
  </si>
  <si>
    <t>TABLE - 1.06 (SPICEJET)</t>
  </si>
  <si>
    <t>SOURCE: ICAO ATR FORM 'A' FURNISHED BY SPICEJET</t>
  </si>
  <si>
    <t xml:space="preserve"> तालिका- 1.06 (स्पाइसजेट) </t>
  </si>
  <si>
    <t>2019-20</t>
  </si>
  <si>
    <t>YEAR ON YEAR GROWTH AND CAGR FOR LAST TEN YEARS OF  SPICEJET ON TOTAL (DOMESTIC + INTERNATIONAL) SCHEDULED SERVICES (ALL AIR TRAFFIC AND OPERATING STATISTICS)</t>
  </si>
  <si>
    <t>Note: Growth has been calculated with respect to preceeding year while Compound Annual Growth Rate (CAGR) has been calculating taking 2010-11 as a Base Year</t>
  </si>
  <si>
    <t>2020-21*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</si>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</sst>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_(* #,##0.0_);_(* \(#,##0.0\);_(* &quot;-&quot;??_);_(@_)"/>
    <numFmt numFmtId="168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 tint="-4.9989318521683403E-2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2" fillId="6" borderId="0" applyNumberFormat="0" applyBorder="0" applyAlignment="0" applyProtection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4" fillId="0" borderId="0" xfId="0" applyFont="1"/>
    <xf numFmtId="0" fontId="5" fillId="6" borderId="1" xfId="5" applyFont="1" applyBorder="1" applyAlignment="1" applyProtection="1">
      <alignment horizontal="center" vertical="center" wrapText="1"/>
    </xf>
    <xf numFmtId="166" fontId="5" fillId="6" borderId="1" xfId="6" applyNumberFormat="1" applyFont="1" applyFill="1" applyBorder="1" applyAlignment="1" applyProtection="1">
      <alignment horizontal="center" vertical="center" wrapText="1"/>
    </xf>
    <xf numFmtId="168" fontId="6" fillId="7" borderId="1" xfId="1" applyNumberFormat="1" applyFont="1" applyFill="1" applyBorder="1" applyAlignment="1" applyProtection="1">
      <alignment horizontal="center" vertical="center" wrapText="1"/>
    </xf>
    <xf numFmtId="167" fontId="5" fillId="6" borderId="1" xfId="6" applyNumberFormat="1" applyFont="1" applyFill="1" applyBorder="1" applyAlignment="1" applyProtection="1">
      <alignment horizontal="center" vertical="center" wrapText="1"/>
    </xf>
    <xf numFmtId="0" fontId="4" fillId="4" borderId="1" xfId="3" applyFont="1" applyBorder="1" applyAlignment="1" applyProtection="1">
      <alignment horizontal="center" vertical="center" wrapText="1"/>
    </xf>
    <xf numFmtId="165" fontId="4" fillId="4" borderId="1" xfId="1" applyNumberFormat="1" applyFont="1" applyFill="1" applyBorder="1" applyAlignment="1" applyProtection="1">
      <alignment horizontal="center" vertical="center" wrapText="1"/>
    </xf>
    <xf numFmtId="165" fontId="4" fillId="8" borderId="1" xfId="1" applyNumberFormat="1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3" fillId="2" borderId="1" xfId="1" applyNumberFormat="1" applyFont="1" applyFill="1" applyBorder="1" applyAlignment="1" applyProtection="1">
      <alignment horizontal="center" vertical="center" wrapText="1"/>
    </xf>
    <xf numFmtId="165" fontId="4" fillId="4" borderId="1" xfId="1" applyNumberFormat="1" applyFont="1" applyFill="1" applyBorder="1" applyAlignment="1" applyProtection="1">
      <alignment horizontal="right" vertical="center" wrapText="1"/>
    </xf>
    <xf numFmtId="165" fontId="3" fillId="2" borderId="1" xfId="1" applyNumberFormat="1" applyFont="1" applyFill="1" applyBorder="1" applyAlignment="1" applyProtection="1">
      <alignment horizontal="right" vertical="center" wrapText="1"/>
    </xf>
    <xf numFmtId="165" fontId="4" fillId="4" borderId="1" xfId="3" applyNumberFormat="1" applyFont="1" applyBorder="1" applyAlignment="1" applyProtection="1">
      <alignment horizontal="right"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7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3" fillId="3" borderId="1" xfId="2" applyFont="1" applyBorder="1" applyAlignment="1" applyProtection="1">
      <alignment horizontal="center" vertical="center" textRotation="90" wrapText="1"/>
    </xf>
    <xf numFmtId="0" fontId="3" fillId="3" borderId="1" xfId="2" applyFont="1" applyBorder="1" applyAlignment="1">
      <alignment textRotation="90"/>
    </xf>
    <xf numFmtId="0" fontId="3" fillId="5" borderId="1" xfId="4" applyFont="1" applyBorder="1" applyAlignment="1">
      <alignment horizontal="center" vertical="center" wrapText="1"/>
    </xf>
    <xf numFmtId="0" fontId="3" fillId="5" borderId="1" xfId="4" quotePrefix="1" applyFont="1" applyBorder="1" applyAlignment="1" applyProtection="1">
      <alignment horizontal="center" vertical="center" wrapText="1"/>
    </xf>
    <xf numFmtId="0" fontId="3" fillId="5" borderId="1" xfId="4" applyFont="1" applyBorder="1"/>
    <xf numFmtId="0" fontId="3" fillId="3" borderId="1" xfId="2" applyFont="1" applyBorder="1" applyAlignment="1" applyProtection="1">
      <alignment horizontal="center" vertical="center" wrapText="1"/>
    </xf>
    <xf numFmtId="0" fontId="3" fillId="3" borderId="1" xfId="2" applyFont="1" applyBorder="1"/>
    <xf numFmtId="0" fontId="7" fillId="2" borderId="1" xfId="0" applyFont="1" applyFill="1" applyBorder="1" applyAlignment="1" applyProtection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wrapText="1"/>
    </xf>
  </cellXfs>
  <cellStyles count="7">
    <cellStyle name="20% - Accent1" xfId="3" builtinId="30"/>
    <cellStyle name="40% - Accent1" xfId="4" builtinId="31"/>
    <cellStyle name="60% - Accent1" xfId="5" builtinId="32"/>
    <cellStyle name="Accent1" xfId="2" builtinId="29"/>
    <cellStyle name="Comma" xfId="6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view="pageBreakPreview" zoomScale="60" zoomScaleNormal="115" workbookViewId="0">
      <selection activeCell="A41" sqref="A1:Q41"/>
    </sheetView>
  </sheetViews>
  <sheetFormatPr defaultColWidth="9.140625" defaultRowHeight="12.75" x14ac:dyDescent="0.2"/>
  <cols>
    <col min="1" max="1" width="7.5703125" style="1" customWidth="1"/>
    <col min="2" max="2" width="8" style="1" customWidth="1"/>
    <col min="3" max="3" width="9.7109375" style="1" customWidth="1"/>
    <col min="4" max="4" width="9.85546875" style="1" customWidth="1"/>
    <col min="5" max="5" width="10.42578125" style="1" customWidth="1"/>
    <col min="6" max="6" width="8.42578125" style="1" customWidth="1"/>
    <col min="7" max="7" width="8" style="1" customWidth="1"/>
    <col min="8" max="8" width="6.7109375" style="1" customWidth="1"/>
    <col min="9" max="9" width="10.140625" style="1" customWidth="1"/>
    <col min="10" max="10" width="4.28515625" style="1" customWidth="1"/>
    <col min="11" max="11" width="9.28515625" style="1" customWidth="1"/>
    <col min="12" max="12" width="7.7109375" style="1" bestFit="1" customWidth="1"/>
    <col min="13" max="13" width="7.28515625" style="1" customWidth="1"/>
    <col min="14" max="14" width="4.28515625" style="1" customWidth="1"/>
    <col min="15" max="15" width="7.7109375" style="1" bestFit="1" customWidth="1"/>
    <col min="16" max="16" width="8.42578125" style="1" customWidth="1"/>
    <col min="17" max="17" width="7.28515625" style="1" customWidth="1"/>
    <col min="18" max="16384" width="9.140625" style="1"/>
  </cols>
  <sheetData>
    <row r="1" spans="1:17" x14ac:dyDescent="0.2">
      <c r="A1" s="19" t="s">
        <v>33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x14ac:dyDescent="0.2">
      <c r="A2" s="20" t="s">
        <v>31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5.5" customHeight="1" x14ac:dyDescent="0.2">
      <c r="A3" s="22" t="s">
        <v>35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x14ac:dyDescent="0.2">
      <c r="A4" s="22" t="s">
        <v>0</v>
      </c>
      <c r="B4" s="22" t="s">
        <v>1</v>
      </c>
      <c r="C4" s="22"/>
      <c r="D4" s="22"/>
      <c r="E4" s="22" t="s">
        <v>2</v>
      </c>
      <c r="F4" s="23"/>
      <c r="G4" s="17" t="s">
        <v>3</v>
      </c>
      <c r="H4" s="17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7" t="s">
        <v>7</v>
      </c>
      <c r="Q4" s="17" t="s">
        <v>8</v>
      </c>
    </row>
    <row r="5" spans="1:17" ht="117" customHeight="1" x14ac:dyDescent="0.2">
      <c r="A5" s="22"/>
      <c r="B5" s="14" t="s">
        <v>9</v>
      </c>
      <c r="C5" s="14" t="s">
        <v>10</v>
      </c>
      <c r="D5" s="14" t="s">
        <v>11</v>
      </c>
      <c r="E5" s="14" t="s">
        <v>12</v>
      </c>
      <c r="F5" s="14" t="s">
        <v>13</v>
      </c>
      <c r="G5" s="18"/>
      <c r="H5" s="18"/>
      <c r="I5" s="14" t="s">
        <v>14</v>
      </c>
      <c r="J5" s="14" t="s">
        <v>15</v>
      </c>
      <c r="K5" s="14" t="s">
        <v>16</v>
      </c>
      <c r="L5" s="14" t="s">
        <v>17</v>
      </c>
      <c r="M5" s="14" t="s">
        <v>18</v>
      </c>
      <c r="N5" s="14" t="s">
        <v>15</v>
      </c>
      <c r="O5" s="14" t="s">
        <v>16</v>
      </c>
      <c r="P5" s="18"/>
      <c r="Q5" s="18"/>
    </row>
    <row r="6" spans="1:17" x14ac:dyDescent="0.2">
      <c r="A6" s="2" t="s">
        <v>19</v>
      </c>
      <c r="B6" s="3">
        <v>53937</v>
      </c>
      <c r="C6" s="3">
        <v>85216</v>
      </c>
      <c r="D6" s="3">
        <v>53666.788269851</v>
      </c>
      <c r="E6" s="3">
        <v>7384010</v>
      </c>
      <c r="F6" s="3">
        <v>8485.097237</v>
      </c>
      <c r="G6" s="3">
        <v>10434.448784</v>
      </c>
      <c r="H6" s="4">
        <f t="shared" ref="H6" si="0">F6/G6*100</f>
        <v>81.318116679157015</v>
      </c>
      <c r="I6" s="5">
        <v>46599</v>
      </c>
      <c r="J6" s="5">
        <v>0</v>
      </c>
      <c r="K6" s="5">
        <v>46599</v>
      </c>
      <c r="L6" s="5">
        <v>636.42819059999999</v>
      </c>
      <c r="M6" s="5">
        <v>61.092424000000001</v>
      </c>
      <c r="N6" s="5">
        <v>0</v>
      </c>
      <c r="O6" s="5">
        <v>697.52061459999993</v>
      </c>
      <c r="P6" s="5">
        <v>895.72793100000001</v>
      </c>
      <c r="Q6" s="4">
        <f t="shared" ref="Q6" si="1">O6/P6*100</f>
        <v>77.871928568899335</v>
      </c>
    </row>
    <row r="7" spans="1:17" x14ac:dyDescent="0.2">
      <c r="A7" s="6" t="s">
        <v>27</v>
      </c>
      <c r="B7" s="7" t="s">
        <v>28</v>
      </c>
      <c r="C7" s="7" t="s">
        <v>28</v>
      </c>
      <c r="D7" s="7" t="s">
        <v>28</v>
      </c>
      <c r="E7" s="7" t="s">
        <v>28</v>
      </c>
      <c r="F7" s="7" t="s">
        <v>28</v>
      </c>
      <c r="G7" s="7" t="s">
        <v>28</v>
      </c>
      <c r="H7" s="8" t="s">
        <v>28</v>
      </c>
      <c r="I7" s="7" t="s">
        <v>28</v>
      </c>
      <c r="J7" s="7" t="s">
        <v>28</v>
      </c>
      <c r="K7" s="7" t="s">
        <v>28</v>
      </c>
      <c r="L7" s="7" t="s">
        <v>28</v>
      </c>
      <c r="M7" s="7" t="s">
        <v>28</v>
      </c>
      <c r="N7" s="7" t="s">
        <v>28</v>
      </c>
      <c r="O7" s="7" t="s">
        <v>28</v>
      </c>
      <c r="P7" s="7" t="s">
        <v>28</v>
      </c>
      <c r="Q7" s="8" t="s">
        <v>28</v>
      </c>
    </row>
    <row r="8" spans="1:17" x14ac:dyDescent="0.2">
      <c r="A8" s="9" t="s">
        <v>29</v>
      </c>
      <c r="B8" s="10" t="s">
        <v>28</v>
      </c>
      <c r="C8" s="10" t="s">
        <v>28</v>
      </c>
      <c r="D8" s="10" t="s">
        <v>28</v>
      </c>
      <c r="E8" s="10" t="s">
        <v>28</v>
      </c>
      <c r="F8" s="10" t="s">
        <v>28</v>
      </c>
      <c r="G8" s="10" t="s">
        <v>28</v>
      </c>
      <c r="H8" s="10" t="s">
        <v>28</v>
      </c>
      <c r="I8" s="10" t="s">
        <v>28</v>
      </c>
      <c r="J8" s="10" t="s">
        <v>28</v>
      </c>
      <c r="K8" s="10" t="s">
        <v>28</v>
      </c>
      <c r="L8" s="10" t="s">
        <v>28</v>
      </c>
      <c r="M8" s="10" t="s">
        <v>28</v>
      </c>
      <c r="N8" s="10" t="s">
        <v>28</v>
      </c>
      <c r="O8" s="10" t="s">
        <v>28</v>
      </c>
      <c r="P8" s="10" t="s">
        <v>28</v>
      </c>
      <c r="Q8" s="10" t="s">
        <v>28</v>
      </c>
    </row>
    <row r="9" spans="1:17" x14ac:dyDescent="0.2">
      <c r="A9" s="2" t="s">
        <v>20</v>
      </c>
      <c r="B9" s="3">
        <v>81034</v>
      </c>
      <c r="C9" s="3">
        <v>117173</v>
      </c>
      <c r="D9" s="3">
        <v>75409.953209999992</v>
      </c>
      <c r="E9" s="3">
        <v>9572842</v>
      </c>
      <c r="F9" s="3">
        <v>10223.659045</v>
      </c>
      <c r="G9" s="3">
        <v>13729.761013999998</v>
      </c>
      <c r="H9" s="4">
        <f t="shared" ref="H9" si="2">F9/G9*100</f>
        <v>74.46348872769974</v>
      </c>
      <c r="I9" s="5">
        <v>51863.199000000001</v>
      </c>
      <c r="J9" s="5">
        <v>0</v>
      </c>
      <c r="K9" s="5">
        <v>51863.199000000001</v>
      </c>
      <c r="L9" s="5">
        <v>766.77401099999997</v>
      </c>
      <c r="M9" s="5">
        <v>66.988570867999996</v>
      </c>
      <c r="N9" s="5">
        <v>0</v>
      </c>
      <c r="O9" s="5">
        <v>833.76258186799998</v>
      </c>
      <c r="P9" s="5">
        <v>1180.204097</v>
      </c>
      <c r="Q9" s="4">
        <f t="shared" ref="Q9" si="3">O9/P9*100</f>
        <v>70.645626801954748</v>
      </c>
    </row>
    <row r="10" spans="1:17" x14ac:dyDescent="0.2">
      <c r="A10" s="6" t="s">
        <v>27</v>
      </c>
      <c r="B10" s="11">
        <f>(B9-B6)/B6</f>
        <v>0.502382409106921</v>
      </c>
      <c r="C10" s="11">
        <f t="shared" ref="C10:Q10" si="4">(C9-C6)/C6</f>
        <v>0.37501173488546752</v>
      </c>
      <c r="D10" s="11">
        <f t="shared" si="4"/>
        <v>0.40515122371062207</v>
      </c>
      <c r="E10" s="11">
        <f t="shared" si="4"/>
        <v>0.29642863430574984</v>
      </c>
      <c r="F10" s="11">
        <f t="shared" si="4"/>
        <v>0.2048959203930924</v>
      </c>
      <c r="G10" s="11">
        <f t="shared" si="4"/>
        <v>0.31581085864861125</v>
      </c>
      <c r="H10" s="8">
        <f t="shared" si="4"/>
        <v>-8.4293983080085427E-2</v>
      </c>
      <c r="I10" s="11">
        <f t="shared" si="4"/>
        <v>0.11296806798429151</v>
      </c>
      <c r="J10" s="11" t="s">
        <v>28</v>
      </c>
      <c r="K10" s="11">
        <f t="shared" si="4"/>
        <v>0.11296806798429151</v>
      </c>
      <c r="L10" s="11">
        <f t="shared" si="4"/>
        <v>0.20480837009610614</v>
      </c>
      <c r="M10" s="11">
        <f t="shared" si="4"/>
        <v>9.6511915585474159E-2</v>
      </c>
      <c r="N10" s="11" t="s">
        <v>28</v>
      </c>
      <c r="O10" s="11">
        <f t="shared" si="4"/>
        <v>0.19532321255641935</v>
      </c>
      <c r="P10" s="11">
        <f t="shared" si="4"/>
        <v>0.31759215734448282</v>
      </c>
      <c r="Q10" s="8">
        <f t="shared" si="4"/>
        <v>-9.2797262116744897E-2</v>
      </c>
    </row>
    <row r="11" spans="1:17" x14ac:dyDescent="0.2">
      <c r="A11" s="9" t="s">
        <v>29</v>
      </c>
      <c r="B11" s="12">
        <f>(((B9/B6)^(1/1))-1)</f>
        <v>0.50238240910692111</v>
      </c>
      <c r="C11" s="12">
        <f t="shared" ref="C11:Q11" si="5">(((C9/C6)^(1/1))-1)</f>
        <v>0.37501173488546757</v>
      </c>
      <c r="D11" s="12">
        <f t="shared" si="5"/>
        <v>0.40515122371062207</v>
      </c>
      <c r="E11" s="12">
        <f t="shared" si="5"/>
        <v>0.29642863430574984</v>
      </c>
      <c r="F11" s="12">
        <f t="shared" si="5"/>
        <v>0.20489592039309246</v>
      </c>
      <c r="G11" s="12">
        <f t="shared" si="5"/>
        <v>0.31581085864861125</v>
      </c>
      <c r="H11" s="10">
        <f t="shared" si="5"/>
        <v>-8.42939830800854E-2</v>
      </c>
      <c r="I11" s="12">
        <f t="shared" si="5"/>
        <v>0.11296806798429149</v>
      </c>
      <c r="J11" s="12" t="s">
        <v>28</v>
      </c>
      <c r="K11" s="12">
        <f t="shared" si="5"/>
        <v>0.11296806798429149</v>
      </c>
      <c r="L11" s="12">
        <f t="shared" si="5"/>
        <v>0.20480837009610608</v>
      </c>
      <c r="M11" s="12">
        <f t="shared" si="5"/>
        <v>9.6511915585474117E-2</v>
      </c>
      <c r="N11" s="12" t="s">
        <v>28</v>
      </c>
      <c r="O11" s="12">
        <f t="shared" si="5"/>
        <v>0.19532321255641927</v>
      </c>
      <c r="P11" s="12">
        <f t="shared" si="5"/>
        <v>0.31759215734448287</v>
      </c>
      <c r="Q11" s="10">
        <f t="shared" si="5"/>
        <v>-9.2797262116744883E-2</v>
      </c>
    </row>
    <row r="12" spans="1:17" ht="25.5" x14ac:dyDescent="0.2">
      <c r="A12" s="2" t="s">
        <v>21</v>
      </c>
      <c r="B12" s="3">
        <v>109238</v>
      </c>
      <c r="C12" s="3">
        <v>150789</v>
      </c>
      <c r="D12" s="3">
        <v>94977.811000000002</v>
      </c>
      <c r="E12" s="3">
        <v>11681066</v>
      </c>
      <c r="F12" s="3">
        <v>12033.715024000001</v>
      </c>
      <c r="G12" s="3">
        <v>16105.504767</v>
      </c>
      <c r="H12" s="4">
        <f t="shared" ref="H12" si="6">F12/G12*100</f>
        <v>74.718024663573104</v>
      </c>
      <c r="I12" s="5">
        <v>67185.058999999994</v>
      </c>
      <c r="J12" s="5">
        <v>0</v>
      </c>
      <c r="K12" s="5">
        <v>67185.058999999994</v>
      </c>
      <c r="L12" s="5">
        <v>902.54224600000009</v>
      </c>
      <c r="M12" s="5">
        <v>79.945281402000006</v>
      </c>
      <c r="N12" s="5">
        <v>0</v>
      </c>
      <c r="O12" s="5">
        <v>982.48752740199996</v>
      </c>
      <c r="P12" s="5">
        <v>1391.8565600000004</v>
      </c>
      <c r="Q12" s="4">
        <f t="shared" ref="Q12" si="7">O12/P12*100</f>
        <v>70.588274369450815</v>
      </c>
    </row>
    <row r="13" spans="1:17" x14ac:dyDescent="0.2">
      <c r="A13" s="6" t="s">
        <v>27</v>
      </c>
      <c r="B13" s="11">
        <f>(B12-B9)/B9</f>
        <v>0.34805143520003951</v>
      </c>
      <c r="C13" s="11">
        <f t="shared" ref="C13:Q13" si="8">(C12-C9)/C9</f>
        <v>0.28689203144069025</v>
      </c>
      <c r="D13" s="11">
        <f t="shared" si="8"/>
        <v>0.25948640672813927</v>
      </c>
      <c r="E13" s="11">
        <f t="shared" si="8"/>
        <v>0.22022968727573275</v>
      </c>
      <c r="F13" s="11">
        <f t="shared" si="8"/>
        <v>0.17704580826032434</v>
      </c>
      <c r="G13" s="11">
        <f t="shared" si="8"/>
        <v>0.1730360601744996</v>
      </c>
      <c r="H13" s="8">
        <f t="shared" si="8"/>
        <v>3.4182649808976568E-3</v>
      </c>
      <c r="I13" s="11">
        <f t="shared" si="8"/>
        <v>0.2954283633757338</v>
      </c>
      <c r="J13" s="11" t="s">
        <v>28</v>
      </c>
      <c r="K13" s="11">
        <f t="shared" si="8"/>
        <v>0.2954283633757338</v>
      </c>
      <c r="L13" s="11">
        <f t="shared" si="8"/>
        <v>0.17706421064393654</v>
      </c>
      <c r="M13" s="11">
        <f t="shared" si="8"/>
        <v>0.19341673312498364</v>
      </c>
      <c r="N13" s="11" t="s">
        <v>28</v>
      </c>
      <c r="O13" s="11">
        <f t="shared" si="8"/>
        <v>0.17837805241965857</v>
      </c>
      <c r="P13" s="11">
        <f t="shared" si="8"/>
        <v>0.17933547556563037</v>
      </c>
      <c r="Q13" s="8">
        <f t="shared" si="8"/>
        <v>-8.1183273615382558E-4</v>
      </c>
    </row>
    <row r="14" spans="1:17" x14ac:dyDescent="0.2">
      <c r="A14" s="9" t="s">
        <v>29</v>
      </c>
      <c r="B14" s="12">
        <f>(((B12/B6)^(1/2))-1)</f>
        <v>0.42312640437027871</v>
      </c>
      <c r="C14" s="12">
        <f t="shared" ref="C14:Q14" si="9">(((C12/C6)^(1/2))-1)</f>
        <v>0.33022240424733007</v>
      </c>
      <c r="D14" s="12">
        <f t="shared" si="9"/>
        <v>0.3303266011250543</v>
      </c>
      <c r="E14" s="12">
        <f t="shared" si="9"/>
        <v>0.2577522438915425</v>
      </c>
      <c r="F14" s="12">
        <f t="shared" si="9"/>
        <v>0.19088945435277704</v>
      </c>
      <c r="G14" s="12">
        <f t="shared" si="9"/>
        <v>0.24237417293019758</v>
      </c>
      <c r="H14" s="10">
        <f t="shared" si="9"/>
        <v>-4.1440589879610412E-2</v>
      </c>
      <c r="I14" s="12">
        <f t="shared" si="9"/>
        <v>0.20073744124114956</v>
      </c>
      <c r="J14" s="12" t="s">
        <v>28</v>
      </c>
      <c r="K14" s="12">
        <f t="shared" si="9"/>
        <v>0.20073744124114956</v>
      </c>
      <c r="L14" s="12">
        <f t="shared" si="9"/>
        <v>0.19085549632370635</v>
      </c>
      <c r="M14" s="12">
        <f t="shared" si="9"/>
        <v>0.14393866449676151</v>
      </c>
      <c r="N14" s="12" t="s">
        <v>28</v>
      </c>
      <c r="O14" s="12">
        <f t="shared" si="9"/>
        <v>0.18682039046531518</v>
      </c>
      <c r="P14" s="12">
        <f t="shared" si="9"/>
        <v>0.24654850426423458</v>
      </c>
      <c r="Q14" s="10">
        <f t="shared" si="9"/>
        <v>-4.791479320267078E-2</v>
      </c>
    </row>
    <row r="15" spans="1:17" ht="25.5" x14ac:dyDescent="0.2">
      <c r="A15" s="2" t="s">
        <v>22</v>
      </c>
      <c r="B15" s="3">
        <v>121738</v>
      </c>
      <c r="C15" s="3">
        <v>174079</v>
      </c>
      <c r="D15" s="3">
        <v>107618.33799999999</v>
      </c>
      <c r="E15" s="3">
        <v>12610917</v>
      </c>
      <c r="F15" s="3">
        <v>13366.902354</v>
      </c>
      <c r="G15" s="3">
        <v>18494.116624000002</v>
      </c>
      <c r="H15" s="4">
        <f t="shared" ref="H15" si="10">F15/G15*100</f>
        <v>72.276511637509827</v>
      </c>
      <c r="I15" s="5">
        <v>80431.520600000003</v>
      </c>
      <c r="J15" s="5">
        <v>0</v>
      </c>
      <c r="K15" s="5">
        <v>80431.520600000003</v>
      </c>
      <c r="L15" s="5">
        <v>1001.3792419999999</v>
      </c>
      <c r="M15" s="5">
        <v>105.14817649499997</v>
      </c>
      <c r="N15" s="5">
        <v>0</v>
      </c>
      <c r="O15" s="5">
        <v>1106.5274184949999</v>
      </c>
      <c r="P15" s="5">
        <v>1582.6904880000002</v>
      </c>
      <c r="Q15" s="4">
        <f t="shared" ref="Q15" si="11">O15/P15*100</f>
        <v>69.914327967768756</v>
      </c>
    </row>
    <row r="16" spans="1:17" x14ac:dyDescent="0.2">
      <c r="A16" s="6" t="s">
        <v>27</v>
      </c>
      <c r="B16" s="11">
        <f>(B15-B12)/B12</f>
        <v>0.11442904483787693</v>
      </c>
      <c r="C16" s="11">
        <f t="shared" ref="C16:Q16" si="12">(C15-C12)/C12</f>
        <v>0.15445423737805808</v>
      </c>
      <c r="D16" s="11">
        <f t="shared" si="12"/>
        <v>0.13308926439671248</v>
      </c>
      <c r="E16" s="11">
        <f t="shared" si="12"/>
        <v>7.960326566085664E-2</v>
      </c>
      <c r="F16" s="11">
        <f t="shared" si="12"/>
        <v>0.11078767673499784</v>
      </c>
      <c r="G16" s="11">
        <f t="shared" si="12"/>
        <v>0.14831027599297855</v>
      </c>
      <c r="H16" s="8">
        <f t="shared" si="12"/>
        <v>-3.2676359379901737E-2</v>
      </c>
      <c r="I16" s="11">
        <f t="shared" si="12"/>
        <v>0.19716380095759103</v>
      </c>
      <c r="J16" s="11" t="s">
        <v>28</v>
      </c>
      <c r="K16" s="11">
        <f t="shared" si="12"/>
        <v>0.19716380095759103</v>
      </c>
      <c r="L16" s="11">
        <f t="shared" si="12"/>
        <v>0.10950955086926729</v>
      </c>
      <c r="M16" s="11">
        <f t="shared" si="12"/>
        <v>0.31525181537943103</v>
      </c>
      <c r="N16" s="11" t="s">
        <v>28</v>
      </c>
      <c r="O16" s="11">
        <f t="shared" si="12"/>
        <v>0.1262508557447031</v>
      </c>
      <c r="P16" s="11">
        <f t="shared" si="12"/>
        <v>0.13710746745339888</v>
      </c>
      <c r="Q16" s="8">
        <f t="shared" si="12"/>
        <v>-9.5475687386080872E-3</v>
      </c>
    </row>
    <row r="17" spans="1:17" x14ac:dyDescent="0.2">
      <c r="A17" s="9" t="s">
        <v>29</v>
      </c>
      <c r="B17" s="12">
        <f>(((B15/B6)^(1/3))-1)</f>
        <v>0.31173606269112675</v>
      </c>
      <c r="C17" s="12">
        <f t="shared" ref="C17:Q17" si="13">(((C15/C6)^(1/3))-1)</f>
        <v>0.26884453305577982</v>
      </c>
      <c r="D17" s="12">
        <f t="shared" si="13"/>
        <v>0.2610342776218626</v>
      </c>
      <c r="E17" s="12">
        <f t="shared" si="13"/>
        <v>0.1953216814292682</v>
      </c>
      <c r="F17" s="12">
        <f t="shared" si="13"/>
        <v>0.16356678999185714</v>
      </c>
      <c r="G17" s="12">
        <f t="shared" si="13"/>
        <v>0.21019315843389963</v>
      </c>
      <c r="H17" s="10">
        <f t="shared" si="13"/>
        <v>-3.8528038368999984E-2</v>
      </c>
      <c r="I17" s="12">
        <f t="shared" si="13"/>
        <v>0.19954504409046847</v>
      </c>
      <c r="J17" s="12" t="s">
        <v>28</v>
      </c>
      <c r="K17" s="12">
        <f t="shared" si="13"/>
        <v>0.19954504409046847</v>
      </c>
      <c r="L17" s="12">
        <f t="shared" si="13"/>
        <v>0.16309822245401295</v>
      </c>
      <c r="M17" s="12">
        <f t="shared" si="13"/>
        <v>0.19840826646365151</v>
      </c>
      <c r="N17" s="12" t="s">
        <v>28</v>
      </c>
      <c r="O17" s="12">
        <f t="shared" si="13"/>
        <v>0.16627699934419304</v>
      </c>
      <c r="P17" s="12">
        <f t="shared" si="13"/>
        <v>0.20894522750112765</v>
      </c>
      <c r="Q17" s="10">
        <f t="shared" si="13"/>
        <v>-3.5293764503400382E-2</v>
      </c>
    </row>
    <row r="18" spans="1:17" ht="25.5" x14ac:dyDescent="0.2">
      <c r="A18" s="2" t="s">
        <v>23</v>
      </c>
      <c r="B18" s="3">
        <v>102615</v>
      </c>
      <c r="C18" s="3">
        <v>139259</v>
      </c>
      <c r="D18" s="3">
        <v>86019.104999999996</v>
      </c>
      <c r="E18" s="3">
        <v>11700059</v>
      </c>
      <c r="F18" s="3">
        <v>11832.673454</v>
      </c>
      <c r="G18" s="3">
        <v>14540.973821</v>
      </c>
      <c r="H18" s="4">
        <f t="shared" ref="H18" si="14">F18/G18*100</f>
        <v>81.37469745603498</v>
      </c>
      <c r="I18" s="5">
        <v>71445.77622</v>
      </c>
      <c r="J18" s="5">
        <v>0</v>
      </c>
      <c r="K18" s="5">
        <v>71445.77622</v>
      </c>
      <c r="L18" s="5">
        <v>886.74105099999997</v>
      </c>
      <c r="M18" s="5">
        <v>90.370049386769992</v>
      </c>
      <c r="N18" s="5">
        <v>0</v>
      </c>
      <c r="O18" s="5">
        <v>977.11110038676998</v>
      </c>
      <c r="P18" s="5">
        <v>1264.218102</v>
      </c>
      <c r="Q18" s="4">
        <f t="shared" ref="Q18" si="15">O18/P18*100</f>
        <v>77.289757110816154</v>
      </c>
    </row>
    <row r="19" spans="1:17" x14ac:dyDescent="0.2">
      <c r="A19" s="6" t="s">
        <v>27</v>
      </c>
      <c r="B19" s="13">
        <f>(B18-B15)/B15</f>
        <v>-0.15708324434441176</v>
      </c>
      <c r="C19" s="13">
        <f t="shared" ref="C19:Q19" si="16">(C18-C15)/C15</f>
        <v>-0.20002412697683236</v>
      </c>
      <c r="D19" s="13">
        <f t="shared" si="16"/>
        <v>-0.2007021610015943</v>
      </c>
      <c r="E19" s="13">
        <f t="shared" si="16"/>
        <v>-7.2227737285084026E-2</v>
      </c>
      <c r="F19" s="13">
        <f t="shared" si="16"/>
        <v>-0.11477819313469342</v>
      </c>
      <c r="G19" s="13">
        <f t="shared" si="16"/>
        <v>-0.21375137203741698</v>
      </c>
      <c r="H19" s="8">
        <f t="shared" si="16"/>
        <v>0.12588025642625794</v>
      </c>
      <c r="I19" s="13">
        <f t="shared" si="16"/>
        <v>-0.11171919059802039</v>
      </c>
      <c r="J19" s="11" t="s">
        <v>28</v>
      </c>
      <c r="K19" s="13">
        <f t="shared" si="16"/>
        <v>-0.11171919059802039</v>
      </c>
      <c r="L19" s="13">
        <f t="shared" si="16"/>
        <v>-0.11448029496900626</v>
      </c>
      <c r="M19" s="13">
        <f t="shared" si="16"/>
        <v>-0.14054572890222888</v>
      </c>
      <c r="N19" s="11" t="s">
        <v>28</v>
      </c>
      <c r="O19" s="13">
        <f t="shared" si="16"/>
        <v>-0.11695717245240111</v>
      </c>
      <c r="P19" s="13">
        <f t="shared" si="16"/>
        <v>-0.20122215203456767</v>
      </c>
      <c r="Q19" s="8">
        <f t="shared" si="16"/>
        <v>0.10549238414259735</v>
      </c>
    </row>
    <row r="20" spans="1:17" x14ac:dyDescent="0.2">
      <c r="A20" s="9" t="s">
        <v>29</v>
      </c>
      <c r="B20" s="12">
        <f>(((B18/B6)^(1/4))-1)</f>
        <v>0.17444049006292017</v>
      </c>
      <c r="C20" s="12">
        <f t="shared" ref="C20:Q20" si="17">(((C18/C6)^(1/4))-1)</f>
        <v>0.13064308742398034</v>
      </c>
      <c r="D20" s="12">
        <f t="shared" si="17"/>
        <v>0.12518084081969305</v>
      </c>
      <c r="E20" s="12">
        <f t="shared" si="17"/>
        <v>0.12195113926680601</v>
      </c>
      <c r="F20" s="12">
        <f t="shared" si="17"/>
        <v>8.6692110306842762E-2</v>
      </c>
      <c r="G20" s="12">
        <f t="shared" si="17"/>
        <v>8.6503163606574063E-2</v>
      </c>
      <c r="H20" s="10">
        <f t="shared" si="17"/>
        <v>1.7390349756696288E-4</v>
      </c>
      <c r="I20" s="12">
        <f t="shared" si="17"/>
        <v>0.1127561173916185</v>
      </c>
      <c r="J20" s="12" t="s">
        <v>28</v>
      </c>
      <c r="K20" s="12">
        <f t="shared" si="17"/>
        <v>0.1127561173916185</v>
      </c>
      <c r="L20" s="12">
        <f t="shared" si="17"/>
        <v>8.6455271446280957E-2</v>
      </c>
      <c r="M20" s="12">
        <f t="shared" si="17"/>
        <v>0.1028318258067058</v>
      </c>
      <c r="N20" s="12" t="s">
        <v>28</v>
      </c>
      <c r="O20" s="12">
        <f t="shared" si="17"/>
        <v>8.7919409236169699E-2</v>
      </c>
      <c r="P20" s="12">
        <f t="shared" si="17"/>
        <v>8.9962288146085978E-2</v>
      </c>
      <c r="Q20" s="10">
        <f t="shared" si="17"/>
        <v>-1.8742656806879365E-3</v>
      </c>
    </row>
    <row r="21" spans="1:17" ht="25.5" x14ac:dyDescent="0.2">
      <c r="A21" s="2" t="s">
        <v>24</v>
      </c>
      <c r="B21" s="3">
        <v>95755</v>
      </c>
      <c r="C21" s="3">
        <v>133905</v>
      </c>
      <c r="D21" s="3">
        <v>79635.166999999987</v>
      </c>
      <c r="E21" s="3">
        <v>11914456</v>
      </c>
      <c r="F21" s="3">
        <v>11699.948880999998</v>
      </c>
      <c r="G21" s="3">
        <v>12916.360223</v>
      </c>
      <c r="H21" s="4">
        <f t="shared" ref="H21" si="18">F21/G21*100</f>
        <v>90.582398438888745</v>
      </c>
      <c r="I21" s="5">
        <v>63209.987910000003</v>
      </c>
      <c r="J21" s="5">
        <v>0</v>
      </c>
      <c r="K21" s="5">
        <v>63209.987910000003</v>
      </c>
      <c r="L21" s="5">
        <v>877.56996242000025</v>
      </c>
      <c r="M21" s="5">
        <v>73.100768559999977</v>
      </c>
      <c r="N21" s="5">
        <v>0</v>
      </c>
      <c r="O21" s="5">
        <v>950.67073098000003</v>
      </c>
      <c r="P21" s="5">
        <v>1128.4691620000001</v>
      </c>
      <c r="Q21" s="4">
        <f t="shared" ref="Q21" si="19">O21/P21*100</f>
        <v>84.244280924355465</v>
      </c>
    </row>
    <row r="22" spans="1:17" x14ac:dyDescent="0.2">
      <c r="A22" s="6" t="s">
        <v>27</v>
      </c>
      <c r="B22" s="13">
        <f>(B21-B18)/B18</f>
        <v>-6.6851824781951952E-2</v>
      </c>
      <c r="C22" s="13">
        <f t="shared" ref="C22:Q22" si="20">(C21-C18)/C18</f>
        <v>-3.844634817139287E-2</v>
      </c>
      <c r="D22" s="13">
        <f t="shared" si="20"/>
        <v>-7.4215350182962367E-2</v>
      </c>
      <c r="E22" s="13">
        <f t="shared" si="20"/>
        <v>1.8324437509246748E-2</v>
      </c>
      <c r="F22" s="13">
        <f t="shared" si="20"/>
        <v>-1.1216786596534883E-2</v>
      </c>
      <c r="G22" s="13">
        <f t="shared" si="20"/>
        <v>-0.11172660222066705</v>
      </c>
      <c r="H22" s="8">
        <f t="shared" si="20"/>
        <v>0.11315189205868927</v>
      </c>
      <c r="I22" s="13">
        <f t="shared" si="20"/>
        <v>-0.11527327080385938</v>
      </c>
      <c r="J22" s="11" t="s">
        <v>28</v>
      </c>
      <c r="K22" s="13">
        <f t="shared" si="20"/>
        <v>-0.11527327080385938</v>
      </c>
      <c r="L22" s="13">
        <f t="shared" si="20"/>
        <v>-1.0342465333771627E-2</v>
      </c>
      <c r="M22" s="13">
        <f t="shared" si="20"/>
        <v>-0.1910951796967614</v>
      </c>
      <c r="N22" s="11" t="s">
        <v>28</v>
      </c>
      <c r="O22" s="13">
        <f t="shared" si="20"/>
        <v>-2.7059737010769861E-2</v>
      </c>
      <c r="P22" s="13">
        <f t="shared" si="20"/>
        <v>-0.10737778535621692</v>
      </c>
      <c r="Q22" s="8">
        <f t="shared" si="20"/>
        <v>8.9979889619372005E-2</v>
      </c>
    </row>
    <row r="23" spans="1:17" x14ac:dyDescent="0.2">
      <c r="A23" s="9" t="s">
        <v>29</v>
      </c>
      <c r="B23" s="12">
        <f>(((B21/B6)^(1/5))-1)</f>
        <v>0.12164373444030319</v>
      </c>
      <c r="C23" s="12">
        <f t="shared" ref="C23:Q23" si="21">(((C21/C6)^(1/5))-1)</f>
        <v>9.4599208610946395E-2</v>
      </c>
      <c r="D23" s="12">
        <f t="shared" si="21"/>
        <v>8.2131048400665652E-2</v>
      </c>
      <c r="E23" s="12">
        <f t="shared" si="21"/>
        <v>0.10041471265600954</v>
      </c>
      <c r="F23" s="12">
        <f t="shared" si="21"/>
        <v>6.6363884788624761E-2</v>
      </c>
      <c r="G23" s="12">
        <f t="shared" si="21"/>
        <v>4.3600136796953404E-2</v>
      </c>
      <c r="H23" s="10">
        <f t="shared" si="21"/>
        <v>2.1812710816173864E-2</v>
      </c>
      <c r="I23" s="12">
        <f t="shared" si="21"/>
        <v>6.2874094414731685E-2</v>
      </c>
      <c r="J23" s="12" t="s">
        <v>28</v>
      </c>
      <c r="K23" s="12">
        <f t="shared" si="21"/>
        <v>6.2874094414731685E-2</v>
      </c>
      <c r="L23" s="12">
        <f t="shared" si="21"/>
        <v>6.6366438688786777E-2</v>
      </c>
      <c r="M23" s="12">
        <f t="shared" si="21"/>
        <v>3.6542031137028586E-2</v>
      </c>
      <c r="N23" s="12" t="s">
        <v>28</v>
      </c>
      <c r="O23" s="12">
        <f t="shared" si="21"/>
        <v>6.3884827221651008E-2</v>
      </c>
      <c r="P23" s="12">
        <f t="shared" si="21"/>
        <v>4.7279773047980145E-2</v>
      </c>
      <c r="Q23" s="10">
        <f t="shared" si="21"/>
        <v>1.5855413807280838E-2</v>
      </c>
    </row>
    <row r="24" spans="1:17" ht="25.5" x14ac:dyDescent="0.2">
      <c r="A24" s="2" t="s">
        <v>25</v>
      </c>
      <c r="B24" s="3">
        <v>115207</v>
      </c>
      <c r="C24" s="3">
        <v>163596</v>
      </c>
      <c r="D24" s="3">
        <v>99039.251000000004</v>
      </c>
      <c r="E24" s="3">
        <v>14914804</v>
      </c>
      <c r="F24" s="3">
        <v>15056.481735999996</v>
      </c>
      <c r="G24" s="3">
        <v>16438.449419999997</v>
      </c>
      <c r="H24" s="4">
        <f t="shared" ref="H24" si="22">F24/G24*100</f>
        <v>91.59307761522436</v>
      </c>
      <c r="I24" s="5">
        <v>60481.887840000003</v>
      </c>
      <c r="J24" s="5">
        <v>0</v>
      </c>
      <c r="K24" s="5">
        <v>60481.887840000003</v>
      </c>
      <c r="L24" s="5">
        <v>1125.3011659999997</v>
      </c>
      <c r="M24" s="5">
        <v>72.234873530000002</v>
      </c>
      <c r="N24" s="5">
        <v>0</v>
      </c>
      <c r="O24" s="5">
        <v>1197.5360395299999</v>
      </c>
      <c r="P24" s="5">
        <v>1434.8214310000001</v>
      </c>
      <c r="Q24" s="4">
        <f t="shared" ref="Q24" si="23">O24/P24*100</f>
        <v>83.462374735745072</v>
      </c>
    </row>
    <row r="25" spans="1:17" x14ac:dyDescent="0.2">
      <c r="A25" s="6" t="s">
        <v>27</v>
      </c>
      <c r="B25" s="13">
        <f>(B24-B21)/B21</f>
        <v>0.20314343898490941</v>
      </c>
      <c r="C25" s="13">
        <f t="shared" ref="C25:Q25" si="24">(C24-C21)/C21</f>
        <v>0.22173182480116502</v>
      </c>
      <c r="D25" s="13">
        <f t="shared" si="24"/>
        <v>0.24366225037237657</v>
      </c>
      <c r="E25" s="13">
        <f t="shared" si="24"/>
        <v>0.25182417057060769</v>
      </c>
      <c r="F25" s="13">
        <f t="shared" si="24"/>
        <v>0.2868844034396425</v>
      </c>
      <c r="G25" s="13">
        <f t="shared" si="24"/>
        <v>0.27268434266243657</v>
      </c>
      <c r="H25" s="8">
        <f t="shared" si="24"/>
        <v>1.1157566963933585E-2</v>
      </c>
      <c r="I25" s="13">
        <f t="shared" si="24"/>
        <v>-4.3159319598104325E-2</v>
      </c>
      <c r="J25" s="11" t="s">
        <v>28</v>
      </c>
      <c r="K25" s="13">
        <f t="shared" si="24"/>
        <v>-4.3159319598104325E-2</v>
      </c>
      <c r="L25" s="13">
        <f t="shared" si="24"/>
        <v>0.28229225496375487</v>
      </c>
      <c r="M25" s="13">
        <f t="shared" si="24"/>
        <v>-1.1845224709084456E-2</v>
      </c>
      <c r="N25" s="11" t="s">
        <v>28</v>
      </c>
      <c r="O25" s="13">
        <f t="shared" si="24"/>
        <v>0.25967488059248284</v>
      </c>
      <c r="P25" s="13">
        <f t="shared" si="24"/>
        <v>0.27147597764838161</v>
      </c>
      <c r="Q25" s="8">
        <f t="shared" si="24"/>
        <v>-9.2814156644352008E-3</v>
      </c>
    </row>
    <row r="26" spans="1:17" x14ac:dyDescent="0.2">
      <c r="A26" s="9" t="s">
        <v>29</v>
      </c>
      <c r="B26" s="12">
        <f>(((B24/B6)^(1/6))-1)</f>
        <v>0.13483314946305813</v>
      </c>
      <c r="C26" s="12">
        <f t="shared" ref="C26:Q26" si="25">(((C24/C6)^(1/6))-1)</f>
        <v>0.11482985188357087</v>
      </c>
      <c r="D26" s="12">
        <f t="shared" si="25"/>
        <v>0.10751671718748868</v>
      </c>
      <c r="E26" s="12">
        <f t="shared" si="25"/>
        <v>0.1243138114782254</v>
      </c>
      <c r="F26" s="12">
        <f t="shared" si="25"/>
        <v>0.10030000013908547</v>
      </c>
      <c r="G26" s="12">
        <f t="shared" si="25"/>
        <v>7.8694728387708412E-2</v>
      </c>
      <c r="H26" s="10">
        <f t="shared" si="25"/>
        <v>2.0029088103239001E-2</v>
      </c>
      <c r="I26" s="12">
        <f t="shared" si="25"/>
        <v>4.441906342248414E-2</v>
      </c>
      <c r="J26" s="12" t="s">
        <v>28</v>
      </c>
      <c r="K26" s="12">
        <f t="shared" si="25"/>
        <v>4.441906342248414E-2</v>
      </c>
      <c r="L26" s="12">
        <f t="shared" si="25"/>
        <v>9.964683032292676E-2</v>
      </c>
      <c r="M26" s="12">
        <f t="shared" si="25"/>
        <v>2.8316000063226765E-2</v>
      </c>
      <c r="N26" s="12" t="s">
        <v>28</v>
      </c>
      <c r="O26" s="12">
        <f t="shared" si="25"/>
        <v>9.4263527511980971E-2</v>
      </c>
      <c r="P26" s="12">
        <f t="shared" si="25"/>
        <v>8.1692013076068326E-2</v>
      </c>
      <c r="Q26" s="10">
        <f t="shared" si="25"/>
        <v>1.162208307350121E-2</v>
      </c>
    </row>
    <row r="27" spans="1:17" ht="25.5" x14ac:dyDescent="0.2">
      <c r="A27" s="2" t="s">
        <v>26</v>
      </c>
      <c r="B27" s="3">
        <v>138311</v>
      </c>
      <c r="C27" s="3">
        <v>197708</v>
      </c>
      <c r="D27" s="3">
        <v>118614.7</v>
      </c>
      <c r="E27" s="3">
        <v>18090019</v>
      </c>
      <c r="F27" s="3">
        <v>18254.3001</v>
      </c>
      <c r="G27" s="3">
        <v>19510.000899999999</v>
      </c>
      <c r="H27" s="4">
        <f t="shared" ref="H27" si="26">F27/G27*100</f>
        <v>93.563809625452151</v>
      </c>
      <c r="I27" s="5">
        <v>74646.979319999999</v>
      </c>
      <c r="J27" s="5">
        <v>0</v>
      </c>
      <c r="K27" s="5">
        <v>74646.979319999999</v>
      </c>
      <c r="L27" s="5">
        <v>1369.0691999999999</v>
      </c>
      <c r="M27" s="5">
        <v>85.585700000000003</v>
      </c>
      <c r="N27" s="5">
        <v>0</v>
      </c>
      <c r="O27" s="5">
        <v>1454.6549</v>
      </c>
      <c r="P27" s="5">
        <v>1692.9860000000001</v>
      </c>
      <c r="Q27" s="4">
        <f t="shared" ref="Q27" si="27">O27/P27*100</f>
        <v>85.922441177895152</v>
      </c>
    </row>
    <row r="28" spans="1:17" x14ac:dyDescent="0.2">
      <c r="A28" s="6" t="s">
        <v>27</v>
      </c>
      <c r="B28" s="13">
        <f>(B27-B24)/B24</f>
        <v>0.20054336976051804</v>
      </c>
      <c r="C28" s="13">
        <f t="shared" ref="C28:Q28" si="28">(C27-C24)/C24</f>
        <v>0.20851365559060123</v>
      </c>
      <c r="D28" s="13">
        <f t="shared" si="28"/>
        <v>0.19765344348171607</v>
      </c>
      <c r="E28" s="13">
        <f t="shared" si="28"/>
        <v>0.21289015933430971</v>
      </c>
      <c r="F28" s="13">
        <f t="shared" si="28"/>
        <v>0.21238815415649404</v>
      </c>
      <c r="G28" s="13">
        <f t="shared" si="28"/>
        <v>0.186851655014552</v>
      </c>
      <c r="H28" s="8">
        <f t="shared" si="28"/>
        <v>2.1516167613743573E-2</v>
      </c>
      <c r="I28" s="13">
        <f t="shared" si="28"/>
        <v>0.23420385814465006</v>
      </c>
      <c r="J28" s="11" t="s">
        <v>28</v>
      </c>
      <c r="K28" s="13">
        <f t="shared" si="28"/>
        <v>0.23420385814465006</v>
      </c>
      <c r="L28" s="13">
        <f t="shared" si="28"/>
        <v>0.21662470578120793</v>
      </c>
      <c r="M28" s="13">
        <f t="shared" si="28"/>
        <v>0.18482522108182614</v>
      </c>
      <c r="N28" s="11" t="s">
        <v>28</v>
      </c>
      <c r="O28" s="13">
        <f t="shared" si="28"/>
        <v>0.21470657415113134</v>
      </c>
      <c r="P28" s="13">
        <f t="shared" si="28"/>
        <v>0.17992801293752073</v>
      </c>
      <c r="Q28" s="8">
        <f t="shared" si="28"/>
        <v>2.9475155121562673E-2</v>
      </c>
    </row>
    <row r="29" spans="1:17" x14ac:dyDescent="0.2">
      <c r="A29" s="9" t="s">
        <v>29</v>
      </c>
      <c r="B29" s="12">
        <f>(((B27/B6)^(1/7))-1)</f>
        <v>0.14399539512002746</v>
      </c>
      <c r="C29" s="12">
        <f t="shared" ref="C29:Q29" si="29">(((C27/C6)^(1/7))-1)</f>
        <v>0.12775491441224984</v>
      </c>
      <c r="D29" s="12">
        <f t="shared" si="29"/>
        <v>0.11996564621638139</v>
      </c>
      <c r="E29" s="12">
        <f t="shared" si="29"/>
        <v>0.13656006529695497</v>
      </c>
      <c r="F29" s="12">
        <f t="shared" si="29"/>
        <v>0.11565461446740821</v>
      </c>
      <c r="G29" s="12">
        <f t="shared" si="29"/>
        <v>9.3520238912528253E-2</v>
      </c>
      <c r="H29" s="10">
        <f t="shared" si="29"/>
        <v>2.0241395419340336E-2</v>
      </c>
      <c r="I29" s="12">
        <f t="shared" si="29"/>
        <v>6.9630216517621246E-2</v>
      </c>
      <c r="J29" s="12" t="s">
        <v>28</v>
      </c>
      <c r="K29" s="12">
        <f t="shared" si="29"/>
        <v>6.9630216517621246E-2</v>
      </c>
      <c r="L29" s="12">
        <f t="shared" si="29"/>
        <v>0.11564273499084465</v>
      </c>
      <c r="M29" s="12">
        <f t="shared" si="29"/>
        <v>4.9340087294900137E-2</v>
      </c>
      <c r="N29" s="12" t="s">
        <v>28</v>
      </c>
      <c r="O29" s="12">
        <f t="shared" si="29"/>
        <v>0.11070932528046007</v>
      </c>
      <c r="P29" s="12">
        <f t="shared" si="29"/>
        <v>9.5208359440505541E-2</v>
      </c>
      <c r="Q29" s="10">
        <f t="shared" si="29"/>
        <v>1.415344003388852E-2</v>
      </c>
    </row>
    <row r="30" spans="1:17" ht="25.5" x14ac:dyDescent="0.2">
      <c r="A30" s="2" t="s">
        <v>30</v>
      </c>
      <c r="B30" s="3">
        <v>156182</v>
      </c>
      <c r="C30" s="3">
        <v>232545</v>
      </c>
      <c r="D30" s="3">
        <v>137048.258</v>
      </c>
      <c r="E30" s="3">
        <v>19895114</v>
      </c>
      <c r="F30" s="3">
        <v>20503.949322</v>
      </c>
      <c r="G30" s="3">
        <v>22316.526798999999</v>
      </c>
      <c r="H30" s="4">
        <f t="shared" ref="H30" si="30">F30/G30*100</f>
        <v>91.877869287969943</v>
      </c>
      <c r="I30" s="5">
        <v>107404.21004000001</v>
      </c>
      <c r="J30" s="5">
        <v>0</v>
      </c>
      <c r="K30" s="5">
        <v>107404.21004000001</v>
      </c>
      <c r="L30" s="5">
        <v>1537.7947525000002</v>
      </c>
      <c r="M30" s="5">
        <v>112.8786422</v>
      </c>
      <c r="N30" s="5">
        <v>0</v>
      </c>
      <c r="O30" s="5">
        <v>1650.6733947</v>
      </c>
      <c r="P30" s="5">
        <v>1936.391615</v>
      </c>
      <c r="Q30" s="4">
        <f t="shared" ref="Q30" si="31">O30/P30*100</f>
        <v>85.244812150252997</v>
      </c>
    </row>
    <row r="31" spans="1:17" x14ac:dyDescent="0.2">
      <c r="A31" s="6" t="s">
        <v>27</v>
      </c>
      <c r="B31" s="13">
        <f>(B30-B27)/B27</f>
        <v>0.12920881202507392</v>
      </c>
      <c r="C31" s="13">
        <f t="shared" ref="C31:Q31" si="32">(C30-C27)/C27</f>
        <v>0.17620430129281567</v>
      </c>
      <c r="D31" s="13">
        <f t="shared" si="32"/>
        <v>0.15540702796533654</v>
      </c>
      <c r="E31" s="13">
        <f t="shared" si="32"/>
        <v>9.9784030077580355E-2</v>
      </c>
      <c r="F31" s="13">
        <f t="shared" si="32"/>
        <v>0.12323941261379832</v>
      </c>
      <c r="G31" s="13">
        <f t="shared" si="32"/>
        <v>0.14385062888438926</v>
      </c>
      <c r="H31" s="8">
        <f t="shared" si="32"/>
        <v>-1.8019150184577157E-2</v>
      </c>
      <c r="I31" s="13">
        <f t="shared" si="32"/>
        <v>0.43882861729173056</v>
      </c>
      <c r="J31" s="11" t="s">
        <v>28</v>
      </c>
      <c r="K31" s="13">
        <f t="shared" si="32"/>
        <v>0.43882861729173056</v>
      </c>
      <c r="L31" s="13">
        <f t="shared" si="32"/>
        <v>0.12324106955294903</v>
      </c>
      <c r="M31" s="13">
        <f t="shared" si="32"/>
        <v>0.31889605623369321</v>
      </c>
      <c r="N31" s="11" t="s">
        <v>28</v>
      </c>
      <c r="O31" s="13">
        <f t="shared" si="32"/>
        <v>0.13475257581712338</v>
      </c>
      <c r="P31" s="13">
        <f t="shared" si="32"/>
        <v>0.14377296386384758</v>
      </c>
      <c r="Q31" s="8">
        <f t="shared" si="32"/>
        <v>-7.8865197304995235E-3</v>
      </c>
    </row>
    <row r="32" spans="1:17" x14ac:dyDescent="0.2">
      <c r="A32" s="9" t="s">
        <v>29</v>
      </c>
      <c r="B32" s="12">
        <f>(((B30/B6)^(1/8))-1)</f>
        <v>0.14213653500451695</v>
      </c>
      <c r="C32" s="12">
        <f t="shared" ref="C32:Q32" si="33">(((C30/C6)^(1/8))-1)</f>
        <v>0.13370022457516351</v>
      </c>
      <c r="D32" s="12">
        <f t="shared" si="33"/>
        <v>0.12433567061052453</v>
      </c>
      <c r="E32" s="12">
        <f t="shared" si="33"/>
        <v>0.13189663673624552</v>
      </c>
      <c r="F32" s="12">
        <f t="shared" si="33"/>
        <v>0.11659990617762639</v>
      </c>
      <c r="G32" s="12">
        <f t="shared" si="33"/>
        <v>9.9688381455282915E-2</v>
      </c>
      <c r="H32" s="10">
        <f t="shared" si="33"/>
        <v>1.5378469944334006E-2</v>
      </c>
      <c r="I32" s="12">
        <f t="shared" si="33"/>
        <v>0.11001944968283661</v>
      </c>
      <c r="J32" s="12" t="s">
        <v>28</v>
      </c>
      <c r="K32" s="12">
        <f t="shared" si="33"/>
        <v>0.11001944968283661</v>
      </c>
      <c r="L32" s="12">
        <f t="shared" si="33"/>
        <v>0.11658970871250185</v>
      </c>
      <c r="M32" s="12">
        <f t="shared" si="33"/>
        <v>7.976203264764048E-2</v>
      </c>
      <c r="N32" s="12" t="s">
        <v>28</v>
      </c>
      <c r="O32" s="12">
        <f t="shared" si="33"/>
        <v>0.11368664821764263</v>
      </c>
      <c r="P32" s="12">
        <f t="shared" si="33"/>
        <v>0.10116432928754127</v>
      </c>
      <c r="Q32" s="10">
        <f t="shared" si="33"/>
        <v>1.1371889369321986E-2</v>
      </c>
    </row>
    <row r="33" spans="1:17" ht="25.5" x14ac:dyDescent="0.2">
      <c r="A33" s="2" t="s">
        <v>34</v>
      </c>
      <c r="B33" s="3">
        <v>195976</v>
      </c>
      <c r="C33" s="3">
        <v>316834.66666666669</v>
      </c>
      <c r="D33" s="3">
        <v>194606.98099999997</v>
      </c>
      <c r="E33" s="3">
        <v>24783266</v>
      </c>
      <c r="F33" s="3">
        <v>28070.615241000003</v>
      </c>
      <c r="G33" s="3">
        <v>31324.449610000003</v>
      </c>
      <c r="H33" s="4">
        <v>89.612477124063346</v>
      </c>
      <c r="I33" s="5">
        <v>156259.624093608</v>
      </c>
      <c r="J33" s="5">
        <v>0</v>
      </c>
      <c r="K33" s="5">
        <v>156259.627583608</v>
      </c>
      <c r="L33" s="5">
        <v>2105.2959753250002</v>
      </c>
      <c r="M33" s="5">
        <v>169.41628550999991</v>
      </c>
      <c r="N33" s="5">
        <v>0</v>
      </c>
      <c r="O33" s="5">
        <v>2274.7122608350001</v>
      </c>
      <c r="P33" s="5">
        <v>2778.0563829999996</v>
      </c>
      <c r="Q33" s="4">
        <v>81.881428856334352</v>
      </c>
    </row>
    <row r="34" spans="1:17" x14ac:dyDescent="0.2">
      <c r="A34" s="6" t="s">
        <v>27</v>
      </c>
      <c r="B34" s="13">
        <f>(B33-B30)/B30</f>
        <v>0.2547924856897722</v>
      </c>
      <c r="C34" s="13">
        <f t="shared" ref="C34:Q34" si="34">(C33-C30)/C30</f>
        <v>0.36246604599826565</v>
      </c>
      <c r="D34" s="13">
        <f t="shared" si="34"/>
        <v>0.41998872397196008</v>
      </c>
      <c r="E34" s="13">
        <f t="shared" si="34"/>
        <v>0.2456961040786195</v>
      </c>
      <c r="F34" s="13">
        <f t="shared" si="34"/>
        <v>0.36903456013136171</v>
      </c>
      <c r="G34" s="13">
        <f t="shared" si="34"/>
        <v>0.40364358182311988</v>
      </c>
      <c r="H34" s="8">
        <f t="shared" si="34"/>
        <v>-2.465655964230351E-2</v>
      </c>
      <c r="I34" s="13">
        <f t="shared" si="34"/>
        <v>0.45487429250131833</v>
      </c>
      <c r="J34" s="11" t="s">
        <v>28</v>
      </c>
      <c r="K34" s="13">
        <f t="shared" si="34"/>
        <v>0.4548743249953891</v>
      </c>
      <c r="L34" s="13">
        <f t="shared" si="34"/>
        <v>0.36903573893876968</v>
      </c>
      <c r="M34" s="13">
        <f t="shared" si="34"/>
        <v>0.5008710435214635</v>
      </c>
      <c r="N34" s="11" t="s">
        <v>28</v>
      </c>
      <c r="O34" s="13">
        <f t="shared" si="34"/>
        <v>0.3780510839628668</v>
      </c>
      <c r="P34" s="13">
        <f t="shared" si="34"/>
        <v>0.43465627586907291</v>
      </c>
      <c r="Q34" s="8">
        <f t="shared" si="34"/>
        <v>-3.9455577519372391E-2</v>
      </c>
    </row>
    <row r="35" spans="1:17" x14ac:dyDescent="0.2">
      <c r="A35" s="9" t="s">
        <v>29</v>
      </c>
      <c r="B35" s="12">
        <f>(((B33/B6)^(1/9))-1)</f>
        <v>0.15413694832624736</v>
      </c>
      <c r="C35" s="12">
        <f t="shared" ref="C35:Q35" si="35">(((C33/C6)^(1/9))-1)</f>
        <v>0.15709215718092562</v>
      </c>
      <c r="D35" s="12">
        <f t="shared" si="35"/>
        <v>0.15388206565084217</v>
      </c>
      <c r="E35" s="12">
        <f t="shared" si="35"/>
        <v>0.14400937820179016</v>
      </c>
      <c r="F35" s="12">
        <f t="shared" si="35"/>
        <v>0.14217536739039138</v>
      </c>
      <c r="G35" s="12">
        <f t="shared" si="35"/>
        <v>0.12991556960840933</v>
      </c>
      <c r="H35" s="10">
        <f t="shared" si="35"/>
        <v>1.0850189263460486E-2</v>
      </c>
      <c r="I35" s="12">
        <f t="shared" si="35"/>
        <v>0.14389345567778178</v>
      </c>
      <c r="J35" s="12" t="s">
        <v>28</v>
      </c>
      <c r="K35" s="12">
        <f t="shared" si="35"/>
        <v>0.14389345851649638</v>
      </c>
      <c r="L35" s="12">
        <f t="shared" si="35"/>
        <v>0.14216620462750584</v>
      </c>
      <c r="M35" s="12">
        <f t="shared" si="35"/>
        <v>0.1200016029974651</v>
      </c>
      <c r="N35" s="12" t="s">
        <v>28</v>
      </c>
      <c r="O35" s="12">
        <f t="shared" si="35"/>
        <v>0.14035756192932825</v>
      </c>
      <c r="P35" s="12">
        <f t="shared" si="35"/>
        <v>0.13401376598520054</v>
      </c>
      <c r="Q35" s="10">
        <f t="shared" si="35"/>
        <v>5.5941084089190518E-3</v>
      </c>
    </row>
    <row r="36" spans="1:17" ht="14.25" customHeight="1" x14ac:dyDescent="0.2">
      <c r="A36" s="2" t="s">
        <v>37</v>
      </c>
      <c r="B36" s="3">
        <v>77275</v>
      </c>
      <c r="C36" s="3">
        <v>134564.31666666668</v>
      </c>
      <c r="D36" s="3">
        <v>85275.459000000003</v>
      </c>
      <c r="E36" s="3">
        <v>7735003</v>
      </c>
      <c r="F36" s="3">
        <f>9096579.679/1000</f>
        <v>9096.5796790000004</v>
      </c>
      <c r="G36" s="3">
        <f>11841246.959/1000</f>
        <v>11841.246959</v>
      </c>
      <c r="H36" s="4">
        <v>76.821129653799659</v>
      </c>
      <c r="I36" s="5">
        <v>105205.63920786942</v>
      </c>
      <c r="J36" s="5">
        <v>0</v>
      </c>
      <c r="K36" s="5">
        <v>105205.63920786942</v>
      </c>
      <c r="L36" s="5">
        <f>682386.3011/1000</f>
        <v>682.38630110000008</v>
      </c>
      <c r="M36" s="5">
        <f>163297.66425289/1000</f>
        <v>163.29766425289</v>
      </c>
      <c r="N36" s="5">
        <v>0</v>
      </c>
      <c r="O36" s="5">
        <f>845683.96535289/1000</f>
        <v>845.68396535288991</v>
      </c>
      <c r="P36" s="5">
        <f>1384654.92653/1000</f>
        <v>1384.65492653</v>
      </c>
      <c r="Q36" s="4">
        <v>61.075431080305897</v>
      </c>
    </row>
    <row r="37" spans="1:17" ht="16.5" customHeight="1" x14ac:dyDescent="0.2">
      <c r="A37" s="6" t="s">
        <v>27</v>
      </c>
      <c r="B37" s="13">
        <f>(B36-B33)/B33</f>
        <v>-0.60569151324651993</v>
      </c>
      <c r="C37" s="13">
        <f t="shared" ref="C37:Q37" si="36">(C36-C33)/C33</f>
        <v>-0.57528537491688614</v>
      </c>
      <c r="D37" s="13">
        <f t="shared" si="36"/>
        <v>-0.56180678328286682</v>
      </c>
      <c r="E37" s="13">
        <f t="shared" si="36"/>
        <v>-0.68789412178362608</v>
      </c>
      <c r="F37" s="13">
        <f t="shared" si="36"/>
        <v>-0.67593942630393389</v>
      </c>
      <c r="G37" s="13">
        <f t="shared" si="36"/>
        <v>-0.6219806858084489</v>
      </c>
      <c r="H37" s="8">
        <f t="shared" si="36"/>
        <v>-0.14274069728654859</v>
      </c>
      <c r="I37" s="13">
        <f t="shared" si="36"/>
        <v>-0.32672537888069197</v>
      </c>
      <c r="J37" s="11" t="s">
        <v>28</v>
      </c>
      <c r="K37" s="13">
        <f t="shared" si="36"/>
        <v>-0.32672539391802741</v>
      </c>
      <c r="L37" s="13">
        <f t="shared" si="36"/>
        <v>-0.67587155958218259</v>
      </c>
      <c r="M37" s="13">
        <f t="shared" si="36"/>
        <v>-3.611589782346368E-2</v>
      </c>
      <c r="N37" s="11" t="s">
        <v>28</v>
      </c>
      <c r="O37" s="13">
        <f t="shared" si="36"/>
        <v>-0.62822376266506041</v>
      </c>
      <c r="P37" s="13">
        <f t="shared" si="36"/>
        <v>-0.50157421749852216</v>
      </c>
      <c r="Q37" s="8">
        <f t="shared" si="36"/>
        <v>-0.25409910484749559</v>
      </c>
    </row>
    <row r="38" spans="1:17" x14ac:dyDescent="0.2">
      <c r="A38" s="9" t="s">
        <v>29</v>
      </c>
      <c r="B38" s="12">
        <f>(((B36/B6)^(1/10))-1)</f>
        <v>3.6609590820074533E-2</v>
      </c>
      <c r="C38" s="12">
        <f t="shared" ref="C38:Q38" si="37">(((C36/C6)^(1/10))-1)</f>
        <v>4.6744955386083031E-2</v>
      </c>
      <c r="D38" s="12">
        <f t="shared" si="37"/>
        <v>4.7398255036388726E-2</v>
      </c>
      <c r="E38" s="12">
        <f t="shared" si="37"/>
        <v>4.6547016633937677E-3</v>
      </c>
      <c r="F38" s="12">
        <f t="shared" si="37"/>
        <v>6.9829805915448961E-3</v>
      </c>
      <c r="G38" s="12">
        <f t="shared" si="37"/>
        <v>1.2727942040774209E-2</v>
      </c>
      <c r="H38" s="10">
        <f t="shared" si="37"/>
        <v>-5.6727589027044667E-3</v>
      </c>
      <c r="I38" s="12">
        <f t="shared" si="37"/>
        <v>8.484137937767211E-2</v>
      </c>
      <c r="J38" s="12" t="s">
        <v>28</v>
      </c>
      <c r="K38" s="12">
        <f t="shared" si="37"/>
        <v>8.484137937767211E-2</v>
      </c>
      <c r="L38" s="12">
        <f t="shared" si="37"/>
        <v>6.9967968948294601E-3</v>
      </c>
      <c r="M38" s="12">
        <f t="shared" si="37"/>
        <v>0.10331433676887558</v>
      </c>
      <c r="N38" s="12" t="s">
        <v>28</v>
      </c>
      <c r="O38" s="12">
        <f t="shared" si="37"/>
        <v>1.9448062674950251E-2</v>
      </c>
      <c r="P38" s="12">
        <f t="shared" si="37"/>
        <v>4.4519479948583518E-2</v>
      </c>
      <c r="Q38" s="10">
        <f t="shared" si="37"/>
        <v>-2.4002824030498027E-2</v>
      </c>
    </row>
    <row r="39" spans="1:17" x14ac:dyDescent="0.2">
      <c r="A39" s="24" t="s">
        <v>32</v>
      </c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</row>
    <row r="40" spans="1:17" x14ac:dyDescent="0.2">
      <c r="A40" s="15" t="s">
        <v>36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</row>
    <row r="41" spans="1:17" x14ac:dyDescent="0.2">
      <c r="A41" s="26" t="s">
        <v>38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</row>
  </sheetData>
  <mergeCells count="15"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  <mergeCell ref="A41:Q41"/>
    <mergeCell ref="A40:Q40"/>
    <mergeCell ref="P4:P5"/>
    <mergeCell ref="Q4:Q5"/>
    <mergeCell ref="A39:Q39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rowBreaks count="1" manualBreakCount="1">
    <brk id="2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SPICEJET</vt:lpstr>
      <vt:lpstr>SPICEJET!Print_Titles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2022-04-26T06:01:04Z</cp:lastPrinted>
  <dcterms:created xsi:type="dcterms:W3CDTF">2018-10-29T04:00:16Z</dcterms:created>
  <dcterms:modified xsi:type="dcterms:W3CDTF">2022-04-26T06:01:11Z</dcterms:modified>
</cp:coreProperties>
</file>