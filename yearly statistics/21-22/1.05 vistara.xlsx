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ew upload 20-21\"/>
    </mc:Choice>
  </mc:AlternateContent>
  <bookViews>
    <workbookView xWindow="0" yWindow="0" windowWidth="24000" windowHeight="10725"/>
  </bookViews>
  <sheets>
    <sheet name="VISTARA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7" i="3" l="1"/>
  <c r="C37" i="3"/>
  <c r="D37" i="3"/>
  <c r="E37" i="3"/>
  <c r="F37" i="3"/>
  <c r="G37" i="3"/>
  <c r="I37" i="3"/>
  <c r="L37" i="3"/>
  <c r="O37" i="3"/>
  <c r="P37" i="3"/>
  <c r="B37" i="3"/>
  <c r="Q36" i="3"/>
  <c r="Q37" i="3" s="1"/>
  <c r="H36" i="3" l="1"/>
  <c r="H37" i="3" s="1"/>
</calcChain>
</file>

<file path=xl/sharedStrings.xml><?xml version="1.0" encoding="utf-8"?>
<sst xmlns="http://schemas.openxmlformats.org/spreadsheetml/2006/main" count="547" uniqueCount="39">
  <si>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</si>
  <si>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</si>
  <si>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</si>
  <si>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</si>
  <si>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</si>
  <si>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</si>
  <si>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</si>
  <si>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</si>
  <si>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</si>
  <si>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</si>
  <si>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</si>
  <si>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</si>
  <si>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</si>
  <si>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</si>
  <si>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</si>
  <si>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</si>
  <si>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</si>
  <si>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</si>
  <si>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</si>
  <si>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</si>
  <si>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</si>
  <si>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</si>
  <si>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</si>
  <si>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</si>
  <si>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</si>
  <si>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</si>
  <si>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</si>
  <si>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</si>
  <si>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</si>
  <si>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</si>
  <si>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</si>
  <si>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>TABLE - 1.05 (VISTARA)</t>
  </si>
  <si>
    <t>SOURCE: ICAO ATR FORM 'A' FURNISHED BY VISTARA</t>
  </si>
  <si>
    <t xml:space="preserve">तालिका - 1.05 (विस्तारा) </t>
  </si>
  <si>
    <t>2019-20</t>
  </si>
  <si>
    <t xml:space="preserve">YEAR ON YEAR GROWTH AND CAGR FOR LAST TEN YEARS OF VISTARA ON SCHEDULED INTERNATIONAL SERVICES (ALL AIR TRAFFIC AND OPERATING STATISTICS) </t>
  </si>
  <si>
    <t>2020-21*</t>
  </si>
  <si>
    <t xml:space="preserve">Note: 1. Growth has been calculated with respect to preceeding year while Compound Annual Growth Rate (CAGR) has been calculating taking 2009-10 as a Base Year. 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</si>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</sst>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#,##0.0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3" fillId="5" borderId="1" xfId="3" applyBorder="1" applyAlignment="1" applyProtection="1">
      <alignment horizontal="center" vertical="center" wrapText="1"/>
    </xf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5" borderId="1" xfId="3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0" fillId="6" borderId="1" xfId="0" applyFill="1" applyBorder="1" applyAlignment="1">
      <alignment horizontal="center" vertical="center"/>
    </xf>
    <xf numFmtId="0" fontId="0" fillId="7" borderId="1" xfId="2" applyFont="1" applyFill="1" applyBorder="1" applyAlignment="1" applyProtection="1">
      <alignment horizontal="center" vertical="center" wrapText="1"/>
    </xf>
    <xf numFmtId="164" fontId="0" fillId="6" borderId="1" xfId="0" applyNumberFormat="1" applyFill="1" applyBorder="1" applyAlignment="1">
      <alignment horizontal="center" vertical="center"/>
    </xf>
    <xf numFmtId="165" fontId="0" fillId="5" borderId="1" xfId="3" applyNumberFormat="1" applyFont="1" applyBorder="1" applyAlignment="1" applyProtection="1">
      <alignment horizontal="center" vertical="center" wrapText="1"/>
    </xf>
    <xf numFmtId="164" fontId="0" fillId="7" borderId="1" xfId="0" applyNumberFormat="1" applyFill="1" applyBorder="1" applyAlignment="1">
      <alignment horizontal="center" vertical="center"/>
    </xf>
    <xf numFmtId="166" fontId="0" fillId="6" borderId="1" xfId="4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165" fontId="0" fillId="4" borderId="1" xfId="2" applyNumberFormat="1" applyFont="1" applyBorder="1" applyAlignment="1" applyProtection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5">
    <cellStyle name="20% - Accent6" xfId="2" builtinId="50"/>
    <cellStyle name="40% - Accent6" xfId="3" builtinId="51"/>
    <cellStyle name="Accent6" xfId="1" builtinId="49"/>
    <cellStyle name="Comma" xfId="4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view="pageBreakPreview" topLeftCell="A19" zoomScale="60" zoomScaleNormal="100" workbookViewId="0">
      <selection activeCell="G27" sqref="G27"/>
    </sheetView>
  </sheetViews>
  <sheetFormatPr defaultRowHeight="15" x14ac:dyDescent="0.25"/>
  <cols>
    <col min="1" max="1" width="8" customWidth="1"/>
    <col min="2" max="2" width="10.42578125" customWidth="1"/>
    <col min="3" max="3" width="11.28515625" customWidth="1"/>
    <col min="4" max="4" width="9.7109375" customWidth="1"/>
    <col min="5" max="5" width="12.42578125" customWidth="1"/>
    <col min="6" max="6" width="8.7109375" customWidth="1"/>
    <col min="7" max="7" width="9.5703125" customWidth="1"/>
    <col min="8" max="8" width="6.42578125" customWidth="1"/>
    <col min="9" max="9" width="8.85546875" customWidth="1"/>
    <col min="10" max="10" width="6.85546875" customWidth="1"/>
    <col min="11" max="11" width="11.7109375" customWidth="1"/>
    <col min="12" max="12" width="6.85546875" customWidth="1"/>
    <col min="13" max="13" width="6" customWidth="1"/>
    <col min="14" max="14" width="5.5703125" customWidth="1"/>
    <col min="15" max="15" width="8.28515625" customWidth="1"/>
    <col min="16" max="16" width="7.140625" customWidth="1"/>
    <col min="17" max="17" width="8.5703125" customWidth="1"/>
  </cols>
  <sheetData>
    <row r="1" spans="1:17" x14ac:dyDescent="0.25">
      <c r="A1" s="18" t="s">
        <v>33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9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32.25" customHeight="1" x14ac:dyDescent="0.25">
      <c r="A3" s="21" t="s">
        <v>35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32.25" customHeight="1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23" t="s">
        <v>3</v>
      </c>
      <c r="H4" s="23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23" t="s">
        <v>7</v>
      </c>
      <c r="Q4" s="23" t="s">
        <v>8</v>
      </c>
    </row>
    <row r="5" spans="1:17" ht="117" customHeight="1" x14ac:dyDescent="0.25">
      <c r="A5" s="21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24"/>
      <c r="H5" s="24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24"/>
      <c r="Q5" s="24"/>
    </row>
    <row r="6" spans="1:17" ht="17.100000000000001" customHeight="1" x14ac:dyDescent="0.25">
      <c r="A6" s="1" t="s">
        <v>19</v>
      </c>
      <c r="B6" s="6" t="s">
        <v>29</v>
      </c>
      <c r="C6" s="6" t="s">
        <v>29</v>
      </c>
      <c r="D6" s="6" t="s">
        <v>29</v>
      </c>
      <c r="E6" s="6" t="s">
        <v>29</v>
      </c>
      <c r="F6" s="6" t="s">
        <v>29</v>
      </c>
      <c r="G6" s="6" t="s">
        <v>29</v>
      </c>
      <c r="H6" s="6" t="s">
        <v>29</v>
      </c>
      <c r="I6" s="6" t="s">
        <v>29</v>
      </c>
      <c r="J6" s="6" t="s">
        <v>29</v>
      </c>
      <c r="K6" s="6" t="s">
        <v>29</v>
      </c>
      <c r="L6" s="6" t="s">
        <v>29</v>
      </c>
      <c r="M6" s="6" t="s">
        <v>29</v>
      </c>
      <c r="N6" s="6" t="s">
        <v>29</v>
      </c>
      <c r="O6" s="6" t="s">
        <v>29</v>
      </c>
      <c r="P6" s="6" t="s">
        <v>29</v>
      </c>
      <c r="Q6" s="6" t="s">
        <v>29</v>
      </c>
    </row>
    <row r="7" spans="1:17" ht="17.100000000000001" customHeight="1" x14ac:dyDescent="0.25">
      <c r="A7" s="2" t="s">
        <v>27</v>
      </c>
      <c r="B7" s="3" t="s">
        <v>29</v>
      </c>
      <c r="C7" s="3" t="s">
        <v>29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29</v>
      </c>
      <c r="M7" s="3" t="s">
        <v>29</v>
      </c>
      <c r="N7" s="3" t="s">
        <v>29</v>
      </c>
      <c r="O7" s="3" t="s">
        <v>29</v>
      </c>
      <c r="P7" s="3" t="s">
        <v>29</v>
      </c>
      <c r="Q7" s="3" t="s">
        <v>29</v>
      </c>
    </row>
    <row r="8" spans="1:17" ht="17.100000000000001" customHeight="1" x14ac:dyDescent="0.25">
      <c r="A8" s="5" t="s">
        <v>28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</row>
    <row r="9" spans="1:17" ht="17.100000000000001" customHeight="1" x14ac:dyDescent="0.25">
      <c r="A9" s="1" t="s">
        <v>20</v>
      </c>
      <c r="B9" s="6" t="s">
        <v>29</v>
      </c>
      <c r="C9" s="6" t="s">
        <v>29</v>
      </c>
      <c r="D9" s="6" t="s">
        <v>29</v>
      </c>
      <c r="E9" s="6" t="s">
        <v>29</v>
      </c>
      <c r="F9" s="6" t="s">
        <v>29</v>
      </c>
      <c r="G9" s="6" t="s">
        <v>29</v>
      </c>
      <c r="H9" s="6" t="s">
        <v>29</v>
      </c>
      <c r="I9" s="6" t="s">
        <v>29</v>
      </c>
      <c r="J9" s="6" t="s">
        <v>29</v>
      </c>
      <c r="K9" s="6" t="s">
        <v>29</v>
      </c>
      <c r="L9" s="6" t="s">
        <v>29</v>
      </c>
      <c r="M9" s="6" t="s">
        <v>29</v>
      </c>
      <c r="N9" s="6" t="s">
        <v>29</v>
      </c>
      <c r="O9" s="6" t="s">
        <v>29</v>
      </c>
      <c r="P9" s="6" t="s">
        <v>29</v>
      </c>
      <c r="Q9" s="6" t="s">
        <v>29</v>
      </c>
    </row>
    <row r="10" spans="1:17" ht="17.100000000000001" customHeight="1" x14ac:dyDescent="0.25">
      <c r="A10" s="2" t="s">
        <v>27</v>
      </c>
      <c r="B10" s="3" t="s">
        <v>29</v>
      </c>
      <c r="C10" s="3" t="s">
        <v>29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  <c r="J10" s="3" t="s">
        <v>29</v>
      </c>
      <c r="K10" s="3" t="s">
        <v>29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</row>
    <row r="11" spans="1:17" ht="17.100000000000001" customHeight="1" x14ac:dyDescent="0.25">
      <c r="A11" s="5" t="s">
        <v>28</v>
      </c>
      <c r="B11" s="5" t="s">
        <v>29</v>
      </c>
      <c r="C11" s="5" t="s">
        <v>29</v>
      </c>
      <c r="D11" s="5" t="s">
        <v>29</v>
      </c>
      <c r="E11" s="5" t="s">
        <v>29</v>
      </c>
      <c r="F11" s="5" t="s">
        <v>29</v>
      </c>
      <c r="G11" s="5" t="s">
        <v>29</v>
      </c>
      <c r="H11" s="5" t="s">
        <v>29</v>
      </c>
      <c r="I11" s="5" t="s">
        <v>29</v>
      </c>
      <c r="J11" s="5" t="s">
        <v>29</v>
      </c>
      <c r="K11" s="5" t="s">
        <v>29</v>
      </c>
      <c r="L11" s="5" t="s">
        <v>29</v>
      </c>
      <c r="M11" s="5" t="s">
        <v>29</v>
      </c>
      <c r="N11" s="5" t="s">
        <v>29</v>
      </c>
      <c r="O11" s="5" t="s">
        <v>29</v>
      </c>
      <c r="P11" s="5" t="s">
        <v>29</v>
      </c>
      <c r="Q11" s="5" t="s">
        <v>29</v>
      </c>
    </row>
    <row r="12" spans="1:17" ht="17.100000000000001" customHeight="1" x14ac:dyDescent="0.25">
      <c r="A12" s="1" t="s">
        <v>21</v>
      </c>
      <c r="B12" s="6" t="s">
        <v>29</v>
      </c>
      <c r="C12" s="6" t="s">
        <v>29</v>
      </c>
      <c r="D12" s="6" t="s">
        <v>29</v>
      </c>
      <c r="E12" s="6" t="s">
        <v>29</v>
      </c>
      <c r="F12" s="6" t="s">
        <v>29</v>
      </c>
      <c r="G12" s="6" t="s">
        <v>29</v>
      </c>
      <c r="H12" s="6" t="s">
        <v>29</v>
      </c>
      <c r="I12" s="6" t="s">
        <v>29</v>
      </c>
      <c r="J12" s="6" t="s">
        <v>29</v>
      </c>
      <c r="K12" s="6" t="s">
        <v>29</v>
      </c>
      <c r="L12" s="6" t="s">
        <v>29</v>
      </c>
      <c r="M12" s="6" t="s">
        <v>29</v>
      </c>
      <c r="N12" s="6" t="s">
        <v>29</v>
      </c>
      <c r="O12" s="6" t="s">
        <v>29</v>
      </c>
      <c r="P12" s="6" t="s">
        <v>29</v>
      </c>
      <c r="Q12" s="6" t="s">
        <v>29</v>
      </c>
    </row>
    <row r="13" spans="1:17" ht="17.100000000000001" customHeight="1" x14ac:dyDescent="0.25">
      <c r="A13" s="2" t="s">
        <v>27</v>
      </c>
      <c r="B13" s="3" t="s">
        <v>29</v>
      </c>
      <c r="C13" s="3" t="s">
        <v>29</v>
      </c>
      <c r="D13" s="3" t="s">
        <v>29</v>
      </c>
      <c r="E13" s="3" t="s">
        <v>29</v>
      </c>
      <c r="F13" s="3" t="s">
        <v>29</v>
      </c>
      <c r="G13" s="3" t="s">
        <v>29</v>
      </c>
      <c r="H13" s="3" t="s">
        <v>29</v>
      </c>
      <c r="I13" s="3" t="s">
        <v>29</v>
      </c>
      <c r="J13" s="3" t="s">
        <v>29</v>
      </c>
      <c r="K13" s="3" t="s">
        <v>29</v>
      </c>
      <c r="L13" s="3" t="s">
        <v>29</v>
      </c>
      <c r="M13" s="3" t="s">
        <v>29</v>
      </c>
      <c r="N13" s="3" t="s">
        <v>29</v>
      </c>
      <c r="O13" s="3" t="s">
        <v>29</v>
      </c>
      <c r="P13" s="3" t="s">
        <v>29</v>
      </c>
      <c r="Q13" s="3" t="s">
        <v>29</v>
      </c>
    </row>
    <row r="14" spans="1:17" ht="17.100000000000001" customHeight="1" x14ac:dyDescent="0.25">
      <c r="A14" s="5" t="s">
        <v>28</v>
      </c>
      <c r="B14" s="5" t="s">
        <v>29</v>
      </c>
      <c r="C14" s="5" t="s">
        <v>29</v>
      </c>
      <c r="D14" s="5" t="s">
        <v>29</v>
      </c>
      <c r="E14" s="5" t="s">
        <v>29</v>
      </c>
      <c r="F14" s="5" t="s">
        <v>29</v>
      </c>
      <c r="G14" s="5" t="s">
        <v>29</v>
      </c>
      <c r="H14" s="5" t="s">
        <v>29</v>
      </c>
      <c r="I14" s="5" t="s">
        <v>29</v>
      </c>
      <c r="J14" s="5" t="s">
        <v>29</v>
      </c>
      <c r="K14" s="5" t="s">
        <v>29</v>
      </c>
      <c r="L14" s="5" t="s">
        <v>29</v>
      </c>
      <c r="M14" s="5" t="s">
        <v>29</v>
      </c>
      <c r="N14" s="5" t="s">
        <v>29</v>
      </c>
      <c r="O14" s="5" t="s">
        <v>29</v>
      </c>
      <c r="P14" s="5" t="s">
        <v>29</v>
      </c>
      <c r="Q14" s="5" t="s">
        <v>29</v>
      </c>
    </row>
    <row r="15" spans="1:17" ht="17.100000000000001" customHeight="1" x14ac:dyDescent="0.25">
      <c r="A15" s="1" t="s">
        <v>22</v>
      </c>
      <c r="B15" s="6" t="s">
        <v>29</v>
      </c>
      <c r="C15" s="6" t="s">
        <v>29</v>
      </c>
      <c r="D15" s="6" t="s">
        <v>29</v>
      </c>
      <c r="E15" s="6" t="s">
        <v>29</v>
      </c>
      <c r="F15" s="6" t="s">
        <v>29</v>
      </c>
      <c r="G15" s="6" t="s">
        <v>29</v>
      </c>
      <c r="H15" s="6" t="s">
        <v>29</v>
      </c>
      <c r="I15" s="6" t="s">
        <v>29</v>
      </c>
      <c r="J15" s="6" t="s">
        <v>29</v>
      </c>
      <c r="K15" s="6" t="s">
        <v>29</v>
      </c>
      <c r="L15" s="6" t="s">
        <v>29</v>
      </c>
      <c r="M15" s="6" t="s">
        <v>29</v>
      </c>
      <c r="N15" s="6" t="s">
        <v>29</v>
      </c>
      <c r="O15" s="6" t="s">
        <v>29</v>
      </c>
      <c r="P15" s="6" t="s">
        <v>29</v>
      </c>
      <c r="Q15" s="6" t="s">
        <v>29</v>
      </c>
    </row>
    <row r="16" spans="1:17" ht="17.100000000000001" customHeight="1" x14ac:dyDescent="0.25">
      <c r="A16" s="2" t="s">
        <v>27</v>
      </c>
      <c r="B16" s="3" t="s">
        <v>29</v>
      </c>
      <c r="C16" s="3" t="s">
        <v>29</v>
      </c>
      <c r="D16" s="3" t="s">
        <v>29</v>
      </c>
      <c r="E16" s="3" t="s">
        <v>29</v>
      </c>
      <c r="F16" s="3" t="s">
        <v>29</v>
      </c>
      <c r="G16" s="3" t="s">
        <v>29</v>
      </c>
      <c r="H16" s="3" t="s">
        <v>29</v>
      </c>
      <c r="I16" s="3" t="s">
        <v>29</v>
      </c>
      <c r="J16" s="3" t="s">
        <v>29</v>
      </c>
      <c r="K16" s="3" t="s">
        <v>29</v>
      </c>
      <c r="L16" s="3" t="s">
        <v>29</v>
      </c>
      <c r="M16" s="3" t="s">
        <v>29</v>
      </c>
      <c r="N16" s="3" t="s">
        <v>29</v>
      </c>
      <c r="O16" s="3" t="s">
        <v>29</v>
      </c>
      <c r="P16" s="3" t="s">
        <v>29</v>
      </c>
      <c r="Q16" s="3" t="s">
        <v>29</v>
      </c>
    </row>
    <row r="17" spans="1:17" ht="17.100000000000001" customHeight="1" x14ac:dyDescent="0.25">
      <c r="A17" s="5" t="s">
        <v>28</v>
      </c>
      <c r="B17" s="5" t="s">
        <v>29</v>
      </c>
      <c r="C17" s="5" t="s">
        <v>29</v>
      </c>
      <c r="D17" s="5" t="s">
        <v>29</v>
      </c>
      <c r="E17" s="5" t="s">
        <v>29</v>
      </c>
      <c r="F17" s="5" t="s">
        <v>29</v>
      </c>
      <c r="G17" s="5" t="s">
        <v>29</v>
      </c>
      <c r="H17" s="5" t="s">
        <v>29</v>
      </c>
      <c r="I17" s="5" t="s">
        <v>29</v>
      </c>
      <c r="J17" s="5" t="s">
        <v>29</v>
      </c>
      <c r="K17" s="5" t="s">
        <v>29</v>
      </c>
      <c r="L17" s="5" t="s">
        <v>29</v>
      </c>
      <c r="M17" s="5" t="s">
        <v>29</v>
      </c>
      <c r="N17" s="5" t="s">
        <v>29</v>
      </c>
      <c r="O17" s="5" t="s">
        <v>29</v>
      </c>
      <c r="P17" s="5" t="s">
        <v>29</v>
      </c>
      <c r="Q17" s="5" t="s">
        <v>29</v>
      </c>
    </row>
    <row r="18" spans="1:17" ht="17.100000000000001" customHeight="1" x14ac:dyDescent="0.25">
      <c r="A18" s="1" t="s">
        <v>23</v>
      </c>
      <c r="B18" s="6" t="s">
        <v>29</v>
      </c>
      <c r="C18" s="6" t="s">
        <v>29</v>
      </c>
      <c r="D18" s="6" t="s">
        <v>29</v>
      </c>
      <c r="E18" s="6" t="s">
        <v>29</v>
      </c>
      <c r="F18" s="6" t="s">
        <v>29</v>
      </c>
      <c r="G18" s="6" t="s">
        <v>29</v>
      </c>
      <c r="H18" s="6" t="s">
        <v>29</v>
      </c>
      <c r="I18" s="6" t="s">
        <v>29</v>
      </c>
      <c r="J18" s="6" t="s">
        <v>29</v>
      </c>
      <c r="K18" s="6" t="s">
        <v>29</v>
      </c>
      <c r="L18" s="6" t="s">
        <v>29</v>
      </c>
      <c r="M18" s="6" t="s">
        <v>29</v>
      </c>
      <c r="N18" s="6" t="s">
        <v>29</v>
      </c>
      <c r="O18" s="6" t="s">
        <v>29</v>
      </c>
      <c r="P18" s="6" t="s">
        <v>29</v>
      </c>
      <c r="Q18" s="6" t="s">
        <v>29</v>
      </c>
    </row>
    <row r="19" spans="1:17" ht="17.100000000000001" customHeight="1" x14ac:dyDescent="0.25">
      <c r="A19" s="2" t="s">
        <v>27</v>
      </c>
      <c r="B19" s="3" t="s">
        <v>29</v>
      </c>
      <c r="C19" s="3" t="s">
        <v>29</v>
      </c>
      <c r="D19" s="3" t="s">
        <v>29</v>
      </c>
      <c r="E19" s="3" t="s">
        <v>29</v>
      </c>
      <c r="F19" s="3" t="s">
        <v>29</v>
      </c>
      <c r="G19" s="3" t="s">
        <v>29</v>
      </c>
      <c r="H19" s="3" t="s">
        <v>29</v>
      </c>
      <c r="I19" s="3" t="s">
        <v>29</v>
      </c>
      <c r="J19" s="3" t="s">
        <v>29</v>
      </c>
      <c r="K19" s="3" t="s">
        <v>29</v>
      </c>
      <c r="L19" s="3" t="s">
        <v>29</v>
      </c>
      <c r="M19" s="3" t="s">
        <v>29</v>
      </c>
      <c r="N19" s="3" t="s">
        <v>29</v>
      </c>
      <c r="O19" s="3" t="s">
        <v>29</v>
      </c>
      <c r="P19" s="3" t="s">
        <v>29</v>
      </c>
      <c r="Q19" s="3" t="s">
        <v>29</v>
      </c>
    </row>
    <row r="20" spans="1:17" ht="17.100000000000001" customHeight="1" x14ac:dyDescent="0.25">
      <c r="A20" s="5" t="s">
        <v>28</v>
      </c>
      <c r="B20" s="5" t="s">
        <v>29</v>
      </c>
      <c r="C20" s="5" t="s">
        <v>29</v>
      </c>
      <c r="D20" s="5" t="s">
        <v>29</v>
      </c>
      <c r="E20" s="5" t="s">
        <v>29</v>
      </c>
      <c r="F20" s="5" t="s">
        <v>29</v>
      </c>
      <c r="G20" s="5" t="s">
        <v>29</v>
      </c>
      <c r="H20" s="5" t="s">
        <v>29</v>
      </c>
      <c r="I20" s="5" t="s">
        <v>29</v>
      </c>
      <c r="J20" s="5" t="s">
        <v>29</v>
      </c>
      <c r="K20" s="5" t="s">
        <v>29</v>
      </c>
      <c r="L20" s="5" t="s">
        <v>29</v>
      </c>
      <c r="M20" s="5" t="s">
        <v>29</v>
      </c>
      <c r="N20" s="5" t="s">
        <v>29</v>
      </c>
      <c r="O20" s="5" t="s">
        <v>29</v>
      </c>
      <c r="P20" s="5" t="s">
        <v>29</v>
      </c>
      <c r="Q20" s="5" t="s">
        <v>29</v>
      </c>
    </row>
    <row r="21" spans="1:17" ht="17.100000000000001" customHeight="1" x14ac:dyDescent="0.25">
      <c r="A21" s="1" t="s">
        <v>24</v>
      </c>
      <c r="B21" s="6" t="s">
        <v>29</v>
      </c>
      <c r="C21" s="6" t="s">
        <v>29</v>
      </c>
      <c r="D21" s="6" t="s">
        <v>29</v>
      </c>
      <c r="E21" s="6" t="s">
        <v>29</v>
      </c>
      <c r="F21" s="6" t="s">
        <v>29</v>
      </c>
      <c r="G21" s="6" t="s">
        <v>29</v>
      </c>
      <c r="H21" s="6" t="s">
        <v>29</v>
      </c>
      <c r="I21" s="6" t="s">
        <v>29</v>
      </c>
      <c r="J21" s="6" t="s">
        <v>29</v>
      </c>
      <c r="K21" s="6" t="s">
        <v>29</v>
      </c>
      <c r="L21" s="6" t="s">
        <v>29</v>
      </c>
      <c r="M21" s="6" t="s">
        <v>29</v>
      </c>
      <c r="N21" s="6" t="s">
        <v>29</v>
      </c>
      <c r="O21" s="6" t="s">
        <v>29</v>
      </c>
      <c r="P21" s="6" t="s">
        <v>29</v>
      </c>
      <c r="Q21" s="6" t="s">
        <v>29</v>
      </c>
    </row>
    <row r="22" spans="1:17" ht="17.100000000000001" customHeight="1" x14ac:dyDescent="0.25">
      <c r="A22" s="2" t="s">
        <v>27</v>
      </c>
      <c r="B22" s="3" t="s">
        <v>29</v>
      </c>
      <c r="C22" s="3" t="s">
        <v>29</v>
      </c>
      <c r="D22" s="3" t="s">
        <v>29</v>
      </c>
      <c r="E22" s="3" t="s">
        <v>29</v>
      </c>
      <c r="F22" s="3" t="s">
        <v>29</v>
      </c>
      <c r="G22" s="3" t="s">
        <v>29</v>
      </c>
      <c r="H22" s="3" t="s">
        <v>29</v>
      </c>
      <c r="I22" s="3" t="s">
        <v>29</v>
      </c>
      <c r="J22" s="3" t="s">
        <v>29</v>
      </c>
      <c r="K22" s="3" t="s">
        <v>29</v>
      </c>
      <c r="L22" s="3" t="s">
        <v>29</v>
      </c>
      <c r="M22" s="3" t="s">
        <v>29</v>
      </c>
      <c r="N22" s="3" t="s">
        <v>29</v>
      </c>
      <c r="O22" s="3" t="s">
        <v>29</v>
      </c>
      <c r="P22" s="3" t="s">
        <v>29</v>
      </c>
      <c r="Q22" s="3" t="s">
        <v>29</v>
      </c>
    </row>
    <row r="23" spans="1:17" ht="17.100000000000001" customHeight="1" x14ac:dyDescent="0.25">
      <c r="A23" s="5" t="s">
        <v>28</v>
      </c>
      <c r="B23" s="5" t="s">
        <v>29</v>
      </c>
      <c r="C23" s="5" t="s">
        <v>29</v>
      </c>
      <c r="D23" s="5" t="s">
        <v>29</v>
      </c>
      <c r="E23" s="5" t="s">
        <v>29</v>
      </c>
      <c r="F23" s="5" t="s">
        <v>29</v>
      </c>
      <c r="G23" s="5" t="s">
        <v>29</v>
      </c>
      <c r="H23" s="5" t="s">
        <v>29</v>
      </c>
      <c r="I23" s="5" t="s">
        <v>29</v>
      </c>
      <c r="J23" s="5" t="s">
        <v>29</v>
      </c>
      <c r="K23" s="5" t="s">
        <v>29</v>
      </c>
      <c r="L23" s="5" t="s">
        <v>29</v>
      </c>
      <c r="M23" s="5" t="s">
        <v>29</v>
      </c>
      <c r="N23" s="5" t="s">
        <v>29</v>
      </c>
      <c r="O23" s="5" t="s">
        <v>29</v>
      </c>
      <c r="P23" s="5" t="s">
        <v>29</v>
      </c>
      <c r="Q23" s="5" t="s">
        <v>29</v>
      </c>
    </row>
    <row r="24" spans="1:17" ht="17.100000000000001" customHeight="1" x14ac:dyDescent="0.25">
      <c r="A24" s="1" t="s">
        <v>25</v>
      </c>
      <c r="B24" s="6" t="s">
        <v>29</v>
      </c>
      <c r="C24" s="6" t="s">
        <v>29</v>
      </c>
      <c r="D24" s="6" t="s">
        <v>29</v>
      </c>
      <c r="E24" s="6" t="s">
        <v>29</v>
      </c>
      <c r="F24" s="6" t="s">
        <v>29</v>
      </c>
      <c r="G24" s="6" t="s">
        <v>29</v>
      </c>
      <c r="H24" s="6" t="s">
        <v>29</v>
      </c>
      <c r="I24" s="6" t="s">
        <v>29</v>
      </c>
      <c r="J24" s="6" t="s">
        <v>29</v>
      </c>
      <c r="K24" s="6" t="s">
        <v>29</v>
      </c>
      <c r="L24" s="6" t="s">
        <v>29</v>
      </c>
      <c r="M24" s="6" t="s">
        <v>29</v>
      </c>
      <c r="N24" s="6" t="s">
        <v>29</v>
      </c>
      <c r="O24" s="6" t="s">
        <v>29</v>
      </c>
      <c r="P24" s="6" t="s">
        <v>29</v>
      </c>
      <c r="Q24" s="6" t="s">
        <v>29</v>
      </c>
    </row>
    <row r="25" spans="1:17" ht="17.100000000000001" customHeight="1" x14ac:dyDescent="0.25">
      <c r="A25" s="2" t="s">
        <v>27</v>
      </c>
      <c r="B25" s="3" t="s">
        <v>29</v>
      </c>
      <c r="C25" s="3" t="s">
        <v>29</v>
      </c>
      <c r="D25" s="3" t="s">
        <v>29</v>
      </c>
      <c r="E25" s="3" t="s">
        <v>29</v>
      </c>
      <c r="F25" s="3" t="s">
        <v>29</v>
      </c>
      <c r="G25" s="3" t="s">
        <v>29</v>
      </c>
      <c r="H25" s="3" t="s">
        <v>29</v>
      </c>
      <c r="I25" s="3" t="s">
        <v>29</v>
      </c>
      <c r="J25" s="3" t="s">
        <v>29</v>
      </c>
      <c r="K25" s="3" t="s">
        <v>29</v>
      </c>
      <c r="L25" s="3" t="s">
        <v>29</v>
      </c>
      <c r="M25" s="3" t="s">
        <v>29</v>
      </c>
      <c r="N25" s="3" t="s">
        <v>29</v>
      </c>
      <c r="O25" s="3" t="s">
        <v>29</v>
      </c>
      <c r="P25" s="3" t="s">
        <v>29</v>
      </c>
      <c r="Q25" s="3" t="s">
        <v>29</v>
      </c>
    </row>
    <row r="26" spans="1:17" ht="17.100000000000001" customHeight="1" x14ac:dyDescent="0.25">
      <c r="A26" s="5" t="s">
        <v>28</v>
      </c>
      <c r="B26" s="5" t="s">
        <v>29</v>
      </c>
      <c r="C26" s="5" t="s">
        <v>29</v>
      </c>
      <c r="D26" s="5" t="s">
        <v>29</v>
      </c>
      <c r="E26" s="5" t="s">
        <v>29</v>
      </c>
      <c r="F26" s="5" t="s">
        <v>29</v>
      </c>
      <c r="G26" s="5" t="s">
        <v>29</v>
      </c>
      <c r="H26" s="5" t="s">
        <v>29</v>
      </c>
      <c r="I26" s="5" t="s">
        <v>29</v>
      </c>
      <c r="J26" s="5" t="s">
        <v>29</v>
      </c>
      <c r="K26" s="5" t="s">
        <v>29</v>
      </c>
      <c r="L26" s="5" t="s">
        <v>29</v>
      </c>
      <c r="M26" s="5" t="s">
        <v>29</v>
      </c>
      <c r="N26" s="5" t="s">
        <v>29</v>
      </c>
      <c r="O26" s="5" t="s">
        <v>29</v>
      </c>
      <c r="P26" s="5" t="s">
        <v>29</v>
      </c>
      <c r="Q26" s="5" t="s">
        <v>29</v>
      </c>
    </row>
    <row r="27" spans="1:17" ht="17.100000000000001" customHeight="1" x14ac:dyDescent="0.25">
      <c r="A27" s="1" t="s">
        <v>26</v>
      </c>
      <c r="B27" s="6" t="s">
        <v>29</v>
      </c>
      <c r="C27" s="6" t="s">
        <v>29</v>
      </c>
      <c r="D27" s="6" t="s">
        <v>29</v>
      </c>
      <c r="E27" s="6" t="s">
        <v>29</v>
      </c>
      <c r="F27" s="6" t="s">
        <v>29</v>
      </c>
      <c r="G27" s="6" t="s">
        <v>29</v>
      </c>
      <c r="H27" s="6" t="s">
        <v>29</v>
      </c>
      <c r="I27" s="6" t="s">
        <v>29</v>
      </c>
      <c r="J27" s="6" t="s">
        <v>29</v>
      </c>
      <c r="K27" s="6" t="s">
        <v>29</v>
      </c>
      <c r="L27" s="6" t="s">
        <v>29</v>
      </c>
      <c r="M27" s="6" t="s">
        <v>29</v>
      </c>
      <c r="N27" s="6" t="s">
        <v>29</v>
      </c>
      <c r="O27" s="6" t="s">
        <v>29</v>
      </c>
      <c r="P27" s="6" t="s">
        <v>29</v>
      </c>
      <c r="Q27" s="6" t="s">
        <v>29</v>
      </c>
    </row>
    <row r="28" spans="1:17" ht="17.100000000000001" customHeight="1" x14ac:dyDescent="0.25">
      <c r="A28" s="2" t="s">
        <v>27</v>
      </c>
      <c r="B28" s="3" t="s">
        <v>29</v>
      </c>
      <c r="C28" s="3" t="s">
        <v>29</v>
      </c>
      <c r="D28" s="3" t="s">
        <v>29</v>
      </c>
      <c r="E28" s="3" t="s">
        <v>29</v>
      </c>
      <c r="F28" s="3" t="s">
        <v>29</v>
      </c>
      <c r="G28" s="3" t="s">
        <v>29</v>
      </c>
      <c r="H28" s="3" t="s">
        <v>29</v>
      </c>
      <c r="I28" s="3" t="s">
        <v>29</v>
      </c>
      <c r="J28" s="3" t="s">
        <v>29</v>
      </c>
      <c r="K28" s="3" t="s">
        <v>29</v>
      </c>
      <c r="L28" s="3" t="s">
        <v>29</v>
      </c>
      <c r="M28" s="3" t="s">
        <v>29</v>
      </c>
      <c r="N28" s="3" t="s">
        <v>29</v>
      </c>
      <c r="O28" s="3" t="s">
        <v>29</v>
      </c>
      <c r="P28" s="3" t="s">
        <v>29</v>
      </c>
      <c r="Q28" s="3" t="s">
        <v>29</v>
      </c>
    </row>
    <row r="29" spans="1:17" ht="17.100000000000001" customHeight="1" x14ac:dyDescent="0.25">
      <c r="A29" s="5" t="s">
        <v>28</v>
      </c>
      <c r="B29" s="5" t="s">
        <v>29</v>
      </c>
      <c r="C29" s="5" t="s">
        <v>29</v>
      </c>
      <c r="D29" s="5" t="s">
        <v>29</v>
      </c>
      <c r="E29" s="5" t="s">
        <v>29</v>
      </c>
      <c r="F29" s="5" t="s">
        <v>29</v>
      </c>
      <c r="G29" s="5" t="s">
        <v>29</v>
      </c>
      <c r="H29" s="5" t="s">
        <v>29</v>
      </c>
      <c r="I29" s="5" t="s">
        <v>29</v>
      </c>
      <c r="J29" s="5" t="s">
        <v>29</v>
      </c>
      <c r="K29" s="5" t="s">
        <v>29</v>
      </c>
      <c r="L29" s="5" t="s">
        <v>29</v>
      </c>
      <c r="M29" s="5" t="s">
        <v>29</v>
      </c>
      <c r="N29" s="5" t="s">
        <v>29</v>
      </c>
      <c r="O29" s="5" t="s">
        <v>29</v>
      </c>
      <c r="P29" s="5" t="s">
        <v>29</v>
      </c>
      <c r="Q29" s="5" t="s">
        <v>29</v>
      </c>
    </row>
    <row r="30" spans="1:17" ht="17.100000000000001" customHeight="1" x14ac:dyDescent="0.25">
      <c r="A30" s="4" t="s">
        <v>30</v>
      </c>
      <c r="B30" s="6" t="s">
        <v>29</v>
      </c>
      <c r="C30" s="6" t="s">
        <v>29</v>
      </c>
      <c r="D30" s="6" t="s">
        <v>29</v>
      </c>
      <c r="E30" s="6" t="s">
        <v>29</v>
      </c>
      <c r="F30" s="6" t="s">
        <v>29</v>
      </c>
      <c r="G30" s="6" t="s">
        <v>29</v>
      </c>
      <c r="H30" s="6" t="s">
        <v>29</v>
      </c>
      <c r="I30" s="6" t="s">
        <v>29</v>
      </c>
      <c r="J30" s="6" t="s">
        <v>29</v>
      </c>
      <c r="K30" s="6" t="s">
        <v>29</v>
      </c>
      <c r="L30" s="6" t="s">
        <v>29</v>
      </c>
      <c r="M30" s="6" t="s">
        <v>29</v>
      </c>
      <c r="N30" s="6" t="s">
        <v>29</v>
      </c>
      <c r="O30" s="6" t="s">
        <v>29</v>
      </c>
      <c r="P30" s="6" t="s">
        <v>29</v>
      </c>
      <c r="Q30" s="6" t="s">
        <v>29</v>
      </c>
    </row>
    <row r="31" spans="1:17" ht="17.100000000000001" customHeight="1" x14ac:dyDescent="0.25">
      <c r="A31" s="2" t="s">
        <v>27</v>
      </c>
      <c r="B31" s="3" t="s">
        <v>29</v>
      </c>
      <c r="C31" s="3" t="s">
        <v>29</v>
      </c>
      <c r="D31" s="3" t="s">
        <v>29</v>
      </c>
      <c r="E31" s="3" t="s">
        <v>29</v>
      </c>
      <c r="F31" s="3" t="s">
        <v>29</v>
      </c>
      <c r="G31" s="3" t="s">
        <v>29</v>
      </c>
      <c r="H31" s="3" t="s">
        <v>29</v>
      </c>
      <c r="I31" s="3" t="s">
        <v>29</v>
      </c>
      <c r="J31" s="3" t="s">
        <v>29</v>
      </c>
      <c r="K31" s="3" t="s">
        <v>29</v>
      </c>
      <c r="L31" s="3" t="s">
        <v>29</v>
      </c>
      <c r="M31" s="3" t="s">
        <v>29</v>
      </c>
      <c r="N31" s="3" t="s">
        <v>29</v>
      </c>
      <c r="O31" s="3" t="s">
        <v>29</v>
      </c>
      <c r="P31" s="3" t="s">
        <v>29</v>
      </c>
      <c r="Q31" s="3" t="s">
        <v>29</v>
      </c>
    </row>
    <row r="32" spans="1:17" ht="17.100000000000001" customHeight="1" x14ac:dyDescent="0.25">
      <c r="A32" s="5" t="s">
        <v>28</v>
      </c>
      <c r="B32" s="5" t="s">
        <v>29</v>
      </c>
      <c r="C32" s="5" t="s">
        <v>29</v>
      </c>
      <c r="D32" s="5" t="s">
        <v>29</v>
      </c>
      <c r="E32" s="5" t="s">
        <v>29</v>
      </c>
      <c r="F32" s="5" t="s">
        <v>29</v>
      </c>
      <c r="G32" s="5" t="s">
        <v>29</v>
      </c>
      <c r="H32" s="5" t="s">
        <v>29</v>
      </c>
      <c r="I32" s="5" t="s">
        <v>29</v>
      </c>
      <c r="J32" s="5" t="s">
        <v>29</v>
      </c>
      <c r="K32" s="5" t="s">
        <v>29</v>
      </c>
      <c r="L32" s="5" t="s">
        <v>29</v>
      </c>
      <c r="M32" s="5" t="s">
        <v>29</v>
      </c>
      <c r="N32" s="5" t="s">
        <v>29</v>
      </c>
      <c r="O32" s="5" t="s">
        <v>29</v>
      </c>
      <c r="P32" s="5" t="s">
        <v>29</v>
      </c>
      <c r="Q32" s="5" t="s">
        <v>29</v>
      </c>
    </row>
    <row r="33" spans="1:17" x14ac:dyDescent="0.25">
      <c r="A33" s="4" t="s">
        <v>34</v>
      </c>
      <c r="B33" s="6">
        <v>1978</v>
      </c>
      <c r="C33" s="6">
        <v>3371.2599999999998</v>
      </c>
      <c r="D33" s="6">
        <v>5920.8939999999993</v>
      </c>
      <c r="E33" s="6">
        <v>223906</v>
      </c>
      <c r="F33" s="6">
        <v>676.24457800000005</v>
      </c>
      <c r="G33" s="6">
        <v>978.34404800000004</v>
      </c>
      <c r="H33" s="11">
        <v>69.121346358924228</v>
      </c>
      <c r="I33" s="11">
        <v>0.56540000000000001</v>
      </c>
      <c r="J33" s="11" t="s">
        <v>29</v>
      </c>
      <c r="K33" s="11">
        <v>0.56540000000000001</v>
      </c>
      <c r="L33" s="11">
        <v>71.003656290000009</v>
      </c>
      <c r="M33" s="11">
        <v>1.3183472000000002E-3</v>
      </c>
      <c r="N33" s="11" t="s">
        <v>29</v>
      </c>
      <c r="O33" s="11">
        <v>71.004974637200007</v>
      </c>
      <c r="P33" s="11">
        <v>102.5809278</v>
      </c>
      <c r="Q33" s="11">
        <v>69.218495250537217</v>
      </c>
    </row>
    <row r="34" spans="1:17" ht="29.25" customHeight="1" x14ac:dyDescent="0.25">
      <c r="A34" s="2" t="s">
        <v>27</v>
      </c>
      <c r="B34" s="3" t="s">
        <v>29</v>
      </c>
      <c r="C34" s="3" t="s">
        <v>29</v>
      </c>
      <c r="D34" s="3" t="s">
        <v>29</v>
      </c>
      <c r="E34" s="3" t="s">
        <v>29</v>
      </c>
      <c r="F34" s="3" t="s">
        <v>29</v>
      </c>
      <c r="G34" s="3" t="s">
        <v>29</v>
      </c>
      <c r="H34" s="3" t="s">
        <v>29</v>
      </c>
      <c r="I34" s="3" t="s">
        <v>29</v>
      </c>
      <c r="J34" s="3" t="s">
        <v>29</v>
      </c>
      <c r="K34" s="3" t="s">
        <v>29</v>
      </c>
      <c r="L34" s="15" t="s">
        <v>29</v>
      </c>
      <c r="M34" s="15" t="s">
        <v>29</v>
      </c>
      <c r="N34" s="15" t="s">
        <v>29</v>
      </c>
      <c r="O34" s="15" t="s">
        <v>29</v>
      </c>
      <c r="P34" s="15" t="s">
        <v>29</v>
      </c>
      <c r="Q34" s="3" t="s">
        <v>29</v>
      </c>
    </row>
    <row r="35" spans="1:17" x14ac:dyDescent="0.25">
      <c r="A35" s="5" t="s">
        <v>28</v>
      </c>
      <c r="B35" s="5" t="s">
        <v>29</v>
      </c>
      <c r="C35" s="5" t="s">
        <v>29</v>
      </c>
      <c r="D35" s="5" t="s">
        <v>29</v>
      </c>
      <c r="E35" s="5" t="s">
        <v>29</v>
      </c>
      <c r="F35" s="5" t="s">
        <v>29</v>
      </c>
      <c r="G35" s="5" t="s">
        <v>29</v>
      </c>
      <c r="H35" s="5" t="s">
        <v>29</v>
      </c>
      <c r="I35" s="5" t="s">
        <v>29</v>
      </c>
      <c r="J35" s="5" t="s">
        <v>29</v>
      </c>
      <c r="K35" s="5" t="s">
        <v>29</v>
      </c>
      <c r="L35" s="16" t="s">
        <v>29</v>
      </c>
      <c r="M35" s="16" t="s">
        <v>29</v>
      </c>
      <c r="N35" s="16" t="s">
        <v>29</v>
      </c>
      <c r="O35" s="16" t="s">
        <v>29</v>
      </c>
      <c r="P35" s="16" t="s">
        <v>29</v>
      </c>
      <c r="Q35" s="5" t="s">
        <v>29</v>
      </c>
    </row>
    <row r="36" spans="1:17" x14ac:dyDescent="0.25">
      <c r="A36" s="8" t="s">
        <v>36</v>
      </c>
      <c r="B36" s="13">
        <v>1324</v>
      </c>
      <c r="C36" s="13">
        <v>4870.0600000000004</v>
      </c>
      <c r="D36" s="13">
        <v>3714.3220000000001</v>
      </c>
      <c r="E36" s="13">
        <v>145691</v>
      </c>
      <c r="F36" s="13">
        <v>451.700287</v>
      </c>
      <c r="G36" s="13">
        <v>805.81880799999999</v>
      </c>
      <c r="H36" s="10">
        <f>(F36/G36)*100</f>
        <v>56.054820576985101</v>
      </c>
      <c r="I36" s="8">
        <v>3591.5994999999994</v>
      </c>
      <c r="J36" s="8" t="s">
        <v>29</v>
      </c>
      <c r="K36" s="10">
        <v>3591.5994999999994</v>
      </c>
      <c r="L36" s="17">
        <v>47.428530135000003</v>
      </c>
      <c r="M36" s="17">
        <v>21.232324346999999</v>
      </c>
      <c r="N36" s="11" t="s">
        <v>29</v>
      </c>
      <c r="O36" s="17">
        <v>68.660854482000005</v>
      </c>
      <c r="P36" s="17">
        <v>112.08526689999999</v>
      </c>
      <c r="Q36" s="10">
        <f>O36/P36*100</f>
        <v>61.257698162290772</v>
      </c>
    </row>
    <row r="37" spans="1:17" x14ac:dyDescent="0.25">
      <c r="A37" s="9" t="s">
        <v>27</v>
      </c>
      <c r="B37" s="12">
        <f>(B36-B33)/B33*100</f>
        <v>-33.063700707785642</v>
      </c>
      <c r="C37" s="12">
        <f t="shared" ref="C37:Q37" si="0">(C36-C33)/C33*100</f>
        <v>44.458155111145409</v>
      </c>
      <c r="D37" s="12">
        <f t="shared" si="0"/>
        <v>-37.267547772346532</v>
      </c>
      <c r="E37" s="12">
        <f t="shared" si="0"/>
        <v>-34.932069707823821</v>
      </c>
      <c r="F37" s="12">
        <f t="shared" si="0"/>
        <v>-33.204597612315354</v>
      </c>
      <c r="G37" s="12">
        <f t="shared" si="0"/>
        <v>-17.634414023644169</v>
      </c>
      <c r="H37" s="12">
        <f t="shared" si="0"/>
        <v>-18.903748943327859</v>
      </c>
      <c r="I37" s="12">
        <f t="shared" si="0"/>
        <v>635131.60594269529</v>
      </c>
      <c r="J37" s="12" t="s">
        <v>29</v>
      </c>
      <c r="K37" s="12">
        <f t="shared" si="0"/>
        <v>635131.60594269529</v>
      </c>
      <c r="L37" s="12">
        <f t="shared" si="0"/>
        <v>-33.202693194716893</v>
      </c>
      <c r="M37" s="12" t="s">
        <v>29</v>
      </c>
      <c r="N37" s="3" t="s">
        <v>29</v>
      </c>
      <c r="O37" s="12">
        <f t="shared" si="0"/>
        <v>-3.3013463735143724</v>
      </c>
      <c r="P37" s="12">
        <f t="shared" si="0"/>
        <v>9.2652107012820331</v>
      </c>
      <c r="Q37" s="12">
        <f t="shared" si="0"/>
        <v>-11.50096814360416</v>
      </c>
    </row>
    <row r="38" spans="1:17" x14ac:dyDescent="0.25">
      <c r="A38" s="5" t="s">
        <v>28</v>
      </c>
      <c r="B38" s="5" t="s">
        <v>29</v>
      </c>
      <c r="C38" s="5" t="s">
        <v>29</v>
      </c>
      <c r="D38" s="5" t="s">
        <v>29</v>
      </c>
      <c r="E38" s="5" t="s">
        <v>29</v>
      </c>
      <c r="F38" s="5" t="s">
        <v>29</v>
      </c>
      <c r="G38" s="5" t="s">
        <v>29</v>
      </c>
      <c r="H38" s="5" t="s">
        <v>29</v>
      </c>
      <c r="I38" s="5" t="s">
        <v>29</v>
      </c>
      <c r="J38" s="5" t="s">
        <v>29</v>
      </c>
      <c r="K38" s="5" t="s">
        <v>29</v>
      </c>
      <c r="L38" s="5" t="s">
        <v>29</v>
      </c>
      <c r="M38" s="5" t="s">
        <v>29</v>
      </c>
      <c r="N38" s="5" t="s">
        <v>29</v>
      </c>
      <c r="O38" s="5" t="s">
        <v>29</v>
      </c>
      <c r="P38" s="5" t="s">
        <v>29</v>
      </c>
      <c r="Q38" s="5" t="s">
        <v>29</v>
      </c>
    </row>
    <row r="39" spans="1:17" x14ac:dyDescent="0.25">
      <c r="A39" s="25" t="s">
        <v>32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</row>
    <row r="40" spans="1:17" ht="20.25" customHeight="1" x14ac:dyDescent="0.25">
      <c r="A40" s="28" t="s">
        <v>37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30"/>
    </row>
    <row r="41" spans="1:17" ht="29.25" customHeight="1" x14ac:dyDescent="0.25">
      <c r="A41" s="27" t="s">
        <v>38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</row>
    <row r="42" spans="1:17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</sheetData>
  <mergeCells count="15">
    <mergeCell ref="A39:Q39"/>
    <mergeCell ref="A41:Q41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2022-08-22T10:08:17Z</cp:lastPrinted>
  <dcterms:created xsi:type="dcterms:W3CDTF">2018-10-29T04:00:15Z</dcterms:created>
  <dcterms:modified xsi:type="dcterms:W3CDTF">2022-08-22T10:09:46Z</dcterms:modified>
</cp:coreProperties>
</file>