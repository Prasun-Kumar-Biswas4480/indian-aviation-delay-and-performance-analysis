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showHorizontalScroll="0" showVerticalScroll="0" showSheetTabs="0" xWindow="0" yWindow="0" windowWidth="24000" windowHeight="11025"/>
  </bookViews>
  <sheets>
    <sheet name="2018-19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7" i="2" l="1"/>
  <c r="O37" i="2"/>
  <c r="N37" i="2"/>
  <c r="M37" i="2"/>
  <c r="L37" i="2"/>
  <c r="K37" i="2"/>
  <c r="J37" i="2"/>
  <c r="I37" i="2"/>
  <c r="G37" i="2"/>
  <c r="F37" i="2"/>
  <c r="E37" i="2"/>
  <c r="D37" i="2"/>
  <c r="C37" i="2"/>
  <c r="B37" i="2"/>
  <c r="Q29" i="2" l="1"/>
  <c r="Q26" i="2"/>
  <c r="Q23" i="2"/>
  <c r="Q20" i="2"/>
  <c r="Q17" i="2"/>
  <c r="Q14" i="2"/>
  <c r="Q38" i="2" l="1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H37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B29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B2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B23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B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B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B14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1" i="2"/>
  <c r="G34" i="2" l="1"/>
  <c r="Q34" i="2" l="1"/>
  <c r="Q31" i="2"/>
  <c r="Q19" i="2"/>
  <c r="Q10" i="2"/>
  <c r="H34" i="2"/>
  <c r="H31" i="2"/>
  <c r="H28" i="2"/>
  <c r="H19" i="2"/>
  <c r="H16" i="2"/>
  <c r="H10" i="2"/>
  <c r="Q28" i="2" l="1"/>
  <c r="Q13" i="2"/>
  <c r="Q22" i="2"/>
  <c r="Q16" i="2"/>
  <c r="Q25" i="2"/>
  <c r="H22" i="2"/>
  <c r="H25" i="2"/>
  <c r="H13" i="2"/>
  <c r="P34" i="2" l="1"/>
  <c r="O34" i="2"/>
  <c r="N34" i="2"/>
  <c r="M34" i="2"/>
  <c r="L34" i="2"/>
  <c r="K34" i="2"/>
  <c r="J34" i="2"/>
  <c r="I34" i="2"/>
  <c r="F34" i="2"/>
  <c r="E34" i="2"/>
  <c r="D34" i="2"/>
  <c r="C34" i="2"/>
  <c r="B34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<sst xmlns="http://schemas.openxmlformats.org/spreadsheetml/2006/main" count="59" uniqueCount="38">
  <si>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</si>
  <si>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</si>
  <si>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</si>
  <si>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</si>
  <si>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</si>
  <si>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</si>
  <si>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</si>
  <si>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</si>
  <si>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</si>
  <si>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</si>
  <si>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</si>
  <si>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</si>
  <si>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</si>
  <si>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</si>
  <si>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</si>
  <si>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</si>
  <si>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</si>
  <si>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</si>
  <si>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</si>
  <si>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</si>
  <si>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</si>
  <si>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</si>
  <si>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</si>
  <si>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</si>
  <si>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</si>
  <si>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</si>
  <si>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</si>
  <si>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</si>
  <si>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Growth</t>
  </si>
  <si>
    <t>2018-19</t>
  </si>
  <si>
    <t>SOURCE: ICAO ATR FORM 'A' FURNISHED BY ALL SCHEDULED NATIONAL AIRLINES</t>
  </si>
  <si>
    <t>2019-20</t>
  </si>
  <si>
    <t>2020-21</t>
  </si>
  <si>
    <t>2021-22</t>
  </si>
  <si>
    <t>Note: Growth has been calculated with respect to preceeding year while Compound Annual Growth Rate (CAGR) has been calculating taking 2011-12 as a Base Year</t>
  </si>
  <si>
    <t xml:space="preserve">तालिका - 1.04 (अनुसूचित राष्ट्रीय एयरलाइन्स) </t>
  </si>
  <si>
    <t>TABLE - 1.04 (SCHEDULED NATIONAL AIRLINES)</t>
  </si>
  <si>
    <t xml:space="preserve">YEAR ON YEAR GROWTH AND CAGR FOR LAST TEN YEARS OF SCHEDULED NATIONAL AIRLINES ON SCHEDULED DOMESTIC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</si>
</sst>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6" fontId="7" fillId="3" borderId="2" xfId="4" applyNumberFormat="1" applyFont="1" applyFill="1" applyBorder="1" applyAlignment="1" applyProtection="1">
      <alignment horizontal="center" vertical="center" wrapText="1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 applyAlignment="1">
      <alignment horizontal="center" vertical="center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zoomScaleNormal="100" zoomScaleSheetLayoutView="98" workbookViewId="0">
      <selection activeCell="A4" sqref="A4:A5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7.85546875" customWidth="1"/>
    <col min="5" max="5" width="11.28515625" customWidth="1"/>
    <col min="6" max="6" width="8.28515625" customWidth="1"/>
    <col min="7" max="7" width="8.140625" customWidth="1"/>
    <col min="8" max="8" width="6.42578125" customWidth="1"/>
    <col min="9" max="9" width="9.42578125" customWidth="1"/>
    <col min="10" max="10" width="11.1406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7.85546875" customWidth="1"/>
  </cols>
  <sheetData>
    <row r="1" spans="1:17" ht="14.45" customHeight="1" x14ac:dyDescent="0.25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4.45" customHeight="1" x14ac:dyDescent="0.25">
      <c r="A2" s="22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2.25" customHeight="1" x14ac:dyDescent="0.25">
      <c r="A3" s="24" t="s">
        <v>37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25.5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6"/>
      <c r="G4" s="17" t="s">
        <v>3</v>
      </c>
      <c r="H4" s="17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7" t="s">
        <v>7</v>
      </c>
      <c r="Q4" s="17" t="s">
        <v>8</v>
      </c>
    </row>
    <row r="5" spans="1:17" ht="104.25" customHeight="1" x14ac:dyDescent="0.25">
      <c r="A5" s="24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8"/>
      <c r="H5" s="18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18"/>
      <c r="Q5" s="18"/>
    </row>
    <row r="6" spans="1:17" s="3" customFormat="1" ht="20.100000000000001" customHeight="1" x14ac:dyDescent="0.25">
      <c r="A6" s="4" t="s">
        <v>19</v>
      </c>
      <c r="B6" s="1">
        <v>116466</v>
      </c>
      <c r="C6" s="1">
        <v>188010</v>
      </c>
      <c r="D6" s="1">
        <v>98454</v>
      </c>
      <c r="E6" s="1">
        <v>9400431</v>
      </c>
      <c r="F6" s="1">
        <v>9323.1710000000003</v>
      </c>
      <c r="G6" s="1">
        <v>14724.17</v>
      </c>
      <c r="H6" s="8">
        <v>63.318822045656901</v>
      </c>
      <c r="I6" s="2">
        <v>71113.34</v>
      </c>
      <c r="J6" s="2">
        <v>11387</v>
      </c>
      <c r="K6" s="2">
        <v>82500.34</v>
      </c>
      <c r="L6" s="2">
        <v>802.54</v>
      </c>
      <c r="M6" s="2">
        <v>80.376999999999995</v>
      </c>
      <c r="N6" s="2">
        <v>12.329000000000001</v>
      </c>
      <c r="O6" s="2">
        <v>895.24599999999998</v>
      </c>
      <c r="P6" s="2">
        <v>1700.097</v>
      </c>
      <c r="Q6" s="8">
        <v>52.658524778292062</v>
      </c>
    </row>
    <row r="7" spans="1:17" s="3" customFormat="1" ht="20.100000000000001" customHeight="1" x14ac:dyDescent="0.25">
      <c r="A7" s="5" t="s">
        <v>28</v>
      </c>
      <c r="B7" s="11"/>
      <c r="C7" s="11"/>
      <c r="D7" s="11"/>
      <c r="E7" s="11"/>
      <c r="F7" s="11"/>
      <c r="G7" s="11"/>
      <c r="H7" s="9"/>
      <c r="I7" s="11"/>
      <c r="J7" s="11"/>
      <c r="K7" s="11"/>
      <c r="L7" s="11"/>
      <c r="M7" s="11"/>
      <c r="N7" s="11"/>
      <c r="O7" s="11"/>
      <c r="P7" s="11"/>
      <c r="Q7" s="9"/>
    </row>
    <row r="8" spans="1:17" s="3" customFormat="1" ht="20.100000000000001" customHeight="1" x14ac:dyDescent="0.25">
      <c r="A8" s="6" t="s">
        <v>27</v>
      </c>
      <c r="B8" s="12"/>
      <c r="C8" s="12"/>
      <c r="D8" s="12"/>
      <c r="E8" s="12"/>
      <c r="F8" s="12"/>
      <c r="G8" s="12"/>
      <c r="H8" s="10"/>
      <c r="I8" s="12"/>
      <c r="J8" s="12"/>
      <c r="K8" s="12"/>
      <c r="L8" s="12"/>
      <c r="M8" s="12"/>
      <c r="N8" s="12"/>
      <c r="O8" s="12"/>
      <c r="P8" s="12"/>
      <c r="Q8" s="10"/>
    </row>
    <row r="9" spans="1:17" s="3" customFormat="1" ht="20.100000000000001" customHeight="1" x14ac:dyDescent="0.25">
      <c r="A9" s="4" t="s">
        <v>20</v>
      </c>
      <c r="B9" s="1">
        <v>105101</v>
      </c>
      <c r="C9" s="1">
        <v>176003</v>
      </c>
      <c r="D9" s="1">
        <v>100871</v>
      </c>
      <c r="E9" s="1">
        <v>10296331</v>
      </c>
      <c r="F9" s="1">
        <v>10241.436</v>
      </c>
      <c r="G9" s="1">
        <v>14989.709000000001</v>
      </c>
      <c r="H9" s="8">
        <v>68.323114211223171</v>
      </c>
      <c r="I9" s="2">
        <v>67652</v>
      </c>
      <c r="J9" s="2">
        <v>102</v>
      </c>
      <c r="K9" s="2">
        <v>67754</v>
      </c>
      <c r="L9" s="2">
        <v>941.54618685491459</v>
      </c>
      <c r="M9" s="2">
        <v>77.447000000000003</v>
      </c>
      <c r="N9" s="2">
        <v>13.558</v>
      </c>
      <c r="O9" s="2">
        <v>1032.5511868549147</v>
      </c>
      <c r="P9" s="2">
        <v>1749.303193904482</v>
      </c>
      <c r="Q9" s="8">
        <v>59.026427805818983</v>
      </c>
    </row>
    <row r="10" spans="1:17" s="3" customFormat="1" ht="20.100000000000001" customHeight="1" x14ac:dyDescent="0.25">
      <c r="A10" s="5" t="s">
        <v>28</v>
      </c>
      <c r="B10" s="11">
        <f t="shared" ref="B10:Q10" si="0">(B9-B6)/B6</f>
        <v>-9.758212697267872E-2</v>
      </c>
      <c r="C10" s="11">
        <f t="shared" si="0"/>
        <v>-6.3863624275304509E-2</v>
      </c>
      <c r="D10" s="11">
        <f t="shared" si="0"/>
        <v>2.4549535823836514E-2</v>
      </c>
      <c r="E10" s="11">
        <f t="shared" si="0"/>
        <v>9.5304140842052881E-2</v>
      </c>
      <c r="F10" s="11">
        <f t="shared" si="0"/>
        <v>9.849277676018163E-2</v>
      </c>
      <c r="G10" s="11">
        <f t="shared" si="0"/>
        <v>1.8034225358712963E-2</v>
      </c>
      <c r="H10" s="9">
        <f t="shared" si="0"/>
        <v>7.9033247996272829E-2</v>
      </c>
      <c r="I10" s="11">
        <f t="shared" si="0"/>
        <v>-4.8673568137848636E-2</v>
      </c>
      <c r="J10" s="11">
        <f t="shared" si="0"/>
        <v>-0.99104241679107752</v>
      </c>
      <c r="K10" s="11">
        <f t="shared" si="0"/>
        <v>-0.17874277851460973</v>
      </c>
      <c r="L10" s="11">
        <f t="shared" si="0"/>
        <v>0.1732077988074297</v>
      </c>
      <c r="M10" s="11">
        <f t="shared" si="0"/>
        <v>-3.6453214227950691E-2</v>
      </c>
      <c r="N10" s="11">
        <f t="shared" si="0"/>
        <v>9.9683672641738913E-2</v>
      </c>
      <c r="O10" s="11">
        <f t="shared" si="0"/>
        <v>0.15337146086652689</v>
      </c>
      <c r="P10" s="11">
        <f t="shared" si="0"/>
        <v>2.8943168480670224E-2</v>
      </c>
      <c r="Q10" s="9">
        <f t="shared" si="0"/>
        <v>0.12092824579377552</v>
      </c>
    </row>
    <row r="11" spans="1:17" s="3" customFormat="1" ht="20.100000000000001" customHeight="1" x14ac:dyDescent="0.25">
      <c r="A11" s="6" t="s">
        <v>27</v>
      </c>
      <c r="B11" s="12">
        <f>(((B9/B6)^(1/1))-1)</f>
        <v>-9.7582126972678762E-2</v>
      </c>
      <c r="C11" s="12">
        <f t="shared" ref="C11:Q11" si="1">(((C9/C6)^(1/1))-1)</f>
        <v>-6.3863624275304454E-2</v>
      </c>
      <c r="D11" s="12">
        <f t="shared" si="1"/>
        <v>2.4549535823836566E-2</v>
      </c>
      <c r="E11" s="12">
        <f t="shared" si="1"/>
        <v>9.5304140842052965E-2</v>
      </c>
      <c r="F11" s="12">
        <f t="shared" si="1"/>
        <v>9.8492776760181533E-2</v>
      </c>
      <c r="G11" s="12">
        <f t="shared" si="1"/>
        <v>1.8034225358712908E-2</v>
      </c>
      <c r="H11" s="12">
        <f t="shared" si="1"/>
        <v>7.903324799627276E-2</v>
      </c>
      <c r="I11" s="12">
        <f t="shared" si="1"/>
        <v>-4.8673568137848622E-2</v>
      </c>
      <c r="J11" s="12">
        <f t="shared" si="1"/>
        <v>-0.99104241679107752</v>
      </c>
      <c r="K11" s="12">
        <f t="shared" si="1"/>
        <v>-0.17874277851460973</v>
      </c>
      <c r="L11" s="12">
        <f t="shared" si="1"/>
        <v>0.17320779880742965</v>
      </c>
      <c r="M11" s="12">
        <f t="shared" si="1"/>
        <v>-3.645321422795067E-2</v>
      </c>
      <c r="N11" s="12">
        <f t="shared" si="1"/>
        <v>9.9683672641738941E-2</v>
      </c>
      <c r="O11" s="12">
        <f t="shared" si="1"/>
        <v>0.15337146086652687</v>
      </c>
      <c r="P11" s="12">
        <f t="shared" si="1"/>
        <v>2.8943168480670245E-2</v>
      </c>
      <c r="Q11" s="12">
        <f t="shared" si="1"/>
        <v>0.12092824579377548</v>
      </c>
    </row>
    <row r="12" spans="1:17" s="3" customFormat="1" ht="20.100000000000001" customHeight="1" x14ac:dyDescent="0.25">
      <c r="A12" s="4" t="s">
        <v>21</v>
      </c>
      <c r="B12" s="1">
        <v>113905</v>
      </c>
      <c r="C12" s="1">
        <v>194726</v>
      </c>
      <c r="D12" s="1">
        <v>100576.19899999999</v>
      </c>
      <c r="E12" s="1">
        <v>11073667</v>
      </c>
      <c r="F12" s="1">
        <v>10960.354624000001</v>
      </c>
      <c r="G12" s="1">
        <v>15430.798979999998</v>
      </c>
      <c r="H12" s="8">
        <v>71.02908046567012</v>
      </c>
      <c r="I12" s="2">
        <v>81290</v>
      </c>
      <c r="J12" s="2">
        <v>52</v>
      </c>
      <c r="K12" s="2">
        <v>81342</v>
      </c>
      <c r="L12" s="2">
        <v>1008.7345750058503</v>
      </c>
      <c r="M12" s="2">
        <v>92.013999999999996</v>
      </c>
      <c r="N12" s="2">
        <v>15.818</v>
      </c>
      <c r="O12" s="2">
        <v>1116.5665750058508</v>
      </c>
      <c r="P12" s="2">
        <v>1778.6453125406265</v>
      </c>
      <c r="Q12" s="8">
        <v>62.776235775245219</v>
      </c>
    </row>
    <row r="13" spans="1:17" s="3" customFormat="1" ht="20.100000000000001" customHeight="1" x14ac:dyDescent="0.25">
      <c r="A13" s="5" t="s">
        <v>28</v>
      </c>
      <c r="B13" s="11">
        <f t="shared" ref="B13:Q13" si="2">(B12-B9)/B9</f>
        <v>8.3767043129941682E-2</v>
      </c>
      <c r="C13" s="11">
        <f t="shared" si="2"/>
        <v>0.10637886854201349</v>
      </c>
      <c r="D13" s="11">
        <f t="shared" si="2"/>
        <v>-2.9225545498706936E-3</v>
      </c>
      <c r="E13" s="11">
        <f t="shared" si="2"/>
        <v>7.5496407409590849E-2</v>
      </c>
      <c r="F13" s="11">
        <f t="shared" si="2"/>
        <v>7.0197052835168985E-2</v>
      </c>
      <c r="G13" s="11">
        <f t="shared" si="2"/>
        <v>2.942618699268925E-2</v>
      </c>
      <c r="H13" s="9">
        <f t="shared" si="2"/>
        <v>3.9605429080433373E-2</v>
      </c>
      <c r="I13" s="11">
        <f t="shared" si="2"/>
        <v>0.20159049252054634</v>
      </c>
      <c r="J13" s="11">
        <f t="shared" si="2"/>
        <v>-0.49019607843137253</v>
      </c>
      <c r="K13" s="11">
        <f t="shared" si="2"/>
        <v>0.20054904507482954</v>
      </c>
      <c r="L13" s="11">
        <f t="shared" si="2"/>
        <v>7.1359630668111795E-2</v>
      </c>
      <c r="M13" s="11">
        <f t="shared" si="2"/>
        <v>0.18808991955789112</v>
      </c>
      <c r="N13" s="11">
        <f t="shared" si="2"/>
        <v>0.16669125239710869</v>
      </c>
      <c r="O13" s="11">
        <f t="shared" si="2"/>
        <v>8.1366802169722613E-2</v>
      </c>
      <c r="P13" s="11">
        <f t="shared" si="2"/>
        <v>1.6773603763137409E-2</v>
      </c>
      <c r="Q13" s="9">
        <f t="shared" si="2"/>
        <v>6.3527611424531602E-2</v>
      </c>
    </row>
    <row r="14" spans="1:17" s="3" customFormat="1" ht="20.100000000000001" customHeight="1" x14ac:dyDescent="0.25">
      <c r="A14" s="6" t="s">
        <v>27</v>
      </c>
      <c r="B14" s="12">
        <f>(((B12/B6)^(1/2))-1)</f>
        <v>-1.1055739731287373E-2</v>
      </c>
      <c r="C14" s="12">
        <f t="shared" ref="C14:P14" si="3">(((C12/C6)^(1/2))-1)</f>
        <v>1.7704035648532734E-2</v>
      </c>
      <c r="D14" s="12">
        <f t="shared" si="3"/>
        <v>1.0720156084930821E-2</v>
      </c>
      <c r="E14" s="12">
        <f t="shared" si="3"/>
        <v>8.5355088667518286E-2</v>
      </c>
      <c r="F14" s="12">
        <f t="shared" si="3"/>
        <v>8.4252614591944441E-2</v>
      </c>
      <c r="G14" s="12">
        <f t="shared" si="3"/>
        <v>2.3714359984793765E-2</v>
      </c>
      <c r="H14" s="12">
        <f t="shared" si="3"/>
        <v>5.9135884943579242E-2</v>
      </c>
      <c r="I14" s="12">
        <f t="shared" si="3"/>
        <v>6.9160790437554409E-2</v>
      </c>
      <c r="J14" s="12">
        <f t="shared" si="3"/>
        <v>-0.93242329508117494</v>
      </c>
      <c r="K14" s="12">
        <f t="shared" si="3"/>
        <v>-7.0450297142911067E-3</v>
      </c>
      <c r="L14" s="12">
        <f t="shared" si="3"/>
        <v>0.12112776882355214</v>
      </c>
      <c r="M14" s="12">
        <f t="shared" si="3"/>
        <v>6.9944028067907116E-2</v>
      </c>
      <c r="N14" s="12">
        <f t="shared" si="3"/>
        <v>0.13269206816108792</v>
      </c>
      <c r="O14" s="12">
        <f t="shared" si="3"/>
        <v>0.11678897216576134</v>
      </c>
      <c r="P14" s="12">
        <f t="shared" si="3"/>
        <v>2.2840287378020907E-2</v>
      </c>
      <c r="Q14" s="12">
        <f>(((Q12/Q6)^(1/2))-1)</f>
        <v>9.1850786429787057E-2</v>
      </c>
    </row>
    <row r="15" spans="1:17" s="3" customFormat="1" ht="20.100000000000001" customHeight="1" x14ac:dyDescent="0.25">
      <c r="A15" s="4" t="s">
        <v>22</v>
      </c>
      <c r="B15" s="1">
        <v>113084</v>
      </c>
      <c r="C15" s="1">
        <v>195167</v>
      </c>
      <c r="D15" s="1">
        <v>107098</v>
      </c>
      <c r="E15" s="1">
        <v>12228758</v>
      </c>
      <c r="F15" s="1">
        <v>11839.589</v>
      </c>
      <c r="G15" s="1">
        <v>15383.927</v>
      </c>
      <c r="H15" s="8">
        <v>76.960772109748049</v>
      </c>
      <c r="I15" s="2">
        <v>100889</v>
      </c>
      <c r="J15" s="2">
        <v>16455</v>
      </c>
      <c r="K15" s="2">
        <v>117344</v>
      </c>
      <c r="L15" s="2">
        <v>1092.1498600000004</v>
      </c>
      <c r="M15" s="2">
        <v>118.66161000000001</v>
      </c>
      <c r="N15" s="2">
        <v>15.794</v>
      </c>
      <c r="O15" s="2">
        <v>1226.1359399999994</v>
      </c>
      <c r="P15" s="2">
        <v>1757.28649</v>
      </c>
      <c r="Q15" s="8">
        <v>69.774390628815425</v>
      </c>
    </row>
    <row r="16" spans="1:17" s="3" customFormat="1" ht="20.100000000000001" customHeight="1" x14ac:dyDescent="0.25">
      <c r="A16" s="5" t="s">
        <v>28</v>
      </c>
      <c r="B16" s="11">
        <f t="shared" ref="B16:Q16" si="4">(B15-B12)/B12</f>
        <v>-7.2077608533426983E-3</v>
      </c>
      <c r="C16" s="11">
        <f t="shared" si="4"/>
        <v>2.2647206844489181E-3</v>
      </c>
      <c r="D16" s="11">
        <f t="shared" si="4"/>
        <v>6.484437734617518E-2</v>
      </c>
      <c r="E16" s="11">
        <f t="shared" si="4"/>
        <v>0.10430971059541523</v>
      </c>
      <c r="F16" s="11">
        <f t="shared" si="4"/>
        <v>8.021951899938802E-2</v>
      </c>
      <c r="G16" s="11">
        <f t="shared" si="4"/>
        <v>-3.0375601458323244E-3</v>
      </c>
      <c r="H16" s="9">
        <f t="shared" si="4"/>
        <v>8.3510748065291976E-2</v>
      </c>
      <c r="I16" s="11">
        <f t="shared" si="4"/>
        <v>0.24109976626891377</v>
      </c>
      <c r="J16" s="11">
        <f t="shared" si="4"/>
        <v>315.44230769230768</v>
      </c>
      <c r="K16" s="11">
        <f t="shared" si="4"/>
        <v>0.44260037864817681</v>
      </c>
      <c r="L16" s="11">
        <f t="shared" si="4"/>
        <v>8.2692996811045555E-2</v>
      </c>
      <c r="M16" s="11">
        <f t="shared" si="4"/>
        <v>0.28960386462929572</v>
      </c>
      <c r="N16" s="11">
        <f t="shared" si="4"/>
        <v>-1.5172588190668311E-3</v>
      </c>
      <c r="O16" s="11">
        <f t="shared" si="4"/>
        <v>9.8130615269021865E-2</v>
      </c>
      <c r="P16" s="11">
        <f t="shared" si="4"/>
        <v>-1.2008477682443319E-2</v>
      </c>
      <c r="Q16" s="9">
        <f t="shared" si="4"/>
        <v>0.11147777127996919</v>
      </c>
    </row>
    <row r="17" spans="1:17" s="3" customFormat="1" ht="20.100000000000001" customHeight="1" x14ac:dyDescent="0.25">
      <c r="A17" s="6" t="s">
        <v>27</v>
      </c>
      <c r="B17" s="12">
        <f>(((B15/B6)^(1/3))-1)</f>
        <v>-9.7747401265791956E-3</v>
      </c>
      <c r="C17" s="12">
        <f t="shared" ref="C17:P17" si="5">(((C15/C6)^(1/3))-1)</f>
        <v>1.2531350661151741E-2</v>
      </c>
      <c r="D17" s="12">
        <f t="shared" si="5"/>
        <v>2.8448774703975221E-2</v>
      </c>
      <c r="E17" s="12">
        <f t="shared" si="5"/>
        <v>9.1636868372132252E-2</v>
      </c>
      <c r="F17" s="12">
        <f t="shared" si="5"/>
        <v>8.2906579062373753E-2</v>
      </c>
      <c r="G17" s="12">
        <f t="shared" si="5"/>
        <v>1.4718229232664859E-2</v>
      </c>
      <c r="H17" s="12">
        <f t="shared" si="5"/>
        <v>6.7199295198700826E-2</v>
      </c>
      <c r="I17" s="12">
        <f t="shared" si="5"/>
        <v>0.12364963109459137</v>
      </c>
      <c r="J17" s="12">
        <f t="shared" si="5"/>
        <v>0.13056669783447461</v>
      </c>
      <c r="K17" s="12">
        <f t="shared" si="5"/>
        <v>0.12460941920800117</v>
      </c>
      <c r="L17" s="12">
        <f t="shared" si="5"/>
        <v>0.10816692108172865</v>
      </c>
      <c r="M17" s="12">
        <f t="shared" si="5"/>
        <v>0.1386567229368989</v>
      </c>
      <c r="N17" s="12">
        <f t="shared" si="5"/>
        <v>8.6062354716692546E-2</v>
      </c>
      <c r="O17" s="12">
        <f t="shared" si="5"/>
        <v>0.11053455832156422</v>
      </c>
      <c r="P17" s="12">
        <f t="shared" si="5"/>
        <v>1.1089552915532153E-2</v>
      </c>
      <c r="Q17" s="12">
        <f>(((Q15/Q6)^(1/3))-1)</f>
        <v>9.8354300189609445E-2</v>
      </c>
    </row>
    <row r="18" spans="1:17" s="3" customFormat="1" ht="20.100000000000001" customHeight="1" x14ac:dyDescent="0.25">
      <c r="A18" s="4" t="s">
        <v>23</v>
      </c>
      <c r="B18" s="1">
        <v>115852</v>
      </c>
      <c r="C18" s="1">
        <v>205537.73</v>
      </c>
      <c r="D18" s="1">
        <v>125974</v>
      </c>
      <c r="E18" s="1">
        <v>13291720</v>
      </c>
      <c r="F18" s="1">
        <v>12559.764999999999</v>
      </c>
      <c r="G18" s="1">
        <v>15918.985000000001</v>
      </c>
      <c r="H18" s="8">
        <v>78.89802647593423</v>
      </c>
      <c r="I18" s="2">
        <v>83770.890000000014</v>
      </c>
      <c r="J18" s="2">
        <v>16252.215999999999</v>
      </c>
      <c r="K18" s="2">
        <v>100023.106</v>
      </c>
      <c r="L18" s="2">
        <v>1152.5626999999999</v>
      </c>
      <c r="M18" s="2">
        <v>98.176989999999989</v>
      </c>
      <c r="N18" s="2">
        <v>15.57611</v>
      </c>
      <c r="O18" s="2">
        <v>1266.2159000000001</v>
      </c>
      <c r="P18" s="2">
        <v>1787.34933</v>
      </c>
      <c r="Q18" s="8">
        <v>70.84322458665649</v>
      </c>
    </row>
    <row r="19" spans="1:17" s="3" customFormat="1" ht="20.100000000000001" customHeight="1" x14ac:dyDescent="0.25">
      <c r="A19" s="5" t="s">
        <v>28</v>
      </c>
      <c r="B19" s="11">
        <f t="shared" ref="B19:Q19" si="6">(B18-B15)/B15</f>
        <v>2.4477379646988078E-2</v>
      </c>
      <c r="C19" s="11">
        <f t="shared" si="6"/>
        <v>5.313772307818438E-2</v>
      </c>
      <c r="D19" s="11">
        <f t="shared" si="6"/>
        <v>0.17624978991204318</v>
      </c>
      <c r="E19" s="11">
        <f t="shared" si="6"/>
        <v>8.6923136429717551E-2</v>
      </c>
      <c r="F19" s="11">
        <f t="shared" si="6"/>
        <v>6.0827787180788073E-2</v>
      </c>
      <c r="G19" s="11">
        <f t="shared" si="6"/>
        <v>3.4780326245697921E-2</v>
      </c>
      <c r="H19" s="9">
        <f t="shared" si="6"/>
        <v>2.5171971552255302E-2</v>
      </c>
      <c r="I19" s="11">
        <f t="shared" si="6"/>
        <v>-0.16967270961155315</v>
      </c>
      <c r="J19" s="11">
        <f t="shared" si="6"/>
        <v>-1.2323549073230111E-2</v>
      </c>
      <c r="K19" s="11">
        <f t="shared" si="6"/>
        <v>-0.14760783678756476</v>
      </c>
      <c r="L19" s="11">
        <f t="shared" si="6"/>
        <v>5.5315522358808412E-2</v>
      </c>
      <c r="M19" s="11">
        <f t="shared" si="6"/>
        <v>-0.17263055844261693</v>
      </c>
      <c r="N19" s="11">
        <f t="shared" si="6"/>
        <v>-1.3795745219703722E-2</v>
      </c>
      <c r="O19" s="11">
        <f t="shared" si="6"/>
        <v>3.2688023156715172E-2</v>
      </c>
      <c r="P19" s="11">
        <f t="shared" si="6"/>
        <v>1.7107534924484653E-2</v>
      </c>
      <c r="Q19" s="9">
        <f t="shared" si="6"/>
        <v>1.5318427695442428E-2</v>
      </c>
    </row>
    <row r="20" spans="1:17" s="3" customFormat="1" ht="20.100000000000001" customHeight="1" x14ac:dyDescent="0.25">
      <c r="A20" s="6" t="s">
        <v>27</v>
      </c>
      <c r="B20" s="12">
        <f>(((B18/B6)^(1/4))-1)</f>
        <v>-1.320594867288083E-3</v>
      </c>
      <c r="C20" s="12">
        <f t="shared" ref="C20:P20" si="7">(((C18/C6)^(1/4))-1)</f>
        <v>2.2533750575692624E-2</v>
      </c>
      <c r="D20" s="12">
        <f t="shared" si="7"/>
        <v>6.3559738419166401E-2</v>
      </c>
      <c r="E20" s="12">
        <f t="shared" si="7"/>
        <v>9.0456522370341075E-2</v>
      </c>
      <c r="F20" s="12">
        <f t="shared" si="7"/>
        <v>7.7344170237817034E-2</v>
      </c>
      <c r="G20" s="12">
        <f t="shared" si="7"/>
        <v>1.9696990697516403E-2</v>
      </c>
      <c r="H20" s="12">
        <f t="shared" si="7"/>
        <v>5.653363701786307E-2</v>
      </c>
      <c r="I20" s="12">
        <f t="shared" si="7"/>
        <v>4.1802782871776634E-2</v>
      </c>
      <c r="J20" s="12">
        <f t="shared" si="7"/>
        <v>9.3014230434282252E-2</v>
      </c>
      <c r="K20" s="12">
        <f t="shared" si="7"/>
        <v>4.9327729175178581E-2</v>
      </c>
      <c r="L20" s="12">
        <f t="shared" si="7"/>
        <v>9.4710965213104625E-2</v>
      </c>
      <c r="M20" s="12">
        <f t="shared" si="7"/>
        <v>5.1282609060574691E-2</v>
      </c>
      <c r="N20" s="12">
        <f t="shared" si="7"/>
        <v>6.0187765632720325E-2</v>
      </c>
      <c r="O20" s="12">
        <f t="shared" si="7"/>
        <v>9.0539356257592463E-2</v>
      </c>
      <c r="P20" s="12">
        <f t="shared" si="7"/>
        <v>1.259070200815704E-2</v>
      </c>
      <c r="Q20" s="12">
        <f>(((Q18/Q6)^(1/4))-1)</f>
        <v>7.6979429195674687E-2</v>
      </c>
    </row>
    <row r="21" spans="1:17" s="3" customFormat="1" ht="20.100000000000001" customHeight="1" x14ac:dyDescent="0.25">
      <c r="A21" s="4" t="s">
        <v>24</v>
      </c>
      <c r="B21" s="1">
        <v>123949</v>
      </c>
      <c r="C21" s="1">
        <v>224024</v>
      </c>
      <c r="D21" s="1">
        <v>123426.58000000002</v>
      </c>
      <c r="E21" s="1">
        <v>14470484</v>
      </c>
      <c r="F21" s="1">
        <v>13468.183130000001</v>
      </c>
      <c r="G21" s="1">
        <v>17091.21977</v>
      </c>
      <c r="H21" s="8">
        <v>78.801766703863535</v>
      </c>
      <c r="I21" s="2">
        <v>64444.93</v>
      </c>
      <c r="J21" s="2">
        <v>10064.179999999998</v>
      </c>
      <c r="K21" s="2">
        <v>74509.110000000015</v>
      </c>
      <c r="L21" s="2">
        <v>1238.4518700000001</v>
      </c>
      <c r="M21" s="2">
        <v>76.435340000000011</v>
      </c>
      <c r="N21" s="2">
        <v>9.6421100000000006</v>
      </c>
      <c r="O21" s="2">
        <v>1324.5293200000001</v>
      </c>
      <c r="P21" s="2">
        <v>1916.6273900000001</v>
      </c>
      <c r="Q21" s="8">
        <v>69.107293723899048</v>
      </c>
    </row>
    <row r="22" spans="1:17" s="3" customFormat="1" ht="20.100000000000001" customHeight="1" x14ac:dyDescent="0.25">
      <c r="A22" s="5" t="s">
        <v>28</v>
      </c>
      <c r="B22" s="11">
        <f t="shared" ref="B22:Q22" si="8">(B21-B18)/B18</f>
        <v>6.9890895280185064E-2</v>
      </c>
      <c r="C22" s="11">
        <f t="shared" si="8"/>
        <v>8.9941004992124748E-2</v>
      </c>
      <c r="D22" s="11">
        <f t="shared" si="8"/>
        <v>-2.0221791798307458E-2</v>
      </c>
      <c r="E22" s="11">
        <f t="shared" si="8"/>
        <v>8.8684083023115146E-2</v>
      </c>
      <c r="F22" s="11">
        <f t="shared" si="8"/>
        <v>7.2327637499587122E-2</v>
      </c>
      <c r="G22" s="11">
        <f t="shared" si="8"/>
        <v>7.3637532166780678E-2</v>
      </c>
      <c r="H22" s="9">
        <f t="shared" si="8"/>
        <v>-1.220052976864469E-3</v>
      </c>
      <c r="I22" s="11">
        <f t="shared" si="8"/>
        <v>-0.23070018714138063</v>
      </c>
      <c r="J22" s="11">
        <f t="shared" si="8"/>
        <v>-0.38075029276007655</v>
      </c>
      <c r="K22" s="11">
        <f t="shared" si="8"/>
        <v>-0.25508102097929236</v>
      </c>
      <c r="L22" s="11">
        <f t="shared" si="8"/>
        <v>7.4520171440564706E-2</v>
      </c>
      <c r="M22" s="11">
        <f t="shared" si="8"/>
        <v>-0.22145362166837648</v>
      </c>
      <c r="N22" s="11">
        <f t="shared" si="8"/>
        <v>-0.38096803373884747</v>
      </c>
      <c r="O22" s="11">
        <f t="shared" si="8"/>
        <v>4.6053299441272177E-2</v>
      </c>
      <c r="P22" s="11">
        <f t="shared" si="8"/>
        <v>7.2329486927997497E-2</v>
      </c>
      <c r="Q22" s="9">
        <f t="shared" si="8"/>
        <v>-2.4503837493083415E-2</v>
      </c>
    </row>
    <row r="23" spans="1:17" s="3" customFormat="1" ht="20.100000000000001" customHeight="1" x14ac:dyDescent="0.25">
      <c r="A23" s="6" t="s">
        <v>27</v>
      </c>
      <c r="B23" s="12">
        <f>(((B21/B6)^(1/5))-1)</f>
        <v>1.2532037175187583E-2</v>
      </c>
      <c r="C23" s="12">
        <f t="shared" ref="C23:P23" si="9">(((C21/C6)^(1/5))-1)</f>
        <v>3.5673155626273934E-2</v>
      </c>
      <c r="D23" s="12">
        <f t="shared" si="9"/>
        <v>4.6249024315940357E-2</v>
      </c>
      <c r="E23" s="12">
        <f t="shared" si="9"/>
        <v>9.0101803800564984E-2</v>
      </c>
      <c r="F23" s="12">
        <f t="shared" si="9"/>
        <v>7.6338989738290008E-2</v>
      </c>
      <c r="G23" s="12">
        <f t="shared" si="9"/>
        <v>3.0263815845811726E-2</v>
      </c>
      <c r="H23" s="12">
        <f t="shared" si="9"/>
        <v>4.4721723876764763E-2</v>
      </c>
      <c r="I23" s="12">
        <f t="shared" si="9"/>
        <v>-1.950014018972146E-2</v>
      </c>
      <c r="J23" s="12">
        <f t="shared" si="9"/>
        <v>-2.4395454726743426E-2</v>
      </c>
      <c r="K23" s="12">
        <f t="shared" si="9"/>
        <v>-2.0170010972377361E-2</v>
      </c>
      <c r="L23" s="12">
        <f t="shared" si="9"/>
        <v>9.0642680615545146E-2</v>
      </c>
      <c r="M23" s="12">
        <f t="shared" si="9"/>
        <v>-1.0006183851912764E-2</v>
      </c>
      <c r="N23" s="12">
        <f t="shared" si="9"/>
        <v>-4.7973919715620927E-2</v>
      </c>
      <c r="O23" s="12">
        <f t="shared" si="9"/>
        <v>8.1493310342892755E-2</v>
      </c>
      <c r="P23" s="12">
        <f t="shared" si="9"/>
        <v>2.4266096886149668E-2</v>
      </c>
      <c r="Q23" s="12">
        <f>(((Q21/Q6)^(1/5))-1)</f>
        <v>5.5871431877632549E-2</v>
      </c>
    </row>
    <row r="24" spans="1:17" s="3" customFormat="1" ht="20.100000000000001" customHeight="1" x14ac:dyDescent="0.25">
      <c r="A24" s="4" t="s">
        <v>25</v>
      </c>
      <c r="B24" s="1">
        <v>138804</v>
      </c>
      <c r="C24" s="1">
        <v>257633.3</v>
      </c>
      <c r="D24" s="1">
        <v>140467.47999999998</v>
      </c>
      <c r="E24" s="1">
        <v>16167421</v>
      </c>
      <c r="F24" s="1">
        <v>15043.655123</v>
      </c>
      <c r="G24" s="1">
        <v>18776.783440000003</v>
      </c>
      <c r="H24" s="8">
        <v>80.118382208917879</v>
      </c>
      <c r="I24" s="2">
        <v>75727.349999999991</v>
      </c>
      <c r="J24" s="2">
        <v>10232.280999999999</v>
      </c>
      <c r="K24" s="2">
        <v>85959.630999999994</v>
      </c>
      <c r="L24" s="2">
        <v>1461.58906</v>
      </c>
      <c r="M24" s="2">
        <v>91.069140000000004</v>
      </c>
      <c r="N24" s="2">
        <v>9.9227501000000018</v>
      </c>
      <c r="O24" s="2">
        <v>1562.5809501000003</v>
      </c>
      <c r="P24" s="2">
        <v>2119.1230499999997</v>
      </c>
      <c r="Q24" s="8">
        <v>73.737150379257145</v>
      </c>
    </row>
    <row r="25" spans="1:17" s="3" customFormat="1" ht="20.100000000000001" customHeight="1" x14ac:dyDescent="0.25">
      <c r="A25" s="5" t="s">
        <v>28</v>
      </c>
      <c r="B25" s="11">
        <f t="shared" ref="B25:Q25" si="10">(B24-B21)/B21</f>
        <v>0.11984767928744887</v>
      </c>
      <c r="C25" s="11">
        <f t="shared" si="10"/>
        <v>0.1500254437024604</v>
      </c>
      <c r="D25" s="11">
        <f t="shared" si="10"/>
        <v>0.13806507479993338</v>
      </c>
      <c r="E25" s="11">
        <f t="shared" si="10"/>
        <v>0.11726884878211399</v>
      </c>
      <c r="F25" s="11">
        <f t="shared" si="10"/>
        <v>0.11697732186984296</v>
      </c>
      <c r="G25" s="11">
        <f t="shared" si="10"/>
        <v>9.8621613476567171E-2</v>
      </c>
      <c r="H25" s="9">
        <f t="shared" si="10"/>
        <v>1.6707943998288455E-2</v>
      </c>
      <c r="I25" s="11">
        <f t="shared" si="10"/>
        <v>0.17507071541547164</v>
      </c>
      <c r="J25" s="11">
        <f t="shared" si="10"/>
        <v>1.6702900782776201E-2</v>
      </c>
      <c r="K25" s="11">
        <f t="shared" si="10"/>
        <v>0.1536794762412271</v>
      </c>
      <c r="L25" s="11">
        <f t="shared" si="10"/>
        <v>0.18017429292589296</v>
      </c>
      <c r="M25" s="11">
        <f t="shared" si="10"/>
        <v>0.19145332512421601</v>
      </c>
      <c r="N25" s="11">
        <f t="shared" si="10"/>
        <v>2.9105672928435907E-2</v>
      </c>
      <c r="O25" s="11">
        <f t="shared" si="10"/>
        <v>0.17972545152869868</v>
      </c>
      <c r="P25" s="11">
        <f t="shared" si="10"/>
        <v>0.10565207460590427</v>
      </c>
      <c r="Q25" s="9">
        <f t="shared" si="10"/>
        <v>6.6995195526763557E-2</v>
      </c>
    </row>
    <row r="26" spans="1:17" s="3" customFormat="1" ht="20.100000000000001" customHeight="1" x14ac:dyDescent="0.25">
      <c r="A26" s="6" t="s">
        <v>27</v>
      </c>
      <c r="B26" s="12">
        <f>(((B24/B6)^(1/6))-1)</f>
        <v>2.9675715687254023E-2</v>
      </c>
      <c r="C26" s="12">
        <f t="shared" ref="C26:P26" si="11">(((C24/C6)^(1/6))-1)</f>
        <v>5.3909957542020326E-2</v>
      </c>
      <c r="D26" s="12">
        <f t="shared" si="11"/>
        <v>6.1020408725115605E-2</v>
      </c>
      <c r="E26" s="12">
        <f t="shared" si="11"/>
        <v>9.4583331252700242E-2</v>
      </c>
      <c r="F26" s="12">
        <f t="shared" si="11"/>
        <v>8.3007888022352594E-2</v>
      </c>
      <c r="G26" s="12">
        <f t="shared" si="11"/>
        <v>4.1354014801165295E-2</v>
      </c>
      <c r="H26" s="12">
        <f t="shared" si="11"/>
        <v>3.9999724041147156E-2</v>
      </c>
      <c r="I26" s="12">
        <f t="shared" si="11"/>
        <v>1.053248815292207E-2</v>
      </c>
      <c r="J26" s="12">
        <f t="shared" si="11"/>
        <v>-1.7662953045420648E-2</v>
      </c>
      <c r="K26" s="12">
        <f t="shared" si="11"/>
        <v>6.8693807859157019E-3</v>
      </c>
      <c r="L26" s="12">
        <f t="shared" si="11"/>
        <v>0.10507842320929162</v>
      </c>
      <c r="M26" s="12">
        <f t="shared" si="11"/>
        <v>2.1033301742356514E-2</v>
      </c>
      <c r="N26" s="12">
        <f t="shared" si="11"/>
        <v>-3.5540414977623391E-2</v>
      </c>
      <c r="O26" s="12">
        <f t="shared" si="11"/>
        <v>9.7278044234593741E-2</v>
      </c>
      <c r="P26" s="12">
        <f t="shared" si="11"/>
        <v>3.7401995540333077E-2</v>
      </c>
      <c r="Q26" s="12">
        <f>(((Q24/Q6)^(1/6))-1)</f>
        <v>5.7717306262818679E-2</v>
      </c>
    </row>
    <row r="27" spans="1:17" s="3" customFormat="1" ht="20.100000000000001" customHeight="1" x14ac:dyDescent="0.25">
      <c r="A27" s="4" t="s">
        <v>29</v>
      </c>
      <c r="B27" s="1">
        <v>151166</v>
      </c>
      <c r="C27" s="1">
        <v>278153.0197</v>
      </c>
      <c r="D27" s="1">
        <v>154991.97700000001</v>
      </c>
      <c r="E27" s="1">
        <v>17270793</v>
      </c>
      <c r="F27" s="1">
        <v>15959.307127</v>
      </c>
      <c r="G27" s="1">
        <v>19916.717457000002</v>
      </c>
      <c r="H27" s="8">
        <v>80.130208009708369</v>
      </c>
      <c r="I27" s="2">
        <v>73554.079700000002</v>
      </c>
      <c r="J27" s="2">
        <v>8777.3349999999991</v>
      </c>
      <c r="K27" s="2">
        <v>82331.414700000008</v>
      </c>
      <c r="L27" s="2">
        <v>1558.043200133</v>
      </c>
      <c r="M27" s="2">
        <v>85.222749143000001</v>
      </c>
      <c r="N27" s="2">
        <v>8.8528913659999997</v>
      </c>
      <c r="O27" s="2">
        <v>1652.1184300420002</v>
      </c>
      <c r="P27" s="2">
        <v>2177.3133048260001</v>
      </c>
      <c r="Q27" s="8">
        <v>75.878764272467862</v>
      </c>
    </row>
    <row r="28" spans="1:17" s="3" customFormat="1" ht="20.100000000000001" customHeight="1" x14ac:dyDescent="0.25">
      <c r="A28" s="5" t="s">
        <v>28</v>
      </c>
      <c r="B28" s="11">
        <f t="shared" ref="B28:Q28" si="12">(B27-B24)/B24</f>
        <v>8.9060833981729634E-2</v>
      </c>
      <c r="C28" s="11">
        <f t="shared" si="12"/>
        <v>7.9647000989390801E-2</v>
      </c>
      <c r="D28" s="11">
        <f t="shared" si="12"/>
        <v>0.10340113597823521</v>
      </c>
      <c r="E28" s="11">
        <f t="shared" si="12"/>
        <v>6.8246630059302593E-2</v>
      </c>
      <c r="F28" s="11">
        <f t="shared" si="12"/>
        <v>6.086632513929903E-2</v>
      </c>
      <c r="G28" s="11">
        <f t="shared" si="12"/>
        <v>6.0709760041840234E-2</v>
      </c>
      <c r="H28" s="9">
        <f t="shared" si="12"/>
        <v>1.476040886553695E-4</v>
      </c>
      <c r="I28" s="11">
        <f t="shared" si="12"/>
        <v>-2.8698618134663231E-2</v>
      </c>
      <c r="J28" s="11">
        <f t="shared" si="12"/>
        <v>-0.1421917556798919</v>
      </c>
      <c r="K28" s="11">
        <f t="shared" si="12"/>
        <v>-4.2208374533389818E-2</v>
      </c>
      <c r="L28" s="11">
        <f t="shared" si="12"/>
        <v>6.5992653320078906E-2</v>
      </c>
      <c r="M28" s="11">
        <f t="shared" si="12"/>
        <v>-6.4197277551978668E-2</v>
      </c>
      <c r="N28" s="11">
        <f t="shared" si="12"/>
        <v>-0.10781877233812448</v>
      </c>
      <c r="O28" s="11">
        <f t="shared" si="12"/>
        <v>5.7301018508045788E-2</v>
      </c>
      <c r="P28" s="11">
        <f t="shared" si="12"/>
        <v>2.7459592224245998E-2</v>
      </c>
      <c r="Q28" s="9">
        <f t="shared" si="12"/>
        <v>2.9043892830081085E-2</v>
      </c>
    </row>
    <row r="29" spans="1:17" s="3" customFormat="1" ht="20.100000000000001" customHeight="1" x14ac:dyDescent="0.25">
      <c r="A29" s="6" t="s">
        <v>27</v>
      </c>
      <c r="B29" s="12">
        <f>(((B27/B6)^(1/7))-1)</f>
        <v>3.7956804174576808E-2</v>
      </c>
      <c r="C29" s="12">
        <f t="shared" ref="C29:P29" si="13">(((C27/C6)^(1/7))-1)</f>
        <v>5.7548769453516391E-2</v>
      </c>
      <c r="D29" s="12">
        <f t="shared" si="13"/>
        <v>6.6973647564134486E-2</v>
      </c>
      <c r="E29" s="12">
        <f t="shared" si="13"/>
        <v>9.0781560285823071E-2</v>
      </c>
      <c r="F29" s="12">
        <f t="shared" si="13"/>
        <v>7.9816736950709233E-2</v>
      </c>
      <c r="G29" s="12">
        <f t="shared" si="13"/>
        <v>4.4097344836089292E-2</v>
      </c>
      <c r="H29" s="12">
        <f t="shared" si="13"/>
        <v>3.4210787232896722E-2</v>
      </c>
      <c r="I29" s="12">
        <f t="shared" si="13"/>
        <v>4.832492096864538E-3</v>
      </c>
      <c r="J29" s="12">
        <f t="shared" si="13"/>
        <v>-3.6502750804253692E-2</v>
      </c>
      <c r="K29" s="12">
        <f t="shared" si="13"/>
        <v>-2.9276714887294109E-4</v>
      </c>
      <c r="L29" s="12">
        <f t="shared" si="13"/>
        <v>9.9408201692514853E-2</v>
      </c>
      <c r="M29" s="12">
        <f t="shared" si="13"/>
        <v>8.3979726839358282E-3</v>
      </c>
      <c r="N29" s="12">
        <f t="shared" si="13"/>
        <v>-4.6213787130494621E-2</v>
      </c>
      <c r="O29" s="12">
        <f t="shared" si="13"/>
        <v>9.1475803350594243E-2</v>
      </c>
      <c r="P29" s="12">
        <f t="shared" si="13"/>
        <v>3.597578343346175E-2</v>
      </c>
      <c r="Q29" s="12">
        <f>(((Q27/Q6)^(1/7))-1)</f>
        <v>5.3572700061764511E-2</v>
      </c>
    </row>
    <row r="30" spans="1:17" s="3" customFormat="1" ht="20.100000000000001" customHeight="1" x14ac:dyDescent="0.25">
      <c r="A30" s="7" t="s">
        <v>31</v>
      </c>
      <c r="B30" s="1">
        <v>156105</v>
      </c>
      <c r="C30" s="1">
        <v>289455.78333333344</v>
      </c>
      <c r="D30" s="1">
        <v>158591.92199999999</v>
      </c>
      <c r="E30" s="1">
        <v>17232403</v>
      </c>
      <c r="F30" s="1">
        <v>15942.655994999997</v>
      </c>
      <c r="G30" s="1">
        <v>20540.510676000002</v>
      </c>
      <c r="H30" s="8">
        <v>77.615674928801837</v>
      </c>
      <c r="I30" s="13">
        <v>75419.347200000004</v>
      </c>
      <c r="J30" s="2">
        <v>8431.873999999998</v>
      </c>
      <c r="K30" s="2">
        <v>83851.225199999986</v>
      </c>
      <c r="L30" s="2">
        <v>1473.4478855480002</v>
      </c>
      <c r="M30" s="2">
        <v>87.713625037200032</v>
      </c>
      <c r="N30" s="2">
        <v>7.8821858019999969</v>
      </c>
      <c r="O30" s="2">
        <v>1569.0436963872003</v>
      </c>
      <c r="P30" s="2">
        <v>2194.8333474479996</v>
      </c>
      <c r="Q30" s="8">
        <v>71.488056175726314</v>
      </c>
    </row>
    <row r="31" spans="1:17" s="3" customFormat="1" ht="20.100000000000001" customHeight="1" x14ac:dyDescent="0.25">
      <c r="A31" s="5" t="s">
        <v>28</v>
      </c>
      <c r="B31" s="11">
        <f>(B30-B27)/B27</f>
        <v>3.2672690949022927E-2</v>
      </c>
      <c r="C31" s="11">
        <f t="shared" ref="C31:Q31" si="14">(C30-C27)/C27</f>
        <v>4.0635056364025653E-2</v>
      </c>
      <c r="D31" s="11">
        <f t="shared" si="14"/>
        <v>2.3226653854476465E-2</v>
      </c>
      <c r="E31" s="11">
        <f t="shared" si="14"/>
        <v>-2.2228278689924662E-3</v>
      </c>
      <c r="F31" s="11">
        <f t="shared" si="14"/>
        <v>-1.0433493050479778E-3</v>
      </c>
      <c r="G31" s="11">
        <f t="shared" si="14"/>
        <v>3.1320081752766876E-2</v>
      </c>
      <c r="H31" s="9">
        <f t="shared" si="14"/>
        <v>-3.1380588461743131E-2</v>
      </c>
      <c r="I31" s="11">
        <f t="shared" si="14"/>
        <v>2.535913041951909E-2</v>
      </c>
      <c r="J31" s="11">
        <f t="shared" si="14"/>
        <v>-3.9358301808009061E-2</v>
      </c>
      <c r="K31" s="11">
        <f t="shared" si="14"/>
        <v>1.8459667012134768E-2</v>
      </c>
      <c r="L31" s="11">
        <f t="shared" si="14"/>
        <v>-5.42958722696383E-2</v>
      </c>
      <c r="M31" s="11">
        <f t="shared" si="14"/>
        <v>2.9227828475944267E-2</v>
      </c>
      <c r="N31" s="11">
        <f t="shared" si="14"/>
        <v>-0.10964842150080473</v>
      </c>
      <c r="O31" s="11">
        <f t="shared" si="14"/>
        <v>-5.0283764253321733E-2</v>
      </c>
      <c r="P31" s="11">
        <f t="shared" si="14"/>
        <v>8.0466337036412643E-3</v>
      </c>
      <c r="Q31" s="9">
        <f t="shared" si="14"/>
        <v>-5.7864781257839872E-2</v>
      </c>
    </row>
    <row r="32" spans="1:17" s="3" customFormat="1" ht="20.100000000000001" customHeight="1" x14ac:dyDescent="0.25">
      <c r="A32" s="6" t="s">
        <v>27</v>
      </c>
      <c r="B32" s="12">
        <f>(((B30/B6)^(1/8))-1)</f>
        <v>3.7294814186658254E-2</v>
      </c>
      <c r="C32" s="12">
        <f t="shared" ref="C32:Q32" si="15">(((C30/C6)^(1/8))-1)</f>
        <v>5.5419612407065388E-2</v>
      </c>
      <c r="D32" s="12">
        <f t="shared" si="15"/>
        <v>6.1404591815273024E-2</v>
      </c>
      <c r="E32" s="12">
        <f t="shared" si="15"/>
        <v>7.8697716985146604E-2</v>
      </c>
      <c r="F32" s="12">
        <f t="shared" si="15"/>
        <v>6.9361706657246724E-2</v>
      </c>
      <c r="G32" s="12">
        <f t="shared" si="15"/>
        <v>4.2491569851480504E-2</v>
      </c>
      <c r="H32" s="12">
        <f t="shared" si="15"/>
        <v>2.5774919992489265E-2</v>
      </c>
      <c r="I32" s="12">
        <f t="shared" si="15"/>
        <v>7.3756790575016939E-3</v>
      </c>
      <c r="J32" s="12">
        <f t="shared" si="15"/>
        <v>-3.6860158364527384E-2</v>
      </c>
      <c r="K32" s="12">
        <f t="shared" si="15"/>
        <v>2.0322729512038951E-3</v>
      </c>
      <c r="L32" s="12">
        <f t="shared" si="15"/>
        <v>7.8905759608817849E-2</v>
      </c>
      <c r="M32" s="12">
        <f t="shared" si="15"/>
        <v>1.0978473638068476E-2</v>
      </c>
      <c r="N32" s="12">
        <f t="shared" si="15"/>
        <v>-5.4383912937482792E-2</v>
      </c>
      <c r="O32" s="12">
        <f t="shared" si="15"/>
        <v>7.2658753381539709E-2</v>
      </c>
      <c r="P32" s="12">
        <f t="shared" si="15"/>
        <v>3.2442755250234212E-2</v>
      </c>
      <c r="Q32" s="12">
        <f t="shared" si="15"/>
        <v>3.895227888112629E-2</v>
      </c>
    </row>
    <row r="33" spans="1:17" s="3" customFormat="1" ht="20.100000000000001" customHeight="1" x14ac:dyDescent="0.25">
      <c r="A33" s="7" t="s">
        <v>32</v>
      </c>
      <c r="B33" s="1">
        <v>62252</v>
      </c>
      <c r="C33" s="1">
        <v>121232.73333333332</v>
      </c>
      <c r="D33" s="1">
        <v>69956.760182795697</v>
      </c>
      <c r="E33" s="1">
        <v>5509642</v>
      </c>
      <c r="F33" s="1">
        <v>5497.7717139999995</v>
      </c>
      <c r="G33" s="1">
        <v>8577.0096410000006</v>
      </c>
      <c r="H33" s="8">
        <v>64.098933592419399</v>
      </c>
      <c r="I33" s="13">
        <v>36117.980899999995</v>
      </c>
      <c r="J33" s="2">
        <v>12.319000000000003</v>
      </c>
      <c r="K33" s="2">
        <v>36130.299899999998</v>
      </c>
      <c r="L33" s="2">
        <v>511.727341696</v>
      </c>
      <c r="M33" s="2">
        <v>46.687557515800002</v>
      </c>
      <c r="N33" s="2">
        <v>8.6037000000000023E-3</v>
      </c>
      <c r="O33" s="2">
        <v>558.42350291179991</v>
      </c>
      <c r="P33" s="2">
        <v>897.0051353340001</v>
      </c>
      <c r="Q33" s="8">
        <v>62.254214710138847</v>
      </c>
    </row>
    <row r="34" spans="1:17" s="3" customFormat="1" ht="20.100000000000001" customHeight="1" x14ac:dyDescent="0.25">
      <c r="A34" s="5" t="s">
        <v>26</v>
      </c>
      <c r="B34" s="11">
        <f>(B33-B30)/B30</f>
        <v>-0.60121712949617245</v>
      </c>
      <c r="C34" s="11">
        <f t="shared" ref="C34:Q34" si="16">(C33-C30)/C30</f>
        <v>-0.58117011193477064</v>
      </c>
      <c r="D34" s="11">
        <f t="shared" si="16"/>
        <v>-0.55888825041923829</v>
      </c>
      <c r="E34" s="11">
        <f t="shared" si="16"/>
        <v>-0.68027430649109122</v>
      </c>
      <c r="F34" s="11">
        <f t="shared" si="16"/>
        <v>-0.65515333732821979</v>
      </c>
      <c r="G34" s="11">
        <f>(G33-G30)/G30</f>
        <v>-0.58243444983957615</v>
      </c>
      <c r="H34" s="9">
        <f t="shared" si="16"/>
        <v>-0.17414963341852754</v>
      </c>
      <c r="I34" s="11">
        <f t="shared" si="16"/>
        <v>-0.52110456744976985</v>
      </c>
      <c r="J34" s="11">
        <f t="shared" si="16"/>
        <v>-0.99853899619467756</v>
      </c>
      <c r="K34" s="11">
        <f t="shared" si="16"/>
        <v>-0.56911422804111866</v>
      </c>
      <c r="L34" s="11">
        <f t="shared" si="16"/>
        <v>-0.65270075262575034</v>
      </c>
      <c r="M34" s="11">
        <f t="shared" si="16"/>
        <v>-0.46772741981648297</v>
      </c>
      <c r="N34" s="11">
        <f t="shared" si="16"/>
        <v>-0.99890846267569366</v>
      </c>
      <c r="O34" s="11">
        <f t="shared" si="16"/>
        <v>-0.64409945739714114</v>
      </c>
      <c r="P34" s="11">
        <f t="shared" si="16"/>
        <v>-0.59131059477614756</v>
      </c>
      <c r="Q34" s="9">
        <f t="shared" si="16"/>
        <v>-0.12916621264522238</v>
      </c>
    </row>
    <row r="35" spans="1:17" s="3" customFormat="1" ht="20.100000000000001" customHeight="1" x14ac:dyDescent="0.25">
      <c r="A35" s="6" t="s">
        <v>27</v>
      </c>
      <c r="B35" s="12">
        <f>(((B33/B6)^(1/9))-1)</f>
        <v>-6.7234051874794143E-2</v>
      </c>
      <c r="C35" s="12">
        <f t="shared" ref="C35:Q35" si="17">(((C33/C6)^(1/9))-1)</f>
        <v>-4.7584291556418634E-2</v>
      </c>
      <c r="D35" s="12">
        <f t="shared" si="17"/>
        <v>-3.725626191149789E-2</v>
      </c>
      <c r="E35" s="12">
        <f t="shared" si="17"/>
        <v>-5.7634208106260187E-2</v>
      </c>
      <c r="F35" s="12">
        <f t="shared" si="17"/>
        <v>-5.6995701220652562E-2</v>
      </c>
      <c r="G35" s="12">
        <f t="shared" si="17"/>
        <v>-5.8277848545797317E-2</v>
      </c>
      <c r="H35" s="12">
        <f t="shared" si="17"/>
        <v>1.3614921589821805E-3</v>
      </c>
      <c r="I35" s="12">
        <f t="shared" si="17"/>
        <v>-7.2512547399315896E-2</v>
      </c>
      <c r="J35" s="12">
        <f t="shared" si="17"/>
        <v>-0.53176604550324924</v>
      </c>
      <c r="K35" s="12">
        <f t="shared" si="17"/>
        <v>-8.765874366115034E-2</v>
      </c>
      <c r="L35" s="12">
        <f t="shared" si="17"/>
        <v>-4.8769492212892396E-2</v>
      </c>
      <c r="M35" s="12">
        <f t="shared" si="17"/>
        <v>-5.8575525441626253E-2</v>
      </c>
      <c r="N35" s="12">
        <f t="shared" si="17"/>
        <v>-0.55402924692394673</v>
      </c>
      <c r="O35" s="12">
        <f t="shared" si="17"/>
        <v>-5.1090949614002512E-2</v>
      </c>
      <c r="P35" s="12">
        <f t="shared" si="17"/>
        <v>-6.8577331961167887E-2</v>
      </c>
      <c r="Q35" s="12">
        <f t="shared" si="17"/>
        <v>1.8773842367379778E-2</v>
      </c>
    </row>
    <row r="36" spans="1:17" s="3" customFormat="1" ht="20.100000000000001" customHeight="1" x14ac:dyDescent="0.25">
      <c r="A36" s="7" t="s">
        <v>33</v>
      </c>
      <c r="B36" s="1">
        <v>91283</v>
      </c>
      <c r="C36" s="1">
        <v>158423.79333333331</v>
      </c>
      <c r="D36" s="1">
        <v>95440.546000000017</v>
      </c>
      <c r="E36" s="1">
        <v>7470627</v>
      </c>
      <c r="F36" s="1">
        <v>7143.8913669999993</v>
      </c>
      <c r="G36" s="1">
        <v>11010.593387999999</v>
      </c>
      <c r="H36" s="8">
        <v>64.881983334211924</v>
      </c>
      <c r="I36" s="13">
        <v>56937.548300000024</v>
      </c>
      <c r="J36" s="2">
        <v>15.180374316931639</v>
      </c>
      <c r="K36" s="2">
        <v>56952.728674316946</v>
      </c>
      <c r="L36" s="2">
        <v>656.66978298799995</v>
      </c>
      <c r="M36" s="2">
        <v>71.014558174100003</v>
      </c>
      <c r="N36" s="2">
        <v>7.2178894703319833E-3</v>
      </c>
      <c r="O36" s="2">
        <v>727.69155905157027</v>
      </c>
      <c r="P36" s="2">
        <v>1164.4830917119998</v>
      </c>
      <c r="Q36" s="8">
        <v>62.49052169419933</v>
      </c>
    </row>
    <row r="37" spans="1:17" s="3" customFormat="1" ht="20.100000000000001" customHeight="1" x14ac:dyDescent="0.25">
      <c r="A37" s="5" t="s">
        <v>26</v>
      </c>
      <c r="B37" s="9">
        <f t="shared" ref="B37:G37" si="18">(B36-B33)/B33</f>
        <v>0.46634646276424851</v>
      </c>
      <c r="C37" s="9">
        <f t="shared" si="18"/>
        <v>0.30677407806802443</v>
      </c>
      <c r="D37" s="9">
        <f t="shared" si="18"/>
        <v>0.36427910255728918</v>
      </c>
      <c r="E37" s="9">
        <f t="shared" si="18"/>
        <v>0.35591876931386829</v>
      </c>
      <c r="F37" s="9">
        <f t="shared" si="18"/>
        <v>0.29941578854723611</v>
      </c>
      <c r="G37" s="9">
        <f t="shared" si="18"/>
        <v>0.28373335799541732</v>
      </c>
      <c r="H37" s="9">
        <f t="shared" ref="H37:Q37" si="19">(H36-H33)/H33</f>
        <v>1.2216267851999507E-2</v>
      </c>
      <c r="I37" s="9">
        <f t="shared" si="19"/>
        <v>0.57643220582134014</v>
      </c>
      <c r="J37" s="9">
        <f t="shared" si="19"/>
        <v>0.23227326219105734</v>
      </c>
      <c r="K37" s="9">
        <f t="shared" si="19"/>
        <v>0.57631486126460163</v>
      </c>
      <c r="L37" s="9">
        <f t="shared" si="19"/>
        <v>0.28324154189538181</v>
      </c>
      <c r="M37" s="9">
        <f t="shared" si="19"/>
        <v>0.52105961315425975</v>
      </c>
      <c r="N37" s="9">
        <f t="shared" si="19"/>
        <v>-0.16107146107698067</v>
      </c>
      <c r="O37" s="9">
        <f t="shared" si="19"/>
        <v>0.30311771488333178</v>
      </c>
      <c r="P37" s="9">
        <f t="shared" si="19"/>
        <v>0.29818999450700384</v>
      </c>
      <c r="Q37" s="9">
        <f t="shared" si="19"/>
        <v>3.7958391276919959E-3</v>
      </c>
    </row>
    <row r="38" spans="1:17" s="3" customFormat="1" ht="20.100000000000001" customHeight="1" x14ac:dyDescent="0.25">
      <c r="A38" s="6" t="s">
        <v>27</v>
      </c>
      <c r="B38" s="12">
        <f>(((B36/B9)^(1/9))-1)</f>
        <v>-1.5539903551097023E-2</v>
      </c>
      <c r="C38" s="12">
        <f t="shared" ref="C38:Q38" si="20">(((C36/C9)^(1/9))-1)</f>
        <v>-1.1623844093711089E-2</v>
      </c>
      <c r="D38" s="12">
        <f t="shared" si="20"/>
        <v>-6.1299098715600353E-3</v>
      </c>
      <c r="E38" s="12">
        <f t="shared" si="20"/>
        <v>-3.501759372289337E-2</v>
      </c>
      <c r="F38" s="12">
        <f t="shared" si="20"/>
        <v>-3.9230225538397612E-2</v>
      </c>
      <c r="G38" s="12">
        <f t="shared" si="20"/>
        <v>-3.3697600195491284E-2</v>
      </c>
      <c r="H38" s="12">
        <f t="shared" si="20"/>
        <v>-5.7255630784167622E-3</v>
      </c>
      <c r="I38" s="12">
        <f t="shared" si="20"/>
        <v>-1.8975640382189018E-2</v>
      </c>
      <c r="J38" s="12">
        <f t="shared" si="20"/>
        <v>-0.19076284966216794</v>
      </c>
      <c r="K38" s="12">
        <f t="shared" si="20"/>
        <v>-1.9110794597594793E-2</v>
      </c>
      <c r="L38" s="12">
        <f t="shared" si="20"/>
        <v>-3.9247083479865275E-2</v>
      </c>
      <c r="M38" s="12">
        <f t="shared" si="20"/>
        <v>-9.5880642050930609E-3</v>
      </c>
      <c r="N38" s="12">
        <f t="shared" si="20"/>
        <v>-0.56724104201187231</v>
      </c>
      <c r="O38" s="12">
        <f t="shared" si="20"/>
        <v>-3.813287173427804E-2</v>
      </c>
      <c r="P38" s="12">
        <f t="shared" si="20"/>
        <v>-4.4208592362841581E-2</v>
      </c>
      <c r="Q38" s="12">
        <f t="shared" si="20"/>
        <v>6.3567433019549036E-3</v>
      </c>
    </row>
    <row r="39" spans="1:17" x14ac:dyDescent="0.25">
      <c r="A39" s="19" t="s">
        <v>30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27.75" customHeight="1" x14ac:dyDescent="0.25">
      <c r="A40" s="15" t="s">
        <v>34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2020-06-11T11:04:18Z</cp:lastPrinted>
  <dcterms:created xsi:type="dcterms:W3CDTF">2018-10-29T04:00:14Z</dcterms:created>
  <dcterms:modified xsi:type="dcterms:W3CDTF">2022-12-15T07:21:36Z</dcterms:modified>
</cp:coreProperties>
</file>