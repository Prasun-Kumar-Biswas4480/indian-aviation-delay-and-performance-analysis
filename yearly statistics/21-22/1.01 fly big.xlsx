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ndeep Verma\Desktop\Nitin Soni, JSO\ICAO B  C 2022\"/>
    </mc:Choice>
  </mc:AlternateContent>
  <bookViews>
    <workbookView xWindow="0" yWindow="0" windowWidth="24000" windowHeight="9435"/>
  </bookViews>
  <sheets>
    <sheet name="AIR HERIATGE" sheetId="4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7" i="4" l="1"/>
  <c r="Q16" i="4"/>
  <c r="Q15" i="4"/>
  <c r="H17" i="4"/>
  <c r="H16" i="4"/>
  <c r="H15" i="4"/>
  <c r="P18" i="4"/>
  <c r="O18" i="4"/>
  <c r="Q18" i="4" s="1"/>
  <c r="N18" i="4"/>
  <c r="M18" i="4"/>
  <c r="L18" i="4"/>
  <c r="K18" i="4"/>
  <c r="J18" i="4"/>
  <c r="I18" i="4"/>
  <c r="G18" i="4"/>
  <c r="F18" i="4"/>
  <c r="H18" i="4" s="1"/>
  <c r="E18" i="4"/>
  <c r="D18" i="4"/>
  <c r="C18" i="4"/>
  <c r="B18" i="4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<sst xmlns="http://schemas.openxmlformats.org/spreadsheetml/2006/main" count="26" uniqueCount="24">
  <si>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</si>
  <si>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</si>
  <si>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</si>
  <si>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</si>
  <si>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</si>
  <si>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</si>
  <si>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</si>
  <si>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</si>
  <si>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</si>
  <si>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</si>
  <si>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</si>
  <si>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</si>
  <si>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</si>
  <si>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</si>
  <si>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</si>
  <si>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</si>
  <si>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</si>
  <si>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</si>
  <si>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</si>
  <si>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2020-21</t>
  </si>
  <si>
    <t>Table 1.01 (FLY BIG)</t>
  </si>
  <si>
    <t>MONTHLY TRAFFIC AND OPERATING STATISTICS OF FLY BIG ON SCHEDULED DOMESTIC SERVICES DURING 2020-21</t>
  </si>
  <si>
    <t>SOURCE:-  ICAO ATR FORM 'A' FURNISHED BY FLY BIG</t>
  </si>
  <si>
    <t xml:space="preserve">तालिका 1.01 (फ्लाई बिग)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</si>
</sst>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-1010409]mmmm/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5">
    <xf numFmtId="0" fontId="0" fillId="0" borderId="0" xfId="0"/>
    <xf numFmtId="0" fontId="4" fillId="4" borderId="1" xfId="3" applyFont="1" applyBorder="1" applyAlignment="1" applyProtection="1">
      <alignment horizontal="center" vertical="center" wrapText="1"/>
    </xf>
    <xf numFmtId="164" fontId="3" fillId="4" borderId="1" xfId="3" applyNumberFormat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0" fontId="2" fillId="3" borderId="1" xfId="2" applyFont="1" applyBorder="1" applyAlignment="1" applyProtection="1">
      <alignment horizontal="center" vertical="center" textRotation="90" wrapText="1"/>
    </xf>
    <xf numFmtId="165" fontId="4" fillId="4" borderId="1" xfId="3" applyNumberFormat="1" applyFont="1" applyBorder="1" applyAlignment="1" applyProtection="1">
      <alignment horizontal="right" vertical="center" wrapText="1"/>
    </xf>
    <xf numFmtId="43" fontId="0" fillId="0" borderId="1" xfId="1" applyNumberFormat="1" applyFont="1" applyBorder="1" applyAlignment="1">
      <alignment horizontal="right" vertical="center"/>
    </xf>
    <xf numFmtId="43" fontId="3" fillId="4" borderId="1" xfId="3" applyNumberFormat="1" applyBorder="1" applyAlignment="1">
      <alignment horizontal="right" vertical="center"/>
    </xf>
    <xf numFmtId="43" fontId="4" fillId="4" borderId="1" xfId="3" applyNumberFormat="1" applyFont="1" applyBorder="1" applyAlignment="1" applyProtection="1">
      <alignment horizontal="right" vertical="center" wrapText="1"/>
    </xf>
    <xf numFmtId="43" fontId="4" fillId="4" borderId="1" xfId="3" applyNumberFormat="1" applyFont="1" applyBorder="1" applyAlignment="1" applyProtection="1">
      <alignment vertical="center" wrapText="1"/>
    </xf>
    <xf numFmtId="166" fontId="3" fillId="4" borderId="1" xfId="3" applyNumberFormat="1" applyFont="1" applyBorder="1" applyAlignment="1" applyProtection="1">
      <alignment horizontal="center" vertical="center" wrapText="1"/>
    </xf>
    <xf numFmtId="166" fontId="2" fillId="2" borderId="1" xfId="0" applyNumberFormat="1" applyFont="1" applyFill="1" applyBorder="1" applyAlignment="1" applyProtection="1">
      <alignment horizontal="center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view="pageBreakPreview" topLeftCell="A6" zoomScale="130" zoomScaleNormal="100" zoomScaleSheetLayoutView="130" workbookViewId="0">
      <selection activeCell="E17" sqref="E17"/>
    </sheetView>
  </sheetViews>
  <sheetFormatPr defaultRowHeight="15" x14ac:dyDescent="0.25"/>
  <cols>
    <col min="1" max="1" width="14" bestFit="1" customWidth="1"/>
    <col min="2" max="2" width="6.85546875" customWidth="1"/>
    <col min="3" max="3" width="6.7109375" customWidth="1"/>
    <col min="4" max="4" width="7.140625" customWidth="1"/>
    <col min="5" max="5" width="9.7109375" customWidth="1"/>
    <col min="6" max="6" width="8" customWidth="1"/>
    <col min="7" max="7" width="8.28515625" customWidth="1"/>
    <col min="8" max="8" width="9.42578125" customWidth="1"/>
    <col min="9" max="9" width="7.140625" customWidth="1"/>
    <col min="10" max="10" width="6.7109375" customWidth="1"/>
    <col min="11" max="11" width="7.5703125" customWidth="1"/>
    <col min="12" max="12" width="7.42578125" customWidth="1"/>
    <col min="13" max="14" width="7.7109375" customWidth="1"/>
    <col min="15" max="15" width="7.140625" customWidth="1"/>
    <col min="16" max="17" width="8.28515625" customWidth="1"/>
  </cols>
  <sheetData>
    <row r="1" spans="1:17" x14ac:dyDescent="0.25">
      <c r="A1" s="20" t="s">
        <v>23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x14ac:dyDescent="0.25">
      <c r="A2" s="21" t="s">
        <v>20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x14ac:dyDescent="0.25">
      <c r="A3" s="23" t="s">
        <v>21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ht="28.15" customHeight="1" x14ac:dyDescent="0.25">
      <c r="A4" s="23" t="s">
        <v>0</v>
      </c>
      <c r="B4" s="23" t="s">
        <v>1</v>
      </c>
      <c r="C4" s="23"/>
      <c r="D4" s="23"/>
      <c r="E4" s="23" t="s">
        <v>2</v>
      </c>
      <c r="F4" s="24"/>
      <c r="G4" s="15" t="s">
        <v>3</v>
      </c>
      <c r="H4" s="15" t="s">
        <v>4</v>
      </c>
      <c r="I4" s="23" t="s">
        <v>5</v>
      </c>
      <c r="J4" s="23"/>
      <c r="K4" s="23"/>
      <c r="L4" s="23" t="s">
        <v>6</v>
      </c>
      <c r="M4" s="23"/>
      <c r="N4" s="23"/>
      <c r="O4" s="23"/>
      <c r="P4" s="15" t="s">
        <v>7</v>
      </c>
      <c r="Q4" s="15" t="s">
        <v>8</v>
      </c>
    </row>
    <row r="5" spans="1:17" ht="120.75" customHeight="1" x14ac:dyDescent="0.25">
      <c r="A5" s="23"/>
      <c r="B5" s="7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16"/>
      <c r="H5" s="16"/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15</v>
      </c>
      <c r="O5" s="7" t="s">
        <v>16</v>
      </c>
      <c r="P5" s="16"/>
      <c r="Q5" s="16"/>
    </row>
    <row r="6" spans="1:17" x14ac:dyDescent="0.25">
      <c r="A6" s="13">
        <v>43922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</row>
    <row r="7" spans="1:17" x14ac:dyDescent="0.25">
      <c r="A7" s="14">
        <v>43952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</row>
    <row r="8" spans="1:17" x14ac:dyDescent="0.25">
      <c r="A8" s="13">
        <v>43983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</row>
    <row r="9" spans="1:17" x14ac:dyDescent="0.25">
      <c r="A9" s="14">
        <v>44013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</row>
    <row r="10" spans="1:17" x14ac:dyDescent="0.25">
      <c r="A10" s="13">
        <v>44044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spans="1:17" ht="30" x14ac:dyDescent="0.25">
      <c r="A11" s="14">
        <v>44075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</row>
    <row r="12" spans="1:17" x14ac:dyDescent="0.25">
      <c r="A12" s="13">
        <v>44105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spans="1:17" ht="30" x14ac:dyDescent="0.25">
      <c r="A13" s="14">
        <v>44136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</row>
    <row r="14" spans="1:17" ht="30" x14ac:dyDescent="0.25">
      <c r="A14" s="13">
        <v>44166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spans="1:17" x14ac:dyDescent="0.25">
      <c r="A15" s="14">
        <v>44197</v>
      </c>
      <c r="B15" s="3">
        <v>56</v>
      </c>
      <c r="C15" s="3">
        <v>67</v>
      </c>
      <c r="D15" s="3">
        <v>1.9279999999999999</v>
      </c>
      <c r="E15" s="3">
        <v>1717</v>
      </c>
      <c r="F15" s="6">
        <v>0.7772</v>
      </c>
      <c r="G15" s="9">
        <v>1.8095000000000001</v>
      </c>
      <c r="H15" s="9">
        <f t="shared" ref="H15:H17" si="0">F15/G15*100</f>
        <v>42.95109146172976</v>
      </c>
      <c r="I15" s="9">
        <v>0</v>
      </c>
      <c r="J15" s="9">
        <v>0</v>
      </c>
      <c r="K15" s="9">
        <v>0</v>
      </c>
      <c r="L15" s="9">
        <v>5.8290000000000002E-2</v>
      </c>
      <c r="M15" s="9">
        <v>0</v>
      </c>
      <c r="N15" s="9">
        <v>0</v>
      </c>
      <c r="O15" s="9">
        <v>5.8290000000000002E-2</v>
      </c>
      <c r="P15" s="9">
        <v>0.55209000000000008</v>
      </c>
      <c r="Q15" s="9">
        <f t="shared" ref="Q15:Q17" si="1">O15/P15*100</f>
        <v>10.558061185676246</v>
      </c>
    </row>
    <row r="16" spans="1:17" x14ac:dyDescent="0.25">
      <c r="A16" s="13">
        <v>44228</v>
      </c>
      <c r="B16" s="2">
        <v>80</v>
      </c>
      <c r="C16" s="2">
        <v>103</v>
      </c>
      <c r="D16" s="2">
        <v>38.56</v>
      </c>
      <c r="E16" s="2">
        <v>2921</v>
      </c>
      <c r="F16" s="5">
        <v>1.4125699999999999</v>
      </c>
      <c r="G16" s="10">
        <v>2.7763200000000001</v>
      </c>
      <c r="H16" s="10">
        <f t="shared" si="0"/>
        <v>50.879221415398789</v>
      </c>
      <c r="I16" s="10">
        <v>0</v>
      </c>
      <c r="J16" s="10">
        <v>0</v>
      </c>
      <c r="K16" s="10">
        <v>0</v>
      </c>
      <c r="L16" s="10">
        <v>0.10593999999999999</v>
      </c>
      <c r="M16" s="10">
        <v>0</v>
      </c>
      <c r="N16" s="10">
        <v>0</v>
      </c>
      <c r="O16" s="10">
        <v>0.10593999999999999</v>
      </c>
      <c r="P16" s="10">
        <v>0.84821000000000002</v>
      </c>
      <c r="Q16" s="10">
        <f t="shared" si="1"/>
        <v>12.489831527569823</v>
      </c>
    </row>
    <row r="17" spans="1:17" x14ac:dyDescent="0.25">
      <c r="A17" s="14">
        <v>44256</v>
      </c>
      <c r="B17" s="3">
        <v>90</v>
      </c>
      <c r="C17" s="3">
        <v>119</v>
      </c>
      <c r="D17" s="3">
        <v>43.69</v>
      </c>
      <c r="E17" s="3">
        <v>2600</v>
      </c>
      <c r="F17" s="6">
        <v>1.278</v>
      </c>
      <c r="G17" s="9">
        <v>3.14568</v>
      </c>
      <c r="H17" s="9">
        <f t="shared" si="0"/>
        <v>40.627145799954221</v>
      </c>
      <c r="I17" s="9">
        <v>0</v>
      </c>
      <c r="J17" s="9">
        <v>0</v>
      </c>
      <c r="K17" s="9">
        <v>0</v>
      </c>
      <c r="L17" s="9">
        <v>9.5850000000000005E-2</v>
      </c>
      <c r="M17" s="9">
        <v>0</v>
      </c>
      <c r="N17" s="9">
        <v>0</v>
      </c>
      <c r="O17" s="9">
        <v>9.1819999999999999E-2</v>
      </c>
      <c r="P17" s="9">
        <v>0.96117999999999992</v>
      </c>
      <c r="Q17" s="9">
        <f t="shared" si="1"/>
        <v>9.5528412992363556</v>
      </c>
    </row>
    <row r="18" spans="1:17" x14ac:dyDescent="0.25">
      <c r="A18" s="1" t="s">
        <v>19</v>
      </c>
      <c r="B18" s="4">
        <f>SUM(B6:B17)</f>
        <v>226</v>
      </c>
      <c r="C18" s="4">
        <f t="shared" ref="C18:G18" si="2">SUM(C6:C17)</f>
        <v>289</v>
      </c>
      <c r="D18" s="4">
        <f t="shared" si="2"/>
        <v>84.177999999999997</v>
      </c>
      <c r="E18" s="4">
        <f t="shared" si="2"/>
        <v>7238</v>
      </c>
      <c r="F18" s="8">
        <f t="shared" si="2"/>
        <v>3.4677699999999998</v>
      </c>
      <c r="G18" s="11">
        <f t="shared" si="2"/>
        <v>7.7315000000000005</v>
      </c>
      <c r="H18" s="11">
        <f t="shared" ref="H18" si="3">F18/G18*100</f>
        <v>44.852486580870462</v>
      </c>
      <c r="I18" s="11">
        <f>SUM(I6:I17)</f>
        <v>0</v>
      </c>
      <c r="J18" s="11">
        <f t="shared" ref="J18:P18" si="4">SUM(J6:J17)</f>
        <v>0</v>
      </c>
      <c r="K18" s="11">
        <f t="shared" si="4"/>
        <v>0</v>
      </c>
      <c r="L18" s="11">
        <f t="shared" si="4"/>
        <v>0.26007999999999998</v>
      </c>
      <c r="M18" s="11">
        <f t="shared" si="4"/>
        <v>0</v>
      </c>
      <c r="N18" s="11">
        <f t="shared" si="4"/>
        <v>0</v>
      </c>
      <c r="O18" s="11">
        <f t="shared" si="4"/>
        <v>0.25605</v>
      </c>
      <c r="P18" s="11">
        <f t="shared" si="4"/>
        <v>2.3614800000000002</v>
      </c>
      <c r="Q18" s="12">
        <f t="shared" ref="Q18" si="5">O18/P18*100</f>
        <v>10.842776563849787</v>
      </c>
    </row>
    <row r="19" spans="1:17" x14ac:dyDescent="0.25">
      <c r="A19" s="17" t="s">
        <v>22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9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HERIATGE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2022-04-26T05:16:06Z</cp:lastPrinted>
  <dcterms:created xsi:type="dcterms:W3CDTF">2018-10-29T04:00:07Z</dcterms:created>
  <dcterms:modified xsi:type="dcterms:W3CDTF">2022-04-27T06:05:09Z</dcterms:modified>
</cp:coreProperties>
</file>