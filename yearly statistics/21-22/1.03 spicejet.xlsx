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24000" windowHeight="9735"/>
  </bookViews>
  <sheets>
    <sheet name="spicejet" sheetId="1" r:id="rId1"/>
  </sheets>
  <externalReferences>
    <externalReference r:id="rId2"/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I7" i="1"/>
  <c r="J7" i="1"/>
  <c r="K7" i="1"/>
  <c r="L7" i="1"/>
  <c r="M7" i="1"/>
  <c r="N7" i="1"/>
  <c r="O7" i="1"/>
  <c r="P7" i="1"/>
  <c r="I8" i="1"/>
  <c r="J8" i="1"/>
  <c r="K8" i="1"/>
  <c r="L8" i="1"/>
  <c r="M8" i="1"/>
  <c r="N8" i="1"/>
  <c r="O8" i="1"/>
  <c r="P8" i="1"/>
  <c r="I9" i="1"/>
  <c r="J9" i="1"/>
  <c r="K9" i="1"/>
  <c r="L9" i="1"/>
  <c r="M9" i="1"/>
  <c r="N9" i="1"/>
  <c r="O9" i="1"/>
  <c r="P9" i="1"/>
  <c r="I10" i="1"/>
  <c r="J10" i="1"/>
  <c r="K10" i="1"/>
  <c r="L10" i="1"/>
  <c r="M10" i="1"/>
  <c r="N10" i="1"/>
  <c r="O10" i="1"/>
  <c r="P10" i="1"/>
  <c r="I11" i="1"/>
  <c r="J11" i="1"/>
  <c r="K11" i="1"/>
  <c r="L11" i="1"/>
  <c r="M11" i="1"/>
  <c r="N11" i="1"/>
  <c r="O11" i="1"/>
  <c r="P11" i="1"/>
  <c r="I12" i="1"/>
  <c r="J12" i="1"/>
  <c r="K12" i="1"/>
  <c r="L12" i="1"/>
  <c r="M12" i="1"/>
  <c r="N12" i="1"/>
  <c r="O12" i="1"/>
  <c r="P12" i="1"/>
  <c r="I13" i="1"/>
  <c r="J13" i="1"/>
  <c r="K13" i="1"/>
  <c r="L13" i="1"/>
  <c r="M13" i="1"/>
  <c r="N13" i="1"/>
  <c r="O13" i="1"/>
  <c r="P13" i="1"/>
  <c r="I14" i="1"/>
  <c r="J14" i="1"/>
  <c r="K14" i="1"/>
  <c r="L14" i="1"/>
  <c r="M14" i="1"/>
  <c r="N14" i="1"/>
  <c r="O14" i="1"/>
  <c r="P14" i="1"/>
  <c r="I15" i="1"/>
  <c r="J15" i="1"/>
  <c r="K15" i="1"/>
  <c r="L15" i="1"/>
  <c r="M15" i="1"/>
  <c r="N15" i="1"/>
  <c r="O15" i="1"/>
  <c r="P15" i="1"/>
  <c r="I16" i="1"/>
  <c r="J16" i="1"/>
  <c r="K16" i="1"/>
  <c r="L16" i="1"/>
  <c r="M16" i="1"/>
  <c r="N16" i="1"/>
  <c r="O16" i="1"/>
  <c r="P16" i="1"/>
  <c r="I17" i="1"/>
  <c r="J17" i="1"/>
  <c r="K17" i="1"/>
  <c r="L17" i="1"/>
  <c r="M17" i="1"/>
  <c r="N17" i="1"/>
  <c r="O17" i="1"/>
  <c r="P17" i="1"/>
  <c r="J6" i="1"/>
  <c r="K6" i="1"/>
  <c r="L6" i="1"/>
  <c r="M6" i="1"/>
  <c r="N6" i="1"/>
  <c r="O6" i="1"/>
  <c r="P6" i="1"/>
  <c r="I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C6" i="1"/>
  <c r="D6" i="1"/>
  <c r="E6" i="1"/>
  <c r="F6" i="1"/>
  <c r="G6" i="1"/>
  <c r="B6" i="1"/>
  <c r="P18" i="1" l="1"/>
  <c r="O18" i="1"/>
  <c r="M18" i="1"/>
  <c r="L18" i="1"/>
  <c r="K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18" i="1" l="1"/>
  <c r="H18" i="1"/>
</calcChain>
</file>

<file path=xl/sharedStrings.xml><?xml version="1.0" encoding="utf-8"?>
<sst xmlns="http://schemas.openxmlformats.org/spreadsheetml/2006/main" count="27" uniqueCount="25">
  <si>
    <t xml:space="preserve">तालिका 1.03 (स्पाइसजेट) </t>
  </si>
  <si>
    <t>Table 1.03 (SPICEJET)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</si>
  <si>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</si>
  <si>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</si>
  <si>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</si>
  <si>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</si>
  <si>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</si>
  <si>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</si>
  <si>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</si>
  <si>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</si>
  <si>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</si>
  <si>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</si>
  <si>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</si>
  <si>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</si>
  <si>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</si>
  <si>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</si>
  <si>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</si>
  <si>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</si>
  <si>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</si>
  <si>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</si>
  <si>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</si>
  <si>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SPICEJET</t>
  </si>
  <si>
    <t>2020-21</t>
  </si>
  <si>
    <t>MONTHLY TRAFFIC AND OPERATING STATISTICS OF SPICEJET ON SCHEDULED (DOMESTIC + INTERNATIONAL*)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</si>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</sst>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5" fontId="1" fillId="5" borderId="1" xfId="3" applyNumberFormat="1" applyFill="1" applyBorder="1" applyAlignment="1">
      <alignment horizontal="right" vertical="center"/>
    </xf>
    <xf numFmtId="166" fontId="0" fillId="5" borderId="1" xfId="1" applyNumberFormat="1" applyFont="1" applyFill="1" applyBorder="1" applyAlignment="1">
      <alignment horizontal="right" vertical="center"/>
    </xf>
    <xf numFmtId="166" fontId="1" fillId="5" borderId="1" xfId="3" applyNumberFormat="1" applyFill="1" applyBorder="1" applyAlignment="1">
      <alignment horizontal="right" vertical="center"/>
    </xf>
    <xf numFmtId="0" fontId="0" fillId="5" borderId="0" xfId="0" applyFill="1"/>
    <xf numFmtId="0" fontId="2" fillId="0" borderId="3" xfId="0" applyFont="1" applyBorder="1" applyAlignment="1">
      <alignment horizontal="left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4" fillId="4" borderId="2" xfId="0" applyFont="1" applyFill="1" applyBorder="1" applyAlignment="1" applyProtection="1">
      <alignment horizontal="left" vertical="center" wrapText="1"/>
    </xf>
    <xf numFmtId="0" fontId="4" fillId="4" borderId="3" xfId="0" applyFont="1" applyFill="1" applyBorder="1" applyAlignment="1" applyProtection="1">
      <alignment horizontal="left" vertical="center" wrapText="1"/>
    </xf>
    <xf numFmtId="0" fontId="4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spicej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spicej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ICEJET"/>
    </sheetNames>
    <sheetDataSet>
      <sheetData sheetId="0">
        <row r="6">
          <cell r="B6"/>
          <cell r="C6"/>
          <cell r="D6"/>
          <cell r="E6"/>
          <cell r="F6"/>
          <cell r="G6"/>
          <cell r="I6"/>
          <cell r="J6"/>
          <cell r="K6"/>
          <cell r="L6"/>
          <cell r="M6"/>
          <cell r="N6"/>
          <cell r="O6"/>
          <cell r="P6"/>
          <cell r="Q6"/>
        </row>
        <row r="7">
          <cell r="B7">
            <v>618</v>
          </cell>
          <cell r="C7">
            <v>891.83</v>
          </cell>
          <cell r="D7">
            <v>530.80899999999997</v>
          </cell>
          <cell r="E7">
            <v>48156</v>
          </cell>
          <cell r="F7">
            <v>48.598376999999999</v>
          </cell>
          <cell r="G7">
            <v>85.004786999999993</v>
          </cell>
          <cell r="I7">
            <v>3850.0464500000016</v>
          </cell>
          <cell r="J7"/>
          <cell r="K7">
            <v>3850.0464500000016</v>
          </cell>
          <cell r="L7">
            <v>3.64487841</v>
          </cell>
          <cell r="M7">
            <v>0.51079383</v>
          </cell>
          <cell r="N7"/>
          <cell r="O7">
            <v>4.1556722400000004</v>
          </cell>
          <cell r="P7">
            <v>7.2821674999999999</v>
          </cell>
        </row>
        <row r="8">
          <cell r="B8">
            <v>3457</v>
          </cell>
          <cell r="C8">
            <v>5251.33</v>
          </cell>
          <cell r="D8">
            <v>3238</v>
          </cell>
          <cell r="E8">
            <v>334104</v>
          </cell>
          <cell r="F8">
            <v>362.21600000000001</v>
          </cell>
          <cell r="G8">
            <v>532.54499999999996</v>
          </cell>
          <cell r="I8">
            <v>5965.9480680807301</v>
          </cell>
          <cell r="J8"/>
          <cell r="K8">
            <v>5965.9480680807301</v>
          </cell>
          <cell r="L8">
            <v>27.166</v>
          </cell>
          <cell r="M8">
            <v>2.927</v>
          </cell>
          <cell r="N8"/>
          <cell r="O8">
            <v>30.093</v>
          </cell>
          <cell r="P8">
            <v>45.994999999999997</v>
          </cell>
        </row>
        <row r="9">
          <cell r="B9">
            <v>3548</v>
          </cell>
          <cell r="C9">
            <v>5064.583333333333</v>
          </cell>
          <cell r="D9">
            <v>3062.99</v>
          </cell>
          <cell r="E9">
            <v>331197</v>
          </cell>
          <cell r="F9">
            <v>342.58669199999997</v>
          </cell>
          <cell r="G9">
            <v>489.13054199999999</v>
          </cell>
          <cell r="I9">
            <v>2863.5950399999997</v>
          </cell>
          <cell r="J9"/>
          <cell r="K9">
            <v>2863.5950399999997</v>
          </cell>
          <cell r="L9">
            <v>25.694002100000002</v>
          </cell>
          <cell r="M9">
            <v>3.2548686400000002</v>
          </cell>
          <cell r="N9"/>
          <cell r="O9">
            <v>28.948870740000004</v>
          </cell>
          <cell r="P9">
            <v>42.487529000000002</v>
          </cell>
        </row>
        <row r="10">
          <cell r="B10">
            <v>3937</v>
          </cell>
          <cell r="C10">
            <v>5525.1333333333332</v>
          </cell>
          <cell r="D10">
            <v>3368.3009999999999</v>
          </cell>
          <cell r="E10">
            <v>390885</v>
          </cell>
          <cell r="F10">
            <v>406.98887500000001</v>
          </cell>
          <cell r="G10">
            <v>535.16092400000002</v>
          </cell>
          <cell r="I10">
            <v>3533.4080800000002</v>
          </cell>
          <cell r="J10"/>
          <cell r="K10">
            <v>3533.4080800000002</v>
          </cell>
          <cell r="L10">
            <v>30.52416582499999</v>
          </cell>
          <cell r="M10">
            <v>4.0366476200000028</v>
          </cell>
          <cell r="N10"/>
          <cell r="O10">
            <v>34.560813444999994</v>
          </cell>
          <cell r="P10">
            <v>46.545806499999998</v>
          </cell>
        </row>
        <row r="11">
          <cell r="B11">
            <v>5410</v>
          </cell>
          <cell r="C11">
            <v>8035.6166666666668</v>
          </cell>
          <cell r="D11">
            <v>4827.9780000000001</v>
          </cell>
          <cell r="E11">
            <v>529758</v>
          </cell>
          <cell r="F11">
            <v>560.60219799999993</v>
          </cell>
          <cell r="G11">
            <v>767.945381</v>
          </cell>
          <cell r="I11">
            <v>5059.449580000005</v>
          </cell>
          <cell r="J11"/>
          <cell r="K11">
            <v>5059.449580000005</v>
          </cell>
          <cell r="L11">
            <v>42.196776280000002</v>
          </cell>
          <cell r="M11">
            <v>5.9265556500000098</v>
          </cell>
          <cell r="N11"/>
          <cell r="O11">
            <v>48.123331930000013</v>
          </cell>
          <cell r="P11">
            <v>66.694727</v>
          </cell>
        </row>
        <row r="12">
          <cell r="B12">
            <v>6837</v>
          </cell>
          <cell r="C12">
            <v>10229.67</v>
          </cell>
          <cell r="D12">
            <v>6203.8339999999998</v>
          </cell>
          <cell r="E12">
            <v>704498</v>
          </cell>
          <cell r="F12">
            <v>732.30164200000002</v>
          </cell>
          <cell r="G12">
            <v>989.61641500000007</v>
          </cell>
          <cell r="I12">
            <v>5711.3699900000038</v>
          </cell>
          <cell r="J12"/>
          <cell r="K12">
            <v>5711.3699900000038</v>
          </cell>
          <cell r="L12">
            <v>54.922623560000105</v>
          </cell>
          <cell r="M12">
            <v>6.8578723400000001</v>
          </cell>
          <cell r="N12"/>
          <cell r="O12">
            <v>61.780495900000105</v>
          </cell>
          <cell r="P12">
            <v>86.036738500000013</v>
          </cell>
        </row>
        <row r="13">
          <cell r="B13">
            <v>7813</v>
          </cell>
          <cell r="C13">
            <v>11695.916666666666</v>
          </cell>
          <cell r="D13">
            <v>7055.1779999999999</v>
          </cell>
          <cell r="E13">
            <v>839523</v>
          </cell>
          <cell r="F13">
            <v>871.55589300000008</v>
          </cell>
          <cell r="G13">
            <v>1121.0066399999998</v>
          </cell>
          <cell r="I13">
            <v>4932.4241800000018</v>
          </cell>
          <cell r="J13"/>
          <cell r="K13">
            <v>4932.4241800000018</v>
          </cell>
          <cell r="L13">
            <v>65.364156545000156</v>
          </cell>
          <cell r="M13">
            <v>5.804372139999999</v>
          </cell>
          <cell r="N13"/>
          <cell r="O13">
            <v>71.168528685000155</v>
          </cell>
          <cell r="P13">
            <v>97.701592500000004</v>
          </cell>
        </row>
        <row r="14">
          <cell r="B14">
            <v>8719</v>
          </cell>
          <cell r="C14">
            <v>13577.7</v>
          </cell>
          <cell r="D14">
            <v>8131.5709999999999</v>
          </cell>
          <cell r="E14">
            <v>951550</v>
          </cell>
          <cell r="F14">
            <v>999.56545600000004</v>
          </cell>
          <cell r="G14">
            <v>1281.416105</v>
          </cell>
          <cell r="I14">
            <v>5381.862819788671</v>
          </cell>
          <cell r="J14"/>
          <cell r="K14">
            <v>5381.862819788671</v>
          </cell>
          <cell r="L14">
            <v>74.967409559999965</v>
          </cell>
          <cell r="M14">
            <v>6.3209403400000017</v>
          </cell>
          <cell r="N14"/>
          <cell r="O14">
            <v>81.288349899999972</v>
          </cell>
          <cell r="P14">
            <v>111.61993249999999</v>
          </cell>
        </row>
        <row r="15">
          <cell r="B15">
            <v>9166</v>
          </cell>
          <cell r="C15">
            <v>14272.283333333333</v>
          </cell>
          <cell r="D15">
            <v>8574.1560000000009</v>
          </cell>
          <cell r="E15">
            <v>991883</v>
          </cell>
          <cell r="F15">
            <v>1042.368244</v>
          </cell>
          <cell r="G15">
            <v>1361.661376</v>
          </cell>
          <cell r="I15">
            <v>5863.6097999999965</v>
          </cell>
          <cell r="J15"/>
          <cell r="K15">
            <v>5863.6097999999965</v>
          </cell>
          <cell r="L15">
            <v>78.179687125000001</v>
          </cell>
          <cell r="M15">
            <v>6.9142342339999994</v>
          </cell>
          <cell r="N15"/>
          <cell r="O15">
            <v>85.093921359000007</v>
          </cell>
          <cell r="P15">
            <v>118.494653</v>
          </cell>
        </row>
        <row r="16">
          <cell r="B16">
            <v>8752</v>
          </cell>
          <cell r="C16">
            <v>13370.05</v>
          </cell>
          <cell r="D16">
            <v>7962.7150000000001</v>
          </cell>
          <cell r="E16">
            <v>962081</v>
          </cell>
          <cell r="F16">
            <v>991.22537499999999</v>
          </cell>
          <cell r="G16">
            <v>1256.5100619999998</v>
          </cell>
          <cell r="I16">
            <v>5743.0540400000073</v>
          </cell>
          <cell r="J16"/>
          <cell r="K16">
            <v>5743.0540400000073</v>
          </cell>
          <cell r="L16">
            <v>74.346115525000002</v>
          </cell>
          <cell r="M16">
            <v>6.7090249107399904</v>
          </cell>
          <cell r="N16"/>
          <cell r="O16">
            <v>81.055140435739986</v>
          </cell>
          <cell r="P16">
            <v>109.37024049999999</v>
          </cell>
        </row>
        <row r="17">
          <cell r="B17">
            <v>9520</v>
          </cell>
          <cell r="C17">
            <v>14443.9</v>
          </cell>
          <cell r="D17">
            <v>8630.777</v>
          </cell>
          <cell r="E17">
            <v>1002950</v>
          </cell>
          <cell r="F17">
            <v>1038.9413950000001</v>
          </cell>
          <cell r="G17">
            <v>1357.405945</v>
          </cell>
          <cell r="I17">
            <v>5515.5575299999991</v>
          </cell>
          <cell r="J17"/>
          <cell r="K17">
            <v>5515.5575299999991</v>
          </cell>
          <cell r="L17">
            <v>77.908646050000002</v>
          </cell>
          <cell r="M17">
            <v>6.3897406492200002</v>
          </cell>
          <cell r="N17"/>
          <cell r="O17">
            <v>84.298386699220003</v>
          </cell>
          <cell r="P17">
            <v>118.177347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ICEJET"/>
    </sheetNames>
    <sheetDataSet>
      <sheetData sheetId="0">
        <row r="6">
          <cell r="B6">
            <v>219</v>
          </cell>
          <cell r="C6">
            <v>784.49999999999966</v>
          </cell>
          <cell r="D6">
            <v>578.327</v>
          </cell>
          <cell r="E6">
            <v>0</v>
          </cell>
          <cell r="F6">
            <v>0</v>
          </cell>
          <cell r="G6">
            <v>0</v>
          </cell>
          <cell r="I6">
            <v>1505.13247</v>
          </cell>
          <cell r="J6">
            <v>0</v>
          </cell>
          <cell r="K6">
            <v>1505.13247</v>
          </cell>
          <cell r="M6">
            <v>3.8791413540000002</v>
          </cell>
          <cell r="N6">
            <v>0</v>
          </cell>
          <cell r="O6">
            <v>3.8791413540000002</v>
          </cell>
          <cell r="P6">
            <v>11.647165000000001</v>
          </cell>
          <cell r="Q6">
            <v>33.305455482085122</v>
          </cell>
        </row>
        <row r="7">
          <cell r="B7">
            <v>5</v>
          </cell>
          <cell r="C7">
            <v>11.483333333333333</v>
          </cell>
          <cell r="D7">
            <v>7.9119999999999999</v>
          </cell>
          <cell r="E7">
            <v>287</v>
          </cell>
          <cell r="F7">
            <v>0.69707200000000002</v>
          </cell>
          <cell r="G7">
            <v>1.4168910000000001</v>
          </cell>
          <cell r="I7">
            <v>3679.5441999999989</v>
          </cell>
          <cell r="J7">
            <v>0</v>
          </cell>
          <cell r="K7">
            <v>3679.5441999999989</v>
          </cell>
          <cell r="L7">
            <v>5.2280399999999998E-2</v>
          </cell>
          <cell r="N7">
            <v>0</v>
          </cell>
          <cell r="O7">
            <v>5.2280399999999998E-2</v>
          </cell>
          <cell r="P7">
            <v>0.1205825</v>
          </cell>
        </row>
        <row r="8">
          <cell r="B8">
            <v>168</v>
          </cell>
          <cell r="C8">
            <v>604.62</v>
          </cell>
          <cell r="D8">
            <v>445.11</v>
          </cell>
          <cell r="E8">
            <v>27976</v>
          </cell>
          <cell r="F8">
            <v>75.045000000000002</v>
          </cell>
          <cell r="G8">
            <v>83.786000000000001</v>
          </cell>
          <cell r="I8">
            <v>3849.0101399999999</v>
          </cell>
          <cell r="J8">
            <v>0</v>
          </cell>
          <cell r="K8">
            <v>3849.0101399999999</v>
          </cell>
          <cell r="L8">
            <v>5.6280000000000001</v>
          </cell>
          <cell r="N8">
            <v>0</v>
          </cell>
          <cell r="O8">
            <v>5.6280000000000001</v>
          </cell>
          <cell r="P8">
            <v>7.1219999999999999</v>
          </cell>
        </row>
        <row r="9">
          <cell r="B9">
            <v>979</v>
          </cell>
          <cell r="C9">
            <v>3055</v>
          </cell>
          <cell r="D9">
            <v>2205.4569999999999</v>
          </cell>
          <cell r="E9">
            <v>46940</v>
          </cell>
          <cell r="F9">
            <v>132.85525700000002</v>
          </cell>
          <cell r="G9">
            <v>148.53508199999999</v>
          </cell>
          <cell r="I9">
            <v>5422.6613399999997</v>
          </cell>
          <cell r="J9">
            <v>0</v>
          </cell>
          <cell r="K9">
            <v>5422.6613399999997</v>
          </cell>
          <cell r="L9">
            <v>9.9641443499999998</v>
          </cell>
          <cell r="M9">
            <v>11.480948477100007</v>
          </cell>
          <cell r="N9">
            <v>0</v>
          </cell>
          <cell r="O9">
            <v>21.445092827100005</v>
          </cell>
          <cell r="P9">
            <v>39.550879400000007</v>
          </cell>
        </row>
        <row r="10">
          <cell r="B10">
            <v>780</v>
          </cell>
          <cell r="C10">
            <v>2524.3166666666666</v>
          </cell>
          <cell r="D10">
            <v>1863.9010000000001</v>
          </cell>
          <cell r="E10">
            <v>27239</v>
          </cell>
          <cell r="F10">
            <v>98.159118000000007</v>
          </cell>
          <cell r="G10">
            <v>115.02952099999999</v>
          </cell>
          <cell r="I10">
            <v>4891.0118599999996</v>
          </cell>
          <cell r="J10">
            <v>0</v>
          </cell>
          <cell r="K10">
            <v>4891.0118599999996</v>
          </cell>
          <cell r="L10">
            <v>7.3619339099999985</v>
          </cell>
          <cell r="M10">
            <v>10.552805885179998</v>
          </cell>
          <cell r="N10">
            <v>0</v>
          </cell>
          <cell r="O10">
            <v>17.914739795179997</v>
          </cell>
          <cell r="P10">
            <v>38.038940900000007</v>
          </cell>
        </row>
        <row r="11">
          <cell r="B11">
            <v>853</v>
          </cell>
          <cell r="C11">
            <v>2960.083333333333</v>
          </cell>
          <cell r="D11">
            <v>2156.6190000000001</v>
          </cell>
          <cell r="E11">
            <v>42875</v>
          </cell>
          <cell r="F11">
            <v>134.12109899999999</v>
          </cell>
          <cell r="G11">
            <v>159.16024200000001</v>
          </cell>
          <cell r="I11">
            <v>5379.299710000003</v>
          </cell>
          <cell r="J11">
            <v>0</v>
          </cell>
          <cell r="K11">
            <v>5379.299710000003</v>
          </cell>
          <cell r="L11">
            <v>10.059082430000004</v>
          </cell>
          <cell r="M11">
            <v>13.134754207740013</v>
          </cell>
          <cell r="N11">
            <v>0</v>
          </cell>
          <cell r="O11">
            <v>23.193836637740016</v>
          </cell>
          <cell r="P11">
            <v>49.353448199999995</v>
          </cell>
        </row>
        <row r="12">
          <cell r="B12">
            <v>947</v>
          </cell>
          <cell r="C12">
            <v>3330.2666666666664</v>
          </cell>
          <cell r="D12">
            <v>2472.0340000000001</v>
          </cell>
          <cell r="E12">
            <v>71309</v>
          </cell>
          <cell r="F12">
            <v>190.15343200000001</v>
          </cell>
          <cell r="G12">
            <v>226.52808400000001</v>
          </cell>
          <cell r="I12">
            <v>5666.3205099999986</v>
          </cell>
          <cell r="J12">
            <v>0</v>
          </cell>
          <cell r="K12">
            <v>5666.3205099999986</v>
          </cell>
          <cell r="L12">
            <v>14.261507400000005</v>
          </cell>
          <cell r="M12">
            <v>15.783529362910015</v>
          </cell>
          <cell r="N12">
            <v>0</v>
          </cell>
          <cell r="O12">
            <v>30.045036762910019</v>
          </cell>
          <cell r="P12">
            <v>55.582346829999999</v>
          </cell>
        </row>
        <row r="13">
          <cell r="B13">
            <v>1096</v>
          </cell>
          <cell r="C13">
            <v>3705.2166666666667</v>
          </cell>
          <cell r="D13">
            <v>2710.2640000000001</v>
          </cell>
          <cell r="E13">
            <v>79804</v>
          </cell>
          <cell r="F13">
            <v>204.07152600000001</v>
          </cell>
          <cell r="G13">
            <v>240.66521499999999</v>
          </cell>
          <cell r="I13">
            <v>4162.5519899999999</v>
          </cell>
          <cell r="J13">
            <v>0</v>
          </cell>
          <cell r="K13">
            <v>4162.5519899999999</v>
          </cell>
          <cell r="L13">
            <v>15.305364470000002</v>
          </cell>
          <cell r="M13">
            <v>9.575195284809995</v>
          </cell>
          <cell r="N13">
            <v>0</v>
          </cell>
          <cell r="O13">
            <v>24.880559754809997</v>
          </cell>
          <cell r="P13">
            <v>61.859315899999991</v>
          </cell>
        </row>
        <row r="14">
          <cell r="B14">
            <v>1135</v>
          </cell>
          <cell r="C14">
            <v>3823.4666666666667</v>
          </cell>
          <cell r="D14">
            <v>2780.2929999999997</v>
          </cell>
          <cell r="E14">
            <v>86107</v>
          </cell>
          <cell r="F14">
            <v>211.372916</v>
          </cell>
          <cell r="G14">
            <v>257.78873399999998</v>
          </cell>
          <cell r="I14">
            <v>4709.6723300000003</v>
          </cell>
          <cell r="J14">
            <v>0</v>
          </cell>
          <cell r="K14">
            <v>4709.6723300000003</v>
          </cell>
          <cell r="L14">
            <v>15.852968750000002</v>
          </cell>
          <cell r="M14">
            <v>12.869263326529998</v>
          </cell>
          <cell r="N14">
            <v>0</v>
          </cell>
          <cell r="O14">
            <v>28.722232076529998</v>
          </cell>
          <cell r="P14">
            <v>63.720561700000005</v>
          </cell>
        </row>
        <row r="15">
          <cell r="B15">
            <v>1137</v>
          </cell>
          <cell r="C15">
            <v>3824.3333333333335</v>
          </cell>
          <cell r="D15">
            <v>2908.8049999999998</v>
          </cell>
          <cell r="E15">
            <v>96827</v>
          </cell>
          <cell r="F15">
            <v>243.49869899999999</v>
          </cell>
          <cell r="G15">
            <v>300.14862399999998</v>
          </cell>
          <cell r="I15">
            <v>4007.1327299999989</v>
          </cell>
          <cell r="J15">
            <v>0</v>
          </cell>
          <cell r="K15">
            <v>4007.1327299999989</v>
          </cell>
          <cell r="L15">
            <v>18.262402419999997</v>
          </cell>
          <cell r="M15">
            <v>9.9544250737700004</v>
          </cell>
          <cell r="N15">
            <v>0</v>
          </cell>
          <cell r="O15">
            <v>28.216827493769998</v>
          </cell>
          <cell r="P15">
            <v>68.198982000000001</v>
          </cell>
        </row>
        <row r="16">
          <cell r="B16">
            <v>1026</v>
          </cell>
          <cell r="C16">
            <v>3532.0166666666664</v>
          </cell>
          <cell r="D16">
            <v>2583.1410000000001</v>
          </cell>
          <cell r="E16">
            <v>82165</v>
          </cell>
          <cell r="F16">
            <v>199.44701000000001</v>
          </cell>
          <cell r="G16">
            <v>259.072766</v>
          </cell>
          <cell r="I16">
            <v>3327.5131799999999</v>
          </cell>
          <cell r="J16">
            <v>0</v>
          </cell>
          <cell r="K16">
            <v>3327.5131799999999</v>
          </cell>
          <cell r="L16">
            <v>14.958525760000001</v>
          </cell>
          <cell r="M16">
            <v>8.6655137727000007</v>
          </cell>
          <cell r="N16">
            <v>0</v>
          </cell>
          <cell r="O16">
            <v>23.624039532700003</v>
          </cell>
          <cell r="P16">
            <v>62.501645100000005</v>
          </cell>
        </row>
        <row r="17">
          <cell r="B17">
            <v>1153</v>
          </cell>
          <cell r="C17">
            <v>4051</v>
          </cell>
          <cell r="D17">
            <v>2977.2869999999998</v>
          </cell>
          <cell r="E17">
            <v>86889</v>
          </cell>
          <cell r="F17">
            <v>210.208403</v>
          </cell>
          <cell r="G17">
            <v>271.71262300000001</v>
          </cell>
          <cell r="I17">
            <v>4185.46317</v>
          </cell>
          <cell r="J17">
            <v>0</v>
          </cell>
          <cell r="K17">
            <v>4185.46317</v>
          </cell>
          <cell r="L17">
            <v>15.765630230000001</v>
          </cell>
          <cell r="M17">
            <v>11.75003715419</v>
          </cell>
          <cell r="N17">
            <v>0</v>
          </cell>
          <cell r="O17">
            <v>27.515667384190003</v>
          </cell>
          <cell r="P17">
            <v>76.553325000000001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60" zoomScaleNormal="100" workbookViewId="0">
      <selection activeCell="A6" sqref="A6:A17"/>
    </sheetView>
  </sheetViews>
  <sheetFormatPr defaultRowHeight="15" x14ac:dyDescent="0.25"/>
  <cols>
    <col min="1" max="1" width="13.57031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6" width="10.7109375" customWidth="1"/>
    <col min="7" max="7" width="11.85546875" customWidth="1"/>
    <col min="8" max="8" width="7.28515625" customWidth="1"/>
    <col min="9" max="9" width="9.42578125" customWidth="1"/>
    <col min="10" max="10" width="8.140625" bestFit="1" customWidth="1"/>
    <col min="11" max="11" width="9.85546875" customWidth="1"/>
    <col min="12" max="12" width="10.5703125" customWidth="1"/>
    <col min="13" max="13" width="9.7109375" customWidth="1"/>
    <col min="14" max="14" width="7.140625" customWidth="1"/>
    <col min="15" max="15" width="11.140625" customWidth="1"/>
    <col min="16" max="16" width="10.42578125" customWidth="1"/>
    <col min="17" max="17" width="7" customWidth="1"/>
  </cols>
  <sheetData>
    <row r="1" spans="1:17" ht="18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2" t="s">
        <v>5</v>
      </c>
      <c r="H4" s="12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2" t="s">
        <v>9</v>
      </c>
      <c r="Q4" s="12" t="s">
        <v>10</v>
      </c>
    </row>
    <row r="5" spans="1:17" ht="120.75" customHeight="1" x14ac:dyDescent="0.25">
      <c r="A5" s="21"/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3"/>
      <c r="H5" s="13"/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17</v>
      </c>
      <c r="O5" s="1" t="s">
        <v>18</v>
      </c>
      <c r="P5" s="13"/>
      <c r="Q5" s="13"/>
    </row>
    <row r="6" spans="1:17" ht="22.15" customHeight="1" x14ac:dyDescent="0.25">
      <c r="A6" s="23">
        <v>43922</v>
      </c>
      <c r="B6" s="2">
        <f>[1]SPICEJET!B6+[2]SPICEJET!B6</f>
        <v>219</v>
      </c>
      <c r="C6" s="2">
        <f>[1]SPICEJET!C6+[2]SPICEJET!C6</f>
        <v>784.49999999999966</v>
      </c>
      <c r="D6" s="2">
        <f>[1]SPICEJET!D6+[2]SPICEJET!D6</f>
        <v>578.327</v>
      </c>
      <c r="E6" s="2">
        <f>[1]SPICEJET!E6+[2]SPICEJET!E6</f>
        <v>0</v>
      </c>
      <c r="F6" s="2">
        <f>[1]SPICEJET!F6+[2]SPICEJET!F6</f>
        <v>0</v>
      </c>
      <c r="G6" s="2">
        <f>[1]SPICEJET!G6+[2]SPICEJET!G6</f>
        <v>0</v>
      </c>
      <c r="H6" s="3"/>
      <c r="I6" s="3">
        <f>[1]SPICEJET!I6+[2]SPICEJET!I6</f>
        <v>1505.13247</v>
      </c>
      <c r="J6" s="3">
        <f>[1]SPICEJET!J6+[2]SPICEJET!J6</f>
        <v>0</v>
      </c>
      <c r="K6" s="3">
        <f>[1]SPICEJET!K6+[2]SPICEJET!K6</f>
        <v>1505.13247</v>
      </c>
      <c r="L6" s="3">
        <f>[1]SPICEJET!L6+[2]SPICEJET!L6</f>
        <v>0</v>
      </c>
      <c r="M6" s="3">
        <f>[1]SPICEJET!M6+[2]SPICEJET!M6</f>
        <v>3.8791413540000002</v>
      </c>
      <c r="N6" s="3">
        <f>[1]SPICEJET!N6+[2]SPICEJET!N6</f>
        <v>0</v>
      </c>
      <c r="O6" s="3">
        <f>[1]SPICEJET!O6+[2]SPICEJET!O6</f>
        <v>3.8791413540000002</v>
      </c>
      <c r="P6" s="3">
        <f>[1]SPICEJET!P6+[2]SPICEJET!P6</f>
        <v>11.647165000000001</v>
      </c>
      <c r="Q6" s="3">
        <f>[1]SPICEJET!Q6+[2]SPICEJET!Q6</f>
        <v>33.305455482085122</v>
      </c>
    </row>
    <row r="7" spans="1:17" s="10" customFormat="1" ht="22.15" customHeight="1" x14ac:dyDescent="0.25">
      <c r="A7" s="24">
        <v>43952</v>
      </c>
      <c r="B7" s="7">
        <f>[1]SPICEJET!B7+[2]SPICEJET!B7</f>
        <v>623</v>
      </c>
      <c r="C7" s="7">
        <f>[1]SPICEJET!C7+[2]SPICEJET!C7</f>
        <v>903.31333333333339</v>
      </c>
      <c r="D7" s="7">
        <f>[1]SPICEJET!D7+[2]SPICEJET!D7</f>
        <v>538.721</v>
      </c>
      <c r="E7" s="7">
        <f>[1]SPICEJET!E7+[2]SPICEJET!E7</f>
        <v>48443</v>
      </c>
      <c r="F7" s="7">
        <f>[1]SPICEJET!F7+[2]SPICEJET!F7</f>
        <v>49.295448999999998</v>
      </c>
      <c r="G7" s="7">
        <f>[1]SPICEJET!G7+[2]SPICEJET!G7</f>
        <v>86.421678</v>
      </c>
      <c r="H7" s="8">
        <f t="shared" ref="H7:H18" si="0">F7/G7*100</f>
        <v>57.040606177538002</v>
      </c>
      <c r="I7" s="9">
        <f>[1]SPICEJET!I7+[2]SPICEJET!I7</f>
        <v>7529.5906500000001</v>
      </c>
      <c r="J7" s="9">
        <f>[1]SPICEJET!J7+[2]SPICEJET!J7</f>
        <v>0</v>
      </c>
      <c r="K7" s="9">
        <f>[1]SPICEJET!K7+[2]SPICEJET!K7</f>
        <v>7529.5906500000001</v>
      </c>
      <c r="L7" s="9">
        <f>[1]SPICEJET!L7+[2]SPICEJET!L7</f>
        <v>3.6971588099999999</v>
      </c>
      <c r="M7" s="9">
        <f>[1]SPICEJET!M7+[2]SPICEJET!M7</f>
        <v>0.51079383</v>
      </c>
      <c r="N7" s="9">
        <f>[1]SPICEJET!N7+[2]SPICEJET!N7</f>
        <v>0</v>
      </c>
      <c r="O7" s="9">
        <f>[1]SPICEJET!O7+[2]SPICEJET!O7</f>
        <v>4.2079526400000002</v>
      </c>
      <c r="P7" s="9">
        <f>[1]SPICEJET!P7+[2]SPICEJET!P7</f>
        <v>7.4027500000000002</v>
      </c>
      <c r="Q7" s="8">
        <f t="shared" ref="Q7:Q18" si="1">O7/P7*100</f>
        <v>56.843100739590028</v>
      </c>
    </row>
    <row r="8" spans="1:17" ht="22.15" customHeight="1" x14ac:dyDescent="0.25">
      <c r="A8" s="23">
        <v>43983</v>
      </c>
      <c r="B8" s="2">
        <f>[1]SPICEJET!B8+[2]SPICEJET!B8</f>
        <v>3625</v>
      </c>
      <c r="C8" s="2">
        <f>[1]SPICEJET!C8+[2]SPICEJET!C8</f>
        <v>5855.95</v>
      </c>
      <c r="D8" s="2">
        <f>[1]SPICEJET!D8+[2]SPICEJET!D8</f>
        <v>3683.11</v>
      </c>
      <c r="E8" s="2">
        <f>[1]SPICEJET!E8+[2]SPICEJET!E8</f>
        <v>362080</v>
      </c>
      <c r="F8" s="2">
        <f>[1]SPICEJET!F8+[2]SPICEJET!F8</f>
        <v>437.26100000000002</v>
      </c>
      <c r="G8" s="2">
        <f>[1]SPICEJET!G8+[2]SPICEJET!G8</f>
        <v>616.3309999999999</v>
      </c>
      <c r="H8" s="3">
        <f t="shared" si="0"/>
        <v>70.945806717494349</v>
      </c>
      <c r="I8" s="3">
        <f>[1]SPICEJET!I8+[2]SPICEJET!I8</f>
        <v>9814.9582080807304</v>
      </c>
      <c r="J8" s="3">
        <f>[1]SPICEJET!J8+[2]SPICEJET!J8</f>
        <v>0</v>
      </c>
      <c r="K8" s="3">
        <f>[1]SPICEJET!K8+[2]SPICEJET!K8</f>
        <v>9814.9582080807304</v>
      </c>
      <c r="L8" s="3">
        <f>[1]SPICEJET!L8+[2]SPICEJET!L8</f>
        <v>32.793999999999997</v>
      </c>
      <c r="M8" s="3">
        <f>[1]SPICEJET!M8+[2]SPICEJET!M8</f>
        <v>2.927</v>
      </c>
      <c r="N8" s="3">
        <f>[1]SPICEJET!N8+[2]SPICEJET!N8</f>
        <v>0</v>
      </c>
      <c r="O8" s="3">
        <f>[1]SPICEJET!O8+[2]SPICEJET!O8</f>
        <v>35.721000000000004</v>
      </c>
      <c r="P8" s="3">
        <f>[1]SPICEJET!P8+[2]SPICEJET!P8</f>
        <v>53.116999999999997</v>
      </c>
      <c r="Q8" s="3">
        <f t="shared" si="1"/>
        <v>67.249656418848971</v>
      </c>
    </row>
    <row r="9" spans="1:17" s="10" customFormat="1" ht="22.15" customHeight="1" x14ac:dyDescent="0.25">
      <c r="A9" s="24">
        <v>44013</v>
      </c>
      <c r="B9" s="7">
        <f>[1]SPICEJET!B9+[2]SPICEJET!B9</f>
        <v>4527</v>
      </c>
      <c r="C9" s="7">
        <f>[1]SPICEJET!C9+[2]SPICEJET!C9</f>
        <v>8119.583333333333</v>
      </c>
      <c r="D9" s="7">
        <f>[1]SPICEJET!D9+[2]SPICEJET!D9</f>
        <v>5268.4470000000001</v>
      </c>
      <c r="E9" s="7">
        <f>[1]SPICEJET!E9+[2]SPICEJET!E9</f>
        <v>378137</v>
      </c>
      <c r="F9" s="7">
        <f>[1]SPICEJET!F9+[2]SPICEJET!F9</f>
        <v>475.44194900000002</v>
      </c>
      <c r="G9" s="7">
        <f>[1]SPICEJET!G9+[2]SPICEJET!G9</f>
        <v>637.66562399999998</v>
      </c>
      <c r="H9" s="8">
        <f t="shared" si="0"/>
        <v>74.559758454220841</v>
      </c>
      <c r="I9" s="9">
        <f>[1]SPICEJET!I9+[2]SPICEJET!I9</f>
        <v>8286.2563799999989</v>
      </c>
      <c r="J9" s="9">
        <f>[1]SPICEJET!J9+[2]SPICEJET!J9</f>
        <v>0</v>
      </c>
      <c r="K9" s="9">
        <f>[1]SPICEJET!K9+[2]SPICEJET!K9</f>
        <v>8286.2563799999989</v>
      </c>
      <c r="L9" s="9">
        <f>[1]SPICEJET!L9+[2]SPICEJET!L9</f>
        <v>35.658146450000004</v>
      </c>
      <c r="M9" s="9">
        <f>[1]SPICEJET!M9+[2]SPICEJET!M9</f>
        <v>14.735817117100007</v>
      </c>
      <c r="N9" s="9">
        <f>[1]SPICEJET!N9+[2]SPICEJET!N9</f>
        <v>0</v>
      </c>
      <c r="O9" s="9">
        <f>[1]SPICEJET!O9+[2]SPICEJET!O9</f>
        <v>50.393963567100009</v>
      </c>
      <c r="P9" s="9">
        <f>[1]SPICEJET!P9+[2]SPICEJET!P9</f>
        <v>82.038408400000009</v>
      </c>
      <c r="Q9" s="8">
        <f t="shared" si="1"/>
        <v>61.427280891885275</v>
      </c>
    </row>
    <row r="10" spans="1:17" ht="22.15" customHeight="1" x14ac:dyDescent="0.25">
      <c r="A10" s="23">
        <v>44044</v>
      </c>
      <c r="B10" s="2">
        <f>[1]SPICEJET!B10+[2]SPICEJET!B10</f>
        <v>4717</v>
      </c>
      <c r="C10" s="2">
        <f>[1]SPICEJET!C10+[2]SPICEJET!C10</f>
        <v>8049.45</v>
      </c>
      <c r="D10" s="2">
        <f>[1]SPICEJET!D10+[2]SPICEJET!D10</f>
        <v>5232.2020000000002</v>
      </c>
      <c r="E10" s="2">
        <f>[1]SPICEJET!E10+[2]SPICEJET!E10</f>
        <v>418124</v>
      </c>
      <c r="F10" s="2">
        <f>[1]SPICEJET!F10+[2]SPICEJET!F10</f>
        <v>505.14799300000004</v>
      </c>
      <c r="G10" s="2">
        <f>[1]SPICEJET!G10+[2]SPICEJET!G10</f>
        <v>650.19044499999995</v>
      </c>
      <c r="H10" s="3">
        <f t="shared" si="0"/>
        <v>77.692312596196345</v>
      </c>
      <c r="I10" s="3">
        <f>[1]SPICEJET!I10+[2]SPICEJET!I10</f>
        <v>8424.4199399999998</v>
      </c>
      <c r="J10" s="3">
        <f>[1]SPICEJET!J10+[2]SPICEJET!J10</f>
        <v>0</v>
      </c>
      <c r="K10" s="3">
        <f>[1]SPICEJET!K10+[2]SPICEJET!K10</f>
        <v>8424.4199399999998</v>
      </c>
      <c r="L10" s="3">
        <f>[1]SPICEJET!L10+[2]SPICEJET!L10</f>
        <v>37.886099734999988</v>
      </c>
      <c r="M10" s="3">
        <f>[1]SPICEJET!M10+[2]SPICEJET!M10</f>
        <v>14.58945350518</v>
      </c>
      <c r="N10" s="3">
        <f>[1]SPICEJET!N10+[2]SPICEJET!N10</f>
        <v>0</v>
      </c>
      <c r="O10" s="3">
        <f>[1]SPICEJET!O10+[2]SPICEJET!O10</f>
        <v>52.475553240179991</v>
      </c>
      <c r="P10" s="3">
        <f>[1]SPICEJET!P10+[2]SPICEJET!P10</f>
        <v>84.584747399999998</v>
      </c>
      <c r="Q10" s="3">
        <f t="shared" si="1"/>
        <v>62.039025773788616</v>
      </c>
    </row>
    <row r="11" spans="1:17" s="10" customFormat="1" ht="22.15" customHeight="1" x14ac:dyDescent="0.25">
      <c r="A11" s="24">
        <v>44075</v>
      </c>
      <c r="B11" s="7">
        <f>[1]SPICEJET!B11+[2]SPICEJET!B11</f>
        <v>6263</v>
      </c>
      <c r="C11" s="7">
        <f>[1]SPICEJET!C11+[2]SPICEJET!C11</f>
        <v>10995.7</v>
      </c>
      <c r="D11" s="7">
        <f>[1]SPICEJET!D11+[2]SPICEJET!D11</f>
        <v>6984.5969999999998</v>
      </c>
      <c r="E11" s="7">
        <f>[1]SPICEJET!E11+[2]SPICEJET!E11</f>
        <v>572633</v>
      </c>
      <c r="F11" s="7">
        <f>[1]SPICEJET!F11+[2]SPICEJET!F11</f>
        <v>694.72329699999989</v>
      </c>
      <c r="G11" s="7">
        <f>[1]SPICEJET!G11+[2]SPICEJET!G11</f>
        <v>927.10562300000004</v>
      </c>
      <c r="H11" s="8">
        <f t="shared" si="0"/>
        <v>74.934643881455557</v>
      </c>
      <c r="I11" s="9">
        <f>[1]SPICEJET!I11+[2]SPICEJET!I11</f>
        <v>10438.749290000007</v>
      </c>
      <c r="J11" s="9">
        <f>[1]SPICEJET!J11+[2]SPICEJET!J11</f>
        <v>0</v>
      </c>
      <c r="K11" s="9">
        <f>[1]SPICEJET!K11+[2]SPICEJET!K11</f>
        <v>10438.749290000007</v>
      </c>
      <c r="L11" s="9">
        <f>[1]SPICEJET!L11+[2]SPICEJET!L11</f>
        <v>52.255858710000005</v>
      </c>
      <c r="M11" s="9">
        <f>[1]SPICEJET!M11+[2]SPICEJET!M11</f>
        <v>19.061309857740021</v>
      </c>
      <c r="N11" s="9">
        <f>[1]SPICEJET!N11+[2]SPICEJET!N11</f>
        <v>0</v>
      </c>
      <c r="O11" s="9">
        <f>[1]SPICEJET!O11+[2]SPICEJET!O11</f>
        <v>71.317168567740026</v>
      </c>
      <c r="P11" s="9">
        <f>[1]SPICEJET!P11+[2]SPICEJET!P11</f>
        <v>116.0481752</v>
      </c>
      <c r="Q11" s="8">
        <f t="shared" si="1"/>
        <v>61.454795342391591</v>
      </c>
    </row>
    <row r="12" spans="1:17" ht="22.15" customHeight="1" x14ac:dyDescent="0.25">
      <c r="A12" s="23">
        <v>44105</v>
      </c>
      <c r="B12" s="2">
        <f>[1]SPICEJET!B12+[2]SPICEJET!B12</f>
        <v>7784</v>
      </c>
      <c r="C12" s="2">
        <f>[1]SPICEJET!C12+[2]SPICEJET!C12</f>
        <v>13559.936666666666</v>
      </c>
      <c r="D12" s="2">
        <f>[1]SPICEJET!D12+[2]SPICEJET!D12</f>
        <v>8675.8680000000004</v>
      </c>
      <c r="E12" s="2">
        <f>[1]SPICEJET!E12+[2]SPICEJET!E12</f>
        <v>775807</v>
      </c>
      <c r="F12" s="2">
        <f>[1]SPICEJET!F12+[2]SPICEJET!F12</f>
        <v>922.45507399999997</v>
      </c>
      <c r="G12" s="2">
        <f>[1]SPICEJET!G12+[2]SPICEJET!G12</f>
        <v>1216.144499</v>
      </c>
      <c r="H12" s="3">
        <f t="shared" si="0"/>
        <v>75.850778814401394</v>
      </c>
      <c r="I12" s="3">
        <f>[1]SPICEJET!I12+[2]SPICEJET!I12</f>
        <v>11377.690500000002</v>
      </c>
      <c r="J12" s="3">
        <f>[1]SPICEJET!J12+[2]SPICEJET!J12</f>
        <v>0</v>
      </c>
      <c r="K12" s="3">
        <f>[1]SPICEJET!K12+[2]SPICEJET!K12</f>
        <v>11377.690500000002</v>
      </c>
      <c r="L12" s="3">
        <f>[1]SPICEJET!L12+[2]SPICEJET!L12</f>
        <v>69.184130960000104</v>
      </c>
      <c r="M12" s="3">
        <f>[1]SPICEJET!M12+[2]SPICEJET!M12</f>
        <v>22.641401702910017</v>
      </c>
      <c r="N12" s="3">
        <f>[1]SPICEJET!N12+[2]SPICEJET!N12</f>
        <v>0</v>
      </c>
      <c r="O12" s="3">
        <f>[1]SPICEJET!O12+[2]SPICEJET!O12</f>
        <v>91.825532662910121</v>
      </c>
      <c r="P12" s="3">
        <f>[1]SPICEJET!P12+[2]SPICEJET!P12</f>
        <v>141.61908533000002</v>
      </c>
      <c r="Q12" s="3">
        <f t="shared" si="1"/>
        <v>64.839800687131088</v>
      </c>
    </row>
    <row r="13" spans="1:17" s="10" customFormat="1" ht="22.15" customHeight="1" x14ac:dyDescent="0.25">
      <c r="A13" s="24">
        <v>44136</v>
      </c>
      <c r="B13" s="7">
        <f>[1]SPICEJET!B13+[2]SPICEJET!B13</f>
        <v>8909</v>
      </c>
      <c r="C13" s="7">
        <f>[1]SPICEJET!C13+[2]SPICEJET!C13</f>
        <v>15401.133333333333</v>
      </c>
      <c r="D13" s="7">
        <f>[1]SPICEJET!D13+[2]SPICEJET!D13</f>
        <v>9765.4419999999991</v>
      </c>
      <c r="E13" s="7">
        <f>[1]SPICEJET!E13+[2]SPICEJET!E13</f>
        <v>919327</v>
      </c>
      <c r="F13" s="7">
        <f>[1]SPICEJET!F13+[2]SPICEJET!F13</f>
        <v>1075.6274190000001</v>
      </c>
      <c r="G13" s="7">
        <f>[1]SPICEJET!G13+[2]SPICEJET!G13</f>
        <v>1361.6718549999998</v>
      </c>
      <c r="H13" s="8">
        <f t="shared" si="0"/>
        <v>78.993144717675051</v>
      </c>
      <c r="I13" s="9">
        <f>[1]SPICEJET!I13+[2]SPICEJET!I13</f>
        <v>9094.9761700000017</v>
      </c>
      <c r="J13" s="9">
        <f>[1]SPICEJET!J13+[2]SPICEJET!J13</f>
        <v>0</v>
      </c>
      <c r="K13" s="9">
        <f>[1]SPICEJET!K13+[2]SPICEJET!K13</f>
        <v>9094.9761700000017</v>
      </c>
      <c r="L13" s="9">
        <f>[1]SPICEJET!L13+[2]SPICEJET!L13</f>
        <v>80.669521015000157</v>
      </c>
      <c r="M13" s="9">
        <f>[1]SPICEJET!M13+[2]SPICEJET!M13</f>
        <v>15.379567424809995</v>
      </c>
      <c r="N13" s="9">
        <f>[1]SPICEJET!N13+[2]SPICEJET!N13</f>
        <v>0</v>
      </c>
      <c r="O13" s="9">
        <f>[1]SPICEJET!O13+[2]SPICEJET!O13</f>
        <v>96.049088439810149</v>
      </c>
      <c r="P13" s="9">
        <f>[1]SPICEJET!P13+[2]SPICEJET!P13</f>
        <v>159.56090839999999</v>
      </c>
      <c r="Q13" s="8">
        <f t="shared" si="1"/>
        <v>60.195877175019994</v>
      </c>
    </row>
    <row r="14" spans="1:17" ht="22.15" customHeight="1" x14ac:dyDescent="0.25">
      <c r="A14" s="23">
        <v>44166</v>
      </c>
      <c r="B14" s="2">
        <f>[1]SPICEJET!B14+[2]SPICEJET!B14</f>
        <v>9854</v>
      </c>
      <c r="C14" s="2">
        <f>[1]SPICEJET!C14+[2]SPICEJET!C14</f>
        <v>17401.166666666668</v>
      </c>
      <c r="D14" s="2">
        <f>[1]SPICEJET!D14+[2]SPICEJET!D14</f>
        <v>10911.864</v>
      </c>
      <c r="E14" s="2">
        <f>[1]SPICEJET!E14+[2]SPICEJET!E14</f>
        <v>1037657</v>
      </c>
      <c r="F14" s="2">
        <f>[1]SPICEJET!F14+[2]SPICEJET!F14</f>
        <v>1210.9383720000001</v>
      </c>
      <c r="G14" s="2">
        <f>[1]SPICEJET!G14+[2]SPICEJET!G14</f>
        <v>1539.204839</v>
      </c>
      <c r="H14" s="3">
        <f t="shared" si="0"/>
        <v>78.672983693757743</v>
      </c>
      <c r="I14" s="3">
        <f>[1]SPICEJET!I14+[2]SPICEJET!I14</f>
        <v>10091.535149788671</v>
      </c>
      <c r="J14" s="3">
        <f>[1]SPICEJET!J14+[2]SPICEJET!J14</f>
        <v>0</v>
      </c>
      <c r="K14" s="3">
        <f>[1]SPICEJET!K14+[2]SPICEJET!K14</f>
        <v>10091.535149788671</v>
      </c>
      <c r="L14" s="3">
        <f>[1]SPICEJET!L14+[2]SPICEJET!L14</f>
        <v>90.820378309999967</v>
      </c>
      <c r="M14" s="3">
        <f>[1]SPICEJET!M14+[2]SPICEJET!M14</f>
        <v>19.19020366653</v>
      </c>
      <c r="N14" s="3">
        <f>[1]SPICEJET!N14+[2]SPICEJET!N14</f>
        <v>0</v>
      </c>
      <c r="O14" s="3">
        <f>[1]SPICEJET!O14+[2]SPICEJET!O14</f>
        <v>110.01058197652998</v>
      </c>
      <c r="P14" s="3">
        <f>[1]SPICEJET!P14+[2]SPICEJET!P14</f>
        <v>175.34049419999999</v>
      </c>
      <c r="Q14" s="3">
        <f t="shared" si="1"/>
        <v>62.741115495572721</v>
      </c>
    </row>
    <row r="15" spans="1:17" s="10" customFormat="1" ht="22.15" customHeight="1" x14ac:dyDescent="0.25">
      <c r="A15" s="24">
        <v>44197</v>
      </c>
      <c r="B15" s="7">
        <f>[1]SPICEJET!B15+[2]SPICEJET!B15</f>
        <v>10303</v>
      </c>
      <c r="C15" s="7">
        <f>[1]SPICEJET!C15+[2]SPICEJET!C15</f>
        <v>18096.616666666665</v>
      </c>
      <c r="D15" s="7">
        <f>[1]SPICEJET!D15+[2]SPICEJET!D15</f>
        <v>11482.961000000001</v>
      </c>
      <c r="E15" s="7">
        <f>[1]SPICEJET!E15+[2]SPICEJET!E15</f>
        <v>1088710</v>
      </c>
      <c r="F15" s="7">
        <f>[1]SPICEJET!F15+[2]SPICEJET!F15</f>
        <v>1285.866943</v>
      </c>
      <c r="G15" s="7">
        <f>[1]SPICEJET!G15+[2]SPICEJET!G15</f>
        <v>1661.81</v>
      </c>
      <c r="H15" s="8">
        <f t="shared" si="0"/>
        <v>77.377494599262249</v>
      </c>
      <c r="I15" s="9">
        <f>[1]SPICEJET!I15+[2]SPICEJET!I15</f>
        <v>9870.7425299999959</v>
      </c>
      <c r="J15" s="9">
        <f>[1]SPICEJET!J15+[2]SPICEJET!J15</f>
        <v>0</v>
      </c>
      <c r="K15" s="9">
        <f>[1]SPICEJET!K15+[2]SPICEJET!K15</f>
        <v>9870.7425299999959</v>
      </c>
      <c r="L15" s="9">
        <f>[1]SPICEJET!L15+[2]SPICEJET!L15</f>
        <v>96.442089545000002</v>
      </c>
      <c r="M15" s="9">
        <f>[1]SPICEJET!M15+[2]SPICEJET!M15</f>
        <v>16.868659307769999</v>
      </c>
      <c r="N15" s="9">
        <f>[1]SPICEJET!N15+[2]SPICEJET!N15</f>
        <v>0</v>
      </c>
      <c r="O15" s="9">
        <f>[1]SPICEJET!O15+[2]SPICEJET!O15</f>
        <v>113.31074885277</v>
      </c>
      <c r="P15" s="9">
        <f>[1]SPICEJET!P15+[2]SPICEJET!P15</f>
        <v>186.693635</v>
      </c>
      <c r="Q15" s="8">
        <f t="shared" si="1"/>
        <v>60.693418312182956</v>
      </c>
    </row>
    <row r="16" spans="1:17" ht="22.15" customHeight="1" x14ac:dyDescent="0.25">
      <c r="A16" s="23">
        <v>44228</v>
      </c>
      <c r="B16" s="2">
        <f>[1]SPICEJET!B16+[2]SPICEJET!B16</f>
        <v>9778</v>
      </c>
      <c r="C16" s="2">
        <f>[1]SPICEJET!C16+[2]SPICEJET!C16</f>
        <v>16902.066666666666</v>
      </c>
      <c r="D16" s="2">
        <f>[1]SPICEJET!D16+[2]SPICEJET!D16</f>
        <v>10545.856</v>
      </c>
      <c r="E16" s="2">
        <f>[1]SPICEJET!E16+[2]SPICEJET!E16</f>
        <v>1044246</v>
      </c>
      <c r="F16" s="2">
        <f>[1]SPICEJET!F16+[2]SPICEJET!F16</f>
        <v>1190.6723850000001</v>
      </c>
      <c r="G16" s="2">
        <f>[1]SPICEJET!G16+[2]SPICEJET!G16</f>
        <v>1515.5828279999998</v>
      </c>
      <c r="H16" s="3">
        <f t="shared" si="0"/>
        <v>78.562013438172855</v>
      </c>
      <c r="I16" s="3">
        <f>[1]SPICEJET!I16+[2]SPICEJET!I16</f>
        <v>9070.5672200000081</v>
      </c>
      <c r="J16" s="3">
        <f>[1]SPICEJET!J16+[2]SPICEJET!J16</f>
        <v>0</v>
      </c>
      <c r="K16" s="3">
        <f>[1]SPICEJET!K16+[2]SPICEJET!K16</f>
        <v>9070.5672200000081</v>
      </c>
      <c r="L16" s="3">
        <f>[1]SPICEJET!L16+[2]SPICEJET!L16</f>
        <v>89.304641285000002</v>
      </c>
      <c r="M16" s="3">
        <f>[1]SPICEJET!M16+[2]SPICEJET!M16</f>
        <v>15.37453868343999</v>
      </c>
      <c r="N16" s="3">
        <f>[1]SPICEJET!N16+[2]SPICEJET!N16</f>
        <v>0</v>
      </c>
      <c r="O16" s="3">
        <f>[1]SPICEJET!O16+[2]SPICEJET!O16</f>
        <v>104.67917996844</v>
      </c>
      <c r="P16" s="3">
        <f>[1]SPICEJET!P16+[2]SPICEJET!P16</f>
        <v>171.87188559999998</v>
      </c>
      <c r="Q16" s="3">
        <f t="shared" si="1"/>
        <v>60.905353777325409</v>
      </c>
    </row>
    <row r="17" spans="1:17" s="10" customFormat="1" ht="22.15" customHeight="1" x14ac:dyDescent="0.25">
      <c r="A17" s="24">
        <v>44256</v>
      </c>
      <c r="B17" s="7">
        <f>[1]SPICEJET!B17+[2]SPICEJET!B17</f>
        <v>10673</v>
      </c>
      <c r="C17" s="7">
        <f>[1]SPICEJET!C17+[2]SPICEJET!C17</f>
        <v>18494.900000000001</v>
      </c>
      <c r="D17" s="7">
        <f>[1]SPICEJET!D17+[2]SPICEJET!D17</f>
        <v>11608.064</v>
      </c>
      <c r="E17" s="7">
        <f>[1]SPICEJET!E17+[2]SPICEJET!E17</f>
        <v>1089839</v>
      </c>
      <c r="F17" s="7">
        <f>[1]SPICEJET!F17+[2]SPICEJET!F17</f>
        <v>1249.1497980000001</v>
      </c>
      <c r="G17" s="7">
        <f>[1]SPICEJET!G17+[2]SPICEJET!G17</f>
        <v>1629.1185679999999</v>
      </c>
      <c r="H17" s="8">
        <f t="shared" si="0"/>
        <v>76.676420153600517</v>
      </c>
      <c r="I17" s="9">
        <f>[1]SPICEJET!I17+[2]SPICEJET!I17</f>
        <v>9701.0206999999991</v>
      </c>
      <c r="J17" s="9">
        <f>[1]SPICEJET!J17+[2]SPICEJET!J17</f>
        <v>0</v>
      </c>
      <c r="K17" s="9">
        <f>[1]SPICEJET!K17+[2]SPICEJET!K17</f>
        <v>9701.0206999999991</v>
      </c>
      <c r="L17" s="9">
        <f>[1]SPICEJET!L17+[2]SPICEJET!L17</f>
        <v>93.674276280000001</v>
      </c>
      <c r="M17" s="9">
        <f>[1]SPICEJET!M17+[2]SPICEJET!M17</f>
        <v>18.139777803409999</v>
      </c>
      <c r="N17" s="9">
        <f>[1]SPICEJET!N17+[2]SPICEJET!N17</f>
        <v>0</v>
      </c>
      <c r="O17" s="9">
        <f>[1]SPICEJET!O17+[2]SPICEJET!O17</f>
        <v>111.81405408341001</v>
      </c>
      <c r="P17" s="9">
        <f>[1]SPICEJET!P17+[2]SPICEJET!P17</f>
        <v>194.730672</v>
      </c>
      <c r="Q17" s="8">
        <f t="shared" si="1"/>
        <v>57.419847081619494</v>
      </c>
    </row>
    <row r="18" spans="1:17" ht="22.15" customHeight="1" x14ac:dyDescent="0.25">
      <c r="A18" s="4" t="s">
        <v>22</v>
      </c>
      <c r="B18" s="5">
        <f>SUM(B6:B17)</f>
        <v>77275</v>
      </c>
      <c r="C18" s="5">
        <f t="shared" ref="C18:P18" si="2">SUM(C6:C17)</f>
        <v>134564.31666666668</v>
      </c>
      <c r="D18" s="5">
        <f t="shared" si="2"/>
        <v>85275.459000000017</v>
      </c>
      <c r="E18" s="5">
        <f t="shared" si="2"/>
        <v>7735003</v>
      </c>
      <c r="F18" s="5">
        <f t="shared" si="2"/>
        <v>9096.5796790000004</v>
      </c>
      <c r="G18" s="5">
        <f t="shared" si="2"/>
        <v>11841.246959</v>
      </c>
      <c r="H18" s="6">
        <f t="shared" si="0"/>
        <v>76.821129653799673</v>
      </c>
      <c r="I18" s="6">
        <f t="shared" si="2"/>
        <v>105205.63920786943</v>
      </c>
      <c r="J18" s="3">
        <v>0</v>
      </c>
      <c r="K18" s="6">
        <f t="shared" si="2"/>
        <v>105205.63920786943</v>
      </c>
      <c r="L18" s="6">
        <f t="shared" si="2"/>
        <v>682.3863011000002</v>
      </c>
      <c r="M18" s="6">
        <f t="shared" si="2"/>
        <v>163.29766425289003</v>
      </c>
      <c r="N18" s="3">
        <v>0</v>
      </c>
      <c r="O18" s="6">
        <f t="shared" si="2"/>
        <v>845.68396535289037</v>
      </c>
      <c r="P18" s="6">
        <f t="shared" si="2"/>
        <v>1384.6549265299998</v>
      </c>
      <c r="Q18" s="6">
        <f t="shared" si="1"/>
        <v>61.075431080305911</v>
      </c>
    </row>
    <row r="19" spans="1:17" ht="22.15" customHeight="1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  <row r="20" spans="1:17" x14ac:dyDescent="0.25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2022-04-26T05:57:24Z</cp:lastPrinted>
  <dcterms:created xsi:type="dcterms:W3CDTF">2020-06-03T10:37:13Z</dcterms:created>
  <dcterms:modified xsi:type="dcterms:W3CDTF">2022-04-26T05:57:30Z</dcterms:modified>
</cp:coreProperties>
</file>