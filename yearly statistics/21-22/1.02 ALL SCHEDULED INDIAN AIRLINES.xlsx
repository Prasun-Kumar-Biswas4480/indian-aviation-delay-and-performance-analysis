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8" i="1" l="1"/>
  <c r="J18" i="1"/>
  <c r="K18" i="1"/>
  <c r="L18" i="1"/>
  <c r="M18" i="1"/>
  <c r="N18" i="1"/>
  <c r="O18" i="1"/>
  <c r="P18" i="1"/>
  <c r="I18" i="1"/>
  <c r="H18" i="1"/>
  <c r="C18" i="1"/>
  <c r="D18" i="1"/>
  <c r="E18" i="1"/>
  <c r="F18" i="1"/>
  <c r="G18" i="1"/>
  <c r="B18" i="1"/>
</calcChain>
</file>

<file path=xl/sharedStrings.xml><?xml version="1.0" encoding="utf-8"?>
<sst xmlns="http://schemas.openxmlformats.org/spreadsheetml/2006/main" count="27" uniqueCount="25">
  <si>
    <t>Table 1.02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</si>
  <si>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</si>
  <si>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</si>
  <si>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</si>
  <si>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</si>
  <si>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</si>
  <si>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</si>
  <si>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</si>
  <si>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</si>
  <si>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</si>
  <si>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</si>
  <si>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</si>
  <si>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</si>
  <si>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</si>
  <si>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</si>
  <si>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</si>
  <si>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</si>
  <si>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</si>
  <si>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</si>
  <si>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</si>
  <si>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</si>
  <si>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- 1.02 (सभी अनुसूचित भारतीय एयरलाइन्स) </t>
  </si>
  <si>
    <t>* DENOTES that THE INTERNATIONAL OPERATIONS BY SCHEDULED INDIAN OPERATORS WERE CARRIED AS PER DGCA’S CIRCULAR DATED 26.03.2020 UNDER COVID-19 RESTRICTION.</t>
  </si>
  <si>
    <t>MONTHLY TRAFFIC AND OPERATING STATISTICS OF ALL SCHEDULED INDIAN AIRLINES ON SCHEDULED INTERNATIONAL SERVICES DURING 2021-22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</si>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</sst>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2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20"/>
  <sheetViews>
    <sheetView tabSelected="1" topLeftCell="A10" zoomScale="95" zoomScaleNormal="95" zoomScaleSheetLayoutView="100" workbookViewId="0">
      <selection activeCell="A14" sqref="A14"/>
    </sheetView>
  </sheetViews>
  <sheetFormatPr defaultColWidth="9.140625" defaultRowHeight="15" x14ac:dyDescent="0.25"/>
  <cols>
    <col min="1" max="1" width="10.140625" style="1" customWidth="1"/>
    <col min="2" max="2" width="10.42578125" style="1" bestFit="1" customWidth="1"/>
    <col min="3" max="3" width="10.28515625" style="1" customWidth="1"/>
    <col min="4" max="4" width="9.28515625" style="1" customWidth="1"/>
    <col min="5" max="5" width="12.7109375" style="1" bestFit="1" customWidth="1"/>
    <col min="6" max="6" width="8.85546875" style="1" bestFit="1" customWidth="1"/>
    <col min="7" max="7" width="9.42578125" style="1" customWidth="1"/>
    <col min="8" max="8" width="7.5703125" style="1" customWidth="1"/>
    <col min="9" max="9" width="11.42578125" style="1" customWidth="1"/>
    <col min="10" max="10" width="9.5703125" style="1" bestFit="1" customWidth="1"/>
    <col min="11" max="11" width="11.2851562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2.8554687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1</v>
      </c>
      <c r="B4" s="18" t="s">
        <v>2</v>
      </c>
      <c r="C4" s="18"/>
      <c r="D4" s="18"/>
      <c r="E4" s="18" t="s">
        <v>3</v>
      </c>
      <c r="F4" s="19"/>
      <c r="G4" s="12" t="s">
        <v>4</v>
      </c>
      <c r="H4" s="12" t="s">
        <v>5</v>
      </c>
      <c r="I4" s="18" t="s">
        <v>6</v>
      </c>
      <c r="J4" s="18"/>
      <c r="K4" s="18"/>
      <c r="L4" s="18" t="s">
        <v>7</v>
      </c>
      <c r="M4" s="18"/>
      <c r="N4" s="18"/>
      <c r="O4" s="18"/>
      <c r="P4" s="12" t="s">
        <v>8</v>
      </c>
      <c r="Q4" s="12" t="s">
        <v>9</v>
      </c>
    </row>
    <row r="5" spans="1:17" ht="128.25" customHeight="1" x14ac:dyDescent="0.25">
      <c r="A5" s="18"/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3"/>
      <c r="H5" s="13"/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16</v>
      </c>
      <c r="O5" s="10" t="s">
        <v>17</v>
      </c>
      <c r="P5" s="13"/>
      <c r="Q5" s="13"/>
    </row>
    <row r="6" spans="1:17" ht="30" customHeight="1" x14ac:dyDescent="0.25">
      <c r="A6" s="4">
        <v>44287</v>
      </c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30" customHeight="1" x14ac:dyDescent="0.25">
      <c r="A7" s="4">
        <v>44317</v>
      </c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30" customHeight="1" x14ac:dyDescent="0.25">
      <c r="A8" s="4">
        <v>44348</v>
      </c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30" customHeight="1" x14ac:dyDescent="0.25">
      <c r="A9" s="4">
        <v>44378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30" customHeight="1" x14ac:dyDescent="0.25">
      <c r="A10" s="4">
        <v>44409</v>
      </c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30" customHeight="1" x14ac:dyDescent="0.25">
      <c r="A11" s="4">
        <v>44440</v>
      </c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30" customHeight="1" x14ac:dyDescent="0.25">
      <c r="A12" s="4">
        <v>44470</v>
      </c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30" customHeight="1" x14ac:dyDescent="0.25">
      <c r="A13" s="4">
        <v>44501</v>
      </c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30" customHeight="1" x14ac:dyDescent="0.25">
      <c r="A14" s="4">
        <v>44531</v>
      </c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30" customHeight="1" x14ac:dyDescent="0.25">
      <c r="A15" s="4">
        <v>44562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30" customHeight="1" x14ac:dyDescent="0.25">
      <c r="A16" s="4">
        <v>44593</v>
      </c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30" customHeight="1" x14ac:dyDescent="0.25">
      <c r="A17" s="4">
        <v>44621</v>
      </c>
      <c r="B17" s="2">
        <v>756</v>
      </c>
      <c r="C17" s="2">
        <v>2784.2333333333336</v>
      </c>
      <c r="D17" s="2">
        <v>1816.567</v>
      </c>
      <c r="E17" s="2">
        <v>114371</v>
      </c>
      <c r="F17" s="2">
        <v>286.26495599999998</v>
      </c>
      <c r="G17" s="2">
        <v>349.11418400000002</v>
      </c>
      <c r="H17" s="3">
        <v>81.997515174003922</v>
      </c>
      <c r="I17" s="3">
        <v>919.62549000000013</v>
      </c>
      <c r="J17" s="3"/>
      <c r="K17" s="3">
        <v>919.62549000000013</v>
      </c>
      <c r="L17" s="3">
        <v>25.851984089999998</v>
      </c>
      <c r="M17" s="3">
        <v>2.7607930705899997</v>
      </c>
      <c r="N17" s="3">
        <v>0</v>
      </c>
      <c r="O17" s="3">
        <v>28.612777160589999</v>
      </c>
      <c r="P17" s="3">
        <v>41.032313127000002</v>
      </c>
      <c r="Q17" s="3">
        <v>69.732303592122562</v>
      </c>
    </row>
    <row r="18" spans="1:17" ht="30" customHeight="1" x14ac:dyDescent="0.25">
      <c r="A18" s="7" t="s">
        <v>24</v>
      </c>
      <c r="B18" s="8">
        <f>SUM(B6:B17)</f>
        <v>756</v>
      </c>
      <c r="C18" s="8">
        <f t="shared" ref="C18:G18" si="0">SUM(C6:C17)</f>
        <v>2784.2333333333336</v>
      </c>
      <c r="D18" s="8">
        <f t="shared" si="0"/>
        <v>1816.567</v>
      </c>
      <c r="E18" s="8">
        <f t="shared" si="0"/>
        <v>114371</v>
      </c>
      <c r="F18" s="8">
        <f t="shared" si="0"/>
        <v>286.26495599999998</v>
      </c>
      <c r="G18" s="8">
        <f t="shared" si="0"/>
        <v>349.11418400000002</v>
      </c>
      <c r="H18" s="9">
        <f>F18/G18*100</f>
        <v>81.997515174003922</v>
      </c>
      <c r="I18" s="9">
        <f>SUM(I6:I17)</f>
        <v>919.62549000000013</v>
      </c>
      <c r="J18" s="9">
        <f t="shared" ref="J18:P18" si="1">SUM(J6:J17)</f>
        <v>0</v>
      </c>
      <c r="K18" s="9">
        <f t="shared" si="1"/>
        <v>919.62549000000013</v>
      </c>
      <c r="L18" s="9">
        <f t="shared" si="1"/>
        <v>25.851984089999998</v>
      </c>
      <c r="M18" s="9">
        <f t="shared" si="1"/>
        <v>2.7607930705899997</v>
      </c>
      <c r="N18" s="9">
        <f t="shared" si="1"/>
        <v>0</v>
      </c>
      <c r="O18" s="9">
        <f t="shared" si="1"/>
        <v>28.612777160589999</v>
      </c>
      <c r="P18" s="9">
        <f t="shared" si="1"/>
        <v>41.032313127000002</v>
      </c>
      <c r="Q18" s="9">
        <f>O18/P18*100</f>
        <v>69.732303592122562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1" t="s">
        <v>22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2020-06-11T07:16:07Z</cp:lastPrinted>
  <dcterms:created xsi:type="dcterms:W3CDTF">2018-10-29T04:00:09Z</dcterms:created>
  <dcterms:modified xsi:type="dcterms:W3CDTF">2022-11-16T08:28:22Z</dcterms:modified>
</cp:coreProperties>
</file>