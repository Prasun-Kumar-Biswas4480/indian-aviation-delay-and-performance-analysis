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xWindow="0" yWindow="0" windowWidth="10875" windowHeight="9495"/>
  </bookViews>
  <sheets>
    <sheet name="INDIGO" sheetId="1" r:id="rId1"/>
  </sheets>
  <externalReferences>
    <externalReference r:id="rId2"/>
    <externalReference r:id="rId3"/>
  </externalReferences>
  <definedNames>
    <definedName name="_xlnm.Print_Area" localSheetId="0">INDIGO!$A$1:$Q$20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C7" i="1"/>
  <c r="D7" i="1"/>
  <c r="E7" i="1"/>
  <c r="F7" i="1"/>
  <c r="H7" i="1" s="1"/>
  <c r="G7" i="1"/>
  <c r="I7" i="1"/>
  <c r="J7" i="1"/>
  <c r="L7" i="1"/>
  <c r="M7" i="1"/>
  <c r="N7" i="1"/>
  <c r="P7" i="1"/>
  <c r="C8" i="1"/>
  <c r="D8" i="1"/>
  <c r="E8" i="1"/>
  <c r="F8" i="1"/>
  <c r="H8" i="1" s="1"/>
  <c r="G8" i="1"/>
  <c r="I8" i="1"/>
  <c r="J8" i="1"/>
  <c r="L8" i="1"/>
  <c r="M8" i="1"/>
  <c r="N8" i="1"/>
  <c r="P8" i="1"/>
  <c r="C9" i="1"/>
  <c r="D9" i="1"/>
  <c r="E9" i="1"/>
  <c r="F9" i="1"/>
  <c r="G9" i="1"/>
  <c r="H9" i="1" s="1"/>
  <c r="I9" i="1"/>
  <c r="J9" i="1"/>
  <c r="L9" i="1"/>
  <c r="M9" i="1"/>
  <c r="N9" i="1"/>
  <c r="P9" i="1"/>
  <c r="C10" i="1"/>
  <c r="D10" i="1"/>
  <c r="E10" i="1"/>
  <c r="F10" i="1"/>
  <c r="G10" i="1"/>
  <c r="I10" i="1"/>
  <c r="J10" i="1"/>
  <c r="L10" i="1"/>
  <c r="M10" i="1"/>
  <c r="N10" i="1"/>
  <c r="P10" i="1"/>
  <c r="C11" i="1"/>
  <c r="D11" i="1"/>
  <c r="E11" i="1"/>
  <c r="F11" i="1"/>
  <c r="G11" i="1"/>
  <c r="H11" i="1" s="1"/>
  <c r="I11" i="1"/>
  <c r="J11" i="1"/>
  <c r="L11" i="1"/>
  <c r="M11" i="1"/>
  <c r="N11" i="1"/>
  <c r="P11" i="1"/>
  <c r="C12" i="1"/>
  <c r="D12" i="1"/>
  <c r="E12" i="1"/>
  <c r="F12" i="1"/>
  <c r="G12" i="1"/>
  <c r="I12" i="1"/>
  <c r="J12" i="1"/>
  <c r="L12" i="1"/>
  <c r="M12" i="1"/>
  <c r="N12" i="1"/>
  <c r="P12" i="1"/>
  <c r="C13" i="1"/>
  <c r="D13" i="1"/>
  <c r="E13" i="1"/>
  <c r="F13" i="1"/>
  <c r="G13" i="1"/>
  <c r="I13" i="1"/>
  <c r="J13" i="1"/>
  <c r="L13" i="1"/>
  <c r="M13" i="1"/>
  <c r="N13" i="1"/>
  <c r="P13" i="1"/>
  <c r="C14" i="1"/>
  <c r="D14" i="1"/>
  <c r="E14" i="1"/>
  <c r="F14" i="1"/>
  <c r="H14" i="1" s="1"/>
  <c r="G14" i="1"/>
  <c r="I14" i="1"/>
  <c r="J14" i="1"/>
  <c r="L14" i="1"/>
  <c r="M14" i="1"/>
  <c r="N14" i="1"/>
  <c r="P14" i="1"/>
  <c r="C15" i="1"/>
  <c r="D15" i="1"/>
  <c r="E15" i="1"/>
  <c r="F15" i="1"/>
  <c r="G15" i="1"/>
  <c r="I15" i="1"/>
  <c r="J15" i="1"/>
  <c r="L15" i="1"/>
  <c r="M15" i="1"/>
  <c r="N15" i="1"/>
  <c r="P15" i="1"/>
  <c r="C16" i="1"/>
  <c r="D16" i="1"/>
  <c r="E16" i="1"/>
  <c r="F16" i="1"/>
  <c r="H16" i="1" s="1"/>
  <c r="G16" i="1"/>
  <c r="I16" i="1"/>
  <c r="J16" i="1"/>
  <c r="L16" i="1"/>
  <c r="M16" i="1"/>
  <c r="N16" i="1"/>
  <c r="P16" i="1"/>
  <c r="C17" i="1"/>
  <c r="D17" i="1"/>
  <c r="E17" i="1"/>
  <c r="F17" i="1"/>
  <c r="H17" i="1" s="1"/>
  <c r="G17" i="1"/>
  <c r="I17" i="1"/>
  <c r="J17" i="1"/>
  <c r="L17" i="1"/>
  <c r="M17" i="1"/>
  <c r="N17" i="1"/>
  <c r="P17" i="1"/>
  <c r="B7" i="1"/>
  <c r="B8" i="1"/>
  <c r="B9" i="1"/>
  <c r="B10" i="1"/>
  <c r="B11" i="1"/>
  <c r="B12" i="1"/>
  <c r="B13" i="1"/>
  <c r="B14" i="1"/>
  <c r="B15" i="1"/>
  <c r="B16" i="1"/>
  <c r="B17" i="1"/>
  <c r="B6" i="1"/>
  <c r="H15" i="1" l="1"/>
  <c r="H13" i="1"/>
  <c r="H10" i="1"/>
  <c r="H12" i="1"/>
  <c r="C18" i="1"/>
  <c r="P18" i="1"/>
  <c r="I18" i="1" l="1"/>
  <c r="N18" i="1"/>
  <c r="M18" i="1"/>
  <c r="L18" i="1"/>
  <c r="J18" i="1"/>
  <c r="G18" i="1"/>
  <c r="F18" i="1"/>
  <c r="E18" i="1"/>
  <c r="D18" i="1"/>
  <c r="B18" i="1"/>
  <c r="H18" i="1" l="1"/>
  <c r="O8" i="1" l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7" i="1"/>
  <c r="Q7" i="1" s="1"/>
  <c r="K8" i="1"/>
  <c r="K9" i="1"/>
  <c r="K10" i="1"/>
  <c r="K11" i="1"/>
  <c r="K12" i="1"/>
  <c r="K13" i="1"/>
  <c r="K14" i="1"/>
  <c r="K15" i="1"/>
  <c r="K16" i="1"/>
  <c r="K17" i="1"/>
  <c r="K7" i="1"/>
  <c r="O18" i="1" l="1"/>
  <c r="Q18" i="1" s="1"/>
  <c r="K18" i="1"/>
</calcChain>
</file>

<file path=xl/sharedStrings.xml><?xml version="1.0" encoding="utf-8"?>
<sst xmlns="http://schemas.openxmlformats.org/spreadsheetml/2006/main" count="27" uniqueCount="25">
  <si>
    <t xml:space="preserve">तालिका 1.03(इंडिगो) </t>
  </si>
  <si>
    <t>Table 1.03 (INDIGO)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</si>
  <si>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</si>
  <si>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</si>
  <si>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</si>
  <si>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</si>
  <si>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</si>
  <si>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</si>
  <si>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</si>
  <si>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</si>
  <si>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</si>
  <si>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</si>
  <si>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</si>
  <si>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</si>
  <si>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</si>
  <si>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</si>
  <si>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</si>
  <si>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</si>
  <si>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</si>
  <si>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</si>
  <si>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</si>
  <si>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INDIGO</t>
  </si>
  <si>
    <t>2020-21</t>
  </si>
  <si>
    <t>MONTHLY TRAFFIC AND OPERATING STATISTICS OF INDIGO ON SCHEDULED (DOMESTIC + INTERNATIONAL*)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</si>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</sst>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165" fontId="1" fillId="5" borderId="1" xfId="3" applyNumberFormat="1" applyFill="1" applyBorder="1" applyAlignment="1">
      <alignment horizontal="right" vertical="center"/>
    </xf>
    <xf numFmtId="166" fontId="0" fillId="5" borderId="1" xfId="1" applyNumberFormat="1" applyFont="1" applyFill="1" applyBorder="1" applyAlignment="1">
      <alignment horizontal="right" vertical="center"/>
    </xf>
    <xf numFmtId="166" fontId="1" fillId="5" borderId="1" xfId="3" applyNumberFormat="1" applyFill="1" applyBorder="1" applyAlignment="1">
      <alignment horizontal="right" vertical="center"/>
    </xf>
    <xf numFmtId="166" fontId="2" fillId="3" borderId="1" xfId="3" applyNumberFormat="1" applyFont="1" applyBorder="1" applyAlignment="1" applyProtection="1">
      <alignment horizontal="right" vertical="center" wrapText="1"/>
    </xf>
    <xf numFmtId="166" fontId="1" fillId="6" borderId="1" xfId="3" applyNumberFormat="1" applyFill="1" applyBorder="1" applyAlignment="1">
      <alignment horizontal="right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0" fillId="5" borderId="0" xfId="0" applyFill="1"/>
    <xf numFmtId="166" fontId="0" fillId="6" borderId="1" xfId="1" applyNumberFormat="1" applyFont="1" applyFill="1" applyBorder="1" applyAlignment="1">
      <alignment horizontal="right" vertical="center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>
      <alignment horizontal="left" wrapText="1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S%20Terminal%202/Desktop/Yearly%20publication/AD/Traffic%20Data%20Tables%20for%20Scheduled%20Airlines/12.%20INDIGO/1.02%20indigo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ind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O"/>
    </sheetNames>
    <sheetDataSet>
      <sheetData sheetId="0">
        <row r="8">
          <cell r="B8">
            <v>234</v>
          </cell>
          <cell r="C8">
            <v>974</v>
          </cell>
          <cell r="D8">
            <v>648</v>
          </cell>
          <cell r="E8">
            <v>40150</v>
          </cell>
          <cell r="F8">
            <v>105.038</v>
          </cell>
          <cell r="G8">
            <v>116.76600000000001</v>
          </cell>
          <cell r="I8">
            <v>1.669</v>
          </cell>
          <cell r="K8">
            <v>1.669</v>
          </cell>
          <cell r="L8">
            <v>9.10482543</v>
          </cell>
          <cell r="M8">
            <v>2.6964619999999997E-3</v>
          </cell>
          <cell r="O8">
            <v>9.1075218919999994</v>
          </cell>
          <cell r="P8">
            <v>13.949388079</v>
          </cell>
        </row>
        <row r="9">
          <cell r="B9">
            <v>493</v>
          </cell>
          <cell r="C9">
            <v>1456.25</v>
          </cell>
          <cell r="D9">
            <v>1304.8309999999999</v>
          </cell>
          <cell r="E9">
            <v>72878</v>
          </cell>
          <cell r="F9">
            <v>198.71100000000001</v>
          </cell>
          <cell r="G9">
            <v>242.327</v>
          </cell>
          <cell r="I9">
            <v>42.192</v>
          </cell>
          <cell r="K9">
            <v>42.192</v>
          </cell>
          <cell r="L9">
            <v>16.808153129999997</v>
          </cell>
          <cell r="M9">
            <v>0.11277912499999999</v>
          </cell>
          <cell r="O9">
            <v>16.920932254999997</v>
          </cell>
          <cell r="P9">
            <v>29.040100148000001</v>
          </cell>
        </row>
        <row r="10">
          <cell r="B10">
            <v>586</v>
          </cell>
          <cell r="C10">
            <v>2256.41</v>
          </cell>
          <cell r="D10">
            <v>1484.366</v>
          </cell>
          <cell r="E10">
            <v>65082</v>
          </cell>
          <cell r="F10">
            <v>178.286</v>
          </cell>
          <cell r="G10">
            <v>258.93799999999999</v>
          </cell>
          <cell r="I10">
            <v>301.12571000000003</v>
          </cell>
          <cell r="K10">
            <v>301.12571000000003</v>
          </cell>
          <cell r="L10">
            <v>15.273371789999999</v>
          </cell>
          <cell r="M10">
            <v>0.78530056440999996</v>
          </cell>
          <cell r="O10">
            <v>16.05867235441</v>
          </cell>
          <cell r="P10">
            <v>18.0303073</v>
          </cell>
        </row>
        <row r="11">
          <cell r="B11">
            <v>807</v>
          </cell>
          <cell r="C11">
            <v>3140.33</v>
          </cell>
          <cell r="D11">
            <v>2102.4340000000002</v>
          </cell>
          <cell r="E11">
            <v>99219</v>
          </cell>
          <cell r="F11">
            <v>264.49099999999999</v>
          </cell>
          <cell r="G11">
            <v>371.291</v>
          </cell>
          <cell r="I11">
            <v>486.57000000000011</v>
          </cell>
          <cell r="K11">
            <v>486.57000000000011</v>
          </cell>
          <cell r="L11">
            <v>22.868349569999999</v>
          </cell>
          <cell r="M11">
            <v>1.31759027565</v>
          </cell>
          <cell r="O11">
            <v>24.185939845650001</v>
          </cell>
          <cell r="P11">
            <v>43.867869001000003</v>
          </cell>
        </row>
        <row r="12">
          <cell r="B12">
            <v>961</v>
          </cell>
          <cell r="C12">
            <v>3617.3166000000001</v>
          </cell>
          <cell r="D12">
            <v>2447.681</v>
          </cell>
          <cell r="E12">
            <v>129991</v>
          </cell>
          <cell r="F12">
            <v>336.53800000000001</v>
          </cell>
          <cell r="G12">
            <v>432.97</v>
          </cell>
          <cell r="I12">
            <v>604.47799999999995</v>
          </cell>
          <cell r="K12">
            <v>604.47799999999995</v>
          </cell>
          <cell r="L12">
            <v>29.38735179</v>
          </cell>
          <cell r="M12">
            <v>1.54295869235</v>
          </cell>
          <cell r="O12">
            <v>30.930310482350002</v>
          </cell>
          <cell r="P12">
            <v>48.659799727999996</v>
          </cell>
        </row>
        <row r="13">
          <cell r="B13">
            <v>1033</v>
          </cell>
          <cell r="C13">
            <v>3572.8833300000001</v>
          </cell>
          <cell r="D13">
            <v>2513.4380000000001</v>
          </cell>
          <cell r="E13">
            <v>142830</v>
          </cell>
          <cell r="F13">
            <v>356.12799999999999</v>
          </cell>
          <cell r="G13">
            <v>441.04599999999999</v>
          </cell>
          <cell r="I13">
            <v>688.21299999999997</v>
          </cell>
          <cell r="K13">
            <v>688.21299999999997</v>
          </cell>
          <cell r="L13">
            <v>31.6281249</v>
          </cell>
          <cell r="M13">
            <v>1.7059446390000002</v>
          </cell>
          <cell r="O13">
            <v>33.334069538999998</v>
          </cell>
          <cell r="P13">
            <v>52.370135445999999</v>
          </cell>
        </row>
        <row r="14">
          <cell r="B14">
            <v>1251</v>
          </cell>
          <cell r="C14">
            <v>4516.53</v>
          </cell>
          <cell r="D14">
            <v>2976.9430000000002</v>
          </cell>
          <cell r="E14">
            <v>173098</v>
          </cell>
          <cell r="F14">
            <v>420.97300000000001</v>
          </cell>
          <cell r="G14">
            <v>527.46900000000005</v>
          </cell>
          <cell r="J14">
            <v>840.12950999999975</v>
          </cell>
          <cell r="K14">
            <v>840.12950999999975</v>
          </cell>
          <cell r="L14">
            <v>36.803298509999998</v>
          </cell>
          <cell r="M14">
            <v>0</v>
          </cell>
          <cell r="N14">
            <v>1.7377185377000002</v>
          </cell>
          <cell r="O14">
            <v>38.541017047699995</v>
          </cell>
          <cell r="P14">
            <v>59.51677711</v>
          </cell>
        </row>
        <row r="15">
          <cell r="B15">
            <v>1605</v>
          </cell>
          <cell r="C15">
            <v>5941.95</v>
          </cell>
          <cell r="D15">
            <v>4255.6989999999996</v>
          </cell>
          <cell r="E15">
            <v>180217</v>
          </cell>
          <cell r="F15">
            <v>447.209</v>
          </cell>
          <cell r="G15">
            <v>614.904</v>
          </cell>
          <cell r="I15">
            <v>3146.8945899999999</v>
          </cell>
          <cell r="K15">
            <v>3146.8945899999999</v>
          </cell>
          <cell r="L15">
            <v>38.48053779</v>
          </cell>
          <cell r="M15">
            <v>6.1645518617899988</v>
          </cell>
          <cell r="O15">
            <v>44.645089651790002</v>
          </cell>
          <cell r="P15">
            <v>76.569856909999999</v>
          </cell>
        </row>
        <row r="16">
          <cell r="B16">
            <v>1552</v>
          </cell>
          <cell r="C16">
            <v>5610.55</v>
          </cell>
          <cell r="D16">
            <v>3636.1379999999999</v>
          </cell>
          <cell r="E16">
            <v>183348</v>
          </cell>
          <cell r="F16">
            <v>438.673</v>
          </cell>
          <cell r="G16">
            <v>585.59799999999996</v>
          </cell>
          <cell r="I16">
            <v>2894.1583400000009</v>
          </cell>
          <cell r="K16">
            <v>2894.1583400000009</v>
          </cell>
          <cell r="L16">
            <v>41.783137519999997</v>
          </cell>
          <cell r="M16">
            <v>2.4172866405200004</v>
          </cell>
          <cell r="O16">
            <v>44.200424160520001</v>
          </cell>
          <cell r="P16">
            <v>63.539164984999999</v>
          </cell>
        </row>
        <row r="17">
          <cell r="B17">
            <v>1846</v>
          </cell>
          <cell r="C17">
            <v>6604.1</v>
          </cell>
          <cell r="D17">
            <v>4250.8540000000003</v>
          </cell>
          <cell r="E17">
            <v>211386</v>
          </cell>
          <cell r="F17">
            <v>502.685</v>
          </cell>
          <cell r="G17">
            <v>701.50599999999997</v>
          </cell>
          <cell r="I17">
            <v>3692.0319299999996</v>
          </cell>
          <cell r="K17">
            <v>3692.0319299999996</v>
          </cell>
          <cell r="L17">
            <v>47.89911257</v>
          </cell>
          <cell r="M17">
            <v>3.62349807922</v>
          </cell>
          <cell r="O17">
            <v>51.522610649219999</v>
          </cell>
          <cell r="P17">
            <v>86.091286732000015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O"/>
    </sheetNames>
    <sheetDataSet>
      <sheetData sheetId="0">
        <row r="6"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</row>
        <row r="7">
          <cell r="B7">
            <v>1575</v>
          </cell>
          <cell r="C7">
            <v>2714.58</v>
          </cell>
          <cell r="D7">
            <v>1473</v>
          </cell>
          <cell r="E7">
            <v>142254</v>
          </cell>
          <cell r="F7">
            <v>141.38300000000001</v>
          </cell>
          <cell r="G7">
            <v>268.98500000000001</v>
          </cell>
          <cell r="I7">
            <v>782.26099999999951</v>
          </cell>
          <cell r="J7">
            <v>192.678</v>
          </cell>
          <cell r="K7">
            <v>974.93899999999951</v>
          </cell>
          <cell r="L7">
            <v>12.712999999999999</v>
          </cell>
          <cell r="M7">
            <v>0.97399999999999998</v>
          </cell>
          <cell r="N7">
            <v>0.16700000000000001</v>
          </cell>
          <cell r="O7">
            <v>13.853999999999999</v>
          </cell>
          <cell r="P7">
            <v>30.074999999999999</v>
          </cell>
        </row>
        <row r="8">
          <cell r="B8">
            <v>10341</v>
          </cell>
          <cell r="C8">
            <v>17810.330000000002</v>
          </cell>
          <cell r="D8">
            <v>9437</v>
          </cell>
          <cell r="E8">
            <v>1046836</v>
          </cell>
          <cell r="F8">
            <v>1038.2629999999999</v>
          </cell>
          <cell r="G8">
            <v>1711.028</v>
          </cell>
          <cell r="I8">
            <v>7860.9955099999997</v>
          </cell>
          <cell r="J8">
            <v>1410.2046500000008</v>
          </cell>
          <cell r="K8">
            <v>9271.2001600000003</v>
          </cell>
          <cell r="L8">
            <v>93.441999999999993</v>
          </cell>
          <cell r="M8">
            <v>8.9789999999999992</v>
          </cell>
          <cell r="N8">
            <v>1.238</v>
          </cell>
          <cell r="O8">
            <v>103.65899999999999</v>
          </cell>
          <cell r="P8">
            <v>194.00299999999999</v>
          </cell>
        </row>
        <row r="9">
          <cell r="B9">
            <v>13094</v>
          </cell>
          <cell r="C9">
            <v>22743.5</v>
          </cell>
          <cell r="D9">
            <v>11616.535</v>
          </cell>
          <cell r="E9">
            <v>1272240</v>
          </cell>
          <cell r="F9">
            <v>1240.088</v>
          </cell>
          <cell r="G9">
            <v>2060.4639999999999</v>
          </cell>
          <cell r="I9">
            <v>10776.52605</v>
          </cell>
          <cell r="J9">
            <v>1797.6017999999995</v>
          </cell>
          <cell r="K9">
            <v>12574.127850000001</v>
          </cell>
          <cell r="L9">
            <v>111.59641962000001</v>
          </cell>
          <cell r="M9">
            <v>11.74725343335</v>
          </cell>
          <cell r="N9">
            <v>1.5882162173300001</v>
          </cell>
          <cell r="O9">
            <v>124.93188927068</v>
          </cell>
          <cell r="P9">
            <v>233.50352340800001</v>
          </cell>
        </row>
        <row r="10">
          <cell r="B10">
            <v>15897</v>
          </cell>
          <cell r="C10">
            <v>27875</v>
          </cell>
          <cell r="D10">
            <v>14060.191999999999</v>
          </cell>
          <cell r="E10">
            <v>1681787</v>
          </cell>
          <cell r="F10">
            <v>1633.951</v>
          </cell>
          <cell r="G10">
            <v>2490.194</v>
          </cell>
          <cell r="I10">
            <v>11349.06493</v>
          </cell>
          <cell r="J10">
            <v>1959.6480899999999</v>
          </cell>
          <cell r="K10">
            <v>13308.713020000001</v>
          </cell>
          <cell r="L10">
            <v>147.01440033</v>
          </cell>
          <cell r="M10">
            <v>9.6401705769900108</v>
          </cell>
          <cell r="N10">
            <v>1.6712809458900002</v>
          </cell>
          <cell r="O10">
            <v>158.32585185288002</v>
          </cell>
          <cell r="P10">
            <v>165.61003539999999</v>
          </cell>
        </row>
        <row r="11">
          <cell r="B11">
            <v>21063</v>
          </cell>
          <cell r="C11">
            <v>37320.050000000003</v>
          </cell>
          <cell r="D11">
            <v>19101.914000000001</v>
          </cell>
          <cell r="E11">
            <v>2265539</v>
          </cell>
          <cell r="F11">
            <v>2233.4749999999999</v>
          </cell>
          <cell r="G11">
            <v>3415.4969999999998</v>
          </cell>
          <cell r="I11">
            <v>13099.07121</v>
          </cell>
          <cell r="J11">
            <v>2296.4352200000017</v>
          </cell>
          <cell r="K11">
            <v>15395.506430000001</v>
          </cell>
          <cell r="L11">
            <v>200.97457470000001</v>
          </cell>
          <cell r="M11">
            <v>14.798240709789999</v>
          </cell>
          <cell r="N11">
            <v>1.89775164442</v>
          </cell>
          <cell r="O11">
            <v>217.67056705421001</v>
          </cell>
          <cell r="P11">
            <v>381.91156579199901</v>
          </cell>
        </row>
        <row r="12">
          <cell r="B12">
            <v>24853</v>
          </cell>
          <cell r="C12">
            <v>43914.95</v>
          </cell>
          <cell r="D12">
            <v>22864.053</v>
          </cell>
          <cell r="E12">
            <v>2926835</v>
          </cell>
          <cell r="F12">
            <v>2820.75</v>
          </cell>
          <cell r="G12">
            <v>4137.2330000000002</v>
          </cell>
          <cell r="I12">
            <v>15877.95055</v>
          </cell>
          <cell r="J12">
            <v>2522.1640699999998</v>
          </cell>
          <cell r="K12">
            <v>18400.11462</v>
          </cell>
          <cell r="L12">
            <v>253.79787194444015</v>
          </cell>
          <cell r="M12">
            <v>17.89014475654</v>
          </cell>
          <cell r="N12">
            <v>2.1588349027499998</v>
          </cell>
          <cell r="O12">
            <v>273.84685160373016</v>
          </cell>
          <cell r="P12">
            <v>435.74118558599997</v>
          </cell>
        </row>
        <row r="13">
          <cell r="B13">
            <v>26786</v>
          </cell>
          <cell r="C13">
            <v>47267.58</v>
          </cell>
          <cell r="D13">
            <v>24377.119999999999</v>
          </cell>
          <cell r="E13">
            <v>3423059</v>
          </cell>
          <cell r="F13">
            <v>3280.7919999999999</v>
          </cell>
          <cell r="G13">
            <v>4435.0959999999995</v>
          </cell>
          <cell r="I13">
            <v>15035.611000000001</v>
          </cell>
          <cell r="J13">
            <v>2287.2709999999979</v>
          </cell>
          <cell r="K13">
            <v>17322.881999999998</v>
          </cell>
          <cell r="L13">
            <v>295.26551576999998</v>
          </cell>
          <cell r="M13">
            <v>16.651888065999998</v>
          </cell>
          <cell r="N13">
            <v>2.0729380239999999</v>
          </cell>
          <cell r="O13">
            <v>313.99034185999994</v>
          </cell>
          <cell r="P13">
            <v>496.27927480100004</v>
          </cell>
        </row>
        <row r="14">
          <cell r="B14">
            <v>31847</v>
          </cell>
          <cell r="C14">
            <v>56527.51</v>
          </cell>
          <cell r="D14">
            <v>28845.914000000001</v>
          </cell>
          <cell r="E14">
            <v>3951522</v>
          </cell>
          <cell r="F14">
            <v>3768.24</v>
          </cell>
          <cell r="G14">
            <v>5270.1750000000002</v>
          </cell>
          <cell r="I14">
            <v>15997.50776</v>
          </cell>
          <cell r="J14">
            <v>2878.1920899999964</v>
          </cell>
          <cell r="K14">
            <v>18875.699849999997</v>
          </cell>
          <cell r="L14">
            <v>339.05073284999997</v>
          </cell>
          <cell r="M14">
            <v>18.088352529510001</v>
          </cell>
          <cell r="N14">
            <v>2.7136882046299902</v>
          </cell>
          <cell r="O14">
            <v>359.85277358413998</v>
          </cell>
          <cell r="P14">
            <v>556.20223374100101</v>
          </cell>
        </row>
        <row r="15">
          <cell r="B15">
            <v>34461</v>
          </cell>
          <cell r="C15">
            <v>61464.9</v>
          </cell>
          <cell r="D15">
            <v>31362.842000000001</v>
          </cell>
          <cell r="E15">
            <v>4202712</v>
          </cell>
          <cell r="F15">
            <v>3983.7669999999998</v>
          </cell>
          <cell r="G15">
            <v>5746.9350000000004</v>
          </cell>
          <cell r="I15">
            <v>16154.855310000008</v>
          </cell>
          <cell r="J15">
            <v>2151.0052999999989</v>
          </cell>
          <cell r="K15">
            <v>18305.860610000007</v>
          </cell>
          <cell r="L15">
            <v>358.44952311564907</v>
          </cell>
          <cell r="M15">
            <v>18.385233416999998</v>
          </cell>
          <cell r="N15">
            <v>1.9646401177699999</v>
          </cell>
          <cell r="O15">
            <v>378.79939665041906</v>
          </cell>
          <cell r="P15">
            <v>602.12695019700004</v>
          </cell>
        </row>
        <row r="16">
          <cell r="B16">
            <v>32690</v>
          </cell>
          <cell r="C16">
            <v>58239.43</v>
          </cell>
          <cell r="D16">
            <v>29692.342000000001</v>
          </cell>
          <cell r="E16">
            <v>4238466</v>
          </cell>
          <cell r="F16">
            <v>4039.127</v>
          </cell>
          <cell r="G16">
            <v>5431.2209999999995</v>
          </cell>
          <cell r="I16">
            <v>16743.805050000003</v>
          </cell>
          <cell r="J16">
            <v>2101.3731799999996</v>
          </cell>
          <cell r="K16">
            <v>18845.178230000001</v>
          </cell>
          <cell r="L16">
            <v>363.48050810957062</v>
          </cell>
          <cell r="M16">
            <v>18.92499125794</v>
          </cell>
          <cell r="N16">
            <v>1.86183059442</v>
          </cell>
          <cell r="O16">
            <v>384.26732996193061</v>
          </cell>
          <cell r="P16">
            <v>571.15198021299909</v>
          </cell>
        </row>
        <row r="17">
          <cell r="B17">
            <v>36601</v>
          </cell>
          <cell r="C17">
            <v>64873.2</v>
          </cell>
          <cell r="D17">
            <v>33192.900999999998</v>
          </cell>
          <cell r="E17">
            <v>4184920</v>
          </cell>
          <cell r="F17">
            <v>4038.0279999999998</v>
          </cell>
          <cell r="G17">
            <v>6081.17</v>
          </cell>
          <cell r="I17">
            <v>19304.063279999998</v>
          </cell>
          <cell r="J17">
            <v>2101.2463900000012</v>
          </cell>
          <cell r="K17">
            <v>21405.309669999999</v>
          </cell>
          <cell r="L17">
            <v>363.37405923</v>
          </cell>
          <cell r="M17">
            <v>21.553923664540001</v>
          </cell>
          <cell r="N17">
            <v>1.96549113087</v>
          </cell>
          <cell r="O17">
            <v>386.89347402541</v>
          </cell>
          <cell r="P17">
            <v>643.06686671699799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"/>
  <sheetViews>
    <sheetView tabSelected="1" view="pageBreakPreview" topLeftCell="A11" zoomScale="115" zoomScaleNormal="96" zoomScaleSheetLayoutView="115" workbookViewId="0">
      <selection activeCell="A20" sqref="A1:Q20"/>
    </sheetView>
  </sheetViews>
  <sheetFormatPr defaultRowHeight="15" x14ac:dyDescent="0.25"/>
  <cols>
    <col min="1" max="1" width="12.5703125" customWidth="1"/>
    <col min="2" max="2" width="9.5703125" customWidth="1"/>
    <col min="3" max="4" width="9.85546875" customWidth="1"/>
    <col min="5" max="5" width="11.5703125" customWidth="1"/>
    <col min="6" max="6" width="10.85546875" customWidth="1"/>
    <col min="7" max="7" width="11.28515625" customWidth="1"/>
    <col min="8" max="8" width="9.140625" customWidth="1"/>
    <col min="9" max="9" width="10.5703125" customWidth="1"/>
    <col min="10" max="10" width="9.7109375" customWidth="1"/>
    <col min="11" max="11" width="10.28515625" customWidth="1"/>
    <col min="12" max="12" width="10.85546875" customWidth="1"/>
    <col min="13" max="13" width="9.42578125" customWidth="1"/>
    <col min="14" max="14" width="8.7109375" customWidth="1"/>
    <col min="15" max="15" width="10.5703125" customWidth="1"/>
    <col min="16" max="16" width="13.28515625" customWidth="1"/>
    <col min="17" max="17" width="8.42578125" customWidth="1"/>
  </cols>
  <sheetData>
    <row r="1" spans="1:17" ht="19.899999999999999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9.899999999999999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9.899999999999999" customHeight="1" x14ac:dyDescent="0.25">
      <c r="A3" s="17" t="s">
        <v>23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9.899999999999999" customHeight="1" x14ac:dyDescent="0.25">
      <c r="A4" s="17" t="s">
        <v>2</v>
      </c>
      <c r="B4" s="17" t="s">
        <v>3</v>
      </c>
      <c r="C4" s="17"/>
      <c r="D4" s="17"/>
      <c r="E4" s="17" t="s">
        <v>4</v>
      </c>
      <c r="F4" s="18"/>
      <c r="G4" s="19" t="s">
        <v>5</v>
      </c>
      <c r="H4" s="19" t="s">
        <v>6</v>
      </c>
      <c r="I4" s="17" t="s">
        <v>7</v>
      </c>
      <c r="J4" s="17"/>
      <c r="K4" s="17"/>
      <c r="L4" s="17" t="s">
        <v>8</v>
      </c>
      <c r="M4" s="17"/>
      <c r="N4" s="17"/>
      <c r="O4" s="17"/>
      <c r="P4" s="19" t="s">
        <v>9</v>
      </c>
      <c r="Q4" s="19" t="s">
        <v>10</v>
      </c>
    </row>
    <row r="5" spans="1:17" ht="116.25" customHeight="1" x14ac:dyDescent="0.25">
      <c r="A5" s="17"/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20"/>
      <c r="H5" s="20"/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17</v>
      </c>
      <c r="O5" s="11" t="s">
        <v>18</v>
      </c>
      <c r="P5" s="20"/>
      <c r="Q5" s="20"/>
    </row>
    <row r="6" spans="1:17" ht="24" customHeight="1" x14ac:dyDescent="0.25">
      <c r="A6" s="21">
        <v>43922</v>
      </c>
      <c r="B6" s="1">
        <f>[1]INDIGO!B6+[2]INDIGO!B6</f>
        <v>0</v>
      </c>
      <c r="C6" s="1">
        <f>[1]INDIGO!C6+[2]INDIGO!C6</f>
        <v>0</v>
      </c>
      <c r="D6" s="1">
        <f>[1]INDIGO!D6+[2]INDIGO!D6</f>
        <v>0</v>
      </c>
      <c r="E6" s="1">
        <f>[1]INDIGO!E6+[2]INDIGO!E6</f>
        <v>0</v>
      </c>
      <c r="F6" s="1">
        <f>[1]INDIGO!F6+[2]INDIGO!F6</f>
        <v>0</v>
      </c>
      <c r="G6" s="1">
        <f>[1]INDIGO!G6+[2]INDIGO!G6</f>
        <v>0</v>
      </c>
      <c r="H6" s="1">
        <f>[1]INDIGO!H6+[2]INDIGO!H6</f>
        <v>0</v>
      </c>
      <c r="I6" s="1">
        <f>[1]INDIGO!I6+[2]INDIGO!I6</f>
        <v>0</v>
      </c>
      <c r="J6" s="1">
        <f>[1]INDIGO!J6+[2]INDIGO!J6</f>
        <v>0</v>
      </c>
      <c r="K6" s="1">
        <f>[1]INDIGO!K6+[2]INDIGO!K6</f>
        <v>0</v>
      </c>
      <c r="L6" s="1">
        <f>[1]INDIGO!L6+[2]INDIGO!L6</f>
        <v>0</v>
      </c>
      <c r="M6" s="1">
        <f>[1]INDIGO!M6+[2]INDIGO!M6</f>
        <v>0</v>
      </c>
      <c r="N6" s="1">
        <f>[1]INDIGO!N6+[2]INDIGO!N6</f>
        <v>0</v>
      </c>
      <c r="O6" s="1">
        <f>[1]INDIGO!O6+[2]INDIGO!O6</f>
        <v>0</v>
      </c>
      <c r="P6" s="1">
        <f>[1]INDIGO!P6+[2]INDIGO!P6</f>
        <v>0</v>
      </c>
      <c r="Q6" s="1">
        <f>[1]INDIGO!Q6+[2]INDIGO!Q6</f>
        <v>0</v>
      </c>
    </row>
    <row r="7" spans="1:17" ht="24" customHeight="1" x14ac:dyDescent="0.25">
      <c r="A7" s="22">
        <v>43952</v>
      </c>
      <c r="B7" s="6">
        <f>[1]INDIGO!B7+[2]INDIGO!B7</f>
        <v>1575</v>
      </c>
      <c r="C7" s="6">
        <f>[1]INDIGO!C7+[2]INDIGO!C7</f>
        <v>2714.58</v>
      </c>
      <c r="D7" s="6">
        <f>[1]INDIGO!D7+[2]INDIGO!D7</f>
        <v>1473</v>
      </c>
      <c r="E7" s="6">
        <f>[1]INDIGO!E7+[2]INDIGO!E7</f>
        <v>142254</v>
      </c>
      <c r="F7" s="6">
        <f>[1]INDIGO!F7+[2]INDIGO!F7</f>
        <v>141.38300000000001</v>
      </c>
      <c r="G7" s="6">
        <f>[1]INDIGO!G7+[2]INDIGO!G7</f>
        <v>268.98500000000001</v>
      </c>
      <c r="H7" s="8">
        <f>F7/G7*100</f>
        <v>52.561667007453948</v>
      </c>
      <c r="I7" s="8">
        <f>[1]INDIGO!I7+[2]INDIGO!I7</f>
        <v>782.26099999999951</v>
      </c>
      <c r="J7" s="8">
        <f>[1]INDIGO!J7+[2]INDIGO!J7</f>
        <v>192.678</v>
      </c>
      <c r="K7" s="8">
        <f>[1]INDIGO!K7+[2]INDIGO!K7</f>
        <v>974.93899999999951</v>
      </c>
      <c r="L7" s="8">
        <f>[1]INDIGO!L7+[2]INDIGO!L7</f>
        <v>12.712999999999999</v>
      </c>
      <c r="M7" s="8">
        <f>[1]INDIGO!M7+[2]INDIGO!M7</f>
        <v>0.97399999999999998</v>
      </c>
      <c r="N7" s="8">
        <f>[1]INDIGO!N7+[2]INDIGO!N7</f>
        <v>0.16700000000000001</v>
      </c>
      <c r="O7" s="8">
        <f>[1]INDIGO!O7+[2]INDIGO!O7</f>
        <v>13.853999999999999</v>
      </c>
      <c r="P7" s="8">
        <f>[1]INDIGO!P7+[2]INDIGO!P7</f>
        <v>30.074999999999999</v>
      </c>
      <c r="Q7" s="7">
        <f>O7/P7*100</f>
        <v>46.064837905236907</v>
      </c>
    </row>
    <row r="8" spans="1:17" ht="24" customHeight="1" x14ac:dyDescent="0.25">
      <c r="A8" s="21">
        <v>43983</v>
      </c>
      <c r="B8" s="1">
        <f>[1]INDIGO!B8+[2]INDIGO!B8</f>
        <v>10575</v>
      </c>
      <c r="C8" s="1">
        <f>[1]INDIGO!C8+[2]INDIGO!C8</f>
        <v>18784.330000000002</v>
      </c>
      <c r="D8" s="1">
        <f>[1]INDIGO!D8+[2]INDIGO!D8</f>
        <v>10085</v>
      </c>
      <c r="E8" s="1">
        <f>[1]INDIGO!E8+[2]INDIGO!E8</f>
        <v>1086986</v>
      </c>
      <c r="F8" s="1">
        <f>[1]INDIGO!F8+[2]INDIGO!F8</f>
        <v>1143.3009999999999</v>
      </c>
      <c r="G8" s="1">
        <f>[1]INDIGO!G8+[2]INDIGO!G8</f>
        <v>1827.7940000000001</v>
      </c>
      <c r="H8" s="10">
        <f t="shared" ref="H8:H17" si="0">F8/G8*100</f>
        <v>62.550867329688131</v>
      </c>
      <c r="I8" s="2">
        <f>[1]INDIGO!I8+[2]INDIGO!I8</f>
        <v>7862.6645099999996</v>
      </c>
      <c r="J8" s="2">
        <f>[1]INDIGO!J8+[2]INDIGO!J8</f>
        <v>1410.2046500000008</v>
      </c>
      <c r="K8" s="2">
        <f>[1]INDIGO!K8+[2]INDIGO!K8</f>
        <v>9272.8691600000002</v>
      </c>
      <c r="L8" s="2">
        <f>[1]INDIGO!L8+[2]INDIGO!L8</f>
        <v>102.54682543</v>
      </c>
      <c r="M8" s="2">
        <f>[1]INDIGO!M8+[2]INDIGO!M8</f>
        <v>8.9816964619999986</v>
      </c>
      <c r="N8" s="2">
        <f>[1]INDIGO!N8+[2]INDIGO!N8</f>
        <v>1.238</v>
      </c>
      <c r="O8" s="2">
        <f>[1]INDIGO!O8+[2]INDIGO!O8</f>
        <v>112.76652189199999</v>
      </c>
      <c r="P8" s="2">
        <f>[1]INDIGO!P8+[2]INDIGO!P8</f>
        <v>207.95238807899997</v>
      </c>
      <c r="Q8" s="13">
        <f t="shared" ref="Q8:Q17" si="1">O8/P8*100</f>
        <v>54.227086754666452</v>
      </c>
    </row>
    <row r="9" spans="1:17" ht="24" customHeight="1" x14ac:dyDescent="0.25">
      <c r="A9" s="22">
        <v>44013</v>
      </c>
      <c r="B9" s="6">
        <f>[1]INDIGO!B9+[2]INDIGO!B9</f>
        <v>13587</v>
      </c>
      <c r="C9" s="6">
        <f>[1]INDIGO!C9+[2]INDIGO!C9</f>
        <v>24199.75</v>
      </c>
      <c r="D9" s="6">
        <f>[1]INDIGO!D9+[2]INDIGO!D9</f>
        <v>12921.366</v>
      </c>
      <c r="E9" s="6">
        <f>[1]INDIGO!E9+[2]INDIGO!E9</f>
        <v>1345118</v>
      </c>
      <c r="F9" s="6">
        <f>[1]INDIGO!F9+[2]INDIGO!F9</f>
        <v>1438.799</v>
      </c>
      <c r="G9" s="6">
        <f>[1]INDIGO!G9+[2]INDIGO!G9</f>
        <v>2302.7910000000002</v>
      </c>
      <c r="H9" s="8">
        <f t="shared" si="0"/>
        <v>62.480659339036833</v>
      </c>
      <c r="I9" s="8">
        <f>[1]INDIGO!I9+[2]INDIGO!I9</f>
        <v>10818.718049999999</v>
      </c>
      <c r="J9" s="8">
        <f>[1]INDIGO!J9+[2]INDIGO!J9</f>
        <v>1797.6017999999995</v>
      </c>
      <c r="K9" s="8">
        <f>[1]INDIGO!K9+[2]INDIGO!K9</f>
        <v>12616.31985</v>
      </c>
      <c r="L9" s="8">
        <f>[1]INDIGO!L9+[2]INDIGO!L9</f>
        <v>128.40457275</v>
      </c>
      <c r="M9" s="8">
        <f>[1]INDIGO!M9+[2]INDIGO!M9</f>
        <v>11.860032558349999</v>
      </c>
      <c r="N9" s="8">
        <f>[1]INDIGO!N9+[2]INDIGO!N9</f>
        <v>1.5882162173300001</v>
      </c>
      <c r="O9" s="8">
        <f>[1]INDIGO!O9+[2]INDIGO!O9</f>
        <v>141.85282152567999</v>
      </c>
      <c r="P9" s="8">
        <f>[1]INDIGO!P9+[2]INDIGO!P9</f>
        <v>262.543623556</v>
      </c>
      <c r="Q9" s="7">
        <f t="shared" si="1"/>
        <v>54.030191099051038</v>
      </c>
    </row>
    <row r="10" spans="1:17" ht="24" customHeight="1" x14ac:dyDescent="0.25">
      <c r="A10" s="21">
        <v>44044</v>
      </c>
      <c r="B10" s="1">
        <f>[1]INDIGO!B10+[2]INDIGO!B10</f>
        <v>16483</v>
      </c>
      <c r="C10" s="1">
        <f>[1]INDIGO!C10+[2]INDIGO!C10</f>
        <v>30131.41</v>
      </c>
      <c r="D10" s="1">
        <f>[1]INDIGO!D10+[2]INDIGO!D10</f>
        <v>15544.557999999999</v>
      </c>
      <c r="E10" s="1">
        <f>[1]INDIGO!E10+[2]INDIGO!E10</f>
        <v>1746869</v>
      </c>
      <c r="F10" s="1">
        <f>[1]INDIGO!F10+[2]INDIGO!F10</f>
        <v>1812.2370000000001</v>
      </c>
      <c r="G10" s="1">
        <f>[1]INDIGO!G10+[2]INDIGO!G10</f>
        <v>2749.1320000000001</v>
      </c>
      <c r="H10" s="10">
        <f t="shared" si="0"/>
        <v>65.920334127280896</v>
      </c>
      <c r="I10" s="2">
        <f>[1]INDIGO!I10+[2]INDIGO!I10</f>
        <v>11650.190640000001</v>
      </c>
      <c r="J10" s="2">
        <f>[1]INDIGO!J10+[2]INDIGO!J10</f>
        <v>1959.6480899999999</v>
      </c>
      <c r="K10" s="2">
        <f>[1]INDIGO!K10+[2]INDIGO!K10</f>
        <v>13609.838730000001</v>
      </c>
      <c r="L10" s="2">
        <f>[1]INDIGO!L10+[2]INDIGO!L10</f>
        <v>162.28777212</v>
      </c>
      <c r="M10" s="2">
        <f>[1]INDIGO!M10+[2]INDIGO!M10</f>
        <v>10.42547114140001</v>
      </c>
      <c r="N10" s="2">
        <f>[1]INDIGO!N10+[2]INDIGO!N10</f>
        <v>1.6712809458900002</v>
      </c>
      <c r="O10" s="2">
        <f>[1]INDIGO!O10+[2]INDIGO!O10</f>
        <v>174.38452420729001</v>
      </c>
      <c r="P10" s="2">
        <f>[1]INDIGO!P10+[2]INDIGO!P10</f>
        <v>183.64034269999999</v>
      </c>
      <c r="Q10" s="13">
        <f t="shared" si="1"/>
        <v>94.95981201264118</v>
      </c>
    </row>
    <row r="11" spans="1:17" ht="24" customHeight="1" x14ac:dyDescent="0.25">
      <c r="A11" s="22">
        <v>44075</v>
      </c>
      <c r="B11" s="6">
        <f>[1]INDIGO!B11+[2]INDIGO!B11</f>
        <v>21870</v>
      </c>
      <c r="C11" s="6">
        <f>[1]INDIGO!C11+[2]INDIGO!C11</f>
        <v>40460.380000000005</v>
      </c>
      <c r="D11" s="6">
        <f>[1]INDIGO!D11+[2]INDIGO!D11</f>
        <v>21204.348000000002</v>
      </c>
      <c r="E11" s="6">
        <f>[1]INDIGO!E11+[2]INDIGO!E11</f>
        <v>2364758</v>
      </c>
      <c r="F11" s="6">
        <f>[1]INDIGO!F11+[2]INDIGO!F11</f>
        <v>2497.9659999999999</v>
      </c>
      <c r="G11" s="6">
        <f>[1]INDIGO!G11+[2]INDIGO!G11</f>
        <v>3786.788</v>
      </c>
      <c r="H11" s="8">
        <f t="shared" si="0"/>
        <v>65.965298295019409</v>
      </c>
      <c r="I11" s="8">
        <f>[1]INDIGO!I11+[2]INDIGO!I11</f>
        <v>13585.64121</v>
      </c>
      <c r="J11" s="8">
        <f>[1]INDIGO!J11+[2]INDIGO!J11</f>
        <v>2296.4352200000017</v>
      </c>
      <c r="K11" s="8">
        <f>[1]INDIGO!K11+[2]INDIGO!K11</f>
        <v>15882.076430000001</v>
      </c>
      <c r="L11" s="8">
        <f>[1]INDIGO!L11+[2]INDIGO!L11</f>
        <v>223.84292427</v>
      </c>
      <c r="M11" s="8">
        <f>[1]INDIGO!M11+[2]INDIGO!M11</f>
        <v>16.115830985439999</v>
      </c>
      <c r="N11" s="8">
        <f>[1]INDIGO!N11+[2]INDIGO!N11</f>
        <v>1.89775164442</v>
      </c>
      <c r="O11" s="8">
        <f>[1]INDIGO!O11+[2]INDIGO!O11</f>
        <v>241.85650689986002</v>
      </c>
      <c r="P11" s="8">
        <f>[1]INDIGO!P11+[2]INDIGO!P11</f>
        <v>425.77943479299904</v>
      </c>
      <c r="Q11" s="7">
        <f t="shared" si="1"/>
        <v>56.803238281680578</v>
      </c>
    </row>
    <row r="12" spans="1:17" ht="24" customHeight="1" x14ac:dyDescent="0.25">
      <c r="A12" s="21">
        <v>44105</v>
      </c>
      <c r="B12" s="1">
        <f>[1]INDIGO!B12+[2]INDIGO!B12</f>
        <v>25814</v>
      </c>
      <c r="C12" s="1">
        <f>[1]INDIGO!C12+[2]INDIGO!C12</f>
        <v>47532.266599999995</v>
      </c>
      <c r="D12" s="1">
        <f>[1]INDIGO!D12+[2]INDIGO!D12</f>
        <v>25311.734</v>
      </c>
      <c r="E12" s="1">
        <f>[1]INDIGO!E12+[2]INDIGO!E12</f>
        <v>3056826</v>
      </c>
      <c r="F12" s="1">
        <f>[1]INDIGO!F12+[2]INDIGO!F12</f>
        <v>3157.288</v>
      </c>
      <c r="G12" s="1">
        <f>[1]INDIGO!G12+[2]INDIGO!G12</f>
        <v>4570.2030000000004</v>
      </c>
      <c r="H12" s="10">
        <f t="shared" si="0"/>
        <v>69.084196041182409</v>
      </c>
      <c r="I12" s="2">
        <f>[1]INDIGO!I12+[2]INDIGO!I12</f>
        <v>16482.428550000001</v>
      </c>
      <c r="J12" s="2">
        <f>[1]INDIGO!J12+[2]INDIGO!J12</f>
        <v>2522.1640699999998</v>
      </c>
      <c r="K12" s="2">
        <f>[1]INDIGO!K12+[2]INDIGO!K12</f>
        <v>19004.592619999999</v>
      </c>
      <c r="L12" s="2">
        <f>[1]INDIGO!L12+[2]INDIGO!L12</f>
        <v>283.18522373444017</v>
      </c>
      <c r="M12" s="2">
        <f>[1]INDIGO!M12+[2]INDIGO!M12</f>
        <v>19.433103448890002</v>
      </c>
      <c r="N12" s="2">
        <f>[1]INDIGO!N12+[2]INDIGO!N12</f>
        <v>2.1588349027499998</v>
      </c>
      <c r="O12" s="2">
        <f>[1]INDIGO!O12+[2]INDIGO!O12</f>
        <v>304.77716208608018</v>
      </c>
      <c r="P12" s="2">
        <f>[1]INDIGO!P12+[2]INDIGO!P12</f>
        <v>484.40098531399997</v>
      </c>
      <c r="Q12" s="13">
        <f t="shared" si="1"/>
        <v>62.918361301126701</v>
      </c>
    </row>
    <row r="13" spans="1:17" ht="24" customHeight="1" x14ac:dyDescent="0.25">
      <c r="A13" s="22">
        <v>44136</v>
      </c>
      <c r="B13" s="6">
        <f>[1]INDIGO!B13+[2]INDIGO!B13</f>
        <v>27819</v>
      </c>
      <c r="C13" s="6">
        <f>[1]INDIGO!C13+[2]INDIGO!C13</f>
        <v>50840.463329999999</v>
      </c>
      <c r="D13" s="6">
        <f>[1]INDIGO!D13+[2]INDIGO!D13</f>
        <v>26890.557999999997</v>
      </c>
      <c r="E13" s="6">
        <f>[1]INDIGO!E13+[2]INDIGO!E13</f>
        <v>3565889</v>
      </c>
      <c r="F13" s="6">
        <f>[1]INDIGO!F13+[2]INDIGO!F13</f>
        <v>3636.92</v>
      </c>
      <c r="G13" s="6">
        <f>[1]INDIGO!G13+[2]INDIGO!G13</f>
        <v>4876.1419999999998</v>
      </c>
      <c r="H13" s="8">
        <f t="shared" si="0"/>
        <v>74.586014927374961</v>
      </c>
      <c r="I13" s="8">
        <f>[1]INDIGO!I13+[2]INDIGO!I13</f>
        <v>15723.824000000001</v>
      </c>
      <c r="J13" s="8">
        <f>[1]INDIGO!J13+[2]INDIGO!J13</f>
        <v>2287.2709999999979</v>
      </c>
      <c r="K13" s="8">
        <f>[1]INDIGO!K13+[2]INDIGO!K13</f>
        <v>18011.094999999998</v>
      </c>
      <c r="L13" s="8">
        <f>[1]INDIGO!L13+[2]INDIGO!L13</f>
        <v>326.89364066999997</v>
      </c>
      <c r="M13" s="8">
        <f>[1]INDIGO!M13+[2]INDIGO!M13</f>
        <v>18.357832705</v>
      </c>
      <c r="N13" s="8">
        <f>[1]INDIGO!N13+[2]INDIGO!N13</f>
        <v>2.0729380239999999</v>
      </c>
      <c r="O13" s="8">
        <f>[1]INDIGO!O13+[2]INDIGO!O13</f>
        <v>347.32441139899993</v>
      </c>
      <c r="P13" s="8">
        <f>[1]INDIGO!P13+[2]INDIGO!P13</f>
        <v>548.64941024699999</v>
      </c>
      <c r="Q13" s="7">
        <f t="shared" si="1"/>
        <v>63.305346713602717</v>
      </c>
    </row>
    <row r="14" spans="1:17" ht="24" customHeight="1" x14ac:dyDescent="0.25">
      <c r="A14" s="21">
        <v>44166</v>
      </c>
      <c r="B14" s="1">
        <f>[1]INDIGO!B14+[2]INDIGO!B14</f>
        <v>33098</v>
      </c>
      <c r="C14" s="1">
        <f>[1]INDIGO!C14+[2]INDIGO!C14</f>
        <v>61044.04</v>
      </c>
      <c r="D14" s="1">
        <f>[1]INDIGO!D14+[2]INDIGO!D14</f>
        <v>31822.857</v>
      </c>
      <c r="E14" s="1">
        <f>[1]INDIGO!E14+[2]INDIGO!E14</f>
        <v>4124620</v>
      </c>
      <c r="F14" s="1">
        <f>[1]INDIGO!F14+[2]INDIGO!F14</f>
        <v>4189.2129999999997</v>
      </c>
      <c r="G14" s="1">
        <f>[1]INDIGO!G14+[2]INDIGO!G14</f>
        <v>5797.6440000000002</v>
      </c>
      <c r="H14" s="10">
        <f t="shared" si="0"/>
        <v>72.257161702236289</v>
      </c>
      <c r="I14" s="2">
        <f>[1]INDIGO!I14+[2]INDIGO!I14</f>
        <v>15997.50776</v>
      </c>
      <c r="J14" s="2">
        <f>[1]INDIGO!J14+[2]INDIGO!J14</f>
        <v>3718.3215999999961</v>
      </c>
      <c r="K14" s="2">
        <f>[1]INDIGO!K14+[2]INDIGO!K14</f>
        <v>19715.829359999996</v>
      </c>
      <c r="L14" s="2">
        <f>[1]INDIGO!L14+[2]INDIGO!L14</f>
        <v>375.85403135999996</v>
      </c>
      <c r="M14" s="2">
        <f>[1]INDIGO!M14+[2]INDIGO!M14</f>
        <v>18.088352529510001</v>
      </c>
      <c r="N14" s="2">
        <f>[1]INDIGO!N14+[2]INDIGO!N14</f>
        <v>4.4514067423299899</v>
      </c>
      <c r="O14" s="2">
        <f>[1]INDIGO!O14+[2]INDIGO!O14</f>
        <v>398.39379063183998</v>
      </c>
      <c r="P14" s="2">
        <f>[1]INDIGO!P14+[2]INDIGO!P14</f>
        <v>615.71901085100103</v>
      </c>
      <c r="Q14" s="13">
        <f t="shared" si="1"/>
        <v>64.703831392376486</v>
      </c>
    </row>
    <row r="15" spans="1:17" ht="24" customHeight="1" x14ac:dyDescent="0.25">
      <c r="A15" s="22">
        <v>44197</v>
      </c>
      <c r="B15" s="6">
        <f>[1]INDIGO!B15+[2]INDIGO!B15</f>
        <v>36066</v>
      </c>
      <c r="C15" s="6">
        <f>[1]INDIGO!C15+[2]INDIGO!C15</f>
        <v>67406.850000000006</v>
      </c>
      <c r="D15" s="6">
        <f>[1]INDIGO!D15+[2]INDIGO!D15</f>
        <v>35618.540999999997</v>
      </c>
      <c r="E15" s="6">
        <f>[1]INDIGO!E15+[2]INDIGO!E15</f>
        <v>4382929</v>
      </c>
      <c r="F15" s="6">
        <f>[1]INDIGO!F15+[2]INDIGO!F15</f>
        <v>4430.9759999999997</v>
      </c>
      <c r="G15" s="6">
        <f>[1]INDIGO!G15+[2]INDIGO!G15</f>
        <v>6361.8389999999999</v>
      </c>
      <c r="H15" s="8">
        <f t="shared" si="0"/>
        <v>69.649294802964988</v>
      </c>
      <c r="I15" s="8">
        <f>[1]INDIGO!I15+[2]INDIGO!I15</f>
        <v>19301.74990000001</v>
      </c>
      <c r="J15" s="8">
        <f>[1]INDIGO!J15+[2]INDIGO!J15</f>
        <v>2151.0052999999989</v>
      </c>
      <c r="K15" s="8">
        <f>[1]INDIGO!K15+[2]INDIGO!K15</f>
        <v>21452.755200000007</v>
      </c>
      <c r="L15" s="8">
        <f>[1]INDIGO!L15+[2]INDIGO!L15</f>
        <v>396.93006090564904</v>
      </c>
      <c r="M15" s="8">
        <f>[1]INDIGO!M15+[2]INDIGO!M15</f>
        <v>24.549785278789997</v>
      </c>
      <c r="N15" s="8">
        <f>[1]INDIGO!N15+[2]INDIGO!N15</f>
        <v>1.9646401177699999</v>
      </c>
      <c r="O15" s="8">
        <f>[1]INDIGO!O15+[2]INDIGO!O15</f>
        <v>423.44448630220904</v>
      </c>
      <c r="P15" s="8">
        <f>[1]INDIGO!P15+[2]INDIGO!P15</f>
        <v>678.69680710700004</v>
      </c>
      <c r="Q15" s="7">
        <f t="shared" si="1"/>
        <v>62.390817500258379</v>
      </c>
    </row>
    <row r="16" spans="1:17" ht="24" customHeight="1" x14ac:dyDescent="0.25">
      <c r="A16" s="21">
        <v>44228</v>
      </c>
      <c r="B16" s="1">
        <f>[1]INDIGO!B16+[2]INDIGO!B16</f>
        <v>34242</v>
      </c>
      <c r="C16" s="1">
        <f>[1]INDIGO!C16+[2]INDIGO!C16</f>
        <v>63849.98</v>
      </c>
      <c r="D16" s="1">
        <f>[1]INDIGO!D16+[2]INDIGO!D16</f>
        <v>33328.480000000003</v>
      </c>
      <c r="E16" s="1">
        <f>[1]INDIGO!E16+[2]INDIGO!E16</f>
        <v>4421814</v>
      </c>
      <c r="F16" s="1">
        <f>[1]INDIGO!F16+[2]INDIGO!F16</f>
        <v>4477.8</v>
      </c>
      <c r="G16" s="1">
        <f>[1]INDIGO!G16+[2]INDIGO!G16</f>
        <v>6016.8189999999995</v>
      </c>
      <c r="H16" s="10">
        <f t="shared" si="0"/>
        <v>74.421384455806304</v>
      </c>
      <c r="I16" s="2">
        <f>[1]INDIGO!I16+[2]INDIGO!I16</f>
        <v>19637.963390000004</v>
      </c>
      <c r="J16" s="2">
        <f>[1]INDIGO!J16+[2]INDIGO!J16</f>
        <v>2101.3731799999996</v>
      </c>
      <c r="K16" s="2">
        <f>[1]INDIGO!K16+[2]INDIGO!K16</f>
        <v>21739.336570000003</v>
      </c>
      <c r="L16" s="2">
        <f>[1]INDIGO!L16+[2]INDIGO!L16</f>
        <v>405.26364562957065</v>
      </c>
      <c r="M16" s="2">
        <f>[1]INDIGO!M16+[2]INDIGO!M16</f>
        <v>21.342277898460001</v>
      </c>
      <c r="N16" s="2">
        <f>[1]INDIGO!N16+[2]INDIGO!N16</f>
        <v>1.86183059442</v>
      </c>
      <c r="O16" s="2">
        <f>[1]INDIGO!O16+[2]INDIGO!O16</f>
        <v>428.46775412245063</v>
      </c>
      <c r="P16" s="2">
        <f>[1]INDIGO!P16+[2]INDIGO!P16</f>
        <v>634.69114519799905</v>
      </c>
      <c r="Q16" s="13">
        <f t="shared" si="1"/>
        <v>67.508071817952541</v>
      </c>
    </row>
    <row r="17" spans="1:18" ht="24" customHeight="1" x14ac:dyDescent="0.25">
      <c r="A17" s="22">
        <v>44256</v>
      </c>
      <c r="B17" s="6">
        <f>[1]INDIGO!B17+[2]INDIGO!B17</f>
        <v>38447</v>
      </c>
      <c r="C17" s="6">
        <f>[1]INDIGO!C17+[2]INDIGO!C17</f>
        <v>71477.3</v>
      </c>
      <c r="D17" s="6">
        <f>[1]INDIGO!D17+[2]INDIGO!D17</f>
        <v>37443.754999999997</v>
      </c>
      <c r="E17" s="6">
        <f>[1]INDIGO!E17+[2]INDIGO!E17</f>
        <v>4396306</v>
      </c>
      <c r="F17" s="6">
        <f>[1]INDIGO!F17+[2]INDIGO!F17</f>
        <v>4540.7129999999997</v>
      </c>
      <c r="G17" s="6">
        <f>[1]INDIGO!G17+[2]INDIGO!G17</f>
        <v>6782.6760000000004</v>
      </c>
      <c r="H17" s="8">
        <f t="shared" si="0"/>
        <v>66.945745307604241</v>
      </c>
      <c r="I17" s="8">
        <f>[1]INDIGO!I17+[2]INDIGO!I17</f>
        <v>22996.095209999999</v>
      </c>
      <c r="J17" s="8">
        <f>[1]INDIGO!J17+[2]INDIGO!J17</f>
        <v>2101.2463900000012</v>
      </c>
      <c r="K17" s="8">
        <f>[1]INDIGO!K17+[2]INDIGO!K17</f>
        <v>25097.3416</v>
      </c>
      <c r="L17" s="8">
        <f>[1]INDIGO!L17+[2]INDIGO!L17</f>
        <v>411.2731718</v>
      </c>
      <c r="M17" s="8">
        <f>[1]INDIGO!M17+[2]INDIGO!M17</f>
        <v>25.17742174376</v>
      </c>
      <c r="N17" s="8">
        <f>[1]INDIGO!N17+[2]INDIGO!N17</f>
        <v>1.96549113087</v>
      </c>
      <c r="O17" s="8">
        <f>[1]INDIGO!O17+[2]INDIGO!O17</f>
        <v>438.41608467462999</v>
      </c>
      <c r="P17" s="8">
        <f>[1]INDIGO!P17+[2]INDIGO!P17</f>
        <v>729.15815344899806</v>
      </c>
      <c r="Q17" s="7">
        <f t="shared" si="1"/>
        <v>60.126336460872551</v>
      </c>
      <c r="R17" s="12"/>
    </row>
    <row r="18" spans="1:18" ht="24" customHeight="1" x14ac:dyDescent="0.25">
      <c r="A18" s="3" t="s">
        <v>22</v>
      </c>
      <c r="B18" s="4">
        <f>SUM(B6:B17)</f>
        <v>259576</v>
      </c>
      <c r="C18" s="4">
        <f>SUM(C6:C17)</f>
        <v>478441.34992999997</v>
      </c>
      <c r="D18" s="4">
        <f t="shared" ref="D18:P18" si="2">SUM(D6:D17)</f>
        <v>251644.19699999999</v>
      </c>
      <c r="E18" s="4">
        <f t="shared" si="2"/>
        <v>30634369</v>
      </c>
      <c r="F18" s="4">
        <f t="shared" si="2"/>
        <v>31466.595999999998</v>
      </c>
      <c r="G18" s="4">
        <f t="shared" si="2"/>
        <v>45340.813000000002</v>
      </c>
      <c r="H18" s="5">
        <f t="shared" ref="H18" si="3">F18/G18*100</f>
        <v>69.400158307703919</v>
      </c>
      <c r="I18" s="9">
        <f>SUM(I6:I17)</f>
        <v>154839.04422000001</v>
      </c>
      <c r="J18" s="9">
        <f t="shared" si="2"/>
        <v>22537.949299999989</v>
      </c>
      <c r="K18" s="9">
        <f t="shared" si="2"/>
        <v>177376.99352000002</v>
      </c>
      <c r="L18" s="9">
        <f t="shared" si="2"/>
        <v>2829.1948686696596</v>
      </c>
      <c r="M18" s="9">
        <f t="shared" si="2"/>
        <v>175.30580475159999</v>
      </c>
      <c r="N18" s="9">
        <f t="shared" si="2"/>
        <v>21.037390319779988</v>
      </c>
      <c r="O18" s="9">
        <f t="shared" si="2"/>
        <v>3025.5380637410394</v>
      </c>
      <c r="P18" s="9">
        <f t="shared" si="2"/>
        <v>4801.3063012939974</v>
      </c>
      <c r="Q18" s="5">
        <f t="shared" ref="Q18" si="4">O18/P18*100</f>
        <v>63.014893736848833</v>
      </c>
    </row>
    <row r="19" spans="1:18" ht="24" customHeight="1" x14ac:dyDescent="0.25">
      <c r="A19" s="23" t="s">
        <v>21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8" x14ac:dyDescent="0.25">
      <c r="A20" s="24" t="s">
        <v>24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2020-06-03T10:36:30Z</dcterms:created>
  <dcterms:modified xsi:type="dcterms:W3CDTF">2022-04-26T05:40:18Z</dcterms:modified>
</cp:coreProperties>
</file>