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omestic (5)\Domestic\AIRLINE WISE DOMESTIC TRAFFIC STATISTICS\"/>
    </mc:Choice>
  </mc:AlternateContent>
  <bookViews>
    <workbookView xWindow="0" yWindow="0" windowWidth="24000" windowHeight="9432"/>
  </bookViews>
  <sheets>
    <sheet name="inter indian" sheetId="1" r:id="rId1"/>
  </sheets>
  <definedNames>
    <definedName name="_xlnm.Print_Area" localSheetId="0">'inter indian'!$A$1:$Q$16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 l="1"/>
</calcChain>
</file>

<file path=xl/sharedStrings.xml><?xml version="1.0" encoding="utf-8"?>
<sst xmlns="http://schemas.openxmlformats.org/spreadsheetml/2006/main" count="35" uniqueCount="33">
  <si>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</si>
  <si>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</si>
  <si>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</si>
  <si>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</si>
  <si>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</si>
  <si>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</si>
  <si>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</si>
  <si>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</si>
  <si>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</si>
  <si>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</si>
  <si>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</si>
  <si>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</si>
  <si>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</si>
  <si>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</si>
  <si>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</si>
  <si>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</si>
  <si>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</si>
  <si>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</si>
  <si>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AIRLINE</t>
  </si>
  <si>
    <t>GO AIR</t>
  </si>
  <si>
    <t>INDIGO</t>
  </si>
  <si>
    <t>SPICEJET</t>
  </si>
  <si>
    <t>YEAR TOTAL</t>
  </si>
  <si>
    <t>VISTARA</t>
  </si>
  <si>
    <t xml:space="preserve">SOURCE:-  ICAO ATR FORM 'A' FURNISHED BY ALL SCHEDULED INDIAN AIRLINES </t>
  </si>
  <si>
    <t>THE INTERNATIONAL OPERATIONS BY SCHEDULED INDIAN OPERATORS WERE CARRIED AS PER DGCA’S CIRCULAR DATED 26.03.2020 UNDER COVID-19 RESTRICTION.</t>
  </si>
  <si>
    <t>AIR ASIA</t>
  </si>
  <si>
    <t>AIR INDIA</t>
  </si>
  <si>
    <t>AIR INDIA EXPRESS</t>
  </si>
  <si>
    <t>BLUEDART</t>
  </si>
  <si>
    <t>AIRLINE-WISE TRAFFIC AND OPERATING STATISTICS OF SCHEDULED INDIAN AIRLINES ON NON_SCHEDULED INTERNATIONAL SERVICES DURING 2021-22</t>
  </si>
  <si>
    <t xml:space="preserve">तालिका  1.03 ( अनुसूचित भारतीय एयरलाइन्स) </t>
  </si>
  <si>
    <t>Table 1.03 (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</si>
</sst>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</cellStyleXfs>
  <cellXfs count="41">
    <xf numFmtId="0" fontId="0" fillId="0" borderId="0" xfId="0"/>
    <xf numFmtId="0" fontId="0" fillId="0" borderId="0" xfId="0" applyFont="1"/>
    <xf numFmtId="165" fontId="2" fillId="4" borderId="1" xfId="3" applyNumberFormat="1" applyBorder="1" applyAlignment="1">
      <alignment horizontal="right" vertical="center"/>
    </xf>
    <xf numFmtId="0" fontId="4" fillId="3" borderId="1" xfId="2" applyFont="1" applyBorder="1" applyAlignment="1" applyProtection="1">
      <alignment horizontal="center" vertical="center" textRotation="90" wrapText="1"/>
    </xf>
    <xf numFmtId="0" fontId="2" fillId="0" borderId="1" xfId="3" applyFill="1" applyBorder="1" applyAlignment="1">
      <alignment horizontal="center" vertical="center"/>
    </xf>
    <xf numFmtId="164" fontId="2" fillId="0" borderId="1" xfId="3" applyNumberFormat="1" applyFill="1" applyBorder="1" applyAlignment="1">
      <alignment vertical="center"/>
    </xf>
    <xf numFmtId="165" fontId="2" fillId="0" borderId="1" xfId="3" applyNumberFormat="1" applyFill="1" applyBorder="1" applyAlignment="1">
      <alignment horizontal="right" vertical="center"/>
    </xf>
    <xf numFmtId="0" fontId="0" fillId="0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horizontal="right" vertical="center"/>
    </xf>
    <xf numFmtId="0" fontId="5" fillId="4" borderId="1" xfId="3" applyFont="1" applyBorder="1" applyAlignment="1">
      <alignment horizontal="center" vertical="center"/>
    </xf>
    <xf numFmtId="164" fontId="5" fillId="4" borderId="1" xfId="3" applyNumberFormat="1" applyFont="1" applyBorder="1" applyAlignment="1">
      <alignment vertical="center"/>
    </xf>
    <xf numFmtId="165" fontId="5" fillId="4" borderId="1" xfId="3" applyNumberFormat="1" applyFont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vertical="center"/>
    </xf>
    <xf numFmtId="165" fontId="2" fillId="6" borderId="1" xfId="3" applyNumberFormat="1" applyFill="1" applyBorder="1" applyAlignment="1">
      <alignment horizontal="right" vertical="center"/>
    </xf>
    <xf numFmtId="165" fontId="0" fillId="6" borderId="1" xfId="1" applyNumberFormat="1" applyFont="1" applyFill="1" applyBorder="1" applyAlignment="1">
      <alignment horizontal="right" vertical="center"/>
    </xf>
    <xf numFmtId="0" fontId="0" fillId="6" borderId="0" xfId="0" applyFont="1" applyFill="1"/>
    <xf numFmtId="0" fontId="2" fillId="6" borderId="1" xfId="3" applyFill="1" applyBorder="1" applyAlignment="1">
      <alignment horizontal="center" vertical="center"/>
    </xf>
    <xf numFmtId="164" fontId="2" fillId="6" borderId="1" xfId="3" applyNumberFormat="1" applyFill="1" applyBorder="1" applyAlignment="1">
      <alignment vertical="center"/>
    </xf>
    <xf numFmtId="0" fontId="2" fillId="5" borderId="1" xfId="3" applyFill="1" applyBorder="1" applyAlignment="1">
      <alignment horizontal="center" vertical="center"/>
    </xf>
    <xf numFmtId="164" fontId="2" fillId="5" borderId="1" xfId="3" applyNumberFormat="1" applyFill="1" applyBorder="1" applyAlignment="1">
      <alignment vertical="center"/>
    </xf>
    <xf numFmtId="165" fontId="2" fillId="5" borderId="1" xfId="3" applyNumberFormat="1" applyFill="1" applyBorder="1" applyAlignment="1">
      <alignment horizontal="right"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4" fillId="3" borderId="5" xfId="2" applyFont="1" applyBorder="1" applyAlignment="1" applyProtection="1">
      <alignment horizontal="center" vertical="center" textRotation="90" wrapText="1"/>
    </xf>
    <xf numFmtId="0" fontId="4" fillId="3" borderId="6" xfId="2" applyFont="1" applyBorder="1" applyAlignment="1" applyProtection="1">
      <alignment horizontal="center" vertical="center" textRotation="90" wrapText="1"/>
    </xf>
    <xf numFmtId="0" fontId="4" fillId="4" borderId="2" xfId="3" applyFont="1" applyBorder="1" applyAlignment="1">
      <alignment horizontal="center" vertical="center" wrapText="1"/>
    </xf>
    <xf numFmtId="0" fontId="4" fillId="4" borderId="3" xfId="3" applyFont="1" applyBorder="1" applyAlignment="1">
      <alignment horizontal="center" vertical="center" wrapText="1"/>
    </xf>
    <xf numFmtId="0" fontId="4" fillId="4" borderId="4" xfId="3" applyFont="1" applyBorder="1" applyAlignment="1">
      <alignment horizontal="center" vertical="center" wrapText="1"/>
    </xf>
    <xf numFmtId="0" fontId="4" fillId="4" borderId="2" xfId="3" quotePrefix="1" applyFont="1" applyBorder="1" applyAlignment="1" applyProtection="1">
      <alignment horizontal="center" vertical="center" wrapText="1"/>
    </xf>
    <xf numFmtId="0" fontId="4" fillId="4" borderId="3" xfId="3" quotePrefix="1" applyFont="1" applyBorder="1" applyAlignment="1" applyProtection="1">
      <alignment horizontal="center" vertical="center" wrapText="1"/>
    </xf>
    <xf numFmtId="0" fontId="4" fillId="4" borderId="4" xfId="3" quotePrefix="1" applyFont="1" applyBorder="1" applyAlignment="1" applyProtection="1">
      <alignment horizontal="center" vertical="center" wrapText="1"/>
    </xf>
    <xf numFmtId="0" fontId="4" fillId="3" borderId="2" xfId="2" applyFont="1" applyBorder="1" applyAlignment="1" applyProtection="1">
      <alignment horizontal="center" vertical="center" wrapText="1"/>
    </xf>
    <xf numFmtId="0" fontId="4" fillId="3" borderId="3" xfId="2" applyFont="1" applyBorder="1" applyAlignment="1" applyProtection="1">
      <alignment horizontal="center" vertical="center" wrapText="1"/>
    </xf>
    <xf numFmtId="0" fontId="4" fillId="3" borderId="4" xfId="2" applyFont="1" applyBorder="1" applyAlignment="1" applyProtection="1">
      <alignment horizontal="center" vertical="center" wrapText="1"/>
    </xf>
    <xf numFmtId="0" fontId="4" fillId="3" borderId="5" xfId="2" applyFont="1" applyBorder="1" applyAlignment="1" applyProtection="1">
      <alignment horizontal="center" vertical="center" wrapText="1"/>
    </xf>
    <xf numFmtId="0" fontId="4" fillId="3" borderId="6" xfId="2" applyFont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left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16"/>
  <sheetViews>
    <sheetView tabSelected="1" zoomScale="95" zoomScaleNormal="95" zoomScaleSheetLayoutView="100" workbookViewId="0">
      <selection activeCell="A3" sqref="A3:Q3"/>
    </sheetView>
  </sheetViews>
  <sheetFormatPr defaultColWidth="9.109375" defaultRowHeight="14.4" x14ac:dyDescent="0.3"/>
  <cols>
    <col min="1" max="1" width="16.6640625" style="1" customWidth="1"/>
    <col min="2" max="3" width="9.5546875" style="1" customWidth="1"/>
    <col min="4" max="4" width="9.6640625" style="1" customWidth="1"/>
    <col min="5" max="5" width="12.6640625" style="1" customWidth="1"/>
    <col min="6" max="6" width="14.44140625" style="1" customWidth="1"/>
    <col min="7" max="7" width="12.5546875" style="1" customWidth="1"/>
    <col min="8" max="8" width="8" style="1" customWidth="1"/>
    <col min="9" max="9" width="11.44140625" style="1" customWidth="1"/>
    <col min="10" max="10" width="8.44140625" style="1" bestFit="1" customWidth="1"/>
    <col min="11" max="11" width="12" style="1" customWidth="1"/>
    <col min="12" max="12" width="12.6640625" style="1" customWidth="1"/>
    <col min="13" max="13" width="11.6640625" style="1" customWidth="1"/>
    <col min="14" max="14" width="8.5546875" style="1" customWidth="1"/>
    <col min="15" max="15" width="12.6640625" style="1" customWidth="1"/>
    <col min="16" max="16" width="12.88671875" style="1" customWidth="1"/>
    <col min="17" max="17" width="6.33203125" style="1" customWidth="1"/>
    <col min="18" max="16384" width="9.109375" style="7"/>
  </cols>
  <sheetData>
    <row r="1" spans="1:17" ht="18.75" customHeight="1" x14ac:dyDescent="0.3">
      <c r="A1" s="29" t="s">
        <v>31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1"/>
    </row>
    <row r="2" spans="1:17" ht="18.75" customHeight="1" x14ac:dyDescent="0.3">
      <c r="A2" s="32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1:17" ht="18.75" customHeight="1" x14ac:dyDescent="0.3">
      <c r="A3" s="35" t="s">
        <v>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1:17" ht="21" customHeight="1" x14ac:dyDescent="0.3">
      <c r="A4" s="38" t="s">
        <v>18</v>
      </c>
      <c r="B4" s="35" t="s">
        <v>0</v>
      </c>
      <c r="C4" s="36"/>
      <c r="D4" s="37"/>
      <c r="E4" s="35" t="s">
        <v>1</v>
      </c>
      <c r="F4" s="37"/>
      <c r="G4" s="27" t="s">
        <v>2</v>
      </c>
      <c r="H4" s="27" t="s">
        <v>3</v>
      </c>
      <c r="I4" s="35" t="s">
        <v>4</v>
      </c>
      <c r="J4" s="36"/>
      <c r="K4" s="37"/>
      <c r="L4" s="35" t="s">
        <v>5</v>
      </c>
      <c r="M4" s="36"/>
      <c r="N4" s="36"/>
      <c r="O4" s="37"/>
      <c r="P4" s="27" t="s">
        <v>6</v>
      </c>
      <c r="Q4" s="27" t="s">
        <v>7</v>
      </c>
    </row>
    <row r="5" spans="1:17" ht="139.5" customHeight="1" x14ac:dyDescent="0.3">
      <c r="A5" s="39"/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28"/>
      <c r="H5" s="28"/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14</v>
      </c>
      <c r="O5" s="3" t="s">
        <v>15</v>
      </c>
      <c r="P5" s="28"/>
      <c r="Q5" s="28"/>
    </row>
    <row r="6" spans="1:17" ht="30" customHeight="1" x14ac:dyDescent="0.3">
      <c r="A6" s="8" t="s">
        <v>26</v>
      </c>
      <c r="B6" s="9">
        <v>11</v>
      </c>
      <c r="C6" s="9">
        <v>55.15</v>
      </c>
      <c r="D6" s="9">
        <v>42.709000000000003</v>
      </c>
      <c r="E6" s="9">
        <v>500</v>
      </c>
      <c r="F6" s="9">
        <v>2.10669</v>
      </c>
      <c r="G6" s="9">
        <v>7.9105140000000009</v>
      </c>
      <c r="H6" s="2">
        <v>26.631518508152563</v>
      </c>
      <c r="I6" s="10">
        <v>13.807</v>
      </c>
      <c r="J6" s="10"/>
      <c r="K6" s="10">
        <v>13.807</v>
      </c>
      <c r="L6" s="10">
        <v>0.15800175000000002</v>
      </c>
      <c r="M6" s="10">
        <v>3.7999999999999999E-2</v>
      </c>
      <c r="N6" s="10">
        <v>0</v>
      </c>
      <c r="O6" s="10">
        <v>0.19600175</v>
      </c>
      <c r="P6" s="10">
        <v>0.85420000000000007</v>
      </c>
      <c r="Q6" s="2">
        <v>22.945650901428234</v>
      </c>
    </row>
    <row r="7" spans="1:17" s="18" customFormat="1" ht="30" customHeight="1" x14ac:dyDescent="0.3">
      <c r="A7" s="19" t="s">
        <v>27</v>
      </c>
      <c r="B7" s="20">
        <v>18661</v>
      </c>
      <c r="C7" s="20">
        <v>123937.48333333329</v>
      </c>
      <c r="D7" s="20">
        <v>99667.707000000009</v>
      </c>
      <c r="E7" s="20">
        <v>2960626</v>
      </c>
      <c r="F7" s="20">
        <v>17424.909975000002</v>
      </c>
      <c r="G7" s="20">
        <v>24025.329074000005</v>
      </c>
      <c r="H7" s="16">
        <v>72.527247894627521</v>
      </c>
      <c r="I7" s="16">
        <v>73972.146299999993</v>
      </c>
      <c r="J7" s="16">
        <v>3.3953085035647277</v>
      </c>
      <c r="K7" s="16">
        <v>73975.541608503554</v>
      </c>
      <c r="L7" s="16">
        <v>1781.118945081</v>
      </c>
      <c r="M7" s="16">
        <v>461.59387039489997</v>
      </c>
      <c r="N7" s="16">
        <v>2.3129404587856834E-3</v>
      </c>
      <c r="O7" s="16">
        <v>2242.7151284163583</v>
      </c>
      <c r="P7" s="16">
        <v>3562.220108428</v>
      </c>
      <c r="Q7" s="16">
        <v>62.958353502924439</v>
      </c>
    </row>
    <row r="8" spans="1:17" ht="30" customHeight="1" x14ac:dyDescent="0.3">
      <c r="A8" s="21" t="s">
        <v>28</v>
      </c>
      <c r="B8" s="22">
        <v>22064</v>
      </c>
      <c r="C8" s="22">
        <v>82609.940000000017</v>
      </c>
      <c r="D8" s="22">
        <v>56132.267999999996</v>
      </c>
      <c r="E8" s="22">
        <v>2273911</v>
      </c>
      <c r="F8" s="22">
        <v>6262.7094340000003</v>
      </c>
      <c r="G8" s="22">
        <v>10440.601846</v>
      </c>
      <c r="H8" s="23">
        <v>59.984180283623857</v>
      </c>
      <c r="I8" s="23">
        <v>25207.307000000001</v>
      </c>
      <c r="J8" s="23">
        <v>69.084699999999984</v>
      </c>
      <c r="K8" s="23">
        <v>25276.3917</v>
      </c>
      <c r="L8" s="23">
        <v>428.75468928999993</v>
      </c>
      <c r="M8" s="23">
        <v>72.198338176999982</v>
      </c>
      <c r="N8" s="23">
        <v>0.19769013799999999</v>
      </c>
      <c r="O8" s="23">
        <v>501.15071760499995</v>
      </c>
      <c r="P8" s="23">
        <v>641.57624198099995</v>
      </c>
      <c r="Q8" s="23">
        <v>78.112418261872193</v>
      </c>
    </row>
    <row r="9" spans="1:17" s="18" customFormat="1" ht="30" customHeight="1" x14ac:dyDescent="0.3">
      <c r="A9" s="14" t="s">
        <v>29</v>
      </c>
      <c r="B9" s="15">
        <v>250</v>
      </c>
      <c r="C9" s="15">
        <v>725.65000000000009</v>
      </c>
      <c r="D9" s="15">
        <v>622</v>
      </c>
      <c r="E9" s="15"/>
      <c r="F9" s="15">
        <v>0</v>
      </c>
      <c r="G9" s="15">
        <v>0</v>
      </c>
      <c r="H9" s="16"/>
      <c r="I9" s="17">
        <v>3676.37</v>
      </c>
      <c r="J9" s="17"/>
      <c r="K9" s="17">
        <v>3676.37</v>
      </c>
      <c r="L9" s="17">
        <v>0</v>
      </c>
      <c r="M9" s="17">
        <v>8.7940000000000005</v>
      </c>
      <c r="N9" s="17">
        <v>0</v>
      </c>
      <c r="O9" s="17">
        <v>8.7940000000000005</v>
      </c>
      <c r="P9" s="17">
        <v>18.591000000000001</v>
      </c>
      <c r="Q9" s="16">
        <v>47.30245817868861</v>
      </c>
    </row>
    <row r="10" spans="1:17" ht="30" customHeight="1" x14ac:dyDescent="0.3">
      <c r="A10" s="8" t="s">
        <v>19</v>
      </c>
      <c r="B10" s="9">
        <v>5010</v>
      </c>
      <c r="C10" s="9">
        <v>9069.81</v>
      </c>
      <c r="D10" s="9">
        <v>11821.906999999999</v>
      </c>
      <c r="E10" s="9">
        <v>620247</v>
      </c>
      <c r="F10" s="9">
        <v>1495.7652399999999</v>
      </c>
      <c r="G10" s="9">
        <v>2195.8285799999999</v>
      </c>
      <c r="H10" s="2">
        <v>68.118488557062136</v>
      </c>
      <c r="I10" s="10">
        <v>3059.0540899999992</v>
      </c>
      <c r="J10" s="10"/>
      <c r="K10" s="10">
        <v>3059.0540899999992</v>
      </c>
      <c r="L10" s="10">
        <v>134.6190638832</v>
      </c>
      <c r="M10" s="10">
        <v>6.6122885024399993</v>
      </c>
      <c r="N10" s="10">
        <v>0</v>
      </c>
      <c r="O10" s="10">
        <v>141.23135238564001</v>
      </c>
      <c r="P10" s="10">
        <v>224.02534610000004</v>
      </c>
      <c r="Q10" s="2">
        <v>63.042577478084738</v>
      </c>
    </row>
    <row r="11" spans="1:17" s="18" customFormat="1" ht="30" customHeight="1" x14ac:dyDescent="0.3">
      <c r="A11" s="14" t="s">
        <v>20</v>
      </c>
      <c r="B11" s="15">
        <v>25202</v>
      </c>
      <c r="C11" s="15">
        <v>91575.390000000014</v>
      </c>
      <c r="D11" s="15">
        <v>60546.457000000002</v>
      </c>
      <c r="E11" s="15">
        <v>3089856</v>
      </c>
      <c r="F11" s="15">
        <v>7628.8643600000005</v>
      </c>
      <c r="G11" s="15">
        <v>10382.656426</v>
      </c>
      <c r="H11" s="16">
        <v>73.476999016320917</v>
      </c>
      <c r="I11" s="17">
        <v>46411.885020000009</v>
      </c>
      <c r="J11" s="17"/>
      <c r="K11" s="17">
        <v>46411.885020000009</v>
      </c>
      <c r="L11" s="17">
        <v>687.2396545470001</v>
      </c>
      <c r="M11" s="17">
        <v>88.914748725569979</v>
      </c>
      <c r="N11" s="17">
        <v>0</v>
      </c>
      <c r="O11" s="17">
        <v>776.15440327257011</v>
      </c>
      <c r="P11" s="17">
        <v>1375.6638517140004</v>
      </c>
      <c r="Q11" s="16">
        <v>56.420353148447198</v>
      </c>
    </row>
    <row r="12" spans="1:17" ht="30" customHeight="1" x14ac:dyDescent="0.3">
      <c r="A12" s="8" t="s">
        <v>21</v>
      </c>
      <c r="B12" s="9">
        <v>10880</v>
      </c>
      <c r="C12" s="9">
        <v>42452.833333333328</v>
      </c>
      <c r="D12" s="9">
        <v>31370.748999999996</v>
      </c>
      <c r="E12" s="9">
        <v>752562</v>
      </c>
      <c r="F12" s="9">
        <v>1870.837436</v>
      </c>
      <c r="G12" s="9">
        <v>2517.1241989999999</v>
      </c>
      <c r="H12" s="2">
        <v>74.32439911956844</v>
      </c>
      <c r="I12" s="10">
        <v>57944.137039999994</v>
      </c>
      <c r="J12" s="10"/>
      <c r="K12" s="10">
        <v>57944.137039999994</v>
      </c>
      <c r="L12" s="10">
        <v>140.31280773499998</v>
      </c>
      <c r="M12" s="10">
        <v>186.12634339522</v>
      </c>
      <c r="N12" s="10">
        <v>0</v>
      </c>
      <c r="O12" s="10">
        <v>326.43915113021995</v>
      </c>
      <c r="P12" s="10">
        <v>896.28583250200006</v>
      </c>
      <c r="Q12" s="2">
        <v>36.421322226968428</v>
      </c>
    </row>
    <row r="13" spans="1:17" ht="30" customHeight="1" x14ac:dyDescent="0.3">
      <c r="A13" s="4" t="s">
        <v>23</v>
      </c>
      <c r="B13" s="5">
        <v>3190</v>
      </c>
      <c r="C13" s="5">
        <v>13769.9</v>
      </c>
      <c r="D13" s="5">
        <v>10528.493999999999</v>
      </c>
      <c r="E13" s="5">
        <v>404465</v>
      </c>
      <c r="F13" s="5">
        <v>1540.1524500000003</v>
      </c>
      <c r="G13" s="5">
        <v>2465.1985759999998</v>
      </c>
      <c r="H13" s="6">
        <v>62.475796675942931</v>
      </c>
      <c r="I13" s="6">
        <v>9543.2468000000008</v>
      </c>
      <c r="J13" s="6"/>
      <c r="K13" s="6">
        <v>9543.2468000000008</v>
      </c>
      <c r="L13" s="6">
        <v>161.48798832</v>
      </c>
      <c r="M13" s="6">
        <v>55.029575563769505</v>
      </c>
      <c r="N13" s="6">
        <v>0</v>
      </c>
      <c r="O13" s="6">
        <v>216.5175638837695</v>
      </c>
      <c r="P13" s="6">
        <v>371.8217166</v>
      </c>
      <c r="Q13" s="6">
        <v>58.231554053281862</v>
      </c>
    </row>
    <row r="14" spans="1:17" ht="30" customHeight="1" x14ac:dyDescent="0.3">
      <c r="A14" s="11" t="s">
        <v>22</v>
      </c>
      <c r="B14" s="12">
        <f t="shared" ref="B14:G14" si="0">SUM(B6:B13)</f>
        <v>85268</v>
      </c>
      <c r="C14" s="12">
        <f t="shared" si="0"/>
        <v>364196.15666666668</v>
      </c>
      <c r="D14" s="12">
        <f t="shared" si="0"/>
        <v>270732.29100000003</v>
      </c>
      <c r="E14" s="12">
        <f t="shared" si="0"/>
        <v>10102167</v>
      </c>
      <c r="F14" s="12">
        <f t="shared" si="0"/>
        <v>36225.34558500001</v>
      </c>
      <c r="G14" s="12">
        <f t="shared" si="0"/>
        <v>52034.649215000005</v>
      </c>
      <c r="H14" s="13">
        <f t="shared" ref="H14" si="1">F14/G14*100</f>
        <v>69.617737664228059</v>
      </c>
      <c r="I14" s="13">
        <f t="shared" ref="I14:P14" si="2">SUM(I6:I13)</f>
        <v>219827.95324999999</v>
      </c>
      <c r="J14" s="13">
        <f t="shared" si="2"/>
        <v>72.480008503564704</v>
      </c>
      <c r="K14" s="13">
        <f t="shared" si="2"/>
        <v>219900.43325850356</v>
      </c>
      <c r="L14" s="13">
        <f t="shared" si="2"/>
        <v>3333.6911506061997</v>
      </c>
      <c r="M14" s="13">
        <f t="shared" si="2"/>
        <v>879.30716475889949</v>
      </c>
      <c r="N14" s="13">
        <f t="shared" si="2"/>
        <v>0.20000307845878568</v>
      </c>
      <c r="O14" s="13">
        <f t="shared" si="2"/>
        <v>4213.1983184435576</v>
      </c>
      <c r="P14" s="13">
        <f t="shared" si="2"/>
        <v>7091.0382973250016</v>
      </c>
      <c r="Q14" s="13">
        <f t="shared" ref="Q14" si="3">O14/P14*100</f>
        <v>59.415816722255322</v>
      </c>
    </row>
    <row r="15" spans="1:17" ht="16.5" customHeight="1" x14ac:dyDescent="0.3">
      <c r="A15" s="40" t="s">
        <v>25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spans="1:17" ht="19.5" customHeight="1" x14ac:dyDescent="0.3">
      <c r="A16" s="24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</row>
  </sheetData>
  <mergeCells count="14">
    <mergeCell ref="A16:Q16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15:Q15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 indian</vt:lpstr>
      <vt:lpstr>'inter indian'!Print_Area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2021-08-23T21:02:12Z</cp:lastPrinted>
  <dcterms:created xsi:type="dcterms:W3CDTF">2018-10-29T04:00:07Z</dcterms:created>
  <dcterms:modified xsi:type="dcterms:W3CDTF">2022-11-25T12:22:35Z</dcterms:modified>
</cp:coreProperties>
</file>