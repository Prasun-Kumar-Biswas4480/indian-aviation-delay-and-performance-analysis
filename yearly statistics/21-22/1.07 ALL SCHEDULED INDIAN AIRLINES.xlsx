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Domestic\01. ALL SCHEDULED INDIAN AIRLINES\"/>
    </mc:Choice>
  </mc:AlternateContent>
  <bookViews>
    <workbookView xWindow="0" yWindow="0" windowWidth="24000" windowHeight="10725"/>
  </bookViews>
  <sheets>
    <sheet name="All" sheetId="2" r:id="rId1"/>
  </sheets>
  <externalReferences>
    <externalReference r:id="rId2"/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2" l="1"/>
  <c r="M24" i="2"/>
  <c r="M23" i="2"/>
  <c r="M22" i="2"/>
  <c r="M21" i="2"/>
  <c r="M20" i="2"/>
  <c r="M10" i="2" l="1"/>
  <c r="M11" i="2"/>
  <c r="M9" i="2"/>
  <c r="M8" i="2"/>
  <c r="M7" i="2"/>
  <c r="M6" i="2"/>
  <c r="M18" i="2" l="1"/>
  <c r="M17" i="2"/>
  <c r="M16" i="2"/>
  <c r="M15" i="2"/>
</calcChain>
</file>

<file path=xl/sharedStrings.xml><?xml version="1.0" encoding="utf-8"?>
<sst xmlns="http://schemas.openxmlformats.org/spreadsheetml/2006/main" count="63" uniqueCount="39">
  <si>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</si>
  <si>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</si>
  <si>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</si>
  <si>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</si>
  <si>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</si>
  <si>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</si>
  <si>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</si>
  <si>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</si>
  <si>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</si>
  <si>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</si>
  <si>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</si>
  <si>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</si>
  <si>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</si>
  <si>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</si>
  <si>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</si>
  <si>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</si>
  <si>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</si>
  <si>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</si>
  <si>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</si>
  <si>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</si>
  <si>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</si>
  <si>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</si>
  <si>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</si>
  <si>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</si>
  <si>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</si>
  <si>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</si>
  <si>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 xml:space="preserve"> तालिका - 1.07(सभी अनुसूचित भारतीय एयरलाइन्स) </t>
  </si>
  <si>
    <t>TABLE - 1.07 (ALL SCHEDULED INDIAN AIRLINES)</t>
  </si>
  <si>
    <t>2019-20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</si>
  <si>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</si>
  <si>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</si>
  <si>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</si>
  <si>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</si>
  <si>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</si>
  <si>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</si>
  <si>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INDIAN AIRLINES</t>
  </si>
  <si>
    <t>2020-21*</t>
  </si>
  <si>
    <t>* DENOTES that THE INTERNATIONAL OPERATIONS BY SCHEDULED INDIAN OPERATORS WERE CARRIED AS PER DGCA’S CIRCULAR DATED 26.03.2020 UNDER COVID-19 RESTRICTION.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</si>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</sst>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8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3" fontId="5" fillId="7" borderId="1" xfId="5" applyNumberFormat="1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left" vertical="center"/>
    </xf>
    <xf numFmtId="164" fontId="3" fillId="4" borderId="4" xfId="2" applyNumberFormat="1" applyBorder="1" applyAlignment="1" applyProtection="1">
      <alignment horizontal="left" vertical="center" wrapText="1"/>
    </xf>
    <xf numFmtId="0" fontId="3" fillId="4" borderId="4" xfId="2" applyBorder="1" applyAlignment="1" applyProtection="1">
      <alignment horizontal="center" vertical="center" wrapText="1"/>
    </xf>
    <xf numFmtId="164" fontId="3" fillId="4" borderId="4" xfId="2" applyNumberFormat="1" applyBorder="1" applyAlignment="1" applyProtection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 applyProtection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2%20all%20scheduled%20indian%20airli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all%20scheduled%20indian%20airlin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.03%20all%20scheduled%20Indian%20air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2"/>
    </sheetNames>
    <sheetDataSet>
      <sheetData sheetId="0">
        <row r="6">
          <cell r="B6">
            <v>0</v>
          </cell>
        </row>
        <row r="18">
          <cell r="B18">
            <v>756</v>
          </cell>
          <cell r="C18">
            <v>2784.2333333333336</v>
          </cell>
          <cell r="D18">
            <v>1816.567</v>
          </cell>
          <cell r="E18">
            <v>114371</v>
          </cell>
          <cell r="F18">
            <v>286.26495599999998</v>
          </cell>
          <cell r="H18">
            <v>81.997515174003922</v>
          </cell>
          <cell r="Q18">
            <v>69.732303592122562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1"/>
    </sheetNames>
    <sheetDataSet>
      <sheetData sheetId="0">
        <row r="6">
          <cell r="B6">
            <v>59967</v>
          </cell>
        </row>
        <row r="18">
          <cell r="B18">
            <v>729770</v>
          </cell>
          <cell r="C18">
            <v>1236019.6529999999</v>
          </cell>
          <cell r="D18">
            <v>688368.46990000003</v>
          </cell>
          <cell r="E18">
            <v>84184459</v>
          </cell>
          <cell r="F18">
            <v>81778.470096000005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3"/>
    </sheetNames>
    <sheetDataSet>
      <sheetData sheetId="0">
        <row r="18">
          <cell r="B18">
            <v>730526</v>
          </cell>
          <cell r="C18">
            <v>1238803.8863333333</v>
          </cell>
          <cell r="D18">
            <v>690185.03689999995</v>
          </cell>
          <cell r="E18">
            <v>84298830</v>
          </cell>
          <cell r="F18">
            <v>82064.735052000004</v>
          </cell>
          <cell r="H18">
            <v>73.400382083830053</v>
          </cell>
          <cell r="Q18">
            <v>63.183027037276673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tabSelected="1" topLeftCell="A4" zoomScaleNormal="100" zoomScaleSheetLayoutView="100" workbookViewId="0">
      <selection activeCell="A26" sqref="A26:M26"/>
    </sheetView>
  </sheetViews>
  <sheetFormatPr defaultRowHeight="15" x14ac:dyDescent="0.25"/>
  <cols>
    <col min="1" max="1" width="65" customWidth="1"/>
    <col min="2" max="2" width="8.42578125" customWidth="1"/>
    <col min="3" max="4" width="8" hidden="1" customWidth="1"/>
    <col min="5" max="5" width="8.28515625" hidden="1" customWidth="1"/>
    <col min="6" max="6" width="8.140625" hidden="1" customWidth="1"/>
    <col min="7" max="8" width="7.85546875" hidden="1" customWidth="1"/>
    <col min="9" max="11" width="7.42578125" hidden="1" customWidth="1"/>
    <col min="12" max="12" width="9.140625" hidden="1" customWidth="1"/>
  </cols>
  <sheetData>
    <row r="1" spans="1:13" ht="13.5" customHeight="1" x14ac:dyDescent="0.25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 x14ac:dyDescent="0.25">
      <c r="A2" s="16" t="s">
        <v>27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3.5" customHeight="1" x14ac:dyDescent="0.25">
      <c r="A3" s="27" t="s">
        <v>35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8" customHeight="1" x14ac:dyDescent="0.25">
      <c r="A4" s="11" t="s">
        <v>0</v>
      </c>
      <c r="B4" s="9" t="s">
        <v>1</v>
      </c>
      <c r="C4" s="10" t="s">
        <v>8</v>
      </c>
      <c r="D4" s="10" t="s">
        <v>7</v>
      </c>
      <c r="E4" s="10" t="s">
        <v>6</v>
      </c>
      <c r="F4" s="10" t="s">
        <v>5</v>
      </c>
      <c r="G4" s="10" t="s">
        <v>4</v>
      </c>
      <c r="H4" s="10" t="s">
        <v>3</v>
      </c>
      <c r="I4" s="10" t="s">
        <v>2</v>
      </c>
      <c r="J4" s="10" t="s">
        <v>25</v>
      </c>
      <c r="K4" s="10" t="s">
        <v>28</v>
      </c>
      <c r="L4" s="10" t="s">
        <v>36</v>
      </c>
      <c r="M4" s="10" t="s">
        <v>38</v>
      </c>
    </row>
    <row r="5" spans="1:13" ht="12" customHeight="1" x14ac:dyDescent="0.25">
      <c r="A5" s="20" t="s">
        <v>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ht="20.100000000000001" customHeight="1" x14ac:dyDescent="0.25">
      <c r="A6" s="1" t="s">
        <v>10</v>
      </c>
      <c r="B6" s="2" t="s">
        <v>11</v>
      </c>
      <c r="C6" s="3">
        <v>75.107479661566884</v>
      </c>
      <c r="D6" s="3">
        <v>78.442830463892818</v>
      </c>
      <c r="E6" s="3">
        <v>78.220134198550966</v>
      </c>
      <c r="F6" s="3">
        <v>78.636428645820416</v>
      </c>
      <c r="G6" s="3">
        <v>79.320645499197511</v>
      </c>
      <c r="H6" s="3">
        <v>78.29865349666261</v>
      </c>
      <c r="I6" s="3">
        <v>81.014379472829788</v>
      </c>
      <c r="J6" s="3">
        <v>80.969913126320108</v>
      </c>
      <c r="K6" s="3">
        <v>80.989334997738226</v>
      </c>
      <c r="L6" s="3">
        <v>68.901751814343655</v>
      </c>
      <c r="M6" s="3">
        <f>'[1]1.02'!$H$18</f>
        <v>81.997515174003922</v>
      </c>
    </row>
    <row r="7" spans="1:13" ht="20.100000000000001" customHeight="1" x14ac:dyDescent="0.25">
      <c r="A7" s="1" t="s">
        <v>12</v>
      </c>
      <c r="B7" s="2" t="s">
        <v>11</v>
      </c>
      <c r="C7" s="3">
        <v>61.775445376255092</v>
      </c>
      <c r="D7" s="3">
        <v>64.802056989679812</v>
      </c>
      <c r="E7" s="3">
        <v>67.217609667906302</v>
      </c>
      <c r="F7" s="3">
        <v>67.728613712674118</v>
      </c>
      <c r="G7" s="3">
        <v>66.917308711275311</v>
      </c>
      <c r="H7" s="3">
        <v>67.190526849202769</v>
      </c>
      <c r="I7" s="3">
        <v>69.926850895375466</v>
      </c>
      <c r="J7" s="3">
        <v>69.771290199486216</v>
      </c>
      <c r="K7" s="3">
        <v>70.937485949380729</v>
      </c>
      <c r="L7" s="3">
        <v>54.912851526547634</v>
      </c>
      <c r="M7" s="3">
        <f>'[1]1.02'!$Q$18</f>
        <v>69.732303592122562</v>
      </c>
    </row>
    <row r="8" spans="1:13" ht="20.100000000000001" customHeight="1" x14ac:dyDescent="0.25">
      <c r="A8" s="1" t="s">
        <v>13</v>
      </c>
      <c r="B8" s="2" t="s">
        <v>14</v>
      </c>
      <c r="C8" s="3">
        <v>698.41560598148806</v>
      </c>
      <c r="D8" s="3">
        <v>690.50992971368873</v>
      </c>
      <c r="E8" s="3">
        <v>696.53172901442201</v>
      </c>
      <c r="F8" s="3">
        <v>758.1549510405323</v>
      </c>
      <c r="G8" s="3">
        <v>860.30753261649056</v>
      </c>
      <c r="H8" s="3">
        <v>840.3084304916938</v>
      </c>
      <c r="I8" s="3">
        <v>831.43040876364182</v>
      </c>
      <c r="J8" s="3">
        <v>807.93058209431024</v>
      </c>
      <c r="K8" s="3">
        <v>817.35846347714948</v>
      </c>
      <c r="L8" s="3">
        <v>774.6485861890169</v>
      </c>
      <c r="M8" s="3">
        <f>'[1]1.02'!$D$18/'[1]1.02'!$C$18*1000</f>
        <v>652.44783124019773</v>
      </c>
    </row>
    <row r="9" spans="1:13" ht="20.100000000000001" customHeight="1" x14ac:dyDescent="0.25">
      <c r="A9" s="1" t="s">
        <v>15</v>
      </c>
      <c r="B9" s="2" t="s">
        <v>16</v>
      </c>
      <c r="C9" s="3">
        <v>3172.2372455187656</v>
      </c>
      <c r="D9" s="3">
        <v>2848.8060187847423</v>
      </c>
      <c r="E9" s="3">
        <v>2868.6390449186147</v>
      </c>
      <c r="F9" s="3">
        <v>3134.5642187818294</v>
      </c>
      <c r="G9" s="3">
        <v>3653.3050294400336</v>
      </c>
      <c r="H9" s="3">
        <v>3620.5927745346407</v>
      </c>
      <c r="I9" s="3">
        <v>3584.6317810435835</v>
      </c>
      <c r="J9" s="3">
        <v>3598.4673121558972</v>
      </c>
      <c r="K9" s="3">
        <v>3498.2024097856843</v>
      </c>
      <c r="L9" s="3">
        <v>3455.1674874625619</v>
      </c>
      <c r="M9" s="3">
        <f>'[1]1.02'!$D$18/'[1]1.02'!$B$18*1000</f>
        <v>2402.8664021164022</v>
      </c>
    </row>
    <row r="10" spans="1:13" ht="20.100000000000001" customHeight="1" x14ac:dyDescent="0.25">
      <c r="A10" s="1" t="s">
        <v>17</v>
      </c>
      <c r="B10" s="2" t="s">
        <v>18</v>
      </c>
      <c r="C10" s="3">
        <v>138.20150896246815</v>
      </c>
      <c r="D10" s="3">
        <v>138.48907922480151</v>
      </c>
      <c r="E10" s="3">
        <v>141.45922689015308</v>
      </c>
      <c r="F10" s="3">
        <v>147.0788008419909</v>
      </c>
      <c r="G10" s="3">
        <v>150.43278060915426</v>
      </c>
      <c r="H10" s="3">
        <v>152.83796306494841</v>
      </c>
      <c r="I10" s="3">
        <v>157.86558612091147</v>
      </c>
      <c r="J10" s="3">
        <v>158.614678449601</v>
      </c>
      <c r="K10" s="3">
        <v>154.15874598877875</v>
      </c>
      <c r="L10" s="3">
        <v>114.96182769504523</v>
      </c>
      <c r="M10" s="3">
        <f>'[1]1.02'!$E$18/'[1]1.02'!$B$18</f>
        <v>151.28439153439155</v>
      </c>
    </row>
    <row r="11" spans="1:13" ht="20.100000000000001" customHeight="1" x14ac:dyDescent="0.25">
      <c r="A11" s="1" t="s">
        <v>19</v>
      </c>
      <c r="B11" s="2" t="s">
        <v>20</v>
      </c>
      <c r="C11" s="3">
        <v>3.7352646752498195</v>
      </c>
      <c r="D11" s="3">
        <v>3.530800609625107</v>
      </c>
      <c r="E11" s="3">
        <v>3.4822025078869006</v>
      </c>
      <c r="F11" s="3">
        <v>3.4556217879881137</v>
      </c>
      <c r="G11" s="3">
        <v>3.4802986407203602</v>
      </c>
      <c r="H11" s="3">
        <v>3.4324605916392428</v>
      </c>
      <c r="I11" s="3">
        <v>3.4601809981635214</v>
      </c>
      <c r="J11" s="3">
        <v>3.4926862445783673</v>
      </c>
      <c r="K11" s="3">
        <v>3.2919530765183675</v>
      </c>
      <c r="L11" s="3">
        <v>3.9174814860061802</v>
      </c>
      <c r="M11" s="3">
        <f>'[1]1.02'!$F$18/'[1]1.02'!$E$18*1000</f>
        <v>2.5029505381608974</v>
      </c>
    </row>
    <row r="12" spans="1:13" ht="14.25" customHeight="1" x14ac:dyDescent="0.25">
      <c r="A12" s="22" t="s">
        <v>21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1:13" ht="18.75" customHeight="1" x14ac:dyDescent="0.25">
      <c r="A13" s="4" t="s">
        <v>10</v>
      </c>
      <c r="B13" s="5" t="s">
        <v>11</v>
      </c>
      <c r="C13" s="5">
        <v>75.133521945252596</v>
      </c>
      <c r="D13" s="5">
        <v>74.511810044335547</v>
      </c>
      <c r="E13" s="5">
        <v>73.267757002496325</v>
      </c>
      <c r="F13" s="5">
        <v>79.031714766004498</v>
      </c>
      <c r="G13" s="5">
        <v>82.848163434420812</v>
      </c>
      <c r="H13" s="5">
        <v>84.348478172880377</v>
      </c>
      <c r="I13" s="5">
        <v>86.993208424325033</v>
      </c>
      <c r="J13" s="5">
        <v>86.029954057780316</v>
      </c>
      <c r="K13" s="5">
        <v>86.196616362815988</v>
      </c>
      <c r="L13" s="5">
        <v>68.429142340208003</v>
      </c>
      <c r="M13" s="5">
        <v>73.373453028400121</v>
      </c>
    </row>
    <row r="14" spans="1:13" ht="20.100000000000001" customHeight="1" x14ac:dyDescent="0.25">
      <c r="A14" s="4" t="s">
        <v>12</v>
      </c>
      <c r="B14" s="5" t="s">
        <v>11</v>
      </c>
      <c r="C14" s="5">
        <v>67.961434037912923</v>
      </c>
      <c r="D14" s="5">
        <v>67.557876347088637</v>
      </c>
      <c r="E14" s="5">
        <v>67.627928664080187</v>
      </c>
      <c r="F14" s="5">
        <v>73.139035371739695</v>
      </c>
      <c r="G14" s="5">
        <v>73.653376505020276</v>
      </c>
      <c r="H14" s="5">
        <v>73.589872123249108</v>
      </c>
      <c r="I14" s="5">
        <v>75.228083651488149</v>
      </c>
      <c r="J14" s="5">
        <v>73.750069571346515</v>
      </c>
      <c r="K14" s="5">
        <v>67.589381213096274</v>
      </c>
      <c r="L14" s="5">
        <v>62.80286553442037</v>
      </c>
      <c r="M14" s="5">
        <v>63.161417634197235</v>
      </c>
    </row>
    <row r="15" spans="1:13" ht="20.100000000000001" customHeight="1" x14ac:dyDescent="0.25">
      <c r="A15" s="4" t="s">
        <v>13</v>
      </c>
      <c r="B15" s="5" t="s">
        <v>14</v>
      </c>
      <c r="C15" s="5">
        <v>506.34751704563087</v>
      </c>
      <c r="D15" s="5">
        <v>525.55708935834082</v>
      </c>
      <c r="E15" s="5">
        <v>513.252101361001</v>
      </c>
      <c r="F15" s="5">
        <v>521.85099334028132</v>
      </c>
      <c r="G15" s="5">
        <v>538.65607815659484</v>
      </c>
      <c r="H15" s="5">
        <v>530.69909768326067</v>
      </c>
      <c r="I15" s="5">
        <v>527.76408076936866</v>
      </c>
      <c r="J15" s="5">
        <v>523.48145725873019</v>
      </c>
      <c r="K15" s="5">
        <v>540.06474370266687</v>
      </c>
      <c r="L15" s="5">
        <v>545.34582491745061</v>
      </c>
      <c r="M15" s="5">
        <f>'[2]1.01'!$D$18/'[2]1.01'!$C$18*1000</f>
        <v>556.9235636579316</v>
      </c>
    </row>
    <row r="16" spans="1:13" ht="20.100000000000001" customHeight="1" x14ac:dyDescent="0.25">
      <c r="A16" s="4" t="s">
        <v>15</v>
      </c>
      <c r="B16" s="5" t="s">
        <v>16</v>
      </c>
      <c r="C16" s="5">
        <v>833.01537362470845</v>
      </c>
      <c r="D16" s="5">
        <v>856.96752325568798</v>
      </c>
      <c r="E16" s="5">
        <v>849.29864600852829</v>
      </c>
      <c r="F16" s="5">
        <v>856.80825876937047</v>
      </c>
      <c r="G16" s="5">
        <v>892.74829016417584</v>
      </c>
      <c r="H16" s="5">
        <v>890.34053819208737</v>
      </c>
      <c r="I16" s="5">
        <v>895.71778706093971</v>
      </c>
      <c r="J16" s="5">
        <v>912.15826950733822</v>
      </c>
      <c r="K16" s="5">
        <v>919.23830908123944</v>
      </c>
      <c r="L16" s="5">
        <v>952.24077983062909</v>
      </c>
      <c r="M16" s="5">
        <f>'[2]1.01'!$D$18/'[2]1.01'!$B$18*1000</f>
        <v>943.26770064540892</v>
      </c>
    </row>
    <row r="17" spans="1:13" ht="20.100000000000001" customHeight="1" x14ac:dyDescent="0.25">
      <c r="A17" s="4" t="s">
        <v>17</v>
      </c>
      <c r="B17" s="5" t="s">
        <v>18</v>
      </c>
      <c r="C17" s="5">
        <v>101.30981384125801</v>
      </c>
      <c r="D17" s="5">
        <v>104.44222806998545</v>
      </c>
      <c r="E17" s="5">
        <v>103.06713725090464</v>
      </c>
      <c r="F17" s="5">
        <v>113.60299714711795</v>
      </c>
      <c r="G17" s="5">
        <v>121.72470178777318</v>
      </c>
      <c r="H17" s="5">
        <v>128.05401916084296</v>
      </c>
      <c r="I17" s="5">
        <v>133.69912364109075</v>
      </c>
      <c r="J17" s="5">
        <v>133.04017648492018</v>
      </c>
      <c r="K17" s="5">
        <v>133.86344154422116</v>
      </c>
      <c r="L17" s="5">
        <v>108.71661780954284</v>
      </c>
      <c r="M17" s="5">
        <f>'[2]1.01'!$E$18/'[2]1.01'!$B$18</f>
        <v>115.35752223303233</v>
      </c>
    </row>
    <row r="18" spans="1:13" ht="20.100000000000001" customHeight="1" x14ac:dyDescent="0.25">
      <c r="A18" s="4" t="s">
        <v>22</v>
      </c>
      <c r="B18" s="6" t="s">
        <v>20</v>
      </c>
      <c r="C18" s="5">
        <v>0.97118018616985213</v>
      </c>
      <c r="D18" s="5">
        <v>0.98050927685066791</v>
      </c>
      <c r="E18" s="5">
        <v>0.97478983442601896</v>
      </c>
      <c r="F18" s="5">
        <v>0.95632736719889444</v>
      </c>
      <c r="G18" s="5">
        <v>0.9503297165914445</v>
      </c>
      <c r="H18" s="5">
        <v>0.95077139139750144</v>
      </c>
      <c r="I18" s="5">
        <v>0.94912084901514249</v>
      </c>
      <c r="J18" s="5">
        <v>0.96114589921505023</v>
      </c>
      <c r="K18" s="5">
        <v>0.9679926470924114</v>
      </c>
      <c r="L18" s="5">
        <v>0.9924922670894788</v>
      </c>
      <c r="M18" s="5">
        <f>'[2]1.01'!$F$18/'[2]1.01'!$E$18*1000</f>
        <v>0.97142003485465178</v>
      </c>
    </row>
    <row r="19" spans="1:13" ht="12.75" customHeight="1" x14ac:dyDescent="0.25">
      <c r="A19" s="24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ht="20.100000000000001" customHeight="1" x14ac:dyDescent="0.25">
      <c r="A20" s="7" t="s">
        <v>10</v>
      </c>
      <c r="B20" s="8" t="s">
        <v>11</v>
      </c>
      <c r="C20" s="8">
        <v>75.121118946661028</v>
      </c>
      <c r="D20" s="8">
        <v>76.272712485701405</v>
      </c>
      <c r="E20" s="8">
        <v>75.571098530626969</v>
      </c>
      <c r="F20" s="8">
        <v>78.844703040143358</v>
      </c>
      <c r="G20" s="8">
        <v>81.241736944346826</v>
      </c>
      <c r="H20" s="8">
        <v>81.696964697071337</v>
      </c>
      <c r="I20" s="8">
        <v>84.419807805773544</v>
      </c>
      <c r="J20" s="8">
        <v>83.924554706409111</v>
      </c>
      <c r="K20" s="8">
        <v>84.279962148537351</v>
      </c>
      <c r="L20" s="8">
        <v>68.563910611695547</v>
      </c>
      <c r="M20" s="8">
        <f>'[3]1.03'!$H$18</f>
        <v>73.400382083830053</v>
      </c>
    </row>
    <row r="21" spans="1:13" ht="20.100000000000001" customHeight="1" x14ac:dyDescent="0.25">
      <c r="A21" s="7" t="s">
        <v>12</v>
      </c>
      <c r="B21" s="8" t="s">
        <v>11</v>
      </c>
      <c r="C21" s="8">
        <v>64.456552194309523</v>
      </c>
      <c r="D21" s="8">
        <v>66.109210564933861</v>
      </c>
      <c r="E21" s="8">
        <v>67.41183868275175</v>
      </c>
      <c r="F21" s="8">
        <v>70.302598704222433</v>
      </c>
      <c r="G21" s="8">
        <v>70.279480144420347</v>
      </c>
      <c r="H21" s="8">
        <v>70.505994059895073</v>
      </c>
      <c r="I21" s="8">
        <v>72.702631539072684</v>
      </c>
      <c r="J21" s="8">
        <v>71.938607004739197</v>
      </c>
      <c r="K21" s="8">
        <v>68.833960168502841</v>
      </c>
      <c r="L21" s="8">
        <v>60.141872801454667</v>
      </c>
      <c r="M21" s="8">
        <f>'[3]1.03'!$Q$18</f>
        <v>63.183027037276673</v>
      </c>
    </row>
    <row r="22" spans="1:13" ht="20.100000000000001" customHeight="1" x14ac:dyDescent="0.25">
      <c r="A22" s="7" t="s">
        <v>13</v>
      </c>
      <c r="B22" s="8" t="s">
        <v>14</v>
      </c>
      <c r="C22" s="8">
        <v>568.49534658323751</v>
      </c>
      <c r="D22" s="8">
        <v>576.95729920995257</v>
      </c>
      <c r="E22" s="8">
        <v>571.9554387234474</v>
      </c>
      <c r="F22" s="8">
        <v>598.58747300783307</v>
      </c>
      <c r="G22" s="8">
        <v>638.97298958126737</v>
      </c>
      <c r="H22" s="8">
        <v>624.0541949829227</v>
      </c>
      <c r="I22" s="8">
        <v>616.87094498918668</v>
      </c>
      <c r="J22" s="8">
        <v>604.12419328204805</v>
      </c>
      <c r="K22" s="8">
        <v>612.16398551137434</v>
      </c>
      <c r="L22" s="8">
        <v>590.59080770256378</v>
      </c>
      <c r="M22" s="8">
        <f>'[3]1.03'!$D$18/'[3]1.03'!$C$18*1000</f>
        <v>557.13825611480786</v>
      </c>
    </row>
    <row r="23" spans="1:13" ht="20.100000000000001" customHeight="1" x14ac:dyDescent="0.25">
      <c r="A23" s="7" t="s">
        <v>15</v>
      </c>
      <c r="B23" s="8" t="s">
        <v>16</v>
      </c>
      <c r="C23" s="8">
        <v>1178.459923880923</v>
      </c>
      <c r="D23" s="8">
        <v>1159.2375023155912</v>
      </c>
      <c r="E23" s="8">
        <v>1170.760044623727</v>
      </c>
      <c r="F23" s="8">
        <v>1222.049782506914</v>
      </c>
      <c r="G23" s="8">
        <v>1307.6736426410532</v>
      </c>
      <c r="H23" s="8">
        <v>1283.2268985258549</v>
      </c>
      <c r="I23" s="8">
        <v>1273.5444220488346</v>
      </c>
      <c r="J23" s="8">
        <v>1272.2571643893643</v>
      </c>
      <c r="K23" s="8">
        <v>1235.4334290172696</v>
      </c>
      <c r="L23" s="8">
        <v>1171.961843380587</v>
      </c>
      <c r="M23" s="8">
        <f>'[3]1.03'!$D$18/'[3]1.03'!$B$18*1000</f>
        <v>944.77819666924927</v>
      </c>
    </row>
    <row r="24" spans="1:13" ht="26.25" customHeight="1" x14ac:dyDescent="0.25">
      <c r="A24" s="7" t="s">
        <v>17</v>
      </c>
      <c r="B24" s="8" t="s">
        <v>18</v>
      </c>
      <c r="C24" s="8">
        <v>106.75779429255955</v>
      </c>
      <c r="D24" s="8">
        <v>109.60898280874673</v>
      </c>
      <c r="E24" s="8">
        <v>109.1788234420263</v>
      </c>
      <c r="F24" s="8">
        <v>118.9708915855491</v>
      </c>
      <c r="G24" s="8">
        <v>126.03966824161256</v>
      </c>
      <c r="H24" s="8">
        <v>131.62045649787242</v>
      </c>
      <c r="I24" s="8">
        <v>137.09481915933529</v>
      </c>
      <c r="J24" s="8">
        <v>136.46843054967212</v>
      </c>
      <c r="K24" s="8">
        <v>136.3517569966279</v>
      </c>
      <c r="L24" s="8">
        <v>109.26485765769786</v>
      </c>
      <c r="M24" s="8">
        <f>'[3]1.03'!$E$18/'[3]1.03'!$B$18</f>
        <v>115.39470189972704</v>
      </c>
    </row>
    <row r="25" spans="1:13" ht="20.100000000000001" customHeight="1" x14ac:dyDescent="0.25">
      <c r="A25" s="12" t="s">
        <v>22</v>
      </c>
      <c r="B25" s="13" t="s">
        <v>20</v>
      </c>
      <c r="C25" s="14">
        <v>1.4995906828770353</v>
      </c>
      <c r="D25" s="14">
        <v>1.4694993803085865</v>
      </c>
      <c r="E25" s="14">
        <v>1.4919653821308709</v>
      </c>
      <c r="F25" s="14">
        <v>1.451777259127808</v>
      </c>
      <c r="G25" s="14">
        <v>1.404191601240836</v>
      </c>
      <c r="H25" s="14">
        <v>1.3654574351213391</v>
      </c>
      <c r="I25" s="14">
        <v>1.3554137163615767</v>
      </c>
      <c r="J25" s="14">
        <v>1.3555685484881259</v>
      </c>
      <c r="K25" s="14">
        <v>1.2901336640722263</v>
      </c>
      <c r="L25" s="8">
        <v>1.2626522282047201</v>
      </c>
      <c r="M25" s="8">
        <f>'[3]1.03'!$F$18/'[3]1.03'!$E$18*1000</f>
        <v>0.97349791274683173</v>
      </c>
    </row>
    <row r="26" spans="1:13" ht="15.75" customHeight="1" x14ac:dyDescent="0.25">
      <c r="A26" s="26" t="s">
        <v>24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1:13" ht="14.25" customHeight="1" x14ac:dyDescent="0.25">
      <c r="A27" s="19" t="s">
        <v>34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x14ac:dyDescent="0.25">
      <c r="A28" s="19" t="s">
        <v>29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13" x14ac:dyDescent="0.25">
      <c r="A29" s="19" t="s">
        <v>30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spans="1:13" x14ac:dyDescent="0.25">
      <c r="A30" s="19" t="s">
        <v>31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1:13" x14ac:dyDescent="0.25">
      <c r="A31" s="19" t="s">
        <v>32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spans="1:13" x14ac:dyDescent="0.25">
      <c r="A32" s="19" t="s">
        <v>33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1:16" ht="15" customHeight="1" x14ac:dyDescent="0.25">
      <c r="A33" s="18" t="s">
        <v>37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5"/>
      <c r="O33" s="15"/>
      <c r="P33" s="15"/>
    </row>
  </sheetData>
  <mergeCells count="14">
    <mergeCell ref="A2:M2"/>
    <mergeCell ref="A1:M1"/>
    <mergeCell ref="A33:M33"/>
    <mergeCell ref="A32:M32"/>
    <mergeCell ref="A31:M31"/>
    <mergeCell ref="A30:M30"/>
    <mergeCell ref="A29:M29"/>
    <mergeCell ref="A28:M28"/>
    <mergeCell ref="A27:M27"/>
    <mergeCell ref="A5:M5"/>
    <mergeCell ref="A12:M12"/>
    <mergeCell ref="A19:M19"/>
    <mergeCell ref="A26:M26"/>
    <mergeCell ref="A3:M3"/>
  </mergeCells>
  <phoneticPr fontId="6" type="noConversion"/>
  <printOptions horizontalCentered="1"/>
  <pageMargins left="0.25" right="0.25" top="0.75" bottom="0.75" header="0.3" footer="0.3"/>
  <pageSetup paperSize="9" scale="7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2020-05-11T10:29:34Z</cp:lastPrinted>
  <dcterms:created xsi:type="dcterms:W3CDTF">2018-10-29T04:00:17Z</dcterms:created>
  <dcterms:modified xsi:type="dcterms:W3CDTF">2022-11-17T04:57:57Z</dcterms:modified>
</cp:coreProperties>
</file>