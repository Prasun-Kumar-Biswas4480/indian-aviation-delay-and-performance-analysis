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LLIANCE AIR.xlsm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<sst xmlns="http://schemas.openxmlformats.org/spreadsheetml/2006/main" count="886" uniqueCount="191">
  <si>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</si>
  <si>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</si>
  <si>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</si>
  <si>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</si>
  <si>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</si>
  <si>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</si>
  <si>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</si>
  <si>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</si>
  <si>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</si>
  <si>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</si>
  <si>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</si>
  <si>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</si>
  <si>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</si>
  <si>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</si>
  <si>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</si>
  <si>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</si>
  <si>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</si>
  <si>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</si>
  <si>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</si>
  <si>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</si>
  <si>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</si>
  <si>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</si>
  <si>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</si>
  <si>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</si>
  <si>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</si>
  <si>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</si>
  <si>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</si>
  <si>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</si>
  <si>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</si>
  <si>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</si>
  <si>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</si>
  <si>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</si>
  <si>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</si>
  <si>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</si>
  <si>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</si>
  <si>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</si>
  <si>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</si>
  <si>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</si>
  <si>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</si>
  <si>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</si>
  <si>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</si>
  <si>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</si>
  <si>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</si>
  <si>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</si>
  <si>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</si>
  <si>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</si>
  <si>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</si>
  <si>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</si>
  <si>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</si>
  <si>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</si>
  <si>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</si>
  <si>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</si>
  <si>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</si>
  <si>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</si>
  <si>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</si>
  <si>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</si>
  <si>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</si>
  <si>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</si>
  <si>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</si>
  <si>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</si>
  <si>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</si>
  <si>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</si>
  <si>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</si>
  <si>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</si>
  <si>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</si>
  <si>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</si>
  <si>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</si>
  <si>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</si>
  <si>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</si>
  <si>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</si>
  <si>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</si>
  <si>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</si>
  <si>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</si>
  <si>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</si>
  <si>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</si>
  <si>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</si>
  <si>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</si>
  <si>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</si>
  <si>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</si>
  <si>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</si>
  <si>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</si>
  <si>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</si>
  <si>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</si>
  <si>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</si>
  <si>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</si>
  <si>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</si>
  <si>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</si>
  <si>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</si>
  <si>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</si>
  <si>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</si>
  <si>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</si>
  <si>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</si>
  <si>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</si>
  <si>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</si>
  <si>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</si>
  <si>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</si>
  <si>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</si>
  <si>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</si>
  <si>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</si>
  <si>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</si>
  <si>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</si>
  <si>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</si>
  <si>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</si>
  <si>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</si>
  <si>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</si>
  <si>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</si>
  <si>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</si>
  <si>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</si>
  <si>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</si>
  <si>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</si>
  <si>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</si>
  <si>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</si>
  <si>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</si>
  <si>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</si>
  <si>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</si>
  <si>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</si>
  <si>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</si>
  <si>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</si>
  <si>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</si>
  <si>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</si>
  <si>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</si>
  <si>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</si>
  <si>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</si>
  <si>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</si>
  <si>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</si>
  <si>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</si>
  <si>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</si>
  <si>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</si>
  <si>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</si>
  <si>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</si>
  <si>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</si>
  <si>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</si>
  <si>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</si>
  <si>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</si>
  <si>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</si>
  <si>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</si>
  <si>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</si>
  <si>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</si>
  <si>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</si>
  <si>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</si>
  <si>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</si>
  <si>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</si>
  <si>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</si>
  <si>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</si>
  <si>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</si>
  <si>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</si>
  <si>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</si>
  <si>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</si>
  <si>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</si>
  <si>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</si>
  <si>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</si>
  <si>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</si>
  <si>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</si>
  <si>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</si>
  <si>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</si>
  <si>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</si>
  <si>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</si>
  <si>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</si>
  <si>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</si>
  <si>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</si>
  <si>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</si>
  <si>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</si>
  <si>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</si>
  <si>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</si>
  <si>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</si>
  <si>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</si>
  <si>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</si>
  <si>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</si>
  <si>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</si>
  <si>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</si>
  <si>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</si>
  <si>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</si>
  <si>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</si>
  <si>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</si>
  <si>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</si>
  <si>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</si>
  <si>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</si>
  <si>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</si>
  <si>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</si>
  <si>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</si>
  <si>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</si>
  <si>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</si>
  <si>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</si>
  <si>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</si>
  <si>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 xml:space="preserve">      EMPLOYEES PRODUCTIVITY OF ALLIANCE AIR</t>
  </si>
  <si>
    <t xml:space="preserve"> 2018-19</t>
  </si>
  <si>
    <t xml:space="preserve">तालिका 1.14 (एलाइंस एयर) </t>
  </si>
  <si>
    <t>TABLE - 1.14 (ALLIANCE AIR)</t>
  </si>
  <si>
    <t xml:space="preserve"> 2019-19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</si>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</sst>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_)"/>
    <numFmt numFmtId="165" formatCode="#,##0.0_);[Red]\(#,##0.0\)"/>
    <numFmt numFmtId="166" formatCode="_-* #,##0.00_-;\-* #,##0.00_-;_-* &quot;-&quot;??_-;_-@_-"/>
    <numFmt numFmtId="167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9" fillId="0" borderId="0" applyFont="0" applyFill="0" applyBorder="0" applyAlignment="0" applyProtection="0"/>
    <xf numFmtId="0" fontId="6" fillId="0" borderId="0"/>
    <xf numFmtId="37" fontId="6" fillId="0" borderId="0"/>
    <xf numFmtId="164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7" fontId="17" fillId="0" borderId="0" applyFont="0" applyFill="0" applyBorder="0" applyAlignment="0" applyProtection="0"/>
  </cellStyleXfs>
  <cellXfs count="39">
    <xf numFmtId="0" fontId="0" fillId="0" borderId="0" xfId="0"/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5" fontId="14" fillId="3" borderId="1" xfId="1" applyNumberFormat="1" applyFont="1" applyFill="1" applyBorder="1" applyAlignment="1" applyProtection="1">
      <alignment horizontal="left" wrapText="1"/>
    </xf>
    <xf numFmtId="165" fontId="11" fillId="3" borderId="1" xfId="1" applyNumberFormat="1" applyFont="1" applyFill="1" applyBorder="1" applyAlignment="1" applyProtection="1">
      <alignment horizontal="left" wrapText="1"/>
    </xf>
    <xf numFmtId="165" fontId="12" fillId="3" borderId="1" xfId="1" applyNumberFormat="1" applyFont="1" applyFill="1" applyBorder="1" applyAlignment="1" applyProtection="1">
      <alignment horizontal="left" wrapText="1"/>
    </xf>
    <xf numFmtId="165" fontId="11" fillId="3" borderId="1" xfId="1" applyNumberFormat="1" applyFont="1" applyFill="1" applyBorder="1" applyAlignment="1" applyProtection="1">
      <alignment horizontal="left" vertical="top" wrapText="1"/>
    </xf>
    <xf numFmtId="165" fontId="11" fillId="4" borderId="10" xfId="7" applyNumberFormat="1" applyFont="1" applyFill="1" applyBorder="1" applyAlignment="1" applyProtection="1">
      <alignment horizontal="left" vertical="center"/>
    </xf>
    <xf numFmtId="165" fontId="11" fillId="4" borderId="10" xfId="7" applyNumberFormat="1" applyFont="1" applyFill="1" applyBorder="1" applyAlignment="1" applyProtection="1">
      <alignment vertical="center"/>
    </xf>
    <xf numFmtId="165" fontId="12" fillId="4" borderId="9" xfId="7" applyNumberFormat="1" applyFont="1" applyFill="1" applyBorder="1" applyAlignment="1" applyProtection="1">
      <alignment vertical="center"/>
    </xf>
    <xf numFmtId="165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2" fontId="7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6" xfId="2" applyFont="1" applyFill="1" applyBorder="1" applyAlignment="1" applyProtection="1">
      <alignment horizontal="left" vertical="center"/>
    </xf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6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6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33</v>
      </c>
      <c r="AR1" t="s">
        <v>23</v>
      </c>
    </row>
    <row r="2" spans="1:57">
      <c r="A2" s="8" t="s">
        <v>98</v>
      </c>
      <c r="B2" s="29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33</v>
      </c>
      <c r="V3" s="4" t="s">
        <v>34</v>
      </c>
      <c r="W3" s="4" t="s">
        <v>48</v>
      </c>
      <c r="X3" s="4" t="s">
        <v>49</v>
      </c>
      <c r="Y3" s="4" t="s">
        <v>50</v>
      </c>
      <c r="Z3" s="4" t="s">
        <v>51</v>
      </c>
      <c r="AA3" s="4" t="s">
        <v>35</v>
      </c>
      <c r="AB3" s="4" t="s">
        <v>36</v>
      </c>
      <c r="AC3" s="4" t="s">
        <v>37</v>
      </c>
      <c r="AD3" s="4" t="s">
        <v>52</v>
      </c>
      <c r="AE3" s="4" t="s">
        <v>53</v>
      </c>
      <c r="AF3" s="4" t="s">
        <v>54</v>
      </c>
      <c r="AG3" s="4" t="s">
        <v>55</v>
      </c>
      <c r="AH3" s="4" t="s">
        <v>56</v>
      </c>
      <c r="AI3" s="4" t="s">
        <v>57</v>
      </c>
      <c r="AJ3" s="4" t="s">
        <v>58</v>
      </c>
      <c r="AK3" s="4" t="s">
        <v>59</v>
      </c>
      <c r="AQ3" s="4" t="s">
        <v>34</v>
      </c>
      <c r="AR3" s="4" t="s">
        <v>48</v>
      </c>
      <c r="AS3" s="4" t="s">
        <v>49</v>
      </c>
      <c r="AT3" s="4" t="s">
        <v>50</v>
      </c>
      <c r="AU3" s="4" t="s">
        <v>51</v>
      </c>
      <c r="AV3" s="4" t="s">
        <v>35</v>
      </c>
      <c r="AW3" s="4" t="s">
        <v>36</v>
      </c>
      <c r="AX3" s="4" t="s">
        <v>37</v>
      </c>
      <c r="AY3" s="4" t="s">
        <v>52</v>
      </c>
      <c r="AZ3" s="4" t="s">
        <v>53</v>
      </c>
      <c r="BA3" s="4" t="s">
        <v>55</v>
      </c>
      <c r="BB3" s="4" t="s">
        <v>56</v>
      </c>
      <c r="BC3" s="4" t="s">
        <v>57</v>
      </c>
      <c r="BD3" s="4" t="s">
        <v>59</v>
      </c>
    </row>
    <row r="4" spans="1:57" ht="15.75" customHeight="1">
      <c r="A4" s="5" t="s">
        <v>16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5" t="s">
        <v>45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16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5" t="s">
        <v>23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5" t="s">
        <v>20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21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5" t="s">
        <v>22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26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28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29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32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41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42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43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5" t="s">
        <v>46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2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2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2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2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44</v>
      </c>
      <c r="B3" t="s">
        <v>62</v>
      </c>
      <c r="C3" t="s">
        <v>72</v>
      </c>
      <c r="V3" s="7" t="s">
        <v>73</v>
      </c>
      <c r="W3" s="4" t="s">
        <v>38</v>
      </c>
      <c r="X3" s="4" t="s">
        <v>60</v>
      </c>
      <c r="Y3" t="s">
        <v>71</v>
      </c>
      <c r="Z3" t="s">
        <v>62</v>
      </c>
      <c r="AA3" t="s">
        <v>72</v>
      </c>
    </row>
    <row r="4" spans="1:27">
      <c r="A4" s="5" t="s">
        <v>28</v>
      </c>
      <c r="B4" s="6">
        <v>2467</v>
      </c>
      <c r="C4" s="6">
        <v>3806.1423290000002</v>
      </c>
      <c r="V4" t="str">
        <f>W4&amp;X4</f>
        <v>AIR ASIAP1</v>
      </c>
      <c r="W4" t="s">
        <v>28</v>
      </c>
      <c r="X4" t="s">
        <v>7</v>
      </c>
      <c r="Y4" s="6">
        <v>263</v>
      </c>
      <c r="Z4" s="6">
        <v>311</v>
      </c>
      <c r="AA4" s="6">
        <v>1997.191354</v>
      </c>
    </row>
    <row r="5" spans="1:27">
      <c r="A5" s="5" t="s">
        <v>20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28</v>
      </c>
      <c r="X5" t="s">
        <v>8</v>
      </c>
      <c r="Y5" s="6"/>
      <c r="Z5" s="6"/>
      <c r="AA5" s="6"/>
    </row>
    <row r="6" spans="1:27">
      <c r="A6" s="5" t="s">
        <v>21</v>
      </c>
      <c r="B6" s="6">
        <v>1472</v>
      </c>
      <c r="C6" s="6">
        <v>2956.1</v>
      </c>
      <c r="V6" t="str">
        <f t="shared" si="0"/>
        <v>AIR ASIAP3</v>
      </c>
      <c r="W6" t="s">
        <v>28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>
      <c r="A7" s="5" t="s">
        <v>43</v>
      </c>
      <c r="B7" s="6">
        <v>60728</v>
      </c>
      <c r="C7" s="6">
        <v>93775.981349000009</v>
      </c>
      <c r="V7" t="str">
        <f t="shared" si="0"/>
        <v>AIR ASIAP4</v>
      </c>
      <c r="W7" t="s">
        <v>28</v>
      </c>
      <c r="X7" t="s">
        <v>10</v>
      </c>
      <c r="Y7" s="6">
        <v>180</v>
      </c>
      <c r="Z7" s="6">
        <v>199</v>
      </c>
      <c r="AA7" s="6">
        <v>337.623289</v>
      </c>
    </row>
    <row r="8" spans="1:27">
      <c r="A8" s="5" t="s">
        <v>22</v>
      </c>
      <c r="B8" s="6">
        <v>324</v>
      </c>
      <c r="C8" s="6">
        <v>1392.7165519999999</v>
      </c>
      <c r="V8" t="str">
        <f t="shared" si="0"/>
        <v>AIR ASIAP4.1</v>
      </c>
      <c r="W8" t="s">
        <v>28</v>
      </c>
      <c r="X8" t="s">
        <v>39</v>
      </c>
      <c r="Y8" s="6">
        <v>180</v>
      </c>
      <c r="Z8" s="6">
        <v>199</v>
      </c>
      <c r="AA8" s="6">
        <v>337.623289</v>
      </c>
    </row>
    <row r="9" spans="1:27">
      <c r="A9" s="5" t="s">
        <v>30</v>
      </c>
      <c r="B9" s="6">
        <v>1389</v>
      </c>
      <c r="C9" s="6">
        <v>1617.18</v>
      </c>
      <c r="V9" t="str">
        <f t="shared" si="0"/>
        <v>AIR ASIAP4.2</v>
      </c>
      <c r="W9" t="s">
        <v>28</v>
      </c>
      <c r="X9" t="s">
        <v>40</v>
      </c>
      <c r="Y9" s="6"/>
      <c r="Z9" s="6"/>
      <c r="AA9" s="6"/>
    </row>
    <row r="10" spans="1:27">
      <c r="A10" s="5" t="s">
        <v>23</v>
      </c>
      <c r="B10" s="6">
        <v>4140</v>
      </c>
      <c r="C10" s="6">
        <v>6380</v>
      </c>
      <c r="V10" t="str">
        <f t="shared" si="0"/>
        <v>AIR ASIAP5</v>
      </c>
      <c r="W10" t="s">
        <v>28</v>
      </c>
      <c r="X10" t="s">
        <v>11</v>
      </c>
      <c r="Y10" s="6"/>
      <c r="Z10" s="6"/>
      <c r="AA10" s="6"/>
    </row>
    <row r="11" spans="1:27">
      <c r="A11" s="5" t="s">
        <v>16</v>
      </c>
      <c r="B11" s="6">
        <v>25201</v>
      </c>
      <c r="C11" s="6">
        <v>33290.79</v>
      </c>
      <c r="V11" t="str">
        <f t="shared" si="0"/>
        <v>AIR ASIAP6</v>
      </c>
      <c r="W11" t="s">
        <v>28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>
      <c r="A12" s="5" t="s">
        <v>41</v>
      </c>
      <c r="B12" s="6">
        <v>11788</v>
      </c>
      <c r="C12" s="6">
        <v>34401.086552000001</v>
      </c>
      <c r="V12" t="str">
        <f t="shared" si="0"/>
        <v>AIR INDIAP1</v>
      </c>
      <c r="W12" t="s">
        <v>20</v>
      </c>
      <c r="X12" t="s">
        <v>7</v>
      </c>
      <c r="Y12" s="6">
        <v>1329</v>
      </c>
      <c r="Z12" s="6">
        <v>1318</v>
      </c>
      <c r="AA12" s="6">
        <v>12079.48</v>
      </c>
    </row>
    <row r="13" spans="1:27">
      <c r="A13" s="5" t="s">
        <v>42</v>
      </c>
      <c r="B13" s="6">
        <v>48940</v>
      </c>
      <c r="C13" s="6">
        <v>59374.894797000001</v>
      </c>
      <c r="V13" t="str">
        <f t="shared" si="0"/>
        <v>AIR INDIAP2</v>
      </c>
      <c r="W13" t="s">
        <v>20</v>
      </c>
      <c r="X13" t="s">
        <v>8</v>
      </c>
      <c r="Y13" s="6"/>
      <c r="Z13" s="6"/>
      <c r="AA13" s="6"/>
    </row>
    <row r="14" spans="1:27">
      <c r="A14" s="5" t="s">
        <v>26</v>
      </c>
      <c r="B14" s="6">
        <v>12094</v>
      </c>
      <c r="C14" s="6">
        <v>9401.4900000000016</v>
      </c>
      <c r="V14" t="str">
        <f t="shared" si="0"/>
        <v>AIR INDIAP3</v>
      </c>
      <c r="W14" t="s">
        <v>20</v>
      </c>
      <c r="X14" t="s">
        <v>9</v>
      </c>
      <c r="Y14" s="6">
        <v>1766</v>
      </c>
      <c r="Z14" s="6">
        <v>1703</v>
      </c>
      <c r="AA14" s="6">
        <v>5986.11</v>
      </c>
    </row>
    <row r="15" spans="1:27">
      <c r="A15" s="5" t="s">
        <v>32</v>
      </c>
      <c r="B15" s="6">
        <v>895</v>
      </c>
      <c r="C15" s="6">
        <v>801.87858399999982</v>
      </c>
      <c r="V15" t="str">
        <f t="shared" si="0"/>
        <v>AIR INDIAP4</v>
      </c>
      <c r="W15" t="s">
        <v>20</v>
      </c>
      <c r="X15" t="s">
        <v>10</v>
      </c>
      <c r="Y15" s="6">
        <v>577</v>
      </c>
      <c r="Z15" s="6">
        <v>543</v>
      </c>
      <c r="AA15" s="6">
        <v>69.31</v>
      </c>
    </row>
    <row r="16" spans="1:27">
      <c r="A16" s="5" t="s">
        <v>29</v>
      </c>
      <c r="B16" s="6">
        <v>2721</v>
      </c>
      <c r="C16" s="6">
        <v>4070.3999999999996</v>
      </c>
      <c r="V16" t="str">
        <f t="shared" si="0"/>
        <v>AIR INDIAP4.1</v>
      </c>
      <c r="W16" t="s">
        <v>20</v>
      </c>
      <c r="X16" t="s">
        <v>39</v>
      </c>
      <c r="Y16" s="6"/>
      <c r="Z16" s="6"/>
      <c r="AA16" s="6"/>
    </row>
    <row r="17" spans="1:27">
      <c r="A17" s="5" t="s">
        <v>45</v>
      </c>
      <c r="B17" s="6"/>
      <c r="C17" s="6"/>
      <c r="V17" t="str">
        <f t="shared" si="0"/>
        <v>AIR INDIAP4.2</v>
      </c>
      <c r="W17" t="s">
        <v>20</v>
      </c>
      <c r="X17" t="s">
        <v>40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20</v>
      </c>
      <c r="X18" t="s">
        <v>11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20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>
      <c r="A20" s="5" t="s">
        <v>46</v>
      </c>
      <c r="B20" s="6">
        <v>182184</v>
      </c>
      <c r="C20" s="6">
        <v>281327.94404700003</v>
      </c>
      <c r="V20" t="str">
        <f t="shared" si="0"/>
        <v>AIR INDIA EXPRESSP1</v>
      </c>
      <c r="W20" t="s">
        <v>21</v>
      </c>
      <c r="X20" t="s">
        <v>7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21</v>
      </c>
      <c r="X21" t="s">
        <v>8</v>
      </c>
      <c r="Y21" s="6"/>
      <c r="Z21" s="6"/>
      <c r="AA21" s="6"/>
    </row>
    <row r="22" spans="1:27">
      <c r="V22" t="str">
        <f t="shared" si="0"/>
        <v>AIR INDIA EXPRESSP3</v>
      </c>
      <c r="W22" t="s">
        <v>21</v>
      </c>
      <c r="X22" t="s">
        <v>9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21</v>
      </c>
      <c r="X23" t="s">
        <v>10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21</v>
      </c>
      <c r="X26" t="s">
        <v>11</v>
      </c>
      <c r="Y26" s="6"/>
      <c r="Z26" s="6"/>
      <c r="AA26" s="6"/>
    </row>
    <row r="27" spans="1:27">
      <c r="V27" t="str">
        <f t="shared" si="0"/>
        <v>AIR INDIA EXPRESSP6</v>
      </c>
      <c r="W27" t="s">
        <v>21</v>
      </c>
      <c r="X27" t="s">
        <v>12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43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8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12</v>
      </c>
      <c r="Y35" s="6">
        <v>26636</v>
      </c>
      <c r="Z35" s="6">
        <v>29472</v>
      </c>
      <c r="AA35" s="6">
        <v>20875.268930000002</v>
      </c>
    </row>
    <row r="36" spans="22:27">
      <c r="V36" t="str">
        <f t="shared" si="0"/>
        <v>ALLIANCE AIRP1</v>
      </c>
      <c r="W36" t="s">
        <v>22</v>
      </c>
      <c r="X36" t="s">
        <v>7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22</v>
      </c>
      <c r="X37" t="s">
        <v>8</v>
      </c>
      <c r="Y37" s="6"/>
      <c r="Z37" s="6"/>
      <c r="AA37" s="6"/>
    </row>
    <row r="38" spans="22:27">
      <c r="V38" t="str">
        <f t="shared" si="0"/>
        <v>ALLIANCE AIRP3</v>
      </c>
      <c r="W38" t="s">
        <v>22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22</v>
      </c>
      <c r="X39" t="s">
        <v>10</v>
      </c>
      <c r="Y39" s="6"/>
      <c r="Z39" s="6"/>
      <c r="AA39" s="6"/>
    </row>
    <row r="40" spans="22:27">
      <c r="V40" t="str">
        <f t="shared" si="0"/>
        <v>ALLIANCE AIRP4.1</v>
      </c>
      <c r="W40" t="s">
        <v>22</v>
      </c>
      <c r="X40" t="s">
        <v>39</v>
      </c>
      <c r="Y40" s="6"/>
      <c r="Z40" s="6"/>
      <c r="AA40" s="6"/>
    </row>
    <row r="41" spans="22:27">
      <c r="V41" t="str">
        <f t="shared" si="0"/>
        <v>ALLIANCE AIRP4.2</v>
      </c>
      <c r="W41" t="s">
        <v>22</v>
      </c>
      <c r="X41" t="s">
        <v>40</v>
      </c>
      <c r="Y41" s="6"/>
      <c r="Z41" s="6"/>
      <c r="AA41" s="6"/>
    </row>
    <row r="42" spans="22:27">
      <c r="V42" t="str">
        <f t="shared" si="0"/>
        <v>ALLIANCE AIRP5</v>
      </c>
      <c r="W42" t="s">
        <v>22</v>
      </c>
      <c r="X42" t="s">
        <v>11</v>
      </c>
      <c r="Y42" s="6"/>
      <c r="Z42" s="6"/>
      <c r="AA42" s="6"/>
    </row>
    <row r="43" spans="22:27">
      <c r="V43" t="str">
        <f t="shared" si="0"/>
        <v>ALLIANCE AIRP6</v>
      </c>
      <c r="W43" t="s">
        <v>22</v>
      </c>
      <c r="X43" t="s">
        <v>12</v>
      </c>
      <c r="Y43" s="6"/>
      <c r="Z43" s="6"/>
      <c r="AA43" s="6">
        <v>208.90748300000001</v>
      </c>
    </row>
    <row r="44" spans="22:27">
      <c r="V44" t="str">
        <f t="shared" si="0"/>
        <v>Blue Dart P1</v>
      </c>
      <c r="W44" t="s">
        <v>30</v>
      </c>
      <c r="X44" t="s">
        <v>7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30</v>
      </c>
      <c r="X45" t="s">
        <v>8</v>
      </c>
      <c r="Y45" s="6"/>
      <c r="Z45" s="6"/>
      <c r="AA45" s="6"/>
    </row>
    <row r="46" spans="22:27">
      <c r="V46" t="str">
        <f t="shared" si="0"/>
        <v>Blue Dart P3</v>
      </c>
      <c r="W46" t="s">
        <v>30</v>
      </c>
      <c r="X46" t="s">
        <v>9</v>
      </c>
      <c r="Y46" s="6"/>
      <c r="Z46" s="6"/>
      <c r="AA46" s="6"/>
    </row>
    <row r="47" spans="22:27">
      <c r="V47" t="str">
        <f t="shared" si="0"/>
        <v>Blue Dart P4</v>
      </c>
      <c r="W47" t="s">
        <v>30</v>
      </c>
      <c r="X47" t="s">
        <v>10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30</v>
      </c>
      <c r="X50" t="s">
        <v>11</v>
      </c>
      <c r="Y50" s="6"/>
      <c r="Z50" s="6"/>
      <c r="AA50" s="6"/>
    </row>
    <row r="51" spans="22:27">
      <c r="V51" t="str">
        <f t="shared" si="0"/>
        <v>Blue Dart P6</v>
      </c>
      <c r="W51" t="s">
        <v>30</v>
      </c>
      <c r="X51" t="s">
        <v>12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23</v>
      </c>
      <c r="X52" t="s">
        <v>7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23</v>
      </c>
      <c r="X53" t="s">
        <v>8</v>
      </c>
      <c r="Y53" s="6"/>
      <c r="Z53" s="6"/>
      <c r="AA53" s="6"/>
    </row>
    <row r="54" spans="22:27">
      <c r="V54" t="str">
        <f t="shared" si="0"/>
        <v>GO AIRP3</v>
      </c>
      <c r="W54" t="s">
        <v>23</v>
      </c>
      <c r="X54" t="s">
        <v>9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23</v>
      </c>
      <c r="X55" t="s">
        <v>10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23</v>
      </c>
      <c r="X58" t="s">
        <v>11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23</v>
      </c>
      <c r="X59" t="s">
        <v>12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16</v>
      </c>
      <c r="X60" t="s">
        <v>7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16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16</v>
      </c>
      <c r="X62" t="s">
        <v>9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16</v>
      </c>
      <c r="X63" t="s">
        <v>10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16</v>
      </c>
      <c r="X64" t="s">
        <v>39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16</v>
      </c>
      <c r="X65" t="s">
        <v>40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16</v>
      </c>
      <c r="X66" t="s">
        <v>11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16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8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41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10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41</v>
      </c>
      <c r="X74" t="s">
        <v>11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12</v>
      </c>
      <c r="Y75" s="6">
        <v>5322</v>
      </c>
      <c r="Z75" s="6">
        <v>4795</v>
      </c>
      <c r="AA75" s="6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8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42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26</v>
      </c>
      <c r="X84" t="s">
        <v>7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26</v>
      </c>
      <c r="X85" t="s">
        <v>8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26</v>
      </c>
      <c r="X86" t="s">
        <v>9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26</v>
      </c>
      <c r="X87" t="s">
        <v>10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26</v>
      </c>
      <c r="X90" t="s">
        <v>11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26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32</v>
      </c>
      <c r="X92" t="s">
        <v>7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32</v>
      </c>
      <c r="X93" t="s">
        <v>8</v>
      </c>
      <c r="Y93" s="6"/>
      <c r="Z93" s="6"/>
      <c r="AA93" s="6"/>
    </row>
    <row r="94" spans="22:27">
      <c r="V94" t="str">
        <f t="shared" si="1"/>
        <v>TRUEJETP3</v>
      </c>
      <c r="W94" t="s">
        <v>32</v>
      </c>
      <c r="X94" t="s">
        <v>9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32</v>
      </c>
      <c r="X95" t="s">
        <v>10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32</v>
      </c>
      <c r="X98" t="s">
        <v>11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32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29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29</v>
      </c>
      <c r="X101" t="s">
        <v>8</v>
      </c>
      <c r="Y101" s="6"/>
      <c r="Z101" s="6"/>
      <c r="AA101" s="6"/>
    </row>
    <row r="102" spans="22:27">
      <c r="V102" t="str">
        <f t="shared" si="1"/>
        <v>VISTARAP3</v>
      </c>
      <c r="W102" t="s">
        <v>29</v>
      </c>
      <c r="X102" t="s">
        <v>9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29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29</v>
      </c>
      <c r="X106" t="s">
        <v>11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29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7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8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9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10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39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40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11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12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8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9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10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11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12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14</v>
      </c>
      <c r="C2" s="10" t="s">
        <v>100</v>
      </c>
      <c r="D2" s="10" t="s">
        <v>101</v>
      </c>
      <c r="E2" s="10" t="s">
        <v>15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28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20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21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22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30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23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16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25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26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32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29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45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41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42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46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4">
    <pageSetUpPr fitToPage="1"/>
  </sheetPr>
  <dimension ref="A1:C26"/>
  <sheetViews>
    <sheetView showGridLines="0" tabSelected="1" view="pageBreakPreview" topLeftCell="A4" zoomScale="75" zoomScaleNormal="50" zoomScaleSheetLayoutView="75" workbookViewId="0">
      <selection activeCell="B21" sqref="B21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1" t="s">
        <v>186</v>
      </c>
      <c r="B1" s="32"/>
      <c r="C1" s="33"/>
    </row>
    <row r="2" spans="1:3" ht="24.95" customHeight="1">
      <c r="A2" s="34" t="s">
        <v>187</v>
      </c>
      <c r="B2" s="35"/>
      <c r="C2" s="36"/>
    </row>
    <row r="3" spans="1:3" ht="24.95" customHeight="1">
      <c r="A3" s="38" t="s">
        <v>184</v>
      </c>
      <c r="B3" s="38"/>
      <c r="C3" s="38"/>
    </row>
    <row r="4" spans="1:3" ht="24.95" customHeight="1">
      <c r="A4" s="37" t="s">
        <v>6</v>
      </c>
      <c r="B4" s="37"/>
      <c r="C4" s="37"/>
    </row>
    <row r="5" spans="1:3" ht="39.950000000000003" customHeight="1">
      <c r="A5" s="37" t="s">
        <v>1</v>
      </c>
      <c r="B5" s="37" t="s">
        <v>5</v>
      </c>
      <c r="C5" s="37" t="s">
        <v>4</v>
      </c>
    </row>
    <row r="6" spans="1:3" ht="18.75" customHeight="1">
      <c r="A6" s="37"/>
      <c r="B6" s="37"/>
      <c r="C6" s="37"/>
    </row>
    <row r="7" spans="1:3" ht="35.1" customHeight="1">
      <c r="A7" s="37"/>
      <c r="B7" s="1" t="s">
        <v>3</v>
      </c>
      <c r="C7" s="1" t="s">
        <v>3</v>
      </c>
    </row>
    <row r="8" spans="1:3" ht="30" customHeight="1">
      <c r="A8" s="26" t="s">
        <v>2</v>
      </c>
      <c r="B8" s="23">
        <v>4.425434116445353E-2</v>
      </c>
      <c r="C8" s="23">
        <v>2.7178753830439221E-2</v>
      </c>
    </row>
    <row r="9" spans="1:3" ht="30" customHeight="1">
      <c r="A9" s="26" t="s">
        <v>13</v>
      </c>
      <c r="B9" s="24">
        <v>4.0191048034934493E-2</v>
      </c>
      <c r="C9" s="24">
        <v>2.4811135371179047E-2</v>
      </c>
    </row>
    <row r="10" spans="1:3" ht="35.1" customHeight="1">
      <c r="A10" s="26" t="s">
        <v>18</v>
      </c>
      <c r="B10" s="24">
        <v>4.3658156028368797E-2</v>
      </c>
      <c r="C10" s="24">
        <v>2.5548936170212762E-2</v>
      </c>
    </row>
    <row r="11" spans="1:3" ht="33.75" customHeight="1">
      <c r="A11" s="26" t="s">
        <v>19</v>
      </c>
      <c r="B11" s="25">
        <v>6.5088757396449703E-2</v>
      </c>
      <c r="C11" s="25">
        <v>3.98422090729783E-2</v>
      </c>
    </row>
    <row r="12" spans="1:3" ht="27" customHeight="1">
      <c r="A12" s="26" t="s">
        <v>74</v>
      </c>
      <c r="B12" s="24">
        <v>8.4643527204502814E-2</v>
      </c>
      <c r="C12" s="24">
        <v>5.5086303939962479E-2</v>
      </c>
    </row>
    <row r="13" spans="1:3" ht="30" customHeight="1">
      <c r="A13" s="26" t="s">
        <v>178</v>
      </c>
      <c r="B13" s="24">
        <v>0.11166445182724251</v>
      </c>
      <c r="C13" s="24">
        <v>8.5330564784053153E-2</v>
      </c>
    </row>
    <row r="14" spans="1:3" ht="30" customHeight="1">
      <c r="A14" s="26" t="s">
        <v>185</v>
      </c>
      <c r="B14" s="24">
        <v>0.28179012345679011</v>
      </c>
      <c r="C14" s="24">
        <v>0.19135802469135801</v>
      </c>
    </row>
    <row r="15" spans="1:3" ht="30" customHeight="1">
      <c r="A15" s="26" t="s">
        <v>188</v>
      </c>
      <c r="B15" s="24">
        <v>0.11276595744680852</v>
      </c>
      <c r="C15" s="24">
        <v>7.2458628841607559E-2</v>
      </c>
    </row>
    <row r="16" spans="1:3" ht="30" customHeight="1">
      <c r="A16" s="26" t="s">
        <v>189</v>
      </c>
      <c r="B16" s="24">
        <v>6.0735468564650064E-2</v>
      </c>
      <c r="C16" s="24">
        <v>3.0604982206405694E-2</v>
      </c>
    </row>
    <row r="17" spans="1:3" ht="30" customHeight="1">
      <c r="A17" s="26" t="s">
        <v>190</v>
      </c>
      <c r="B17" s="24">
        <v>8.3447585394581858E-2</v>
      </c>
      <c r="C17" s="24">
        <v>4.9427561837455836E-2</v>
      </c>
    </row>
    <row r="18" spans="1:3" ht="36.75" customHeight="1">
      <c r="A18" s="30" t="s">
        <v>183</v>
      </c>
      <c r="B18" s="30"/>
      <c r="C18" s="30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2023-02-07T06:50:30Z</dcterms:modified>
</cp:coreProperties>
</file>