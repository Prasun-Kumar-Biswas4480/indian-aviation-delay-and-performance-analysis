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<sst xmlns="http://schemas.openxmlformats.org/spreadsheetml/2006/main" count="906" uniqueCount="215">
  <si>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</si>
  <si>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</si>
  <si>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</si>
  <si>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</si>
  <si>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</si>
  <si>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</si>
  <si>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</si>
  <si>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</si>
  <si>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</si>
  <si>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</si>
  <si>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</si>
  <si>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</si>
  <si>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</si>
  <si>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</si>
  <si>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</si>
  <si>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</si>
  <si>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</si>
  <si>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</si>
  <si>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</si>
  <si>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</si>
  <si>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</si>
  <si>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</si>
  <si>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</si>
  <si>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</si>
  <si>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</si>
  <si>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</si>
  <si>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</si>
  <si>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</si>
  <si>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</si>
  <si>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</si>
  <si>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</si>
  <si>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</si>
  <si>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</si>
  <si>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</si>
  <si>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</si>
  <si>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</si>
  <si>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</si>
  <si>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</si>
  <si>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</si>
  <si>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</si>
  <si>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</si>
  <si>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</si>
  <si>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</si>
  <si>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</si>
  <si>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</si>
  <si>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</si>
  <si>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</si>
  <si>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</si>
  <si>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</si>
  <si>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</si>
  <si>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</si>
  <si>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</si>
  <si>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</si>
  <si>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</si>
  <si>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</si>
  <si>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</si>
  <si>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</si>
  <si>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</si>
  <si>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</si>
  <si>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</si>
  <si>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</si>
  <si>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</si>
  <si>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</si>
  <si>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</si>
  <si>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</si>
  <si>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</si>
  <si>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</si>
  <si>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</si>
  <si>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</si>
  <si>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</si>
  <si>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</si>
  <si>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</si>
  <si>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</si>
  <si>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</si>
  <si>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</si>
  <si>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</si>
  <si>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</si>
  <si>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</si>
  <si>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</si>
  <si>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</si>
  <si>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</si>
  <si>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</si>
  <si>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</si>
  <si>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</si>
  <si>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</si>
  <si>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</si>
  <si>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</si>
  <si>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</si>
  <si>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</si>
  <si>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</si>
  <si>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</si>
  <si>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</si>
  <si>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</si>
  <si>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</si>
  <si>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</si>
  <si>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</si>
  <si>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</si>
  <si>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</si>
  <si>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</si>
  <si>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</si>
  <si>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</si>
  <si>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</si>
  <si>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</si>
  <si>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</si>
  <si>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</si>
  <si>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</si>
  <si>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</si>
  <si>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</si>
  <si>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</si>
  <si>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</si>
  <si>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</si>
  <si>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</si>
  <si>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</si>
  <si>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</si>
  <si>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</si>
  <si>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</si>
  <si>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</si>
  <si>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</si>
  <si>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</si>
  <si>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</si>
  <si>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</si>
  <si>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</si>
  <si>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</si>
  <si>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</si>
  <si>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</si>
  <si>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</si>
  <si>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</si>
  <si>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</si>
  <si>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</si>
  <si>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</si>
  <si>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</si>
  <si>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</si>
  <si>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</si>
  <si>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</si>
  <si>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</si>
  <si>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</si>
  <si>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</si>
  <si>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</si>
  <si>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</si>
  <si>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</si>
  <si>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</si>
  <si>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</si>
  <si>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</si>
  <si>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</si>
  <si>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</si>
  <si>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</si>
  <si>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</si>
  <si>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</si>
  <si>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</si>
  <si>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</si>
  <si>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</si>
  <si>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</si>
  <si>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</si>
  <si>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</si>
  <si>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</si>
  <si>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</si>
  <si>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</si>
  <si>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</si>
  <si>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</si>
  <si>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</si>
  <si>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</si>
  <si>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</si>
  <si>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</si>
  <si>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</si>
  <si>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</si>
  <si>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</si>
  <si>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</si>
  <si>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</si>
  <si>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</si>
  <si>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</si>
  <si>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</si>
  <si>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</si>
  <si>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</si>
  <si>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</si>
  <si>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</si>
  <si>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</si>
  <si>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</si>
  <si>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</si>
  <si>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</si>
  <si>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</si>
  <si>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</si>
  <si>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</si>
  <si>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</si>
  <si>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</si>
  <si>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</si>
  <si>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</si>
  <si>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</si>
  <si>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</si>
  <si>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</si>
  <si>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</si>
  <si>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</si>
  <si>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</si>
  <si>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</si>
  <si>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</si>
  <si>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</si>
  <si>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</si>
  <si>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</si>
  <si>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</si>
  <si>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</si>
  <si>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</si>
  <si>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</si>
  <si>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</si>
  <si>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</si>
  <si>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</si>
  <si>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</si>
  <si>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</si>
  <si>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</si>
  <si>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</si>
  <si>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(इंडिगो) </t>
  </si>
  <si>
    <t>TABLE - 1.16 (INDIGO)</t>
  </si>
  <si>
    <t>SOURCE : ICAO ATR FORM-D FURNISHED BY  INDIGO</t>
  </si>
  <si>
    <t>YEAR-WISE DETAILED FINANCIAL RESULTS OF INDIGO</t>
  </si>
  <si>
    <t>2019-20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</si>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</sst>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"/>
    <numFmt numFmtId="165" formatCode="0.0_)"/>
    <numFmt numFmtId="166" formatCode="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8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73">
    <xf numFmtId="0" fontId="0" fillId="0" borderId="0" xfId="0"/>
    <xf numFmtId="165" fontId="5" fillId="2" borderId="0" xfId="4" applyFont="1" applyFill="1" applyBorder="1"/>
    <xf numFmtId="165" fontId="5" fillId="2" borderId="0" xfId="4" applyFont="1" applyFill="1" applyBorder="1" applyAlignment="1">
      <alignment vertical="center"/>
    </xf>
    <xf numFmtId="165" fontId="9" fillId="2" borderId="0" xfId="4" applyFont="1" applyFill="1" applyBorder="1"/>
    <xf numFmtId="0" fontId="10" fillId="2" borderId="0" xfId="6" applyFont="1" applyFill="1" applyBorder="1" applyAlignment="1" applyProtection="1">
      <alignment vertical="center" wrapText="1"/>
    </xf>
    <xf numFmtId="165" fontId="10" fillId="2" borderId="5" xfId="4" applyFont="1" applyFill="1" applyBorder="1" applyAlignment="1">
      <alignment horizontal="center" vertical="center"/>
    </xf>
    <xf numFmtId="166" fontId="9" fillId="2" borderId="5" xfId="4" applyNumberFormat="1" applyFont="1" applyFill="1" applyBorder="1" applyAlignment="1">
      <alignment vertical="center"/>
    </xf>
    <xf numFmtId="165" fontId="9" fillId="2" borderId="5" xfId="4" applyFont="1" applyFill="1" applyBorder="1" applyAlignment="1"/>
    <xf numFmtId="165" fontId="9" fillId="2" borderId="1" xfId="4" applyFont="1" applyFill="1" applyBorder="1" applyAlignment="1" applyProtection="1">
      <alignment horizontal="left" vertical="center" wrapText="1" indent="3"/>
    </xf>
    <xf numFmtId="165" fontId="9" fillId="2" borderId="5" xfId="4" applyFont="1" applyFill="1" applyBorder="1"/>
    <xf numFmtId="165" fontId="10" fillId="2" borderId="1" xfId="4" applyFont="1" applyFill="1" applyBorder="1" applyAlignment="1" applyProtection="1">
      <alignment horizontal="left" vertical="center" wrapText="1" indent="1"/>
    </xf>
    <xf numFmtId="165" fontId="10" fillId="2" borderId="1" xfId="4" quotePrefix="1" applyFont="1" applyFill="1" applyBorder="1" applyAlignment="1" applyProtection="1">
      <alignment horizontal="left" vertical="center" wrapText="1" indent="1"/>
    </xf>
    <xf numFmtId="165" fontId="10" fillId="3" borderId="1" xfId="4" applyFont="1" applyFill="1" applyBorder="1" applyAlignment="1" applyProtection="1">
      <alignment horizontal="left" vertical="center" wrapText="1"/>
    </xf>
    <xf numFmtId="165" fontId="9" fillId="2" borderId="1" xfId="4" quotePrefix="1" applyFont="1" applyFill="1" applyBorder="1" applyAlignment="1" applyProtection="1">
      <alignment horizontal="left" vertical="center" wrapText="1" indent="1"/>
    </xf>
    <xf numFmtId="165" fontId="10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7" fontId="15" fillId="5" borderId="1" xfId="1" applyNumberFormat="1" applyFont="1" applyFill="1" applyBorder="1" applyAlignment="1" applyProtection="1">
      <alignment horizontal="left" wrapText="1"/>
    </xf>
    <xf numFmtId="167" fontId="12" fillId="5" borderId="1" xfId="1" applyNumberFormat="1" applyFont="1" applyFill="1" applyBorder="1" applyAlignment="1" applyProtection="1">
      <alignment horizontal="left" wrapText="1"/>
    </xf>
    <xf numFmtId="167" fontId="13" fillId="5" borderId="1" xfId="1" applyNumberFormat="1" applyFont="1" applyFill="1" applyBorder="1" applyAlignment="1" applyProtection="1">
      <alignment horizontal="left" wrapText="1"/>
    </xf>
    <xf numFmtId="167" fontId="12" fillId="5" borderId="1" xfId="1" applyNumberFormat="1" applyFont="1" applyFill="1" applyBorder="1" applyAlignment="1" applyProtection="1">
      <alignment horizontal="left" vertical="top" wrapText="1"/>
    </xf>
    <xf numFmtId="167" fontId="12" fillId="6" borderId="14" xfId="8" applyNumberFormat="1" applyFont="1" applyFill="1" applyBorder="1" applyAlignment="1" applyProtection="1">
      <alignment horizontal="left" vertical="center"/>
    </xf>
    <xf numFmtId="167" fontId="12" fillId="6" borderId="14" xfId="8" applyNumberFormat="1" applyFont="1" applyFill="1" applyBorder="1" applyAlignment="1" applyProtection="1">
      <alignment vertical="center"/>
    </xf>
    <xf numFmtId="167" fontId="13" fillId="6" borderId="13" xfId="8" applyNumberFormat="1" applyFont="1" applyFill="1" applyBorder="1" applyAlignment="1" applyProtection="1">
      <alignment vertical="center"/>
    </xf>
    <xf numFmtId="167" fontId="12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9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0" fillId="2" borderId="4" xfId="6" applyFont="1" applyFill="1" applyBorder="1" applyAlignment="1" applyProtection="1">
      <alignment horizontal="center" vertical="center" wrapText="1"/>
    </xf>
    <xf numFmtId="0" fontId="10" fillId="2" borderId="4" xfId="6" quotePrefix="1" applyFont="1" applyFill="1" applyBorder="1" applyAlignment="1" applyProtection="1">
      <alignment horizontal="center" vertical="center" wrapText="1"/>
    </xf>
    <xf numFmtId="165" fontId="9" fillId="2" borderId="2" xfId="4" quotePrefix="1" applyFont="1" applyFill="1" applyBorder="1" applyAlignment="1" applyProtection="1">
      <alignment horizontal="left" vertical="center" wrapText="1" indent="1"/>
    </xf>
    <xf numFmtId="165" fontId="10" fillId="3" borderId="2" xfId="4" applyFont="1" applyFill="1" applyBorder="1" applyAlignment="1" applyProtection="1">
      <alignment horizontal="left" vertical="center" wrapText="1"/>
    </xf>
    <xf numFmtId="165" fontId="9" fillId="2" borderId="4" xfId="4" quotePrefix="1" applyFont="1" applyFill="1" applyBorder="1" applyAlignment="1" applyProtection="1">
      <alignment horizontal="left" vertical="center" wrapText="1" indent="1"/>
    </xf>
    <xf numFmtId="164" fontId="9" fillId="2" borderId="4" xfId="4" applyNumberFormat="1" applyFont="1" applyFill="1" applyBorder="1" applyAlignment="1">
      <alignment horizontal="right"/>
    </xf>
    <xf numFmtId="165" fontId="9" fillId="2" borderId="4" xfId="4" applyFont="1" applyFill="1" applyBorder="1" applyAlignment="1" applyProtection="1">
      <alignment horizontal="left" vertical="center" wrapText="1" indent="3"/>
    </xf>
    <xf numFmtId="164" fontId="9" fillId="2" borderId="4" xfId="4" applyNumberFormat="1" applyFont="1" applyFill="1" applyBorder="1" applyAlignment="1"/>
    <xf numFmtId="164" fontId="9" fillId="2" borderId="1" xfId="4" applyNumberFormat="1" applyFont="1" applyFill="1" applyBorder="1" applyAlignment="1">
      <alignment vertical="center"/>
    </xf>
    <xf numFmtId="164" fontId="9" fillId="2" borderId="1" xfId="4" applyNumberFormat="1" applyFont="1" applyFill="1" applyBorder="1" applyAlignment="1"/>
    <xf numFmtId="164" fontId="10" fillId="2" borderId="1" xfId="4" applyNumberFormat="1" applyFont="1" applyFill="1" applyBorder="1" applyAlignment="1" applyProtection="1">
      <alignment vertical="center" wrapText="1"/>
    </xf>
    <xf numFmtId="164" fontId="10" fillId="3" borderId="2" xfId="4" applyNumberFormat="1" applyFont="1" applyFill="1" applyBorder="1" applyAlignment="1" applyProtection="1">
      <alignment vertical="center" wrapText="1"/>
    </xf>
    <xf numFmtId="164" fontId="10" fillId="3" borderId="1" xfId="4" applyNumberFormat="1" applyFont="1" applyFill="1" applyBorder="1" applyAlignment="1" applyProtection="1">
      <alignment horizontal="right" wrapText="1"/>
    </xf>
    <xf numFmtId="164" fontId="10" fillId="3" borderId="2" xfId="4" applyNumberFormat="1" applyFont="1" applyFill="1" applyBorder="1" applyAlignment="1" applyProtection="1">
      <alignment horizontal="right" wrapText="1"/>
    </xf>
    <xf numFmtId="164" fontId="9" fillId="2" borderId="1" xfId="4" applyNumberFormat="1" applyFont="1" applyFill="1" applyBorder="1" applyAlignment="1" applyProtection="1">
      <alignment horizontal="right" wrapText="1"/>
    </xf>
    <xf numFmtId="164" fontId="9" fillId="2" borderId="1" xfId="4" applyNumberFormat="1" applyFont="1" applyFill="1" applyBorder="1" applyAlignment="1">
      <alignment horizontal="right" wrapText="1"/>
    </xf>
    <xf numFmtId="164" fontId="9" fillId="4" borderId="1" xfId="4" applyNumberFormat="1" applyFont="1" applyFill="1" applyBorder="1" applyAlignment="1">
      <alignment horizontal="right" wrapText="1"/>
    </xf>
    <xf numFmtId="164" fontId="9" fillId="2" borderId="1" xfId="4" quotePrefix="1" applyNumberFormat="1" applyFont="1" applyFill="1" applyBorder="1" applyAlignment="1" applyProtection="1">
      <alignment horizontal="right" wrapText="1"/>
    </xf>
    <xf numFmtId="164" fontId="9" fillId="2" borderId="2" xfId="4" applyNumberFormat="1" applyFont="1" applyFill="1" applyBorder="1" applyAlignment="1">
      <alignment horizontal="right"/>
    </xf>
    <xf numFmtId="165" fontId="10" fillId="2" borderId="1" xfId="4" quotePrefix="1" applyFont="1" applyFill="1" applyBorder="1" applyAlignment="1" applyProtection="1">
      <alignment horizontal="left" vertical="center" wrapText="1" indent="1"/>
    </xf>
    <xf numFmtId="0" fontId="10" fillId="2" borderId="1" xfId="6" applyFont="1" applyFill="1" applyBorder="1" applyAlignment="1" applyProtection="1">
      <alignment vertical="center" wrapText="1"/>
    </xf>
    <xf numFmtId="0" fontId="6" fillId="2" borderId="1" xfId="2" applyFont="1" applyFill="1" applyBorder="1" applyAlignment="1" applyProtection="1">
      <alignment vertical="center"/>
    </xf>
    <xf numFmtId="165" fontId="19" fillId="2" borderId="9" xfId="4" applyFont="1" applyFill="1" applyBorder="1" applyAlignment="1">
      <alignment horizontal="center" vertical="center" wrapText="1"/>
    </xf>
    <xf numFmtId="165" fontId="19" fillId="2" borderId="10" xfId="4" applyFont="1" applyFill="1" applyBorder="1" applyAlignment="1">
      <alignment horizontal="center" vertical="center" wrapText="1"/>
    </xf>
    <xf numFmtId="165" fontId="19" fillId="2" borderId="11" xfId="4" applyFont="1" applyFill="1" applyBorder="1" applyAlignment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8" xfId="6" quotePrefix="1" applyFont="1" applyFill="1" applyBorder="1" applyAlignment="1" applyProtection="1">
      <alignment horizontal="center" vertical="center" wrapText="1"/>
    </xf>
    <xf numFmtId="0" fontId="10" fillId="2" borderId="12" xfId="6" quotePrefix="1" applyFont="1" applyFill="1" applyBorder="1" applyAlignment="1" applyProtection="1">
      <alignment horizontal="center" vertical="center" wrapText="1"/>
    </xf>
    <xf numFmtId="0" fontId="10" fillId="2" borderId="5" xfId="6" applyFont="1" applyFill="1" applyBorder="1" applyAlignment="1" applyProtection="1">
      <alignment horizontal="center" vertical="center" wrapText="1"/>
    </xf>
    <xf numFmtId="0" fontId="10" fillId="2" borderId="6" xfId="6" applyFont="1" applyFill="1" applyBorder="1" applyAlignment="1" applyProtection="1">
      <alignment horizontal="center" vertical="center" wrapText="1"/>
    </xf>
    <xf numFmtId="0" fontId="10" fillId="2" borderId="3" xfId="6" applyFont="1" applyFill="1" applyBorder="1" applyAlignment="1" applyProtection="1">
      <alignment horizontal="center" vertical="center" wrapText="1"/>
    </xf>
    <xf numFmtId="165" fontId="9" fillId="2" borderId="5" xfId="4" quotePrefix="1" applyFont="1" applyFill="1" applyBorder="1" applyAlignment="1">
      <alignment horizontal="right"/>
    </xf>
    <xf numFmtId="165" fontId="9" fillId="2" borderId="6" xfId="4" quotePrefix="1" applyFont="1" applyFill="1" applyBorder="1" applyAlignment="1">
      <alignment horizontal="right"/>
    </xf>
    <xf numFmtId="165" fontId="9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121</v>
      </c>
      <c r="B1" s="20" t="s">
        <v>121</v>
      </c>
      <c r="C1" s="20" t="s">
        <v>121</v>
      </c>
      <c r="D1" s="20" t="s">
        <v>121</v>
      </c>
      <c r="E1" s="20" t="s">
        <v>121</v>
      </c>
      <c r="F1" s="20" t="s">
        <v>121</v>
      </c>
      <c r="G1" s="20" t="s">
        <v>121</v>
      </c>
      <c r="H1" s="20" t="s">
        <v>121</v>
      </c>
      <c r="I1" s="20" t="s">
        <v>121</v>
      </c>
      <c r="J1" s="20" t="s">
        <v>121</v>
      </c>
      <c r="K1" s="20" t="s">
        <v>121</v>
      </c>
      <c r="L1" s="20" t="s">
        <v>121</v>
      </c>
      <c r="M1" s="20" t="s">
        <v>121</v>
      </c>
      <c r="N1" s="20" t="s">
        <v>121</v>
      </c>
      <c r="O1" s="20" t="s">
        <v>121</v>
      </c>
      <c r="P1" s="20" t="s">
        <v>121</v>
      </c>
      <c r="Q1" s="20" t="s">
        <v>121</v>
      </c>
      <c r="R1" s="20" t="s">
        <v>121</v>
      </c>
      <c r="S1" s="20" t="s">
        <v>121</v>
      </c>
      <c r="T1" s="20" t="s">
        <v>121</v>
      </c>
      <c r="U1" s="20" t="s">
        <v>121</v>
      </c>
      <c r="V1" s="20" t="s">
        <v>121</v>
      </c>
      <c r="W1" s="20" t="s">
        <v>121</v>
      </c>
      <c r="X1" s="20" t="s">
        <v>121</v>
      </c>
      <c r="Y1" s="20" t="s">
        <v>121</v>
      </c>
      <c r="Z1" s="20" t="s">
        <v>121</v>
      </c>
      <c r="AA1" s="20" t="s">
        <v>121</v>
      </c>
      <c r="AB1" s="20" t="s">
        <v>121</v>
      </c>
      <c r="AC1" s="20" t="s">
        <v>121</v>
      </c>
      <c r="AD1" s="20" t="s">
        <v>121</v>
      </c>
      <c r="AE1" s="20" t="s">
        <v>121</v>
      </c>
      <c r="AF1" s="20" t="s">
        <v>121</v>
      </c>
      <c r="AG1" s="20" t="s">
        <v>121</v>
      </c>
      <c r="AH1" s="20" t="s">
        <v>121</v>
      </c>
      <c r="AI1" s="20" t="s">
        <v>121</v>
      </c>
      <c r="AJ1" s="20" t="s">
        <v>121</v>
      </c>
      <c r="AK1" s="20" t="s">
        <v>121</v>
      </c>
      <c r="AQ1" s="16" t="s">
        <v>56</v>
      </c>
      <c r="AR1" t="s">
        <v>46</v>
      </c>
    </row>
    <row r="2" spans="1:57">
      <c r="A2" s="20" t="s">
        <v>121</v>
      </c>
      <c r="B2" s="38" t="e">
        <f>#REF!</f>
        <v>#REF!</v>
      </c>
      <c r="C2" s="20" t="s">
        <v>121</v>
      </c>
      <c r="D2" s="20" t="s">
        <v>121</v>
      </c>
      <c r="E2" s="20" t="s">
        <v>121</v>
      </c>
      <c r="F2" s="20" t="s">
        <v>121</v>
      </c>
      <c r="G2" s="20" t="s">
        <v>121</v>
      </c>
      <c r="H2" s="20" t="s">
        <v>121</v>
      </c>
      <c r="I2" s="20" t="s">
        <v>121</v>
      </c>
      <c r="J2" s="20" t="s">
        <v>121</v>
      </c>
      <c r="K2" s="20" t="s">
        <v>121</v>
      </c>
      <c r="L2" s="20" t="s">
        <v>121</v>
      </c>
      <c r="M2" s="20" t="s">
        <v>121</v>
      </c>
      <c r="N2" s="20" t="s">
        <v>121</v>
      </c>
      <c r="O2" s="20" t="s">
        <v>121</v>
      </c>
      <c r="P2" s="20" t="s">
        <v>121</v>
      </c>
      <c r="Q2" s="20" t="s">
        <v>121</v>
      </c>
      <c r="R2" s="20" t="s">
        <v>121</v>
      </c>
      <c r="S2" s="20" t="s">
        <v>121</v>
      </c>
      <c r="T2" s="20" t="s">
        <v>121</v>
      </c>
      <c r="U2" s="20" t="s">
        <v>121</v>
      </c>
      <c r="V2" s="20" t="s">
        <v>121</v>
      </c>
      <c r="W2" s="20" t="s">
        <v>121</v>
      </c>
      <c r="X2" s="20" t="s">
        <v>121</v>
      </c>
      <c r="Y2" s="20" t="s">
        <v>121</v>
      </c>
      <c r="Z2" s="20" t="s">
        <v>121</v>
      </c>
      <c r="AA2" s="20" t="s">
        <v>121</v>
      </c>
      <c r="AB2" s="20" t="s">
        <v>121</v>
      </c>
      <c r="AC2" s="20" t="s">
        <v>121</v>
      </c>
      <c r="AD2" s="20" t="s">
        <v>121</v>
      </c>
      <c r="AE2" s="20" t="s">
        <v>121</v>
      </c>
      <c r="AF2" s="20" t="s">
        <v>121</v>
      </c>
      <c r="AG2" s="20" t="s">
        <v>121</v>
      </c>
      <c r="AH2" s="20" t="s">
        <v>121</v>
      </c>
      <c r="AI2" s="20" t="s">
        <v>121</v>
      </c>
      <c r="AJ2" s="20" t="s">
        <v>121</v>
      </c>
      <c r="AK2" s="20" t="s">
        <v>121</v>
      </c>
    </row>
    <row r="3" spans="1:57" ht="15.75" customHeight="1">
      <c r="A3" s="16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0" t="s">
        <v>121</v>
      </c>
      <c r="L3" s="20" t="s">
        <v>121</v>
      </c>
      <c r="M3" s="20" t="s">
        <v>121</v>
      </c>
      <c r="N3" s="20" t="s">
        <v>121</v>
      </c>
      <c r="O3" s="20" t="s">
        <v>121</v>
      </c>
      <c r="P3" s="20" t="s">
        <v>121</v>
      </c>
      <c r="Q3" s="20" t="s">
        <v>121</v>
      </c>
      <c r="R3" s="20" t="s">
        <v>121</v>
      </c>
      <c r="S3" s="20" t="s">
        <v>121</v>
      </c>
      <c r="T3" s="34" t="s">
        <v>121</v>
      </c>
      <c r="U3" s="16" t="s">
        <v>56</v>
      </c>
      <c r="V3" s="16" t="s">
        <v>57</v>
      </c>
      <c r="W3" s="16" t="s">
        <v>71</v>
      </c>
      <c r="X3" s="16" t="s">
        <v>72</v>
      </c>
      <c r="Y3" s="16" t="s">
        <v>73</v>
      </c>
      <c r="Z3" s="16" t="s">
        <v>74</v>
      </c>
      <c r="AA3" s="16" t="s">
        <v>58</v>
      </c>
      <c r="AB3" s="16" t="s">
        <v>59</v>
      </c>
      <c r="AC3" s="16" t="s">
        <v>60</v>
      </c>
      <c r="AD3" s="16" t="s">
        <v>75</v>
      </c>
      <c r="AE3" s="16" t="s">
        <v>76</v>
      </c>
      <c r="AF3" s="16" t="s">
        <v>77</v>
      </c>
      <c r="AG3" s="16" t="s">
        <v>78</v>
      </c>
      <c r="AH3" s="16" t="s">
        <v>79</v>
      </c>
      <c r="AI3" s="16" t="s">
        <v>80</v>
      </c>
      <c r="AJ3" s="16" t="s">
        <v>81</v>
      </c>
      <c r="AK3" s="16" t="s">
        <v>82</v>
      </c>
      <c r="AQ3" s="16" t="s">
        <v>57</v>
      </c>
      <c r="AR3" s="16" t="s">
        <v>71</v>
      </c>
      <c r="AS3" s="16" t="s">
        <v>72</v>
      </c>
      <c r="AT3" s="16" t="s">
        <v>73</v>
      </c>
      <c r="AU3" s="16" t="s">
        <v>74</v>
      </c>
      <c r="AV3" s="16" t="s">
        <v>58</v>
      </c>
      <c r="AW3" s="16" t="s">
        <v>59</v>
      </c>
      <c r="AX3" s="16" t="s">
        <v>60</v>
      </c>
      <c r="AY3" s="16" t="s">
        <v>75</v>
      </c>
      <c r="AZ3" s="16" t="s">
        <v>76</v>
      </c>
      <c r="BA3" s="16" t="s">
        <v>78</v>
      </c>
      <c r="BB3" s="16" t="s">
        <v>79</v>
      </c>
      <c r="BC3" s="16" t="s">
        <v>80</v>
      </c>
      <c r="BD3" s="16" t="s">
        <v>82</v>
      </c>
    </row>
    <row r="4" spans="1:57" ht="15.75" customHeight="1">
      <c r="A4" s="17" t="s">
        <v>40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5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7" t="s">
        <v>68</v>
      </c>
      <c r="B5" s="18"/>
      <c r="C5" s="18"/>
      <c r="D5" s="18"/>
      <c r="E5" s="18"/>
      <c r="F5" s="18"/>
      <c r="G5" s="18"/>
      <c r="H5" s="18"/>
      <c r="I5" s="18"/>
      <c r="J5" s="18"/>
      <c r="T5" s="35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36"/>
    </row>
    <row r="6" spans="1:57">
      <c r="A6" s="17" t="s">
        <v>46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5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36"/>
    </row>
    <row r="7" spans="1:57">
      <c r="A7" s="17" t="s">
        <v>43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5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17" t="s">
        <v>44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5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17" t="s">
        <v>45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5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17" t="s">
        <v>49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5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17" t="s">
        <v>51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5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17" t="s">
        <v>52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5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17" t="s">
        <v>196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5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17" t="s">
        <v>55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5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17" t="s">
        <v>64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5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17" t="s">
        <v>65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5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17" t="s">
        <v>66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5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17" t="s">
        <v>204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5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17" t="s">
        <v>205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5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17" t="s">
        <v>69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5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35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35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35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35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35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35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35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35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35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35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35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35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35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35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35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35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35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35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35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35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35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35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35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35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35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35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35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35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35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35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35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35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35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67</v>
      </c>
      <c r="B3" t="s">
        <v>86</v>
      </c>
      <c r="C3" t="s">
        <v>96</v>
      </c>
      <c r="V3" s="19" t="s">
        <v>97</v>
      </c>
      <c r="W3" s="16" t="s">
        <v>61</v>
      </c>
      <c r="X3" s="16" t="s">
        <v>83</v>
      </c>
      <c r="Y3" t="s">
        <v>95</v>
      </c>
      <c r="Z3" t="s">
        <v>86</v>
      </c>
      <c r="AA3" t="s">
        <v>96</v>
      </c>
    </row>
    <row r="4" spans="1:27">
      <c r="A4" s="17" t="s">
        <v>51</v>
      </c>
      <c r="B4" s="18">
        <v>2467</v>
      </c>
      <c r="C4" s="18">
        <v>3806.1423290000002</v>
      </c>
      <c r="V4" t="str">
        <f>W4&amp;X4</f>
        <v>AIR ASIAP1</v>
      </c>
      <c r="W4" t="s">
        <v>51</v>
      </c>
      <c r="X4" t="s">
        <v>4</v>
      </c>
      <c r="Y4" s="18">
        <v>263</v>
      </c>
      <c r="Z4" s="18">
        <v>311</v>
      </c>
      <c r="AA4" s="18">
        <v>1997.191354</v>
      </c>
    </row>
    <row r="5" spans="1:27">
      <c r="A5" s="17" t="s">
        <v>43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18"/>
      <c r="Z5" s="18"/>
      <c r="AA5" s="18"/>
    </row>
    <row r="6" spans="1:27">
      <c r="A6" s="17" t="s">
        <v>44</v>
      </c>
      <c r="B6" s="18">
        <v>1472</v>
      </c>
      <c r="C6" s="18">
        <v>2956.1</v>
      </c>
      <c r="V6" t="str">
        <f t="shared" si="0"/>
        <v>AIR ASIAP3</v>
      </c>
      <c r="W6" t="s">
        <v>51</v>
      </c>
      <c r="X6" t="s">
        <v>6</v>
      </c>
      <c r="Y6" s="18">
        <v>476</v>
      </c>
      <c r="Z6" s="18">
        <v>488</v>
      </c>
      <c r="AA6" s="18">
        <v>399.74493799999999</v>
      </c>
    </row>
    <row r="7" spans="1:27">
      <c r="A7" s="17" t="s">
        <v>66</v>
      </c>
      <c r="B7" s="18">
        <v>61052</v>
      </c>
      <c r="C7" s="18">
        <v>93775.981349000009</v>
      </c>
      <c r="V7" t="str">
        <f t="shared" si="0"/>
        <v>AIR ASIAP4</v>
      </c>
      <c r="W7" t="s">
        <v>51</v>
      </c>
      <c r="X7" t="s">
        <v>7</v>
      </c>
      <c r="Y7" s="18">
        <v>180</v>
      </c>
      <c r="Z7" s="18">
        <v>199</v>
      </c>
      <c r="AA7" s="18">
        <v>337.623289</v>
      </c>
    </row>
    <row r="8" spans="1:27">
      <c r="A8" s="17" t="s">
        <v>45</v>
      </c>
      <c r="B8" s="18">
        <v>648</v>
      </c>
      <c r="C8" s="18">
        <v>1392.7165519999999</v>
      </c>
      <c r="V8" t="str">
        <f t="shared" si="0"/>
        <v>AIR ASIAP4.1</v>
      </c>
      <c r="W8" t="s">
        <v>51</v>
      </c>
      <c r="X8" t="s">
        <v>62</v>
      </c>
      <c r="Y8" s="18">
        <v>180</v>
      </c>
      <c r="Z8" s="18">
        <v>199</v>
      </c>
      <c r="AA8" s="18">
        <v>337.623289</v>
      </c>
    </row>
    <row r="9" spans="1:27">
      <c r="A9" s="17" t="s">
        <v>53</v>
      </c>
      <c r="B9" s="18">
        <v>1389</v>
      </c>
      <c r="C9" s="18">
        <v>1617.18</v>
      </c>
      <c r="V9" t="str">
        <f t="shared" si="0"/>
        <v>AIR ASIAP4.2</v>
      </c>
      <c r="W9" t="s">
        <v>51</v>
      </c>
      <c r="X9" t="s">
        <v>63</v>
      </c>
      <c r="Y9" s="18"/>
      <c r="Z9" s="18"/>
      <c r="AA9" s="18"/>
    </row>
    <row r="10" spans="1:27">
      <c r="A10" s="17" t="s">
        <v>46</v>
      </c>
      <c r="B10" s="18">
        <v>4140</v>
      </c>
      <c r="C10" s="18">
        <v>6380</v>
      </c>
      <c r="V10" t="str">
        <f t="shared" si="0"/>
        <v>AIR ASIAP5</v>
      </c>
      <c r="W10" t="s">
        <v>51</v>
      </c>
      <c r="X10" t="s">
        <v>8</v>
      </c>
      <c r="Y10" s="18"/>
      <c r="Z10" s="18"/>
      <c r="AA10" s="18"/>
    </row>
    <row r="11" spans="1:27">
      <c r="A11" s="17" t="s">
        <v>40</v>
      </c>
      <c r="B11" s="18">
        <v>25201</v>
      </c>
      <c r="C11" s="18">
        <v>33290.79</v>
      </c>
      <c r="V11" t="str">
        <f t="shared" si="0"/>
        <v>AIR ASIAP6</v>
      </c>
      <c r="W11" t="s">
        <v>51</v>
      </c>
      <c r="X11" t="s">
        <v>9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64</v>
      </c>
      <c r="B12" s="18">
        <v>12112</v>
      </c>
      <c r="C12" s="18">
        <v>34401.086552000001</v>
      </c>
      <c r="V12" t="str">
        <f t="shared" si="0"/>
        <v>AIR INDIAP1</v>
      </c>
      <c r="W12" t="s">
        <v>43</v>
      </c>
      <c r="X12" t="s">
        <v>4</v>
      </c>
      <c r="Y12" s="18">
        <v>1329</v>
      </c>
      <c r="Z12" s="18">
        <v>1318</v>
      </c>
      <c r="AA12" s="18">
        <v>12079.48</v>
      </c>
    </row>
    <row r="13" spans="1:27">
      <c r="A13" s="17" t="s">
        <v>65</v>
      </c>
      <c r="B13" s="18">
        <v>48940</v>
      </c>
      <c r="C13" s="18">
        <v>59374.894797000001</v>
      </c>
      <c r="V13" t="str">
        <f t="shared" si="0"/>
        <v>AIR INDIAP2</v>
      </c>
      <c r="W13" t="s">
        <v>43</v>
      </c>
      <c r="X13" t="s">
        <v>5</v>
      </c>
      <c r="Y13" s="18"/>
      <c r="Z13" s="18"/>
      <c r="AA13" s="18"/>
    </row>
    <row r="14" spans="1:27">
      <c r="A14" s="17" t="s">
        <v>49</v>
      </c>
      <c r="B14" s="18">
        <v>12094</v>
      </c>
      <c r="C14" s="18">
        <v>9401.4900000000016</v>
      </c>
      <c r="V14" t="str">
        <f t="shared" si="0"/>
        <v>AIR INDIAP3</v>
      </c>
      <c r="W14" t="s">
        <v>43</v>
      </c>
      <c r="X14" t="s">
        <v>6</v>
      </c>
      <c r="Y14" s="18">
        <v>1766</v>
      </c>
      <c r="Z14" s="18">
        <v>1703</v>
      </c>
      <c r="AA14" s="18">
        <v>5986.11</v>
      </c>
    </row>
    <row r="15" spans="1:27">
      <c r="A15" s="17" t="s">
        <v>55</v>
      </c>
      <c r="B15" s="18">
        <v>895</v>
      </c>
      <c r="C15" s="18">
        <v>801.87858399999982</v>
      </c>
      <c r="V15" t="str">
        <f t="shared" si="0"/>
        <v>AIR INDIAP4</v>
      </c>
      <c r="W15" t="s">
        <v>43</v>
      </c>
      <c r="X15" t="s">
        <v>7</v>
      </c>
      <c r="Y15" s="18">
        <v>577</v>
      </c>
      <c r="Z15" s="18">
        <v>543</v>
      </c>
      <c r="AA15" s="18">
        <v>69.31</v>
      </c>
    </row>
    <row r="16" spans="1:27">
      <c r="A16" s="17" t="s">
        <v>52</v>
      </c>
      <c r="B16" s="18">
        <v>2721</v>
      </c>
      <c r="C16" s="18">
        <v>4070.3999999999996</v>
      </c>
      <c r="V16" t="str">
        <f t="shared" si="0"/>
        <v>AIR INDIAP4.1</v>
      </c>
      <c r="W16" t="s">
        <v>43</v>
      </c>
      <c r="X16" t="s">
        <v>62</v>
      </c>
      <c r="Y16" s="18"/>
      <c r="Z16" s="18"/>
      <c r="AA16" s="18"/>
    </row>
    <row r="17" spans="1:27">
      <c r="A17" s="17" t="s">
        <v>68</v>
      </c>
      <c r="B17" s="18"/>
      <c r="C17" s="18"/>
      <c r="V17" t="str">
        <f t="shared" si="0"/>
        <v>AIR INDIAP4.2</v>
      </c>
      <c r="W17" t="s">
        <v>43</v>
      </c>
      <c r="X17" t="s">
        <v>63</v>
      </c>
      <c r="Y17" s="18"/>
      <c r="Z17" s="18"/>
      <c r="AA17" s="18"/>
    </row>
    <row r="18" spans="1:27">
      <c r="A18" s="17" t="s">
        <v>204</v>
      </c>
      <c r="B18" s="18"/>
      <c r="C18" s="18"/>
      <c r="V18" t="str">
        <f t="shared" si="0"/>
        <v>AIR INDIAP5</v>
      </c>
      <c r="W18" t="s">
        <v>43</v>
      </c>
      <c r="X18" t="s">
        <v>8</v>
      </c>
      <c r="Y18" s="18">
        <v>2113</v>
      </c>
      <c r="Z18" s="18">
        <v>1989</v>
      </c>
      <c r="AA18" s="18">
        <v>3208.24</v>
      </c>
    </row>
    <row r="19" spans="1:27">
      <c r="A19" s="17" t="s">
        <v>206</v>
      </c>
      <c r="B19" s="18">
        <v>33</v>
      </c>
      <c r="C19" s="18">
        <v>7.0138840000000009</v>
      </c>
      <c r="V19" t="str">
        <f t="shared" si="0"/>
        <v>AIR INDIAP6</v>
      </c>
      <c r="W19" t="s">
        <v>43</v>
      </c>
      <c r="X19" t="s">
        <v>9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69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44</v>
      </c>
      <c r="X20" t="s">
        <v>4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18"/>
      <c r="Z21" s="18"/>
      <c r="AA21" s="18"/>
    </row>
    <row r="22" spans="1:27">
      <c r="V22" t="str">
        <f t="shared" si="0"/>
        <v>AIR INDIA EXPRESSP3</v>
      </c>
      <c r="W22" t="s">
        <v>44</v>
      </c>
      <c r="X22" t="s">
        <v>6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18"/>
      <c r="Z26" s="18"/>
      <c r="AA26" s="18"/>
    </row>
    <row r="27" spans="1:27">
      <c r="V27" t="str">
        <f t="shared" si="0"/>
        <v>AIR INDIA EXPRESSP6</v>
      </c>
      <c r="W27" t="s">
        <v>44</v>
      </c>
      <c r="X27" t="s">
        <v>9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18"/>
      <c r="Z37" s="18"/>
      <c r="AA37" s="18"/>
    </row>
    <row r="38" spans="22:27">
      <c r="V38" t="str">
        <f t="shared" si="0"/>
        <v>ALLIANCE AIRP3</v>
      </c>
      <c r="W38" t="s">
        <v>45</v>
      </c>
      <c r="X38" t="s">
        <v>6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18"/>
      <c r="Z39" s="18"/>
      <c r="AA39" s="18"/>
    </row>
    <row r="40" spans="22:27">
      <c r="V40" t="str">
        <f t="shared" si="0"/>
        <v>ALLIANCE AIRP4.1</v>
      </c>
      <c r="W40" t="s">
        <v>45</v>
      </c>
      <c r="X40" t="s">
        <v>62</v>
      </c>
      <c r="Y40" s="18"/>
      <c r="Z40" s="18"/>
      <c r="AA40" s="18"/>
    </row>
    <row r="41" spans="22:27">
      <c r="V41" t="str">
        <f t="shared" si="0"/>
        <v>ALLIANCE AIRP4.2</v>
      </c>
      <c r="W41" t="s">
        <v>45</v>
      </c>
      <c r="X41" t="s">
        <v>63</v>
      </c>
      <c r="Y41" s="18"/>
      <c r="Z41" s="18"/>
      <c r="AA41" s="18"/>
    </row>
    <row r="42" spans="22:27">
      <c r="V42" t="str">
        <f t="shared" si="0"/>
        <v>ALLIANCE AIRP5</v>
      </c>
      <c r="W42" t="s">
        <v>45</v>
      </c>
      <c r="X42" t="s">
        <v>8</v>
      </c>
      <c r="Y42" s="18"/>
      <c r="Z42" s="18"/>
      <c r="AA42" s="18"/>
    </row>
    <row r="43" spans="22:27">
      <c r="V43" t="str">
        <f t="shared" si="0"/>
        <v>ALLIANCE AIRP6</v>
      </c>
      <c r="W43" t="s">
        <v>45</v>
      </c>
      <c r="X43" t="s">
        <v>9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18"/>
      <c r="Z45" s="18"/>
      <c r="AA45" s="18"/>
    </row>
    <row r="46" spans="22:27">
      <c r="V46" t="str">
        <f t="shared" si="0"/>
        <v>Blue Dart P3</v>
      </c>
      <c r="W46" t="s">
        <v>53</v>
      </c>
      <c r="X46" t="s">
        <v>6</v>
      </c>
      <c r="Y46" s="18"/>
      <c r="Z46" s="18"/>
      <c r="AA46" s="18"/>
    </row>
    <row r="47" spans="22:27">
      <c r="V47" t="str">
        <f t="shared" si="0"/>
        <v>Blue Dart P4</v>
      </c>
      <c r="W47" t="s">
        <v>53</v>
      </c>
      <c r="X47" t="s">
        <v>7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18"/>
      <c r="Z50" s="18"/>
      <c r="AA50" s="18"/>
    </row>
    <row r="51" spans="22:27">
      <c r="V51" t="str">
        <f t="shared" si="0"/>
        <v>Blue Dart P6</v>
      </c>
      <c r="W51" t="s">
        <v>53</v>
      </c>
      <c r="X51" t="s">
        <v>9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18"/>
      <c r="Z53" s="18"/>
      <c r="AA53" s="18"/>
    </row>
    <row r="54" spans="22:27">
      <c r="V54" t="str">
        <f t="shared" si="0"/>
        <v>GO AIRP3</v>
      </c>
      <c r="W54" t="s">
        <v>46</v>
      </c>
      <c r="X54" t="s">
        <v>6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18"/>
      <c r="Z93" s="18"/>
      <c r="AA93" s="18"/>
    </row>
    <row r="94" spans="22:27">
      <c r="V94" t="str">
        <f t="shared" si="1"/>
        <v>TRUEJETP3</v>
      </c>
      <c r="W94" t="s">
        <v>55</v>
      </c>
      <c r="X94" t="s">
        <v>6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18"/>
      <c r="Z101" s="18"/>
      <c r="AA101" s="18"/>
    </row>
    <row r="102" spans="22:27">
      <c r="V102" t="str">
        <f t="shared" si="1"/>
        <v>VISTARAP3</v>
      </c>
      <c r="W102" t="s">
        <v>52</v>
      </c>
      <c r="X102" t="s">
        <v>6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18"/>
      <c r="Z108" s="18"/>
      <c r="AA108" s="18"/>
    </row>
    <row r="109" spans="22:27">
      <c r="V109" t="str">
        <f t="shared" si="1"/>
        <v>STAR AIRP1</v>
      </c>
      <c r="W109" t="s">
        <v>204</v>
      </c>
      <c r="X109" t="s">
        <v>4</v>
      </c>
      <c r="Y109" s="18"/>
      <c r="Z109" s="18"/>
      <c r="AA109" s="18"/>
    </row>
    <row r="110" spans="22:27">
      <c r="V110" t="str">
        <f t="shared" si="1"/>
        <v>STAR AIRP2</v>
      </c>
      <c r="W110" t="s">
        <v>204</v>
      </c>
      <c r="X110" t="s">
        <v>5</v>
      </c>
      <c r="Y110" s="18"/>
      <c r="Z110" s="18"/>
      <c r="AA110" s="18"/>
    </row>
    <row r="111" spans="22:27">
      <c r="V111" t="str">
        <f t="shared" si="1"/>
        <v>STAR AIRP3</v>
      </c>
      <c r="W111" t="s">
        <v>204</v>
      </c>
      <c r="X111" t="s">
        <v>6</v>
      </c>
      <c r="Y111" s="18"/>
      <c r="Z111" s="18"/>
      <c r="AA111" s="18"/>
    </row>
    <row r="112" spans="22:27">
      <c r="V112" t="str">
        <f t="shared" si="1"/>
        <v>STAR AIRP4</v>
      </c>
      <c r="W112" t="s">
        <v>204</v>
      </c>
      <c r="X112" t="s">
        <v>7</v>
      </c>
      <c r="Y112" s="18"/>
      <c r="Z112" s="18"/>
      <c r="AA112" s="18"/>
    </row>
    <row r="113" spans="22:27">
      <c r="V113" t="str">
        <f t="shared" si="1"/>
        <v>STAR AIRP4.1</v>
      </c>
      <c r="W113" t="s">
        <v>204</v>
      </c>
      <c r="X113" t="s">
        <v>62</v>
      </c>
      <c r="Y113" s="18"/>
      <c r="Z113" s="18"/>
      <c r="AA113" s="18"/>
    </row>
    <row r="114" spans="22:27">
      <c r="V114" t="str">
        <f t="shared" si="1"/>
        <v>STAR AIRP4.2</v>
      </c>
      <c r="W114" t="s">
        <v>204</v>
      </c>
      <c r="X114" t="s">
        <v>63</v>
      </c>
      <c r="Y114" s="18"/>
      <c r="Z114" s="18"/>
      <c r="AA114" s="18"/>
    </row>
    <row r="115" spans="22:27">
      <c r="V115" t="str">
        <f t="shared" si="1"/>
        <v>STAR AIRP5</v>
      </c>
      <c r="W115" t="s">
        <v>204</v>
      </c>
      <c r="X115" t="s">
        <v>8</v>
      </c>
      <c r="Y115" s="18"/>
      <c r="Z115" s="18"/>
      <c r="AA115" s="18"/>
    </row>
    <row r="116" spans="22:27">
      <c r="V116" t="str">
        <f t="shared" si="1"/>
        <v>STAR AIRP6</v>
      </c>
      <c r="W116" t="s">
        <v>204</v>
      </c>
      <c r="X116" t="s">
        <v>9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16</v>
      </c>
      <c r="C2" s="22" t="s">
        <v>123</v>
      </c>
      <c r="D2" s="22" t="s">
        <v>124</v>
      </c>
      <c r="E2" s="22" t="s">
        <v>19</v>
      </c>
      <c r="F2" s="22" t="s">
        <v>125</v>
      </c>
      <c r="G2" s="23" t="s">
        <v>126</v>
      </c>
      <c r="H2" s="23" t="s">
        <v>127</v>
      </c>
      <c r="I2" s="24" t="s">
        <v>128</v>
      </c>
      <c r="J2" s="23" t="s">
        <v>129</v>
      </c>
      <c r="K2" s="23" t="s">
        <v>130</v>
      </c>
      <c r="L2" s="23" t="s">
        <v>131</v>
      </c>
      <c r="M2" s="23" t="s">
        <v>132</v>
      </c>
      <c r="N2" s="23" t="s">
        <v>133</v>
      </c>
      <c r="O2" s="23" t="s">
        <v>134</v>
      </c>
      <c r="P2" s="23" t="s">
        <v>135</v>
      </c>
      <c r="Q2" s="23" t="s">
        <v>136</v>
      </c>
      <c r="R2" s="23" t="s">
        <v>137</v>
      </c>
      <c r="S2" s="25" t="s">
        <v>138</v>
      </c>
      <c r="T2" s="23" t="s">
        <v>139</v>
      </c>
      <c r="U2" s="23" t="s">
        <v>140</v>
      </c>
      <c r="V2" s="22" t="s">
        <v>141</v>
      </c>
      <c r="W2" s="23" t="s">
        <v>142</v>
      </c>
      <c r="X2" s="22" t="s">
        <v>143</v>
      </c>
      <c r="Y2" s="22" t="s">
        <v>144</v>
      </c>
    </row>
    <row r="3" spans="1:25">
      <c r="A3" s="16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0" customFormat="1">
      <c r="A4" s="32" t="s">
        <v>51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43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44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45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53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46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40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47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48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49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55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52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68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64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65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66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204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205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203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69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4" transitionEvaluation="1" transitionEntry="1" codeName="Sheet16">
    <tabColor theme="9" tint="0.59999389629810485"/>
  </sheetPr>
  <dimension ref="A1:P1212"/>
  <sheetViews>
    <sheetView showGridLines="0" tabSelected="1" view="pageBreakPreview" topLeftCell="B4" zoomScale="75" zoomScaleNormal="75" zoomScaleSheetLayoutView="75" workbookViewId="0">
      <selection activeCell="P23" sqref="P23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0.42578125" style="1" customWidth="1"/>
    <col min="4" max="5" width="12" style="1" customWidth="1"/>
    <col min="6" max="6" width="12" style="1" bestFit="1" customWidth="1"/>
    <col min="7" max="8" width="12" style="1" customWidth="1"/>
    <col min="9" max="10" width="12" style="1" bestFit="1" customWidth="1"/>
    <col min="11" max="11" width="12" style="1" customWidth="1"/>
    <col min="12" max="12" width="12" style="1" bestFit="1" customWidth="1"/>
    <col min="13" max="16384" width="11" style="1"/>
  </cols>
  <sheetData>
    <row r="1" spans="1:16" ht="33" customHeight="1">
      <c r="B1" s="61" t="s">
        <v>208</v>
      </c>
      <c r="C1" s="62"/>
      <c r="D1" s="62"/>
      <c r="E1" s="62"/>
      <c r="F1" s="62"/>
      <c r="G1" s="62"/>
      <c r="H1" s="62"/>
      <c r="I1" s="62"/>
      <c r="J1" s="62"/>
      <c r="K1" s="62"/>
      <c r="L1" s="63"/>
    </row>
    <row r="2" spans="1:16" ht="30.75" customHeight="1">
      <c r="A2" s="3"/>
      <c r="B2" s="64" t="s">
        <v>209</v>
      </c>
      <c r="C2" s="65"/>
      <c r="D2" s="65"/>
      <c r="E2" s="65"/>
      <c r="F2" s="65"/>
      <c r="G2" s="65"/>
      <c r="H2" s="65"/>
      <c r="I2" s="65"/>
      <c r="J2" s="65"/>
      <c r="K2" s="65"/>
      <c r="L2" s="66"/>
    </row>
    <row r="3" spans="1:16" ht="30" customHeight="1">
      <c r="A3" s="3"/>
      <c r="B3" s="67" t="s">
        <v>211</v>
      </c>
      <c r="C3" s="68"/>
      <c r="D3" s="68"/>
      <c r="E3" s="68"/>
      <c r="F3" s="68"/>
      <c r="G3" s="68"/>
      <c r="H3" s="68"/>
      <c r="I3" s="68"/>
      <c r="J3" s="68"/>
      <c r="K3" s="68"/>
      <c r="L3" s="69"/>
    </row>
    <row r="4" spans="1:16" ht="26.25" customHeight="1">
      <c r="A4" s="3"/>
      <c r="B4" s="70" t="s">
        <v>12</v>
      </c>
      <c r="C4" s="71"/>
      <c r="D4" s="71"/>
      <c r="E4" s="71"/>
      <c r="F4" s="71"/>
      <c r="G4" s="71"/>
      <c r="H4" s="71"/>
      <c r="I4" s="71"/>
      <c r="J4" s="71"/>
      <c r="K4" s="71"/>
      <c r="L4" s="72"/>
    </row>
    <row r="5" spans="1:16" ht="24" customHeight="1">
      <c r="A5" s="4" t="s">
        <v>10</v>
      </c>
      <c r="B5" s="39" t="s">
        <v>13</v>
      </c>
      <c r="C5" s="40" t="s">
        <v>0</v>
      </c>
      <c r="D5" s="40" t="s">
        <v>11</v>
      </c>
      <c r="E5" s="40" t="s">
        <v>3</v>
      </c>
      <c r="F5" s="40" t="s">
        <v>42</v>
      </c>
      <c r="G5" s="40" t="s">
        <v>84</v>
      </c>
      <c r="H5" s="40" t="s">
        <v>200</v>
      </c>
      <c r="I5" s="40" t="s">
        <v>207</v>
      </c>
      <c r="J5" s="40" t="s">
        <v>212</v>
      </c>
      <c r="K5" s="40" t="s">
        <v>213</v>
      </c>
      <c r="L5" s="40" t="s">
        <v>214</v>
      </c>
    </row>
    <row r="6" spans="1:16" ht="20.25" customHeight="1">
      <c r="A6" s="5"/>
      <c r="B6" s="59" t="s">
        <v>14</v>
      </c>
      <c r="C6" s="59"/>
      <c r="D6" s="59"/>
      <c r="E6" s="59"/>
      <c r="F6" s="59"/>
      <c r="G6" s="59"/>
      <c r="H6" s="59"/>
      <c r="I6" s="59"/>
      <c r="J6" s="59"/>
      <c r="K6" s="59"/>
      <c r="L6" s="59"/>
    </row>
    <row r="7" spans="1:16" ht="20.25" customHeight="1">
      <c r="A7" s="6">
        <v>1</v>
      </c>
      <c r="B7" s="58" t="s">
        <v>15</v>
      </c>
      <c r="C7" s="58"/>
      <c r="D7" s="58"/>
      <c r="E7" s="58"/>
      <c r="F7" s="58"/>
      <c r="G7" s="58"/>
      <c r="H7" s="58"/>
      <c r="I7" s="58"/>
      <c r="J7" s="58"/>
      <c r="K7" s="58"/>
      <c r="L7" s="58"/>
    </row>
    <row r="8" spans="1:16" ht="20.25" customHeight="1">
      <c r="A8" s="7">
        <v>1.1000000000000001</v>
      </c>
      <c r="B8" s="45" t="s">
        <v>16</v>
      </c>
      <c r="C8" s="46">
        <v>85817.8</v>
      </c>
      <c r="D8" s="46">
        <v>103509.6</v>
      </c>
      <c r="E8" s="46">
        <v>128340.41</v>
      </c>
      <c r="F8" s="46">
        <v>147835.85</v>
      </c>
      <c r="G8" s="46">
        <v>170505.3</v>
      </c>
      <c r="H8" s="46">
        <v>209515.18</v>
      </c>
      <c r="I8" s="46">
        <v>263945.3</v>
      </c>
      <c r="J8" s="46">
        <v>325325.53000000003</v>
      </c>
      <c r="K8" s="46">
        <v>117990.29</v>
      </c>
      <c r="L8" s="46">
        <v>224408.35</v>
      </c>
    </row>
    <row r="9" spans="1:16" ht="20.25" customHeight="1">
      <c r="A9" s="7">
        <v>1.2</v>
      </c>
      <c r="B9" s="8" t="s">
        <v>17</v>
      </c>
      <c r="C9" s="46">
        <v>785.1</v>
      </c>
      <c r="D9" s="48">
        <v>1124.7</v>
      </c>
      <c r="E9" s="48">
        <v>2206.8000000000002</v>
      </c>
      <c r="F9" s="48">
        <v>3250.32</v>
      </c>
      <c r="G9" s="48">
        <v>3504.58</v>
      </c>
      <c r="H9" s="48">
        <v>3908.19</v>
      </c>
      <c r="I9" s="48">
        <v>5528.3</v>
      </c>
      <c r="J9" s="48">
        <v>12959.8</v>
      </c>
      <c r="K9" s="46">
        <v>7426.37</v>
      </c>
      <c r="L9" s="46">
        <v>12457.17</v>
      </c>
    </row>
    <row r="10" spans="1:16" ht="20.25" customHeight="1">
      <c r="A10" s="7">
        <v>1.3</v>
      </c>
      <c r="B10" s="8" t="s">
        <v>18</v>
      </c>
      <c r="C10" s="46">
        <v>4102.8999999999996</v>
      </c>
      <c r="D10" s="48">
        <v>4859.8</v>
      </c>
      <c r="E10" s="48">
        <v>6538.8</v>
      </c>
      <c r="F10" s="48">
        <v>7576.65</v>
      </c>
      <c r="G10" s="48">
        <v>8761.86</v>
      </c>
      <c r="H10" s="48">
        <v>10085.209999999999</v>
      </c>
      <c r="I10" s="48">
        <v>8200.42</v>
      </c>
      <c r="J10" s="48">
        <v>10438.18</v>
      </c>
      <c r="K10" s="46">
        <v>8154.87</v>
      </c>
      <c r="L10" s="46">
        <v>14974.65</v>
      </c>
    </row>
    <row r="11" spans="1:16" ht="20.25" customHeight="1">
      <c r="A11" s="7">
        <v>1.4</v>
      </c>
      <c r="B11" s="8" t="s">
        <v>19</v>
      </c>
      <c r="C11" s="46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6">
        <v>0</v>
      </c>
      <c r="L11" s="46">
        <v>0</v>
      </c>
    </row>
    <row r="12" spans="1:16" ht="20.25" customHeight="1">
      <c r="A12" s="7">
        <v>1.5</v>
      </c>
      <c r="B12" s="8" t="s">
        <v>20</v>
      </c>
      <c r="C12" s="46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6">
        <v>0</v>
      </c>
      <c r="L12" s="46">
        <v>0</v>
      </c>
    </row>
    <row r="13" spans="1:16" ht="20.25" customHeight="1">
      <c r="A13" s="9"/>
      <c r="B13" s="10" t="s">
        <v>21</v>
      </c>
      <c r="C13" s="49">
        <v>90705.8</v>
      </c>
      <c r="D13" s="49">
        <v>109494.1</v>
      </c>
      <c r="E13" s="49">
        <v>137086.01</v>
      </c>
      <c r="F13" s="49">
        <v>158662.82</v>
      </c>
      <c r="G13" s="49">
        <v>182771.74</v>
      </c>
      <c r="H13" s="49">
        <v>223508.58</v>
      </c>
      <c r="I13" s="49">
        <v>277674.01999999996</v>
      </c>
      <c r="J13" s="49">
        <v>348723.5</v>
      </c>
      <c r="K13" s="49">
        <v>133571.53</v>
      </c>
      <c r="L13" s="49">
        <v>251840.17</v>
      </c>
    </row>
    <row r="14" spans="1:16" ht="20.25" customHeight="1">
      <c r="A14" s="6">
        <v>2</v>
      </c>
      <c r="B14" s="11" t="s">
        <v>22</v>
      </c>
      <c r="C14" s="47">
        <v>0</v>
      </c>
      <c r="D14" s="48">
        <v>0</v>
      </c>
      <c r="E14" s="48">
        <v>0</v>
      </c>
      <c r="F14" s="48">
        <v>2.71</v>
      </c>
      <c r="G14" s="48">
        <v>0</v>
      </c>
      <c r="H14" s="48">
        <v>0</v>
      </c>
      <c r="I14" s="48">
        <v>0</v>
      </c>
      <c r="J14" s="48">
        <v>129.35</v>
      </c>
      <c r="K14" s="46">
        <v>7499.18</v>
      </c>
      <c r="L14" s="46">
        <v>2237.19</v>
      </c>
    </row>
    <row r="15" spans="1:16" ht="20.25" customHeight="1">
      <c r="A15" s="6">
        <v>3</v>
      </c>
      <c r="B15" s="10" t="s">
        <v>23</v>
      </c>
      <c r="C15" s="47">
        <v>1325</v>
      </c>
      <c r="D15" s="48">
        <v>1671.7</v>
      </c>
      <c r="E15" s="48">
        <v>2167.35</v>
      </c>
      <c r="F15" s="48">
        <v>2733.56</v>
      </c>
      <c r="G15" s="48">
        <v>3033.26</v>
      </c>
      <c r="H15" s="48">
        <v>6700.29</v>
      </c>
      <c r="I15" s="48">
        <v>7293.7</v>
      </c>
      <c r="J15" s="48">
        <v>8707.16</v>
      </c>
      <c r="K15" s="46">
        <v>5335.6</v>
      </c>
      <c r="L15" s="46">
        <v>5231.91</v>
      </c>
    </row>
    <row r="16" spans="1:16" ht="20.25" customHeight="1">
      <c r="A16" s="6">
        <v>4</v>
      </c>
      <c r="B16" s="42" t="s">
        <v>2</v>
      </c>
      <c r="C16" s="50">
        <v>92030.8</v>
      </c>
      <c r="D16" s="50">
        <v>111165.8</v>
      </c>
      <c r="E16" s="50">
        <v>139253.36000000002</v>
      </c>
      <c r="F16" s="50">
        <v>161399.09</v>
      </c>
      <c r="G16" s="50">
        <v>185805</v>
      </c>
      <c r="H16" s="50">
        <v>230208.87</v>
      </c>
      <c r="I16" s="50">
        <v>284967.71999999997</v>
      </c>
      <c r="J16" s="50">
        <v>357560.01</v>
      </c>
      <c r="K16" s="50">
        <v>146406.31</v>
      </c>
      <c r="L16" s="50">
        <v>259309.27</v>
      </c>
      <c r="O16" s="15"/>
      <c r="P16" s="15"/>
    </row>
    <row r="17" spans="1:12" ht="20.25" customHeight="1">
      <c r="A17" s="5" t="s">
        <v>24</v>
      </c>
      <c r="B17" s="59" t="s">
        <v>25</v>
      </c>
      <c r="C17" s="59"/>
      <c r="D17" s="59"/>
      <c r="E17" s="59"/>
      <c r="F17" s="59"/>
      <c r="G17" s="59"/>
      <c r="H17" s="59"/>
      <c r="I17" s="59"/>
      <c r="J17" s="59"/>
      <c r="K17" s="59"/>
      <c r="L17" s="59"/>
    </row>
    <row r="18" spans="1:12" ht="20.25" customHeight="1">
      <c r="A18" s="6">
        <v>5</v>
      </c>
      <c r="B18" s="43" t="s">
        <v>26</v>
      </c>
      <c r="C18" s="44">
        <v>62332.7</v>
      </c>
      <c r="D18" s="44">
        <v>78816.7</v>
      </c>
      <c r="E18" s="44">
        <v>86755.22</v>
      </c>
      <c r="F18" s="44">
        <v>75303.839999999997</v>
      </c>
      <c r="G18" s="44">
        <v>108097.19</v>
      </c>
      <c r="H18" s="44">
        <v>129141.43</v>
      </c>
      <c r="I18" s="44">
        <v>188835.81</v>
      </c>
      <c r="J18" s="44">
        <v>158610.5</v>
      </c>
      <c r="K18" s="44">
        <v>59711.24</v>
      </c>
      <c r="L18" s="44">
        <v>118838.77</v>
      </c>
    </row>
    <row r="19" spans="1:12" ht="20.25" customHeight="1">
      <c r="A19" s="6">
        <v>6</v>
      </c>
      <c r="B19" s="13" t="s">
        <v>27</v>
      </c>
      <c r="C19" s="33">
        <v>2058.9</v>
      </c>
      <c r="D19" s="33">
        <v>2341.1</v>
      </c>
      <c r="E19" s="33">
        <v>2914.55</v>
      </c>
      <c r="F19" s="33">
        <v>4110.83</v>
      </c>
      <c r="G19" s="33">
        <v>7192.53</v>
      </c>
      <c r="H19" s="33">
        <v>12298.2</v>
      </c>
      <c r="I19" s="33">
        <v>22108.93</v>
      </c>
      <c r="J19" s="33">
        <v>58672.37</v>
      </c>
      <c r="K19" s="44">
        <v>41912.6</v>
      </c>
      <c r="L19" s="44">
        <v>60897.84</v>
      </c>
    </row>
    <row r="20" spans="1:12" ht="20.25" customHeight="1">
      <c r="A20" s="6">
        <v>7</v>
      </c>
      <c r="B20" s="13" t="s">
        <v>28</v>
      </c>
      <c r="C20" s="33">
        <v>856.2</v>
      </c>
      <c r="D20" s="33">
        <v>2260.1</v>
      </c>
      <c r="E20" s="33">
        <v>3022.14</v>
      </c>
      <c r="F20" s="33">
        <v>5030.79</v>
      </c>
      <c r="G20" s="33">
        <v>4572.53</v>
      </c>
      <c r="H20" s="33">
        <v>4368.7700000000004</v>
      </c>
      <c r="I20" s="33">
        <v>7595.8</v>
      </c>
      <c r="J20" s="33">
        <v>39736.129999999997</v>
      </c>
      <c r="K20" s="44">
        <v>46986.85</v>
      </c>
      <c r="L20" s="44">
        <v>50678.47</v>
      </c>
    </row>
    <row r="21" spans="1:12" ht="20.25" customHeight="1">
      <c r="A21" s="6">
        <v>8</v>
      </c>
      <c r="B21" s="13" t="s">
        <v>162</v>
      </c>
      <c r="C21" s="33">
        <v>6418.8</v>
      </c>
      <c r="D21" s="33">
        <v>8795.2999999999993</v>
      </c>
      <c r="E21" s="33">
        <v>10901.32</v>
      </c>
      <c r="F21" s="33">
        <v>14099.710000000001</v>
      </c>
      <c r="G21" s="33">
        <v>18680.18</v>
      </c>
      <c r="H21" s="33">
        <v>23768.35</v>
      </c>
      <c r="I21" s="33">
        <v>30237.32</v>
      </c>
      <c r="J21" s="33">
        <v>29116.84</v>
      </c>
      <c r="K21" s="44">
        <v>16128.84</v>
      </c>
      <c r="L21" s="44">
        <v>22868.37</v>
      </c>
    </row>
    <row r="22" spans="1:12" ht="20.25" customHeight="1">
      <c r="A22" s="6">
        <v>9</v>
      </c>
      <c r="B22" s="13" t="s">
        <v>29</v>
      </c>
      <c r="C22" s="33">
        <v>0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8207.4599999999991</v>
      </c>
      <c r="K22" s="44">
        <v>5272.52</v>
      </c>
      <c r="L22" s="44">
        <v>7507.47</v>
      </c>
    </row>
    <row r="23" spans="1:12" ht="20.25" customHeight="1">
      <c r="A23" s="6">
        <v>10</v>
      </c>
      <c r="B23" s="13" t="s">
        <v>30</v>
      </c>
      <c r="C23" s="33">
        <v>339.9</v>
      </c>
      <c r="D23" s="33">
        <v>359.4</v>
      </c>
      <c r="E23" s="33">
        <v>477.07</v>
      </c>
      <c r="F23" s="33">
        <v>929.9</v>
      </c>
      <c r="G23" s="33">
        <v>3376.11</v>
      </c>
      <c r="H23" s="33">
        <v>3937.07</v>
      </c>
      <c r="I23" s="33">
        <v>5031.8</v>
      </c>
      <c r="J23" s="33">
        <v>6383.29</v>
      </c>
      <c r="K23" s="44">
        <v>5724.03</v>
      </c>
      <c r="L23" s="44">
        <v>5921.22</v>
      </c>
    </row>
    <row r="24" spans="1:12" ht="20.25" customHeight="1">
      <c r="A24" s="6">
        <v>11</v>
      </c>
      <c r="B24" s="13" t="s">
        <v>31</v>
      </c>
      <c r="C24" s="33">
        <v>5575.9</v>
      </c>
      <c r="D24" s="33">
        <v>6945.5</v>
      </c>
      <c r="E24" s="33">
        <v>8729.76</v>
      </c>
      <c r="F24" s="33">
        <v>9016.11</v>
      </c>
      <c r="G24" s="33">
        <v>9053.73</v>
      </c>
      <c r="H24" s="33">
        <v>8845.33</v>
      </c>
      <c r="I24" s="33">
        <v>7389.88</v>
      </c>
      <c r="J24" s="33">
        <v>8845.6299999999992</v>
      </c>
      <c r="K24" s="44">
        <v>2642.41</v>
      </c>
      <c r="L24" s="44">
        <v>4642.38</v>
      </c>
    </row>
    <row r="25" spans="1:12" ht="20.25" customHeight="1">
      <c r="A25" s="6">
        <v>12</v>
      </c>
      <c r="B25" s="13" t="s">
        <v>32</v>
      </c>
      <c r="C25" s="33">
        <v>1688.9</v>
      </c>
      <c r="D25" s="33">
        <v>2408.3000000000002</v>
      </c>
      <c r="E25" s="33">
        <v>2990.34</v>
      </c>
      <c r="F25" s="33">
        <v>3929.91</v>
      </c>
      <c r="G25" s="33">
        <v>3796.83</v>
      </c>
      <c r="H25" s="33">
        <v>4647.3</v>
      </c>
      <c r="I25" s="33">
        <v>5839.8</v>
      </c>
      <c r="J25" s="33">
        <v>7307.34</v>
      </c>
      <c r="K25" s="44">
        <v>5230.08</v>
      </c>
      <c r="L25" s="44">
        <v>5554.62</v>
      </c>
    </row>
    <row r="26" spans="1:12" ht="20.25" customHeight="1">
      <c r="A26" s="6">
        <v>13</v>
      </c>
      <c r="B26" s="13" t="s">
        <v>33</v>
      </c>
      <c r="C26" s="33">
        <v>4801.7</v>
      </c>
      <c r="D26" s="33">
        <v>6540.6</v>
      </c>
      <c r="E26" s="33">
        <v>7788.24</v>
      </c>
      <c r="F26" s="33">
        <v>23949.64</v>
      </c>
      <c r="G26" s="33">
        <v>14127.94</v>
      </c>
      <c r="H26" s="33">
        <v>17436.03</v>
      </c>
      <c r="I26" s="33">
        <v>22832.69</v>
      </c>
      <c r="J26" s="33">
        <v>24419.86</v>
      </c>
      <c r="K26" s="44">
        <v>14728.69</v>
      </c>
      <c r="L26" s="44">
        <v>18213.55</v>
      </c>
    </row>
    <row r="27" spans="1:12" ht="20.25" customHeight="1">
      <c r="A27" s="6">
        <v>14</v>
      </c>
      <c r="B27" s="12" t="s">
        <v>1</v>
      </c>
      <c r="C27" s="51">
        <v>84072.999999999971</v>
      </c>
      <c r="D27" s="51">
        <v>108467.00000000001</v>
      </c>
      <c r="E27" s="51">
        <v>123578.64000000001</v>
      </c>
      <c r="F27" s="51">
        <v>136370.72999999998</v>
      </c>
      <c r="G27" s="51">
        <v>168897.04</v>
      </c>
      <c r="H27" s="51">
        <v>204442.47999999998</v>
      </c>
      <c r="I27" s="51">
        <v>289872.02999999997</v>
      </c>
      <c r="J27" s="51">
        <v>341299.42</v>
      </c>
      <c r="K27" s="52">
        <v>198337.26</v>
      </c>
      <c r="L27" s="52">
        <v>295122.69</v>
      </c>
    </row>
    <row r="28" spans="1:12" ht="20.25" customHeight="1">
      <c r="A28" s="6">
        <v>15</v>
      </c>
      <c r="B28" s="14" t="s">
        <v>34</v>
      </c>
      <c r="C28" s="53">
        <v>7957.800000000032</v>
      </c>
      <c r="D28" s="53">
        <v>2698.7999999999884</v>
      </c>
      <c r="E28" s="53">
        <v>15674.720000000001</v>
      </c>
      <c r="F28" s="33">
        <v>25028.360000000015</v>
      </c>
      <c r="G28" s="33">
        <v>16907.96</v>
      </c>
      <c r="H28" s="33">
        <v>25766.39</v>
      </c>
      <c r="I28" s="33">
        <v>-4904.3100000000004</v>
      </c>
      <c r="J28" s="33">
        <v>16260.59</v>
      </c>
      <c r="K28" s="44">
        <v>-51930.95</v>
      </c>
      <c r="L28" s="44">
        <v>-35813.42</v>
      </c>
    </row>
    <row r="29" spans="1:12" ht="29.25" customHeight="1">
      <c r="A29" s="6">
        <v>21</v>
      </c>
      <c r="B29" s="14" t="s">
        <v>35</v>
      </c>
      <c r="C29" s="33">
        <v>1974.3</v>
      </c>
      <c r="D29" s="33">
        <v>2078.6</v>
      </c>
      <c r="E29" s="33">
        <v>2790.51</v>
      </c>
      <c r="F29" s="33">
        <v>3261.14</v>
      </c>
      <c r="G29" s="33">
        <v>4535.4399999999996</v>
      </c>
      <c r="H29" s="33">
        <v>5500.38</v>
      </c>
      <c r="I29" s="33">
        <v>3413.84</v>
      </c>
      <c r="J29" s="33">
        <v>-19011.48</v>
      </c>
      <c r="K29" s="44">
        <v>-6366.97</v>
      </c>
      <c r="L29" s="44">
        <v>-25896.83</v>
      </c>
    </row>
    <row r="30" spans="1:12" ht="27" customHeight="1">
      <c r="A30" s="6">
        <v>22</v>
      </c>
      <c r="B30" s="14" t="s">
        <v>39</v>
      </c>
      <c r="C30" s="54">
        <v>9932.23</v>
      </c>
      <c r="D30" s="55">
        <v>4777.3999999999887</v>
      </c>
      <c r="E30" s="55">
        <v>18465.230000000003</v>
      </c>
      <c r="F30" s="33">
        <v>28289.500000000015</v>
      </c>
      <c r="G30" s="33">
        <v>21443.4</v>
      </c>
      <c r="H30" s="33">
        <v>31266.77</v>
      </c>
      <c r="I30" s="33">
        <v>-1490.47</v>
      </c>
      <c r="J30" s="33">
        <v>-2750.89</v>
      </c>
      <c r="K30" s="44">
        <v>-58297.919999999998</v>
      </c>
      <c r="L30" s="44">
        <v>-61710.25</v>
      </c>
    </row>
    <row r="31" spans="1:12" ht="20.25" customHeight="1">
      <c r="A31" s="6">
        <v>23</v>
      </c>
      <c r="B31" s="13" t="s">
        <v>36</v>
      </c>
      <c r="C31" s="56">
        <v>-856.51</v>
      </c>
      <c r="D31" s="33">
        <v>-1602.03</v>
      </c>
      <c r="E31" s="33">
        <v>-1874.92</v>
      </c>
      <c r="F31" s="33">
        <v>-8392.2999999999993</v>
      </c>
      <c r="G31" s="33">
        <v>-4851.5200000000004</v>
      </c>
      <c r="H31" s="33">
        <v>-8843.0300000000007</v>
      </c>
      <c r="I31" s="33">
        <v>3051.82</v>
      </c>
      <c r="J31" s="33">
        <v>269.3</v>
      </c>
      <c r="K31" s="44">
        <v>0</v>
      </c>
      <c r="L31" s="44">
        <v>0</v>
      </c>
    </row>
    <row r="32" spans="1:12" ht="31.5" customHeight="1">
      <c r="A32" s="6">
        <v>24</v>
      </c>
      <c r="B32" s="13" t="s">
        <v>37</v>
      </c>
      <c r="C32" s="33">
        <v>9075.7199999999993</v>
      </c>
      <c r="D32" s="33">
        <v>3175.52</v>
      </c>
      <c r="E32" s="33">
        <v>16590.310000000005</v>
      </c>
      <c r="F32" s="33">
        <v>19897.200000000015</v>
      </c>
      <c r="G32" s="33">
        <v>16591.88</v>
      </c>
      <c r="H32" s="33">
        <v>22423.74</v>
      </c>
      <c r="I32" s="33">
        <v>1561.35</v>
      </c>
      <c r="J32" s="33">
        <v>-2481.59</v>
      </c>
      <c r="K32" s="44">
        <v>-58297.919999999998</v>
      </c>
      <c r="L32" s="44">
        <v>-61710.25</v>
      </c>
    </row>
    <row r="33" spans="1:12" ht="30.75" customHeight="1">
      <c r="A33" s="6">
        <v>26</v>
      </c>
      <c r="B33" s="41" t="s">
        <v>38</v>
      </c>
      <c r="C33" s="57">
        <v>7873.47</v>
      </c>
      <c r="D33" s="57">
        <v>3169.91</v>
      </c>
      <c r="E33" s="57">
        <v>13041.720000000005</v>
      </c>
      <c r="F33" s="57">
        <v>19897.200000000015</v>
      </c>
      <c r="G33" s="57">
        <v>16591.88</v>
      </c>
      <c r="H33" s="57">
        <v>22423.74</v>
      </c>
      <c r="I33" s="57">
        <v>1561.35</v>
      </c>
      <c r="J33" s="57">
        <v>-2481.59</v>
      </c>
      <c r="K33" s="44">
        <v>-58297.919999999998</v>
      </c>
      <c r="L33" s="44">
        <v>-61710.25</v>
      </c>
    </row>
    <row r="34" spans="1:12" ht="24.95" customHeight="1">
      <c r="A34" s="3"/>
      <c r="B34" s="60" t="s">
        <v>210</v>
      </c>
      <c r="C34" s="60"/>
      <c r="D34" s="60"/>
      <c r="E34" s="60"/>
      <c r="F34" s="60"/>
      <c r="G34" s="60"/>
      <c r="H34" s="60"/>
      <c r="I34" s="60"/>
      <c r="J34" s="60"/>
      <c r="K34" s="60"/>
      <c r="L34" s="60"/>
    </row>
    <row r="35" spans="1:12">
      <c r="B35" s="2"/>
      <c r="C35" s="2"/>
    </row>
    <row r="36" spans="1:12">
      <c r="B36" s="2"/>
      <c r="C36" s="2"/>
    </row>
    <row r="37" spans="1:12">
      <c r="B37" s="2"/>
      <c r="C37" s="2"/>
    </row>
    <row r="38" spans="1:12">
      <c r="B38" s="2"/>
      <c r="C38" s="2"/>
    </row>
    <row r="39" spans="1:12">
      <c r="B39" s="2"/>
      <c r="C39" s="2"/>
    </row>
    <row r="40" spans="1:12">
      <c r="B40" s="2"/>
      <c r="C40" s="2"/>
    </row>
    <row r="41" spans="1:12">
      <c r="B41" s="2"/>
      <c r="C41" s="2"/>
    </row>
    <row r="42" spans="1:12">
      <c r="B42" s="2"/>
      <c r="C42" s="2"/>
    </row>
    <row r="43" spans="1:12">
      <c r="B43" s="2"/>
      <c r="C43" s="2"/>
    </row>
    <row r="44" spans="1:12">
      <c r="B44" s="2"/>
      <c r="C44" s="2"/>
    </row>
    <row r="45" spans="1:12">
      <c r="B45" s="2"/>
      <c r="C45" s="2"/>
    </row>
    <row r="46" spans="1:12">
      <c r="B46" s="2"/>
      <c r="C46" s="2"/>
    </row>
    <row r="47" spans="1:12">
      <c r="B47" s="2"/>
      <c r="C47" s="2"/>
    </row>
    <row r="48" spans="1:12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3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2023-02-06T09:20:03Z</dcterms:modified>
</cp:coreProperties>
</file>