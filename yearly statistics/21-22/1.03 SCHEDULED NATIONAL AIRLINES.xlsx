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Publication FY 2021-22\25-11-2022 (Revised)\12-12-2022\EXCEL\SCHEDULED NATIONAL AIRLINES\"/>
    </mc:Choice>
  </mc:AlternateContent>
  <bookViews>
    <workbookView showHorizontalScroll="0" showVerticalScroll="0" showSheetTabs="0" xWindow="0" yWindow="0" windowWidth="24000" windowHeight="943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8" i="1" l="1"/>
  <c r="G18" i="1" l="1"/>
  <c r="E18" i="1"/>
  <c r="J18" i="1"/>
  <c r="B18" i="1"/>
  <c r="D18" i="1"/>
  <c r="C18" i="1"/>
  <c r="I18" i="1"/>
  <c r="M18" i="1"/>
  <c r="P18" i="1"/>
  <c r="N18" i="1"/>
  <c r="K18" i="1"/>
  <c r="F18" i="1"/>
  <c r="O18" i="1"/>
  <c r="Q18" i="1" l="1"/>
  <c r="H18" i="1"/>
</calcChain>
</file>

<file path=xl/sharedStrings.xml><?xml version="1.0" encoding="utf-8"?>
<sst xmlns="http://schemas.openxmlformats.org/spreadsheetml/2006/main" count="27" uniqueCount="25">
  <si>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</si>
  <si>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</si>
  <si>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</si>
  <si>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</si>
  <si>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</si>
  <si>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</si>
  <si>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</si>
  <si>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</si>
  <si>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</si>
  <si>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</si>
  <si>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</si>
  <si>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</si>
  <si>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</si>
  <si>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</si>
  <si>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</si>
  <si>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</si>
  <si>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</si>
  <si>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</si>
  <si>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</si>
  <si>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NATIONAL AIRLINES</t>
  </si>
  <si>
    <t>* DENOTES that THE INTERNATIONAL OPERATIONS BY SCHEDULED INDIAN OPERATORS WERE CARRIED AS PER DGCA’S CIRCULAR DATED 26.03.2020 UNDER COVID-19 RESTRICTION.</t>
  </si>
  <si>
    <t>2021-22</t>
  </si>
  <si>
    <t xml:space="preserve"> तालिका- 1.03 (अनुसूचित राष्ट्रीय एयरलाइन्स) </t>
  </si>
  <si>
    <t>Table 1.03 (SCHEDULED NATIONAL AIRLINES)</t>
  </si>
  <si>
    <t xml:space="preserve"> MONTHLY TRAFFIC AND OPERATING STATISTICS OF SCHEDULED NATIONAL AIRLINES ON TOTAL SCHEDULED (INTERNATIONAL*+DOMESTIC) SERVICES DURING 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</si>
</sst>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3" fontId="0" fillId="0" borderId="0" xfId="0" applyNumberFormat="1" applyFont="1"/>
    <xf numFmtId="17" fontId="3" fillId="4" borderId="1" xfId="2" applyNumberFormat="1" applyBorder="1" applyAlignment="1" applyProtection="1">
      <alignment horizontal="center" vertical="center" wrapText="1"/>
    </xf>
    <xf numFmtId="0" fontId="4" fillId="4" borderId="1" xfId="2" applyFont="1" applyBorder="1" applyAlignment="1" applyProtection="1">
      <alignment horizontal="center" vertical="center" wrapText="1"/>
    </xf>
    <xf numFmtId="3" fontId="3" fillId="4" borderId="1" xfId="2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17" fontId="3" fillId="5" borderId="1" xfId="2" applyNumberFormat="1" applyFill="1" applyBorder="1" applyAlignment="1" applyProtection="1">
      <alignment horizontal="center" vertical="center" wrapText="1"/>
    </xf>
    <xf numFmtId="3" fontId="3" fillId="5" borderId="1" xfId="2" applyNumberFormat="1" applyFill="1" applyBorder="1" applyAlignment="1" applyProtection="1">
      <alignment horizontal="right" vertical="center" wrapText="1"/>
    </xf>
    <xf numFmtId="164" fontId="3" fillId="5" borderId="1" xfId="2" applyNumberFormat="1" applyFill="1" applyBorder="1" applyAlignment="1" applyProtection="1">
      <alignment horizontal="right" vertical="center" wrapText="1"/>
    </xf>
    <xf numFmtId="3" fontId="4" fillId="4" borderId="1" xfId="2" applyNumberFormat="1" applyFont="1" applyBorder="1" applyAlignment="1" applyProtection="1">
      <alignment horizontal="center" vertical="center" wrapText="1"/>
    </xf>
    <xf numFmtId="165" fontId="4" fillId="4" borderId="1" xfId="2" applyNumberFormat="1" applyFont="1" applyBorder="1" applyAlignment="1" applyProtection="1">
      <alignment horizontal="center" vertical="center" wrapText="1"/>
    </xf>
    <xf numFmtId="0" fontId="4" fillId="0" borderId="2" xfId="0" applyFont="1" applyBorder="1" applyAlignment="1">
      <alignment horizontal="left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2" fillId="3" borderId="1" xfId="1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2" applyFont="1" applyBorder="1" applyAlignment="1">
      <alignment horizontal="center" vertical="center" wrapText="1"/>
    </xf>
    <xf numFmtId="0" fontId="2" fillId="4" borderId="1" xfId="2" quotePrefix="1" applyFont="1" applyBorder="1" applyAlignment="1" applyProtection="1">
      <alignment horizontal="center" vertical="center" wrapText="1"/>
    </xf>
    <xf numFmtId="0" fontId="2" fillId="4" borderId="1" xfId="2" applyFont="1" applyBorder="1"/>
    <xf numFmtId="0" fontId="2" fillId="3" borderId="1" xfId="1" applyFont="1" applyBorder="1" applyAlignment="1" applyProtection="1">
      <alignment horizontal="center" vertical="center" wrapText="1"/>
    </xf>
    <xf numFmtId="0" fontId="2" fillId="3" borderId="1" xfId="1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R20"/>
  <sheetViews>
    <sheetView tabSelected="1" zoomScaleNormal="100" zoomScaleSheetLayoutView="100" workbookViewId="0">
      <selection activeCell="A4" sqref="A4:A5"/>
    </sheetView>
  </sheetViews>
  <sheetFormatPr defaultColWidth="9.140625" defaultRowHeight="15" x14ac:dyDescent="0.25"/>
  <cols>
    <col min="1" max="1" width="12.28515625" style="1" customWidth="1"/>
    <col min="2" max="2" width="9.28515625" style="1" customWidth="1"/>
    <col min="3" max="3" width="9.7109375" style="1" customWidth="1"/>
    <col min="4" max="4" width="8.85546875" style="1" customWidth="1"/>
    <col min="5" max="5" width="11.42578125" style="1" customWidth="1"/>
    <col min="6" max="6" width="10.85546875" style="1" customWidth="1"/>
    <col min="7" max="7" width="11.140625" style="1" customWidth="1"/>
    <col min="8" max="8" width="6.5703125" style="1" customWidth="1"/>
    <col min="9" max="9" width="11.140625" style="1" customWidth="1"/>
    <col min="10" max="10" width="10.140625" style="1" customWidth="1"/>
    <col min="11" max="11" width="11.28515625" style="1" customWidth="1"/>
    <col min="12" max="13" width="10.85546875" style="1" customWidth="1"/>
    <col min="14" max="14" width="7" style="1" customWidth="1"/>
    <col min="15" max="15" width="11.7109375" style="1" customWidth="1"/>
    <col min="16" max="16" width="11.5703125" style="1" customWidth="1"/>
    <col min="17" max="17" width="6.7109375" style="1" customWidth="1"/>
    <col min="18" max="16384" width="9.140625" style="1"/>
  </cols>
  <sheetData>
    <row r="1" spans="1:18" ht="18.75" customHeight="1" x14ac:dyDescent="0.25">
      <c r="A1" s="17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8" ht="18.75" customHeight="1" x14ac:dyDescent="0.25">
      <c r="A2" s="18" t="s">
        <v>23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8" ht="18.75" customHeight="1" x14ac:dyDescent="0.25">
      <c r="A3" s="20" t="s">
        <v>24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8" ht="19.5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4" t="s">
        <v>3</v>
      </c>
      <c r="H4" s="14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4" t="s">
        <v>7</v>
      </c>
      <c r="Q4" s="14" t="s">
        <v>8</v>
      </c>
    </row>
    <row r="5" spans="1:18" ht="115.5" customHeight="1" x14ac:dyDescent="0.25">
      <c r="A5" s="20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5"/>
      <c r="H5" s="15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5"/>
      <c r="Q5" s="15"/>
    </row>
    <row r="6" spans="1:18" ht="30" customHeight="1" x14ac:dyDescent="0.25">
      <c r="A6" s="3">
        <v>44287</v>
      </c>
      <c r="B6" s="5">
        <v>8333</v>
      </c>
      <c r="C6" s="5">
        <v>15763.033333333331</v>
      </c>
      <c r="D6" s="5">
        <v>9527.52</v>
      </c>
      <c r="E6" s="5">
        <v>607214</v>
      </c>
      <c r="F6" s="5">
        <v>600.61581100000001</v>
      </c>
      <c r="G6" s="5">
        <v>1158.758026</v>
      </c>
      <c r="H6" s="6">
        <v>51.832720682272971</v>
      </c>
      <c r="I6" s="5">
        <v>4742.3901000000033</v>
      </c>
      <c r="J6" s="5">
        <v>0</v>
      </c>
      <c r="K6" s="5">
        <v>4742.3901000000033</v>
      </c>
      <c r="L6" s="5">
        <v>55.434249000000001</v>
      </c>
      <c r="M6" s="5">
        <v>5.9156817232000014</v>
      </c>
      <c r="N6" s="5">
        <v>0</v>
      </c>
      <c r="O6" s="5">
        <v>61.349930723200004</v>
      </c>
      <c r="P6" s="5">
        <v>123.46235082000004</v>
      </c>
      <c r="Q6" s="6">
        <v>49.691205712293744</v>
      </c>
    </row>
    <row r="7" spans="1:18" ht="30" customHeight="1" x14ac:dyDescent="0.25">
      <c r="A7" s="8">
        <v>44317</v>
      </c>
      <c r="B7" s="9">
        <v>6426</v>
      </c>
      <c r="C7" s="9">
        <v>11642.933333333332</v>
      </c>
      <c r="D7" s="9">
        <v>7675.4449999999997</v>
      </c>
      <c r="E7" s="9">
        <v>350797</v>
      </c>
      <c r="F7" s="9">
        <v>340.55271700000003</v>
      </c>
      <c r="G7" s="9">
        <v>869.01427999999999</v>
      </c>
      <c r="H7" s="10">
        <v>39.188391357619587</v>
      </c>
      <c r="I7" s="9">
        <v>5829.7271000000019</v>
      </c>
      <c r="J7" s="9">
        <v>0</v>
      </c>
      <c r="K7" s="9">
        <v>5829.7271000000019</v>
      </c>
      <c r="L7" s="9">
        <v>31.221336000000001</v>
      </c>
      <c r="M7" s="9">
        <v>7.406741389700005</v>
      </c>
      <c r="N7" s="9">
        <v>0</v>
      </c>
      <c r="O7" s="9">
        <v>38.628077389700003</v>
      </c>
      <c r="P7" s="9">
        <v>90.80067506000006</v>
      </c>
      <c r="Q7" s="10">
        <v>42.541619172076643</v>
      </c>
      <c r="R7" s="2"/>
    </row>
    <row r="8" spans="1:18" ht="30" customHeight="1" x14ac:dyDescent="0.25">
      <c r="A8" s="3">
        <v>44348</v>
      </c>
      <c r="B8" s="5">
        <v>5389</v>
      </c>
      <c r="C8" s="5">
        <v>10139.85</v>
      </c>
      <c r="D8" s="5">
        <v>6359.1660000000002</v>
      </c>
      <c r="E8" s="5">
        <v>429674</v>
      </c>
      <c r="F8" s="5">
        <v>411.00821300000001</v>
      </c>
      <c r="G8" s="5">
        <v>705.41717400000005</v>
      </c>
      <c r="H8" s="6">
        <v>58.264560057337079</v>
      </c>
      <c r="I8" s="5">
        <v>4783.4575000000013</v>
      </c>
      <c r="J8" s="5">
        <v>0</v>
      </c>
      <c r="K8" s="5">
        <v>4783.4575000000013</v>
      </c>
      <c r="L8" s="5">
        <v>37.757427</v>
      </c>
      <c r="M8" s="5">
        <v>5.9271472653000021</v>
      </c>
      <c r="N8" s="5">
        <v>0</v>
      </c>
      <c r="O8" s="5">
        <v>43.6845742653</v>
      </c>
      <c r="P8" s="5">
        <v>72.887362659999994</v>
      </c>
      <c r="Q8" s="6">
        <v>59.934359909655157</v>
      </c>
    </row>
    <row r="9" spans="1:18" ht="30" customHeight="1" x14ac:dyDescent="0.25">
      <c r="A9" s="8">
        <v>44378</v>
      </c>
      <c r="B9" s="9">
        <v>7125</v>
      </c>
      <c r="C9" s="9">
        <v>12107.38333333333</v>
      </c>
      <c r="D9" s="9">
        <v>7399.6009999999997</v>
      </c>
      <c r="E9" s="9">
        <v>560356</v>
      </c>
      <c r="F9" s="9">
        <v>534.46835999999996</v>
      </c>
      <c r="G9" s="9">
        <v>833.105816</v>
      </c>
      <c r="H9" s="10">
        <v>64.153718499547722</v>
      </c>
      <c r="I9" s="9">
        <v>4854.2738000000027</v>
      </c>
      <c r="J9" s="9">
        <v>0</v>
      </c>
      <c r="K9" s="9">
        <v>4854.2738000000027</v>
      </c>
      <c r="L9" s="9">
        <v>49.172325999999998</v>
      </c>
      <c r="M9" s="9">
        <v>5.9793669198000057</v>
      </c>
      <c r="N9" s="9">
        <v>0</v>
      </c>
      <c r="O9" s="9">
        <v>55.151692919800006</v>
      </c>
      <c r="P9" s="9">
        <v>86.413389740000071</v>
      </c>
      <c r="Q9" s="10">
        <v>63.823087007395486</v>
      </c>
    </row>
    <row r="10" spans="1:18" ht="30" customHeight="1" x14ac:dyDescent="0.25">
      <c r="A10" s="3">
        <v>44409</v>
      </c>
      <c r="B10" s="5">
        <v>8378</v>
      </c>
      <c r="C10" s="5">
        <v>14423.550000000003</v>
      </c>
      <c r="D10" s="5">
        <v>8690.357</v>
      </c>
      <c r="E10" s="5">
        <v>728820</v>
      </c>
      <c r="F10" s="5">
        <v>708.07631800000001</v>
      </c>
      <c r="G10" s="5">
        <v>1038.631556</v>
      </c>
      <c r="H10" s="6">
        <v>68.173965436497866</v>
      </c>
      <c r="I10" s="5">
        <v>5598.9564999999993</v>
      </c>
      <c r="J10" s="5">
        <v>0</v>
      </c>
      <c r="K10" s="5">
        <v>5598.9564999999993</v>
      </c>
      <c r="L10" s="5">
        <v>65.097451000000007</v>
      </c>
      <c r="M10" s="5">
        <v>6.9292988237999973</v>
      </c>
      <c r="N10" s="5">
        <v>0</v>
      </c>
      <c r="O10" s="5">
        <v>72.026749823800003</v>
      </c>
      <c r="P10" s="5">
        <v>111.17477815599996</v>
      </c>
      <c r="Q10" s="6">
        <v>64.786951697562543</v>
      </c>
    </row>
    <row r="11" spans="1:18" ht="30" customHeight="1" x14ac:dyDescent="0.25">
      <c r="A11" s="8">
        <v>44440</v>
      </c>
      <c r="B11" s="9">
        <v>8612</v>
      </c>
      <c r="C11" s="9">
        <v>14779.849999999991</v>
      </c>
      <c r="D11" s="9">
        <v>8902.2160000000003</v>
      </c>
      <c r="E11" s="9">
        <v>689128</v>
      </c>
      <c r="F11" s="9">
        <v>655.34206299999994</v>
      </c>
      <c r="G11" s="9">
        <v>1032.7816740000001</v>
      </c>
      <c r="H11" s="10">
        <v>63.454075483527596</v>
      </c>
      <c r="I11" s="9">
        <v>5673.6037000000051</v>
      </c>
      <c r="J11" s="9">
        <v>3.7447140790693294</v>
      </c>
      <c r="K11" s="9">
        <v>5677.3484140790742</v>
      </c>
      <c r="L11" s="9">
        <v>60.202360999999996</v>
      </c>
      <c r="M11" s="9">
        <v>6.9421539168999988</v>
      </c>
      <c r="N11" s="9">
        <v>2.5856779301309038E-4</v>
      </c>
      <c r="O11" s="9">
        <v>67.144773484693005</v>
      </c>
      <c r="P11" s="9">
        <v>109.53974623599996</v>
      </c>
      <c r="Q11" s="10">
        <v>61.297178231572389</v>
      </c>
    </row>
    <row r="12" spans="1:18" ht="30" customHeight="1" x14ac:dyDescent="0.25">
      <c r="A12" s="3">
        <v>44470</v>
      </c>
      <c r="B12" s="5">
        <v>9981</v>
      </c>
      <c r="C12" s="5">
        <v>17531.529999999992</v>
      </c>
      <c r="D12" s="5">
        <v>10263.075000000001</v>
      </c>
      <c r="E12" s="5">
        <v>967752</v>
      </c>
      <c r="F12" s="5">
        <v>935.76992999999993</v>
      </c>
      <c r="G12" s="5">
        <v>1243.2309100000002</v>
      </c>
      <c r="H12" s="6">
        <v>75.269197578107168</v>
      </c>
      <c r="I12" s="5">
        <v>6736.4428000000016</v>
      </c>
      <c r="J12" s="5">
        <v>3.2556054042192617</v>
      </c>
      <c r="K12" s="5">
        <v>6739.6984054042205</v>
      </c>
      <c r="L12" s="5">
        <v>85.929768230000008</v>
      </c>
      <c r="M12" s="5">
        <v>8.4002681407999962</v>
      </c>
      <c r="N12" s="5">
        <v>2.0000000000000001E-4</v>
      </c>
      <c r="O12" s="5">
        <v>94.330236370800009</v>
      </c>
      <c r="P12" s="5">
        <v>132.5018274019998</v>
      </c>
      <c r="Q12" s="6">
        <v>71.191649368434526</v>
      </c>
    </row>
    <row r="13" spans="1:18" ht="30" customHeight="1" x14ac:dyDescent="0.25">
      <c r="A13" s="8">
        <v>44501</v>
      </c>
      <c r="B13" s="9">
        <v>10277</v>
      </c>
      <c r="C13" s="9">
        <v>18181.226666666666</v>
      </c>
      <c r="D13" s="9">
        <v>10797.114</v>
      </c>
      <c r="E13" s="9">
        <v>1073540</v>
      </c>
      <c r="F13" s="9">
        <v>1057.182094</v>
      </c>
      <c r="G13" s="9">
        <v>1321.9626120000003</v>
      </c>
      <c r="H13" s="10">
        <v>79.970650032271848</v>
      </c>
      <c r="I13" s="9">
        <v>5915.8188000000036</v>
      </c>
      <c r="J13" s="9">
        <v>1.6857762819890074</v>
      </c>
      <c r="K13" s="9">
        <v>5917.5045762819927</v>
      </c>
      <c r="L13" s="9">
        <v>98.554707888999999</v>
      </c>
      <c r="M13" s="9">
        <v>7.4676274058000001</v>
      </c>
      <c r="N13" s="9">
        <v>1.093146691920111E-3</v>
      </c>
      <c r="O13" s="9">
        <v>106.02342844149192</v>
      </c>
      <c r="P13" s="9">
        <v>141.52214413400014</v>
      </c>
      <c r="Q13" s="10">
        <v>74.916493874699711</v>
      </c>
    </row>
    <row r="14" spans="1:18" ht="30" customHeight="1" x14ac:dyDescent="0.25">
      <c r="A14" s="3">
        <v>44531</v>
      </c>
      <c r="B14" s="5">
        <v>10965</v>
      </c>
      <c r="C14" s="5">
        <v>19391.743333333347</v>
      </c>
      <c r="D14" s="5">
        <v>11351.744000000001</v>
      </c>
      <c r="E14" s="5">
        <v>1068358</v>
      </c>
      <c r="F14" s="5">
        <v>1055.5055379999999</v>
      </c>
      <c r="G14" s="5">
        <v>1396.4596220000001</v>
      </c>
      <c r="H14" s="6">
        <v>75.584393660327393</v>
      </c>
      <c r="I14" s="5">
        <v>6390.9560000000047</v>
      </c>
      <c r="J14" s="5">
        <v>3.4426947296397707</v>
      </c>
      <c r="K14" s="5">
        <v>6394.3986947296444</v>
      </c>
      <c r="L14" s="5">
        <v>96.221058629999973</v>
      </c>
      <c r="M14" s="5">
        <v>8.0137394742999977</v>
      </c>
      <c r="N14" s="5">
        <v>3.6812957779349485E-3</v>
      </c>
      <c r="O14" s="5">
        <v>104.23847940007791</v>
      </c>
      <c r="P14" s="5">
        <v>148.22355807000005</v>
      </c>
      <c r="Q14" s="6">
        <v>70.325176886423307</v>
      </c>
    </row>
    <row r="15" spans="1:18" ht="30" customHeight="1" x14ac:dyDescent="0.25">
      <c r="A15" s="8">
        <v>44562</v>
      </c>
      <c r="B15" s="9">
        <v>9968</v>
      </c>
      <c r="C15" s="9">
        <v>17030.69333333334</v>
      </c>
      <c r="D15" s="9">
        <v>10535.308000000001</v>
      </c>
      <c r="E15" s="9">
        <v>737832</v>
      </c>
      <c r="F15" s="9">
        <v>740.57132300000001</v>
      </c>
      <c r="G15" s="9">
        <v>1267.7787179999998</v>
      </c>
      <c r="H15" s="10">
        <v>58.414872602396862</v>
      </c>
      <c r="I15" s="9">
        <v>6326.3720000000003</v>
      </c>
      <c r="J15" s="9">
        <v>3.0515838220142708</v>
      </c>
      <c r="K15" s="9">
        <v>6329.4235838220147</v>
      </c>
      <c r="L15" s="9">
        <v>67.542098238999969</v>
      </c>
      <c r="M15" s="9">
        <v>7.9925331144999916</v>
      </c>
      <c r="N15" s="9">
        <v>1.9848792074638336E-3</v>
      </c>
      <c r="O15" s="9">
        <v>75.536616232707431</v>
      </c>
      <c r="P15" s="9">
        <v>134.66525943399989</v>
      </c>
      <c r="Q15" s="10">
        <v>56.092132856082536</v>
      </c>
    </row>
    <row r="16" spans="1:18" ht="30" customHeight="1" x14ac:dyDescent="0.25">
      <c r="A16" s="3">
        <v>44593</v>
      </c>
      <c r="B16" s="5">
        <v>2620</v>
      </c>
      <c r="C16" s="5">
        <v>3302</v>
      </c>
      <c r="D16" s="5">
        <v>1819</v>
      </c>
      <c r="E16" s="5">
        <v>111715</v>
      </c>
      <c r="F16" s="5">
        <v>46.365000000000002</v>
      </c>
      <c r="G16" s="5">
        <v>64.486999999999995</v>
      </c>
      <c r="H16" s="6">
        <v>71.898212042737313</v>
      </c>
      <c r="I16" s="5">
        <v>37.770000000000003</v>
      </c>
      <c r="J16" s="5"/>
      <c r="K16" s="5">
        <v>37.770000000000003</v>
      </c>
      <c r="L16" s="5">
        <v>4.2190000000000003</v>
      </c>
      <c r="M16" s="5">
        <v>1.7999999999999999E-2</v>
      </c>
      <c r="N16" s="5">
        <v>0</v>
      </c>
      <c r="O16" s="5">
        <v>4.2370000000000001</v>
      </c>
      <c r="P16" s="5">
        <v>5.9729999999999999</v>
      </c>
      <c r="Q16" s="6">
        <v>70.935878118198559</v>
      </c>
    </row>
    <row r="17" spans="1:17" ht="30" customHeight="1" x14ac:dyDescent="0.25">
      <c r="A17" s="8">
        <v>44621</v>
      </c>
      <c r="B17" s="9">
        <v>3209</v>
      </c>
      <c r="C17" s="9">
        <v>4130</v>
      </c>
      <c r="D17" s="9">
        <v>2120</v>
      </c>
      <c r="E17" s="9">
        <v>145441</v>
      </c>
      <c r="F17" s="9">
        <v>58.433999999999997</v>
      </c>
      <c r="G17" s="9">
        <v>78.965999999999994</v>
      </c>
      <c r="H17" s="10">
        <v>73.998936251044753</v>
      </c>
      <c r="I17" s="9">
        <v>47.78</v>
      </c>
      <c r="J17" s="9"/>
      <c r="K17" s="9">
        <v>47.78</v>
      </c>
      <c r="L17" s="9">
        <v>5.3179999999999996</v>
      </c>
      <c r="M17" s="9">
        <v>2.1999999999999999E-2</v>
      </c>
      <c r="N17" s="9">
        <v>0</v>
      </c>
      <c r="O17" s="9">
        <v>5.34</v>
      </c>
      <c r="P17" s="9">
        <v>7.319</v>
      </c>
      <c r="Q17" s="10">
        <v>72.960786992758571</v>
      </c>
    </row>
    <row r="18" spans="1:17" ht="30" customHeight="1" x14ac:dyDescent="0.25">
      <c r="A18" s="4" t="s">
        <v>21</v>
      </c>
      <c r="B18" s="4">
        <f>SUM(B6:B17)</f>
        <v>91283</v>
      </c>
      <c r="C18" s="4">
        <f t="shared" ref="C18:G18" si="0">SUM(C6:C17)</f>
        <v>158423.79333333331</v>
      </c>
      <c r="D18" s="4">
        <f t="shared" si="0"/>
        <v>95440.546000000017</v>
      </c>
      <c r="E18" s="11">
        <f>SUM(E6:E17)</f>
        <v>7470627</v>
      </c>
      <c r="F18" s="4">
        <f t="shared" si="0"/>
        <v>7143.8913669999993</v>
      </c>
      <c r="G18" s="4">
        <f t="shared" si="0"/>
        <v>11010.593387999999</v>
      </c>
      <c r="H18" s="4">
        <f t="shared" ref="H18" si="1">F18/G18*100</f>
        <v>64.881983334211924</v>
      </c>
      <c r="I18" s="4">
        <f>SUM(I6:I17)</f>
        <v>56937.548300000024</v>
      </c>
      <c r="J18" s="4">
        <f t="shared" ref="J18:P18" si="2">SUM(J6:J17)</f>
        <v>15.180374316931639</v>
      </c>
      <c r="K18" s="4">
        <f t="shared" si="2"/>
        <v>56952.728674316946</v>
      </c>
      <c r="L18" s="4">
        <f t="shared" si="2"/>
        <v>656.66978298799995</v>
      </c>
      <c r="M18" s="4">
        <f t="shared" si="2"/>
        <v>71.014558174100003</v>
      </c>
      <c r="N18" s="4">
        <f t="shared" si="2"/>
        <v>7.2178894703319833E-3</v>
      </c>
      <c r="O18" s="4">
        <f t="shared" si="2"/>
        <v>727.69155905157027</v>
      </c>
      <c r="P18" s="4">
        <f t="shared" si="2"/>
        <v>1164.4830917119998</v>
      </c>
      <c r="Q18" s="12">
        <f>O18/P18*100</f>
        <v>62.49052169419933</v>
      </c>
    </row>
    <row r="19" spans="1:17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x14ac:dyDescent="0.25">
      <c r="A20" s="13" t="s">
        <v>20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2020-05-08T08:48:27Z</cp:lastPrinted>
  <dcterms:created xsi:type="dcterms:W3CDTF">2018-10-29T04:00:10Z</dcterms:created>
  <dcterms:modified xsi:type="dcterms:W3CDTF">2022-12-15T07:20:35Z</dcterms:modified>
</cp:coreProperties>
</file>