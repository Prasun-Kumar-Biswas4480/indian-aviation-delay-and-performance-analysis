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14. STAR AIR\"/>
    </mc:Choice>
  </mc:AlternateContent>
  <bookViews>
    <workbookView xWindow="0" yWindow="0" windowWidth="11970" windowHeight="9495"/>
  </bookViews>
  <sheets>
    <sheet name="STARAIR" sheetId="1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6" l="1"/>
  <c r="D37" i="16"/>
  <c r="E37" i="16"/>
  <c r="F37" i="16"/>
  <c r="G37" i="16"/>
  <c r="H37" i="16"/>
  <c r="L37" i="16"/>
  <c r="O37" i="16"/>
  <c r="P37" i="16"/>
  <c r="Q37" i="16"/>
  <c r="B37" i="16"/>
  <c r="Q36" i="16"/>
  <c r="H36" i="16"/>
  <c r="B34" i="16" l="1"/>
  <c r="Q34" i="16" l="1"/>
  <c r="P34" i="16"/>
  <c r="O34" i="16"/>
  <c r="L34" i="16"/>
  <c r="H34" i="16"/>
  <c r="G34" i="16"/>
  <c r="F34" i="16"/>
  <c r="E34" i="16"/>
  <c r="D34" i="16"/>
  <c r="C34" i="16"/>
</calcChain>
</file>

<file path=xl/sharedStrings.xml><?xml version="1.0" encoding="utf-8"?>
<sst xmlns="http://schemas.openxmlformats.org/spreadsheetml/2006/main" count="128" uniqueCount="39">
  <si>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</si>
  <si>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</si>
  <si>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</si>
  <si>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</si>
  <si>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</si>
  <si>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</si>
  <si>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</si>
  <si>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</si>
  <si>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</si>
  <si>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</si>
  <si>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</si>
  <si>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</si>
  <si>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</si>
  <si>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</si>
  <si>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</si>
  <si>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</si>
  <si>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</si>
  <si>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</si>
  <si>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</si>
  <si>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</si>
  <si>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</si>
  <si>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</si>
  <si>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</si>
  <si>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</si>
  <si>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</si>
  <si>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</si>
  <si>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</si>
  <si>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</si>
  <si>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</si>
  <si>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</si>
  <si>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</si>
  <si>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</si>
  <si>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- 1.04 (स्टार एयर) </t>
  </si>
  <si>
    <t>TABLE - 1.04 (STAR AIR)</t>
  </si>
  <si>
    <t xml:space="preserve">SOURCE: ICAO ATR FORM 'A' FURNISHED BY STAR AIR </t>
  </si>
  <si>
    <t>2019-20</t>
  </si>
  <si>
    <t xml:space="preserve">YEAR ON YEAR GROWTH AND CAGR FOR LAST TEN YEARS OF STAR AIR ON SCHEDULED DOMESTIC SERVICES (ALL AIR TRAFFIC AND OPERATING STATISTICS) </t>
  </si>
  <si>
    <t>2020-21</t>
  </si>
  <si>
    <t>Note: Growth has been calculated with respect to preceeding year while Compound Annual Growth Rate (CAGR) has been calculating taking 2010-11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</si>
</sst>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  <bgColor rgb="FFFFFFFF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39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right" vertical="center" wrapText="1"/>
    </xf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3" fontId="7" fillId="6" borderId="2" xfId="1" applyNumberFormat="1" applyFont="1" applyFill="1" applyBorder="1" applyAlignment="1" applyProtection="1">
      <alignment horizontal="center" vertical="center" wrapText="1"/>
    </xf>
    <xf numFmtId="164" fontId="7" fillId="6" borderId="2" xfId="1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8" fillId="5" borderId="1" xfId="4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165" fontId="9" fillId="7" borderId="1" xfId="4" applyNumberFormat="1" applyFont="1" applyFill="1" applyBorder="1" applyAlignment="1" applyProtection="1">
      <alignment horizontal="center" vertical="center" wrapText="1"/>
    </xf>
    <xf numFmtId="2" fontId="9" fillId="7" borderId="1" xfId="4" applyNumberFormat="1" applyFont="1" applyFill="1" applyBorder="1" applyAlignment="1" applyProtection="1">
      <alignment horizontal="center" vertical="center" wrapText="1"/>
    </xf>
    <xf numFmtId="1" fontId="9" fillId="7" borderId="1" xfId="4" applyNumberFormat="1" applyFont="1" applyFill="1" applyBorder="1" applyAlignment="1" applyProtection="1">
      <alignment horizontal="center" vertical="center" wrapText="1"/>
    </xf>
    <xf numFmtId="166" fontId="9" fillId="7" borderId="1" xfId="4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2" xfId="1" applyFont="1" applyAlignment="1">
      <alignment horizontal="center" vertical="center" wrapText="1"/>
    </xf>
    <xf numFmtId="0" fontId="3" fillId="3" borderId="2" xfId="1" quotePrefix="1" applyFont="1" applyAlignment="1" applyProtection="1">
      <alignment horizontal="center" vertical="center" wrapText="1"/>
    </xf>
    <xf numFmtId="0" fontId="3" fillId="3" borderId="2" xfId="1" applyFont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  <xf numFmtId="0" fontId="3" fillId="2" borderId="3" xfId="0" applyFont="1" applyFill="1" applyBorder="1" applyAlignment="1" applyProtection="1">
      <alignment horizontal="center" vertical="center" wrapText="1"/>
    </xf>
    <xf numFmtId="0" fontId="5" fillId="3" borderId="4" xfId="1" applyBorder="1" applyAlignment="1" applyProtection="1">
      <alignment horizontal="center" vertical="center" wrapText="1"/>
    </xf>
    <xf numFmtId="0" fontId="4" fillId="5" borderId="3" xfId="3" applyFont="1" applyBorder="1" applyAlignment="1" applyProtection="1">
      <alignment horizontal="center" vertical="center" wrapText="1"/>
    </xf>
    <xf numFmtId="0" fontId="3" fillId="7" borderId="3" xfId="0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7" fillId="6" borderId="1" xfId="1" applyNumberFormat="1" applyFont="1" applyFill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164" fontId="7" fillId="6" borderId="1" xfId="1" applyNumberFormat="1" applyFont="1" applyFill="1" applyBorder="1" applyAlignment="1" applyProtection="1">
      <alignment horizontal="center" vertical="center" wrapText="1"/>
    </xf>
    <xf numFmtId="1" fontId="0" fillId="7" borderId="1" xfId="0" applyNumberFormat="1" applyFont="1" applyFill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topLeftCell="E19" workbookViewId="0">
      <selection activeCell="F28" sqref="F28"/>
    </sheetView>
  </sheetViews>
  <sheetFormatPr defaultRowHeight="15" x14ac:dyDescent="0.25"/>
  <cols>
    <col min="1" max="1" width="8.28515625" customWidth="1"/>
    <col min="2" max="2" width="9.85546875" customWidth="1"/>
    <col min="3" max="3" width="7.42578125" customWidth="1"/>
    <col min="4" max="4" width="7.85546875" customWidth="1"/>
    <col min="5" max="5" width="9.42578125" customWidth="1"/>
    <col min="6" max="6" width="8.28515625" customWidth="1"/>
    <col min="7" max="7" width="9.85546875" customWidth="1"/>
    <col min="8" max="8" width="7.28515625" customWidth="1"/>
    <col min="9" max="9" width="5.42578125" customWidth="1"/>
    <col min="10" max="10" width="4.7109375" customWidth="1"/>
    <col min="11" max="11" width="5" customWidth="1"/>
    <col min="12" max="12" width="8.28515625" customWidth="1"/>
    <col min="13" max="13" width="6.42578125" customWidth="1"/>
    <col min="14" max="14" width="7" customWidth="1"/>
    <col min="15" max="17" width="8.28515625" customWidth="1"/>
  </cols>
  <sheetData>
    <row r="1" spans="1:17" x14ac:dyDescent="0.25">
      <c r="A1" s="25" t="s">
        <v>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x14ac:dyDescent="0.25">
      <c r="A2" s="26" t="s">
        <v>33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31.5" customHeight="1" x14ac:dyDescent="0.25">
      <c r="A3" s="28" t="s">
        <v>36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x14ac:dyDescent="0.25">
      <c r="A4" s="28" t="s">
        <v>0</v>
      </c>
      <c r="B4" s="28" t="s">
        <v>1</v>
      </c>
      <c r="C4" s="28"/>
      <c r="D4" s="28"/>
      <c r="E4" s="28" t="s">
        <v>2</v>
      </c>
      <c r="F4" s="29"/>
      <c r="G4" s="21" t="s">
        <v>3</v>
      </c>
      <c r="H4" s="21" t="s">
        <v>4</v>
      </c>
      <c r="I4" s="28" t="s">
        <v>5</v>
      </c>
      <c r="J4" s="28"/>
      <c r="K4" s="28"/>
      <c r="L4" s="28" t="s">
        <v>6</v>
      </c>
      <c r="M4" s="28"/>
      <c r="N4" s="28"/>
      <c r="O4" s="28"/>
      <c r="P4" s="21" t="s">
        <v>7</v>
      </c>
      <c r="Q4" s="21" t="s">
        <v>8</v>
      </c>
    </row>
    <row r="5" spans="1:17" ht="118.5" customHeight="1" x14ac:dyDescent="0.25">
      <c r="A5" s="28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22"/>
      <c r="H5" s="22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22"/>
      <c r="Q5" s="22"/>
    </row>
    <row r="6" spans="1:17" ht="17.100000000000001" customHeight="1" x14ac:dyDescent="0.25">
      <c r="A6" s="6" t="s">
        <v>19</v>
      </c>
      <c r="B6" s="1"/>
      <c r="C6" s="1"/>
      <c r="D6" s="1"/>
      <c r="E6" s="1"/>
      <c r="F6" s="1"/>
      <c r="G6" s="1"/>
      <c r="H6" s="12"/>
      <c r="I6" s="2"/>
      <c r="J6" s="2"/>
      <c r="K6" s="2"/>
      <c r="L6" s="2"/>
      <c r="M6" s="2"/>
      <c r="N6" s="2"/>
      <c r="O6" s="2"/>
      <c r="P6" s="2"/>
      <c r="Q6" s="12"/>
    </row>
    <row r="7" spans="1:17" ht="17.100000000000001" customHeight="1" x14ac:dyDescent="0.25">
      <c r="A7" s="7" t="s">
        <v>30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7.100000000000001" customHeight="1" x14ac:dyDescent="0.25">
      <c r="A8" s="8" t="s">
        <v>28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17.100000000000001" customHeight="1" x14ac:dyDescent="0.25">
      <c r="A9" s="6" t="s">
        <v>20</v>
      </c>
      <c r="B9" s="1"/>
      <c r="C9" s="1"/>
      <c r="D9" s="1"/>
      <c r="E9" s="1"/>
      <c r="F9" s="1"/>
      <c r="G9" s="1"/>
      <c r="H9" s="12"/>
      <c r="I9" s="2"/>
      <c r="J9" s="2"/>
      <c r="K9" s="2"/>
      <c r="L9" s="2"/>
      <c r="M9" s="2"/>
      <c r="N9" s="2"/>
      <c r="O9" s="2"/>
      <c r="P9" s="2"/>
      <c r="Q9" s="12"/>
    </row>
    <row r="10" spans="1:17" ht="17.100000000000001" customHeight="1" x14ac:dyDescent="0.25">
      <c r="A10" s="7" t="s">
        <v>30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7.100000000000001" customHeight="1" x14ac:dyDescent="0.25">
      <c r="A11" s="8" t="s">
        <v>28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7.100000000000001" customHeight="1" x14ac:dyDescent="0.25">
      <c r="A12" s="6" t="s">
        <v>21</v>
      </c>
      <c r="B12" s="1"/>
      <c r="C12" s="1"/>
      <c r="D12" s="1"/>
      <c r="E12" s="1"/>
      <c r="F12" s="1"/>
      <c r="G12" s="1"/>
      <c r="H12" s="12"/>
      <c r="I12" s="2"/>
      <c r="J12" s="2"/>
      <c r="K12" s="2"/>
      <c r="L12" s="2"/>
      <c r="M12" s="2"/>
      <c r="N12" s="2"/>
      <c r="O12" s="2"/>
      <c r="P12" s="2"/>
      <c r="Q12" s="12"/>
    </row>
    <row r="13" spans="1:17" ht="17.100000000000001" customHeight="1" x14ac:dyDescent="0.25">
      <c r="A13" s="7" t="s">
        <v>30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7.100000000000001" customHeight="1" x14ac:dyDescent="0.25">
      <c r="A14" s="8" t="s">
        <v>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7.100000000000001" customHeight="1" x14ac:dyDescent="0.25">
      <c r="A15" s="6" t="s">
        <v>22</v>
      </c>
      <c r="B15" s="1"/>
      <c r="C15" s="1"/>
      <c r="D15" s="1"/>
      <c r="E15" s="1"/>
      <c r="F15" s="1"/>
      <c r="G15" s="1"/>
      <c r="H15" s="12"/>
      <c r="I15" s="2"/>
      <c r="J15" s="2"/>
      <c r="K15" s="2"/>
      <c r="L15" s="2"/>
      <c r="M15" s="2"/>
      <c r="N15" s="2"/>
      <c r="O15" s="2"/>
      <c r="P15" s="2"/>
      <c r="Q15" s="12"/>
    </row>
    <row r="16" spans="1:17" ht="17.100000000000001" customHeight="1" x14ac:dyDescent="0.25">
      <c r="A16" s="7" t="s">
        <v>30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7.100000000000001" customHeight="1" x14ac:dyDescent="0.25">
      <c r="A17" s="8" t="s">
        <v>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7.100000000000001" customHeight="1" x14ac:dyDescent="0.25">
      <c r="A18" s="6" t="s">
        <v>23</v>
      </c>
      <c r="B18" s="1"/>
      <c r="C18" s="1"/>
      <c r="D18" s="1"/>
      <c r="E18" s="1"/>
      <c r="F18" s="1"/>
      <c r="G18" s="1"/>
      <c r="H18" s="12"/>
      <c r="I18" s="2"/>
      <c r="J18" s="2"/>
      <c r="K18" s="2"/>
      <c r="L18" s="2"/>
      <c r="M18" s="2"/>
      <c r="N18" s="2"/>
      <c r="O18" s="2"/>
      <c r="P18" s="2"/>
      <c r="Q18" s="12"/>
    </row>
    <row r="19" spans="1:17" ht="17.100000000000001" customHeight="1" x14ac:dyDescent="0.25">
      <c r="A19" s="7" t="s">
        <v>30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7.100000000000001" customHeight="1" x14ac:dyDescent="0.25">
      <c r="A20" s="8" t="s">
        <v>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17.100000000000001" customHeight="1" x14ac:dyDescent="0.25">
      <c r="A21" s="6" t="s">
        <v>24</v>
      </c>
      <c r="B21" s="1"/>
      <c r="C21" s="1"/>
      <c r="D21" s="1"/>
      <c r="E21" s="1"/>
      <c r="F21" s="1"/>
      <c r="G21" s="1"/>
      <c r="H21" s="12"/>
      <c r="I21" s="2"/>
      <c r="J21" s="2"/>
      <c r="K21" s="2"/>
      <c r="L21" s="2"/>
      <c r="M21" s="2"/>
      <c r="N21" s="2"/>
      <c r="O21" s="2"/>
      <c r="P21" s="2"/>
      <c r="Q21" s="12"/>
    </row>
    <row r="22" spans="1:17" ht="17.100000000000001" customHeight="1" x14ac:dyDescent="0.25">
      <c r="A22" s="7" t="s">
        <v>30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7.100000000000001" customHeight="1" x14ac:dyDescent="0.25">
      <c r="A23" s="8" t="s">
        <v>28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17.100000000000001" customHeight="1" x14ac:dyDescent="0.25">
      <c r="A24" s="6" t="s">
        <v>25</v>
      </c>
      <c r="B24" s="1"/>
      <c r="C24" s="1"/>
      <c r="D24" s="1"/>
      <c r="E24" s="1"/>
      <c r="F24" s="1"/>
      <c r="G24" s="1"/>
      <c r="H24" s="12"/>
      <c r="I24" s="2"/>
      <c r="J24" s="2"/>
      <c r="K24" s="2"/>
      <c r="L24" s="2"/>
      <c r="M24" s="2"/>
      <c r="N24" s="2"/>
      <c r="O24" s="2"/>
      <c r="P24" s="2"/>
      <c r="Q24" s="12"/>
    </row>
    <row r="25" spans="1:17" ht="17.100000000000001" customHeight="1" x14ac:dyDescent="0.25">
      <c r="A25" s="7" t="s">
        <v>30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7.100000000000001" customHeight="1" x14ac:dyDescent="0.25">
      <c r="A26" s="8" t="s">
        <v>28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17.100000000000001" customHeight="1" x14ac:dyDescent="0.25">
      <c r="A27" s="6" t="s">
        <v>26</v>
      </c>
      <c r="B27" s="1"/>
      <c r="C27" s="1"/>
      <c r="D27" s="1"/>
      <c r="E27" s="1"/>
      <c r="F27" s="1"/>
      <c r="G27" s="1"/>
      <c r="H27" s="12"/>
      <c r="I27" s="2"/>
      <c r="J27" s="2"/>
      <c r="K27" s="2"/>
      <c r="L27" s="2"/>
      <c r="M27" s="2"/>
      <c r="N27" s="2"/>
      <c r="O27" s="2"/>
      <c r="P27" s="2"/>
      <c r="Q27" s="12"/>
    </row>
    <row r="28" spans="1:17" ht="17.100000000000001" customHeight="1" x14ac:dyDescent="0.25">
      <c r="A28" s="7" t="s">
        <v>30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7.100000000000001" customHeight="1" x14ac:dyDescent="0.25">
      <c r="A29" s="8" t="s">
        <v>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7.100000000000001" customHeight="1" x14ac:dyDescent="0.25">
      <c r="A30" s="9" t="s">
        <v>31</v>
      </c>
      <c r="B30" s="10">
        <v>278</v>
      </c>
      <c r="C30" s="10">
        <v>290.2</v>
      </c>
      <c r="D30" s="10">
        <v>126.92</v>
      </c>
      <c r="E30" s="10">
        <v>7385</v>
      </c>
      <c r="F30" s="10">
        <v>4.8811260000000001</v>
      </c>
      <c r="G30" s="10">
        <v>9.0361000000000011</v>
      </c>
      <c r="H30" s="12">
        <v>54.018060889100397</v>
      </c>
      <c r="I30" s="11">
        <v>0</v>
      </c>
      <c r="J30" s="11">
        <v>0</v>
      </c>
      <c r="K30" s="11">
        <v>0</v>
      </c>
      <c r="L30" s="11">
        <v>0.80164000000000002</v>
      </c>
      <c r="M30" s="11">
        <v>0</v>
      </c>
      <c r="N30" s="11">
        <v>0</v>
      </c>
      <c r="O30" s="11">
        <v>0.80164000000000002</v>
      </c>
      <c r="P30" s="11">
        <v>5.8134572000000011</v>
      </c>
      <c r="Q30" s="12">
        <v>13.7893850839738</v>
      </c>
    </row>
    <row r="31" spans="1:17" ht="17.100000000000001" customHeight="1" x14ac:dyDescent="0.25">
      <c r="A31" s="7" t="s">
        <v>27</v>
      </c>
      <c r="B31" s="3" t="s">
        <v>29</v>
      </c>
      <c r="C31" s="3" t="s">
        <v>29</v>
      </c>
      <c r="D31" s="3" t="s">
        <v>29</v>
      </c>
      <c r="E31" s="3" t="s">
        <v>29</v>
      </c>
      <c r="F31" s="3" t="s">
        <v>29</v>
      </c>
      <c r="G31" s="3" t="s">
        <v>29</v>
      </c>
      <c r="H31" s="3" t="s">
        <v>29</v>
      </c>
      <c r="I31" s="3" t="s">
        <v>29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29</v>
      </c>
    </row>
    <row r="32" spans="1:17" ht="17.100000000000001" customHeight="1" x14ac:dyDescent="0.25">
      <c r="A32" s="30" t="s">
        <v>28</v>
      </c>
      <c r="B32" s="34" t="s">
        <v>29</v>
      </c>
      <c r="C32" s="34" t="s">
        <v>29</v>
      </c>
      <c r="D32" s="34" t="s">
        <v>29</v>
      </c>
      <c r="E32" s="34" t="s">
        <v>29</v>
      </c>
      <c r="F32" s="34" t="s">
        <v>29</v>
      </c>
      <c r="G32" s="34" t="s">
        <v>29</v>
      </c>
      <c r="H32" s="34" t="s">
        <v>29</v>
      </c>
      <c r="I32" s="34" t="s">
        <v>29</v>
      </c>
      <c r="J32" s="34" t="s">
        <v>29</v>
      </c>
      <c r="K32" s="34" t="s">
        <v>29</v>
      </c>
      <c r="L32" s="34" t="s">
        <v>29</v>
      </c>
      <c r="M32" s="34" t="s">
        <v>29</v>
      </c>
      <c r="N32" s="34" t="s">
        <v>29</v>
      </c>
      <c r="O32" s="34" t="s">
        <v>29</v>
      </c>
      <c r="P32" s="34" t="s">
        <v>29</v>
      </c>
      <c r="Q32" s="34" t="s">
        <v>29</v>
      </c>
    </row>
    <row r="33" spans="1:17" x14ac:dyDescent="0.25">
      <c r="A33" s="31" t="s">
        <v>35</v>
      </c>
      <c r="B33" s="35">
        <v>2595</v>
      </c>
      <c r="C33" s="35">
        <v>3029.4</v>
      </c>
      <c r="D33" s="35">
        <v>1642.1389999999999</v>
      </c>
      <c r="E33" s="35">
        <v>84876</v>
      </c>
      <c r="F33" s="35">
        <v>54.899259999999998</v>
      </c>
      <c r="G33" s="35">
        <v>80.928200000000004</v>
      </c>
      <c r="H33" s="36">
        <v>67.8369962509978</v>
      </c>
      <c r="I33" s="37">
        <v>0</v>
      </c>
      <c r="J33" s="37">
        <v>0</v>
      </c>
      <c r="K33" s="37">
        <v>0</v>
      </c>
      <c r="L33" s="37">
        <v>4.9341540000000004</v>
      </c>
      <c r="M33" s="37">
        <v>0</v>
      </c>
      <c r="N33" s="37">
        <v>0</v>
      </c>
      <c r="O33" s="37">
        <v>4.9341540000000004</v>
      </c>
      <c r="P33" s="37">
        <v>35.540754</v>
      </c>
      <c r="Q33" s="36">
        <v>13.88308756758509</v>
      </c>
    </row>
    <row r="34" spans="1:17" ht="29.25" customHeight="1" x14ac:dyDescent="0.25">
      <c r="A34" s="32" t="s">
        <v>27</v>
      </c>
      <c r="B34" s="13">
        <f>(B33-B30)/B30</f>
        <v>8.3345323741007196</v>
      </c>
      <c r="C34" s="13">
        <f t="shared" ref="C34:Q34" si="0">(C33-C30)/C30</f>
        <v>9.439007580978636</v>
      </c>
      <c r="D34" s="13">
        <f t="shared" si="0"/>
        <v>11.938378506145602</v>
      </c>
      <c r="E34" s="13">
        <f t="shared" si="0"/>
        <v>10.493026404874746</v>
      </c>
      <c r="F34" s="13">
        <f t="shared" si="0"/>
        <v>10.247253195266829</v>
      </c>
      <c r="G34" s="13">
        <f t="shared" si="0"/>
        <v>7.956098316751695</v>
      </c>
      <c r="H34" s="13">
        <f t="shared" si="0"/>
        <v>0.25582064839883478</v>
      </c>
      <c r="I34" s="13" t="s">
        <v>29</v>
      </c>
      <c r="J34" s="13" t="s">
        <v>29</v>
      </c>
      <c r="K34" s="13" t="s">
        <v>29</v>
      </c>
      <c r="L34" s="13">
        <f t="shared" si="0"/>
        <v>5.1550745970759948</v>
      </c>
      <c r="M34" s="13" t="s">
        <v>29</v>
      </c>
      <c r="N34" s="13" t="s">
        <v>29</v>
      </c>
      <c r="O34" s="13">
        <f t="shared" si="0"/>
        <v>5.1550745970759948</v>
      </c>
      <c r="P34" s="13">
        <f t="shared" si="0"/>
        <v>5.1135315488346578</v>
      </c>
      <c r="Q34" s="13">
        <f t="shared" si="0"/>
        <v>6.7952619381260373E-3</v>
      </c>
    </row>
    <row r="35" spans="1:17" x14ac:dyDescent="0.25">
      <c r="A35" s="30" t="s">
        <v>28</v>
      </c>
      <c r="B35" s="34" t="s">
        <v>29</v>
      </c>
      <c r="C35" s="34" t="s">
        <v>29</v>
      </c>
      <c r="D35" s="34" t="s">
        <v>29</v>
      </c>
      <c r="E35" s="34" t="s">
        <v>29</v>
      </c>
      <c r="F35" s="34" t="s">
        <v>29</v>
      </c>
      <c r="G35" s="34" t="s">
        <v>29</v>
      </c>
      <c r="H35" s="34" t="s">
        <v>29</v>
      </c>
      <c r="I35" s="34" t="s">
        <v>29</v>
      </c>
      <c r="J35" s="34" t="s">
        <v>29</v>
      </c>
      <c r="K35" s="34" t="s">
        <v>29</v>
      </c>
      <c r="L35" s="34" t="s">
        <v>29</v>
      </c>
      <c r="M35" s="34" t="s">
        <v>29</v>
      </c>
      <c r="N35" s="34" t="s">
        <v>29</v>
      </c>
      <c r="O35" s="34" t="s">
        <v>29</v>
      </c>
      <c r="P35" s="34" t="s">
        <v>29</v>
      </c>
      <c r="Q35" s="34" t="s">
        <v>29</v>
      </c>
    </row>
    <row r="36" spans="1:17" x14ac:dyDescent="0.25">
      <c r="A36" s="33" t="s">
        <v>37</v>
      </c>
      <c r="B36" s="17">
        <v>3229</v>
      </c>
      <c r="C36" s="38">
        <v>4173</v>
      </c>
      <c r="D36" s="17">
        <v>2205.1570000000002</v>
      </c>
      <c r="E36" s="17">
        <v>112239</v>
      </c>
      <c r="F36" s="16">
        <v>79.749519000000006</v>
      </c>
      <c r="G36" s="16">
        <v>110.26405</v>
      </c>
      <c r="H36" s="15">
        <f>F36/G36</f>
        <v>0.72325947577655647</v>
      </c>
      <c r="I36" s="16"/>
      <c r="J36" s="16"/>
      <c r="K36" s="16"/>
      <c r="L36" s="18">
        <v>6.9771140000000003</v>
      </c>
      <c r="M36" s="18"/>
      <c r="N36" s="18"/>
      <c r="O36" s="18">
        <v>6.9771140000000003</v>
      </c>
      <c r="P36" s="18">
        <v>47.182549999999999</v>
      </c>
      <c r="Q36" s="15">
        <f>O36/P36</f>
        <v>0.14787488170944554</v>
      </c>
    </row>
    <row r="37" spans="1:17" x14ac:dyDescent="0.25">
      <c r="A37" s="32" t="s">
        <v>27</v>
      </c>
      <c r="B37" s="13">
        <f>(B36-B33)/B33</f>
        <v>0.2443159922928709</v>
      </c>
      <c r="C37" s="13">
        <f t="shared" ref="C37:Q37" si="1">(C36-C33)/C33</f>
        <v>0.37750049514755391</v>
      </c>
      <c r="D37" s="13">
        <f t="shared" si="1"/>
        <v>0.34285648169856531</v>
      </c>
      <c r="E37" s="13">
        <f t="shared" si="1"/>
        <v>0.32238795419199773</v>
      </c>
      <c r="F37" s="13">
        <f t="shared" si="1"/>
        <v>0.45265198474442114</v>
      </c>
      <c r="G37" s="13">
        <f t="shared" si="1"/>
        <v>0.36249230799647086</v>
      </c>
      <c r="H37" s="13">
        <f t="shared" si="1"/>
        <v>-0.98933827386607021</v>
      </c>
      <c r="I37" s="13"/>
      <c r="J37" s="13"/>
      <c r="K37" s="13"/>
      <c r="L37" s="13">
        <f t="shared" si="1"/>
        <v>0.41404463662869051</v>
      </c>
      <c r="M37" s="13"/>
      <c r="N37" s="13"/>
      <c r="O37" s="13">
        <f t="shared" si="1"/>
        <v>0.41404463662869051</v>
      </c>
      <c r="P37" s="13">
        <f t="shared" si="1"/>
        <v>0.32756187446107643</v>
      </c>
      <c r="Q37" s="13">
        <f t="shared" si="1"/>
        <v>-0.98934855946203848</v>
      </c>
    </row>
    <row r="38" spans="1:17" x14ac:dyDescent="0.25">
      <c r="A38" s="30" t="s">
        <v>28</v>
      </c>
      <c r="B38" s="34" t="s">
        <v>29</v>
      </c>
      <c r="C38" s="34" t="s">
        <v>29</v>
      </c>
      <c r="D38" s="34" t="s">
        <v>29</v>
      </c>
      <c r="E38" s="34" t="s">
        <v>29</v>
      </c>
      <c r="F38" s="34" t="s">
        <v>29</v>
      </c>
      <c r="G38" s="34" t="s">
        <v>29</v>
      </c>
      <c r="H38" s="34" t="s">
        <v>29</v>
      </c>
      <c r="I38" s="34" t="s">
        <v>29</v>
      </c>
      <c r="J38" s="34" t="s">
        <v>29</v>
      </c>
      <c r="K38" s="34" t="s">
        <v>29</v>
      </c>
      <c r="L38" s="34" t="s">
        <v>29</v>
      </c>
      <c r="M38" s="34" t="s">
        <v>29</v>
      </c>
      <c r="N38" s="34" t="s">
        <v>29</v>
      </c>
      <c r="O38" s="34" t="s">
        <v>29</v>
      </c>
      <c r="P38" s="34" t="s">
        <v>29</v>
      </c>
      <c r="Q38" s="34" t="s">
        <v>29</v>
      </c>
    </row>
    <row r="39" spans="1:17" x14ac:dyDescent="0.25">
      <c r="A39" s="23" t="s">
        <v>34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 ht="32.25" customHeight="1" x14ac:dyDescent="0.25">
      <c r="A40" s="19" t="s">
        <v>38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2021-09-15T01:23:30Z</cp:lastPrinted>
  <dcterms:created xsi:type="dcterms:W3CDTF">2018-10-29T04:00:14Z</dcterms:created>
  <dcterms:modified xsi:type="dcterms:W3CDTF">2022-04-21T07:21:10Z</dcterms:modified>
</cp:coreProperties>
</file>