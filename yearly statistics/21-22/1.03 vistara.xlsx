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16. VISTARA\"/>
    </mc:Choice>
  </mc:AlternateContent>
  <bookViews>
    <workbookView xWindow="0" yWindow="0" windowWidth="24000" windowHeight="9435"/>
  </bookViews>
  <sheets>
    <sheet name="VISTARA" sheetId="1" r:id="rId1"/>
  </sheets>
  <externalReferences>
    <externalReference r:id="rId2"/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17" i="1"/>
  <c r="J6" i="1"/>
  <c r="K6" i="1"/>
  <c r="L6" i="1"/>
  <c r="M6" i="1"/>
  <c r="N6" i="1"/>
  <c r="O6" i="1"/>
  <c r="J7" i="1"/>
  <c r="K7" i="1"/>
  <c r="L7" i="1"/>
  <c r="M7" i="1"/>
  <c r="N7" i="1"/>
  <c r="O7" i="1"/>
  <c r="J8" i="1"/>
  <c r="K8" i="1"/>
  <c r="L8" i="1"/>
  <c r="M8" i="1"/>
  <c r="N8" i="1"/>
  <c r="O8" i="1"/>
  <c r="J9" i="1"/>
  <c r="K9" i="1"/>
  <c r="L9" i="1"/>
  <c r="M9" i="1"/>
  <c r="N9" i="1"/>
  <c r="O9" i="1"/>
  <c r="J10" i="1"/>
  <c r="K10" i="1"/>
  <c r="L10" i="1"/>
  <c r="M10" i="1"/>
  <c r="N10" i="1"/>
  <c r="O10" i="1"/>
  <c r="J11" i="1"/>
  <c r="K11" i="1"/>
  <c r="L11" i="1"/>
  <c r="M11" i="1"/>
  <c r="N11" i="1"/>
  <c r="O11" i="1"/>
  <c r="J12" i="1"/>
  <c r="K12" i="1"/>
  <c r="L12" i="1"/>
  <c r="M12" i="1"/>
  <c r="N12" i="1"/>
  <c r="O12" i="1"/>
  <c r="J13" i="1"/>
  <c r="K13" i="1"/>
  <c r="L13" i="1"/>
  <c r="M13" i="1"/>
  <c r="N13" i="1"/>
  <c r="O13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M17" i="1"/>
  <c r="N17" i="1"/>
  <c r="O17" i="1"/>
  <c r="I7" i="1"/>
  <c r="I8" i="1"/>
  <c r="I9" i="1"/>
  <c r="I10" i="1"/>
  <c r="I11" i="1"/>
  <c r="I12" i="1"/>
  <c r="I13" i="1"/>
  <c r="I14" i="1"/>
  <c r="I15" i="1"/>
  <c r="I16" i="1"/>
  <c r="I17" i="1"/>
  <c r="I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B8" i="1"/>
  <c r="B9" i="1"/>
  <c r="B10" i="1"/>
  <c r="B11" i="1"/>
  <c r="B12" i="1"/>
  <c r="B13" i="1"/>
  <c r="B14" i="1"/>
  <c r="B15" i="1"/>
  <c r="B16" i="1"/>
  <c r="B17" i="1"/>
  <c r="B7" i="1"/>
  <c r="B6" i="1"/>
  <c r="P18" i="1" l="1"/>
  <c r="O18" i="1"/>
  <c r="N18" i="1"/>
  <c r="M18" i="1"/>
  <c r="L18" i="1"/>
  <c r="K18" i="1"/>
  <c r="J18" i="1"/>
  <c r="I18" i="1"/>
  <c r="G18" i="1"/>
  <c r="F18" i="1"/>
  <c r="H18" i="1" s="1"/>
  <c r="E18" i="1"/>
  <c r="D18" i="1"/>
  <c r="C18" i="1"/>
  <c r="Q17" i="1"/>
  <c r="Q16" i="1"/>
  <c r="Q15" i="1"/>
  <c r="Q14" i="1"/>
  <c r="Q13" i="1"/>
  <c r="Q12" i="1"/>
  <c r="Q11" i="1"/>
  <c r="Q10" i="1"/>
  <c r="Q9" i="1"/>
  <c r="Q8" i="1"/>
  <c r="Q7" i="1"/>
  <c r="H17" i="1"/>
  <c r="H16" i="1"/>
  <c r="H15" i="1"/>
  <c r="H14" i="1"/>
  <c r="H13" i="1"/>
  <c r="H12" i="1"/>
  <c r="H11" i="1"/>
  <c r="H10" i="1"/>
  <c r="H9" i="1"/>
  <c r="H8" i="1"/>
  <c r="H7" i="1"/>
  <c r="Q18" i="1" l="1"/>
  <c r="B18" i="1" l="1"/>
</calcChain>
</file>

<file path=xl/sharedStrings.xml><?xml version="1.0" encoding="utf-8"?>
<sst xmlns="http://schemas.openxmlformats.org/spreadsheetml/2006/main" count="29" uniqueCount="26">
  <si>
    <t xml:space="preserve">तालिका 1.03 (विस्तारा) </t>
  </si>
  <si>
    <t>Table 1.03 (VISTARA)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</si>
  <si>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</si>
  <si>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</si>
  <si>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</si>
  <si>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</si>
  <si>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</si>
  <si>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</si>
  <si>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</si>
  <si>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</si>
  <si>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</si>
  <si>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</si>
  <si>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</si>
  <si>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</si>
  <si>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</si>
  <si>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</si>
  <si>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</si>
  <si>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</si>
  <si>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</si>
  <si>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</si>
  <si>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</si>
  <si>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VISTARA</t>
  </si>
  <si>
    <t>2020-21</t>
  </si>
  <si>
    <t>-</t>
  </si>
  <si>
    <t>* DENOTES that THE INTERNATIONAL OPERATIONS BY SCHEDULED INDIAN OPERATORS WERE CARRIED AS PER DGCA’S CIRCULAR DATED 26.03.2020 UNDER COVID-19 RESTRICTION.</t>
  </si>
  <si>
    <t>MONTHLY TRAFFIC AND OPERATING STATISTICS OF VISTARA ON SCHEDULED (DOMESTIC + INTERNATIONAL*)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</si>
</sst>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#,##0.0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right" vertical="center" wrapText="1"/>
    </xf>
    <xf numFmtId="166" fontId="1" fillId="3" borderId="1" xfId="3" applyNumberFormat="1" applyBorder="1" applyAlignment="1">
      <alignment horizontal="center" vertical="center"/>
    </xf>
    <xf numFmtId="165" fontId="2" fillId="3" borderId="1" xfId="3" applyNumberFormat="1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164" fontId="0" fillId="3" borderId="1" xfId="3" applyNumberFormat="1" applyFont="1" applyBorder="1" applyAlignment="1">
      <alignment horizontal="center" vertical="center"/>
    </xf>
    <xf numFmtId="164" fontId="1" fillId="5" borderId="1" xfId="3" applyNumberForma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01%20vista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02%20vista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TARA"/>
    </sheetNames>
    <sheetDataSet>
      <sheetData sheetId="0">
        <row r="6">
          <cell r="K6">
            <v>0</v>
          </cell>
        </row>
        <row r="7">
          <cell r="B7">
            <v>256</v>
          </cell>
          <cell r="C7">
            <v>378.2</v>
          </cell>
          <cell r="D7">
            <v>255.28399999999999</v>
          </cell>
          <cell r="E7">
            <v>18416</v>
          </cell>
          <cell r="F7">
            <v>18.946352999999998</v>
          </cell>
          <cell r="G7">
            <v>42.976544000000004</v>
          </cell>
          <cell r="I7">
            <v>67.201999999999998</v>
          </cell>
          <cell r="K7">
            <v>67.201999999999998</v>
          </cell>
          <cell r="L7">
            <v>1.7051717699999995</v>
          </cell>
          <cell r="M7">
            <v>9.8661828999999993E-2</v>
          </cell>
          <cell r="O7">
            <v>1.8038335989999996</v>
          </cell>
          <cell r="P7">
            <v>4.6161149000000012</v>
          </cell>
        </row>
        <row r="8">
          <cell r="B8">
            <v>1179</v>
          </cell>
          <cell r="C8">
            <v>1976.14</v>
          </cell>
          <cell r="D8">
            <v>1360</v>
          </cell>
          <cell r="E8">
            <v>111914</v>
          </cell>
          <cell r="F8">
            <v>130.24</v>
          </cell>
          <cell r="G8">
            <v>230.11699999999999</v>
          </cell>
          <cell r="I8">
            <v>1168.2679999999998</v>
          </cell>
          <cell r="K8">
            <v>1168.2679999999998</v>
          </cell>
          <cell r="L8">
            <v>11.722</v>
          </cell>
          <cell r="M8">
            <v>1.6559999999999999</v>
          </cell>
          <cell r="O8">
            <v>13.378</v>
          </cell>
          <cell r="P8">
            <v>24.866</v>
          </cell>
        </row>
        <row r="9">
          <cell r="B9">
            <v>993</v>
          </cell>
          <cell r="D9">
            <v>1121.492</v>
          </cell>
          <cell r="E9">
            <v>88235</v>
          </cell>
          <cell r="F9">
            <v>100.586603</v>
          </cell>
          <cell r="G9">
            <v>189.529484</v>
          </cell>
          <cell r="I9">
            <v>1644.9939999999999</v>
          </cell>
          <cell r="K9">
            <v>1644.9939999999999</v>
          </cell>
          <cell r="L9">
            <v>9.0527942699999961</v>
          </cell>
          <cell r="M9">
            <v>2.3446293770000013</v>
          </cell>
          <cell r="O9">
            <v>11.397423646999997</v>
          </cell>
          <cell r="P9">
            <v>18.566083299999992</v>
          </cell>
        </row>
        <row r="10">
          <cell r="B10">
            <v>1282</v>
          </cell>
          <cell r="C10">
            <v>2005.08</v>
          </cell>
          <cell r="D10">
            <v>1353.047</v>
          </cell>
          <cell r="E10">
            <v>141648</v>
          </cell>
          <cell r="F10">
            <v>157.70177799999999</v>
          </cell>
          <cell r="G10">
            <v>230.743078</v>
          </cell>
          <cell r="I10">
            <v>2211.73</v>
          </cell>
          <cell r="K10">
            <v>2211.73</v>
          </cell>
          <cell r="L10">
            <v>14.193160019999997</v>
          </cell>
          <cell r="M10">
            <v>2.9448370109999993</v>
          </cell>
          <cell r="O10">
            <v>17.137997030999998</v>
          </cell>
          <cell r="P10">
            <v>19.634803599999998</v>
          </cell>
        </row>
        <row r="11">
          <cell r="B11">
            <v>2374</v>
          </cell>
          <cell r="C11">
            <v>3863.24</v>
          </cell>
          <cell r="D11">
            <v>2645.0920000000001</v>
          </cell>
          <cell r="E11">
            <v>258441</v>
          </cell>
          <cell r="F11">
            <v>294.64923900000002</v>
          </cell>
          <cell r="G11">
            <v>441.95979</v>
          </cell>
          <cell r="I11">
            <v>3756.62</v>
          </cell>
          <cell r="K11">
            <v>3756.62</v>
          </cell>
          <cell r="L11">
            <v>26.518431510000003</v>
          </cell>
          <cell r="M11">
            <v>5.0607767129999992</v>
          </cell>
          <cell r="O11">
            <v>31.579208223000002</v>
          </cell>
          <cell r="P11">
            <v>34.5687529</v>
          </cell>
        </row>
        <row r="12">
          <cell r="B12">
            <v>3093</v>
          </cell>
          <cell r="C12">
            <v>5044.33</v>
          </cell>
          <cell r="D12">
            <v>3457.5749999999998</v>
          </cell>
          <cell r="E12">
            <v>339454</v>
          </cell>
          <cell r="F12">
            <v>374.807299</v>
          </cell>
          <cell r="G12">
            <v>574.89817799999992</v>
          </cell>
          <cell r="I12">
            <v>4274.4620000000004</v>
          </cell>
          <cell r="K12">
            <v>4274.4620000000004</v>
          </cell>
          <cell r="L12">
            <v>33.732656910000003</v>
          </cell>
          <cell r="M12">
            <v>5.6584421680000005</v>
          </cell>
          <cell r="O12">
            <v>39.391099078000003</v>
          </cell>
          <cell r="P12">
            <v>60.075112100000041</v>
          </cell>
        </row>
        <row r="13">
          <cell r="B13">
            <v>3324</v>
          </cell>
          <cell r="C13">
            <v>5440.34</v>
          </cell>
          <cell r="D13">
            <v>3694.8110000000001</v>
          </cell>
          <cell r="E13">
            <v>397302</v>
          </cell>
          <cell r="F13">
            <v>439.851271</v>
          </cell>
          <cell r="G13">
            <v>621.55865000000006</v>
          </cell>
          <cell r="I13">
            <v>3913.83</v>
          </cell>
          <cell r="K13">
            <v>3913.83</v>
          </cell>
          <cell r="L13">
            <v>39.586614389999987</v>
          </cell>
          <cell r="M13">
            <v>5.155587416999996</v>
          </cell>
          <cell r="O13">
            <v>44.742201806999987</v>
          </cell>
          <cell r="P13">
            <v>66.063360000000003</v>
          </cell>
        </row>
        <row r="14">
          <cell r="B14">
            <v>4132</v>
          </cell>
          <cell r="C14">
            <v>6815.01</v>
          </cell>
          <cell r="D14">
            <v>4557.6239999999998</v>
          </cell>
          <cell r="E14">
            <v>461382</v>
          </cell>
          <cell r="F14">
            <v>506.98536700000005</v>
          </cell>
          <cell r="G14">
            <v>759.19883600000003</v>
          </cell>
          <cell r="I14">
            <v>3612.0169999999998</v>
          </cell>
          <cell r="K14">
            <v>3612.0169999999998</v>
          </cell>
          <cell r="L14">
            <v>45.628219800000011</v>
          </cell>
          <cell r="M14">
            <v>4.6228108500000005</v>
          </cell>
          <cell r="O14">
            <v>50.251030650000011</v>
          </cell>
          <cell r="P14">
            <v>79.783909799999975</v>
          </cell>
        </row>
        <row r="15">
          <cell r="B15">
            <v>4359</v>
          </cell>
          <cell r="C15">
            <v>7169.33</v>
          </cell>
          <cell r="D15">
            <v>4790.2569999999996</v>
          </cell>
          <cell r="E15">
            <v>514479</v>
          </cell>
          <cell r="F15">
            <v>563.74772100000007</v>
          </cell>
          <cell r="G15">
            <v>804.95565699999997</v>
          </cell>
          <cell r="I15">
            <v>3428.6460000000002</v>
          </cell>
          <cell r="K15">
            <v>3428.6460000000002</v>
          </cell>
          <cell r="L15">
            <v>50.73729488999998</v>
          </cell>
          <cell r="M15">
            <v>4.3890610829999996</v>
          </cell>
          <cell r="O15">
            <v>55.126355972999981</v>
          </cell>
          <cell r="P15">
            <v>85.69505630000009</v>
          </cell>
        </row>
        <row r="16">
          <cell r="B16">
            <v>4344</v>
          </cell>
          <cell r="C16">
            <v>7290.26</v>
          </cell>
          <cell r="D16">
            <v>4867.4340000000002</v>
          </cell>
          <cell r="E16">
            <v>540244</v>
          </cell>
          <cell r="F16">
            <v>599.90694099999996</v>
          </cell>
          <cell r="G16">
            <v>813.73974999999996</v>
          </cell>
          <cell r="I16">
            <v>3772.5909999999999</v>
          </cell>
          <cell r="K16">
            <v>3772.5909999999999</v>
          </cell>
          <cell r="L16">
            <v>53.991783360000049</v>
          </cell>
          <cell r="M16">
            <v>4.9097799720000017</v>
          </cell>
          <cell r="O16">
            <v>58.901563332000052</v>
          </cell>
          <cell r="P16">
            <v>85.725444300000035</v>
          </cell>
        </row>
        <row r="17">
          <cell r="B17">
            <v>4678</v>
          </cell>
          <cell r="C17">
            <v>7813</v>
          </cell>
          <cell r="D17">
            <v>5254.5590000000002</v>
          </cell>
          <cell r="E17">
            <v>499846</v>
          </cell>
          <cell r="F17">
            <v>565.50353700000005</v>
          </cell>
          <cell r="G17">
            <v>876.28692899999999</v>
          </cell>
          <cell r="I17">
            <v>3677.6109999999999</v>
          </cell>
          <cell r="K17">
            <v>3677.6109999999999</v>
          </cell>
          <cell r="L17">
            <v>50.895318330000038</v>
          </cell>
          <cell r="M17">
            <v>4.7959030659999993</v>
          </cell>
          <cell r="O17">
            <v>55.691221396000039</v>
          </cell>
          <cell r="P17">
            <v>91.732963900000016</v>
          </cell>
        </row>
        <row r="18">
          <cell r="B18">
            <v>30014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TARA"/>
    </sheetNames>
    <sheetDataSet>
      <sheetData sheetId="0">
        <row r="6">
          <cell r="B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B8">
            <v>4</v>
          </cell>
          <cell r="C8">
            <v>26.23</v>
          </cell>
          <cell r="D8">
            <v>11.42</v>
          </cell>
          <cell r="E8">
            <v>357</v>
          </cell>
          <cell r="F8">
            <v>0.85857000000000006</v>
          </cell>
          <cell r="G8">
            <v>1.8728800000000001</v>
          </cell>
          <cell r="J8">
            <v>0</v>
          </cell>
          <cell r="K8">
            <v>0</v>
          </cell>
          <cell r="L8">
            <v>9.014984999999999E-2</v>
          </cell>
          <cell r="M8">
            <v>0</v>
          </cell>
          <cell r="N8">
            <v>0</v>
          </cell>
          <cell r="O8">
            <v>9.014984999999999E-2</v>
          </cell>
          <cell r="P8">
            <v>0.191856</v>
          </cell>
        </row>
        <row r="9">
          <cell r="B9">
            <v>6</v>
          </cell>
          <cell r="C9">
            <v>16.059999999999999</v>
          </cell>
          <cell r="D9">
            <v>11.827999999999999</v>
          </cell>
          <cell r="E9">
            <v>787</v>
          </cell>
          <cell r="F9">
            <v>1.5573759999999999</v>
          </cell>
          <cell r="G9">
            <v>1.939792</v>
          </cell>
          <cell r="J9">
            <v>0</v>
          </cell>
          <cell r="K9">
            <v>0</v>
          </cell>
          <cell r="L9">
            <v>0.16352448</v>
          </cell>
          <cell r="M9">
            <v>0</v>
          </cell>
          <cell r="N9">
            <v>0</v>
          </cell>
          <cell r="O9">
            <v>0.16352448</v>
          </cell>
          <cell r="P9">
            <v>0.19871039999999998</v>
          </cell>
        </row>
        <row r="10">
          <cell r="B10">
            <v>56</v>
          </cell>
          <cell r="C10">
            <v>188.42</v>
          </cell>
          <cell r="D10">
            <v>143.941</v>
          </cell>
          <cell r="E10">
            <v>5000</v>
          </cell>
          <cell r="F10">
            <v>12.240990000000002</v>
          </cell>
          <cell r="G10">
            <v>27.255976</v>
          </cell>
          <cell r="I10">
            <v>55.831000000000003</v>
          </cell>
          <cell r="K10">
            <v>55.831000000000003</v>
          </cell>
          <cell r="L10">
            <v>1.2853039500000001</v>
          </cell>
          <cell r="M10">
            <v>0.28668117999999998</v>
          </cell>
          <cell r="N10">
            <v>0</v>
          </cell>
          <cell r="O10">
            <v>1.5719851300000001</v>
          </cell>
          <cell r="P10">
            <v>3.3980941000000007</v>
          </cell>
        </row>
        <row r="11">
          <cell r="B11">
            <v>185</v>
          </cell>
          <cell r="C11">
            <v>611.19000000000005</v>
          </cell>
          <cell r="D11">
            <v>539.00900000000001</v>
          </cell>
          <cell r="E11">
            <v>19790</v>
          </cell>
          <cell r="F11">
            <v>64.018776000000003</v>
          </cell>
          <cell r="G11">
            <v>118.53091599999999</v>
          </cell>
          <cell r="I11">
            <v>496.90049999999997</v>
          </cell>
          <cell r="K11">
            <v>496.90049999999997</v>
          </cell>
          <cell r="L11">
            <v>6.7219714800000014</v>
          </cell>
          <cell r="M11">
            <v>3.1005511520000009</v>
          </cell>
          <cell r="N11">
            <v>0</v>
          </cell>
          <cell r="O11">
            <v>9.8225226320000019</v>
          </cell>
          <cell r="P11">
            <v>17.066805599999999</v>
          </cell>
        </row>
        <row r="12">
          <cell r="B12">
            <v>171</v>
          </cell>
          <cell r="C12">
            <v>672.32</v>
          </cell>
          <cell r="D12">
            <v>518.76400000000001</v>
          </cell>
          <cell r="E12">
            <v>21809</v>
          </cell>
          <cell r="F12">
            <v>69.392452999999989</v>
          </cell>
          <cell r="G12">
            <v>119.047112</v>
          </cell>
          <cell r="I12">
            <v>709.35500000000002</v>
          </cell>
          <cell r="K12">
            <v>709.35500000000002</v>
          </cell>
          <cell r="L12">
            <v>7.2862075650000007</v>
          </cell>
          <cell r="M12">
            <v>4.0613270500000009</v>
          </cell>
          <cell r="N12">
            <v>0</v>
          </cell>
          <cell r="O12">
            <v>11.347534615000001</v>
          </cell>
          <cell r="P12">
            <v>17.417731199999999</v>
          </cell>
        </row>
        <row r="13">
          <cell r="B13">
            <v>180</v>
          </cell>
          <cell r="C13">
            <v>669.57</v>
          </cell>
          <cell r="D13">
            <v>500.98</v>
          </cell>
          <cell r="E13">
            <v>20584</v>
          </cell>
          <cell r="F13">
            <v>57.768335</v>
          </cell>
          <cell r="G13">
            <v>110.87643199999999</v>
          </cell>
          <cell r="I13">
            <v>664.83799999999997</v>
          </cell>
          <cell r="K13">
            <v>664.83799999999997</v>
          </cell>
          <cell r="L13">
            <v>6.0656751749999991</v>
          </cell>
          <cell r="M13">
            <v>4.0427400139999996</v>
          </cell>
          <cell r="N13">
            <v>0</v>
          </cell>
          <cell r="O13">
            <v>10.108415188999999</v>
          </cell>
          <cell r="P13">
            <v>15.681968000000001</v>
          </cell>
        </row>
        <row r="14">
          <cell r="B14">
            <v>239</v>
          </cell>
          <cell r="C14">
            <v>873.13</v>
          </cell>
          <cell r="D14">
            <v>643.67100000000005</v>
          </cell>
          <cell r="E14">
            <v>29791</v>
          </cell>
          <cell r="F14">
            <v>89.965289999999996</v>
          </cell>
          <cell r="G14">
            <v>134.70150000000001</v>
          </cell>
          <cell r="I14">
            <v>525.37900000000002</v>
          </cell>
          <cell r="K14">
            <v>525.37900000000002</v>
          </cell>
          <cell r="L14">
            <v>9.4463554500000022</v>
          </cell>
          <cell r="M14">
            <v>3.0320187199999995</v>
          </cell>
          <cell r="N14">
            <v>0</v>
          </cell>
          <cell r="O14">
            <v>12.478374170000002</v>
          </cell>
          <cell r="P14">
            <v>18.1275032</v>
          </cell>
        </row>
        <row r="15">
          <cell r="B15">
            <v>136</v>
          </cell>
          <cell r="C15">
            <v>516.27</v>
          </cell>
          <cell r="D15">
            <v>377.31</v>
          </cell>
          <cell r="E15">
            <v>12733</v>
          </cell>
          <cell r="F15">
            <v>42.591728000000003</v>
          </cell>
          <cell r="G15">
            <v>79.212564000000015</v>
          </cell>
          <cell r="I15">
            <v>219.483</v>
          </cell>
          <cell r="K15">
            <v>219.483</v>
          </cell>
          <cell r="L15">
            <v>4.4721314400000001</v>
          </cell>
          <cell r="M15">
            <v>1.2806670450000002</v>
          </cell>
          <cell r="N15">
            <v>0</v>
          </cell>
          <cell r="O15">
            <v>5.7527984850000005</v>
          </cell>
          <cell r="P15">
            <v>9.9109207999999995</v>
          </cell>
        </row>
        <row r="16">
          <cell r="B16">
            <v>156</v>
          </cell>
          <cell r="C16">
            <v>581.55999999999995</v>
          </cell>
          <cell r="D16">
            <v>434.91899999999998</v>
          </cell>
          <cell r="E16">
            <v>15243</v>
          </cell>
          <cell r="F16">
            <v>49.987303999999995</v>
          </cell>
          <cell r="G16">
            <v>94.827023999999994</v>
          </cell>
          <cell r="I16">
            <v>378.78100000000001</v>
          </cell>
          <cell r="K16">
            <v>378.78100000000001</v>
          </cell>
          <cell r="L16">
            <v>5.2486669199999998</v>
          </cell>
          <cell r="M16">
            <v>2.23690027</v>
          </cell>
          <cell r="N16">
            <v>0</v>
          </cell>
          <cell r="O16">
            <v>7.4855671899999994</v>
          </cell>
          <cell r="P16">
            <v>13.3314112</v>
          </cell>
        </row>
        <row r="17">
          <cell r="B17">
            <v>191</v>
          </cell>
          <cell r="C17">
            <v>715.31</v>
          </cell>
          <cell r="D17">
            <v>532.48</v>
          </cell>
          <cell r="E17">
            <v>19597</v>
          </cell>
          <cell r="F17">
            <v>63.319465000000001</v>
          </cell>
          <cell r="G17">
            <v>117.55461199999999</v>
          </cell>
          <cell r="I17">
            <v>541.03200000000004</v>
          </cell>
          <cell r="K17">
            <v>541.03200000000004</v>
          </cell>
          <cell r="L17">
            <v>6.648543825</v>
          </cell>
          <cell r="M17">
            <v>3.1914389160000001</v>
          </cell>
          <cell r="N17">
            <v>0</v>
          </cell>
          <cell r="O17">
            <v>9.839982741</v>
          </cell>
          <cell r="P17">
            <v>16.760266399999999</v>
          </cell>
        </row>
        <row r="18">
          <cell r="B18">
            <v>1324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topLeftCell="G1" zoomScale="93" zoomScaleNormal="93" workbookViewId="0">
      <selection activeCell="M18" sqref="M18"/>
    </sheetView>
  </sheetViews>
  <sheetFormatPr defaultRowHeight="18" customHeight="1" x14ac:dyDescent="0.25"/>
  <cols>
    <col min="1" max="1" width="8.85546875" customWidth="1"/>
    <col min="2" max="2" width="10" bestFit="1" customWidth="1"/>
    <col min="3" max="3" width="9.42578125" customWidth="1"/>
    <col min="4" max="4" width="8.5703125" customWidth="1"/>
    <col min="5" max="5" width="11.42578125" customWidth="1"/>
    <col min="6" max="6" width="12.140625" customWidth="1"/>
    <col min="7" max="7" width="10.85546875" customWidth="1"/>
    <col min="8" max="8" width="8.140625" customWidth="1"/>
    <col min="9" max="9" width="8.7109375" customWidth="1"/>
    <col min="10" max="10" width="8.140625" customWidth="1"/>
    <col min="11" max="11" width="8.5703125" customWidth="1"/>
    <col min="12" max="12" width="10.140625" customWidth="1"/>
    <col min="13" max="13" width="9.42578125" customWidth="1"/>
    <col min="14" max="14" width="8.140625" customWidth="1"/>
    <col min="15" max="15" width="9.7109375" customWidth="1"/>
    <col min="16" max="16" width="11.5703125" customWidth="1"/>
    <col min="17" max="17" width="8.140625" customWidth="1"/>
  </cols>
  <sheetData>
    <row r="1" spans="1:17" ht="18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8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8" customHeight="1" x14ac:dyDescent="0.25">
      <c r="A3" s="22" t="s">
        <v>25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30.75" customHeight="1" x14ac:dyDescent="0.25">
      <c r="A4" s="22" t="s">
        <v>2</v>
      </c>
      <c r="B4" s="22" t="s">
        <v>3</v>
      </c>
      <c r="C4" s="22"/>
      <c r="D4" s="22"/>
      <c r="E4" s="22" t="s">
        <v>4</v>
      </c>
      <c r="F4" s="23"/>
      <c r="G4" s="14" t="s">
        <v>5</v>
      </c>
      <c r="H4" s="14" t="s">
        <v>6</v>
      </c>
      <c r="I4" s="22" t="s">
        <v>7</v>
      </c>
      <c r="J4" s="22"/>
      <c r="K4" s="22"/>
      <c r="L4" s="22" t="s">
        <v>8</v>
      </c>
      <c r="M4" s="22"/>
      <c r="N4" s="22"/>
      <c r="O4" s="22"/>
      <c r="P4" s="14" t="s">
        <v>9</v>
      </c>
      <c r="Q4" s="14" t="s">
        <v>10</v>
      </c>
    </row>
    <row r="5" spans="1:17" ht="100.9" customHeight="1" x14ac:dyDescent="0.25">
      <c r="A5" s="22"/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15"/>
      <c r="H5" s="15"/>
      <c r="I5" s="9" t="s">
        <v>16</v>
      </c>
      <c r="J5" s="9" t="s">
        <v>17</v>
      </c>
      <c r="K5" s="9" t="s">
        <v>18</v>
      </c>
      <c r="L5" s="9" t="s">
        <v>19</v>
      </c>
      <c r="M5" s="9" t="s">
        <v>20</v>
      </c>
      <c r="N5" s="9" t="s">
        <v>17</v>
      </c>
      <c r="O5" s="9" t="s">
        <v>18</v>
      </c>
      <c r="P5" s="15"/>
      <c r="Q5" s="15"/>
    </row>
    <row r="6" spans="1:17" ht="18" customHeight="1" x14ac:dyDescent="0.25">
      <c r="A6" s="1">
        <v>43922</v>
      </c>
      <c r="B6" s="2">
        <f>[1]VISTARA!$B6+[2]VISTARA!$B6</f>
        <v>0</v>
      </c>
      <c r="C6" s="6"/>
      <c r="D6" s="6"/>
      <c r="E6" s="6"/>
      <c r="F6" s="2"/>
      <c r="G6" s="2"/>
      <c r="H6" s="10" t="s">
        <v>23</v>
      </c>
      <c r="I6" s="2">
        <f>[1]VISTARA!I6+[2]VISTARA!I6</f>
        <v>0</v>
      </c>
      <c r="J6" s="2">
        <f>[1]VISTARA!J6+[2]VISTARA!J6</f>
        <v>0</v>
      </c>
      <c r="K6" s="2">
        <f>[1]VISTARA!K6+[2]VISTARA!K6</f>
        <v>0</v>
      </c>
      <c r="L6" s="2">
        <f>[1]VISTARA!L6+[2]VISTARA!L6</f>
        <v>0</v>
      </c>
      <c r="M6" s="2">
        <f>[1]VISTARA!M6+[2]VISTARA!M6</f>
        <v>0</v>
      </c>
      <c r="N6" s="2">
        <f>[1]VISTARA!N6+[2]VISTARA!N6</f>
        <v>0</v>
      </c>
      <c r="O6" s="2">
        <f>[1]VISTARA!O6+[2]VISTARA!O6</f>
        <v>0</v>
      </c>
      <c r="P6" s="2"/>
      <c r="Q6" s="10" t="s">
        <v>23</v>
      </c>
    </row>
    <row r="7" spans="1:17" ht="18" customHeight="1" x14ac:dyDescent="0.25">
      <c r="A7" s="1">
        <v>43952</v>
      </c>
      <c r="B7" s="11">
        <f>[1]VISTARA!B7+[2]VISTARA!B7</f>
        <v>256</v>
      </c>
      <c r="C7" s="11">
        <f>[1]VISTARA!C7+[2]VISTARA!C7</f>
        <v>378.2</v>
      </c>
      <c r="D7" s="11">
        <f>[1]VISTARA!D7+[2]VISTARA!D7</f>
        <v>255.28399999999999</v>
      </c>
      <c r="E7" s="11">
        <f>[1]VISTARA!E7+[2]VISTARA!E7</f>
        <v>18416</v>
      </c>
      <c r="F7" s="11">
        <f>[1]VISTARA!F7+[2]VISTARA!F7</f>
        <v>18.946352999999998</v>
      </c>
      <c r="G7" s="11">
        <f>[1]VISTARA!G7+[2]VISTARA!G7</f>
        <v>42.976544000000004</v>
      </c>
      <c r="H7" s="12">
        <f t="shared" ref="H7:H17" si="0">F7/G7*100</f>
        <v>44.085334083634081</v>
      </c>
      <c r="I7" s="11">
        <f>[1]VISTARA!I7+[2]VISTARA!I7</f>
        <v>67.201999999999998</v>
      </c>
      <c r="J7" s="11">
        <f>[1]VISTARA!J7+[2]VISTARA!J7</f>
        <v>0</v>
      </c>
      <c r="K7" s="11">
        <f>[1]VISTARA!K7+[2]VISTARA!K7</f>
        <v>67.201999999999998</v>
      </c>
      <c r="L7" s="11">
        <f>[1]VISTARA!L7+[2]VISTARA!L7</f>
        <v>1.7051717699999995</v>
      </c>
      <c r="M7" s="11">
        <f>[1]VISTARA!M7+[2]VISTARA!M7</f>
        <v>9.8661828999999993E-2</v>
      </c>
      <c r="N7" s="11">
        <f>[1]VISTARA!N7+[2]VISTARA!N7</f>
        <v>0</v>
      </c>
      <c r="O7" s="11">
        <f>[1]VISTARA!O7+[2]VISTARA!O7</f>
        <v>1.8038335989999996</v>
      </c>
      <c r="P7" s="11">
        <f>[1]VISTARA!P7+[2]VISTARA!P7</f>
        <v>4.6161149000000012</v>
      </c>
      <c r="Q7" s="12">
        <f t="shared" ref="Q7:Q18" si="1">O7/P7*100</f>
        <v>39.076878242350496</v>
      </c>
    </row>
    <row r="8" spans="1:17" ht="18" customHeight="1" x14ac:dyDescent="0.25">
      <c r="A8" s="1">
        <v>43983</v>
      </c>
      <c r="B8" s="2">
        <f>[1]VISTARA!B8+[2]VISTARA!B8</f>
        <v>1183</v>
      </c>
      <c r="C8" s="2">
        <f>[1]VISTARA!C8+[2]VISTARA!C8</f>
        <v>2002.3700000000001</v>
      </c>
      <c r="D8" s="2">
        <f>[1]VISTARA!D8+[2]VISTARA!D8</f>
        <v>1371.42</v>
      </c>
      <c r="E8" s="2">
        <f>[1]VISTARA!E8+[2]VISTARA!E8</f>
        <v>112271</v>
      </c>
      <c r="F8" s="2">
        <f>[1]VISTARA!F8+[2]VISTARA!F8</f>
        <v>131.09857</v>
      </c>
      <c r="G8" s="2">
        <f>[1]VISTARA!G8+[2]VISTARA!G8</f>
        <v>231.98988</v>
      </c>
      <c r="H8" s="2">
        <f t="shared" si="0"/>
        <v>56.510469335989995</v>
      </c>
      <c r="I8" s="2">
        <f>[1]VISTARA!I8+[2]VISTARA!I8</f>
        <v>1168.2679999999998</v>
      </c>
      <c r="J8" s="2">
        <f>[1]VISTARA!J8+[2]VISTARA!J8</f>
        <v>0</v>
      </c>
      <c r="K8" s="2">
        <f>[1]VISTARA!K8+[2]VISTARA!K8</f>
        <v>1168.2679999999998</v>
      </c>
      <c r="L8" s="2">
        <f>[1]VISTARA!L8+[2]VISTARA!L8</f>
        <v>11.812149849999999</v>
      </c>
      <c r="M8" s="2">
        <f>[1]VISTARA!M8+[2]VISTARA!M8</f>
        <v>1.6559999999999999</v>
      </c>
      <c r="N8" s="2">
        <f>[1]VISTARA!N8+[2]VISTARA!N8</f>
        <v>0</v>
      </c>
      <c r="O8" s="2">
        <f>[1]VISTARA!O8+[2]VISTARA!O8</f>
        <v>13.46814985</v>
      </c>
      <c r="P8" s="2">
        <f>[1]VISTARA!P8+[2]VISTARA!P8</f>
        <v>25.057856000000001</v>
      </c>
      <c r="Q8" s="2">
        <f t="shared" si="1"/>
        <v>53.748213135233911</v>
      </c>
    </row>
    <row r="9" spans="1:17" ht="18" customHeight="1" x14ac:dyDescent="0.25">
      <c r="A9" s="1">
        <v>44013</v>
      </c>
      <c r="B9" s="11">
        <f>[1]VISTARA!B9+[2]VISTARA!B9</f>
        <v>999</v>
      </c>
      <c r="C9" s="11">
        <f>[1]VISTARA!C9+[2]VISTARA!C9</f>
        <v>16.059999999999999</v>
      </c>
      <c r="D9" s="11">
        <f>[1]VISTARA!D9+[2]VISTARA!D9</f>
        <v>1133.32</v>
      </c>
      <c r="E9" s="11">
        <f>[1]VISTARA!E9+[2]VISTARA!E9</f>
        <v>89022</v>
      </c>
      <c r="F9" s="11">
        <f>[1]VISTARA!F9+[2]VISTARA!F9</f>
        <v>102.143979</v>
      </c>
      <c r="G9" s="11">
        <f>[1]VISTARA!G9+[2]VISTARA!G9</f>
        <v>191.46927600000001</v>
      </c>
      <c r="H9" s="12">
        <f t="shared" si="0"/>
        <v>53.347451420874435</v>
      </c>
      <c r="I9" s="11">
        <f>[1]VISTARA!I9+[2]VISTARA!I9</f>
        <v>1644.9939999999999</v>
      </c>
      <c r="J9" s="11">
        <f>[1]VISTARA!J9+[2]VISTARA!J9</f>
        <v>0</v>
      </c>
      <c r="K9" s="11">
        <f>[1]VISTARA!K9+[2]VISTARA!K9</f>
        <v>1644.9939999999999</v>
      </c>
      <c r="L9" s="11">
        <f>[1]VISTARA!L9+[2]VISTARA!L9</f>
        <v>9.2163187499999957</v>
      </c>
      <c r="M9" s="11">
        <f>[1]VISTARA!M9+[2]VISTARA!M9</f>
        <v>2.3446293770000013</v>
      </c>
      <c r="N9" s="11">
        <f>[1]VISTARA!N9+[2]VISTARA!N9</f>
        <v>0</v>
      </c>
      <c r="O9" s="11">
        <f>[1]VISTARA!O9+[2]VISTARA!O9</f>
        <v>11.560948126999996</v>
      </c>
      <c r="P9" s="11">
        <f>[1]VISTARA!P9+[2]VISTARA!P9</f>
        <v>18.764793699999991</v>
      </c>
      <c r="Q9" s="12">
        <f t="shared" si="1"/>
        <v>61.609780058493271</v>
      </c>
    </row>
    <row r="10" spans="1:17" ht="18" customHeight="1" x14ac:dyDescent="0.25">
      <c r="A10" s="1">
        <v>44044</v>
      </c>
      <c r="B10" s="2">
        <f>[1]VISTARA!B10+[2]VISTARA!B10</f>
        <v>1338</v>
      </c>
      <c r="C10" s="2">
        <f>[1]VISTARA!C10+[2]VISTARA!C10</f>
        <v>2193.5</v>
      </c>
      <c r="D10" s="2">
        <f>[1]VISTARA!D10+[2]VISTARA!D10</f>
        <v>1496.9880000000001</v>
      </c>
      <c r="E10" s="2">
        <f>[1]VISTARA!E10+[2]VISTARA!E10</f>
        <v>146648</v>
      </c>
      <c r="F10" s="2">
        <f>[1]VISTARA!F10+[2]VISTARA!F10</f>
        <v>169.942768</v>
      </c>
      <c r="G10" s="2">
        <f>[1]VISTARA!G10+[2]VISTARA!G10</f>
        <v>257.999054</v>
      </c>
      <c r="H10" s="2">
        <f t="shared" si="0"/>
        <v>65.869531444095912</v>
      </c>
      <c r="I10" s="2">
        <f>[1]VISTARA!I10+[2]VISTARA!I10</f>
        <v>2267.5610000000001</v>
      </c>
      <c r="J10" s="2">
        <f>[1]VISTARA!J10+[2]VISTARA!J10</f>
        <v>0</v>
      </c>
      <c r="K10" s="2">
        <f>[1]VISTARA!K10+[2]VISTARA!K10</f>
        <v>2267.5610000000001</v>
      </c>
      <c r="L10" s="2">
        <f>[1]VISTARA!L10+[2]VISTARA!L10</f>
        <v>15.478463969999996</v>
      </c>
      <c r="M10" s="2">
        <f>[1]VISTARA!M10+[2]VISTARA!M10</f>
        <v>3.2315181909999993</v>
      </c>
      <c r="N10" s="2">
        <f>[1]VISTARA!N10+[2]VISTARA!N10</f>
        <v>0</v>
      </c>
      <c r="O10" s="2">
        <f>[1]VISTARA!O10+[2]VISTARA!O10</f>
        <v>18.709982160999999</v>
      </c>
      <c r="P10" s="2">
        <f>[1]VISTARA!P10+[2]VISTARA!P10</f>
        <v>23.032897699999999</v>
      </c>
      <c r="Q10" s="2">
        <f t="shared" si="1"/>
        <v>81.231560200087188</v>
      </c>
    </row>
    <row r="11" spans="1:17" ht="18" customHeight="1" x14ac:dyDescent="0.25">
      <c r="A11" s="1">
        <v>44075</v>
      </c>
      <c r="B11" s="11">
        <f>[1]VISTARA!B11+[2]VISTARA!B11</f>
        <v>2559</v>
      </c>
      <c r="C11" s="11">
        <f>[1]VISTARA!C11+[2]VISTARA!C11</f>
        <v>4474.43</v>
      </c>
      <c r="D11" s="11">
        <f>[1]VISTARA!D11+[2]VISTARA!D11</f>
        <v>3184.1010000000001</v>
      </c>
      <c r="E11" s="11">
        <f>[1]VISTARA!E11+[2]VISTARA!E11</f>
        <v>278231</v>
      </c>
      <c r="F11" s="11">
        <f>[1]VISTARA!F11+[2]VISTARA!F11</f>
        <v>358.66801500000003</v>
      </c>
      <c r="G11" s="11">
        <f>[1]VISTARA!G11+[2]VISTARA!G11</f>
        <v>560.49070600000005</v>
      </c>
      <c r="H11" s="12">
        <f t="shared" si="0"/>
        <v>63.991786333027974</v>
      </c>
      <c r="I11" s="11">
        <f>[1]VISTARA!I11+[2]VISTARA!I11</f>
        <v>4253.5204999999996</v>
      </c>
      <c r="J11" s="11">
        <f>[1]VISTARA!J11+[2]VISTARA!J11</f>
        <v>0</v>
      </c>
      <c r="K11" s="11">
        <f>[1]VISTARA!K11+[2]VISTARA!K11</f>
        <v>4253.5204999999996</v>
      </c>
      <c r="L11" s="11">
        <f>[1]VISTARA!L11+[2]VISTARA!L11</f>
        <v>33.240402990000007</v>
      </c>
      <c r="M11" s="11">
        <f>[1]VISTARA!M11+[2]VISTARA!M11</f>
        <v>8.1613278650000005</v>
      </c>
      <c r="N11" s="11">
        <f>[1]VISTARA!N11+[2]VISTARA!N11</f>
        <v>0</v>
      </c>
      <c r="O11" s="11">
        <f>[1]VISTARA!O11+[2]VISTARA!O11</f>
        <v>41.401730855000004</v>
      </c>
      <c r="P11" s="11">
        <f>[1]VISTARA!P11+[2]VISTARA!P11</f>
        <v>51.635558500000002</v>
      </c>
      <c r="Q11" s="12">
        <f t="shared" si="1"/>
        <v>80.180658557222742</v>
      </c>
    </row>
    <row r="12" spans="1:17" ht="18" customHeight="1" x14ac:dyDescent="0.25">
      <c r="A12" s="1">
        <v>44105</v>
      </c>
      <c r="B12" s="2">
        <f>[1]VISTARA!B12+[2]VISTARA!B12</f>
        <v>3264</v>
      </c>
      <c r="C12" s="2">
        <f>[1]VISTARA!C12+[2]VISTARA!C12</f>
        <v>5716.65</v>
      </c>
      <c r="D12" s="2">
        <f>[1]VISTARA!D12+[2]VISTARA!D12</f>
        <v>3976.3389999999999</v>
      </c>
      <c r="E12" s="2">
        <f>[1]VISTARA!E12+[2]VISTARA!E12</f>
        <v>361263</v>
      </c>
      <c r="F12" s="2">
        <f>[1]VISTARA!F12+[2]VISTARA!F12</f>
        <v>444.19975199999999</v>
      </c>
      <c r="G12" s="2">
        <f>[1]VISTARA!G12+[2]VISTARA!G12</f>
        <v>693.94528999999989</v>
      </c>
      <c r="H12" s="2">
        <f t="shared" si="0"/>
        <v>64.010774105837669</v>
      </c>
      <c r="I12" s="2">
        <f>[1]VISTARA!I12+[2]VISTARA!I12</f>
        <v>4983.8170000000009</v>
      </c>
      <c r="J12" s="2">
        <f>[1]VISTARA!J12+[2]VISTARA!J12</f>
        <v>0</v>
      </c>
      <c r="K12" s="2">
        <f>[1]VISTARA!K12+[2]VISTARA!K12</f>
        <v>4983.8170000000009</v>
      </c>
      <c r="L12" s="2">
        <f>[1]VISTARA!L12+[2]VISTARA!L12</f>
        <v>41.018864475000001</v>
      </c>
      <c r="M12" s="2">
        <f>[1]VISTARA!M12+[2]VISTARA!M12</f>
        <v>9.7197692180000015</v>
      </c>
      <c r="N12" s="2">
        <f>[1]VISTARA!N12+[2]VISTARA!N12</f>
        <v>0</v>
      </c>
      <c r="O12" s="2">
        <f>[1]VISTARA!O12+[2]VISTARA!O12</f>
        <v>50.738633693000004</v>
      </c>
      <c r="P12" s="2">
        <f>[1]VISTARA!P12+[2]VISTARA!P12</f>
        <v>77.492843300000033</v>
      </c>
      <c r="Q12" s="2">
        <f t="shared" si="1"/>
        <v>65.47525104553749</v>
      </c>
    </row>
    <row r="13" spans="1:17" ht="18" customHeight="1" x14ac:dyDescent="0.25">
      <c r="A13" s="1">
        <v>44136</v>
      </c>
      <c r="B13" s="11">
        <f>[1]VISTARA!B13+[2]VISTARA!B13</f>
        <v>3504</v>
      </c>
      <c r="C13" s="11">
        <f>[1]VISTARA!C13+[2]VISTARA!C13</f>
        <v>6109.91</v>
      </c>
      <c r="D13" s="11">
        <f>[1]VISTARA!D13+[2]VISTARA!D13</f>
        <v>4195.7910000000002</v>
      </c>
      <c r="E13" s="11">
        <f>[1]VISTARA!E13+[2]VISTARA!E13</f>
        <v>417886</v>
      </c>
      <c r="F13" s="11">
        <f>[1]VISTARA!F13+[2]VISTARA!F13</f>
        <v>497.61960599999998</v>
      </c>
      <c r="G13" s="11">
        <f>[1]VISTARA!G13+[2]VISTARA!G13</f>
        <v>732.43508200000008</v>
      </c>
      <c r="H13" s="12">
        <f t="shared" si="0"/>
        <v>67.940438440112828</v>
      </c>
      <c r="I13" s="11">
        <f>[1]VISTARA!I13+[2]VISTARA!I13</f>
        <v>4578.6679999999997</v>
      </c>
      <c r="J13" s="11">
        <f>[1]VISTARA!J13+[2]VISTARA!J13</f>
        <v>0</v>
      </c>
      <c r="K13" s="11">
        <f>[1]VISTARA!K13+[2]VISTARA!K13</f>
        <v>4578.6679999999997</v>
      </c>
      <c r="L13" s="11">
        <f>[1]VISTARA!L13+[2]VISTARA!L13</f>
        <v>45.65228956499999</v>
      </c>
      <c r="M13" s="11">
        <f>[1]VISTARA!M13+[2]VISTARA!M13</f>
        <v>9.1983274309999956</v>
      </c>
      <c r="N13" s="11">
        <f>[1]VISTARA!N13+[2]VISTARA!N13</f>
        <v>0</v>
      </c>
      <c r="O13" s="11">
        <f>[1]VISTARA!O13+[2]VISTARA!O13</f>
        <v>54.850616995999985</v>
      </c>
      <c r="P13" s="11">
        <f>[1]VISTARA!P13+[2]VISTARA!P13</f>
        <v>81.745328000000001</v>
      </c>
      <c r="Q13" s="12">
        <f t="shared" si="1"/>
        <v>67.099390678327183</v>
      </c>
    </row>
    <row r="14" spans="1:17" ht="18" customHeight="1" x14ac:dyDescent="0.25">
      <c r="A14" s="1">
        <v>44166</v>
      </c>
      <c r="B14" s="2">
        <f>[1]VISTARA!B14+[2]VISTARA!B14</f>
        <v>4371</v>
      </c>
      <c r="C14" s="2">
        <f>[1]VISTARA!C14+[2]VISTARA!C14</f>
        <v>7688.14</v>
      </c>
      <c r="D14" s="2">
        <f>[1]VISTARA!D14+[2]VISTARA!D14</f>
        <v>5201.2950000000001</v>
      </c>
      <c r="E14" s="2">
        <f>[1]VISTARA!E14+[2]VISTARA!E14</f>
        <v>491173</v>
      </c>
      <c r="F14" s="2">
        <f>[1]VISTARA!F14+[2]VISTARA!F14</f>
        <v>596.95065700000009</v>
      </c>
      <c r="G14" s="2">
        <f>[1]VISTARA!G14+[2]VISTARA!G14</f>
        <v>893.90033600000004</v>
      </c>
      <c r="H14" s="2">
        <f t="shared" si="0"/>
        <v>66.780448888879278</v>
      </c>
      <c r="I14" s="2">
        <f>[1]VISTARA!I14+[2]VISTARA!I14</f>
        <v>4137.3959999999997</v>
      </c>
      <c r="J14" s="2">
        <f>[1]VISTARA!J14+[2]VISTARA!J14</f>
        <v>0</v>
      </c>
      <c r="K14" s="2">
        <f>[1]VISTARA!K14+[2]VISTARA!K14</f>
        <v>4137.3959999999997</v>
      </c>
      <c r="L14" s="2">
        <f>[1]VISTARA!L14+[2]VISTARA!L14</f>
        <v>55.074575250000009</v>
      </c>
      <c r="M14" s="2">
        <f>[1]VISTARA!M14+[2]VISTARA!M14</f>
        <v>7.6548295700000004</v>
      </c>
      <c r="N14" s="2">
        <f>[1]VISTARA!N14+[2]VISTARA!N14</f>
        <v>0</v>
      </c>
      <c r="O14" s="2">
        <f>[1]VISTARA!O14+[2]VISTARA!O14</f>
        <v>62.729404820000013</v>
      </c>
      <c r="P14" s="2">
        <f>[1]VISTARA!P14+[2]VISTARA!P14</f>
        <v>97.911412999999982</v>
      </c>
      <c r="Q14" s="2">
        <f t="shared" si="1"/>
        <v>64.067510515857862</v>
      </c>
    </row>
    <row r="15" spans="1:17" ht="18" customHeight="1" x14ac:dyDescent="0.25">
      <c r="A15" s="1">
        <v>44197</v>
      </c>
      <c r="B15" s="11">
        <f>[1]VISTARA!B15+[2]VISTARA!B15</f>
        <v>4495</v>
      </c>
      <c r="C15" s="11">
        <f>[1]VISTARA!C15+[2]VISTARA!C15</f>
        <v>7685.6</v>
      </c>
      <c r="D15" s="11">
        <f>[1]VISTARA!D15+[2]VISTARA!D15</f>
        <v>5167.567</v>
      </c>
      <c r="E15" s="11">
        <f>[1]VISTARA!E15+[2]VISTARA!E15</f>
        <v>527212</v>
      </c>
      <c r="F15" s="11">
        <f>[1]VISTARA!F15+[2]VISTARA!F15</f>
        <v>606.33944900000006</v>
      </c>
      <c r="G15" s="11">
        <f>[1]VISTARA!G15+[2]VISTARA!G15</f>
        <v>884.16822100000002</v>
      </c>
      <c r="H15" s="12">
        <f t="shared" si="0"/>
        <v>68.577385456607587</v>
      </c>
      <c r="I15" s="11">
        <f>[1]VISTARA!I15+[2]VISTARA!I15</f>
        <v>3648.1290000000004</v>
      </c>
      <c r="J15" s="11">
        <f>[1]VISTARA!J15+[2]VISTARA!J15</f>
        <v>0</v>
      </c>
      <c r="K15" s="11">
        <f>[1]VISTARA!K15+[2]VISTARA!K15</f>
        <v>3648.1290000000004</v>
      </c>
      <c r="L15" s="11">
        <f>[1]VISTARA!L15+[2]VISTARA!L15</f>
        <v>55.209426329999978</v>
      </c>
      <c r="M15" s="11">
        <f>[1]VISTARA!M15+[2]VISTARA!M15</f>
        <v>5.669728128</v>
      </c>
      <c r="N15" s="11">
        <f>[1]VISTARA!N15+[2]VISTARA!N15</f>
        <v>0</v>
      </c>
      <c r="O15" s="11">
        <f>[1]VISTARA!O15+[2]VISTARA!O15</f>
        <v>60.879154457999981</v>
      </c>
      <c r="P15" s="11">
        <f>[1]VISTARA!P15+[2]VISTARA!P15</f>
        <v>95.605977100000089</v>
      </c>
      <c r="Q15" s="12">
        <f t="shared" si="1"/>
        <v>63.677142689857959</v>
      </c>
    </row>
    <row r="16" spans="1:17" ht="18" customHeight="1" x14ac:dyDescent="0.25">
      <c r="A16" s="1">
        <v>44228</v>
      </c>
      <c r="B16" s="2">
        <f>[1]VISTARA!B16+[2]VISTARA!B16</f>
        <v>4500</v>
      </c>
      <c r="C16" s="2">
        <f>[1]VISTARA!C16+[2]VISTARA!C16</f>
        <v>7871.82</v>
      </c>
      <c r="D16" s="2">
        <f>[1]VISTARA!D16+[2]VISTARA!D16</f>
        <v>5302.3530000000001</v>
      </c>
      <c r="E16" s="2">
        <f>[1]VISTARA!E16+[2]VISTARA!E16</f>
        <v>555487</v>
      </c>
      <c r="F16" s="2">
        <f>[1]VISTARA!F16+[2]VISTARA!F16</f>
        <v>649.89424499999996</v>
      </c>
      <c r="G16" s="2">
        <f>[1]VISTARA!G16+[2]VISTARA!G16</f>
        <v>908.5667739999999</v>
      </c>
      <c r="H16" s="2">
        <f t="shared" si="0"/>
        <v>71.52960724491561</v>
      </c>
      <c r="I16" s="2">
        <f>[1]VISTARA!I16+[2]VISTARA!I16</f>
        <v>4151.3720000000003</v>
      </c>
      <c r="J16" s="2">
        <f>[1]VISTARA!J16+[2]VISTARA!J16</f>
        <v>0</v>
      </c>
      <c r="K16" s="2">
        <f>[1]VISTARA!K16+[2]VISTARA!K16</f>
        <v>4151.3720000000003</v>
      </c>
      <c r="L16" s="2">
        <f>[1]VISTARA!L16+[2]VISTARA!L16</f>
        <v>59.240450280000047</v>
      </c>
      <c r="M16" s="2">
        <f>[1]VISTARA!M16+[2]VISTARA!M16</f>
        <v>7.1466802420000022</v>
      </c>
      <c r="N16" s="2">
        <f>[1]VISTARA!N16+[2]VISTARA!N16</f>
        <v>0</v>
      </c>
      <c r="O16" s="2">
        <f>[1]VISTARA!O16+[2]VISTARA!O16</f>
        <v>66.387130522000049</v>
      </c>
      <c r="P16" s="2">
        <f>[1]VISTARA!P16+[2]VISTARA!P16</f>
        <v>99.05685550000004</v>
      </c>
      <c r="Q16" s="2">
        <f t="shared" si="1"/>
        <v>67.019218596132418</v>
      </c>
    </row>
    <row r="17" spans="1:17" ht="18" customHeight="1" x14ac:dyDescent="0.25">
      <c r="A17" s="1">
        <v>44256</v>
      </c>
      <c r="B17" s="11">
        <f>[1]VISTARA!B17+[2]VISTARA!B17</f>
        <v>4869</v>
      </c>
      <c r="C17" s="11">
        <f>[1]VISTARA!C17+[2]VISTARA!C17</f>
        <v>8528.31</v>
      </c>
      <c r="D17" s="11">
        <f>[1]VISTARA!D17+[2]VISTARA!D17</f>
        <v>5787.0390000000007</v>
      </c>
      <c r="E17" s="11">
        <f>[1]VISTARA!E17+[2]VISTARA!E17</f>
        <v>519443</v>
      </c>
      <c r="F17" s="11">
        <f>[1]VISTARA!F17+[2]VISTARA!F17</f>
        <v>628.82300200000009</v>
      </c>
      <c r="G17" s="11">
        <f>[1]VISTARA!G17+[2]VISTARA!G17</f>
        <v>993.84154100000001</v>
      </c>
      <c r="H17" s="12">
        <f t="shared" si="0"/>
        <v>63.271957958939865</v>
      </c>
      <c r="I17" s="11">
        <f>[1]VISTARA!I17+[2]VISTARA!I17</f>
        <v>4218.643</v>
      </c>
      <c r="J17" s="11">
        <f>[1]VISTARA!J17+[2]VISTARA!J17</f>
        <v>0</v>
      </c>
      <c r="K17" s="11">
        <f>[1]VISTARA!K17+[2]VISTARA!K17</f>
        <v>4218.643</v>
      </c>
      <c r="L17" s="11">
        <f>[1]VISTARA!L17+[2]VISTARA!L17</f>
        <v>57.543862155000035</v>
      </c>
      <c r="M17" s="11">
        <f>[1]VISTARA!M17+[2]VISTARA!M17</f>
        <v>7.9873419819999993</v>
      </c>
      <c r="N17" s="11">
        <f>[1]VISTARA!N17+[2]VISTARA!N17</f>
        <v>0</v>
      </c>
      <c r="O17" s="11">
        <f>[1]VISTARA!O17+[2]VISTARA!O17</f>
        <v>65.531204137000032</v>
      </c>
      <c r="P17" s="11">
        <f>[1]VISTARA!P17+[2]VISTARA!P17</f>
        <v>108.49323030000002</v>
      </c>
      <c r="Q17" s="12">
        <f t="shared" si="1"/>
        <v>60.401191812425935</v>
      </c>
    </row>
    <row r="18" spans="1:17" ht="18" customHeight="1" x14ac:dyDescent="0.25">
      <c r="A18" s="3" t="s">
        <v>22</v>
      </c>
      <c r="B18" s="2">
        <f>[1]VISTARA!$B18+[2]VISTARA!$B18</f>
        <v>31338</v>
      </c>
      <c r="C18" s="4">
        <f t="shared" ref="C18:G18" si="2">SUM(C6:C17)</f>
        <v>52664.99</v>
      </c>
      <c r="D18" s="4">
        <f t="shared" si="2"/>
        <v>37071.497000000003</v>
      </c>
      <c r="E18" s="4">
        <f t="shared" si="2"/>
        <v>3517052</v>
      </c>
      <c r="F18" s="4">
        <f t="shared" si="2"/>
        <v>4204.6263959999997</v>
      </c>
      <c r="G18" s="4">
        <f t="shared" si="2"/>
        <v>6391.7827040000002</v>
      </c>
      <c r="H18" s="2">
        <f>F18/G18*100</f>
        <v>65.781748077398333</v>
      </c>
      <c r="I18" s="7">
        <f t="shared" ref="I18:P18" si="3">SUM(I6:I17)</f>
        <v>35119.570500000002</v>
      </c>
      <c r="J18" s="7">
        <f t="shared" si="3"/>
        <v>0</v>
      </c>
      <c r="K18" s="7">
        <f t="shared" si="3"/>
        <v>35119.570500000002</v>
      </c>
      <c r="L18" s="5">
        <f t="shared" si="3"/>
        <v>385.19197538500009</v>
      </c>
      <c r="M18" s="5">
        <f t="shared" si="3"/>
        <v>62.868813832999997</v>
      </c>
      <c r="N18" s="5">
        <f t="shared" si="3"/>
        <v>0</v>
      </c>
      <c r="O18" s="5">
        <f t="shared" si="3"/>
        <v>448.06078921800008</v>
      </c>
      <c r="P18" s="4">
        <f t="shared" si="3"/>
        <v>683.41286800000012</v>
      </c>
      <c r="Q18" s="8">
        <f t="shared" si="1"/>
        <v>65.562240659770538</v>
      </c>
    </row>
    <row r="19" spans="1:17" ht="18" customHeight="1" x14ac:dyDescent="0.25">
      <c r="A19" s="16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  <row r="20" spans="1:17" ht="18" customHeight="1" x14ac:dyDescent="0.25">
      <c r="A20" s="13" t="s">
        <v>24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TCS Terminal 2</cp:lastModifiedBy>
  <cp:lastPrinted>2020-06-15T06:18:00Z</cp:lastPrinted>
  <dcterms:created xsi:type="dcterms:W3CDTF">2020-06-03T10:43:05Z</dcterms:created>
  <dcterms:modified xsi:type="dcterms:W3CDTF">2022-04-21T08:23:13Z</dcterms:modified>
</cp:coreProperties>
</file>