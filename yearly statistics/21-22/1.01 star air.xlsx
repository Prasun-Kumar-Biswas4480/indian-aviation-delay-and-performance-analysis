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4. STAR AIR\"/>
    </mc:Choice>
  </mc:AlternateContent>
  <bookViews>
    <workbookView xWindow="0" yWindow="0" windowWidth="11970" windowHeight="9495"/>
  </bookViews>
  <sheets>
    <sheet name="STAR AIR" sheetId="1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8" i="14" l="1"/>
  <c r="Q7" i="14" l="1"/>
  <c r="Q8" i="14"/>
  <c r="Q9" i="14"/>
  <c r="Q10" i="14"/>
  <c r="Q11" i="14"/>
  <c r="Q12" i="14"/>
  <c r="Q13" i="14"/>
  <c r="Q14" i="14"/>
  <c r="Q15" i="14"/>
  <c r="Q16" i="14"/>
  <c r="Q17" i="14"/>
  <c r="H7" i="14" l="1"/>
  <c r="H8" i="14"/>
  <c r="H9" i="14"/>
  <c r="H10" i="14"/>
  <c r="H11" i="14"/>
  <c r="H12" i="14"/>
  <c r="H13" i="14"/>
  <c r="H14" i="14"/>
  <c r="H16" i="14" l="1"/>
  <c r="H17" i="14"/>
  <c r="H15" i="14"/>
  <c r="E18" i="14" l="1"/>
  <c r="D18" i="14"/>
  <c r="B18" i="14"/>
  <c r="P18" i="14"/>
  <c r="N18" i="14"/>
  <c r="F18" i="14"/>
  <c r="M18" i="14"/>
  <c r="L18" i="14"/>
  <c r="G18" i="14"/>
  <c r="C18" i="14"/>
  <c r="H18" i="14" l="1"/>
  <c r="Q18" i="1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<sst xmlns="http://schemas.openxmlformats.org/spreadsheetml/2006/main" count="26" uniqueCount="24">
  <si>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</si>
  <si>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</si>
  <si>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</si>
  <si>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</si>
  <si>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</si>
  <si>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</si>
  <si>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</si>
  <si>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</si>
  <si>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</si>
  <si>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</si>
  <si>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</si>
  <si>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</si>
  <si>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</si>
  <si>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</si>
  <si>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</si>
  <si>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</si>
  <si>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</si>
  <si>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</si>
  <si>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</si>
  <si>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(स्टार एयर) </t>
  </si>
  <si>
    <t>Table 1.01 (STAR AIR)</t>
  </si>
  <si>
    <t>SOURCE:-  ICAO ATR FORM 'A' FURNISHED BY STAR AIR</t>
  </si>
  <si>
    <t>MONTHLY TRAFFIC AND OPERATING STATISTICS OF STAR AIR ON SCHEDULED DOMESTIC SERVICES DURING 2020-21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</si>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</sst>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G1" zoomScale="115" zoomScaleNormal="115" workbookViewId="0">
      <selection activeCell="Q29" sqref="Q29"/>
    </sheetView>
  </sheetViews>
  <sheetFormatPr defaultRowHeight="15" x14ac:dyDescent="0.25"/>
  <cols>
    <col min="2" max="4" width="5.85546875" customWidth="1"/>
    <col min="5" max="6" width="8.140625" customWidth="1"/>
    <col min="7" max="7" width="8.7109375" customWidth="1"/>
    <col min="8" max="8" width="7.85546875" customWidth="1"/>
    <col min="9" max="10" width="6" customWidth="1"/>
    <col min="11" max="11" width="6.85546875" customWidth="1"/>
    <col min="12" max="12" width="9.7109375" customWidth="1"/>
    <col min="13" max="13" width="7.140625" customWidth="1"/>
    <col min="14" max="14" width="6.42578125" customWidth="1"/>
    <col min="15" max="15" width="8.85546875" customWidth="1"/>
    <col min="16" max="16" width="9.7109375" customWidth="1"/>
    <col min="17" max="17" width="7.28515625" customWidth="1"/>
  </cols>
  <sheetData>
    <row r="1" spans="1:17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28.15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0" t="s">
        <v>3</v>
      </c>
      <c r="H4" s="1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0" t="s">
        <v>7</v>
      </c>
      <c r="Q4" s="10" t="s">
        <v>8</v>
      </c>
    </row>
    <row r="5" spans="1:17" ht="116.25" customHeight="1" x14ac:dyDescent="0.25">
      <c r="A5" s="18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1"/>
      <c r="H5" s="11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1"/>
      <c r="Q5" s="11"/>
    </row>
    <row r="6" spans="1:17" x14ac:dyDescent="0.25">
      <c r="A6" s="8">
        <v>43922</v>
      </c>
      <c r="B6" s="2"/>
      <c r="C6" s="2"/>
      <c r="D6" s="2"/>
      <c r="E6" s="2"/>
      <c r="F6" s="2"/>
      <c r="G6" s="2"/>
      <c r="H6" s="5"/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/>
      <c r="Q6" s="5"/>
    </row>
    <row r="7" spans="1:17" x14ac:dyDescent="0.25">
      <c r="A7" s="8">
        <v>43952</v>
      </c>
      <c r="B7" s="3">
        <v>22</v>
      </c>
      <c r="C7" s="3">
        <v>26</v>
      </c>
      <c r="D7" s="3">
        <v>14</v>
      </c>
      <c r="E7" s="3">
        <v>403</v>
      </c>
      <c r="F7" s="3">
        <v>0.25600000000000001</v>
      </c>
      <c r="G7" s="3">
        <v>0.68300000000000005</v>
      </c>
      <c r="H7" s="6">
        <f t="shared" ref="H7:H14" si="0">F7/G7*100</f>
        <v>37.481698389458266</v>
      </c>
      <c r="I7" s="6">
        <v>0</v>
      </c>
      <c r="J7" s="6">
        <v>0</v>
      </c>
      <c r="K7" s="6">
        <v>0</v>
      </c>
      <c r="L7" s="6">
        <v>2.3E-2</v>
      </c>
      <c r="M7" s="6">
        <v>0</v>
      </c>
      <c r="N7" s="6">
        <v>0</v>
      </c>
      <c r="O7" s="6">
        <v>2.3E-2</v>
      </c>
      <c r="P7" s="6">
        <v>0.30099999999999999</v>
      </c>
      <c r="Q7" s="6">
        <f>O7/P7*100</f>
        <v>7.6411960132890364</v>
      </c>
    </row>
    <row r="8" spans="1:17" x14ac:dyDescent="0.25">
      <c r="A8" s="8">
        <v>43983</v>
      </c>
      <c r="B8" s="2">
        <v>217</v>
      </c>
      <c r="C8" s="2">
        <v>248</v>
      </c>
      <c r="D8" s="2">
        <v>129</v>
      </c>
      <c r="E8" s="2">
        <v>5952</v>
      </c>
      <c r="F8" s="2">
        <v>3.6456999999999997</v>
      </c>
      <c r="G8" s="2">
        <v>6.4731999999999994</v>
      </c>
      <c r="H8" s="5">
        <f t="shared" si="0"/>
        <v>56.319903602545885</v>
      </c>
      <c r="I8" s="5">
        <v>0</v>
      </c>
      <c r="J8" s="5">
        <v>0</v>
      </c>
      <c r="K8" s="5">
        <v>0</v>
      </c>
      <c r="L8" s="5">
        <v>0.32800000000000001</v>
      </c>
      <c r="M8" s="5">
        <v>0</v>
      </c>
      <c r="N8" s="5">
        <v>0</v>
      </c>
      <c r="O8" s="5">
        <v>0.32800000000000001</v>
      </c>
      <c r="P8" s="5">
        <v>2.8149999999999999</v>
      </c>
      <c r="Q8" s="5">
        <f t="shared" ref="Q8:Q14" si="1">O8/P8*100</f>
        <v>11.651865008880995</v>
      </c>
    </row>
    <row r="9" spans="1:17" x14ac:dyDescent="0.25">
      <c r="A9" s="8">
        <v>44013</v>
      </c>
      <c r="B9" s="3">
        <v>216</v>
      </c>
      <c r="C9" s="3">
        <v>247</v>
      </c>
      <c r="D9" s="3">
        <v>129.875</v>
      </c>
      <c r="E9" s="3">
        <v>5651</v>
      </c>
      <c r="F9" s="3">
        <v>3.5688969999999998</v>
      </c>
      <c r="G9" s="3">
        <v>6.4937500000000004</v>
      </c>
      <c r="H9" s="6">
        <f t="shared" si="0"/>
        <v>54.958952839268512</v>
      </c>
      <c r="I9" s="6">
        <v>0</v>
      </c>
      <c r="J9" s="6">
        <v>0</v>
      </c>
      <c r="K9" s="6">
        <v>0</v>
      </c>
      <c r="L9" s="6">
        <v>0.32120100000000001</v>
      </c>
      <c r="M9" s="6">
        <v>0</v>
      </c>
      <c r="N9" s="6">
        <v>0</v>
      </c>
      <c r="O9" s="6">
        <v>0.32120100000000001</v>
      </c>
      <c r="P9" s="6">
        <v>2.8235900000000003</v>
      </c>
      <c r="Q9" s="6">
        <f t="shared" si="1"/>
        <v>11.375624648054426</v>
      </c>
    </row>
    <row r="10" spans="1:17" x14ac:dyDescent="0.25">
      <c r="A10" s="8">
        <v>44044</v>
      </c>
      <c r="B10" s="2">
        <v>230</v>
      </c>
      <c r="C10" s="2">
        <v>274</v>
      </c>
      <c r="D10" s="2">
        <v>145.08699999999999</v>
      </c>
      <c r="E10" s="2">
        <v>7339</v>
      </c>
      <c r="F10" s="2">
        <v>4.7610590000000004</v>
      </c>
      <c r="G10" s="2">
        <v>7.2543500000000005</v>
      </c>
      <c r="H10" s="5">
        <f t="shared" si="0"/>
        <v>65.630401069702998</v>
      </c>
      <c r="I10" s="5">
        <v>0</v>
      </c>
      <c r="J10" s="5">
        <v>0</v>
      </c>
      <c r="K10" s="5">
        <v>0</v>
      </c>
      <c r="L10" s="5">
        <v>0.39469799999999999</v>
      </c>
      <c r="M10" s="5">
        <v>0</v>
      </c>
      <c r="N10" s="5">
        <v>0</v>
      </c>
      <c r="O10" s="5">
        <v>0.39469799999999999</v>
      </c>
      <c r="P10" s="5">
        <v>2.8999740000000003</v>
      </c>
      <c r="Q10" s="5">
        <f t="shared" si="1"/>
        <v>13.610397886325876</v>
      </c>
    </row>
    <row r="11" spans="1:17" x14ac:dyDescent="0.25">
      <c r="A11" s="8">
        <v>44075</v>
      </c>
      <c r="B11" s="3">
        <v>240</v>
      </c>
      <c r="C11" s="3">
        <v>298</v>
      </c>
      <c r="D11" s="3">
        <v>160.56700000000001</v>
      </c>
      <c r="E11" s="3">
        <v>8463</v>
      </c>
      <c r="F11" s="3">
        <v>5.9239300000000004</v>
      </c>
      <c r="G11" s="3">
        <v>8.0283499999999997</v>
      </c>
      <c r="H11" s="6">
        <f t="shared" si="0"/>
        <v>73.787640050570801</v>
      </c>
      <c r="I11" s="6">
        <v>0</v>
      </c>
      <c r="J11" s="6">
        <v>0</v>
      </c>
      <c r="K11" s="6">
        <v>0</v>
      </c>
      <c r="L11" s="6">
        <v>0.45438000000000001</v>
      </c>
      <c r="M11" s="6">
        <v>0</v>
      </c>
      <c r="N11" s="6">
        <v>0</v>
      </c>
      <c r="O11" s="6">
        <v>0.45438000000000001</v>
      </c>
      <c r="P11" s="6">
        <v>3.030786</v>
      </c>
      <c r="Q11" s="6">
        <f t="shared" si="1"/>
        <v>14.992150551045174</v>
      </c>
    </row>
    <row r="12" spans="1:17" x14ac:dyDescent="0.25">
      <c r="A12" s="8">
        <v>44105</v>
      </c>
      <c r="B12" s="2">
        <v>246</v>
      </c>
      <c r="C12" s="2">
        <v>309</v>
      </c>
      <c r="D12" s="2">
        <v>168.70599999999999</v>
      </c>
      <c r="E12" s="2">
        <v>8804</v>
      </c>
      <c r="F12" s="2">
        <v>6.2267430000000008</v>
      </c>
      <c r="G12" s="2">
        <v>8.4352999999999998</v>
      </c>
      <c r="H12" s="5">
        <f t="shared" si="0"/>
        <v>73.817682832857173</v>
      </c>
      <c r="I12" s="5">
        <v>0</v>
      </c>
      <c r="J12" s="5">
        <v>0</v>
      </c>
      <c r="K12" s="5">
        <v>0</v>
      </c>
      <c r="L12" s="5">
        <v>0.47278799999999999</v>
      </c>
      <c r="M12" s="5">
        <v>0</v>
      </c>
      <c r="N12" s="5">
        <v>0</v>
      </c>
      <c r="O12" s="5">
        <v>0.47278799999999999</v>
      </c>
      <c r="P12" s="5">
        <v>3.1039140000000001</v>
      </c>
      <c r="Q12" s="5">
        <f t="shared" si="1"/>
        <v>15.23199418540591</v>
      </c>
    </row>
    <row r="13" spans="1:17" x14ac:dyDescent="0.25">
      <c r="A13" s="8">
        <v>44136</v>
      </c>
      <c r="B13" s="3">
        <v>294</v>
      </c>
      <c r="C13" s="3">
        <v>397</v>
      </c>
      <c r="D13" s="3">
        <v>213.78700000000001</v>
      </c>
      <c r="E13" s="3">
        <v>10653</v>
      </c>
      <c r="F13" s="3">
        <v>8.0807719999999996</v>
      </c>
      <c r="G13" s="3">
        <v>10.689350000000001</v>
      </c>
      <c r="H13" s="6">
        <f t="shared" si="0"/>
        <v>75.596476867162167</v>
      </c>
      <c r="I13" s="6">
        <v>0</v>
      </c>
      <c r="J13" s="6">
        <v>0</v>
      </c>
      <c r="K13" s="6">
        <v>0</v>
      </c>
      <c r="L13" s="6">
        <v>0.72726900000000005</v>
      </c>
      <c r="M13" s="6">
        <v>0</v>
      </c>
      <c r="N13" s="6">
        <v>0</v>
      </c>
      <c r="O13" s="6">
        <v>0.72726900000000005</v>
      </c>
      <c r="P13" s="6">
        <v>4.7033140000000007</v>
      </c>
      <c r="Q13" s="6">
        <f t="shared" si="1"/>
        <v>15.462905517258681</v>
      </c>
    </row>
    <row r="14" spans="1:17" x14ac:dyDescent="0.25">
      <c r="A14" s="8">
        <v>44166</v>
      </c>
      <c r="B14" s="2">
        <v>341</v>
      </c>
      <c r="C14" s="2">
        <v>468</v>
      </c>
      <c r="D14" s="2">
        <v>245.065</v>
      </c>
      <c r="E14" s="2">
        <v>12824</v>
      </c>
      <c r="F14" s="2">
        <v>9.3574929999999998</v>
      </c>
      <c r="G14" s="2">
        <v>12.25325</v>
      </c>
      <c r="H14" s="5">
        <f t="shared" si="0"/>
        <v>76.367437210535982</v>
      </c>
      <c r="I14" s="5">
        <v>0</v>
      </c>
      <c r="J14" s="5">
        <v>0</v>
      </c>
      <c r="K14" s="5">
        <v>0</v>
      </c>
      <c r="L14" s="5">
        <v>0.84217399999999998</v>
      </c>
      <c r="M14" s="5">
        <v>0</v>
      </c>
      <c r="N14" s="5">
        <v>0</v>
      </c>
      <c r="O14" s="5">
        <v>0.84217399999999998</v>
      </c>
      <c r="P14" s="5">
        <v>5.5254319999999995</v>
      </c>
      <c r="Q14" s="5">
        <f t="shared" si="1"/>
        <v>15.241776570592128</v>
      </c>
    </row>
    <row r="15" spans="1:17" x14ac:dyDescent="0.25">
      <c r="A15" s="8">
        <v>44197</v>
      </c>
      <c r="B15" s="3">
        <v>436</v>
      </c>
      <c r="C15" s="3">
        <v>582</v>
      </c>
      <c r="D15" s="3">
        <v>305.29700000000003</v>
      </c>
      <c r="E15" s="3">
        <v>15518</v>
      </c>
      <c r="F15" s="3">
        <v>11.175085999999999</v>
      </c>
      <c r="G15" s="3">
        <v>15.264850000000001</v>
      </c>
      <c r="H15" s="6">
        <f>F15/G15*100</f>
        <v>73.207964703223411</v>
      </c>
      <c r="I15" s="6">
        <v>0</v>
      </c>
      <c r="J15" s="6">
        <v>0</v>
      </c>
      <c r="K15" s="6">
        <v>0</v>
      </c>
      <c r="L15" s="6">
        <v>1.0057579999999999</v>
      </c>
      <c r="M15" s="6">
        <v>0</v>
      </c>
      <c r="N15" s="6">
        <v>0</v>
      </c>
      <c r="O15" s="6">
        <v>1.0057579999999999</v>
      </c>
      <c r="P15" s="6">
        <v>6.7165339999999993</v>
      </c>
      <c r="Q15" s="6">
        <f>O15/P15*100</f>
        <v>14.974360287612628</v>
      </c>
    </row>
    <row r="16" spans="1:17" x14ac:dyDescent="0.25">
      <c r="A16" s="8">
        <v>44228</v>
      </c>
      <c r="B16" s="2">
        <v>455</v>
      </c>
      <c r="C16" s="2">
        <v>599</v>
      </c>
      <c r="D16" s="2">
        <v>318.26799999999997</v>
      </c>
      <c r="E16" s="2">
        <v>17886</v>
      </c>
      <c r="F16" s="2">
        <v>12.827262000000001</v>
      </c>
      <c r="G16" s="2">
        <v>15.913399999999999</v>
      </c>
      <c r="H16" s="5">
        <f t="shared" ref="H16:H18" si="2">F16/G16*100</f>
        <v>80.606671107368641</v>
      </c>
      <c r="I16" s="5">
        <v>0</v>
      </c>
      <c r="J16" s="5">
        <v>0</v>
      </c>
      <c r="K16" s="5">
        <v>0</v>
      </c>
      <c r="L16" s="5">
        <v>1.1544539999999999</v>
      </c>
      <c r="M16" s="5">
        <v>0</v>
      </c>
      <c r="N16" s="5">
        <v>0</v>
      </c>
      <c r="O16" s="5">
        <v>1.1544539999999999</v>
      </c>
      <c r="P16" s="5">
        <v>7.0018959999999995</v>
      </c>
      <c r="Q16" s="5">
        <f t="shared" ref="Q16:Q18" si="3">O16/P16*100</f>
        <v>16.487734179427971</v>
      </c>
    </row>
    <row r="17" spans="1:17" x14ac:dyDescent="0.25">
      <c r="A17" s="8">
        <v>44256</v>
      </c>
      <c r="B17" s="3">
        <v>532</v>
      </c>
      <c r="C17" s="3">
        <v>725</v>
      </c>
      <c r="D17" s="3">
        <v>375.505</v>
      </c>
      <c r="E17" s="3">
        <v>18746</v>
      </c>
      <c r="F17" s="3">
        <v>13.926577</v>
      </c>
      <c r="G17" s="3">
        <v>18.77525</v>
      </c>
      <c r="H17" s="6">
        <f t="shared" si="2"/>
        <v>74.175188080052195</v>
      </c>
      <c r="I17" s="6">
        <v>0</v>
      </c>
      <c r="J17" s="6">
        <v>0</v>
      </c>
      <c r="K17" s="6">
        <v>0</v>
      </c>
      <c r="L17" s="6">
        <v>1.2533920000000001</v>
      </c>
      <c r="M17" s="6">
        <v>0</v>
      </c>
      <c r="N17" s="6">
        <v>0</v>
      </c>
      <c r="O17" s="6">
        <v>1.2533920000000001</v>
      </c>
      <c r="P17" s="6">
        <v>8.2611100000000004</v>
      </c>
      <c r="Q17" s="6">
        <f t="shared" si="3"/>
        <v>15.172198409172619</v>
      </c>
    </row>
    <row r="18" spans="1:17" x14ac:dyDescent="0.25">
      <c r="A18" s="1" t="s">
        <v>23</v>
      </c>
      <c r="B18" s="4">
        <f>SUM(B6:B17)</f>
        <v>3229</v>
      </c>
      <c r="C18" s="4">
        <f t="shared" ref="C18:G18" si="4">SUM(C6:C17)</f>
        <v>4173</v>
      </c>
      <c r="D18" s="4">
        <f t="shared" si="4"/>
        <v>2205.1570000000002</v>
      </c>
      <c r="E18" s="4">
        <f t="shared" si="4"/>
        <v>112239</v>
      </c>
      <c r="F18" s="4">
        <f t="shared" si="4"/>
        <v>79.749518999999992</v>
      </c>
      <c r="G18" s="4">
        <f t="shared" si="4"/>
        <v>110.26405</v>
      </c>
      <c r="H18" s="7">
        <f t="shared" si="2"/>
        <v>72.32594757765564</v>
      </c>
      <c r="I18" s="5">
        <v>0</v>
      </c>
      <c r="J18" s="5">
        <v>0</v>
      </c>
      <c r="K18" s="5">
        <v>0</v>
      </c>
      <c r="L18" s="7">
        <f t="shared" ref="L18:P18" si="5">SUM(L6:L17)</f>
        <v>6.9771140000000003</v>
      </c>
      <c r="M18" s="7">
        <f t="shared" si="5"/>
        <v>0</v>
      </c>
      <c r="N18" s="7">
        <f t="shared" si="5"/>
        <v>0</v>
      </c>
      <c r="O18" s="7">
        <f t="shared" si="5"/>
        <v>6.9771140000000003</v>
      </c>
      <c r="P18" s="7">
        <f t="shared" si="5"/>
        <v>47.182550000000006</v>
      </c>
      <c r="Q18" s="7">
        <f t="shared" si="3"/>
        <v>14.787488170944554</v>
      </c>
    </row>
    <row r="19" spans="1:17" x14ac:dyDescent="0.25">
      <c r="A19" s="12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2020-05-06T11:03:48Z</cp:lastPrinted>
  <dcterms:created xsi:type="dcterms:W3CDTF">2018-10-29T04:00:07Z</dcterms:created>
  <dcterms:modified xsi:type="dcterms:W3CDTF">2022-04-21T07:18:29Z</dcterms:modified>
</cp:coreProperties>
</file>