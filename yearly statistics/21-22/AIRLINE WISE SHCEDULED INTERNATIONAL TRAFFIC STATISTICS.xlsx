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omestic (5)\Domestic\AIRLINE WISE DOMESTIC TRAFFIC STATISTICS\"/>
    </mc:Choice>
  </mc:AlternateContent>
  <bookViews>
    <workbookView xWindow="0" yWindow="0" windowWidth="24000" windowHeight="9432"/>
  </bookViews>
  <sheets>
    <sheet name="inter indian" sheetId="1" r:id="rId1"/>
  </sheets>
  <definedNames>
    <definedName name="_xlnm.Print_Area" localSheetId="0">'inter indian'!$A$1:$Q$12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C10" i="1"/>
  <c r="D10" i="1"/>
  <c r="E10" i="1"/>
  <c r="F10" i="1"/>
  <c r="G10" i="1"/>
  <c r="I10" i="1"/>
  <c r="J10" i="1"/>
  <c r="K10" i="1"/>
  <c r="L10" i="1"/>
  <c r="M10" i="1"/>
  <c r="N10" i="1"/>
  <c r="O10" i="1"/>
  <c r="P10" i="1"/>
  <c r="Q10" i="1" l="1"/>
  <c r="H10" i="1"/>
</calcChain>
</file>

<file path=xl/sharedStrings.xml><?xml version="1.0" encoding="utf-8"?>
<sst xmlns="http://schemas.openxmlformats.org/spreadsheetml/2006/main" count="31" uniqueCount="29">
  <si>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</si>
  <si>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</si>
  <si>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</si>
  <si>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</si>
  <si>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</si>
  <si>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</si>
  <si>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</si>
  <si>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</si>
  <si>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</si>
  <si>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</si>
  <si>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</si>
  <si>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</si>
  <si>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</si>
  <si>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</si>
  <si>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</si>
  <si>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</si>
  <si>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</si>
  <si>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</si>
  <si>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AIRLINE</t>
  </si>
  <si>
    <t>GO AIR</t>
  </si>
  <si>
    <t>INDIGO</t>
  </si>
  <si>
    <t>SPICEJET</t>
  </si>
  <si>
    <t>YEAR TOTAL</t>
  </si>
  <si>
    <t>Table 1.02 ( SCHEDULED INDIAN AIRLINES)</t>
  </si>
  <si>
    <t xml:space="preserve">तालिका  1.02 ( अनुसूचित भारतीय एयरलाइन्स) </t>
  </si>
  <si>
    <t>VISTARA</t>
  </si>
  <si>
    <t xml:space="preserve">SOURCE:-  ICAO ATR FORM 'A' FURNISHED BY ALL SCHEDULED INDIAN AIRLINES </t>
  </si>
  <si>
    <t>THE INTERNATIONAL OPERATIONS BY SCHEDULED INDIAN OPERATORS WERE CARRIED AS PER DGCA’S CIRCULAR DATED 26.03.2020 UNDER COVID-19 RESTRICTION.</t>
  </si>
  <si>
    <t>AIRLINE-WISE TRAFFIC AND OPERATING STATISTICS OF SCHEDULED INDIAN AIRLINES ON SCHEDULED INTERNATIONAL SERVICES DURING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</si>
</sst>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31">
    <xf numFmtId="0" fontId="0" fillId="0" borderId="0" xfId="0"/>
    <xf numFmtId="0" fontId="0" fillId="0" borderId="0" xfId="0" applyFont="1"/>
    <xf numFmtId="165" fontId="2" fillId="4" borderId="1" xfId="3" applyNumberFormat="1" applyBorder="1" applyAlignment="1">
      <alignment horizontal="right" vertical="center"/>
    </xf>
    <xf numFmtId="0" fontId="4" fillId="3" borderId="1" xfId="2" applyFont="1" applyBorder="1" applyAlignment="1" applyProtection="1">
      <alignment horizontal="center" vertical="center" textRotation="90" wrapText="1"/>
    </xf>
    <xf numFmtId="0" fontId="2" fillId="0" borderId="1" xfId="3" applyFill="1" applyBorder="1" applyAlignment="1">
      <alignment horizontal="center" vertical="center"/>
    </xf>
    <xf numFmtId="164" fontId="2" fillId="0" borderId="1" xfId="3" applyNumberFormat="1" applyFill="1" applyBorder="1" applyAlignment="1">
      <alignment vertical="center"/>
    </xf>
    <xf numFmtId="165" fontId="2" fillId="0" borderId="1" xfId="3" applyNumberFormat="1" applyFill="1" applyBorder="1" applyAlignment="1">
      <alignment horizontal="right" vertical="center"/>
    </xf>
    <xf numFmtId="0" fontId="0" fillId="0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horizontal="right" vertical="center"/>
    </xf>
    <xf numFmtId="0" fontId="5" fillId="4" borderId="1" xfId="3" applyFont="1" applyBorder="1" applyAlignment="1">
      <alignment horizontal="center" vertical="center"/>
    </xf>
    <xf numFmtId="164" fontId="5" fillId="4" borderId="1" xfId="3" applyNumberFormat="1" applyFont="1" applyBorder="1" applyAlignment="1">
      <alignment vertical="center"/>
    </xf>
    <xf numFmtId="165" fontId="5" fillId="4" borderId="1" xfId="3" applyNumberFormat="1" applyFont="1" applyBorder="1" applyAlignment="1">
      <alignment horizontal="right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3" borderId="5" xfId="2" applyFont="1" applyBorder="1" applyAlignment="1" applyProtection="1">
      <alignment horizontal="center" vertical="center" textRotation="90" wrapText="1"/>
    </xf>
    <xf numFmtId="0" fontId="4" fillId="3" borderId="6" xfId="2" applyFont="1" applyBorder="1" applyAlignment="1" applyProtection="1">
      <alignment horizontal="center" vertical="center" textRotation="90" wrapText="1"/>
    </xf>
    <xf numFmtId="0" fontId="4" fillId="4" borderId="2" xfId="3" applyFont="1" applyBorder="1" applyAlignment="1">
      <alignment horizontal="center" vertical="center" wrapText="1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2" xfId="3" quotePrefix="1" applyFont="1" applyBorder="1" applyAlignment="1" applyProtection="1">
      <alignment horizontal="center" vertical="center" wrapText="1"/>
    </xf>
    <xf numFmtId="0" fontId="4" fillId="4" borderId="3" xfId="3" quotePrefix="1" applyFont="1" applyBorder="1" applyAlignment="1" applyProtection="1">
      <alignment horizontal="center" vertical="center" wrapText="1"/>
    </xf>
    <xf numFmtId="0" fontId="4" fillId="4" borderId="4" xfId="3" quotePrefix="1" applyFont="1" applyBorder="1" applyAlignment="1" applyProtection="1">
      <alignment horizontal="center" vertical="center" wrapText="1"/>
    </xf>
    <xf numFmtId="0" fontId="4" fillId="3" borderId="2" xfId="2" applyFont="1" applyBorder="1" applyAlignment="1" applyProtection="1">
      <alignment horizontal="center" vertical="center" wrapText="1"/>
    </xf>
    <xf numFmtId="0" fontId="4" fillId="3" borderId="3" xfId="2" applyFont="1" applyBorder="1" applyAlignment="1" applyProtection="1">
      <alignment horizontal="center" vertical="center" wrapText="1"/>
    </xf>
    <xf numFmtId="0" fontId="4" fillId="3" borderId="4" xfId="2" applyFont="1" applyBorder="1" applyAlignment="1" applyProtection="1">
      <alignment horizontal="center" vertical="center" wrapText="1"/>
    </xf>
    <xf numFmtId="0" fontId="4" fillId="3" borderId="5" xfId="2" applyFont="1" applyBorder="1" applyAlignment="1" applyProtection="1">
      <alignment horizontal="center" vertical="center" wrapText="1"/>
    </xf>
    <xf numFmtId="0" fontId="4" fillId="3" borderId="6" xfId="2" applyFont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left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12"/>
  <sheetViews>
    <sheetView tabSelected="1" zoomScale="95" zoomScaleNormal="95" zoomScaleSheetLayoutView="100" workbookViewId="0">
      <selection activeCell="A4" sqref="A4:A5"/>
    </sheetView>
  </sheetViews>
  <sheetFormatPr defaultColWidth="9.109375" defaultRowHeight="14.4" x14ac:dyDescent="0.3"/>
  <cols>
    <col min="1" max="1" width="16.6640625" style="1" customWidth="1"/>
    <col min="2" max="3" width="9.5546875" style="1" customWidth="1"/>
    <col min="4" max="4" width="9.6640625" style="1" customWidth="1"/>
    <col min="5" max="5" width="12.6640625" style="1" customWidth="1"/>
    <col min="6" max="6" width="14.44140625" style="1" customWidth="1"/>
    <col min="7" max="7" width="12.5546875" style="1" customWidth="1"/>
    <col min="8" max="8" width="8" style="1" customWidth="1"/>
    <col min="9" max="9" width="11.44140625" style="1" customWidth="1"/>
    <col min="10" max="10" width="8.44140625" style="1" bestFit="1" customWidth="1"/>
    <col min="11" max="11" width="12" style="1" customWidth="1"/>
    <col min="12" max="12" width="12.6640625" style="1" customWidth="1"/>
    <col min="13" max="13" width="11.6640625" style="1" customWidth="1"/>
    <col min="14" max="14" width="8.5546875" style="1" customWidth="1"/>
    <col min="15" max="15" width="12.6640625" style="1" customWidth="1"/>
    <col min="16" max="16" width="12.88671875" style="1" customWidth="1"/>
    <col min="17" max="17" width="6.33203125" style="1" customWidth="1"/>
    <col min="18" max="16384" width="9.109375" style="7"/>
  </cols>
  <sheetData>
    <row r="1" spans="1:17" ht="18.75" customHeight="1" x14ac:dyDescent="0.3">
      <c r="A1" s="19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8.75" customHeight="1" x14ac:dyDescent="0.3">
      <c r="A2" s="22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17" ht="18.75" customHeight="1" x14ac:dyDescent="0.3">
      <c r="A3" s="25" t="s">
        <v>28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</row>
    <row r="4" spans="1:17" ht="21" customHeight="1" x14ac:dyDescent="0.3">
      <c r="A4" s="28" t="s">
        <v>18</v>
      </c>
      <c r="B4" s="25" t="s">
        <v>0</v>
      </c>
      <c r="C4" s="26"/>
      <c r="D4" s="27"/>
      <c r="E4" s="25" t="s">
        <v>1</v>
      </c>
      <c r="F4" s="27"/>
      <c r="G4" s="17" t="s">
        <v>2</v>
      </c>
      <c r="H4" s="17" t="s">
        <v>3</v>
      </c>
      <c r="I4" s="25" t="s">
        <v>4</v>
      </c>
      <c r="J4" s="26"/>
      <c r="K4" s="27"/>
      <c r="L4" s="25" t="s">
        <v>5</v>
      </c>
      <c r="M4" s="26"/>
      <c r="N4" s="26"/>
      <c r="O4" s="27"/>
      <c r="P4" s="17" t="s">
        <v>6</v>
      </c>
      <c r="Q4" s="17" t="s">
        <v>7</v>
      </c>
    </row>
    <row r="5" spans="1:17" ht="139.5" customHeight="1" x14ac:dyDescent="0.3">
      <c r="A5" s="29"/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18"/>
      <c r="H5" s="18"/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14</v>
      </c>
      <c r="O5" s="3" t="s">
        <v>15</v>
      </c>
      <c r="P5" s="18"/>
      <c r="Q5" s="18"/>
    </row>
    <row r="6" spans="1:17" ht="30" customHeight="1" x14ac:dyDescent="0.3">
      <c r="A6" s="8" t="s">
        <v>19</v>
      </c>
      <c r="B6" s="9">
        <v>74</v>
      </c>
      <c r="C6" s="9">
        <v>255</v>
      </c>
      <c r="D6" s="9">
        <v>165.80400000000006</v>
      </c>
      <c r="E6" s="9">
        <v>10754</v>
      </c>
      <c r="F6" s="9">
        <v>24.402325999999999</v>
      </c>
      <c r="G6" s="9">
        <v>30.839544000000004</v>
      </c>
      <c r="H6" s="2">
        <v>79.126740654790467</v>
      </c>
      <c r="I6" s="10">
        <v>186.34408000000002</v>
      </c>
      <c r="J6" s="10"/>
      <c r="K6" s="10">
        <v>186.34408000000002</v>
      </c>
      <c r="L6" s="10">
        <v>2.1962093399999998</v>
      </c>
      <c r="M6" s="10">
        <v>0.29576473309999995</v>
      </c>
      <c r="N6" s="10">
        <v>0</v>
      </c>
      <c r="O6" s="10">
        <v>2.4919740730999997</v>
      </c>
      <c r="P6" s="10">
        <v>3.1419858000000001</v>
      </c>
      <c r="Q6" s="2">
        <v>79.312073055836208</v>
      </c>
    </row>
    <row r="7" spans="1:17" ht="30" customHeight="1" x14ac:dyDescent="0.3">
      <c r="A7" s="4" t="s">
        <v>20</v>
      </c>
      <c r="B7" s="5">
        <v>510</v>
      </c>
      <c r="C7" s="5">
        <v>1981.14</v>
      </c>
      <c r="D7" s="5">
        <v>1218.6969999999999</v>
      </c>
      <c r="E7" s="5">
        <v>76830</v>
      </c>
      <c r="F7" s="5">
        <v>187.078</v>
      </c>
      <c r="G7" s="5">
        <v>226.34899999999999</v>
      </c>
      <c r="H7" s="6">
        <v>82.650243650292254</v>
      </c>
      <c r="I7" s="6">
        <v>486.505</v>
      </c>
      <c r="J7" s="6"/>
      <c r="K7" s="6">
        <v>486.505</v>
      </c>
      <c r="L7" s="6">
        <v>16.836795990000002</v>
      </c>
      <c r="M7" s="6">
        <v>1.1455166670000001</v>
      </c>
      <c r="N7" s="6">
        <v>0</v>
      </c>
      <c r="O7" s="6">
        <v>17.982312657000001</v>
      </c>
      <c r="P7" s="6">
        <v>26.049918126999998</v>
      </c>
      <c r="Q7" s="6">
        <v>69.030207962004482</v>
      </c>
    </row>
    <row r="8" spans="1:17" ht="30" customHeight="1" x14ac:dyDescent="0.3">
      <c r="A8" s="8" t="s">
        <v>21</v>
      </c>
      <c r="B8" s="9">
        <v>102</v>
      </c>
      <c r="C8" s="9">
        <v>280.78333333333336</v>
      </c>
      <c r="D8" s="9">
        <v>207.13800000000001</v>
      </c>
      <c r="E8" s="9">
        <v>16917</v>
      </c>
      <c r="F8" s="9">
        <v>34.446913000000002</v>
      </c>
      <c r="G8" s="9">
        <v>39.113658000000001</v>
      </c>
      <c r="H8" s="2">
        <v>88.068758488403205</v>
      </c>
      <c r="I8" s="10">
        <v>47.763410000000022</v>
      </c>
      <c r="J8" s="10"/>
      <c r="K8" s="10">
        <v>47.763410000000022</v>
      </c>
      <c r="L8" s="10">
        <v>2.5835184749999955</v>
      </c>
      <c r="M8" s="10">
        <v>9.121507349000009E-2</v>
      </c>
      <c r="N8" s="10">
        <v>0</v>
      </c>
      <c r="O8" s="10">
        <v>2.6747335484899959</v>
      </c>
      <c r="P8" s="10">
        <v>3.7916840000000001</v>
      </c>
      <c r="Q8" s="2">
        <v>70.542100778704025</v>
      </c>
    </row>
    <row r="9" spans="1:17" ht="30" customHeight="1" x14ac:dyDescent="0.3">
      <c r="A9" s="4" t="s">
        <v>25</v>
      </c>
      <c r="B9" s="5">
        <v>70</v>
      </c>
      <c r="C9" s="5">
        <v>267.31</v>
      </c>
      <c r="D9" s="5">
        <v>224.928</v>
      </c>
      <c r="E9" s="5">
        <v>9870</v>
      </c>
      <c r="F9" s="5">
        <v>40.337716999999998</v>
      </c>
      <c r="G9" s="5">
        <v>52.811982</v>
      </c>
      <c r="H9" s="6">
        <v>76.379858267769606</v>
      </c>
      <c r="I9" s="6">
        <v>199.01300000000001</v>
      </c>
      <c r="J9" s="6"/>
      <c r="K9" s="6">
        <v>199.01300000000001</v>
      </c>
      <c r="L9" s="6">
        <v>4.2354602850000003</v>
      </c>
      <c r="M9" s="6">
        <v>1.2282965969999999</v>
      </c>
      <c r="N9" s="6">
        <v>0</v>
      </c>
      <c r="O9" s="6">
        <v>5.4637568819999993</v>
      </c>
      <c r="P9" s="6">
        <v>8.0487251999999998</v>
      </c>
      <c r="Q9" s="6">
        <v>67.883506347067225</v>
      </c>
    </row>
    <row r="10" spans="1:17" ht="30" customHeight="1" x14ac:dyDescent="0.3">
      <c r="A10" s="11" t="s">
        <v>22</v>
      </c>
      <c r="B10" s="12">
        <f t="shared" ref="B10:G10" si="0">SUM(B6:B9)</f>
        <v>756</v>
      </c>
      <c r="C10" s="12">
        <f t="shared" si="0"/>
        <v>2784.2333333333336</v>
      </c>
      <c r="D10" s="12">
        <f t="shared" si="0"/>
        <v>1816.567</v>
      </c>
      <c r="E10" s="12">
        <f t="shared" si="0"/>
        <v>114371</v>
      </c>
      <c r="F10" s="12">
        <f t="shared" si="0"/>
        <v>286.26495599999998</v>
      </c>
      <c r="G10" s="12">
        <f t="shared" si="0"/>
        <v>349.11418399999997</v>
      </c>
      <c r="H10" s="13">
        <f t="shared" ref="H10" si="1">F10/G10*100</f>
        <v>81.997515174003937</v>
      </c>
      <c r="I10" s="13">
        <f t="shared" ref="I10:P10" si="2">SUM(I6:I9)</f>
        <v>919.62549000000001</v>
      </c>
      <c r="J10" s="13">
        <f t="shared" si="2"/>
        <v>0</v>
      </c>
      <c r="K10" s="13">
        <f t="shared" si="2"/>
        <v>919.62549000000001</v>
      </c>
      <c r="L10" s="13">
        <f t="shared" si="2"/>
        <v>25.851984089999995</v>
      </c>
      <c r="M10" s="13">
        <f t="shared" si="2"/>
        <v>2.7607930705900001</v>
      </c>
      <c r="N10" s="13">
        <f t="shared" si="2"/>
        <v>0</v>
      </c>
      <c r="O10" s="13">
        <f t="shared" si="2"/>
        <v>28.612777160589996</v>
      </c>
      <c r="P10" s="13">
        <f t="shared" si="2"/>
        <v>41.032313127000002</v>
      </c>
      <c r="Q10" s="13">
        <f t="shared" ref="Q10" si="3">O10/P10*100</f>
        <v>69.732303592122562</v>
      </c>
    </row>
    <row r="11" spans="1:17" ht="16.5" customHeight="1" x14ac:dyDescent="0.3">
      <c r="A11" s="30" t="s">
        <v>27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7" ht="19.5" customHeight="1" x14ac:dyDescent="0.3">
      <c r="A12" s="14" t="s">
        <v>26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/>
    </row>
  </sheetData>
  <mergeCells count="14">
    <mergeCell ref="A12:Q12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11:Q11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2021-08-23T21:02:12Z</cp:lastPrinted>
  <dcterms:created xsi:type="dcterms:W3CDTF">2018-10-29T04:00:07Z</dcterms:created>
  <dcterms:modified xsi:type="dcterms:W3CDTF">2022-11-25T12:21:57Z</dcterms:modified>
</cp:coreProperties>
</file>