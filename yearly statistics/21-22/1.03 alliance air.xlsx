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5. 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<sst xmlns="http://schemas.openxmlformats.org/spreadsheetml/2006/main" count="27" uniqueCount="25">
  <si>
    <t xml:space="preserve">तालिका 1.03 (एलाइंस एयर) </t>
  </si>
  <si>
    <t>Table 1.03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</si>
  <si>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</si>
  <si>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</si>
  <si>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</si>
  <si>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</si>
  <si>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</si>
  <si>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</si>
  <si>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</si>
  <si>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</si>
  <si>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</si>
  <si>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</si>
  <si>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</si>
  <si>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</si>
  <si>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</si>
  <si>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</si>
  <si>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</si>
  <si>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</si>
  <si>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</si>
  <si>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</si>
  <si>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</si>
  <si>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</si>
  <si>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2020-21</t>
  </si>
  <si>
    <t>MONTHLY TRAFFIC AND OPERATING STATISTICS OF ALLIANCE AIR ON SCHEDULED (DOMESTIC + INTERNATIONAL*)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</si>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</sst>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  <numFmt numFmtId="168" formatCode="B1mmmm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7" fontId="1" fillId="3" borderId="1" xfId="3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right" vertical="center" wrapText="1"/>
    </xf>
    <xf numFmtId="4" fontId="2" fillId="3" borderId="1" xfId="3" applyNumberFormat="1" applyFont="1" applyBorder="1" applyAlignment="1" applyProtection="1">
      <alignment horizontal="right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5" borderId="1" xfId="3" applyNumberFormat="1" applyFill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zoomScale="60" zoomScaleNormal="98" workbookViewId="0">
      <selection activeCell="A20" sqref="A20:Q20"/>
    </sheetView>
  </sheetViews>
  <sheetFormatPr defaultRowHeight="18.600000000000001" customHeight="1" x14ac:dyDescent="0.25"/>
  <cols>
    <col min="1" max="1" width="15.28515625" customWidth="1"/>
    <col min="2" max="4" width="8.42578125" customWidth="1"/>
    <col min="5" max="5" width="11.7109375" customWidth="1"/>
    <col min="6" max="17" width="8.140625" customWidth="1"/>
  </cols>
  <sheetData>
    <row r="1" spans="1:17" ht="18.600000000000001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600000000000001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600000000000001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8.600000000000001" customHeight="1" x14ac:dyDescent="0.25">
      <c r="A4" s="21" t="s">
        <v>2</v>
      </c>
      <c r="B4" s="21" t="s">
        <v>3</v>
      </c>
      <c r="C4" s="21"/>
      <c r="D4" s="21"/>
      <c r="E4" s="21" t="s">
        <v>4</v>
      </c>
      <c r="F4" s="22"/>
      <c r="G4" s="15" t="s">
        <v>5</v>
      </c>
      <c r="H4" s="15" t="s">
        <v>6</v>
      </c>
      <c r="I4" s="21" t="s">
        <v>7</v>
      </c>
      <c r="J4" s="21"/>
      <c r="K4" s="21"/>
      <c r="L4" s="21" t="s">
        <v>8</v>
      </c>
      <c r="M4" s="21"/>
      <c r="N4" s="21"/>
      <c r="O4" s="21"/>
      <c r="P4" s="15" t="s">
        <v>9</v>
      </c>
      <c r="Q4" s="15" t="s">
        <v>10</v>
      </c>
    </row>
    <row r="5" spans="1:17" ht="100.9" customHeight="1" x14ac:dyDescent="0.25">
      <c r="A5" s="21"/>
      <c r="B5" s="13" t="s">
        <v>11</v>
      </c>
      <c r="C5" s="13" t="s">
        <v>12</v>
      </c>
      <c r="D5" s="13" t="s">
        <v>13</v>
      </c>
      <c r="E5" s="13" t="s">
        <v>14</v>
      </c>
      <c r="F5" s="13" t="s">
        <v>15</v>
      </c>
      <c r="G5" s="16"/>
      <c r="H5" s="16"/>
      <c r="I5" s="13" t="s">
        <v>16</v>
      </c>
      <c r="J5" s="13" t="s">
        <v>17</v>
      </c>
      <c r="K5" s="13" t="s">
        <v>18</v>
      </c>
      <c r="L5" s="13" t="s">
        <v>19</v>
      </c>
      <c r="M5" s="13" t="s">
        <v>20</v>
      </c>
      <c r="N5" s="13" t="s">
        <v>17</v>
      </c>
      <c r="O5" s="13" t="s">
        <v>18</v>
      </c>
      <c r="P5" s="16"/>
      <c r="Q5" s="16"/>
    </row>
    <row r="6" spans="1:17" ht="18.600000000000001" customHeight="1" x14ac:dyDescent="0.25">
      <c r="A6" s="23">
        <v>43922</v>
      </c>
      <c r="B6" s="8"/>
      <c r="C6" s="8"/>
      <c r="D6" s="8"/>
      <c r="E6" s="8"/>
      <c r="F6" s="1">
        <v>0</v>
      </c>
      <c r="G6" s="1">
        <v>0</v>
      </c>
      <c r="H6" s="1"/>
      <c r="I6" s="1"/>
      <c r="J6" s="1"/>
      <c r="K6" s="1">
        <v>0</v>
      </c>
      <c r="L6" s="1">
        <v>0</v>
      </c>
      <c r="M6" s="6">
        <v>0</v>
      </c>
      <c r="N6" s="1">
        <v>0</v>
      </c>
      <c r="O6" s="1">
        <v>0</v>
      </c>
      <c r="P6" s="1">
        <v>0</v>
      </c>
      <c r="Q6" s="1"/>
    </row>
    <row r="7" spans="1:17" ht="18.600000000000001" customHeight="1" x14ac:dyDescent="0.25">
      <c r="A7" s="24">
        <v>43952</v>
      </c>
      <c r="B7" s="9">
        <v>212</v>
      </c>
      <c r="C7" s="9">
        <v>281</v>
      </c>
      <c r="D7" s="9">
        <v>86</v>
      </c>
      <c r="E7" s="9">
        <v>3772</v>
      </c>
      <c r="F7" s="2">
        <v>1.548</v>
      </c>
      <c r="G7" s="2">
        <v>6.6760000000000002</v>
      </c>
      <c r="H7" s="2">
        <f t="shared" ref="H7:H17" si="0">F7/G7*100</f>
        <v>23.187537447573398</v>
      </c>
      <c r="I7" s="2">
        <v>85</v>
      </c>
      <c r="J7" s="2"/>
      <c r="K7" s="2">
        <v>85</v>
      </c>
      <c r="L7" s="2">
        <v>0.1406</v>
      </c>
      <c r="M7" s="7">
        <v>0</v>
      </c>
      <c r="N7" s="2">
        <v>0</v>
      </c>
      <c r="O7" s="2">
        <v>0.1406</v>
      </c>
      <c r="P7" s="2">
        <v>0.50290000000000001</v>
      </c>
      <c r="Q7" s="2">
        <f t="shared" ref="Q7:Q17" si="1">O7/P7*100</f>
        <v>27.957844501889046</v>
      </c>
    </row>
    <row r="8" spans="1:17" ht="18.600000000000001" customHeight="1" x14ac:dyDescent="0.25">
      <c r="A8" s="23">
        <v>43983</v>
      </c>
      <c r="B8" s="8">
        <v>1422</v>
      </c>
      <c r="C8" s="8">
        <v>2200</v>
      </c>
      <c r="D8" s="8">
        <v>752</v>
      </c>
      <c r="E8" s="8">
        <v>36092</v>
      </c>
      <c r="F8" s="1">
        <v>14.295</v>
      </c>
      <c r="G8" s="1">
        <v>42.942</v>
      </c>
      <c r="H8" s="1">
        <f t="shared" si="0"/>
        <v>33.289087606539056</v>
      </c>
      <c r="I8" s="1">
        <v>8</v>
      </c>
      <c r="J8" s="1"/>
      <c r="K8" s="1">
        <v>8</v>
      </c>
      <c r="L8" s="1">
        <v>1.3009999999999999</v>
      </c>
      <c r="M8" s="6">
        <v>4.0000000000000001E-3</v>
      </c>
      <c r="N8" s="1">
        <v>0</v>
      </c>
      <c r="O8" s="1">
        <v>1.3049999999999999</v>
      </c>
      <c r="P8" s="1">
        <v>3.968</v>
      </c>
      <c r="Q8" s="1">
        <f t="shared" si="1"/>
        <v>32.888104838709673</v>
      </c>
    </row>
    <row r="9" spans="1:17" ht="18.600000000000001" customHeight="1" x14ac:dyDescent="0.25">
      <c r="A9" s="24">
        <v>44013</v>
      </c>
      <c r="B9" s="9">
        <v>1540</v>
      </c>
      <c r="C9" s="9">
        <v>2504</v>
      </c>
      <c r="D9" s="9">
        <v>917</v>
      </c>
      <c r="E9" s="9">
        <v>41967</v>
      </c>
      <c r="F9" s="2">
        <v>16.366</v>
      </c>
      <c r="G9" s="2">
        <v>48.616</v>
      </c>
      <c r="H9" s="2">
        <f t="shared" si="0"/>
        <v>33.663814382096433</v>
      </c>
      <c r="I9" s="2">
        <v>23.6</v>
      </c>
      <c r="J9" s="2"/>
      <c r="K9" s="2">
        <v>23.6</v>
      </c>
      <c r="L9" s="2">
        <v>1.486</v>
      </c>
      <c r="M9" s="7">
        <v>8.9999999999999993E-3</v>
      </c>
      <c r="N9" s="2">
        <v>0</v>
      </c>
      <c r="O9" s="2">
        <v>1.4950000000000001</v>
      </c>
      <c r="P9" s="2">
        <v>4.4969999999999999</v>
      </c>
      <c r="Q9" s="2">
        <f t="shared" si="1"/>
        <v>33.244385145652657</v>
      </c>
    </row>
    <row r="10" spans="1:17" ht="18.600000000000001" customHeight="1" x14ac:dyDescent="0.25">
      <c r="A10" s="23">
        <v>44044</v>
      </c>
      <c r="B10" s="8">
        <v>1229</v>
      </c>
      <c r="C10" s="8">
        <v>2371</v>
      </c>
      <c r="D10" s="8">
        <v>1011</v>
      </c>
      <c r="E10" s="8">
        <v>45544</v>
      </c>
      <c r="F10" s="1">
        <v>18.672999999999998</v>
      </c>
      <c r="G10" s="1">
        <v>44.933</v>
      </c>
      <c r="H10" s="1">
        <f t="shared" si="0"/>
        <v>41.557429951260758</v>
      </c>
      <c r="I10" s="1">
        <v>32.5</v>
      </c>
      <c r="J10" s="1"/>
      <c r="K10" s="1">
        <v>32.5</v>
      </c>
      <c r="L10" s="1">
        <v>1.6990000000000001</v>
      </c>
      <c r="M10" s="6">
        <v>1.4E-2</v>
      </c>
      <c r="N10" s="1">
        <v>0</v>
      </c>
      <c r="O10" s="1">
        <v>1.7130000000000001</v>
      </c>
      <c r="P10" s="1">
        <v>4.1680000000000001</v>
      </c>
      <c r="Q10" s="1">
        <f t="shared" si="1"/>
        <v>41.09884836852207</v>
      </c>
    </row>
    <row r="11" spans="1:17" ht="18.600000000000001" customHeight="1" x14ac:dyDescent="0.25">
      <c r="A11" s="24">
        <v>44075</v>
      </c>
      <c r="B11" s="9">
        <v>1260</v>
      </c>
      <c r="C11" s="9">
        <v>2548</v>
      </c>
      <c r="D11" s="9">
        <v>1146</v>
      </c>
      <c r="E11" s="9">
        <v>49709</v>
      </c>
      <c r="F11" s="2">
        <v>20.3</v>
      </c>
      <c r="G11" s="2">
        <v>48.594000000000001</v>
      </c>
      <c r="H11" s="2">
        <f t="shared" si="0"/>
        <v>41.774704696053014</v>
      </c>
      <c r="I11" s="2">
        <v>36.200000000000003</v>
      </c>
      <c r="J11" s="2"/>
      <c r="K11" s="2">
        <v>36.200000000000003</v>
      </c>
      <c r="L11" s="2">
        <v>1.847</v>
      </c>
      <c r="M11" s="7">
        <v>1.7999999999999999E-2</v>
      </c>
      <c r="N11" s="2">
        <v>0</v>
      </c>
      <c r="O11" s="2">
        <v>1.865</v>
      </c>
      <c r="P11" s="2">
        <v>4.5090000000000003</v>
      </c>
      <c r="Q11" s="2">
        <f t="shared" si="1"/>
        <v>41.361721002439559</v>
      </c>
    </row>
    <row r="12" spans="1:17" ht="18.600000000000001" customHeight="1" x14ac:dyDescent="0.25">
      <c r="A12" s="23">
        <v>44105</v>
      </c>
      <c r="B12" s="8">
        <v>1386</v>
      </c>
      <c r="C12" s="8">
        <v>2874</v>
      </c>
      <c r="D12" s="8">
        <v>1339</v>
      </c>
      <c r="E12" s="8">
        <v>63236</v>
      </c>
      <c r="F12" s="1">
        <v>25.317</v>
      </c>
      <c r="G12" s="1">
        <v>54.387999999999998</v>
      </c>
      <c r="H12" s="1">
        <f t="shared" si="0"/>
        <v>46.548871074501733</v>
      </c>
      <c r="I12" s="1">
        <v>37.1</v>
      </c>
      <c r="J12" s="1"/>
      <c r="K12" s="1">
        <v>37.1</v>
      </c>
      <c r="L12" s="1">
        <v>2.3039999999999998</v>
      </c>
      <c r="M12" s="6">
        <v>1.9E-2</v>
      </c>
      <c r="N12" s="1">
        <v>0</v>
      </c>
      <c r="O12" s="1">
        <v>2.323</v>
      </c>
      <c r="P12" s="1">
        <v>5.0439999999999996</v>
      </c>
      <c r="Q12" s="1">
        <f t="shared" si="1"/>
        <v>46.054718477398893</v>
      </c>
    </row>
    <row r="13" spans="1:17" ht="18.600000000000001" customHeight="1" x14ac:dyDescent="0.25">
      <c r="A13" s="24">
        <v>44136</v>
      </c>
      <c r="B13" s="9">
        <v>1600</v>
      </c>
      <c r="C13" s="9">
        <v>3096</v>
      </c>
      <c r="D13" s="9">
        <v>1359</v>
      </c>
      <c r="E13" s="9">
        <v>82656</v>
      </c>
      <c r="F13" s="2">
        <v>33.734999999999999</v>
      </c>
      <c r="G13" s="2">
        <v>59.069000000000003</v>
      </c>
      <c r="H13" s="2">
        <f t="shared" si="0"/>
        <v>57.111175066447707</v>
      </c>
      <c r="I13" s="2">
        <v>46.968000000000004</v>
      </c>
      <c r="J13" s="2"/>
      <c r="K13" s="2">
        <v>46.968000000000004</v>
      </c>
      <c r="L13" s="2">
        <v>3.07</v>
      </c>
      <c r="M13" s="7">
        <v>1.4E-2</v>
      </c>
      <c r="N13" s="2">
        <v>0</v>
      </c>
      <c r="O13" s="2">
        <v>3.0840000000000001</v>
      </c>
      <c r="P13" s="2">
        <v>5.4720000000000004</v>
      </c>
      <c r="Q13" s="2">
        <f t="shared" si="1"/>
        <v>56.359649122807006</v>
      </c>
    </row>
    <row r="14" spans="1:17" ht="18.600000000000001" customHeight="1" x14ac:dyDescent="0.25">
      <c r="A14" s="23">
        <v>44166</v>
      </c>
      <c r="B14" s="8">
        <v>1787</v>
      </c>
      <c r="C14" s="8">
        <v>3482</v>
      </c>
      <c r="D14" s="8">
        <v>1474</v>
      </c>
      <c r="E14" s="8">
        <v>99226</v>
      </c>
      <c r="F14" s="1">
        <v>40.329000000000001</v>
      </c>
      <c r="G14" s="1">
        <v>64.981999999999999</v>
      </c>
      <c r="H14" s="1">
        <f t="shared" si="0"/>
        <v>62.061801729709764</v>
      </c>
      <c r="I14" s="1">
        <v>25</v>
      </c>
      <c r="J14" s="1"/>
      <c r="K14" s="1">
        <v>25</v>
      </c>
      <c r="L14" s="1">
        <v>3.67</v>
      </c>
      <c r="M14" s="6">
        <v>1.6E-2</v>
      </c>
      <c r="N14" s="1">
        <v>0</v>
      </c>
      <c r="O14" s="1">
        <v>3.6859999999999999</v>
      </c>
      <c r="P14" s="1">
        <v>6.032</v>
      </c>
      <c r="Q14" s="1">
        <f t="shared" si="1"/>
        <v>61.107427055702914</v>
      </c>
    </row>
    <row r="15" spans="1:17" ht="18.600000000000001" customHeight="1" x14ac:dyDescent="0.25">
      <c r="A15" s="24">
        <v>44197</v>
      </c>
      <c r="B15" s="9">
        <v>1652</v>
      </c>
      <c r="C15" s="9">
        <v>3167</v>
      </c>
      <c r="D15" s="9">
        <v>1351</v>
      </c>
      <c r="E15" s="9">
        <v>92039</v>
      </c>
      <c r="F15" s="2">
        <v>36.6</v>
      </c>
      <c r="G15" s="2">
        <v>59.561999999999998</v>
      </c>
      <c r="H15" s="2">
        <f t="shared" si="0"/>
        <v>61.448574594540148</v>
      </c>
      <c r="I15" s="2">
        <v>19</v>
      </c>
      <c r="J15" s="14"/>
      <c r="K15" s="2">
        <v>19</v>
      </c>
      <c r="L15" s="2">
        <v>3.331</v>
      </c>
      <c r="M15" s="7">
        <v>1.2E-2</v>
      </c>
      <c r="N15" s="2">
        <v>0</v>
      </c>
      <c r="O15" s="2">
        <v>3.343</v>
      </c>
      <c r="P15" s="2">
        <v>5.5359999999999996</v>
      </c>
      <c r="Q15" s="2">
        <f t="shared" si="1"/>
        <v>60.38656069364162</v>
      </c>
    </row>
    <row r="16" spans="1:17" ht="18.600000000000001" customHeight="1" x14ac:dyDescent="0.25">
      <c r="A16" s="23">
        <v>44228</v>
      </c>
      <c r="B16" s="8">
        <v>1660</v>
      </c>
      <c r="C16" s="8">
        <v>3086</v>
      </c>
      <c r="D16" s="8">
        <v>1240</v>
      </c>
      <c r="E16" s="8">
        <v>95469</v>
      </c>
      <c r="F16" s="1">
        <v>37.381999999999998</v>
      </c>
      <c r="G16" s="1">
        <v>57.271999999999998</v>
      </c>
      <c r="H16" s="1">
        <f t="shared" si="0"/>
        <v>65.270987568096103</v>
      </c>
      <c r="I16" s="1">
        <v>18</v>
      </c>
      <c r="J16" s="1"/>
      <c r="K16" s="1">
        <v>18</v>
      </c>
      <c r="L16" s="1">
        <v>3.4020000000000001</v>
      </c>
      <c r="M16" s="6">
        <v>0.01</v>
      </c>
      <c r="N16" s="1">
        <v>0</v>
      </c>
      <c r="O16" s="1">
        <v>3.4119999999999999</v>
      </c>
      <c r="P16" s="1">
        <v>5.335</v>
      </c>
      <c r="Q16" s="1">
        <f t="shared" si="1"/>
        <v>63.95501405810684</v>
      </c>
    </row>
    <row r="17" spans="1:17" ht="18.600000000000001" customHeight="1" x14ac:dyDescent="0.25">
      <c r="A17" s="24">
        <v>44256</v>
      </c>
      <c r="B17" s="9">
        <v>1809</v>
      </c>
      <c r="C17" s="9">
        <v>3472</v>
      </c>
      <c r="D17" s="9">
        <v>1515</v>
      </c>
      <c r="E17" s="9">
        <v>95563</v>
      </c>
      <c r="F17" s="2">
        <v>38.097999999999999</v>
      </c>
      <c r="G17" s="2">
        <v>65.795000000000002</v>
      </c>
      <c r="H17" s="2">
        <f t="shared" si="0"/>
        <v>57.904096055931298</v>
      </c>
      <c r="I17" s="2">
        <v>24</v>
      </c>
      <c r="J17" s="14"/>
      <c r="K17" s="2">
        <v>24</v>
      </c>
      <c r="L17" s="2">
        <v>3.4670000000000001</v>
      </c>
      <c r="M17" s="7">
        <v>1.4E-2</v>
      </c>
      <c r="N17" s="2">
        <v>0</v>
      </c>
      <c r="O17" s="2">
        <v>3.4809999999999999</v>
      </c>
      <c r="P17" s="2">
        <v>6.117</v>
      </c>
      <c r="Q17" s="2">
        <f t="shared" si="1"/>
        <v>56.906980546019291</v>
      </c>
    </row>
    <row r="18" spans="1:17" ht="18.600000000000001" customHeight="1" x14ac:dyDescent="0.25">
      <c r="A18" s="3" t="s">
        <v>22</v>
      </c>
      <c r="B18" s="4">
        <f>SUM(B6:B17)</f>
        <v>15557</v>
      </c>
      <c r="C18" s="4">
        <f t="shared" ref="C18:G18" si="2">SUM(C6:C17)</f>
        <v>29081</v>
      </c>
      <c r="D18" s="4">
        <f t="shared" si="2"/>
        <v>12190</v>
      </c>
      <c r="E18" s="4">
        <f t="shared" si="2"/>
        <v>705273</v>
      </c>
      <c r="F18" s="4">
        <f t="shared" si="2"/>
        <v>282.64299999999997</v>
      </c>
      <c r="G18" s="4">
        <f t="shared" si="2"/>
        <v>552.82900000000006</v>
      </c>
      <c r="H18" s="5">
        <f>F18/G18*100</f>
        <v>51.126659419097031</v>
      </c>
      <c r="I18" s="5">
        <f t="shared" ref="I18" si="3">SUM(I6:I17)</f>
        <v>355.36799999999999</v>
      </c>
      <c r="J18" s="4">
        <f t="shared" ref="J18:P18" si="4">SUM(J6:J17)</f>
        <v>0</v>
      </c>
      <c r="K18" s="12">
        <f t="shared" si="4"/>
        <v>355.36799999999999</v>
      </c>
      <c r="L18" s="12">
        <f t="shared" si="4"/>
        <v>25.717600000000001</v>
      </c>
      <c r="M18" s="11">
        <f t="shared" si="4"/>
        <v>0.13</v>
      </c>
      <c r="N18" s="10">
        <f t="shared" si="4"/>
        <v>0</v>
      </c>
      <c r="O18" s="12">
        <f t="shared" si="4"/>
        <v>25.8476</v>
      </c>
      <c r="P18" s="12">
        <f t="shared" si="4"/>
        <v>51.180900000000001</v>
      </c>
      <c r="Q18" s="12">
        <f t="shared" ref="Q18" si="5">O18/P18*100</f>
        <v>50.502433525006396</v>
      </c>
    </row>
    <row r="19" spans="1:17" ht="18.600000000000001" customHeight="1" x14ac:dyDescent="0.25">
      <c r="A19" s="17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29.25" customHeight="1" x14ac:dyDescent="0.25">
      <c r="A20" s="25" t="s">
        <v>24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2022-04-25T11:58:09Z</cp:lastPrinted>
  <dcterms:created xsi:type="dcterms:W3CDTF">2020-06-03T10:40:01Z</dcterms:created>
  <dcterms:modified xsi:type="dcterms:W3CDTF">2022-04-25T11:58:19Z</dcterms:modified>
</cp:coreProperties>
</file>