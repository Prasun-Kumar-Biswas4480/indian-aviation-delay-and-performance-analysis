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OFFICE\Yearly publication\2021-22\updated Annualtables 29 July 2022\01. ALL SCHEDULED INDIAN AIRLINES\"/>
    </mc:Choice>
  </mc:AlternateContent>
  <bookViews>
    <workbookView xWindow="0" yWindow="0" windowWidth="24000" windowHeight="10725"/>
  </bookViews>
  <sheets>
    <sheet name="1.01" sheetId="1" r:id="rId1"/>
  </sheets>
  <definedNames>
    <definedName name="_xlnm.Print_Area" localSheetId="0">'1.01'!$A$1:$Q$19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P18" i="1" l="1"/>
  <c r="N18" i="1"/>
  <c r="M18" i="1"/>
  <c r="L18" i="1"/>
  <c r="K18" i="1"/>
  <c r="J18" i="1"/>
  <c r="I18" i="1"/>
  <c r="G18" i="1"/>
  <c r="F18" i="1"/>
  <c r="H18" i="1" s="1"/>
  <c r="E18" i="1"/>
  <c r="D18" i="1"/>
  <c r="C18" i="1"/>
  <c r="O18" i="1" l="1"/>
  <c r="Q18" i="1" s="1"/>
</calcChain>
</file>

<file path=xl/sharedStrings.xml><?xml version="1.0" encoding="utf-8"?>
<sst xmlns="http://schemas.openxmlformats.org/spreadsheetml/2006/main" count="26" uniqueCount="24">
  <si>
    <t>Table 1.01 (ALL SCHEDULED INDIAN AIRLINES)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</si>
  <si>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</si>
  <si>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</si>
  <si>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</si>
  <si>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</si>
  <si>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</si>
  <si>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</si>
  <si>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</si>
  <si>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</si>
  <si>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</si>
  <si>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</si>
  <si>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</si>
  <si>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</si>
  <si>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</si>
  <si>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</si>
  <si>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</si>
  <si>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</si>
  <si>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</si>
  <si>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</si>
  <si>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</si>
  <si>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INDIAN AIRLINES</t>
  </si>
  <si>
    <t xml:space="preserve">तालिका 1.01 (सभी अनुसूचित भारतीय एयरलाइन्स) </t>
  </si>
  <si>
    <t>MONTHLY TRAFFIC AND OPERATING STATISTICS OF ALL SCHEDULED INDIAN AIRLINES ON SCHEDULED DOMESTIC SERVICES DURING 2021-22</t>
  </si>
  <si>
    <t>2021-22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</si>
</sst>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3">
    <xf numFmtId="0" fontId="0" fillId="0" borderId="0" xfId="0"/>
    <xf numFmtId="0" fontId="0" fillId="0" borderId="0" xfId="0" applyFont="1"/>
    <xf numFmtId="0" fontId="4" fillId="4" borderId="1" xfId="3" applyFont="1" applyBorder="1" applyAlignment="1" applyProtection="1">
      <alignment horizontal="center" vertical="center" wrapText="1"/>
    </xf>
    <xf numFmtId="164" fontId="3" fillId="4" borderId="1" xfId="3" applyNumberFormat="1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3" fontId="4" fillId="4" borderId="1" xfId="3" applyNumberFormat="1" applyFont="1" applyBorder="1" applyAlignment="1" applyProtection="1">
      <alignment horizontal="right" vertical="center" wrapText="1"/>
    </xf>
    <xf numFmtId="165" fontId="3" fillId="4" borderId="1" xfId="3" applyNumberFormat="1" applyBorder="1" applyAlignment="1">
      <alignment horizontal="right" vertical="center"/>
    </xf>
    <xf numFmtId="165" fontId="0" fillId="0" borderId="1" xfId="1" applyNumberFormat="1" applyFont="1" applyBorder="1" applyAlignment="1">
      <alignment horizontal="right" vertical="center"/>
    </xf>
    <xf numFmtId="166" fontId="4" fillId="4" borderId="1" xfId="3" applyNumberFormat="1" applyFont="1" applyBorder="1" applyAlignment="1" applyProtection="1">
      <alignment horizontal="right" vertical="center" wrapText="1"/>
    </xf>
    <xf numFmtId="17" fontId="3" fillId="4" borderId="1" xfId="3" applyNumberFormat="1" applyFont="1" applyBorder="1" applyAlignment="1" applyProtection="1">
      <alignment horizontal="center" vertical="center" wrapText="1"/>
    </xf>
    <xf numFmtId="0" fontId="0" fillId="0" borderId="2" xfId="0" applyNumberFormat="1" applyFont="1" applyBorder="1"/>
    <xf numFmtId="0" fontId="0" fillId="0" borderId="0" xfId="0" applyNumberFormat="1" applyFont="1"/>
    <xf numFmtId="0" fontId="2" fillId="3" borderId="1" xfId="2" applyFont="1" applyBorder="1" applyAlignment="1" applyProtection="1">
      <alignment horizontal="center" vertical="center" textRotation="90" wrapText="1"/>
    </xf>
    <xf numFmtId="3" fontId="0" fillId="0" borderId="0" xfId="0" applyNumberFormat="1" applyFont="1"/>
    <xf numFmtId="0" fontId="1" fillId="2" borderId="1" xfId="0" applyFont="1" applyFill="1" applyBorder="1" applyAlignment="1" applyProtection="1">
      <alignment horizontal="lef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0" fillId="4" borderId="1" xfId="3" applyFont="1" applyBorder="1" applyAlignment="1">
      <alignment horizontal="center" vertical="center" wrapText="1"/>
    </xf>
    <xf numFmtId="0" fontId="3" fillId="4" borderId="1" xfId="3" applyBorder="1" applyAlignment="1">
      <alignment horizontal="center" vertical="center" wrapText="1"/>
    </xf>
    <xf numFmtId="0" fontId="3" fillId="4" borderId="1" xfId="3" quotePrefix="1" applyBorder="1" applyAlignment="1" applyProtection="1">
      <alignment horizontal="center" vertical="center" wrapText="1"/>
    </xf>
    <xf numFmtId="0" fontId="3" fillId="4" borderId="1" xfId="3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</cellXfs>
  <cellStyles count="4">
    <cellStyle name="40% - Accent2" xfId="3" builtinId="35"/>
    <cellStyle name="Accent2" xfId="2" builtinId="33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5" tint="0.39997558519241921"/>
  </sheetPr>
  <dimension ref="A1:Q24"/>
  <sheetViews>
    <sheetView tabSelected="1" zoomScaleNormal="100" zoomScaleSheetLayoutView="100" workbookViewId="0">
      <selection activeCell="E9" sqref="E9"/>
    </sheetView>
  </sheetViews>
  <sheetFormatPr defaultColWidth="9.140625" defaultRowHeight="15" x14ac:dyDescent="0.25"/>
  <cols>
    <col min="1" max="1" width="8.140625" style="1" customWidth="1"/>
    <col min="2" max="2" width="10.140625" style="1" customWidth="1"/>
    <col min="3" max="3" width="10" style="1" customWidth="1"/>
    <col min="4" max="4" width="9.85546875" style="1" customWidth="1"/>
    <col min="5" max="5" width="12.85546875" style="1" customWidth="1"/>
    <col min="6" max="6" width="9.5703125" style="1" customWidth="1"/>
    <col min="7" max="7" width="10.140625" style="1" customWidth="1"/>
    <col min="8" max="8" width="7.7109375" style="1" customWidth="1"/>
    <col min="9" max="9" width="10.140625" style="1" bestFit="1" customWidth="1"/>
    <col min="10" max="10" width="8.7109375" style="1" customWidth="1"/>
    <col min="11" max="11" width="10.140625" style="1" bestFit="1" customWidth="1"/>
    <col min="12" max="12" width="9.85546875" style="1" customWidth="1"/>
    <col min="13" max="13" width="9.28515625" style="1" customWidth="1"/>
    <col min="14" max="14" width="8.5703125" style="1" customWidth="1"/>
    <col min="15" max="15" width="10.140625" style="1" customWidth="1"/>
    <col min="16" max="16" width="11" style="1" customWidth="1"/>
    <col min="17" max="17" width="7.42578125" style="1" customWidth="1"/>
    <col min="18" max="16384" width="9.140625" style="1"/>
  </cols>
  <sheetData>
    <row r="1" spans="1:17" ht="18.75" customHeight="1" x14ac:dyDescent="0.25">
      <c r="A1" s="17" t="s">
        <v>21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8.75" customHeight="1" x14ac:dyDescent="0.25">
      <c r="A2" s="19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ht="18.75" customHeight="1" x14ac:dyDescent="0.25">
      <c r="A3" s="21" t="s">
        <v>22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21" customHeight="1" x14ac:dyDescent="0.25">
      <c r="A4" s="21" t="s">
        <v>1</v>
      </c>
      <c r="B4" s="21" t="s">
        <v>2</v>
      </c>
      <c r="C4" s="21"/>
      <c r="D4" s="21"/>
      <c r="E4" s="21" t="s">
        <v>3</v>
      </c>
      <c r="F4" s="22"/>
      <c r="G4" s="15" t="s">
        <v>4</v>
      </c>
      <c r="H4" s="15" t="s">
        <v>5</v>
      </c>
      <c r="I4" s="21" t="s">
        <v>6</v>
      </c>
      <c r="J4" s="21"/>
      <c r="K4" s="21"/>
      <c r="L4" s="21" t="s">
        <v>7</v>
      </c>
      <c r="M4" s="21"/>
      <c r="N4" s="21"/>
      <c r="O4" s="21"/>
      <c r="P4" s="15" t="s">
        <v>8</v>
      </c>
      <c r="Q4" s="15" t="s">
        <v>9</v>
      </c>
    </row>
    <row r="5" spans="1:17" ht="115.5" customHeight="1" x14ac:dyDescent="0.25">
      <c r="A5" s="21"/>
      <c r="B5" s="12" t="s">
        <v>10</v>
      </c>
      <c r="C5" s="12" t="s">
        <v>11</v>
      </c>
      <c r="D5" s="12" t="s">
        <v>12</v>
      </c>
      <c r="E5" s="12" t="s">
        <v>13</v>
      </c>
      <c r="F5" s="12" t="s">
        <v>14</v>
      </c>
      <c r="G5" s="16"/>
      <c r="H5" s="16"/>
      <c r="I5" s="12" t="s">
        <v>15</v>
      </c>
      <c r="J5" s="12" t="s">
        <v>16</v>
      </c>
      <c r="K5" s="12" t="s">
        <v>17</v>
      </c>
      <c r="L5" s="12" t="s">
        <v>18</v>
      </c>
      <c r="M5" s="12" t="s">
        <v>19</v>
      </c>
      <c r="N5" s="12" t="s">
        <v>16</v>
      </c>
      <c r="O5" s="12" t="s">
        <v>17</v>
      </c>
      <c r="P5" s="16"/>
      <c r="Q5" s="16"/>
    </row>
    <row r="6" spans="1:17" ht="30" customHeight="1" x14ac:dyDescent="0.25">
      <c r="A6" s="9">
        <v>44287</v>
      </c>
      <c r="B6" s="3">
        <v>59967</v>
      </c>
      <c r="C6" s="3">
        <v>104910.09633333332</v>
      </c>
      <c r="D6" s="3">
        <v>57652.870999999992</v>
      </c>
      <c r="E6" s="3">
        <v>5647434</v>
      </c>
      <c r="F6" s="3">
        <v>5728.1187800000007</v>
      </c>
      <c r="G6" s="3">
        <v>9575.0370950000015</v>
      </c>
      <c r="H6" s="6">
        <v>59.823463065131868</v>
      </c>
      <c r="I6" s="6">
        <v>47905.847070000011</v>
      </c>
      <c r="J6" s="6">
        <v>1901.92425</v>
      </c>
      <c r="K6" s="6">
        <v>49807.771320000014</v>
      </c>
      <c r="L6" s="6">
        <v>498.04638657000004</v>
      </c>
      <c r="M6" s="6">
        <v>54.427009805309986</v>
      </c>
      <c r="N6" s="6">
        <v>1.8570514541499998</v>
      </c>
      <c r="O6" s="6">
        <v>554.33044782946001</v>
      </c>
      <c r="P6" s="6">
        <v>1018.396959302</v>
      </c>
      <c r="Q6" s="6">
        <v>54.431667609199565</v>
      </c>
    </row>
    <row r="7" spans="1:17" ht="30" customHeight="1" x14ac:dyDescent="0.25">
      <c r="A7" s="9">
        <v>44317</v>
      </c>
      <c r="B7" s="4">
        <v>27725</v>
      </c>
      <c r="C7" s="4">
        <v>47577.020000000004</v>
      </c>
      <c r="D7" s="4">
        <v>27134.613000000001</v>
      </c>
      <c r="E7" s="4">
        <v>2037372</v>
      </c>
      <c r="F7" s="4">
        <v>2048.2258829999996</v>
      </c>
      <c r="G7" s="4">
        <v>4155.486132</v>
      </c>
      <c r="H7" s="7">
        <v>49.289681590495547</v>
      </c>
      <c r="I7" s="7">
        <v>34618.054200000021</v>
      </c>
      <c r="J7" s="7">
        <v>1282.0685000000008</v>
      </c>
      <c r="K7" s="7">
        <v>35900.122700000022</v>
      </c>
      <c r="L7" s="7">
        <v>179.235641058</v>
      </c>
      <c r="M7" s="7">
        <v>39.437530242610009</v>
      </c>
      <c r="N7" s="7">
        <v>1.2304791340000001</v>
      </c>
      <c r="O7" s="7">
        <v>219.90365043461003</v>
      </c>
      <c r="P7" s="7">
        <v>450.26343090100102</v>
      </c>
      <c r="Q7" s="7">
        <v>48.838887491833646</v>
      </c>
    </row>
    <row r="8" spans="1:17" ht="30" customHeight="1" x14ac:dyDescent="0.25">
      <c r="A8" s="9">
        <v>44348</v>
      </c>
      <c r="B8" s="3">
        <v>31693</v>
      </c>
      <c r="C8" s="3">
        <v>54456.776666666672</v>
      </c>
      <c r="D8" s="3">
        <v>30298.538</v>
      </c>
      <c r="E8" s="3">
        <v>3028643</v>
      </c>
      <c r="F8" s="3">
        <v>2923.5126180000002</v>
      </c>
      <c r="G8" s="3">
        <v>4658.811882</v>
      </c>
      <c r="H8" s="6">
        <v>62.752321665861167</v>
      </c>
      <c r="I8" s="6">
        <v>38829.373800000001</v>
      </c>
      <c r="J8" s="6">
        <v>1588.8635000000008</v>
      </c>
      <c r="K8" s="6">
        <v>40418.237300000001</v>
      </c>
      <c r="L8" s="6">
        <v>256.13773867100002</v>
      </c>
      <c r="M8" s="6">
        <v>45.727902811690008</v>
      </c>
      <c r="N8" s="6">
        <v>1.5367306570000001</v>
      </c>
      <c r="O8" s="6">
        <v>303.40237213969004</v>
      </c>
      <c r="P8" s="6">
        <v>504.02218998800004</v>
      </c>
      <c r="Q8" s="6">
        <v>60.196233056110792</v>
      </c>
    </row>
    <row r="9" spans="1:17" ht="30" customHeight="1" x14ac:dyDescent="0.25">
      <c r="A9" s="9">
        <v>44378</v>
      </c>
      <c r="B9" s="4">
        <v>47692</v>
      </c>
      <c r="C9" s="4">
        <v>80539.23000000001</v>
      </c>
      <c r="D9" s="4">
        <v>44342.445299999999</v>
      </c>
      <c r="E9" s="4">
        <v>4897664</v>
      </c>
      <c r="F9" s="4">
        <v>4702.8761650000006</v>
      </c>
      <c r="G9" s="4">
        <v>7075.920799999999</v>
      </c>
      <c r="H9" s="7">
        <v>66.463097848692726</v>
      </c>
      <c r="I9" s="7">
        <v>45700.885780000026</v>
      </c>
      <c r="J9" s="7">
        <v>1998.1855</v>
      </c>
      <c r="K9" s="7">
        <v>47699.071280000026</v>
      </c>
      <c r="L9" s="7">
        <v>411.75967215100002</v>
      </c>
      <c r="M9" s="7">
        <v>53.474878789520005</v>
      </c>
      <c r="N9" s="7">
        <v>2.0204476185</v>
      </c>
      <c r="O9" s="7">
        <v>467.25499855902001</v>
      </c>
      <c r="P9" s="7">
        <v>783.75986726900123</v>
      </c>
      <c r="Q9" s="7">
        <v>59.61711208653265</v>
      </c>
    </row>
    <row r="10" spans="1:17" ht="30" customHeight="1" x14ac:dyDescent="0.25">
      <c r="A10" s="9">
        <v>44409</v>
      </c>
      <c r="B10" s="3">
        <v>58101</v>
      </c>
      <c r="C10" s="3">
        <v>98409.26999999999</v>
      </c>
      <c r="D10" s="3">
        <v>54053.971600000004</v>
      </c>
      <c r="E10" s="3">
        <v>6544056</v>
      </c>
      <c r="F10" s="3">
        <v>6263.4567300000008</v>
      </c>
      <c r="G10" s="3">
        <v>8700.6583300000002</v>
      </c>
      <c r="H10" s="6">
        <v>71.988308153688877</v>
      </c>
      <c r="I10" s="6">
        <v>50342.357870000014</v>
      </c>
      <c r="J10" s="6">
        <v>2074.4864000000016</v>
      </c>
      <c r="K10" s="6">
        <v>52416.844270000016</v>
      </c>
      <c r="L10" s="6">
        <v>543.35986279999986</v>
      </c>
      <c r="M10" s="6">
        <v>61.081972257400004</v>
      </c>
      <c r="N10" s="6">
        <v>2.1018968538</v>
      </c>
      <c r="O10" s="6">
        <v>606.54373191119987</v>
      </c>
      <c r="P10" s="6">
        <v>963.32373754700006</v>
      </c>
      <c r="Q10" s="6">
        <v>62.963644335776259</v>
      </c>
    </row>
    <row r="11" spans="1:17" ht="30" customHeight="1" x14ac:dyDescent="0.25">
      <c r="A11" s="9">
        <v>44440</v>
      </c>
      <c r="B11" s="4">
        <v>61514</v>
      </c>
      <c r="C11" s="4">
        <v>104485.03666666665</v>
      </c>
      <c r="D11" s="4">
        <v>56781.245999999999</v>
      </c>
      <c r="E11" s="4">
        <v>6891878</v>
      </c>
      <c r="F11" s="4">
        <v>6577.7186359999996</v>
      </c>
      <c r="G11" s="4">
        <v>9095.9160920000013</v>
      </c>
      <c r="H11" s="7">
        <v>72.315076012906545</v>
      </c>
      <c r="I11" s="7">
        <v>52296.967969999991</v>
      </c>
      <c r="J11" s="7">
        <v>2075.3187140790697</v>
      </c>
      <c r="K11" s="7">
        <v>54372.286684079059</v>
      </c>
      <c r="L11" s="7">
        <v>570.01742229500007</v>
      </c>
      <c r="M11" s="7">
        <v>62.791901711519998</v>
      </c>
      <c r="N11" s="7">
        <v>2.2035228772930133</v>
      </c>
      <c r="O11" s="7">
        <v>635.01284688381315</v>
      </c>
      <c r="P11" s="7">
        <v>1006.0347094780001</v>
      </c>
      <c r="Q11" s="7">
        <v>63.120371583730098</v>
      </c>
    </row>
    <row r="12" spans="1:17" ht="30" customHeight="1" x14ac:dyDescent="0.25">
      <c r="A12" s="9">
        <v>44470</v>
      </c>
      <c r="B12" s="3">
        <v>72491</v>
      </c>
      <c r="C12" s="3">
        <v>117610.84666666666</v>
      </c>
      <c r="D12" s="3">
        <v>67690.728000000003</v>
      </c>
      <c r="E12" s="3">
        <v>8784144</v>
      </c>
      <c r="F12" s="3">
        <v>8513.9381040000007</v>
      </c>
      <c r="G12" s="3">
        <v>11031.288355000001</v>
      </c>
      <c r="H12" s="6">
        <v>77.179907097079962</v>
      </c>
      <c r="I12" s="6">
        <v>56495.971900000004</v>
      </c>
      <c r="J12" s="6">
        <v>1864.6443054042195</v>
      </c>
      <c r="K12" s="6">
        <v>58360.616205404222</v>
      </c>
      <c r="L12" s="6">
        <v>743.97710571699895</v>
      </c>
      <c r="M12" s="6">
        <v>68.981995773400001</v>
      </c>
      <c r="N12" s="6">
        <v>2.0472756835000001</v>
      </c>
      <c r="O12" s="6">
        <v>815.00637717389895</v>
      </c>
      <c r="P12" s="6">
        <v>1210.7354031240009</v>
      </c>
      <c r="Q12" s="6">
        <v>67.314986831224914</v>
      </c>
    </row>
    <row r="13" spans="1:17" ht="30" customHeight="1" x14ac:dyDescent="0.25">
      <c r="A13" s="9">
        <v>44501</v>
      </c>
      <c r="B13" s="4">
        <v>81620</v>
      </c>
      <c r="C13" s="4">
        <v>133035.35999999999</v>
      </c>
      <c r="D13" s="4">
        <v>76810.933000000005</v>
      </c>
      <c r="E13" s="4">
        <v>10471234</v>
      </c>
      <c r="F13" s="4">
        <v>10165.303980000001</v>
      </c>
      <c r="G13" s="4">
        <v>12698.682191999998</v>
      </c>
      <c r="H13" s="7">
        <v>80.050069970284071</v>
      </c>
      <c r="I13" s="7">
        <v>49394.563470000008</v>
      </c>
      <c r="J13" s="7">
        <v>2209.2863162819867</v>
      </c>
      <c r="K13" s="7">
        <v>51603.849786281993</v>
      </c>
      <c r="L13" s="7">
        <v>889.52027621499997</v>
      </c>
      <c r="M13" s="7">
        <v>60.025807635699998</v>
      </c>
      <c r="N13" s="7">
        <v>2.46544880911192</v>
      </c>
      <c r="O13" s="7">
        <v>952.01153265981179</v>
      </c>
      <c r="P13" s="7">
        <v>1624.8589444339971</v>
      </c>
      <c r="Q13" s="7">
        <v>58.590410935112601</v>
      </c>
    </row>
    <row r="14" spans="1:17" ht="30" customHeight="1" x14ac:dyDescent="0.25">
      <c r="A14" s="9">
        <v>44531</v>
      </c>
      <c r="B14" s="3">
        <v>87258</v>
      </c>
      <c r="C14" s="3">
        <v>152340.79666666666</v>
      </c>
      <c r="D14" s="3">
        <v>82148.040999999997</v>
      </c>
      <c r="E14" s="3">
        <v>11156079</v>
      </c>
      <c r="F14" s="3">
        <v>10816.546431999999</v>
      </c>
      <c r="G14" s="3">
        <v>13602.345165000001</v>
      </c>
      <c r="H14" s="6">
        <v>79.519717378087861</v>
      </c>
      <c r="I14" s="6">
        <v>55523.45153999998</v>
      </c>
      <c r="J14" s="6">
        <v>2398.5826647296408</v>
      </c>
      <c r="K14" s="6">
        <v>57922.034204729622</v>
      </c>
      <c r="L14" s="6">
        <v>943.98236730100098</v>
      </c>
      <c r="M14" s="6">
        <v>67.329576805789998</v>
      </c>
      <c r="N14" s="6">
        <v>2.640572513827935</v>
      </c>
      <c r="O14" s="6">
        <v>1013.9525166206189</v>
      </c>
      <c r="P14" s="6">
        <v>1485.8023581480011</v>
      </c>
      <c r="Q14" s="6">
        <v>68.242758605153526</v>
      </c>
    </row>
    <row r="15" spans="1:17" ht="30" customHeight="1" x14ac:dyDescent="0.25">
      <c r="A15" s="9">
        <v>44562</v>
      </c>
      <c r="B15" s="4">
        <v>63541</v>
      </c>
      <c r="C15" s="4">
        <v>107344.69000000002</v>
      </c>
      <c r="D15" s="4">
        <v>59516.356999999996</v>
      </c>
      <c r="E15" s="4">
        <v>6410579</v>
      </c>
      <c r="F15" s="4">
        <v>6257.0324269999992</v>
      </c>
      <c r="G15" s="4">
        <v>9572.2302550000004</v>
      </c>
      <c r="H15" s="7">
        <v>65.366505613795425</v>
      </c>
      <c r="I15" s="7">
        <v>47907.634649999993</v>
      </c>
      <c r="J15" s="7">
        <v>2397.9060938220136</v>
      </c>
      <c r="K15" s="7">
        <v>50305.540743822006</v>
      </c>
      <c r="L15" s="7">
        <v>542.29578435199983</v>
      </c>
      <c r="M15" s="7">
        <v>56.757278032479981</v>
      </c>
      <c r="N15" s="7">
        <v>2.5485427484574634</v>
      </c>
      <c r="O15" s="7">
        <v>601.60160513293727</v>
      </c>
      <c r="P15" s="7">
        <v>1049.350859484</v>
      </c>
      <c r="Q15" s="7">
        <v>57.330834553160258</v>
      </c>
    </row>
    <row r="16" spans="1:17" ht="30" customHeight="1" x14ac:dyDescent="0.25">
      <c r="A16" s="9">
        <v>44593</v>
      </c>
      <c r="B16" s="3">
        <v>57220</v>
      </c>
      <c r="C16" s="3">
        <v>97246.116666666669</v>
      </c>
      <c r="D16" s="3">
        <v>54491.058999999994</v>
      </c>
      <c r="E16" s="3">
        <v>7695734</v>
      </c>
      <c r="F16" s="3">
        <v>7477.779790999999</v>
      </c>
      <c r="G16" s="3">
        <v>8762.4071960000001</v>
      </c>
      <c r="H16" s="6">
        <v>85.339332260358461</v>
      </c>
      <c r="I16" s="6">
        <v>46893.902950000003</v>
      </c>
      <c r="J16" s="6">
        <v>2250.6851313144221</v>
      </c>
      <c r="K16" s="6">
        <v>49144.588081314425</v>
      </c>
      <c r="L16" s="6">
        <v>655.34683947100018</v>
      </c>
      <c r="M16" s="6">
        <v>56.297004191900001</v>
      </c>
      <c r="N16" s="6">
        <v>2.4850085545702854</v>
      </c>
      <c r="O16" s="6">
        <v>714.12885221747047</v>
      </c>
      <c r="P16" s="6">
        <v>962.19742468199922</v>
      </c>
      <c r="Q16" s="6">
        <v>74.218537058908268</v>
      </c>
    </row>
    <row r="17" spans="1:17" ht="30" customHeight="1" x14ac:dyDescent="0.25">
      <c r="A17" s="9">
        <v>44621</v>
      </c>
      <c r="B17" s="4">
        <v>80948</v>
      </c>
      <c r="C17" s="4">
        <v>138064.4133333333</v>
      </c>
      <c r="D17" s="4">
        <v>77447.666999999987</v>
      </c>
      <c r="E17" s="4">
        <v>10619642</v>
      </c>
      <c r="F17" s="4">
        <v>10303.96055</v>
      </c>
      <c r="G17" s="4">
        <v>12526.336471999999</v>
      </c>
      <c r="H17" s="7">
        <v>82.258372773494827</v>
      </c>
      <c r="I17" s="7">
        <v>54790.625870000003</v>
      </c>
      <c r="J17" s="7">
        <v>2508.0360313487777</v>
      </c>
      <c r="K17" s="7">
        <v>57298.66190134878</v>
      </c>
      <c r="L17" s="7">
        <v>902.37936897599911</v>
      </c>
      <c r="M17" s="7">
        <v>66.352436418789992</v>
      </c>
      <c r="N17" s="7">
        <v>2.7980323428057527</v>
      </c>
      <c r="O17" s="7">
        <v>971.5298377375949</v>
      </c>
      <c r="P17" s="7">
        <v>1377.1351701040001</v>
      </c>
      <c r="Q17" s="7">
        <v>70.547166235266928</v>
      </c>
    </row>
    <row r="18" spans="1:17" ht="30" customHeight="1" x14ac:dyDescent="0.25">
      <c r="A18" s="2" t="s">
        <v>23</v>
      </c>
      <c r="B18" s="5">
        <f>SUM(B6:B17)</f>
        <v>729770</v>
      </c>
      <c r="C18" s="5">
        <f t="shared" ref="C18:G18" si="0">SUM(C6:C17)</f>
        <v>1236019.6529999999</v>
      </c>
      <c r="D18" s="5">
        <f t="shared" si="0"/>
        <v>688368.46990000003</v>
      </c>
      <c r="E18" s="5">
        <f t="shared" si="0"/>
        <v>84184459</v>
      </c>
      <c r="F18" s="5">
        <f t="shared" si="0"/>
        <v>81778.470096000005</v>
      </c>
      <c r="G18" s="5">
        <f t="shared" si="0"/>
        <v>111455.119966</v>
      </c>
      <c r="H18" s="8">
        <f t="shared" ref="H18" si="1">F18/G18*100</f>
        <v>73.373453028400121</v>
      </c>
      <c r="I18" s="8">
        <f>SUM(I6:I17)</f>
        <v>580699.63707000006</v>
      </c>
      <c r="J18" s="8">
        <f t="shared" ref="J18:P18" si="2">SUM(J6:J17)</f>
        <v>24549.987406980134</v>
      </c>
      <c r="K18" s="8">
        <f t="shared" si="2"/>
        <v>605249.62447698007</v>
      </c>
      <c r="L18" s="8">
        <f t="shared" si="2"/>
        <v>7136.0584655769981</v>
      </c>
      <c r="M18" s="8">
        <f t="shared" si="2"/>
        <v>692.68529447611013</v>
      </c>
      <c r="N18" s="8">
        <f t="shared" si="2"/>
        <v>25.935009247016367</v>
      </c>
      <c r="O18" s="8">
        <f t="shared" si="2"/>
        <v>7854.6787693001243</v>
      </c>
      <c r="P18" s="8">
        <f t="shared" si="2"/>
        <v>12435.881054461001</v>
      </c>
      <c r="Q18" s="8">
        <f>O18/P18*100</f>
        <v>63.161417634197235</v>
      </c>
    </row>
    <row r="19" spans="1:17" ht="19.5" customHeight="1" x14ac:dyDescent="0.25">
      <c r="A19" s="14" t="s">
        <v>20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1" spans="1:17" x14ac:dyDescent="0.25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</row>
    <row r="22" spans="1:17" x14ac:dyDescent="0.25">
      <c r="M22" s="10"/>
      <c r="O22" s="10"/>
    </row>
    <row r="23" spans="1:17" x14ac:dyDescent="0.25">
      <c r="M23" s="11"/>
      <c r="O23" s="11"/>
    </row>
    <row r="24" spans="1:17" x14ac:dyDescent="0.25">
      <c r="M24" s="10"/>
      <c r="O24" s="10"/>
    </row>
  </sheetData>
  <mergeCells count="13">
    <mergeCell ref="A19:Q19"/>
    <mergeCell ref="P4:P5"/>
    <mergeCell ref="Q4:Q5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1.01</vt:lpstr>
      <vt:lpstr>'1.01'!Print_Area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TCS Terminal 2</cp:lastModifiedBy>
  <cp:lastPrinted>2020-05-06T11:10:52Z</cp:lastPrinted>
  <dcterms:created xsi:type="dcterms:W3CDTF">2018-10-29T04:00:07Z</dcterms:created>
  <dcterms:modified xsi:type="dcterms:W3CDTF">2022-09-21T08:59:00Z</dcterms:modified>
</cp:coreProperties>
</file>