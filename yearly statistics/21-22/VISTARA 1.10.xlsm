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<sst xmlns="http://schemas.openxmlformats.org/spreadsheetml/2006/main" count="890" uniqueCount="196">
  <si>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</si>
  <si>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</si>
  <si>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</si>
  <si>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</si>
  <si>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</si>
  <si>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</si>
  <si>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</si>
  <si>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</si>
  <si>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</si>
  <si>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</si>
  <si>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</si>
  <si>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</si>
  <si>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</si>
  <si>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</si>
  <si>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</si>
  <si>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</si>
  <si>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</si>
  <si>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</si>
  <si>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</si>
  <si>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</si>
  <si>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</si>
  <si>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</si>
  <si>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</si>
  <si>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</si>
  <si>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</si>
  <si>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</si>
  <si>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</si>
  <si>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</si>
  <si>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</si>
  <si>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</si>
  <si>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</si>
  <si>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</si>
  <si>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</si>
  <si>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</si>
  <si>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</si>
  <si>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</si>
  <si>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</si>
  <si>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</si>
  <si>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</si>
  <si>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</si>
  <si>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</si>
  <si>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</si>
  <si>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</si>
  <si>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</si>
  <si>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</si>
  <si>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</si>
  <si>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</si>
  <si>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</si>
  <si>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</si>
  <si>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</si>
  <si>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</si>
  <si>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</si>
  <si>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</si>
  <si>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</si>
  <si>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</si>
  <si>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</si>
  <si>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</si>
  <si>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</si>
  <si>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</si>
  <si>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</si>
  <si>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</si>
  <si>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</si>
  <si>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</si>
  <si>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</si>
  <si>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</si>
  <si>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</si>
  <si>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</si>
  <si>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</si>
  <si>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</si>
  <si>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</si>
  <si>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</si>
  <si>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</si>
  <si>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</si>
  <si>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</si>
  <si>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</si>
  <si>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</si>
  <si>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</si>
  <si>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</si>
  <si>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</si>
  <si>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</si>
  <si>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</si>
  <si>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</si>
  <si>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</si>
  <si>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</si>
  <si>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</si>
  <si>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</si>
  <si>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</si>
  <si>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</si>
  <si>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</si>
  <si>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</si>
  <si>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</si>
  <si>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</si>
  <si>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</si>
  <si>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</si>
  <si>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</si>
  <si>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</si>
  <si>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</si>
  <si>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</si>
  <si>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</si>
  <si>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</si>
  <si>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</si>
  <si>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</si>
  <si>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</si>
  <si>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</si>
  <si>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</si>
  <si>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</si>
  <si>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</si>
  <si>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</si>
  <si>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</si>
  <si>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</si>
  <si>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</si>
  <si>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</si>
  <si>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</si>
  <si>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</si>
  <si>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</si>
  <si>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</si>
  <si>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</si>
  <si>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</si>
  <si>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</si>
  <si>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</si>
  <si>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</si>
  <si>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</si>
  <si>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</si>
  <si>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</si>
  <si>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</si>
  <si>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</si>
  <si>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</si>
  <si>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</si>
  <si>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</si>
  <si>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</si>
  <si>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</si>
  <si>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</si>
  <si>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</si>
  <si>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</si>
  <si>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</si>
  <si>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</si>
  <si>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</si>
  <si>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</si>
  <si>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</si>
  <si>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</si>
  <si>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</si>
  <si>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</si>
  <si>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</si>
  <si>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</si>
  <si>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</si>
  <si>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</si>
  <si>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</si>
  <si>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</si>
  <si>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</si>
  <si>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</si>
  <si>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</si>
  <si>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</si>
  <si>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</si>
  <si>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</si>
  <si>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</si>
  <si>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</si>
  <si>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</si>
  <si>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</si>
  <si>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</si>
  <si>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</si>
  <si>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</si>
  <si>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</si>
  <si>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</si>
  <si>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</si>
  <si>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</si>
  <si>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</si>
  <si>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</si>
  <si>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</si>
  <si>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</si>
  <si>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</si>
  <si>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</si>
  <si>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</si>
  <si>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</si>
  <si>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</si>
  <si>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</si>
  <si>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</si>
  <si>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</si>
  <si>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</si>
  <si>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</si>
  <si>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</si>
  <si>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</si>
  <si>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</si>
  <si>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</si>
  <si>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</si>
  <si>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</si>
  <si>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</si>
  <si>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</si>
  <si>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</si>
  <si>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</si>
  <si>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</si>
  <si>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VISTARA</t>
  </si>
  <si>
    <t>2019-20</t>
  </si>
  <si>
    <t xml:space="preserve">तालिका 1.10 (विस्तारा) </t>
  </si>
  <si>
    <t>TABLE - 1.10 (VISTARA)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</si>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</sst>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4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3" xfId="7" applyNumberFormat="1" applyFont="1" applyFill="1" applyBorder="1" applyAlignment="1" applyProtection="1">
      <alignment horizontal="left" vertical="center"/>
    </xf>
    <xf numFmtId="167" fontId="12" fillId="4" borderId="3" xfId="7" applyNumberFormat="1" applyFont="1" applyFill="1" applyBorder="1" applyAlignment="1" applyProtection="1">
      <alignment vertical="center"/>
    </xf>
    <xf numFmtId="167" fontId="13" fillId="4" borderId="2" xfId="7" applyNumberFormat="1" applyFont="1" applyFill="1" applyBorder="1" applyAlignment="1" applyProtection="1">
      <alignment vertical="center"/>
    </xf>
    <xf numFmtId="167" fontId="12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2" fontId="5" fillId="2" borderId="0" xfId="2" applyNumberFormat="1" applyFont="1" applyFill="1"/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6" fillId="2" borderId="1" xfId="2" applyFont="1" applyFill="1" applyBorder="1" applyAlignment="1" applyProtection="1">
      <alignment horizontal="left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37" fontId="9" fillId="5" borderId="1" xfId="2" applyNumberFormat="1" applyFont="1" applyFill="1" applyBorder="1" applyAlignment="1" applyProtection="1">
      <alignment horizontal="center" vertical="center" wrapText="1"/>
    </xf>
    <xf numFmtId="165" fontId="9" fillId="5" borderId="1" xfId="2" applyNumberFormat="1" applyFont="1" applyFill="1" applyBorder="1" applyAlignment="1" applyProtection="1">
      <alignment horizontal="center" vertical="center" wrapText="1"/>
    </xf>
    <xf numFmtId="0" fontId="10" fillId="2" borderId="5" xfId="2" applyFont="1" applyFill="1" applyBorder="1" applyAlignment="1" applyProtection="1">
      <alignment horizontal="center" vertical="center" wrapText="1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0" fillId="2" borderId="9" xfId="2" quotePrefix="1" applyFont="1" applyFill="1" applyBorder="1" applyAlignment="1" applyProtection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1" xfId="2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104</v>
      </c>
      <c r="B1" s="8" t="s">
        <v>104</v>
      </c>
      <c r="C1" s="8" t="s">
        <v>104</v>
      </c>
      <c r="D1" s="8" t="s">
        <v>104</v>
      </c>
      <c r="E1" s="8" t="s">
        <v>104</v>
      </c>
      <c r="F1" s="8" t="s">
        <v>104</v>
      </c>
      <c r="G1" s="8" t="s">
        <v>104</v>
      </c>
      <c r="H1" s="8" t="s">
        <v>104</v>
      </c>
      <c r="I1" s="8" t="s">
        <v>104</v>
      </c>
      <c r="J1" s="8" t="s">
        <v>104</v>
      </c>
      <c r="K1" s="8" t="s">
        <v>104</v>
      </c>
      <c r="L1" s="8" t="s">
        <v>104</v>
      </c>
      <c r="M1" s="8" t="s">
        <v>104</v>
      </c>
      <c r="N1" s="8" t="s">
        <v>104</v>
      </c>
      <c r="O1" s="8" t="s">
        <v>104</v>
      </c>
      <c r="P1" s="8" t="s">
        <v>104</v>
      </c>
      <c r="Q1" s="8" t="s">
        <v>104</v>
      </c>
      <c r="R1" s="8" t="s">
        <v>104</v>
      </c>
      <c r="S1" s="8" t="s">
        <v>104</v>
      </c>
      <c r="T1" s="8" t="s">
        <v>104</v>
      </c>
      <c r="U1" s="8" t="s">
        <v>104</v>
      </c>
      <c r="V1" s="8" t="s">
        <v>104</v>
      </c>
      <c r="W1" s="8" t="s">
        <v>104</v>
      </c>
      <c r="X1" s="8" t="s">
        <v>104</v>
      </c>
      <c r="Y1" s="8" t="s">
        <v>104</v>
      </c>
      <c r="Z1" s="8" t="s">
        <v>104</v>
      </c>
      <c r="AA1" s="8" t="s">
        <v>104</v>
      </c>
      <c r="AB1" s="8" t="s">
        <v>104</v>
      </c>
      <c r="AC1" s="8" t="s">
        <v>104</v>
      </c>
      <c r="AD1" s="8" t="s">
        <v>104</v>
      </c>
      <c r="AE1" s="8" t="s">
        <v>104</v>
      </c>
      <c r="AF1" s="8" t="s">
        <v>104</v>
      </c>
      <c r="AG1" s="8" t="s">
        <v>104</v>
      </c>
      <c r="AH1" s="8" t="s">
        <v>104</v>
      </c>
      <c r="AI1" s="8" t="s">
        <v>104</v>
      </c>
      <c r="AJ1" s="8" t="s">
        <v>104</v>
      </c>
      <c r="AK1" s="8" t="s">
        <v>104</v>
      </c>
      <c r="AQ1" s="4" t="s">
        <v>39</v>
      </c>
      <c r="AR1" t="s">
        <v>29</v>
      </c>
    </row>
    <row r="2" spans="1:57">
      <c r="A2" s="8" t="s">
        <v>104</v>
      </c>
      <c r="B2" s="26" t="e">
        <f>#REF!</f>
        <v>#REF!</v>
      </c>
      <c r="C2" s="8" t="s">
        <v>104</v>
      </c>
      <c r="D2" s="8" t="s">
        <v>104</v>
      </c>
      <c r="E2" s="8" t="s">
        <v>104</v>
      </c>
      <c r="F2" s="8" t="s">
        <v>104</v>
      </c>
      <c r="G2" s="8" t="s">
        <v>104</v>
      </c>
      <c r="H2" s="8" t="s">
        <v>104</v>
      </c>
      <c r="I2" s="8" t="s">
        <v>104</v>
      </c>
      <c r="J2" s="8" t="s">
        <v>104</v>
      </c>
      <c r="K2" s="8" t="s">
        <v>104</v>
      </c>
      <c r="L2" s="8" t="s">
        <v>104</v>
      </c>
      <c r="M2" s="8" t="s">
        <v>104</v>
      </c>
      <c r="N2" s="8" t="s">
        <v>104</v>
      </c>
      <c r="O2" s="8" t="s">
        <v>104</v>
      </c>
      <c r="P2" s="8" t="s">
        <v>104</v>
      </c>
      <c r="Q2" s="8" t="s">
        <v>104</v>
      </c>
      <c r="R2" s="8" t="s">
        <v>104</v>
      </c>
      <c r="S2" s="8" t="s">
        <v>104</v>
      </c>
      <c r="T2" s="8" t="s">
        <v>104</v>
      </c>
      <c r="U2" s="8" t="s">
        <v>104</v>
      </c>
      <c r="V2" s="8" t="s">
        <v>104</v>
      </c>
      <c r="W2" s="8" t="s">
        <v>104</v>
      </c>
      <c r="X2" s="8" t="s">
        <v>104</v>
      </c>
      <c r="Y2" s="8" t="s">
        <v>104</v>
      </c>
      <c r="Z2" s="8" t="s">
        <v>104</v>
      </c>
      <c r="AA2" s="8" t="s">
        <v>104</v>
      </c>
      <c r="AB2" s="8" t="s">
        <v>104</v>
      </c>
      <c r="AC2" s="8" t="s">
        <v>104</v>
      </c>
      <c r="AD2" s="8" t="s">
        <v>104</v>
      </c>
      <c r="AE2" s="8" t="s">
        <v>104</v>
      </c>
      <c r="AF2" s="8" t="s">
        <v>104</v>
      </c>
      <c r="AG2" s="8" t="s">
        <v>104</v>
      </c>
      <c r="AH2" s="8" t="s">
        <v>104</v>
      </c>
      <c r="AI2" s="8" t="s">
        <v>104</v>
      </c>
      <c r="AJ2" s="8" t="s">
        <v>104</v>
      </c>
      <c r="AK2" s="8" t="s">
        <v>104</v>
      </c>
    </row>
    <row r="3" spans="1:57" ht="15.75" customHeight="1">
      <c r="A3" s="4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8" t="s">
        <v>104</v>
      </c>
      <c r="L3" s="8" t="s">
        <v>104</v>
      </c>
      <c r="M3" s="8" t="s">
        <v>104</v>
      </c>
      <c r="N3" s="8" t="s">
        <v>104</v>
      </c>
      <c r="O3" s="8" t="s">
        <v>104</v>
      </c>
      <c r="P3" s="8" t="s">
        <v>104</v>
      </c>
      <c r="Q3" s="8" t="s">
        <v>104</v>
      </c>
      <c r="R3" s="8" t="s">
        <v>104</v>
      </c>
      <c r="S3" s="8" t="s">
        <v>104</v>
      </c>
      <c r="T3" s="21" t="s">
        <v>104</v>
      </c>
      <c r="U3" s="4" t="s">
        <v>39</v>
      </c>
      <c r="V3" s="4" t="s">
        <v>40</v>
      </c>
      <c r="W3" s="4" t="s">
        <v>54</v>
      </c>
      <c r="X3" s="4" t="s">
        <v>55</v>
      </c>
      <c r="Y3" s="4" t="s">
        <v>56</v>
      </c>
      <c r="Z3" s="4" t="s">
        <v>57</v>
      </c>
      <c r="AA3" s="4" t="s">
        <v>41</v>
      </c>
      <c r="AB3" s="4" t="s">
        <v>42</v>
      </c>
      <c r="AC3" s="4" t="s">
        <v>43</v>
      </c>
      <c r="AD3" s="4" t="s">
        <v>58</v>
      </c>
      <c r="AE3" s="4" t="s">
        <v>59</v>
      </c>
      <c r="AF3" s="4" t="s">
        <v>60</v>
      </c>
      <c r="AG3" s="4" t="s">
        <v>61</v>
      </c>
      <c r="AH3" s="4" t="s">
        <v>62</v>
      </c>
      <c r="AI3" s="4" t="s">
        <v>63</v>
      </c>
      <c r="AJ3" s="4" t="s">
        <v>64</v>
      </c>
      <c r="AK3" s="4" t="s">
        <v>65</v>
      </c>
      <c r="AQ3" s="4" t="s">
        <v>40</v>
      </c>
      <c r="AR3" s="4" t="s">
        <v>54</v>
      </c>
      <c r="AS3" s="4" t="s">
        <v>55</v>
      </c>
      <c r="AT3" s="4" t="s">
        <v>56</v>
      </c>
      <c r="AU3" s="4" t="s">
        <v>57</v>
      </c>
      <c r="AV3" s="4" t="s">
        <v>41</v>
      </c>
      <c r="AW3" s="4" t="s">
        <v>42</v>
      </c>
      <c r="AX3" s="4" t="s">
        <v>43</v>
      </c>
      <c r="AY3" s="4" t="s">
        <v>58</v>
      </c>
      <c r="AZ3" s="4" t="s">
        <v>59</v>
      </c>
      <c r="BA3" s="4" t="s">
        <v>61</v>
      </c>
      <c r="BB3" s="4" t="s">
        <v>62</v>
      </c>
      <c r="BC3" s="4" t="s">
        <v>63</v>
      </c>
      <c r="BD3" s="4" t="s">
        <v>65</v>
      </c>
    </row>
    <row r="4" spans="1:57" ht="15.75" customHeight="1">
      <c r="A4" s="5" t="s">
        <v>23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51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4"/>
    </row>
    <row r="6" spans="1:57">
      <c r="A6" s="5" t="s">
        <v>29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4"/>
    </row>
    <row r="7" spans="1:57">
      <c r="A7" s="5" t="s">
        <v>26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5" t="s">
        <v>27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5" t="s">
        <v>28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5" t="s">
        <v>32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5" t="s">
        <v>34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5" t="s">
        <v>35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5" t="s">
        <v>178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5" t="s">
        <v>38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5" t="s">
        <v>47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5" t="s">
        <v>48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5" t="s">
        <v>49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5" t="s">
        <v>186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5" t="s">
        <v>187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5" t="s">
        <v>52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2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2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2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2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50</v>
      </c>
      <c r="B3" t="s">
        <v>69</v>
      </c>
      <c r="C3" t="s">
        <v>79</v>
      </c>
      <c r="V3" s="7" t="s">
        <v>80</v>
      </c>
      <c r="W3" s="4" t="s">
        <v>44</v>
      </c>
      <c r="X3" s="4" t="s">
        <v>66</v>
      </c>
      <c r="Y3" t="s">
        <v>78</v>
      </c>
      <c r="Z3" t="s">
        <v>69</v>
      </c>
      <c r="AA3" t="s">
        <v>79</v>
      </c>
    </row>
    <row r="4" spans="1:27">
      <c r="A4" s="5" t="s">
        <v>34</v>
      </c>
      <c r="B4" s="6">
        <v>2467</v>
      </c>
      <c r="C4" s="6">
        <v>3806.1423290000002</v>
      </c>
      <c r="V4" t="str">
        <f>W4&amp;X4</f>
        <v>AIR ASIAP1</v>
      </c>
      <c r="W4" t="s">
        <v>34</v>
      </c>
      <c r="X4" t="s">
        <v>14</v>
      </c>
      <c r="Y4" s="6">
        <v>263</v>
      </c>
      <c r="Z4" s="6">
        <v>311</v>
      </c>
      <c r="AA4" s="6">
        <v>1997.191354</v>
      </c>
    </row>
    <row r="5" spans="1:27">
      <c r="A5" s="5" t="s">
        <v>26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6"/>
      <c r="Z5" s="6"/>
      <c r="AA5" s="6"/>
    </row>
    <row r="6" spans="1:27">
      <c r="A6" s="5" t="s">
        <v>27</v>
      </c>
      <c r="B6" s="6">
        <v>1472</v>
      </c>
      <c r="C6" s="6">
        <v>2956.1</v>
      </c>
      <c r="V6" t="str">
        <f t="shared" si="0"/>
        <v>AIR ASIAP3</v>
      </c>
      <c r="W6" t="s">
        <v>34</v>
      </c>
      <c r="X6" t="s">
        <v>16</v>
      </c>
      <c r="Y6" s="6">
        <v>476</v>
      </c>
      <c r="Z6" s="6">
        <v>488</v>
      </c>
      <c r="AA6" s="6">
        <v>399.74493799999999</v>
      </c>
    </row>
    <row r="7" spans="1:27">
      <c r="A7" s="5" t="s">
        <v>49</v>
      </c>
      <c r="B7" s="6">
        <v>61052</v>
      </c>
      <c r="C7" s="6">
        <v>93775.981349000009</v>
      </c>
      <c r="V7" t="str">
        <f t="shared" si="0"/>
        <v>AIR ASIAP4</v>
      </c>
      <c r="W7" t="s">
        <v>34</v>
      </c>
      <c r="X7" t="s">
        <v>17</v>
      </c>
      <c r="Y7" s="6">
        <v>180</v>
      </c>
      <c r="Z7" s="6">
        <v>199</v>
      </c>
      <c r="AA7" s="6">
        <v>337.623289</v>
      </c>
    </row>
    <row r="8" spans="1:27">
      <c r="A8" s="5" t="s">
        <v>28</v>
      </c>
      <c r="B8" s="6">
        <v>648</v>
      </c>
      <c r="C8" s="6">
        <v>1392.7165519999999</v>
      </c>
      <c r="V8" t="str">
        <f t="shared" si="0"/>
        <v>AIR ASIAP4.1</v>
      </c>
      <c r="W8" t="s">
        <v>34</v>
      </c>
      <c r="X8" t="s">
        <v>45</v>
      </c>
      <c r="Y8" s="6">
        <v>180</v>
      </c>
      <c r="Z8" s="6">
        <v>199</v>
      </c>
      <c r="AA8" s="6">
        <v>337.623289</v>
      </c>
    </row>
    <row r="9" spans="1:27">
      <c r="A9" s="5" t="s">
        <v>36</v>
      </c>
      <c r="B9" s="6">
        <v>1389</v>
      </c>
      <c r="C9" s="6">
        <v>1617.18</v>
      </c>
      <c r="V9" t="str">
        <f t="shared" si="0"/>
        <v>AIR ASIAP4.2</v>
      </c>
      <c r="W9" t="s">
        <v>34</v>
      </c>
      <c r="X9" t="s">
        <v>46</v>
      </c>
      <c r="Y9" s="6"/>
      <c r="Z9" s="6"/>
      <c r="AA9" s="6"/>
    </row>
    <row r="10" spans="1:27">
      <c r="A10" s="5" t="s">
        <v>29</v>
      </c>
      <c r="B10" s="6">
        <v>4140</v>
      </c>
      <c r="C10" s="6">
        <v>6380</v>
      </c>
      <c r="V10" t="str">
        <f t="shared" si="0"/>
        <v>AIR ASIAP5</v>
      </c>
      <c r="W10" t="s">
        <v>34</v>
      </c>
      <c r="X10" t="s">
        <v>18</v>
      </c>
      <c r="Y10" s="6"/>
      <c r="Z10" s="6"/>
      <c r="AA10" s="6"/>
    </row>
    <row r="11" spans="1:27">
      <c r="A11" s="5" t="s">
        <v>23</v>
      </c>
      <c r="B11" s="6">
        <v>25201</v>
      </c>
      <c r="C11" s="6">
        <v>33290.79</v>
      </c>
      <c r="V11" t="str">
        <f t="shared" si="0"/>
        <v>AIR ASIAP6</v>
      </c>
      <c r="W11" t="s">
        <v>34</v>
      </c>
      <c r="X11" t="s">
        <v>19</v>
      </c>
      <c r="Y11" s="6">
        <v>1253</v>
      </c>
      <c r="Z11" s="6">
        <v>1270</v>
      </c>
      <c r="AA11" s="6">
        <v>733.95945900000004</v>
      </c>
    </row>
    <row r="12" spans="1:27">
      <c r="A12" s="5" t="s">
        <v>47</v>
      </c>
      <c r="B12" s="6">
        <v>12112</v>
      </c>
      <c r="C12" s="6">
        <v>34401.086552000001</v>
      </c>
      <c r="V12" t="str">
        <f t="shared" si="0"/>
        <v>AIR INDIAP1</v>
      </c>
      <c r="W12" t="s">
        <v>26</v>
      </c>
      <c r="X12" t="s">
        <v>14</v>
      </c>
      <c r="Y12" s="6">
        <v>1329</v>
      </c>
      <c r="Z12" s="6">
        <v>1318</v>
      </c>
      <c r="AA12" s="6">
        <v>12079.48</v>
      </c>
    </row>
    <row r="13" spans="1:27">
      <c r="A13" s="5" t="s">
        <v>48</v>
      </c>
      <c r="B13" s="6">
        <v>48940</v>
      </c>
      <c r="C13" s="6">
        <v>59374.894797000001</v>
      </c>
      <c r="V13" t="str">
        <f t="shared" si="0"/>
        <v>AIR INDIAP2</v>
      </c>
      <c r="W13" t="s">
        <v>26</v>
      </c>
      <c r="X13" t="s">
        <v>15</v>
      </c>
      <c r="Y13" s="6"/>
      <c r="Z13" s="6"/>
      <c r="AA13" s="6"/>
    </row>
    <row r="14" spans="1:27">
      <c r="A14" s="5" t="s">
        <v>32</v>
      </c>
      <c r="B14" s="6">
        <v>12094</v>
      </c>
      <c r="C14" s="6">
        <v>9401.4900000000016</v>
      </c>
      <c r="V14" t="str">
        <f t="shared" si="0"/>
        <v>AIR INDIAP3</v>
      </c>
      <c r="W14" t="s">
        <v>26</v>
      </c>
      <c r="X14" t="s">
        <v>16</v>
      </c>
      <c r="Y14" s="6">
        <v>1766</v>
      </c>
      <c r="Z14" s="6">
        <v>1703</v>
      </c>
      <c r="AA14" s="6">
        <v>5986.11</v>
      </c>
    </row>
    <row r="15" spans="1:27">
      <c r="A15" s="5" t="s">
        <v>38</v>
      </c>
      <c r="B15" s="6">
        <v>895</v>
      </c>
      <c r="C15" s="6">
        <v>801.87858399999982</v>
      </c>
      <c r="V15" t="str">
        <f t="shared" si="0"/>
        <v>AIR INDIAP4</v>
      </c>
      <c r="W15" t="s">
        <v>26</v>
      </c>
      <c r="X15" t="s">
        <v>17</v>
      </c>
      <c r="Y15" s="6">
        <v>577</v>
      </c>
      <c r="Z15" s="6">
        <v>543</v>
      </c>
      <c r="AA15" s="6">
        <v>69.31</v>
      </c>
    </row>
    <row r="16" spans="1:27">
      <c r="A16" s="5" t="s">
        <v>35</v>
      </c>
      <c r="B16" s="6">
        <v>2721</v>
      </c>
      <c r="C16" s="6">
        <v>4070.3999999999996</v>
      </c>
      <c r="V16" t="str">
        <f t="shared" si="0"/>
        <v>AIR INDIAP4.1</v>
      </c>
      <c r="W16" t="s">
        <v>26</v>
      </c>
      <c r="X16" t="s">
        <v>45</v>
      </c>
      <c r="Y16" s="6"/>
      <c r="Z16" s="6"/>
      <c r="AA16" s="6"/>
    </row>
    <row r="17" spans="1:27">
      <c r="A17" s="5" t="s">
        <v>51</v>
      </c>
      <c r="B17" s="6"/>
      <c r="C17" s="6"/>
      <c r="V17" t="str">
        <f t="shared" si="0"/>
        <v>AIR INDIAP4.2</v>
      </c>
      <c r="W17" t="s">
        <v>26</v>
      </c>
      <c r="X17" t="s">
        <v>46</v>
      </c>
      <c r="Y17" s="6"/>
      <c r="Z17" s="6"/>
      <c r="AA17" s="6"/>
    </row>
    <row r="18" spans="1:27">
      <c r="A18" s="5" t="s">
        <v>186</v>
      </c>
      <c r="B18" s="6"/>
      <c r="C18" s="6"/>
      <c r="V18" t="str">
        <f t="shared" si="0"/>
        <v>AIR INDIAP5</v>
      </c>
      <c r="W18" t="s">
        <v>26</v>
      </c>
      <c r="X18" t="s">
        <v>18</v>
      </c>
      <c r="Y18" s="6">
        <v>2113</v>
      </c>
      <c r="Z18" s="6">
        <v>1989</v>
      </c>
      <c r="AA18" s="6">
        <v>3208.24</v>
      </c>
    </row>
    <row r="19" spans="1:27">
      <c r="A19" s="5" t="s">
        <v>188</v>
      </c>
      <c r="B19" s="6">
        <v>33</v>
      </c>
      <c r="C19" s="6">
        <v>7.0138840000000009</v>
      </c>
      <c r="V19" t="str">
        <f t="shared" si="0"/>
        <v>AIR INDIAP6</v>
      </c>
      <c r="W19" t="s">
        <v>26</v>
      </c>
      <c r="X19" t="s">
        <v>19</v>
      </c>
      <c r="Y19" s="6">
        <v>4964</v>
      </c>
      <c r="Z19" s="6">
        <v>4439</v>
      </c>
      <c r="AA19" s="6">
        <v>8709.1299999999992</v>
      </c>
    </row>
    <row r="20" spans="1:27">
      <c r="A20" s="5" t="s">
        <v>52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27</v>
      </c>
      <c r="X20" t="s">
        <v>14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6"/>
      <c r="Z21" s="6"/>
      <c r="AA21" s="6"/>
    </row>
    <row r="22" spans="1:27">
      <c r="V22" t="str">
        <f t="shared" si="0"/>
        <v>AIR INDIA EXPRESSP3</v>
      </c>
      <c r="W22" t="s">
        <v>27</v>
      </c>
      <c r="X22" t="s">
        <v>16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6"/>
      <c r="Z26" s="6"/>
      <c r="AA26" s="6"/>
    </row>
    <row r="27" spans="1:27">
      <c r="V27" t="str">
        <f t="shared" si="0"/>
        <v>AIR INDIA EXPRESSP6</v>
      </c>
      <c r="W27" t="s">
        <v>27</v>
      </c>
      <c r="X27" t="s">
        <v>19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6"/>
      <c r="Z37" s="6"/>
      <c r="AA37" s="6"/>
    </row>
    <row r="38" spans="22:27">
      <c r="V38" t="str">
        <f t="shared" si="0"/>
        <v>ALLIANCE AIRP3</v>
      </c>
      <c r="W38" t="s">
        <v>28</v>
      </c>
      <c r="X38" t="s">
        <v>16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6"/>
      <c r="Z39" s="6"/>
      <c r="AA39" s="6"/>
    </row>
    <row r="40" spans="22:27">
      <c r="V40" t="str">
        <f t="shared" si="0"/>
        <v>ALLIANCE AIRP4.1</v>
      </c>
      <c r="W40" t="s">
        <v>28</v>
      </c>
      <c r="X40" t="s">
        <v>45</v>
      </c>
      <c r="Y40" s="6"/>
      <c r="Z40" s="6"/>
      <c r="AA40" s="6"/>
    </row>
    <row r="41" spans="22:27">
      <c r="V41" t="str">
        <f t="shared" si="0"/>
        <v>ALLIANCE AIRP4.2</v>
      </c>
      <c r="W41" t="s">
        <v>28</v>
      </c>
      <c r="X41" t="s">
        <v>46</v>
      </c>
      <c r="Y41" s="6"/>
      <c r="Z41" s="6"/>
      <c r="AA41" s="6"/>
    </row>
    <row r="42" spans="22:27">
      <c r="V42" t="str">
        <f t="shared" si="0"/>
        <v>ALLIANCE AIRP5</v>
      </c>
      <c r="W42" t="s">
        <v>28</v>
      </c>
      <c r="X42" t="s">
        <v>18</v>
      </c>
      <c r="Y42" s="6"/>
      <c r="Z42" s="6"/>
      <c r="AA42" s="6"/>
    </row>
    <row r="43" spans="22:27">
      <c r="V43" t="str">
        <f t="shared" si="0"/>
        <v>ALLIANCE AIRP6</v>
      </c>
      <c r="W43" t="s">
        <v>28</v>
      </c>
      <c r="X43" t="s">
        <v>19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6"/>
      <c r="Z45" s="6"/>
      <c r="AA45" s="6"/>
    </row>
    <row r="46" spans="22:27">
      <c r="V46" t="str">
        <f t="shared" si="0"/>
        <v>Blue Dart P3</v>
      </c>
      <c r="W46" t="s">
        <v>36</v>
      </c>
      <c r="X46" t="s">
        <v>16</v>
      </c>
      <c r="Y46" s="6"/>
      <c r="Z46" s="6"/>
      <c r="AA46" s="6"/>
    </row>
    <row r="47" spans="22:27">
      <c r="V47" t="str">
        <f t="shared" si="0"/>
        <v>Blue Dart P4</v>
      </c>
      <c r="W47" t="s">
        <v>36</v>
      </c>
      <c r="X47" t="s">
        <v>17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6"/>
      <c r="Z50" s="6"/>
      <c r="AA50" s="6"/>
    </row>
    <row r="51" spans="22:27">
      <c r="V51" t="str">
        <f t="shared" si="0"/>
        <v>Blue Dart P6</v>
      </c>
      <c r="W51" t="s">
        <v>36</v>
      </c>
      <c r="X51" t="s">
        <v>19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6"/>
      <c r="Z53" s="6"/>
      <c r="AA53" s="6"/>
    </row>
    <row r="54" spans="22:27">
      <c r="V54" t="str">
        <f t="shared" si="0"/>
        <v>GO AIRP3</v>
      </c>
      <c r="W54" t="s">
        <v>29</v>
      </c>
      <c r="X54" t="s">
        <v>16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6"/>
      <c r="Z93" s="6"/>
      <c r="AA93" s="6"/>
    </row>
    <row r="94" spans="22:27">
      <c r="V94" t="str">
        <f t="shared" si="1"/>
        <v>TRUEJETP3</v>
      </c>
      <c r="W94" t="s">
        <v>38</v>
      </c>
      <c r="X94" t="s">
        <v>16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6"/>
      <c r="Z101" s="6"/>
      <c r="AA101" s="6"/>
    </row>
    <row r="102" spans="22:27">
      <c r="V102" t="str">
        <f t="shared" si="1"/>
        <v>VISTARAP3</v>
      </c>
      <c r="W102" t="s">
        <v>35</v>
      </c>
      <c r="X102" t="s">
        <v>16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6"/>
      <c r="Z108" s="6"/>
      <c r="AA108" s="6"/>
    </row>
    <row r="109" spans="22:27">
      <c r="V109" t="str">
        <f t="shared" si="1"/>
        <v>STAR AIRP1</v>
      </c>
      <c r="W109" t="s">
        <v>186</v>
      </c>
      <c r="X109" t="s">
        <v>14</v>
      </c>
      <c r="Y109" s="6"/>
      <c r="Z109" s="6"/>
      <c r="AA109" s="6"/>
    </row>
    <row r="110" spans="22:27">
      <c r="V110" t="str">
        <f t="shared" si="1"/>
        <v>STAR AIRP2</v>
      </c>
      <c r="W110" t="s">
        <v>186</v>
      </c>
      <c r="X110" t="s">
        <v>15</v>
      </c>
      <c r="Y110" s="6"/>
      <c r="Z110" s="6"/>
      <c r="AA110" s="6"/>
    </row>
    <row r="111" spans="22:27">
      <c r="V111" t="str">
        <f t="shared" si="1"/>
        <v>STAR AIRP3</v>
      </c>
      <c r="W111" t="s">
        <v>186</v>
      </c>
      <c r="X111" t="s">
        <v>16</v>
      </c>
      <c r="Y111" s="6"/>
      <c r="Z111" s="6"/>
      <c r="AA111" s="6"/>
    </row>
    <row r="112" spans="22:27">
      <c r="V112" t="str">
        <f t="shared" si="1"/>
        <v>STAR AIRP4</v>
      </c>
      <c r="W112" t="s">
        <v>186</v>
      </c>
      <c r="X112" t="s">
        <v>17</v>
      </c>
      <c r="Y112" s="6"/>
      <c r="Z112" s="6"/>
      <c r="AA112" s="6"/>
    </row>
    <row r="113" spans="22:27">
      <c r="V113" t="str">
        <f t="shared" si="1"/>
        <v>STAR AIRP4.1</v>
      </c>
      <c r="W113" t="s">
        <v>186</v>
      </c>
      <c r="X113" t="s">
        <v>45</v>
      </c>
      <c r="Y113" s="6"/>
      <c r="Z113" s="6"/>
      <c r="AA113" s="6"/>
    </row>
    <row r="114" spans="22:27">
      <c r="V114" t="str">
        <f t="shared" si="1"/>
        <v>STAR AIRP4.2</v>
      </c>
      <c r="W114" t="s">
        <v>186</v>
      </c>
      <c r="X114" t="s">
        <v>46</v>
      </c>
      <c r="Y114" s="6"/>
      <c r="Z114" s="6"/>
      <c r="AA114" s="6"/>
    </row>
    <row r="115" spans="22:27">
      <c r="V115" t="str">
        <f t="shared" si="1"/>
        <v>STAR AIRP5</v>
      </c>
      <c r="W115" t="s">
        <v>186</v>
      </c>
      <c r="X115" t="s">
        <v>18</v>
      </c>
      <c r="Y115" s="6"/>
      <c r="Z115" s="6"/>
      <c r="AA115" s="6"/>
    </row>
    <row r="116" spans="22:27">
      <c r="V116" t="str">
        <f t="shared" si="1"/>
        <v>STAR AIRP6</v>
      </c>
      <c r="W116" t="s">
        <v>186</v>
      </c>
      <c r="X116" t="s">
        <v>19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21</v>
      </c>
      <c r="C2" s="10" t="s">
        <v>106</v>
      </c>
      <c r="D2" s="10" t="s">
        <v>107</v>
      </c>
      <c r="E2" s="10" t="s">
        <v>22</v>
      </c>
      <c r="F2" s="10" t="s">
        <v>108</v>
      </c>
      <c r="G2" s="11" t="s">
        <v>109</v>
      </c>
      <c r="H2" s="11" t="s">
        <v>110</v>
      </c>
      <c r="I2" s="12" t="s">
        <v>111</v>
      </c>
      <c r="J2" s="11" t="s">
        <v>112</v>
      </c>
      <c r="K2" s="11" t="s">
        <v>113</v>
      </c>
      <c r="L2" s="11" t="s">
        <v>114</v>
      </c>
      <c r="M2" s="11" t="s">
        <v>115</v>
      </c>
      <c r="N2" s="11" t="s">
        <v>116</v>
      </c>
      <c r="O2" s="11" t="s">
        <v>117</v>
      </c>
      <c r="P2" s="11" t="s">
        <v>118</v>
      </c>
      <c r="Q2" s="11" t="s">
        <v>119</v>
      </c>
      <c r="R2" s="11" t="s">
        <v>120</v>
      </c>
      <c r="S2" s="13" t="s">
        <v>121</v>
      </c>
      <c r="T2" s="11" t="s">
        <v>122</v>
      </c>
      <c r="U2" s="11" t="s">
        <v>123</v>
      </c>
      <c r="V2" s="10" t="s">
        <v>124</v>
      </c>
      <c r="W2" s="11" t="s">
        <v>125</v>
      </c>
      <c r="X2" s="10" t="s">
        <v>126</v>
      </c>
      <c r="Y2" s="10" t="s">
        <v>127</v>
      </c>
    </row>
    <row r="3" spans="1:25">
      <c r="A3" s="4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8" customFormat="1">
      <c r="A4" s="20" t="s">
        <v>34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26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27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28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36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29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23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30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31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32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38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35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51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47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49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186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187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185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52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P18"/>
  <sheetViews>
    <sheetView showGridLines="0" tabSelected="1" view="pageBreakPreview" zoomScaleNormal="100" zoomScaleSheetLayoutView="100" workbookViewId="0">
      <selection activeCell="M7" sqref="M7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6" ht="24.95" customHeight="1">
      <c r="A1" s="38" t="s">
        <v>192</v>
      </c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6" ht="24.95" customHeight="1">
      <c r="A2" s="41" t="s">
        <v>193</v>
      </c>
      <c r="B2" s="42"/>
      <c r="C2" s="42"/>
      <c r="D2" s="42"/>
      <c r="E2" s="42"/>
      <c r="F2" s="42"/>
      <c r="G2" s="42"/>
      <c r="H2" s="42"/>
      <c r="I2" s="42"/>
      <c r="J2" s="42"/>
      <c r="K2" s="43"/>
    </row>
    <row r="3" spans="1:16" ht="36.75" customHeight="1">
      <c r="A3" s="37" t="s">
        <v>190</v>
      </c>
      <c r="B3" s="37"/>
      <c r="C3" s="37"/>
      <c r="D3" s="37"/>
      <c r="E3" s="37"/>
      <c r="F3" s="37"/>
      <c r="G3" s="37"/>
      <c r="H3" s="37"/>
      <c r="I3" s="37"/>
      <c r="J3" s="37"/>
      <c r="K3" s="37"/>
    </row>
    <row r="4" spans="1:16" ht="15.75">
      <c r="A4" s="31" t="s">
        <v>10</v>
      </c>
      <c r="B4" s="32" t="s">
        <v>9</v>
      </c>
      <c r="C4" s="33" t="s">
        <v>8</v>
      </c>
      <c r="D4" s="34"/>
      <c r="E4" s="34"/>
      <c r="F4" s="34"/>
      <c r="G4" s="34"/>
      <c r="H4" s="34"/>
      <c r="I4" s="34"/>
      <c r="J4" s="34"/>
      <c r="K4" s="34"/>
    </row>
    <row r="5" spans="1:16" ht="34.5" customHeight="1">
      <c r="A5" s="31"/>
      <c r="B5" s="32"/>
      <c r="C5" s="33" t="s">
        <v>7</v>
      </c>
      <c r="D5" s="33"/>
      <c r="E5" s="33"/>
      <c r="F5" s="33"/>
      <c r="G5" s="31" t="s">
        <v>6</v>
      </c>
      <c r="H5" s="31"/>
      <c r="I5" s="31"/>
      <c r="J5" s="31"/>
      <c r="K5" s="32" t="s">
        <v>5</v>
      </c>
    </row>
    <row r="6" spans="1:16" ht="34.5" customHeight="1">
      <c r="A6" s="31"/>
      <c r="B6" s="32"/>
      <c r="C6" s="33" t="s">
        <v>4</v>
      </c>
      <c r="D6" s="33"/>
      <c r="E6" s="32" t="s">
        <v>3</v>
      </c>
      <c r="F6" s="32" t="s">
        <v>2</v>
      </c>
      <c r="G6" s="33" t="s">
        <v>4</v>
      </c>
      <c r="H6" s="33"/>
      <c r="I6" s="32" t="s">
        <v>3</v>
      </c>
      <c r="J6" s="32" t="s">
        <v>2</v>
      </c>
      <c r="K6" s="32"/>
    </row>
    <row r="7" spans="1:16" ht="75.75" customHeight="1">
      <c r="A7" s="31"/>
      <c r="B7" s="32"/>
      <c r="C7" s="29" t="s">
        <v>1</v>
      </c>
      <c r="D7" s="29" t="s">
        <v>0</v>
      </c>
      <c r="E7" s="32"/>
      <c r="F7" s="32"/>
      <c r="G7" s="29" t="s">
        <v>1</v>
      </c>
      <c r="H7" s="29" t="s">
        <v>0</v>
      </c>
      <c r="I7" s="32"/>
      <c r="J7" s="32"/>
      <c r="K7" s="32"/>
    </row>
    <row r="8" spans="1:16" ht="24.95" customHeight="1">
      <c r="A8" s="23" t="s">
        <v>11</v>
      </c>
      <c r="B8" s="2"/>
      <c r="C8" s="3"/>
      <c r="D8" s="3"/>
      <c r="E8" s="3"/>
      <c r="F8" s="3"/>
      <c r="G8" s="3"/>
      <c r="H8" s="3"/>
      <c r="I8" s="3"/>
      <c r="J8" s="3"/>
      <c r="K8" s="27"/>
    </row>
    <row r="9" spans="1:16" ht="24.95" customHeight="1">
      <c r="A9" s="23" t="s">
        <v>20</v>
      </c>
      <c r="B9" s="2"/>
      <c r="C9" s="3"/>
      <c r="D9" s="3"/>
      <c r="E9" s="3"/>
      <c r="F9" s="3"/>
      <c r="G9" s="3"/>
      <c r="H9" s="3"/>
      <c r="I9" s="3"/>
      <c r="J9" s="3"/>
      <c r="K9" s="27"/>
    </row>
    <row r="10" spans="1:16" ht="24.95" customHeight="1">
      <c r="A10" s="23" t="s">
        <v>13</v>
      </c>
      <c r="B10" s="3">
        <v>6</v>
      </c>
      <c r="C10" s="3">
        <v>1306</v>
      </c>
      <c r="D10" s="3">
        <v>53</v>
      </c>
      <c r="E10" s="3">
        <v>0</v>
      </c>
      <c r="F10" s="3">
        <v>1359</v>
      </c>
      <c r="G10" s="3">
        <v>2014</v>
      </c>
      <c r="H10" s="3">
        <v>195</v>
      </c>
      <c r="I10" s="3">
        <v>0</v>
      </c>
      <c r="J10" s="3">
        <v>2209</v>
      </c>
      <c r="K10" s="27">
        <v>368.16666666666669</v>
      </c>
    </row>
    <row r="11" spans="1:16" ht="24.95" customHeight="1">
      <c r="A11" s="23" t="s">
        <v>25</v>
      </c>
      <c r="B11" s="3">
        <v>9</v>
      </c>
      <c r="C11" s="3">
        <v>13272</v>
      </c>
      <c r="D11" s="3">
        <v>47</v>
      </c>
      <c r="E11" s="3">
        <v>0</v>
      </c>
      <c r="F11" s="3">
        <v>13319</v>
      </c>
      <c r="G11" s="3">
        <v>21020</v>
      </c>
      <c r="H11" s="3">
        <v>77</v>
      </c>
      <c r="I11" s="3">
        <v>0</v>
      </c>
      <c r="J11" s="3">
        <v>21097</v>
      </c>
      <c r="K11" s="27">
        <v>2344.1111111111113</v>
      </c>
    </row>
    <row r="12" spans="1:16" ht="24.95" customHeight="1">
      <c r="A12" s="23" t="s">
        <v>67</v>
      </c>
      <c r="B12" s="3">
        <v>13</v>
      </c>
      <c r="C12" s="3">
        <v>23982</v>
      </c>
      <c r="D12" s="3">
        <v>12</v>
      </c>
      <c r="E12" s="3">
        <v>0</v>
      </c>
      <c r="F12" s="3">
        <v>23994</v>
      </c>
      <c r="G12" s="3">
        <v>40739</v>
      </c>
      <c r="H12" s="3">
        <v>91</v>
      </c>
      <c r="I12" s="3">
        <v>0</v>
      </c>
      <c r="J12" s="3">
        <v>40830</v>
      </c>
      <c r="K12" s="27">
        <v>3140.7692307692309</v>
      </c>
      <c r="N12" s="28"/>
      <c r="P12" s="28"/>
    </row>
    <row r="13" spans="1:16" ht="24.95" customHeight="1">
      <c r="A13" s="23" t="s">
        <v>182</v>
      </c>
      <c r="B13" s="3">
        <v>19</v>
      </c>
      <c r="C13" s="3">
        <v>32878</v>
      </c>
      <c r="D13" s="3">
        <v>167</v>
      </c>
      <c r="E13" s="3">
        <v>0</v>
      </c>
      <c r="F13" s="3">
        <v>33045</v>
      </c>
      <c r="G13" s="3">
        <v>57055.519999999997</v>
      </c>
      <c r="H13" s="3">
        <v>82</v>
      </c>
      <c r="I13" s="3">
        <v>0</v>
      </c>
      <c r="J13" s="3">
        <v>57138</v>
      </c>
      <c r="K13" s="27">
        <v>3007.2631578947367</v>
      </c>
    </row>
    <row r="14" spans="1:16" ht="24.95" customHeight="1">
      <c r="A14" s="23" t="s">
        <v>189</v>
      </c>
      <c r="B14" s="3">
        <v>22</v>
      </c>
      <c r="C14" s="3">
        <v>40645</v>
      </c>
      <c r="D14" s="3">
        <v>14</v>
      </c>
      <c r="E14" s="3">
        <v>0</v>
      </c>
      <c r="F14" s="3">
        <v>40659</v>
      </c>
      <c r="G14" s="3">
        <v>39537</v>
      </c>
      <c r="H14" s="3">
        <v>90</v>
      </c>
      <c r="I14" s="3">
        <v>0</v>
      </c>
      <c r="J14" s="3">
        <v>39627</v>
      </c>
      <c r="K14" s="27">
        <v>1801.2272727272727</v>
      </c>
    </row>
    <row r="15" spans="1:16" ht="24.95" customHeight="1">
      <c r="A15" s="23" t="s">
        <v>191</v>
      </c>
      <c r="B15" s="3">
        <v>42</v>
      </c>
      <c r="C15" s="3">
        <v>62771</v>
      </c>
      <c r="D15" s="3">
        <v>2</v>
      </c>
      <c r="E15" s="3">
        <v>0</v>
      </c>
      <c r="F15" s="3">
        <v>62773</v>
      </c>
      <c r="G15" s="3">
        <v>54796.02</v>
      </c>
      <c r="H15" s="3">
        <v>5</v>
      </c>
      <c r="I15" s="3">
        <v>0</v>
      </c>
      <c r="J15" s="3">
        <v>54800.800000000003</v>
      </c>
      <c r="K15" s="27">
        <v>1304.7809523809524</v>
      </c>
    </row>
    <row r="16" spans="1:16" ht="24.95" customHeight="1">
      <c r="A16" s="23" t="s">
        <v>194</v>
      </c>
      <c r="B16" s="3">
        <v>47</v>
      </c>
      <c r="C16" s="3">
        <v>31252</v>
      </c>
      <c r="D16" s="3">
        <v>101</v>
      </c>
      <c r="E16" s="3">
        <v>0</v>
      </c>
      <c r="F16" s="3">
        <v>31353</v>
      </c>
      <c r="G16" s="3">
        <v>53969</v>
      </c>
      <c r="H16" s="3">
        <v>362</v>
      </c>
      <c r="I16" s="3">
        <v>0</v>
      </c>
      <c r="J16" s="3">
        <v>54331</v>
      </c>
      <c r="K16" s="27">
        <v>1156.0212765957447</v>
      </c>
    </row>
    <row r="17" spans="1:11" ht="24.95" customHeight="1">
      <c r="A17" s="23" t="s">
        <v>195</v>
      </c>
      <c r="B17" s="3">
        <v>50</v>
      </c>
      <c r="C17" s="3">
        <v>55141</v>
      </c>
      <c r="D17" s="3">
        <v>3261</v>
      </c>
      <c r="E17" s="3">
        <v>0</v>
      </c>
      <c r="F17" s="3">
        <v>58402</v>
      </c>
      <c r="G17" s="3">
        <v>103093.95</v>
      </c>
      <c r="H17" s="3">
        <v>1256.9666666666667</v>
      </c>
      <c r="I17" s="3">
        <v>0</v>
      </c>
      <c r="J17" s="35">
        <v>104350.916666666</v>
      </c>
      <c r="K17" s="36">
        <v>2087.0183333333202</v>
      </c>
    </row>
    <row r="18" spans="1:11" ht="24.95" customHeight="1">
      <c r="A18" s="30" t="s">
        <v>12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2023-02-08T12:01:30Z</cp:lastPrinted>
  <dcterms:created xsi:type="dcterms:W3CDTF">2002-12-26T09:18:20Z</dcterms:created>
  <dcterms:modified xsi:type="dcterms:W3CDTF">2023-02-08T12:13:41Z</dcterms:modified>
</cp:coreProperties>
</file>