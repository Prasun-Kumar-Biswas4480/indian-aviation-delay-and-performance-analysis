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2. INDIGO\"/>
    </mc:Choice>
  </mc:AlternateContent>
  <bookViews>
    <workbookView xWindow="0" yWindow="0" windowWidth="24000" windowHeight="9735"/>
  </bookViews>
  <sheets>
    <sheet name="INDIGO" sheetId="5" r:id="rId1"/>
  </sheets>
  <externalReferences>
    <externalReference r:id="rId2"/>
    <externalReference r:id="rId3"/>
  </externalReferences>
  <definedNames>
    <definedName name="_xlnm._FilterDatabase" localSheetId="0" hidden="1">INDIGO!$A$6:$Q$40</definedName>
    <definedName name="_xlnm.Print_Titles" localSheetId="0">INDIGO!$1:$5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5" l="1"/>
  <c r="Q18" i="5"/>
  <c r="B18" i="5"/>
  <c r="C35" i="5" l="1"/>
  <c r="D35" i="5"/>
  <c r="E35" i="5"/>
  <c r="F35" i="5"/>
  <c r="G35" i="5"/>
  <c r="I35" i="5"/>
  <c r="K35" i="5"/>
  <c r="L35" i="5"/>
  <c r="M35" i="5"/>
  <c r="O35" i="5"/>
  <c r="P35" i="5"/>
  <c r="B35" i="5"/>
  <c r="C32" i="5"/>
  <c r="D32" i="5"/>
  <c r="E32" i="5"/>
  <c r="F32" i="5"/>
  <c r="G32" i="5"/>
  <c r="I32" i="5"/>
  <c r="K32" i="5"/>
  <c r="L32" i="5"/>
  <c r="M32" i="5"/>
  <c r="O32" i="5"/>
  <c r="P32" i="5"/>
  <c r="B32" i="5"/>
  <c r="C29" i="5"/>
  <c r="D29" i="5"/>
  <c r="E29" i="5"/>
  <c r="F29" i="5"/>
  <c r="G29" i="5"/>
  <c r="I29" i="5"/>
  <c r="K29" i="5"/>
  <c r="L29" i="5"/>
  <c r="M29" i="5"/>
  <c r="O29" i="5"/>
  <c r="P29" i="5"/>
  <c r="B29" i="5"/>
  <c r="C26" i="5"/>
  <c r="D26" i="5"/>
  <c r="E26" i="5"/>
  <c r="F26" i="5"/>
  <c r="G26" i="5"/>
  <c r="I26" i="5"/>
  <c r="K26" i="5"/>
  <c r="L26" i="5"/>
  <c r="M26" i="5"/>
  <c r="O26" i="5"/>
  <c r="P26" i="5"/>
  <c r="B26" i="5"/>
  <c r="C20" i="5"/>
  <c r="D20" i="5"/>
  <c r="E20" i="5"/>
  <c r="F20" i="5"/>
  <c r="G20" i="5"/>
  <c r="I20" i="5"/>
  <c r="K20" i="5"/>
  <c r="L20" i="5"/>
  <c r="M20" i="5"/>
  <c r="O20" i="5"/>
  <c r="P20" i="5"/>
  <c r="B20" i="5"/>
  <c r="C17" i="5"/>
  <c r="D17" i="5"/>
  <c r="E17" i="5"/>
  <c r="F17" i="5"/>
  <c r="G17" i="5"/>
  <c r="I17" i="5"/>
  <c r="K17" i="5"/>
  <c r="L17" i="5"/>
  <c r="M17" i="5"/>
  <c r="O17" i="5"/>
  <c r="P17" i="5"/>
  <c r="B17" i="5"/>
  <c r="C23" i="5"/>
  <c r="D23" i="5"/>
  <c r="E23" i="5"/>
  <c r="F23" i="5"/>
  <c r="G23" i="5"/>
  <c r="I23" i="5"/>
  <c r="K23" i="5"/>
  <c r="L23" i="5"/>
  <c r="M23" i="5"/>
  <c r="O23" i="5"/>
  <c r="P23" i="5"/>
  <c r="B23" i="5"/>
  <c r="C14" i="5"/>
  <c r="D14" i="5"/>
  <c r="E14" i="5"/>
  <c r="F14" i="5"/>
  <c r="G14" i="5"/>
  <c r="I14" i="5"/>
  <c r="K14" i="5"/>
  <c r="L14" i="5"/>
  <c r="M14" i="5"/>
  <c r="O14" i="5"/>
  <c r="P14" i="5"/>
  <c r="B14" i="5"/>
  <c r="C11" i="5"/>
  <c r="D11" i="5"/>
  <c r="E11" i="5"/>
  <c r="F11" i="5"/>
  <c r="G11" i="5"/>
  <c r="I11" i="5"/>
  <c r="K11" i="5"/>
  <c r="L11" i="5"/>
  <c r="M11" i="5"/>
  <c r="O11" i="5"/>
  <c r="P11" i="5"/>
  <c r="B11" i="5"/>
  <c r="B10" i="5"/>
  <c r="J36" i="5" l="1"/>
  <c r="K36" i="5"/>
  <c r="L36" i="5"/>
  <c r="M36" i="5"/>
  <c r="N36" i="5"/>
  <c r="O36" i="5"/>
  <c r="P36" i="5"/>
  <c r="I36" i="5"/>
  <c r="C36" i="5"/>
  <c r="D36" i="5"/>
  <c r="E36" i="5"/>
  <c r="F36" i="5"/>
  <c r="G36" i="5"/>
  <c r="B36" i="5"/>
  <c r="Q36" i="5" l="1"/>
  <c r="P38" i="5"/>
  <c r="O38" i="5"/>
  <c r="M38" i="5"/>
  <c r="L38" i="5"/>
  <c r="K38" i="5"/>
  <c r="I38" i="5"/>
  <c r="G38" i="5"/>
  <c r="F38" i="5"/>
  <c r="E38" i="5"/>
  <c r="D38" i="5"/>
  <c r="C38" i="5"/>
  <c r="B38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B34" i="5"/>
  <c r="C34" i="5"/>
  <c r="D34" i="5"/>
  <c r="E34" i="5"/>
  <c r="F34" i="5"/>
  <c r="G34" i="5"/>
  <c r="I34" i="5"/>
  <c r="J34" i="5"/>
  <c r="K34" i="5"/>
  <c r="L34" i="5"/>
  <c r="M34" i="5"/>
  <c r="N34" i="5"/>
  <c r="O34" i="5"/>
  <c r="P34" i="5"/>
  <c r="P31" i="5" l="1"/>
  <c r="O31" i="5"/>
  <c r="N31" i="5"/>
  <c r="M31" i="5"/>
  <c r="L31" i="5"/>
  <c r="K31" i="5"/>
  <c r="J31" i="5"/>
  <c r="I31" i="5"/>
  <c r="G31" i="5"/>
  <c r="F31" i="5"/>
  <c r="E31" i="5"/>
  <c r="D31" i="5"/>
  <c r="C31" i="5"/>
  <c r="B31" i="5"/>
  <c r="P28" i="5"/>
  <c r="O28" i="5"/>
  <c r="N28" i="5"/>
  <c r="M28" i="5"/>
  <c r="L28" i="5"/>
  <c r="K28" i="5"/>
  <c r="J28" i="5"/>
  <c r="I28" i="5"/>
  <c r="G28" i="5"/>
  <c r="F28" i="5"/>
  <c r="E28" i="5"/>
  <c r="D28" i="5"/>
  <c r="C28" i="5"/>
  <c r="B28" i="5"/>
  <c r="P25" i="5"/>
  <c r="O25" i="5"/>
  <c r="N25" i="5"/>
  <c r="M25" i="5"/>
  <c r="L25" i="5"/>
  <c r="K25" i="5"/>
  <c r="J25" i="5"/>
  <c r="I25" i="5"/>
  <c r="G25" i="5"/>
  <c r="F25" i="5"/>
  <c r="E25" i="5"/>
  <c r="D25" i="5"/>
  <c r="C25" i="5"/>
  <c r="B25" i="5"/>
  <c r="P22" i="5"/>
  <c r="O22" i="5"/>
  <c r="N22" i="5"/>
  <c r="M22" i="5"/>
  <c r="L22" i="5"/>
  <c r="K22" i="5"/>
  <c r="J22" i="5"/>
  <c r="I22" i="5"/>
  <c r="G22" i="5"/>
  <c r="F22" i="5"/>
  <c r="E22" i="5"/>
  <c r="D22" i="5"/>
  <c r="C22" i="5"/>
  <c r="B22" i="5"/>
  <c r="P19" i="5"/>
  <c r="O19" i="5"/>
  <c r="M19" i="5"/>
  <c r="L19" i="5"/>
  <c r="K19" i="5"/>
  <c r="I19" i="5"/>
  <c r="G19" i="5"/>
  <c r="F19" i="5"/>
  <c r="E19" i="5"/>
  <c r="D19" i="5"/>
  <c r="C19" i="5"/>
  <c r="B19" i="5"/>
  <c r="P16" i="5"/>
  <c r="O16" i="5"/>
  <c r="M16" i="5"/>
  <c r="L16" i="5"/>
  <c r="K16" i="5"/>
  <c r="I16" i="5"/>
  <c r="G16" i="5"/>
  <c r="F16" i="5"/>
  <c r="E16" i="5"/>
  <c r="D16" i="5"/>
  <c r="C16" i="5"/>
  <c r="B16" i="5"/>
  <c r="P13" i="5"/>
  <c r="O13" i="5"/>
  <c r="M13" i="5"/>
  <c r="L13" i="5"/>
  <c r="K13" i="5"/>
  <c r="I13" i="5"/>
  <c r="G13" i="5"/>
  <c r="F13" i="5"/>
  <c r="E13" i="5"/>
  <c r="D13" i="5"/>
  <c r="C13" i="5"/>
  <c r="B13" i="5"/>
  <c r="P10" i="5"/>
  <c r="O10" i="5"/>
  <c r="M10" i="5"/>
  <c r="L10" i="5"/>
  <c r="K10" i="5"/>
  <c r="I10" i="5"/>
  <c r="G10" i="5"/>
  <c r="F10" i="5"/>
  <c r="E10" i="5"/>
  <c r="D10" i="5"/>
  <c r="C10" i="5"/>
  <c r="Q30" i="5" l="1"/>
  <c r="Q27" i="5"/>
  <c r="Q29" i="5" s="1"/>
  <c r="Q24" i="5"/>
  <c r="Q26" i="5" s="1"/>
  <c r="Q21" i="5"/>
  <c r="Q23" i="5" s="1"/>
  <c r="Q15" i="5"/>
  <c r="Q12" i="5"/>
  <c r="Q14" i="5" s="1"/>
  <c r="Q9" i="5"/>
  <c r="Q11" i="5" s="1"/>
  <c r="Q6" i="5"/>
  <c r="H30" i="5"/>
  <c r="H27" i="5"/>
  <c r="H24" i="5"/>
  <c r="H21" i="5"/>
  <c r="H15" i="5"/>
  <c r="H12" i="5"/>
  <c r="H9" i="5"/>
  <c r="H6" i="5"/>
  <c r="H35" i="5" l="1"/>
  <c r="H20" i="5"/>
  <c r="H38" i="5"/>
  <c r="H11" i="5"/>
  <c r="H14" i="5"/>
  <c r="H23" i="5"/>
  <c r="H17" i="5"/>
  <c r="Q32" i="5"/>
  <c r="Q34" i="5"/>
  <c r="H26" i="5"/>
  <c r="H29" i="5"/>
  <c r="H32" i="5"/>
  <c r="H34" i="5"/>
  <c r="Q35" i="5"/>
  <c r="Q20" i="5"/>
  <c r="Q38" i="5"/>
  <c r="Q17" i="5"/>
  <c r="Q22" i="5"/>
  <c r="H16" i="5"/>
  <c r="H19" i="5"/>
  <c r="Q13" i="5"/>
  <c r="Q16" i="5"/>
  <c r="Q19" i="5"/>
  <c r="H31" i="5"/>
  <c r="Q25" i="5"/>
  <c r="H10" i="5"/>
  <c r="Q28" i="5"/>
  <c r="Q10" i="5"/>
  <c r="H22" i="5"/>
  <c r="H25" i="5"/>
  <c r="H28" i="5"/>
  <c r="H13" i="5"/>
  <c r="Q31" i="5"/>
</calcChain>
</file>

<file path=xl/sharedStrings.xml><?xml version="1.0" encoding="utf-8"?>
<sst xmlns="http://schemas.openxmlformats.org/spreadsheetml/2006/main" count="120" uniqueCount="39">
  <si>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</si>
  <si>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</si>
  <si>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</si>
  <si>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</si>
  <si>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</si>
  <si>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</si>
  <si>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</si>
  <si>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</si>
  <si>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</si>
  <si>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</si>
  <si>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</si>
  <si>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</si>
  <si>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</si>
  <si>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</si>
  <si>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</si>
  <si>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</si>
  <si>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</si>
  <si>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</si>
  <si>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</si>
  <si>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</si>
  <si>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</si>
  <si>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</si>
  <si>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</si>
  <si>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</si>
  <si>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</si>
  <si>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</si>
  <si>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</si>
  <si>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</si>
  <si>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</si>
  <si>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</si>
  <si>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</si>
  <si>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(INDIGO)</t>
  </si>
  <si>
    <t>SOURCE: ICAO ATR FORM 'A' FURNISHED BY INDIGO</t>
  </si>
  <si>
    <t xml:space="preserve"> तालिका- 1.06 (इंडिगो) </t>
  </si>
  <si>
    <t>2019-20</t>
  </si>
  <si>
    <t>Note: Growth has been calculated with respect to preceeding year while Compound Annual Growth Rate (CAGR) has been calculating taking 2009-10 as a Base Year</t>
  </si>
  <si>
    <t>YEAR ON YEAR GROWTH AND CAGR FOR LAST TEN YEARS OF INDIGO ON TOTAL (DOMESTIC + INTERNATIONAL) SCHEDULED SERVICES (ALL AIR TRAFFIC AND OPERATING STATISTICS)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</si>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</sst>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6" borderId="0" applyNumberFormat="0" applyBorder="0" applyAlignment="0" applyProtection="0"/>
    <xf numFmtId="164" fontId="4" fillId="0" borderId="0" applyFont="0" applyFill="0" applyBorder="0" applyAlignment="0" applyProtection="0"/>
  </cellStyleXfs>
  <cellXfs count="27">
    <xf numFmtId="0" fontId="0" fillId="0" borderId="0" xfId="0"/>
    <xf numFmtId="0" fontId="4" fillId="4" borderId="1" xfId="3" applyBorder="1" applyAlignment="1" applyProtection="1">
      <alignment horizontal="center" vertical="center" wrapText="1"/>
    </xf>
    <xf numFmtId="0" fontId="5" fillId="6" borderId="1" xfId="5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5" fontId="7" fillId="2" borderId="1" xfId="1" applyNumberFormat="1" applyFont="1" applyFill="1" applyBorder="1" applyAlignment="1" applyProtection="1">
      <alignment horizontal="center" vertical="center" wrapText="1"/>
    </xf>
    <xf numFmtId="168" fontId="8" fillId="7" borderId="1" xfId="1" applyNumberFormat="1" applyFont="1" applyFill="1" applyBorder="1" applyAlignment="1" applyProtection="1">
      <alignment horizontal="center" vertical="center" wrapText="1"/>
    </xf>
    <xf numFmtId="165" fontId="6" fillId="8" borderId="1" xfId="1" applyNumberFormat="1" applyFont="1" applyFill="1" applyBorder="1" applyAlignment="1" applyProtection="1">
      <alignment horizontal="center" vertical="center" wrapText="1"/>
    </xf>
    <xf numFmtId="165" fontId="4" fillId="4" borderId="1" xfId="1" applyNumberFormat="1" applyFill="1" applyBorder="1" applyAlignment="1" applyProtection="1">
      <alignment horizontal="right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Border="1" applyAlignment="1" applyProtection="1">
      <alignment horizontal="right" vertical="center" wrapText="1"/>
    </xf>
    <xf numFmtId="165" fontId="0" fillId="4" borderId="1" xfId="1" applyNumberFormat="1" applyFont="1" applyFill="1" applyBorder="1" applyAlignment="1" applyProtection="1">
      <alignment horizontal="right" vertical="center" wrapText="1"/>
    </xf>
    <xf numFmtId="165" fontId="8" fillId="7" borderId="1" xfId="1" applyNumberFormat="1" applyFont="1" applyFill="1" applyBorder="1" applyAlignment="1" applyProtection="1">
      <alignment horizontal="center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05%20indig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.04%20indi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O"/>
    </sheetNames>
    <sheetDataSet>
      <sheetData sheetId="0">
        <row r="18">
          <cell r="B18">
            <v>9771</v>
          </cell>
        </row>
        <row r="36">
          <cell r="B36">
            <v>10368</v>
          </cell>
          <cell r="C36">
            <v>37690.319929999991</v>
          </cell>
          <cell r="D36">
            <v>25620.383999999998</v>
          </cell>
          <cell r="E36">
            <v>1298199</v>
          </cell>
          <cell r="F36">
            <v>3248.732</v>
          </cell>
          <cell r="G36">
            <v>4292.8149999999996</v>
          </cell>
          <cell r="I36">
            <v>11857.332569999999</v>
          </cell>
          <cell r="J36">
            <v>840.12950999999975</v>
          </cell>
          <cell r="K36">
            <v>12697.462079999998</v>
          </cell>
          <cell r="L36">
            <v>290.03626300000002</v>
          </cell>
          <cell r="M36">
            <v>17.67260633994</v>
          </cell>
          <cell r="N36">
            <v>1.7377185377</v>
          </cell>
          <cell r="O36">
            <v>309.44658787764001</v>
          </cell>
          <cell r="P36">
            <v>491.63468543900001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GO"/>
    </sheetNames>
    <sheetDataSet>
      <sheetData sheetId="0">
        <row r="18">
          <cell r="B18">
            <v>183149</v>
          </cell>
        </row>
        <row r="36">
          <cell r="B36">
            <v>249208</v>
          </cell>
          <cell r="C36">
            <v>440751.03</v>
          </cell>
          <cell r="D36">
            <v>226023.81299999997</v>
          </cell>
          <cell r="E36">
            <v>29336170</v>
          </cell>
          <cell r="F36">
            <v>28217.864000000001</v>
          </cell>
          <cell r="G36">
            <v>41047.998</v>
          </cell>
          <cell r="I36">
            <v>142981.71165000001</v>
          </cell>
          <cell r="J36">
            <v>21697.819789999994</v>
          </cell>
          <cell r="K36">
            <v>164679.53143999999</v>
          </cell>
          <cell r="L36">
            <v>2539.1586056696601</v>
          </cell>
          <cell r="M36">
            <v>157.63319841166</v>
          </cell>
          <cell r="N36">
            <v>19.299671782080001</v>
          </cell>
          <cell r="O36">
            <v>2716.0914758634003</v>
          </cell>
          <cell r="P36">
            <v>4309.6716158549998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view="pageBreakPreview" zoomScale="60" zoomScaleNormal="100" workbookViewId="0">
      <selection activeCell="A41" sqref="A1:Q41"/>
    </sheetView>
  </sheetViews>
  <sheetFormatPr defaultRowHeight="15" x14ac:dyDescent="0.25"/>
  <cols>
    <col min="1" max="1" width="8.42578125" customWidth="1"/>
    <col min="2" max="2" width="8.7109375" customWidth="1"/>
    <col min="3" max="3" width="10" customWidth="1"/>
    <col min="4" max="4" width="8.85546875" customWidth="1"/>
    <col min="5" max="5" width="11.28515625" customWidth="1"/>
    <col min="6" max="6" width="7.28515625" customWidth="1"/>
    <col min="7" max="7" width="7.42578125" customWidth="1"/>
    <col min="8" max="8" width="7.85546875" customWidth="1"/>
    <col min="9" max="9" width="10.5703125" customWidth="1"/>
    <col min="10" max="10" width="8.85546875" customWidth="1"/>
    <col min="11" max="11" width="10.28515625" customWidth="1"/>
    <col min="12" max="12" width="7.7109375" customWidth="1"/>
    <col min="13" max="13" width="6.5703125" customWidth="1"/>
    <col min="14" max="14" width="8" customWidth="1"/>
    <col min="15" max="15" width="8.42578125" customWidth="1"/>
    <col min="16" max="16" width="8.85546875" customWidth="1"/>
    <col min="17" max="17" width="7.140625" customWidth="1"/>
  </cols>
  <sheetData>
    <row r="1" spans="1:17" x14ac:dyDescent="0.25">
      <c r="A1" s="15" t="s">
        <v>33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x14ac:dyDescent="0.25">
      <c r="A2" s="16" t="s">
        <v>31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25">
      <c r="A3" s="18" t="s">
        <v>36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22.25" customHeight="1" x14ac:dyDescent="0.25">
      <c r="A5" s="18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21"/>
      <c r="H5" s="21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21"/>
      <c r="Q5" s="21"/>
    </row>
    <row r="6" spans="1:17" ht="17.100000000000001" customHeight="1" x14ac:dyDescent="0.25">
      <c r="A6" s="2" t="s">
        <v>19</v>
      </c>
      <c r="B6" s="5">
        <v>70217</v>
      </c>
      <c r="C6" s="5">
        <v>125551.67</v>
      </c>
      <c r="D6" s="5">
        <v>69424</v>
      </c>
      <c r="E6" s="5">
        <v>9466897</v>
      </c>
      <c r="F6" s="5">
        <v>10633.906999999999</v>
      </c>
      <c r="G6" s="5">
        <v>12491.392</v>
      </c>
      <c r="H6" s="7">
        <f t="shared" ref="H6:H30" si="0">F6/G6*100</f>
        <v>85.129879840453327</v>
      </c>
      <c r="I6" s="4">
        <v>77793</v>
      </c>
      <c r="J6" s="4">
        <v>0</v>
      </c>
      <c r="K6" s="4">
        <v>77793</v>
      </c>
      <c r="L6" s="4">
        <v>954.47</v>
      </c>
      <c r="M6" s="4">
        <v>84.308999999999997</v>
      </c>
      <c r="N6" s="4">
        <v>0</v>
      </c>
      <c r="O6" s="4">
        <v>1038.779</v>
      </c>
      <c r="P6" s="4">
        <v>1263.5060000000001</v>
      </c>
      <c r="Q6" s="7">
        <f t="shared" ref="Q6:Q30" si="1">O6/P6*100</f>
        <v>82.214014021302631</v>
      </c>
    </row>
    <row r="7" spans="1:17" ht="17.100000000000001" customHeight="1" x14ac:dyDescent="0.25">
      <c r="A7" s="1" t="s">
        <v>27</v>
      </c>
      <c r="B7" s="9" t="s">
        <v>28</v>
      </c>
      <c r="C7" s="9" t="s">
        <v>28</v>
      </c>
      <c r="D7" s="9" t="s">
        <v>28</v>
      </c>
      <c r="E7" s="9" t="s">
        <v>28</v>
      </c>
      <c r="F7" s="9" t="s">
        <v>28</v>
      </c>
      <c r="G7" s="9" t="s">
        <v>28</v>
      </c>
      <c r="H7" s="8" t="s">
        <v>28</v>
      </c>
      <c r="I7" s="9" t="s">
        <v>28</v>
      </c>
      <c r="J7" s="12" t="s">
        <v>28</v>
      </c>
      <c r="K7" s="9" t="s">
        <v>28</v>
      </c>
      <c r="L7" s="9" t="s">
        <v>28</v>
      </c>
      <c r="M7" s="9" t="s">
        <v>28</v>
      </c>
      <c r="N7" s="12" t="s">
        <v>28</v>
      </c>
      <c r="O7" s="9" t="s">
        <v>28</v>
      </c>
      <c r="P7" s="9" t="s">
        <v>28</v>
      </c>
      <c r="Q7" s="8" t="s">
        <v>28</v>
      </c>
    </row>
    <row r="8" spans="1:17" ht="17.100000000000001" customHeight="1" x14ac:dyDescent="0.25">
      <c r="A8" s="3" t="s">
        <v>29</v>
      </c>
      <c r="B8" s="10" t="s">
        <v>28</v>
      </c>
      <c r="C8" s="10" t="s">
        <v>28</v>
      </c>
      <c r="D8" s="10" t="s">
        <v>28</v>
      </c>
      <c r="E8" s="10" t="s">
        <v>28</v>
      </c>
      <c r="F8" s="10" t="s">
        <v>28</v>
      </c>
      <c r="G8" s="10" t="s">
        <v>28</v>
      </c>
      <c r="H8" s="6" t="s">
        <v>28</v>
      </c>
      <c r="I8" s="10" t="s">
        <v>28</v>
      </c>
      <c r="J8" s="10" t="s">
        <v>28</v>
      </c>
      <c r="K8" s="10" t="s">
        <v>28</v>
      </c>
      <c r="L8" s="10" t="s">
        <v>28</v>
      </c>
      <c r="M8" s="10" t="s">
        <v>28</v>
      </c>
      <c r="N8" s="10" t="s">
        <v>28</v>
      </c>
      <c r="O8" s="10" t="s">
        <v>28</v>
      </c>
      <c r="P8" s="10" t="s">
        <v>28</v>
      </c>
      <c r="Q8" s="6" t="s">
        <v>28</v>
      </c>
    </row>
    <row r="9" spans="1:17" ht="17.100000000000001" customHeight="1" x14ac:dyDescent="0.25">
      <c r="A9" s="2" t="s">
        <v>20</v>
      </c>
      <c r="B9" s="5">
        <v>98416</v>
      </c>
      <c r="C9" s="5">
        <v>179254.96000000002</v>
      </c>
      <c r="D9" s="5">
        <v>100095</v>
      </c>
      <c r="E9" s="5">
        <v>12751544</v>
      </c>
      <c r="F9" s="5">
        <v>14826.293</v>
      </c>
      <c r="G9" s="5">
        <v>18006.36</v>
      </c>
      <c r="H9" s="7">
        <f t="shared" si="0"/>
        <v>82.339201259999243</v>
      </c>
      <c r="I9" s="4">
        <v>76149</v>
      </c>
      <c r="J9" s="4">
        <v>0</v>
      </c>
      <c r="K9" s="4">
        <v>76149</v>
      </c>
      <c r="L9" s="4">
        <v>1328.777</v>
      </c>
      <c r="M9" s="4">
        <v>83.692999999999998</v>
      </c>
      <c r="N9" s="4">
        <v>0</v>
      </c>
      <c r="O9" s="4">
        <v>1412.47</v>
      </c>
      <c r="P9" s="4">
        <v>1821.7460000000001</v>
      </c>
      <c r="Q9" s="7">
        <f t="shared" si="1"/>
        <v>77.53386037350981</v>
      </c>
    </row>
    <row r="10" spans="1:17" ht="17.100000000000001" customHeight="1" x14ac:dyDescent="0.25">
      <c r="A10" s="1" t="s">
        <v>27</v>
      </c>
      <c r="B10" s="9">
        <f>(B9-B6)/B6</f>
        <v>0.40159790364156828</v>
      </c>
      <c r="C10" s="9">
        <f t="shared" ref="C10:Q10" si="2">(C9-C6)/C6</f>
        <v>0.42773855576751807</v>
      </c>
      <c r="D10" s="9">
        <f t="shared" si="2"/>
        <v>0.44179246370131364</v>
      </c>
      <c r="E10" s="9">
        <f t="shared" si="2"/>
        <v>0.34696131161034077</v>
      </c>
      <c r="F10" s="9">
        <f t="shared" si="2"/>
        <v>0.39424700629787346</v>
      </c>
      <c r="G10" s="9">
        <f t="shared" si="2"/>
        <v>0.44150147557614083</v>
      </c>
      <c r="H10" s="8">
        <f t="shared" si="2"/>
        <v>-3.278142275878048E-2</v>
      </c>
      <c r="I10" s="9">
        <f t="shared" si="2"/>
        <v>-2.113300682580695E-2</v>
      </c>
      <c r="J10" s="12" t="s">
        <v>28</v>
      </c>
      <c r="K10" s="9">
        <f t="shared" si="2"/>
        <v>-2.113300682580695E-2</v>
      </c>
      <c r="L10" s="9">
        <f t="shared" si="2"/>
        <v>0.39216214234077551</v>
      </c>
      <c r="M10" s="9">
        <f t="shared" si="2"/>
        <v>-7.3064560129997942E-3</v>
      </c>
      <c r="N10" s="12" t="s">
        <v>28</v>
      </c>
      <c r="O10" s="9">
        <f t="shared" si="2"/>
        <v>0.35974061855312828</v>
      </c>
      <c r="P10" s="9">
        <f t="shared" si="2"/>
        <v>0.44181824225607158</v>
      </c>
      <c r="Q10" s="8">
        <f t="shared" si="2"/>
        <v>-5.6926470547711459E-2</v>
      </c>
    </row>
    <row r="11" spans="1:17" ht="17.100000000000001" customHeight="1" x14ac:dyDescent="0.25">
      <c r="A11" s="3" t="s">
        <v>29</v>
      </c>
      <c r="B11" s="10">
        <f>(((B9/B6)^(1/1))-1)</f>
        <v>0.40159790364156822</v>
      </c>
      <c r="C11" s="10">
        <f t="shared" ref="C11:Q11" si="3">(((C9/C6)^(1/1))-1)</f>
        <v>0.42773855576751796</v>
      </c>
      <c r="D11" s="10">
        <f t="shared" si="3"/>
        <v>0.44179246370131375</v>
      </c>
      <c r="E11" s="10">
        <f t="shared" si="3"/>
        <v>0.34696131161034072</v>
      </c>
      <c r="F11" s="10">
        <f t="shared" si="3"/>
        <v>0.39424700629787357</v>
      </c>
      <c r="G11" s="10">
        <f t="shared" si="3"/>
        <v>0.44150147557614083</v>
      </c>
      <c r="H11" s="10">
        <f t="shared" si="3"/>
        <v>-3.2781422758780487E-2</v>
      </c>
      <c r="I11" s="10">
        <f t="shared" si="3"/>
        <v>-2.1133006825806988E-2</v>
      </c>
      <c r="J11" s="12" t="s">
        <v>28</v>
      </c>
      <c r="K11" s="10">
        <f t="shared" si="3"/>
        <v>-2.1133006825806988E-2</v>
      </c>
      <c r="L11" s="10">
        <f t="shared" si="3"/>
        <v>0.39216214234077551</v>
      </c>
      <c r="M11" s="10">
        <f t="shared" si="3"/>
        <v>-7.3064560129998402E-3</v>
      </c>
      <c r="N11" s="12" t="s">
        <v>28</v>
      </c>
      <c r="O11" s="10">
        <f t="shared" si="3"/>
        <v>0.35974061855312822</v>
      </c>
      <c r="P11" s="10">
        <f t="shared" si="3"/>
        <v>0.44181824225607147</v>
      </c>
      <c r="Q11" s="10">
        <f t="shared" si="3"/>
        <v>-5.6926470547711494E-2</v>
      </c>
    </row>
    <row r="12" spans="1:17" ht="17.100000000000001" customHeight="1" x14ac:dyDescent="0.25">
      <c r="A12" s="2" t="s">
        <v>21</v>
      </c>
      <c r="B12" s="5">
        <v>131237</v>
      </c>
      <c r="C12" s="5">
        <v>246142.59000000003</v>
      </c>
      <c r="D12" s="5">
        <v>138813</v>
      </c>
      <c r="E12" s="5">
        <v>16887969</v>
      </c>
      <c r="F12" s="5">
        <v>20259.741999999998</v>
      </c>
      <c r="G12" s="5">
        <v>24976.714</v>
      </c>
      <c r="H12" s="7">
        <f t="shared" si="0"/>
        <v>81.11452130972873</v>
      </c>
      <c r="I12" s="4">
        <v>80968</v>
      </c>
      <c r="J12" s="4">
        <v>0</v>
      </c>
      <c r="K12" s="4">
        <v>80968</v>
      </c>
      <c r="L12" s="4">
        <v>1814.192</v>
      </c>
      <c r="M12" s="4">
        <v>114.797</v>
      </c>
      <c r="N12" s="4">
        <v>0</v>
      </c>
      <c r="O12" s="4">
        <v>1928.989</v>
      </c>
      <c r="P12" s="4">
        <v>2526.38</v>
      </c>
      <c r="Q12" s="7">
        <f t="shared" si="1"/>
        <v>76.353873922371136</v>
      </c>
    </row>
    <row r="13" spans="1:17" ht="17.100000000000001" customHeight="1" x14ac:dyDescent="0.25">
      <c r="A13" s="1" t="s">
        <v>27</v>
      </c>
      <c r="B13" s="9">
        <f>(B12-B9)/B9</f>
        <v>0.33349252154121284</v>
      </c>
      <c r="C13" s="9">
        <f t="shared" ref="C13:Q13" si="4">(C12-C9)/C9</f>
        <v>0.37314242239098988</v>
      </c>
      <c r="D13" s="9">
        <f t="shared" si="4"/>
        <v>0.38681252809830663</v>
      </c>
      <c r="E13" s="9">
        <f t="shared" si="4"/>
        <v>0.32438620766238191</v>
      </c>
      <c r="F13" s="9">
        <f t="shared" si="4"/>
        <v>0.36647387178979929</v>
      </c>
      <c r="G13" s="9">
        <f t="shared" si="4"/>
        <v>0.38710511174940404</v>
      </c>
      <c r="H13" s="8">
        <f t="shared" si="4"/>
        <v>-1.4873595219892764E-2</v>
      </c>
      <c r="I13" s="9">
        <f t="shared" si="4"/>
        <v>6.3283825132306404E-2</v>
      </c>
      <c r="J13" s="12" t="s">
        <v>28</v>
      </c>
      <c r="K13" s="9">
        <f t="shared" si="4"/>
        <v>6.3283825132306404E-2</v>
      </c>
      <c r="L13" s="9">
        <f t="shared" si="4"/>
        <v>0.36530960424510656</v>
      </c>
      <c r="M13" s="9">
        <f t="shared" si="4"/>
        <v>0.3716439845626277</v>
      </c>
      <c r="N13" s="12" t="s">
        <v>28</v>
      </c>
      <c r="O13" s="9">
        <f t="shared" si="4"/>
        <v>0.36568493490127224</v>
      </c>
      <c r="P13" s="9">
        <f t="shared" si="4"/>
        <v>0.38679047463257776</v>
      </c>
      <c r="Q13" s="8">
        <f t="shared" si="4"/>
        <v>-1.5218982331773953E-2</v>
      </c>
    </row>
    <row r="14" spans="1:17" ht="17.100000000000001" customHeight="1" x14ac:dyDescent="0.25">
      <c r="A14" s="3" t="s">
        <v>29</v>
      </c>
      <c r="B14" s="10">
        <f>(((B12/B6)^(1/2))-1)</f>
        <v>0.36712118069828503</v>
      </c>
      <c r="C14" s="10">
        <f t="shared" ref="C14:Q14" si="5">(((C12/C6)^(1/2))-1)</f>
        <v>0.40017441021025069</v>
      </c>
      <c r="D14" s="10">
        <f t="shared" si="5"/>
        <v>0.41403530775532782</v>
      </c>
      <c r="E14" s="10">
        <f t="shared" si="5"/>
        <v>0.33562606419295626</v>
      </c>
      <c r="F14" s="10">
        <f t="shared" si="5"/>
        <v>0.38029058713272113</v>
      </c>
      <c r="G14" s="10">
        <f t="shared" si="5"/>
        <v>0.41404174809868088</v>
      </c>
      <c r="H14" s="10">
        <f t="shared" si="5"/>
        <v>-2.386857460986691E-2</v>
      </c>
      <c r="I14" s="10">
        <f t="shared" si="5"/>
        <v>2.0202646927567569E-2</v>
      </c>
      <c r="J14" s="12" t="s">
        <v>28</v>
      </c>
      <c r="K14" s="10">
        <f t="shared" si="5"/>
        <v>2.0202646927567569E-2</v>
      </c>
      <c r="L14" s="10">
        <f t="shared" si="5"/>
        <v>0.37867049856167734</v>
      </c>
      <c r="M14" s="10">
        <f t="shared" si="5"/>
        <v>0.16688565340564754</v>
      </c>
      <c r="N14" s="12" t="s">
        <v>28</v>
      </c>
      <c r="O14" s="10">
        <f t="shared" si="5"/>
        <v>0.36270953549586071</v>
      </c>
      <c r="P14" s="10">
        <f t="shared" si="5"/>
        <v>0.41403670550385874</v>
      </c>
      <c r="Q14" s="10">
        <f t="shared" si="5"/>
        <v>-3.6298329320743283E-2</v>
      </c>
    </row>
    <row r="15" spans="1:17" ht="17.100000000000001" customHeight="1" x14ac:dyDescent="0.25">
      <c r="A15" s="2" t="s">
        <v>22</v>
      </c>
      <c r="B15" s="5">
        <v>158488</v>
      </c>
      <c r="C15" s="5">
        <v>297651.5</v>
      </c>
      <c r="D15" s="5">
        <v>166490</v>
      </c>
      <c r="E15" s="5">
        <v>19568603</v>
      </c>
      <c r="F15" s="5">
        <v>23135.406999999999</v>
      </c>
      <c r="G15" s="5">
        <v>29967.616999999998</v>
      </c>
      <c r="H15" s="7">
        <f t="shared" si="0"/>
        <v>77.201357051513313</v>
      </c>
      <c r="I15" s="4">
        <v>106638</v>
      </c>
      <c r="J15" s="4">
        <v>0</v>
      </c>
      <c r="K15" s="4">
        <v>106638</v>
      </c>
      <c r="L15" s="4">
        <v>2074.25</v>
      </c>
      <c r="M15" s="4">
        <v>131.048</v>
      </c>
      <c r="N15" s="4">
        <v>0</v>
      </c>
      <c r="O15" s="4">
        <v>2205.2979999999998</v>
      </c>
      <c r="P15" s="4">
        <v>3030.1060000000002</v>
      </c>
      <c r="Q15" s="7">
        <f t="shared" si="1"/>
        <v>72.7795661273896</v>
      </c>
    </row>
    <row r="16" spans="1:17" ht="17.100000000000001" customHeight="1" x14ac:dyDescent="0.25">
      <c r="A16" s="1" t="s">
        <v>27</v>
      </c>
      <c r="B16" s="11">
        <f>(B15-B12)/B12</f>
        <v>0.20764723363075963</v>
      </c>
      <c r="C16" s="11">
        <f t="shared" ref="C16:Q16" si="6">(C15-C12)/C12</f>
        <v>0.20926451614895239</v>
      </c>
      <c r="D16" s="11">
        <f t="shared" si="6"/>
        <v>0.19938334305864724</v>
      </c>
      <c r="E16" s="11">
        <f t="shared" si="6"/>
        <v>0.1587303955851648</v>
      </c>
      <c r="F16" s="11">
        <f t="shared" si="6"/>
        <v>0.1419398628077298</v>
      </c>
      <c r="G16" s="11">
        <f t="shared" si="6"/>
        <v>0.19982224242948846</v>
      </c>
      <c r="H16" s="8">
        <f t="shared" si="6"/>
        <v>-4.8242462570583886E-2</v>
      </c>
      <c r="I16" s="11">
        <f t="shared" si="6"/>
        <v>0.31703883015512302</v>
      </c>
      <c r="J16" s="12" t="s">
        <v>28</v>
      </c>
      <c r="K16" s="11">
        <f t="shared" si="6"/>
        <v>0.31703883015512302</v>
      </c>
      <c r="L16" s="11">
        <f t="shared" si="6"/>
        <v>0.14334645947066241</v>
      </c>
      <c r="M16" s="11">
        <f t="shared" si="6"/>
        <v>0.14156293282925517</v>
      </c>
      <c r="N16" s="12" t="s">
        <v>28</v>
      </c>
      <c r="O16" s="11">
        <f t="shared" si="6"/>
        <v>0.14324031915163837</v>
      </c>
      <c r="P16" s="11">
        <f t="shared" si="6"/>
        <v>0.19938647392712106</v>
      </c>
      <c r="Q16" s="8">
        <f t="shared" si="6"/>
        <v>-4.6812396167554365E-2</v>
      </c>
    </row>
    <row r="17" spans="1:17" ht="17.100000000000001" customHeight="1" x14ac:dyDescent="0.25">
      <c r="A17" s="3" t="s">
        <v>29</v>
      </c>
      <c r="B17" s="10">
        <f>(((B15/B6)^(1/3))-1)</f>
        <v>0.31175090203014366</v>
      </c>
      <c r="C17" s="10">
        <f t="shared" ref="C17:Q17" si="7">(((C15/C6)^(1/3))-1)</f>
        <v>0.33340432843164947</v>
      </c>
      <c r="D17" s="10">
        <f t="shared" si="7"/>
        <v>0.33852403368194506</v>
      </c>
      <c r="E17" s="10">
        <f t="shared" si="7"/>
        <v>0.27384735653228631</v>
      </c>
      <c r="F17" s="10">
        <f t="shared" si="7"/>
        <v>0.29577052087877354</v>
      </c>
      <c r="G17" s="10">
        <f t="shared" si="7"/>
        <v>0.33869135060027844</v>
      </c>
      <c r="H17" s="10">
        <f t="shared" si="7"/>
        <v>-3.2061781606535944E-2</v>
      </c>
      <c r="I17" s="10">
        <f t="shared" si="7"/>
        <v>0.11085444490467222</v>
      </c>
      <c r="J17" s="12" t="s">
        <v>28</v>
      </c>
      <c r="K17" s="10">
        <f t="shared" si="7"/>
        <v>0.11085444490467222</v>
      </c>
      <c r="L17" s="10">
        <f t="shared" si="7"/>
        <v>0.29528779111171111</v>
      </c>
      <c r="M17" s="10">
        <f t="shared" si="7"/>
        <v>0.15838294055390922</v>
      </c>
      <c r="N17" s="12" t="s">
        <v>28</v>
      </c>
      <c r="O17" s="10">
        <f t="shared" si="7"/>
        <v>0.2852315380863093</v>
      </c>
      <c r="P17" s="10">
        <f t="shared" si="7"/>
        <v>0.33852608044658905</v>
      </c>
      <c r="Q17" s="10">
        <f t="shared" si="7"/>
        <v>-3.9815841572917732E-2</v>
      </c>
    </row>
    <row r="18" spans="1:17" ht="17.100000000000001" customHeight="1" x14ac:dyDescent="0.25">
      <c r="A18" s="2" t="s">
        <v>23</v>
      </c>
      <c r="B18" s="5">
        <f>[1]INDIGO!B$18+[2]INDIGO!B$18</f>
        <v>192920</v>
      </c>
      <c r="C18" s="5">
        <v>354277.05</v>
      </c>
      <c r="D18" s="5">
        <v>196267</v>
      </c>
      <c r="E18" s="5">
        <v>25180370</v>
      </c>
      <c r="F18" s="5">
        <v>28177.471000000001</v>
      </c>
      <c r="G18" s="5">
        <v>35326.855000000003</v>
      </c>
      <c r="H18" s="7">
        <f t="shared" si="0"/>
        <v>79.76218375510642</v>
      </c>
      <c r="I18" s="4">
        <v>129532</v>
      </c>
      <c r="J18" s="4">
        <v>8111</v>
      </c>
      <c r="K18" s="4">
        <v>137643</v>
      </c>
      <c r="L18" s="4">
        <v>2532.9899999999998</v>
      </c>
      <c r="M18" s="4">
        <v>172.173</v>
      </c>
      <c r="N18" s="4">
        <v>9.532</v>
      </c>
      <c r="O18" s="4">
        <v>2714.6950000000002</v>
      </c>
      <c r="P18" s="4">
        <v>3572.0729999999999</v>
      </c>
      <c r="Q18" s="7">
        <f t="shared" si="1"/>
        <v>75.997746966537363</v>
      </c>
    </row>
    <row r="19" spans="1:17" ht="17.100000000000001" customHeight="1" x14ac:dyDescent="0.25">
      <c r="A19" s="1" t="s">
        <v>27</v>
      </c>
      <c r="B19" s="11">
        <f>(B18-B15)/B15</f>
        <v>0.21725304123971531</v>
      </c>
      <c r="C19" s="11">
        <f t="shared" ref="C19:Q19" si="8">(C18-C15)/C15</f>
        <v>0.1902411041100078</v>
      </c>
      <c r="D19" s="11">
        <f t="shared" si="8"/>
        <v>0.17885158267763829</v>
      </c>
      <c r="E19" s="11">
        <f t="shared" si="8"/>
        <v>0.28677402265251128</v>
      </c>
      <c r="F19" s="11">
        <f t="shared" si="8"/>
        <v>0.2179371212272169</v>
      </c>
      <c r="G19" s="11">
        <f t="shared" si="8"/>
        <v>0.17883430637811493</v>
      </c>
      <c r="H19" s="8">
        <f t="shared" si="8"/>
        <v>3.3170747269175238E-2</v>
      </c>
      <c r="I19" s="11">
        <f t="shared" si="8"/>
        <v>0.21468894765468219</v>
      </c>
      <c r="J19" s="12" t="s">
        <v>28</v>
      </c>
      <c r="K19" s="11">
        <f t="shared" si="8"/>
        <v>0.29075001406628032</v>
      </c>
      <c r="L19" s="11">
        <f t="shared" si="8"/>
        <v>0.22115945522477995</v>
      </c>
      <c r="M19" s="11">
        <f t="shared" si="8"/>
        <v>0.31381631158048956</v>
      </c>
      <c r="N19" s="12" t="s">
        <v>28</v>
      </c>
      <c r="O19" s="11">
        <f t="shared" si="8"/>
        <v>0.23098783021614333</v>
      </c>
      <c r="P19" s="11">
        <f t="shared" si="8"/>
        <v>0.17886073952528381</v>
      </c>
      <c r="Q19" s="8">
        <f t="shared" si="8"/>
        <v>4.4218192143586361E-2</v>
      </c>
    </row>
    <row r="20" spans="1:17" ht="17.100000000000001" customHeight="1" x14ac:dyDescent="0.25">
      <c r="A20" s="3" t="s">
        <v>29</v>
      </c>
      <c r="B20" s="10">
        <f>(((B18/B6)^(1/4))-1)</f>
        <v>0.28746000250933346</v>
      </c>
      <c r="C20" s="10">
        <f t="shared" ref="C20:Q20" si="9">(((C18/C6)^(1/4))-1)</f>
        <v>0.29607499373566459</v>
      </c>
      <c r="D20" s="10">
        <f t="shared" si="9"/>
        <v>0.29668477870114041</v>
      </c>
      <c r="E20" s="10">
        <f t="shared" si="9"/>
        <v>0.27706679756869046</v>
      </c>
      <c r="F20" s="10">
        <f t="shared" si="9"/>
        <v>0.27585784516794232</v>
      </c>
      <c r="G20" s="10">
        <f t="shared" si="9"/>
        <v>0.29680159076372536</v>
      </c>
      <c r="H20" s="10">
        <f t="shared" si="9"/>
        <v>-1.6150308377898104E-2</v>
      </c>
      <c r="I20" s="10">
        <f t="shared" si="9"/>
        <v>0.13594979582291589</v>
      </c>
      <c r="J20" s="12" t="s">
        <v>28</v>
      </c>
      <c r="K20" s="10">
        <f t="shared" si="9"/>
        <v>0.15332950491653419</v>
      </c>
      <c r="L20" s="10">
        <f t="shared" si="9"/>
        <v>0.27634416759673242</v>
      </c>
      <c r="M20" s="10">
        <f t="shared" si="9"/>
        <v>0.19542621982293751</v>
      </c>
      <c r="N20" s="12" t="s">
        <v>28</v>
      </c>
      <c r="O20" s="10">
        <f t="shared" si="9"/>
        <v>0.27145053952567233</v>
      </c>
      <c r="P20" s="10">
        <f t="shared" si="9"/>
        <v>0.29668878381913988</v>
      </c>
      <c r="Q20" s="10">
        <f t="shared" si="9"/>
        <v>-1.9463609625073985E-2</v>
      </c>
    </row>
    <row r="21" spans="1:17" ht="17.100000000000001" customHeight="1" x14ac:dyDescent="0.25">
      <c r="A21" s="2" t="s">
        <v>24</v>
      </c>
      <c r="B21" s="5">
        <v>236385</v>
      </c>
      <c r="C21" s="5">
        <v>436742.0199999999</v>
      </c>
      <c r="D21" s="5">
        <v>238025</v>
      </c>
      <c r="E21" s="5">
        <v>33103686</v>
      </c>
      <c r="F21" s="5">
        <v>35968.266000000003</v>
      </c>
      <c r="G21" s="5">
        <v>42825.673999999999</v>
      </c>
      <c r="H21" s="7">
        <f t="shared" si="0"/>
        <v>83.987623872539643</v>
      </c>
      <c r="I21" s="4">
        <v>138311.22090000001</v>
      </c>
      <c r="J21" s="4">
        <v>11899.743924999999</v>
      </c>
      <c r="K21" s="4">
        <v>150210.964825</v>
      </c>
      <c r="L21" s="4">
        <v>3236.9180000000001</v>
      </c>
      <c r="M21" s="4">
        <v>183.85900000000001</v>
      </c>
      <c r="N21" s="4">
        <v>14.86</v>
      </c>
      <c r="O21" s="4">
        <v>3435.6370000000002</v>
      </c>
      <c r="P21" s="4">
        <v>4595.1000000000004</v>
      </c>
      <c r="Q21" s="7">
        <f t="shared" si="1"/>
        <v>74.767404409044417</v>
      </c>
    </row>
    <row r="22" spans="1:17" ht="17.100000000000001" customHeight="1" x14ac:dyDescent="0.25">
      <c r="A22" s="1" t="s">
        <v>27</v>
      </c>
      <c r="B22" s="11">
        <f>(B21-B18)/B18</f>
        <v>0.22530064275347295</v>
      </c>
      <c r="C22" s="11">
        <f t="shared" ref="C22:Q22" si="10">(C21-C18)/C18</f>
        <v>0.23276972075950139</v>
      </c>
      <c r="D22" s="11">
        <f t="shared" si="10"/>
        <v>0.21276118756591786</v>
      </c>
      <c r="E22" s="11">
        <f t="shared" si="10"/>
        <v>0.31466241361822722</v>
      </c>
      <c r="F22" s="11">
        <f t="shared" si="10"/>
        <v>0.2764902144695669</v>
      </c>
      <c r="G22" s="11">
        <f t="shared" si="10"/>
        <v>0.21226964585440722</v>
      </c>
      <c r="H22" s="8">
        <f t="shared" si="10"/>
        <v>5.297548184496275E-2</v>
      </c>
      <c r="I22" s="11">
        <f t="shared" si="10"/>
        <v>6.7776463730970071E-2</v>
      </c>
      <c r="J22" s="11">
        <f t="shared" si="10"/>
        <v>0.46711181420293413</v>
      </c>
      <c r="K22" s="11">
        <f t="shared" si="10"/>
        <v>9.1308419788874134E-2</v>
      </c>
      <c r="L22" s="11">
        <f t="shared" si="10"/>
        <v>0.2779039790919034</v>
      </c>
      <c r="M22" s="11">
        <f t="shared" si="10"/>
        <v>6.7873592258948887E-2</v>
      </c>
      <c r="N22" s="11">
        <f t="shared" si="10"/>
        <v>0.55895929500629449</v>
      </c>
      <c r="O22" s="11">
        <f t="shared" si="10"/>
        <v>0.26557016534085781</v>
      </c>
      <c r="P22" s="11">
        <f t="shared" si="10"/>
        <v>0.2863958827269209</v>
      </c>
      <c r="Q22" s="8">
        <f t="shared" si="10"/>
        <v>-1.618919779338563E-2</v>
      </c>
    </row>
    <row r="23" spans="1:17" ht="17.100000000000001" customHeight="1" x14ac:dyDescent="0.25">
      <c r="A23" s="3" t="s">
        <v>29</v>
      </c>
      <c r="B23" s="10">
        <f>(((B21/B6)^(1/5))-1)</f>
        <v>0.27478084422921079</v>
      </c>
      <c r="C23" s="10">
        <f t="shared" ref="C23:Q23" si="11">(((C21/C6)^(1/5))-1)</f>
        <v>0.28315906654357526</v>
      </c>
      <c r="D23" s="10">
        <f t="shared" si="11"/>
        <v>0.27944784813804002</v>
      </c>
      <c r="E23" s="10">
        <f t="shared" si="11"/>
        <v>0.28449891091700708</v>
      </c>
      <c r="F23" s="10">
        <f t="shared" si="11"/>
        <v>0.27598429396139612</v>
      </c>
      <c r="G23" s="10">
        <f t="shared" si="11"/>
        <v>0.27943631636131983</v>
      </c>
      <c r="H23" s="10">
        <f t="shared" si="11"/>
        <v>-2.6980806748874153E-3</v>
      </c>
      <c r="I23" s="10">
        <f t="shared" si="11"/>
        <v>0.12197551408113871</v>
      </c>
      <c r="J23" s="12" t="s">
        <v>28</v>
      </c>
      <c r="K23" s="10">
        <f t="shared" si="11"/>
        <v>0.14064952287452392</v>
      </c>
      <c r="L23" s="10">
        <f t="shared" si="11"/>
        <v>0.2766559775086932</v>
      </c>
      <c r="M23" s="10">
        <f t="shared" si="11"/>
        <v>0.1687515265102959</v>
      </c>
      <c r="N23" s="12" t="s">
        <v>28</v>
      </c>
      <c r="O23" s="10">
        <f t="shared" si="11"/>
        <v>0.27027228292443239</v>
      </c>
      <c r="P23" s="10">
        <f t="shared" si="11"/>
        <v>0.2946236360286707</v>
      </c>
      <c r="Q23" s="10">
        <f t="shared" si="11"/>
        <v>-1.8809600278068217E-2</v>
      </c>
    </row>
    <row r="24" spans="1:17" ht="17.100000000000001" customHeight="1" x14ac:dyDescent="0.25">
      <c r="A24" s="2" t="s">
        <v>25</v>
      </c>
      <c r="B24" s="5">
        <v>300526</v>
      </c>
      <c r="C24" s="5">
        <v>558566.74769999995</v>
      </c>
      <c r="D24" s="5">
        <v>303494.57400000002</v>
      </c>
      <c r="E24" s="5">
        <v>43531952</v>
      </c>
      <c r="F24" s="5">
        <v>46288.307000000001</v>
      </c>
      <c r="G24" s="5">
        <v>54582.542000000001</v>
      </c>
      <c r="H24" s="7">
        <f t="shared" si="0"/>
        <v>84.804234658034062</v>
      </c>
      <c r="I24" s="4">
        <v>163177</v>
      </c>
      <c r="J24" s="4">
        <v>14204</v>
      </c>
      <c r="K24" s="4">
        <v>177381</v>
      </c>
      <c r="L24" s="4">
        <v>4166.085986</v>
      </c>
      <c r="M24" s="4">
        <v>215.91493700000001</v>
      </c>
      <c r="N24" s="4">
        <v>15.645637000000001</v>
      </c>
      <c r="O24" s="4">
        <v>4397.6465599999992</v>
      </c>
      <c r="P24" s="4">
        <v>5935.1954999999998</v>
      </c>
      <c r="Q24" s="7">
        <f t="shared" si="1"/>
        <v>74.094384254065417</v>
      </c>
    </row>
    <row r="25" spans="1:17" ht="17.100000000000001" customHeight="1" x14ac:dyDescent="0.25">
      <c r="A25" s="1" t="s">
        <v>27</v>
      </c>
      <c r="B25" s="11">
        <f>(B24-B21)/B21</f>
        <v>0.27134124415677813</v>
      </c>
      <c r="C25" s="11">
        <f t="shared" ref="C25:Q25" si="12">(C24-C21)/C21</f>
        <v>0.27893979081747178</v>
      </c>
      <c r="D25" s="11">
        <f t="shared" si="12"/>
        <v>0.27505335153870403</v>
      </c>
      <c r="E25" s="11">
        <f t="shared" si="12"/>
        <v>0.31501827319169229</v>
      </c>
      <c r="F25" s="11">
        <f t="shared" si="12"/>
        <v>0.28692072617567932</v>
      </c>
      <c r="G25" s="11">
        <f t="shared" si="12"/>
        <v>0.27452849895602349</v>
      </c>
      <c r="H25" s="8">
        <f t="shared" si="12"/>
        <v>9.722989505378964E-3</v>
      </c>
      <c r="I25" s="11">
        <f t="shared" si="12"/>
        <v>0.17978135785510937</v>
      </c>
      <c r="J25" s="11">
        <f t="shared" si="12"/>
        <v>0.19363913118827902</v>
      </c>
      <c r="K25" s="11">
        <f t="shared" si="12"/>
        <v>0.180879173545379</v>
      </c>
      <c r="L25" s="11">
        <f t="shared" si="12"/>
        <v>0.28705329761211124</v>
      </c>
      <c r="M25" s="11">
        <f t="shared" si="12"/>
        <v>0.17435065457769269</v>
      </c>
      <c r="N25" s="11">
        <f t="shared" si="12"/>
        <v>5.286924629878878E-2</v>
      </c>
      <c r="O25" s="11">
        <f t="shared" si="12"/>
        <v>0.2800090812853625</v>
      </c>
      <c r="P25" s="11">
        <f t="shared" si="12"/>
        <v>0.29163576418358672</v>
      </c>
      <c r="Q25" s="8">
        <f t="shared" si="12"/>
        <v>-9.0015182457983799E-3</v>
      </c>
    </row>
    <row r="26" spans="1:17" ht="17.100000000000001" customHeight="1" x14ac:dyDescent="0.25">
      <c r="A26" s="3" t="s">
        <v>29</v>
      </c>
      <c r="B26" s="10">
        <f>(((B24/B6)^(1/6))-1)</f>
        <v>0.27420693199322232</v>
      </c>
      <c r="C26" s="10">
        <f t="shared" ref="C26:Q26" si="13">(((C24/C6)^(1/6))-1)</f>
        <v>0.28245488852393064</v>
      </c>
      <c r="D26" s="10">
        <f t="shared" si="13"/>
        <v>0.27871438165917373</v>
      </c>
      <c r="E26" s="10">
        <f t="shared" si="13"/>
        <v>0.28953583397743254</v>
      </c>
      <c r="F26" s="10">
        <f t="shared" si="13"/>
        <v>0.27780055711516383</v>
      </c>
      <c r="G26" s="10">
        <f t="shared" si="13"/>
        <v>0.2786170363594298</v>
      </c>
      <c r="H26" s="10">
        <f t="shared" si="13"/>
        <v>-6.3856434025832964E-4</v>
      </c>
      <c r="I26" s="10">
        <f t="shared" si="13"/>
        <v>0.1314092821984576</v>
      </c>
      <c r="J26" s="12" t="s">
        <v>28</v>
      </c>
      <c r="K26" s="10">
        <f t="shared" si="13"/>
        <v>0.14725800457213123</v>
      </c>
      <c r="L26" s="10">
        <f t="shared" si="13"/>
        <v>0.2783830128971474</v>
      </c>
      <c r="M26" s="10">
        <f t="shared" si="13"/>
        <v>0.16968285719994536</v>
      </c>
      <c r="N26" s="12" t="s">
        <v>28</v>
      </c>
      <c r="O26" s="10">
        <f t="shared" si="13"/>
        <v>0.27188992389569466</v>
      </c>
      <c r="P26" s="10">
        <f t="shared" si="13"/>
        <v>0.29412517784101833</v>
      </c>
      <c r="Q26" s="10">
        <f t="shared" si="13"/>
        <v>-1.7181687155193637E-2</v>
      </c>
    </row>
    <row r="27" spans="1:17" ht="17.100000000000001" customHeight="1" x14ac:dyDescent="0.25">
      <c r="A27" s="2" t="s">
        <v>26</v>
      </c>
      <c r="B27" s="5">
        <v>347640</v>
      </c>
      <c r="C27" s="5">
        <v>654040.32053000003</v>
      </c>
      <c r="D27" s="5">
        <v>353803.94799999997</v>
      </c>
      <c r="E27" s="5">
        <v>52141844</v>
      </c>
      <c r="F27" s="5">
        <v>55523.815000000002</v>
      </c>
      <c r="G27" s="5">
        <v>63510.063999999998</v>
      </c>
      <c r="H27" s="7">
        <f t="shared" si="0"/>
        <v>87.425222874913189</v>
      </c>
      <c r="I27" s="4">
        <v>192467.33000000002</v>
      </c>
      <c r="J27" s="4">
        <v>15237.461000000001</v>
      </c>
      <c r="K27" s="4">
        <v>207704.79100000003</v>
      </c>
      <c r="L27" s="4">
        <v>4997.0683200000003</v>
      </c>
      <c r="M27" s="4">
        <v>261.02579000000003</v>
      </c>
      <c r="N27" s="4">
        <v>16.439809999999998</v>
      </c>
      <c r="O27" s="4">
        <v>5274.5339199999999</v>
      </c>
      <c r="P27" s="4">
        <v>6890.4937499999996</v>
      </c>
      <c r="Q27" s="7">
        <f t="shared" si="1"/>
        <v>76.547982065871551</v>
      </c>
    </row>
    <row r="28" spans="1:17" ht="17.100000000000001" customHeight="1" x14ac:dyDescent="0.25">
      <c r="A28" s="1" t="s">
        <v>27</v>
      </c>
      <c r="B28" s="11">
        <f>(B27-B24)/B24</f>
        <v>0.15677179345547473</v>
      </c>
      <c r="C28" s="11">
        <f t="shared" ref="C28:Q28" si="14">(C27-C24)/C24</f>
        <v>0.17092598731150727</v>
      </c>
      <c r="D28" s="11">
        <f t="shared" si="14"/>
        <v>0.16576696359652199</v>
      </c>
      <c r="E28" s="11">
        <f t="shared" si="14"/>
        <v>0.19778327422579167</v>
      </c>
      <c r="F28" s="11">
        <f t="shared" si="14"/>
        <v>0.19952140396925733</v>
      </c>
      <c r="G28" s="11">
        <f t="shared" si="14"/>
        <v>0.16356002620764706</v>
      </c>
      <c r="H28" s="8">
        <f t="shared" si="14"/>
        <v>3.0906336546141135E-2</v>
      </c>
      <c r="I28" s="11">
        <f t="shared" si="14"/>
        <v>0.17950035850640725</v>
      </c>
      <c r="J28" s="11">
        <f t="shared" si="14"/>
        <v>7.2758448324415734E-2</v>
      </c>
      <c r="K28" s="11">
        <f t="shared" si="14"/>
        <v>0.17095286981131028</v>
      </c>
      <c r="L28" s="11">
        <f t="shared" si="14"/>
        <v>0.19946355807165048</v>
      </c>
      <c r="M28" s="11">
        <f t="shared" si="14"/>
        <v>0.20892881996394727</v>
      </c>
      <c r="N28" s="11">
        <f t="shared" si="14"/>
        <v>5.0760029776991317E-2</v>
      </c>
      <c r="O28" s="11">
        <f t="shared" si="14"/>
        <v>0.19939923503083903</v>
      </c>
      <c r="P28" s="11">
        <f t="shared" si="14"/>
        <v>0.16095480763860262</v>
      </c>
      <c r="Q28" s="8">
        <f t="shared" si="14"/>
        <v>3.3114490882235913E-2</v>
      </c>
    </row>
    <row r="29" spans="1:17" ht="17.100000000000001" customHeight="1" x14ac:dyDescent="0.25">
      <c r="A29" s="3" t="s">
        <v>29</v>
      </c>
      <c r="B29" s="10">
        <f>(((B27/B6)^(1/7))-1)</f>
        <v>0.2567273516801416</v>
      </c>
      <c r="C29" s="10">
        <f t="shared" ref="C29:Q29" si="15">(((C27/C6)^(1/7))-1)</f>
        <v>0.26589426605205313</v>
      </c>
      <c r="D29" s="10">
        <f t="shared" si="15"/>
        <v>0.26193256820556132</v>
      </c>
      <c r="E29" s="10">
        <f t="shared" si="15"/>
        <v>0.2760100790825557</v>
      </c>
      <c r="F29" s="10">
        <f t="shared" si="15"/>
        <v>0.26631257640829586</v>
      </c>
      <c r="G29" s="10">
        <f t="shared" si="15"/>
        <v>0.26150868469149291</v>
      </c>
      <c r="H29" s="10">
        <f t="shared" si="15"/>
        <v>3.8080528299953009E-3</v>
      </c>
      <c r="I29" s="10">
        <f t="shared" si="15"/>
        <v>0.13815748120109106</v>
      </c>
      <c r="J29" s="12" t="s">
        <v>28</v>
      </c>
      <c r="K29" s="10">
        <f t="shared" si="15"/>
        <v>0.15061340071627605</v>
      </c>
      <c r="L29" s="10">
        <f t="shared" si="15"/>
        <v>0.2667985922374061</v>
      </c>
      <c r="M29" s="10">
        <f t="shared" si="15"/>
        <v>0.1752104379517947</v>
      </c>
      <c r="N29" s="12" t="s">
        <v>28</v>
      </c>
      <c r="O29" s="10">
        <f t="shared" si="15"/>
        <v>0.26127185319994939</v>
      </c>
      <c r="P29" s="10">
        <f t="shared" si="15"/>
        <v>0.27420411982950754</v>
      </c>
      <c r="Q29" s="10">
        <f t="shared" si="15"/>
        <v>-1.0149289606196543E-2</v>
      </c>
    </row>
    <row r="30" spans="1:17" ht="17.100000000000001" customHeight="1" x14ac:dyDescent="0.25">
      <c r="A30" s="2" t="s">
        <v>30</v>
      </c>
      <c r="B30" s="5">
        <v>448904</v>
      </c>
      <c r="C30" s="5">
        <v>853552.33082999999</v>
      </c>
      <c r="D30" s="5">
        <v>456346.02600000001</v>
      </c>
      <c r="E30" s="5">
        <v>64742944</v>
      </c>
      <c r="F30" s="5">
        <v>69811.416639000003</v>
      </c>
      <c r="G30" s="5">
        <v>81028.372488000008</v>
      </c>
      <c r="H30" s="7">
        <f t="shared" si="0"/>
        <v>86.156755338185775</v>
      </c>
      <c r="I30" s="4">
        <v>188184.70794999998</v>
      </c>
      <c r="J30" s="4">
        <v>21163.398409999998</v>
      </c>
      <c r="K30" s="4">
        <v>209348.10635999998</v>
      </c>
      <c r="L30" s="4">
        <v>6282.6052390000004</v>
      </c>
      <c r="M30" s="4">
        <v>257.76510559999997</v>
      </c>
      <c r="N30" s="4">
        <v>21.825904699999995</v>
      </c>
      <c r="O30" s="4">
        <v>6562.1962493000001</v>
      </c>
      <c r="P30" s="4">
        <v>8959.9306053</v>
      </c>
      <c r="Q30" s="7">
        <f t="shared" si="1"/>
        <v>73.239364660015497</v>
      </c>
    </row>
    <row r="31" spans="1:17" ht="17.100000000000001" customHeight="1" x14ac:dyDescent="0.25">
      <c r="A31" s="1" t="s">
        <v>27</v>
      </c>
      <c r="B31" s="11">
        <f>(B30-B27)/B27</f>
        <v>0.29128984006443448</v>
      </c>
      <c r="C31" s="11">
        <f t="shared" ref="C31:Q31" si="16">(C30-C27)/C27</f>
        <v>0.30504542921501521</v>
      </c>
      <c r="D31" s="11">
        <f t="shared" si="16"/>
        <v>0.28982739898651455</v>
      </c>
      <c r="E31" s="11">
        <f t="shared" si="16"/>
        <v>0.24166962718081086</v>
      </c>
      <c r="F31" s="11">
        <f t="shared" si="16"/>
        <v>0.25732384633512667</v>
      </c>
      <c r="G31" s="11">
        <f t="shared" si="16"/>
        <v>0.27583515721224922</v>
      </c>
      <c r="H31" s="8">
        <f t="shared" si="16"/>
        <v>-1.4509171323958989E-2</v>
      </c>
      <c r="I31" s="11">
        <f t="shared" si="16"/>
        <v>-2.2251163613066352E-2</v>
      </c>
      <c r="J31" s="11">
        <f t="shared" si="16"/>
        <v>0.38890582952107283</v>
      </c>
      <c r="K31" s="11">
        <f t="shared" si="16"/>
        <v>7.9117836044520964E-3</v>
      </c>
      <c r="L31" s="11">
        <f t="shared" si="16"/>
        <v>0.25725822355776795</v>
      </c>
      <c r="M31" s="11">
        <f t="shared" si="16"/>
        <v>-1.2491809334242638E-2</v>
      </c>
      <c r="N31" s="11">
        <f t="shared" si="16"/>
        <v>0.32762511853847448</v>
      </c>
      <c r="O31" s="11">
        <f t="shared" si="16"/>
        <v>0.24412817299694231</v>
      </c>
      <c r="P31" s="11">
        <f t="shared" si="16"/>
        <v>0.30033215766286714</v>
      </c>
      <c r="Q31" s="8">
        <f t="shared" si="16"/>
        <v>-4.3222790680607387E-2</v>
      </c>
    </row>
    <row r="32" spans="1:17" x14ac:dyDescent="0.25">
      <c r="A32" s="3" t="s">
        <v>29</v>
      </c>
      <c r="B32" s="10">
        <f>(((B30/B6)^(1/8))-1)</f>
        <v>0.26099655646586917</v>
      </c>
      <c r="C32" s="10">
        <f t="shared" ref="C32:Q32" si="17">(((C30/C6)^(1/8))-1)</f>
        <v>0.27072319505416775</v>
      </c>
      <c r="D32" s="10">
        <f t="shared" si="17"/>
        <v>0.26538615973083712</v>
      </c>
      <c r="E32" s="10">
        <f t="shared" si="17"/>
        <v>0.27166611443492306</v>
      </c>
      <c r="F32" s="10">
        <f t="shared" si="17"/>
        <v>0.26518548024503286</v>
      </c>
      <c r="G32" s="10">
        <f t="shared" si="17"/>
        <v>0.26329065872873558</v>
      </c>
      <c r="H32" s="10">
        <f t="shared" si="17"/>
        <v>1.4999093860190715E-3</v>
      </c>
      <c r="I32" s="10">
        <f t="shared" si="17"/>
        <v>0.11674875297553977</v>
      </c>
      <c r="J32" s="12" t="s">
        <v>28</v>
      </c>
      <c r="K32" s="10">
        <f t="shared" si="17"/>
        <v>0.13172540388491782</v>
      </c>
      <c r="L32" s="10">
        <f t="shared" si="17"/>
        <v>0.26560209829657766</v>
      </c>
      <c r="M32" s="10">
        <f t="shared" si="17"/>
        <v>0.14992303407172236</v>
      </c>
      <c r="N32" s="12" t="s">
        <v>28</v>
      </c>
      <c r="O32" s="10">
        <f t="shared" si="17"/>
        <v>0.25911604038344449</v>
      </c>
      <c r="P32" s="10">
        <f t="shared" si="17"/>
        <v>0.27744119494621455</v>
      </c>
      <c r="Q32" s="10">
        <f t="shared" si="17"/>
        <v>-1.4345204018210378E-2</v>
      </c>
    </row>
    <row r="33" spans="1:17" x14ac:dyDescent="0.25">
      <c r="A33" s="2" t="s">
        <v>34</v>
      </c>
      <c r="B33" s="5">
        <v>522853</v>
      </c>
      <c r="C33" s="5">
        <v>1022515.0666666665</v>
      </c>
      <c r="D33" s="5">
        <v>541959.89</v>
      </c>
      <c r="E33" s="5">
        <v>75025960</v>
      </c>
      <c r="F33" s="5">
        <v>82539.861999999994</v>
      </c>
      <c r="G33" s="5">
        <v>96240.127770000006</v>
      </c>
      <c r="H33" s="7">
        <v>85.764497525666556</v>
      </c>
      <c r="I33" s="4">
        <v>277755.22699999996</v>
      </c>
      <c r="J33" s="4">
        <v>17195.88</v>
      </c>
      <c r="K33" s="4">
        <v>294951.10399999993</v>
      </c>
      <c r="L33" s="4">
        <v>7426.632757880001</v>
      </c>
      <c r="M33" s="4">
        <v>372.29959941800001</v>
      </c>
      <c r="N33" s="4">
        <v>17.485200213000002</v>
      </c>
      <c r="O33" s="4">
        <v>7816.4175575110003</v>
      </c>
      <c r="P33" s="4">
        <v>10701.684850296002</v>
      </c>
      <c r="Q33" s="7">
        <v>73.039130443976802</v>
      </c>
    </row>
    <row r="34" spans="1:17" ht="30.75" customHeight="1" x14ac:dyDescent="0.25">
      <c r="A34" s="1" t="s">
        <v>27</v>
      </c>
      <c r="B34" s="11">
        <f>(B33-B30)/B30</f>
        <v>0.16473232584249639</v>
      </c>
      <c r="C34" s="11">
        <f t="shared" ref="C34:Q34" si="18">(C33-C30)/C30</f>
        <v>0.19795240401062</v>
      </c>
      <c r="D34" s="11">
        <f t="shared" si="18"/>
        <v>0.18760733987415068</v>
      </c>
      <c r="E34" s="11">
        <f t="shared" si="18"/>
        <v>0.15882836591428404</v>
      </c>
      <c r="F34" s="11">
        <f t="shared" si="18"/>
        <v>0.182326129074557</v>
      </c>
      <c r="G34" s="11">
        <f t="shared" si="18"/>
        <v>0.18773368901433632</v>
      </c>
      <c r="H34" s="8">
        <f t="shared" si="18"/>
        <v>-4.5528387295867114E-3</v>
      </c>
      <c r="I34" s="11">
        <f t="shared" si="18"/>
        <v>0.47597129451027737</v>
      </c>
      <c r="J34" s="11">
        <f t="shared" si="18"/>
        <v>-0.18747076122355139</v>
      </c>
      <c r="K34" s="11">
        <f t="shared" si="18"/>
        <v>0.4089026603985374</v>
      </c>
      <c r="L34" s="11">
        <f t="shared" si="18"/>
        <v>0.18209444575290473</v>
      </c>
      <c r="M34" s="11">
        <f t="shared" si="18"/>
        <v>0.4443366899929998</v>
      </c>
      <c r="N34" s="11">
        <f t="shared" si="18"/>
        <v>-0.19887855952197911</v>
      </c>
      <c r="O34" s="11">
        <f t="shared" si="18"/>
        <v>0.19112828397120704</v>
      </c>
      <c r="P34" s="11">
        <f t="shared" si="18"/>
        <v>0.19439372041182051</v>
      </c>
      <c r="Q34" s="8">
        <f t="shared" si="18"/>
        <v>-2.7339698667267513E-3</v>
      </c>
    </row>
    <row r="35" spans="1:17" x14ac:dyDescent="0.25">
      <c r="A35" s="3" t="s">
        <v>29</v>
      </c>
      <c r="B35" s="10">
        <f>(((B33/B6)^(1/9))-1)</f>
        <v>0.24991916164556094</v>
      </c>
      <c r="C35" s="10">
        <f t="shared" ref="C35:Q35" si="19">(((C33/C6)^(1/9))-1)</f>
        <v>0.26242401331515808</v>
      </c>
      <c r="D35" s="10">
        <f t="shared" si="19"/>
        <v>0.25649841736129031</v>
      </c>
      <c r="E35" s="10">
        <f t="shared" si="19"/>
        <v>0.25860462477532287</v>
      </c>
      <c r="F35" s="10">
        <f t="shared" si="19"/>
        <v>0.25569930361417814</v>
      </c>
      <c r="G35" s="10">
        <f t="shared" si="19"/>
        <v>0.25466349301950286</v>
      </c>
      <c r="H35" s="10">
        <f t="shared" si="19"/>
        <v>8.2556844957881736E-4</v>
      </c>
      <c r="I35" s="10">
        <f t="shared" si="19"/>
        <v>0.151896674601111</v>
      </c>
      <c r="J35" s="12" t="s">
        <v>28</v>
      </c>
      <c r="K35" s="10">
        <f t="shared" si="19"/>
        <v>0.15961057534481915</v>
      </c>
      <c r="L35" s="10">
        <f t="shared" si="19"/>
        <v>0.2560394968709403</v>
      </c>
      <c r="M35" s="10">
        <f t="shared" si="19"/>
        <v>0.17942067542740014</v>
      </c>
      <c r="N35" s="12" t="s">
        <v>28</v>
      </c>
      <c r="O35" s="10">
        <f t="shared" si="19"/>
        <v>0.25137414224598476</v>
      </c>
      <c r="P35" s="10">
        <f t="shared" si="19"/>
        <v>0.26793562823724315</v>
      </c>
      <c r="Q35" s="10">
        <f t="shared" si="19"/>
        <v>-1.3061771924717691E-2</v>
      </c>
    </row>
    <row r="36" spans="1:17" ht="30" x14ac:dyDescent="0.25">
      <c r="A36" s="2" t="s">
        <v>37</v>
      </c>
      <c r="B36" s="5">
        <f>[1]INDIGO!B$36+[2]INDIGO!B$36</f>
        <v>259576</v>
      </c>
      <c r="C36" s="5">
        <f>[1]INDIGO!C$36+[2]INDIGO!C$36</f>
        <v>478441.34993000003</v>
      </c>
      <c r="D36" s="5">
        <f>[1]INDIGO!D$36+[2]INDIGO!D$36</f>
        <v>251644.19699999996</v>
      </c>
      <c r="E36" s="5">
        <f>[1]INDIGO!E$36+[2]INDIGO!E$36</f>
        <v>30634369</v>
      </c>
      <c r="F36" s="5">
        <f>[1]INDIGO!F$36+[2]INDIGO!F$36</f>
        <v>31466.596000000001</v>
      </c>
      <c r="G36" s="5">
        <f>[1]INDIGO!G$36+[2]INDIGO!G$36</f>
        <v>45340.813000000002</v>
      </c>
      <c r="H36" s="13">
        <v>0.69400158307703919</v>
      </c>
      <c r="I36" s="4">
        <f>[2]INDIGO!I$36+[1]INDIGO!I$36</f>
        <v>154839.04422000001</v>
      </c>
      <c r="J36" s="4">
        <f>[2]INDIGO!J$36+[1]INDIGO!J$36</f>
        <v>22537.949299999993</v>
      </c>
      <c r="K36" s="4">
        <f>[2]INDIGO!K$36+[1]INDIGO!K$36</f>
        <v>177376.99351999999</v>
      </c>
      <c r="L36" s="4">
        <f>[2]INDIGO!L$36+[1]INDIGO!L$36</f>
        <v>2829.1948686696601</v>
      </c>
      <c r="M36" s="4">
        <f>[2]INDIGO!M$36+[1]INDIGO!M$36</f>
        <v>175.30580475159999</v>
      </c>
      <c r="N36" s="4">
        <f>[2]INDIGO!N$36+[1]INDIGO!N$36</f>
        <v>21.037390319780002</v>
      </c>
      <c r="O36" s="4">
        <f>[2]INDIGO!O$36+[1]INDIGO!O$36</f>
        <v>3025.5380637410403</v>
      </c>
      <c r="P36" s="4">
        <f>[2]INDIGO!P$36+[1]INDIGO!P$36</f>
        <v>4801.3063012940001</v>
      </c>
      <c r="Q36" s="13">
        <f>O36/P36</f>
        <v>0.63014893736848809</v>
      </c>
    </row>
    <row r="37" spans="1:17" ht="30" x14ac:dyDescent="0.25">
      <c r="A37" s="1" t="s">
        <v>27</v>
      </c>
      <c r="B37" s="11">
        <f>(B36-B33)/B33</f>
        <v>-0.50353923569339754</v>
      </c>
      <c r="C37" s="11">
        <f t="shared" ref="C37:Q37" si="20">(C36-C33)/C33</f>
        <v>-0.5320935939949637</v>
      </c>
      <c r="D37" s="11">
        <f t="shared" si="20"/>
        <v>-0.53567745207122264</v>
      </c>
      <c r="E37" s="11">
        <f t="shared" si="20"/>
        <v>-0.59168307876367066</v>
      </c>
      <c r="F37" s="11">
        <f t="shared" si="20"/>
        <v>-0.61877091580308186</v>
      </c>
      <c r="G37" s="11">
        <f t="shared" si="20"/>
        <v>-0.52887829587718349</v>
      </c>
      <c r="H37" s="8">
        <f t="shared" si="20"/>
        <v>-0.99190805516152714</v>
      </c>
      <c r="I37" s="11">
        <f t="shared" si="20"/>
        <v>-0.44253418417216667</v>
      </c>
      <c r="J37" s="11">
        <f t="shared" si="20"/>
        <v>0.31065983828684496</v>
      </c>
      <c r="K37" s="11">
        <f t="shared" si="20"/>
        <v>-0.39862237803320771</v>
      </c>
      <c r="L37" s="11">
        <f t="shared" si="20"/>
        <v>-0.61904742554184422</v>
      </c>
      <c r="M37" s="11">
        <f t="shared" si="20"/>
        <v>-0.52912706587477387</v>
      </c>
      <c r="N37" s="11">
        <f t="shared" si="20"/>
        <v>0.20315409966761466</v>
      </c>
      <c r="O37" s="11">
        <f t="shared" si="20"/>
        <v>-0.61292522546550487</v>
      </c>
      <c r="P37" s="11">
        <f t="shared" si="20"/>
        <v>-0.55135043047345955</v>
      </c>
      <c r="Q37" s="8">
        <f t="shared" si="20"/>
        <v>-0.99137244743279318</v>
      </c>
    </row>
    <row r="38" spans="1:17" x14ac:dyDescent="0.25">
      <c r="A38" s="3" t="s">
        <v>29</v>
      </c>
      <c r="B38" s="10">
        <f>(((B36/B6)^(1/10))-1)</f>
        <v>0.13967816183411808</v>
      </c>
      <c r="C38" s="10">
        <f t="shared" ref="C38:I38" si="21">(((C36/C6)^(1/10))-1)</f>
        <v>0.14314315800843236</v>
      </c>
      <c r="D38" s="10">
        <f t="shared" si="21"/>
        <v>0.1374379881098331</v>
      </c>
      <c r="E38" s="10">
        <f t="shared" si="21"/>
        <v>0.12460530729916908</v>
      </c>
      <c r="F38" s="10">
        <f t="shared" si="21"/>
        <v>0.11459140732251161</v>
      </c>
      <c r="G38" s="10">
        <f t="shared" si="21"/>
        <v>0.13759545055899292</v>
      </c>
      <c r="H38" s="6">
        <f t="shared" si="21"/>
        <v>-0.38180164644726311</v>
      </c>
      <c r="I38" s="10">
        <f t="shared" si="21"/>
        <v>7.1257797748627727E-2</v>
      </c>
      <c r="J38" s="10" t="s">
        <v>28</v>
      </c>
      <c r="K38" s="10">
        <f t="shared" ref="K38:M38" si="22">(((K36/K6)^(1/10))-1)</f>
        <v>8.5914611879653657E-2</v>
      </c>
      <c r="L38" s="10">
        <f t="shared" si="22"/>
        <v>0.11478228291381343</v>
      </c>
      <c r="M38" s="10">
        <f t="shared" si="22"/>
        <v>7.5950361644430808E-2</v>
      </c>
      <c r="N38" s="10" t="s">
        <v>28</v>
      </c>
      <c r="O38" s="10">
        <f t="shared" ref="O38:Q38" si="23">(((O36/O6)^(1/10))-1)</f>
        <v>0.1128277476508126</v>
      </c>
      <c r="P38" s="10">
        <f t="shared" si="23"/>
        <v>0.14282099533712844</v>
      </c>
      <c r="Q38" s="6">
        <f t="shared" si="23"/>
        <v>-0.3856020817026552</v>
      </c>
    </row>
    <row r="39" spans="1:17" x14ac:dyDescent="0.25">
      <c r="A39" s="24" t="s">
        <v>32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x14ac:dyDescent="0.25">
      <c r="A40" s="22" t="s">
        <v>35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ht="27" customHeight="1" x14ac:dyDescent="0.25">
      <c r="A41" s="26" t="s">
        <v>38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</sheetData>
  <mergeCells count="15">
    <mergeCell ref="A41:Q41"/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95" orientation="landscape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INDIGO</vt:lpstr>
      <vt:lpstr>INDIGO!Print_Titles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2022-04-26T05:44:00Z</cp:lastPrinted>
  <dcterms:created xsi:type="dcterms:W3CDTF">2018-10-29T04:00:16Z</dcterms:created>
  <dcterms:modified xsi:type="dcterms:W3CDTF">2022-04-26T05:44:06Z</dcterms:modified>
</cp:coreProperties>
</file>