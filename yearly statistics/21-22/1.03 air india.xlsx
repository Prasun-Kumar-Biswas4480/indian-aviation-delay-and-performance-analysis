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ownloads\put up\put up\final -Traffic Data Tables for Scheduled Airlines\Traffic Data Tables for Scheduled Airlines\03. AIR INDIA\"/>
    </mc:Choice>
  </mc:AlternateContent>
  <bookViews>
    <workbookView xWindow="0" yWindow="0" windowWidth="24000" windowHeight="9435"/>
  </bookViews>
  <sheets>
    <sheet name="AIR INDIA" sheetId="1" r:id="rId1"/>
  </sheets>
  <externalReferences>
    <externalReference r:id="rId2"/>
    <externalReference r:id="rId3"/>
  </externalReferences>
  <definedNames>
    <definedName name="_xlnm.Print_Area" localSheetId="0">'AIR INDIA'!$A$1:$Q$20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" i="1" l="1"/>
  <c r="O7" i="1" s="1"/>
  <c r="Q7" i="1" s="1"/>
  <c r="M7" i="1"/>
  <c r="N7" i="1"/>
  <c r="L8" i="1"/>
  <c r="O8" i="1" s="1"/>
  <c r="M8" i="1"/>
  <c r="N8" i="1"/>
  <c r="L9" i="1"/>
  <c r="O9" i="1" s="1"/>
  <c r="Q9" i="1" s="1"/>
  <c r="M9" i="1"/>
  <c r="N9" i="1"/>
  <c r="L10" i="1"/>
  <c r="O10" i="1" s="1"/>
  <c r="Q10" i="1" s="1"/>
  <c r="M10" i="1"/>
  <c r="N10" i="1"/>
  <c r="L11" i="1"/>
  <c r="O11" i="1" s="1"/>
  <c r="Q11" i="1" s="1"/>
  <c r="M11" i="1"/>
  <c r="N11" i="1"/>
  <c r="L12" i="1"/>
  <c r="O12" i="1" s="1"/>
  <c r="Q12" i="1" s="1"/>
  <c r="M12" i="1"/>
  <c r="N12" i="1"/>
  <c r="L13" i="1"/>
  <c r="O13" i="1" s="1"/>
  <c r="Q13" i="1" s="1"/>
  <c r="M13" i="1"/>
  <c r="N13" i="1"/>
  <c r="L14" i="1"/>
  <c r="O14" i="1" s="1"/>
  <c r="Q14" i="1" s="1"/>
  <c r="M14" i="1"/>
  <c r="N14" i="1"/>
  <c r="L15" i="1"/>
  <c r="O15" i="1" s="1"/>
  <c r="Q15" i="1" s="1"/>
  <c r="M15" i="1"/>
  <c r="N15" i="1"/>
  <c r="L16" i="1"/>
  <c r="O16" i="1" s="1"/>
  <c r="Q16" i="1" s="1"/>
  <c r="M16" i="1"/>
  <c r="N16" i="1"/>
  <c r="L17" i="1"/>
  <c r="O17" i="1" s="1"/>
  <c r="Q17" i="1" s="1"/>
  <c r="M17" i="1"/>
  <c r="N17" i="1"/>
  <c r="M6" i="1"/>
  <c r="M18" i="1" s="1"/>
  <c r="N6" i="1"/>
  <c r="N18" i="1" s="1"/>
  <c r="L6" i="1"/>
  <c r="O6" i="1" s="1"/>
  <c r="Q6" i="1" s="1"/>
  <c r="O18" i="1" l="1"/>
  <c r="Q18" i="1" s="1"/>
  <c r="Q8" i="1"/>
  <c r="L18" i="1"/>
</calcChain>
</file>

<file path=xl/sharedStrings.xml><?xml version="1.0" encoding="utf-8"?>
<sst xmlns="http://schemas.openxmlformats.org/spreadsheetml/2006/main" count="27" uniqueCount="25">
  <si>
    <t xml:space="preserve">तालिका 1.03 (एयर इंडिया) </t>
  </si>
  <si>
    <t>Table 1.03 (AIR INDIA)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</si>
  <si>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</si>
  <si>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</si>
  <si>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</si>
  <si>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</si>
  <si>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</si>
  <si>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</si>
  <si>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</si>
  <si>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</si>
  <si>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</si>
  <si>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</si>
  <si>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</si>
  <si>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</si>
  <si>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</si>
  <si>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</si>
  <si>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</si>
  <si>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</si>
  <si>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</si>
  <si>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</si>
  <si>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</si>
  <si>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AIR INDIA</t>
  </si>
  <si>
    <t>2020-21</t>
  </si>
  <si>
    <t>* DENOTES that THE INTERNATIONAL OPERATIONS BY SCHEDULED INDIAN OPERATORS WERE CARRIED AS PER DGCA’S CIRCULAR DATED 26.03.2020 UNDER COVID-19 RESTRICTION.</t>
  </si>
  <si>
    <t>MONTHLY TRAFFIC AND OPERATING STATISTICS OF AIR INDIA ON SCHEDULED (DOMESTIC + INTERNATIONAL*) SERVICES DURING 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</si>
</sst>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#,##0.0"/>
    <numFmt numFmtId="168" formatCode="[$-1010409]mmmm/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23">
    <xf numFmtId="0" fontId="0" fillId="0" borderId="0" xfId="0"/>
    <xf numFmtId="0" fontId="0" fillId="0" borderId="0" xfId="0" applyFont="1"/>
    <xf numFmtId="165" fontId="1" fillId="3" borderId="1" xfId="3" applyNumberFormat="1" applyBorder="1" applyAlignment="1">
      <alignment horizontal="right" vertical="center"/>
    </xf>
    <xf numFmtId="166" fontId="1" fillId="3" borderId="1" xfId="3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166" fontId="0" fillId="0" borderId="1" xfId="1" applyNumberFormat="1" applyFont="1" applyBorder="1" applyAlignment="1">
      <alignment horizontal="right" vertical="center"/>
    </xf>
    <xf numFmtId="0" fontId="2" fillId="3" borderId="1" xfId="3" applyFont="1" applyBorder="1" applyAlignment="1" applyProtection="1">
      <alignment horizontal="center" vertical="center" wrapText="1"/>
    </xf>
    <xf numFmtId="3" fontId="2" fillId="3" borderId="1" xfId="3" applyNumberFormat="1" applyFont="1" applyBorder="1" applyAlignment="1" applyProtection="1">
      <alignment horizontal="right" vertical="center" wrapText="1"/>
    </xf>
    <xf numFmtId="167" fontId="2" fillId="3" borderId="1" xfId="3" applyNumberFormat="1" applyFont="1" applyBorder="1" applyAlignment="1" applyProtection="1">
      <alignment horizontal="right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166" fontId="1" fillId="5" borderId="1" xfId="3" applyNumberFormat="1" applyFill="1" applyBorder="1" applyAlignment="1">
      <alignment horizontal="right" vertical="center"/>
    </xf>
    <xf numFmtId="167" fontId="2" fillId="5" borderId="1" xfId="3" applyNumberFormat="1" applyFont="1" applyFill="1" applyBorder="1" applyAlignment="1" applyProtection="1">
      <alignment horizontal="right" vertical="center" wrapText="1"/>
    </xf>
    <xf numFmtId="0" fontId="2" fillId="0" borderId="1" xfId="0" applyFont="1" applyBorder="1" applyAlignment="1">
      <alignment horizontal="left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5" fillId="4" borderId="1" xfId="0" applyFont="1" applyFill="1" applyBorder="1" applyAlignment="1" applyProtection="1">
      <alignment horizontal="left" vertical="center" wrapText="1"/>
    </xf>
    <xf numFmtId="0" fontId="4" fillId="3" borderId="1" xfId="3" applyFont="1" applyBorder="1" applyAlignment="1">
      <alignment horizontal="center" vertical="center" wrapText="1"/>
    </xf>
    <xf numFmtId="0" fontId="4" fillId="3" borderId="1" xfId="3" quotePrefix="1" applyFont="1" applyBorder="1" applyAlignment="1" applyProtection="1">
      <alignment horizontal="center" vertical="center" wrapText="1"/>
    </xf>
    <xf numFmtId="0" fontId="4" fillId="3" borderId="1" xfId="3" applyFont="1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  <xf numFmtId="168" fontId="1" fillId="3" borderId="1" xfId="3" applyNumberFormat="1" applyBorder="1" applyAlignment="1" applyProtection="1">
      <alignment horizontal="center" vertical="center" wrapText="1"/>
    </xf>
    <xf numFmtId="168" fontId="4" fillId="4" borderId="1" xfId="0" applyNumberFormat="1" applyFont="1" applyFill="1" applyBorder="1" applyAlignment="1" applyProtection="1">
      <alignment horizontal="center" vertical="center" wrapText="1"/>
    </xf>
  </cellXfs>
  <cellStyles count="4">
    <cellStyle name="40% - Accent1" xfId="3" builtinId="31"/>
    <cellStyle name="Accent1" xfId="2" builtinId="2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.01%20air%20indi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.02%20air%20ind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R INDIA"/>
    </sheetNames>
    <sheetDataSet>
      <sheetData sheetId="0">
        <row r="6">
          <cell r="L6">
            <v>0</v>
          </cell>
          <cell r="M6">
            <v>0</v>
          </cell>
          <cell r="N6">
            <v>0</v>
          </cell>
        </row>
        <row r="7">
          <cell r="L7">
            <v>3.5424720000000001</v>
          </cell>
          <cell r="M7">
            <v>0.23813999999999999</v>
          </cell>
          <cell r="N7">
            <v>8.4</v>
          </cell>
        </row>
        <row r="8">
          <cell r="L8">
            <v>16.8401</v>
          </cell>
          <cell r="M8">
            <v>2.4674399999999999</v>
          </cell>
          <cell r="N8">
            <v>0</v>
          </cell>
        </row>
        <row r="9">
          <cell r="L9">
            <v>13.022575508000012</v>
          </cell>
          <cell r="M9">
            <v>2.3480259098000014</v>
          </cell>
          <cell r="N9">
            <v>0</v>
          </cell>
        </row>
        <row r="10">
          <cell r="L10">
            <v>22.996838574999998</v>
          </cell>
          <cell r="M10">
            <v>3.0548466569999961</v>
          </cell>
          <cell r="N10">
            <v>0</v>
          </cell>
        </row>
        <row r="11">
          <cell r="L11">
            <v>32.788118072999964</v>
          </cell>
          <cell r="M11">
            <v>4.5574434052000035</v>
          </cell>
          <cell r="N11">
            <v>0</v>
          </cell>
        </row>
        <row r="12">
          <cell r="L12">
            <v>43.075004229999976</v>
          </cell>
          <cell r="M12">
            <v>5.2514155340999986</v>
          </cell>
          <cell r="N12">
            <v>0</v>
          </cell>
        </row>
        <row r="13">
          <cell r="L13">
            <v>57.574961000000002</v>
          </cell>
          <cell r="M13">
            <v>4.9563629397999973</v>
          </cell>
          <cell r="N13">
            <v>0</v>
          </cell>
        </row>
        <row r="14">
          <cell r="L14">
            <v>64.765045999999998</v>
          </cell>
          <cell r="M14">
            <v>5.4078108423000062</v>
          </cell>
          <cell r="N14">
            <v>0</v>
          </cell>
        </row>
        <row r="15">
          <cell r="L15">
            <v>68.434967999999998</v>
          </cell>
          <cell r="M15">
            <v>5.240458152799996</v>
          </cell>
          <cell r="N15">
            <v>0</v>
          </cell>
        </row>
        <row r="16">
          <cell r="L16">
            <v>79.530394000000001</v>
          </cell>
          <cell r="M16">
            <v>5.7623865698999976</v>
          </cell>
          <cell r="N16">
            <v>0</v>
          </cell>
        </row>
        <row r="17">
          <cell r="L17">
            <v>79.670468</v>
          </cell>
          <cell r="M17">
            <v>7.0040564439000033</v>
          </cell>
          <cell r="N17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R INDIA "/>
    </sheetNames>
    <sheetDataSet>
      <sheetData sheetId="0">
        <row r="6">
          <cell r="L6">
            <v>0.75243337500000007</v>
          </cell>
          <cell r="M6">
            <v>3.8817761340000012</v>
          </cell>
          <cell r="N6">
            <v>0</v>
          </cell>
        </row>
        <row r="7">
          <cell r="L7">
            <v>24.51596</v>
          </cell>
          <cell r="M7">
            <v>7.6828016595999999</v>
          </cell>
          <cell r="N7">
            <v>0.30199999999999999</v>
          </cell>
        </row>
        <row r="8">
          <cell r="L8">
            <v>86.355795975000007</v>
          </cell>
          <cell r="M8">
            <v>10.3696225846</v>
          </cell>
          <cell r="N8">
            <v>3.4806068061441491E-3</v>
          </cell>
        </row>
        <row r="9">
          <cell r="L9">
            <v>76.084553117999974</v>
          </cell>
          <cell r="M9">
            <v>12.042376336900002</v>
          </cell>
          <cell r="N9">
            <v>0</v>
          </cell>
        </row>
        <row r="10">
          <cell r="L10">
            <v>75.358575625999976</v>
          </cell>
          <cell r="M10">
            <v>14.002238846899985</v>
          </cell>
          <cell r="N10">
            <v>0</v>
          </cell>
        </row>
        <row r="11">
          <cell r="L11">
            <v>70.549591674999959</v>
          </cell>
          <cell r="M11">
            <v>21.602349879300007</v>
          </cell>
          <cell r="N11">
            <v>0</v>
          </cell>
        </row>
        <row r="12">
          <cell r="L12">
            <v>81.339950820999945</v>
          </cell>
          <cell r="M12">
            <v>29.008560022099974</v>
          </cell>
          <cell r="N12">
            <v>0</v>
          </cell>
        </row>
        <row r="13">
          <cell r="L13">
            <v>93.580928999999998</v>
          </cell>
          <cell r="M13">
            <v>29.690380022099973</v>
          </cell>
          <cell r="N13">
            <v>0</v>
          </cell>
        </row>
        <row r="14">
          <cell r="L14">
            <v>112.6541373</v>
          </cell>
          <cell r="M14">
            <v>32.866953740299984</v>
          </cell>
          <cell r="N14">
            <v>0</v>
          </cell>
        </row>
        <row r="15">
          <cell r="L15">
            <v>124.868132</v>
          </cell>
          <cell r="M15">
            <v>29.575836008300016</v>
          </cell>
          <cell r="N15">
            <v>0</v>
          </cell>
        </row>
        <row r="16">
          <cell r="L16">
            <v>125.39571799999999</v>
          </cell>
          <cell r="M16">
            <v>34.590323710400021</v>
          </cell>
          <cell r="N16">
            <v>0</v>
          </cell>
        </row>
        <row r="17">
          <cell r="L17">
            <v>139.71471419999997</v>
          </cell>
          <cell r="M17">
            <v>40.06898325129999</v>
          </cell>
          <cell r="N17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Q20"/>
  <sheetViews>
    <sheetView tabSelected="1" view="pageBreakPreview" topLeftCell="A6" zoomScaleNormal="98" zoomScaleSheetLayoutView="100" workbookViewId="0">
      <selection activeCell="A6" sqref="A6:A17"/>
    </sheetView>
  </sheetViews>
  <sheetFormatPr defaultColWidth="9.140625" defaultRowHeight="15" x14ac:dyDescent="0.25"/>
  <cols>
    <col min="1" max="1" width="13.28515625" style="1" customWidth="1"/>
    <col min="2" max="2" width="9.5703125" style="1" customWidth="1"/>
    <col min="3" max="3" width="9.28515625" style="1" customWidth="1"/>
    <col min="4" max="4" width="9.85546875" style="1" customWidth="1"/>
    <col min="5" max="5" width="11.5703125" style="1" customWidth="1"/>
    <col min="6" max="7" width="8.28515625" style="1" customWidth="1"/>
    <col min="8" max="8" width="7.28515625" style="1" customWidth="1"/>
    <col min="9" max="9" width="9.85546875" style="1" customWidth="1"/>
    <col min="10" max="10" width="9" style="1" customWidth="1"/>
    <col min="11" max="11" width="9.7109375" style="1" customWidth="1"/>
    <col min="12" max="12" width="8.7109375" style="1" customWidth="1"/>
    <col min="13" max="13" width="7.28515625" style="1" customWidth="1"/>
    <col min="14" max="14" width="7.140625" style="1" customWidth="1"/>
    <col min="15" max="15" width="8.5703125" style="1" customWidth="1"/>
    <col min="16" max="16" width="8.7109375" style="1" customWidth="1"/>
    <col min="17" max="17" width="7" style="1" customWidth="1"/>
    <col min="18" max="16384" width="9.140625" style="1"/>
  </cols>
  <sheetData>
    <row r="1" spans="1:17" ht="18.75" customHeight="1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18.75" customHeight="1" x14ac:dyDescent="0.25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7" ht="18.75" customHeight="1" x14ac:dyDescent="0.25">
      <c r="A3" s="19" t="s">
        <v>24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 spans="1:17" ht="21" customHeight="1" x14ac:dyDescent="0.25">
      <c r="A4" s="19" t="s">
        <v>2</v>
      </c>
      <c r="B4" s="19" t="s">
        <v>3</v>
      </c>
      <c r="C4" s="19"/>
      <c r="D4" s="19"/>
      <c r="E4" s="19" t="s">
        <v>4</v>
      </c>
      <c r="F4" s="20"/>
      <c r="G4" s="13" t="s">
        <v>5</v>
      </c>
      <c r="H4" s="13" t="s">
        <v>6</v>
      </c>
      <c r="I4" s="19" t="s">
        <v>7</v>
      </c>
      <c r="J4" s="19"/>
      <c r="K4" s="19"/>
      <c r="L4" s="19" t="s">
        <v>8</v>
      </c>
      <c r="M4" s="19"/>
      <c r="N4" s="19"/>
      <c r="O4" s="19"/>
      <c r="P4" s="13" t="s">
        <v>9</v>
      </c>
      <c r="Q4" s="13" t="s">
        <v>10</v>
      </c>
    </row>
    <row r="5" spans="1:17" ht="139.5" customHeight="1" x14ac:dyDescent="0.25">
      <c r="A5" s="19"/>
      <c r="B5" s="9" t="s">
        <v>11</v>
      </c>
      <c r="C5" s="9" t="s">
        <v>12</v>
      </c>
      <c r="D5" s="9" t="s">
        <v>13</v>
      </c>
      <c r="E5" s="9" t="s">
        <v>14</v>
      </c>
      <c r="F5" s="9" t="s">
        <v>15</v>
      </c>
      <c r="G5" s="14"/>
      <c r="H5" s="14"/>
      <c r="I5" s="9" t="s">
        <v>16</v>
      </c>
      <c r="J5" s="9" t="s">
        <v>17</v>
      </c>
      <c r="K5" s="9" t="s">
        <v>18</v>
      </c>
      <c r="L5" s="9" t="s">
        <v>19</v>
      </c>
      <c r="M5" s="9" t="s">
        <v>20</v>
      </c>
      <c r="N5" s="9" t="s">
        <v>17</v>
      </c>
      <c r="O5" s="9" t="s">
        <v>18</v>
      </c>
      <c r="P5" s="14"/>
      <c r="Q5" s="14"/>
    </row>
    <row r="6" spans="1:17" ht="21" customHeight="1" x14ac:dyDescent="0.25">
      <c r="A6" s="21">
        <v>43922</v>
      </c>
      <c r="B6" s="2">
        <v>84</v>
      </c>
      <c r="C6" s="2">
        <v>589.51666666666654</v>
      </c>
      <c r="D6" s="2">
        <v>619.27800000000002</v>
      </c>
      <c r="E6" s="2">
        <v>3505</v>
      </c>
      <c r="F6" s="2">
        <v>10.032444999999999</v>
      </c>
      <c r="G6" s="2">
        <v>129.675916</v>
      </c>
      <c r="H6" s="3">
        <v>7.7365522523087478</v>
      </c>
      <c r="I6" s="3">
        <v>839.16480000000001</v>
      </c>
      <c r="J6" s="3">
        <v>0</v>
      </c>
      <c r="K6" s="3">
        <v>839.16480000000001</v>
      </c>
      <c r="L6" s="3">
        <f>'[1]AIR INDIA'!L6+'[2]AIR INDIA '!L6</f>
        <v>0.75243337500000007</v>
      </c>
      <c r="M6" s="3">
        <f>'[1]AIR INDIA'!M6+'[2]AIR INDIA '!M6</f>
        <v>3.8817761340000012</v>
      </c>
      <c r="N6" s="3">
        <f>'[1]AIR INDIA'!N6+'[2]AIR INDIA '!N6</f>
        <v>0</v>
      </c>
      <c r="O6" s="3">
        <f>L6+M6+N6</f>
        <v>4.6342095090000015</v>
      </c>
      <c r="P6" s="3">
        <v>21.013450800000015</v>
      </c>
      <c r="Q6" s="8">
        <f t="shared" ref="Q6:Q17" si="0">O6/P6*100</f>
        <v>22.053538721969446</v>
      </c>
    </row>
    <row r="7" spans="1:17" ht="21" customHeight="1" x14ac:dyDescent="0.25">
      <c r="A7" s="22">
        <v>43952</v>
      </c>
      <c r="B7" s="4">
        <v>795</v>
      </c>
      <c r="C7" s="4">
        <v>3140.3500000000004</v>
      </c>
      <c r="D7" s="4">
        <v>2987.518</v>
      </c>
      <c r="E7" s="4">
        <v>81052</v>
      </c>
      <c r="F7" s="4">
        <v>310.70057800000001</v>
      </c>
      <c r="G7" s="4">
        <v>538.93799999999999</v>
      </c>
      <c r="H7" s="5">
        <v>57.650523436833176</v>
      </c>
      <c r="I7" s="5">
        <v>1701.6974</v>
      </c>
      <c r="J7" s="5">
        <v>47.724000000000004</v>
      </c>
      <c r="K7" s="5">
        <v>1749.4214000000002</v>
      </c>
      <c r="L7" s="10">
        <f>'[1]AIR INDIA'!L7+'[2]AIR INDIA '!L7</f>
        <v>28.058432</v>
      </c>
      <c r="M7" s="10">
        <f>'[1]AIR INDIA'!M7+'[2]AIR INDIA '!M7</f>
        <v>7.9209416595999995</v>
      </c>
      <c r="N7" s="10">
        <f>'[1]AIR INDIA'!N7+'[2]AIR INDIA '!N7</f>
        <v>8.702</v>
      </c>
      <c r="O7" s="10">
        <f t="shared" ref="O7:O17" si="1">L7+M7+N7</f>
        <v>44.681373659599998</v>
      </c>
      <c r="P7" s="5">
        <v>79.106931400000008</v>
      </c>
      <c r="Q7" s="11">
        <f t="shared" si="0"/>
        <v>56.482248608116272</v>
      </c>
    </row>
    <row r="8" spans="1:17" ht="21" customHeight="1" x14ac:dyDescent="0.25">
      <c r="A8" s="21">
        <v>43983</v>
      </c>
      <c r="B8" s="2">
        <v>2856</v>
      </c>
      <c r="C8" s="2">
        <v>9787.9833333333336</v>
      </c>
      <c r="D8" s="2">
        <v>8932.476999999999</v>
      </c>
      <c r="E8" s="2">
        <v>308075</v>
      </c>
      <c r="F8" s="2">
        <v>1123.3756129999999</v>
      </c>
      <c r="G8" s="2">
        <v>1561.040438</v>
      </c>
      <c r="H8" s="3">
        <v>71.963261530832924</v>
      </c>
      <c r="I8" s="3">
        <v>3618.6937000000003</v>
      </c>
      <c r="J8" s="3">
        <v>0</v>
      </c>
      <c r="K8" s="3">
        <v>3618.6937000000003</v>
      </c>
      <c r="L8" s="3">
        <f>'[1]AIR INDIA'!L8+'[2]AIR INDIA '!L8</f>
        <v>103.19589597500001</v>
      </c>
      <c r="M8" s="3">
        <f>'[1]AIR INDIA'!M8+'[2]AIR INDIA '!M8</f>
        <v>12.8370625846</v>
      </c>
      <c r="N8" s="3">
        <f>'[1]AIR INDIA'!N8+'[2]AIR INDIA '!N8</f>
        <v>3.4806068061441491E-3</v>
      </c>
      <c r="O8" s="3">
        <f t="shared" si="1"/>
        <v>116.03643916640617</v>
      </c>
      <c r="P8" s="3">
        <v>219.94225055999999</v>
      </c>
      <c r="Q8" s="8">
        <f t="shared" si="0"/>
        <v>52.757684742682741</v>
      </c>
    </row>
    <row r="9" spans="1:17" ht="21" customHeight="1" x14ac:dyDescent="0.25">
      <c r="A9" s="22">
        <v>44013</v>
      </c>
      <c r="B9" s="4">
        <v>2906</v>
      </c>
      <c r="C9" s="4">
        <v>9790.4673333333376</v>
      </c>
      <c r="D9" s="4">
        <v>8825.0040000000008</v>
      </c>
      <c r="E9" s="4">
        <v>242315</v>
      </c>
      <c r="F9" s="4">
        <v>971.05303900000001</v>
      </c>
      <c r="G9" s="4">
        <v>1567.3767250000001</v>
      </c>
      <c r="H9" s="5">
        <v>61.954029526628318</v>
      </c>
      <c r="I9" s="5">
        <v>3620.9882999999995</v>
      </c>
      <c r="J9" s="5">
        <v>0</v>
      </c>
      <c r="K9" s="5">
        <v>3620.9882999999995</v>
      </c>
      <c r="L9" s="10">
        <f>'[1]AIR INDIA'!L9+'[2]AIR INDIA '!L9</f>
        <v>89.107128625999991</v>
      </c>
      <c r="M9" s="10">
        <f>'[1]AIR INDIA'!M9+'[2]AIR INDIA '!M9</f>
        <v>14.390402246700003</v>
      </c>
      <c r="N9" s="10">
        <f>'[1]AIR INDIA'!N9+'[2]AIR INDIA '!N9</f>
        <v>0</v>
      </c>
      <c r="O9" s="10">
        <f t="shared" si="1"/>
        <v>103.4975308727</v>
      </c>
      <c r="P9" s="5">
        <v>224.6067080680003</v>
      </c>
      <c r="Q9" s="11">
        <f t="shared" si="0"/>
        <v>46.079447832593601</v>
      </c>
    </row>
    <row r="10" spans="1:17" ht="21" customHeight="1" x14ac:dyDescent="0.25">
      <c r="A10" s="21">
        <v>44044</v>
      </c>
      <c r="B10" s="2">
        <v>3185</v>
      </c>
      <c r="C10" s="2">
        <v>10442.000000000002</v>
      </c>
      <c r="D10" s="2">
        <v>8227.8410000000003</v>
      </c>
      <c r="E10" s="2">
        <v>319307</v>
      </c>
      <c r="F10" s="2">
        <v>1073.75875</v>
      </c>
      <c r="G10" s="2">
        <v>1623.8937480000002</v>
      </c>
      <c r="H10" s="3">
        <v>66.122475766807369</v>
      </c>
      <c r="I10" s="3">
        <v>4153.9957000000004</v>
      </c>
      <c r="J10" s="3">
        <v>0</v>
      </c>
      <c r="K10" s="3">
        <v>4153.9957000000004</v>
      </c>
      <c r="L10" s="3">
        <f>'[1]AIR INDIA'!L10+'[2]AIR INDIA '!L10</f>
        <v>98.355414200999974</v>
      </c>
      <c r="M10" s="3">
        <f>'[1]AIR INDIA'!M10+'[2]AIR INDIA '!M10</f>
        <v>17.05708550389998</v>
      </c>
      <c r="N10" s="3">
        <f>'[1]AIR INDIA'!N10+'[2]AIR INDIA '!N10</f>
        <v>0</v>
      </c>
      <c r="O10" s="3">
        <f t="shared" si="1"/>
        <v>115.41249970489996</v>
      </c>
      <c r="P10" s="3">
        <v>230.68646476799992</v>
      </c>
      <c r="Q10" s="8">
        <f t="shared" si="0"/>
        <v>50.030026608179924</v>
      </c>
    </row>
    <row r="11" spans="1:17" ht="21" customHeight="1" x14ac:dyDescent="0.25">
      <c r="A11" s="22">
        <v>44075</v>
      </c>
      <c r="B11" s="4">
        <v>4224</v>
      </c>
      <c r="C11" s="4">
        <v>13474.817333333332</v>
      </c>
      <c r="D11" s="4">
        <v>10553.670999999998</v>
      </c>
      <c r="E11" s="4">
        <v>411881</v>
      </c>
      <c r="F11" s="4">
        <v>1125.0292590000001</v>
      </c>
      <c r="G11" s="4">
        <v>2064.5468919999998</v>
      </c>
      <c r="H11" s="5">
        <v>54.4927927459252</v>
      </c>
      <c r="I11" s="5">
        <v>6217.0265999999992</v>
      </c>
      <c r="J11" s="5">
        <v>0</v>
      </c>
      <c r="K11" s="5">
        <v>6217.0265999999992</v>
      </c>
      <c r="L11" s="10">
        <f>'[1]AIR INDIA'!L11+'[2]AIR INDIA '!L11</f>
        <v>103.33770974799992</v>
      </c>
      <c r="M11" s="10">
        <f>'[1]AIR INDIA'!M11+'[2]AIR INDIA '!M11</f>
        <v>26.159793284500012</v>
      </c>
      <c r="N11" s="10">
        <f>'[1]AIR INDIA'!N11+'[2]AIR INDIA '!N11</f>
        <v>0</v>
      </c>
      <c r="O11" s="10">
        <f t="shared" si="1"/>
        <v>129.49750303249994</v>
      </c>
      <c r="P11" s="5">
        <v>290.06063123200005</v>
      </c>
      <c r="Q11" s="11">
        <f t="shared" si="0"/>
        <v>44.644977321628858</v>
      </c>
    </row>
    <row r="12" spans="1:17" ht="21" customHeight="1" x14ac:dyDescent="0.25">
      <c r="A12" s="21">
        <v>44105</v>
      </c>
      <c r="B12" s="2">
        <v>5431</v>
      </c>
      <c r="C12" s="2">
        <v>16358.665000000001</v>
      </c>
      <c r="D12" s="2">
        <v>12634.384</v>
      </c>
      <c r="E12" s="2">
        <v>546228</v>
      </c>
      <c r="F12" s="2">
        <v>1354.7228220000002</v>
      </c>
      <c r="G12" s="2">
        <v>2358.3941289999998</v>
      </c>
      <c r="H12" s="3">
        <v>57.442596440588424</v>
      </c>
      <c r="I12" s="3">
        <v>7745.4103000000014</v>
      </c>
      <c r="J12" s="3">
        <v>0</v>
      </c>
      <c r="K12" s="3">
        <v>7745.4103000000014</v>
      </c>
      <c r="L12" s="3">
        <f>'[1]AIR INDIA'!L12+'[2]AIR INDIA '!L12</f>
        <v>124.41495505099992</v>
      </c>
      <c r="M12" s="3">
        <f>'[1]AIR INDIA'!M12+'[2]AIR INDIA '!M12</f>
        <v>34.259975556199976</v>
      </c>
      <c r="N12" s="3">
        <f>'[1]AIR INDIA'!N12+'[2]AIR INDIA '!N12</f>
        <v>0</v>
      </c>
      <c r="O12" s="3">
        <f t="shared" si="1"/>
        <v>158.67493060719988</v>
      </c>
      <c r="P12" s="3">
        <v>323.53184932000011</v>
      </c>
      <c r="Q12" s="8">
        <f t="shared" si="0"/>
        <v>49.044609036391066</v>
      </c>
    </row>
    <row r="13" spans="1:17" ht="21" customHeight="1" x14ac:dyDescent="0.25">
      <c r="A13" s="22">
        <v>44136</v>
      </c>
      <c r="B13" s="4">
        <v>6113</v>
      </c>
      <c r="C13" s="4">
        <v>18269.108</v>
      </c>
      <c r="D13" s="4">
        <v>12987.972</v>
      </c>
      <c r="E13" s="4">
        <v>697638</v>
      </c>
      <c r="F13" s="4">
        <v>1499.3218220000001</v>
      </c>
      <c r="G13" s="4">
        <v>2497.0011600000003</v>
      </c>
      <c r="H13" s="5">
        <v>60.04489889784432</v>
      </c>
      <c r="I13" s="5">
        <v>8468.9629999999997</v>
      </c>
      <c r="J13" s="5">
        <v>0</v>
      </c>
      <c r="K13" s="5">
        <v>8468.9629999999997</v>
      </c>
      <c r="L13" s="10">
        <f>'[1]AIR INDIA'!L13+'[2]AIR INDIA '!L13</f>
        <v>151.15589</v>
      </c>
      <c r="M13" s="10">
        <f>'[1]AIR INDIA'!M13+'[2]AIR INDIA '!M13</f>
        <v>34.646742961899967</v>
      </c>
      <c r="N13" s="10">
        <f>'[1]AIR INDIA'!N13+'[2]AIR INDIA '!N13</f>
        <v>0</v>
      </c>
      <c r="O13" s="10">
        <f t="shared" si="1"/>
        <v>185.80263296189997</v>
      </c>
      <c r="P13" s="5">
        <v>338.71899054400018</v>
      </c>
      <c r="Q13" s="11">
        <f t="shared" si="0"/>
        <v>54.854507172299769</v>
      </c>
    </row>
    <row r="14" spans="1:17" ht="21" customHeight="1" x14ac:dyDescent="0.25">
      <c r="A14" s="21">
        <v>44166</v>
      </c>
      <c r="B14" s="2">
        <v>6933</v>
      </c>
      <c r="C14" s="2">
        <v>20256.01666666667</v>
      </c>
      <c r="D14" s="2">
        <v>14119.025999999998</v>
      </c>
      <c r="E14" s="2">
        <v>795075</v>
      </c>
      <c r="F14" s="2">
        <v>1934.4172480000002</v>
      </c>
      <c r="G14" s="2">
        <v>2740.4616249999999</v>
      </c>
      <c r="H14" s="3">
        <v>70.587277353318171</v>
      </c>
      <c r="I14" s="3">
        <v>8743.5228000000006</v>
      </c>
      <c r="J14" s="3">
        <v>0</v>
      </c>
      <c r="K14" s="3">
        <v>8743.5228000000006</v>
      </c>
      <c r="L14" s="3">
        <f>'[1]AIR INDIA'!L14+'[2]AIR INDIA '!L14</f>
        <v>177.41918329999999</v>
      </c>
      <c r="M14" s="3">
        <f>'[1]AIR INDIA'!M14+'[2]AIR INDIA '!M14</f>
        <v>38.274764582599992</v>
      </c>
      <c r="N14" s="3">
        <f>'[1]AIR INDIA'!N14+'[2]AIR INDIA '!N14</f>
        <v>0</v>
      </c>
      <c r="O14" s="3">
        <f t="shared" si="1"/>
        <v>215.69394788259999</v>
      </c>
      <c r="P14" s="3">
        <v>369.33485445999997</v>
      </c>
      <c r="Q14" s="8">
        <f t="shared" si="0"/>
        <v>58.40064788847603</v>
      </c>
    </row>
    <row r="15" spans="1:17" ht="21" customHeight="1" x14ac:dyDescent="0.25">
      <c r="A15" s="22">
        <v>44197</v>
      </c>
      <c r="B15" s="4">
        <v>7704</v>
      </c>
      <c r="C15" s="4">
        <v>22120.066666666666</v>
      </c>
      <c r="D15" s="4">
        <v>15318.398000000001</v>
      </c>
      <c r="E15" s="4">
        <v>878568</v>
      </c>
      <c r="F15" s="4">
        <v>2106.3292570000003</v>
      </c>
      <c r="G15" s="4">
        <v>2953.7695279999998</v>
      </c>
      <c r="H15" s="5">
        <v>71.309871573703916</v>
      </c>
      <c r="I15" s="5">
        <v>8619.4516999999996</v>
      </c>
      <c r="J15" s="5">
        <v>0</v>
      </c>
      <c r="K15" s="5">
        <v>8619.4516999999996</v>
      </c>
      <c r="L15" s="10">
        <f>'[1]AIR INDIA'!L15+'[2]AIR INDIA '!L15</f>
        <v>193.3031</v>
      </c>
      <c r="M15" s="10">
        <f>'[1]AIR INDIA'!M15+'[2]AIR INDIA '!M15</f>
        <v>34.816294161100011</v>
      </c>
      <c r="N15" s="10">
        <f>'[1]AIR INDIA'!N15+'[2]AIR INDIA '!N15</f>
        <v>0</v>
      </c>
      <c r="O15" s="10">
        <f t="shared" si="1"/>
        <v>228.11939416110002</v>
      </c>
      <c r="P15" s="5">
        <v>397.01300453999988</v>
      </c>
      <c r="Q15" s="11">
        <f t="shared" si="0"/>
        <v>57.458922391071575</v>
      </c>
    </row>
    <row r="16" spans="1:17" ht="21" customHeight="1" x14ac:dyDescent="0.25">
      <c r="A16" s="21">
        <v>44228</v>
      </c>
      <c r="B16" s="2">
        <v>7635</v>
      </c>
      <c r="C16" s="2">
        <v>22185.583999999992</v>
      </c>
      <c r="D16" s="2">
        <v>15253.646000000001</v>
      </c>
      <c r="E16" s="2">
        <v>998235</v>
      </c>
      <c r="F16" s="2">
        <v>2234.1185490000003</v>
      </c>
      <c r="G16" s="2">
        <v>2972.0465479999998</v>
      </c>
      <c r="H16" s="3">
        <v>75.171048397725173</v>
      </c>
      <c r="I16" s="3">
        <v>9934.4226999999992</v>
      </c>
      <c r="J16" s="3">
        <v>0</v>
      </c>
      <c r="K16" s="3">
        <v>9934.4226999999992</v>
      </c>
      <c r="L16" s="3">
        <f>'[1]AIR INDIA'!L16+'[2]AIR INDIA '!L16</f>
        <v>204.92611199999999</v>
      </c>
      <c r="M16" s="3">
        <f>'[1]AIR INDIA'!M16+'[2]AIR INDIA '!M16</f>
        <v>40.352710280300016</v>
      </c>
      <c r="N16" s="3">
        <f>'[1]AIR INDIA'!N16+'[2]AIR INDIA '!N16</f>
        <v>0</v>
      </c>
      <c r="O16" s="3">
        <f t="shared" si="1"/>
        <v>245.27882228030001</v>
      </c>
      <c r="P16" s="3">
        <v>401.236279792</v>
      </c>
      <c r="Q16" s="8">
        <f t="shared" si="0"/>
        <v>61.130768734933937</v>
      </c>
    </row>
    <row r="17" spans="1:17" ht="21" customHeight="1" x14ac:dyDescent="0.25">
      <c r="A17" s="22">
        <v>44256</v>
      </c>
      <c r="B17" s="4">
        <v>8580</v>
      </c>
      <c r="C17" s="4">
        <v>24595.233333333337</v>
      </c>
      <c r="D17" s="4">
        <v>17093.962</v>
      </c>
      <c r="E17" s="4">
        <v>1018840</v>
      </c>
      <c r="F17" s="4">
        <v>2392.8840759999998</v>
      </c>
      <c r="G17" s="4">
        <v>3314.7662850000002</v>
      </c>
      <c r="H17" s="5">
        <v>72.188621165488883</v>
      </c>
      <c r="I17" s="5">
        <v>11332.736199999999</v>
      </c>
      <c r="J17" s="5">
        <v>0</v>
      </c>
      <c r="K17" s="5">
        <v>11332.736199999999</v>
      </c>
      <c r="L17" s="10">
        <f>'[1]AIR INDIA'!L17+'[2]AIR INDIA '!L17</f>
        <v>219.38518219999997</v>
      </c>
      <c r="M17" s="10">
        <f>'[1]AIR INDIA'!M17+'[2]AIR INDIA '!M17</f>
        <v>47.073039695199995</v>
      </c>
      <c r="N17" s="10">
        <f>'[1]AIR INDIA'!N17+'[2]AIR INDIA '!N17</f>
        <v>0</v>
      </c>
      <c r="O17" s="10">
        <f t="shared" si="1"/>
        <v>266.45822189519998</v>
      </c>
      <c r="P17" s="5">
        <v>447.74516904399979</v>
      </c>
      <c r="Q17" s="11">
        <f t="shared" si="0"/>
        <v>59.511132741895686</v>
      </c>
    </row>
    <row r="18" spans="1:17" ht="21" customHeight="1" x14ac:dyDescent="0.25">
      <c r="A18" s="6" t="s">
        <v>22</v>
      </c>
      <c r="B18" s="7">
        <v>56446</v>
      </c>
      <c r="C18" s="7">
        <v>171009.80833333335</v>
      </c>
      <c r="D18" s="7">
        <v>127553.177</v>
      </c>
      <c r="E18" s="7">
        <v>6300719</v>
      </c>
      <c r="F18" s="7">
        <v>16135.743458000001</v>
      </c>
      <c r="G18" s="7">
        <v>24321.910994000002</v>
      </c>
      <c r="H18" s="8">
        <v>66.342416358568798</v>
      </c>
      <c r="I18" s="8">
        <v>74996.073199999999</v>
      </c>
      <c r="J18" s="8">
        <v>47.724000000000004</v>
      </c>
      <c r="K18" s="8">
        <v>75043.797200000001</v>
      </c>
      <c r="L18" s="8">
        <f>SUM(L6:L17)</f>
        <v>1493.4114364759996</v>
      </c>
      <c r="M18" s="8">
        <f t="shared" ref="M18:O18" si="2">SUM(M6:M17)</f>
        <v>311.6705886506</v>
      </c>
      <c r="N18" s="8">
        <f t="shared" si="2"/>
        <v>8.7054806068061446</v>
      </c>
      <c r="O18" s="8">
        <f t="shared" si="2"/>
        <v>1813.7875057334059</v>
      </c>
      <c r="P18" s="8">
        <v>3342.9965845280003</v>
      </c>
      <c r="Q18" s="8">
        <f>O18/P18*100</f>
        <v>54.256337386880574</v>
      </c>
    </row>
    <row r="19" spans="1:17" ht="21" customHeight="1" x14ac:dyDescent="0.25">
      <c r="A19" s="15" t="s">
        <v>21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</row>
    <row r="20" spans="1:17" ht="28.5" customHeight="1" x14ac:dyDescent="0.25">
      <c r="A20" s="12" t="s">
        <v>23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</sheetData>
  <mergeCells count="14"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AIR INDIA</vt:lpstr>
      <vt:lpstr>'AIR INDIA'!Print_Area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Windows User</cp:lastModifiedBy>
  <cp:lastPrinted>2022-04-25T11:45:39Z</cp:lastPrinted>
  <dcterms:created xsi:type="dcterms:W3CDTF">2020-06-03T10:30:17Z</dcterms:created>
  <dcterms:modified xsi:type="dcterms:W3CDTF">2022-04-25T11:45:50Z</dcterms:modified>
</cp:coreProperties>
</file>