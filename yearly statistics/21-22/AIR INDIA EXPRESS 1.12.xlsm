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'1.12'!$A$1:$D$14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<sst xmlns="http://schemas.openxmlformats.org/spreadsheetml/2006/main" count="877" uniqueCount="188">
  <si>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</si>
  <si>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</si>
  <si>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</si>
  <si>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</si>
  <si>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</si>
  <si>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</si>
  <si>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</si>
  <si>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</si>
  <si>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</si>
  <si>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</si>
  <si>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</si>
  <si>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</si>
  <si>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</si>
  <si>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</si>
  <si>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</si>
  <si>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</si>
  <si>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</si>
  <si>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</si>
  <si>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</si>
  <si>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</si>
  <si>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</si>
  <si>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</si>
  <si>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</si>
  <si>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</si>
  <si>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</si>
  <si>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</si>
  <si>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</si>
  <si>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</si>
  <si>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</si>
  <si>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</si>
  <si>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</si>
  <si>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</si>
  <si>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</si>
  <si>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</si>
  <si>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</si>
  <si>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</si>
  <si>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</si>
  <si>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</si>
  <si>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</si>
  <si>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</si>
  <si>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</si>
  <si>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</si>
  <si>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</si>
  <si>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</si>
  <si>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</si>
  <si>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</si>
  <si>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</si>
  <si>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</si>
  <si>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</si>
  <si>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</si>
  <si>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</si>
  <si>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</si>
  <si>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</si>
  <si>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</si>
  <si>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</si>
  <si>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</si>
  <si>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</si>
  <si>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</si>
  <si>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</si>
  <si>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</si>
  <si>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</si>
  <si>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</si>
  <si>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</si>
  <si>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</si>
  <si>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</si>
  <si>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</si>
  <si>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</si>
  <si>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</si>
  <si>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</si>
  <si>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</si>
  <si>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</si>
  <si>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</si>
  <si>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</si>
  <si>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</si>
  <si>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</si>
  <si>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</si>
  <si>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</si>
  <si>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</si>
  <si>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</si>
  <si>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</si>
  <si>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</si>
  <si>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</si>
  <si>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</si>
  <si>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</si>
  <si>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</si>
  <si>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</si>
  <si>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</si>
  <si>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</si>
  <si>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</si>
  <si>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</si>
  <si>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</si>
  <si>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</si>
  <si>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</si>
  <si>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</si>
  <si>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</si>
  <si>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</si>
  <si>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</si>
  <si>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</si>
  <si>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</si>
  <si>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</si>
  <si>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</si>
  <si>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</si>
  <si>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</si>
  <si>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</si>
  <si>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</si>
  <si>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</si>
  <si>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</si>
  <si>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</si>
  <si>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</si>
  <si>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</si>
  <si>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</si>
  <si>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</si>
  <si>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</si>
  <si>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</si>
  <si>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</si>
  <si>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</si>
  <si>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</si>
  <si>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</si>
  <si>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</si>
  <si>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</si>
  <si>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</si>
  <si>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</si>
  <si>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</si>
  <si>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</si>
  <si>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</si>
  <si>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</si>
  <si>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</si>
  <si>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</si>
  <si>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</si>
  <si>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</si>
  <si>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</si>
  <si>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</si>
  <si>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</si>
  <si>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</si>
  <si>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</si>
  <si>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</si>
  <si>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</si>
  <si>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</si>
  <si>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</si>
  <si>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</si>
  <si>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</si>
  <si>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</si>
  <si>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</si>
  <si>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</si>
  <si>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</si>
  <si>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</si>
  <si>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</si>
  <si>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</si>
  <si>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</si>
  <si>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</si>
  <si>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</si>
  <si>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</si>
  <si>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</si>
  <si>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</si>
  <si>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</si>
  <si>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</si>
  <si>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</si>
  <si>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</si>
  <si>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</si>
  <si>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</si>
  <si>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</si>
  <si>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</si>
  <si>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</si>
  <si>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</si>
  <si>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</si>
  <si>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</si>
  <si>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</si>
  <si>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</si>
  <si>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</si>
  <si>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</si>
  <si>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</si>
  <si>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</si>
  <si>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</si>
  <si>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</si>
  <si>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</si>
  <si>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</si>
  <si>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</si>
  <si>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</si>
  <si>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</si>
  <si>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</si>
  <si>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</si>
  <si>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</si>
  <si>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AIR INDIA EXPRESS</t>
  </si>
  <si>
    <t xml:space="preserve">तालिका 1.12 (एयर इंडिया एक्सप्रेस) </t>
  </si>
  <si>
    <t>TABLE - 1.12 (AIR INDIA EXPRESS)</t>
  </si>
  <si>
    <t>OTHER FLIGHT CREW</t>
  </si>
  <si>
    <t>CABIN CREW</t>
  </si>
  <si>
    <t>PERSONNEL STATISTICS OF AIR INDIA EXPRESS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</si>
</sst>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4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0" xfId="7" applyNumberFormat="1" applyFont="1" applyFill="1" applyBorder="1" applyAlignment="1" applyProtection="1">
      <alignment horizontal="left" vertical="center"/>
    </xf>
    <xf numFmtId="167" fontId="12" fillId="4" borderId="10" xfId="7" applyNumberFormat="1" applyFont="1" applyFill="1" applyBorder="1" applyAlignment="1" applyProtection="1">
      <alignment vertical="center"/>
    </xf>
    <xf numFmtId="167" fontId="13" fillId="4" borderId="9" xfId="7" applyNumberFormat="1" applyFont="1" applyFill="1" applyBorder="1" applyAlignment="1" applyProtection="1">
      <alignment vertical="center"/>
    </xf>
    <xf numFmtId="167" fontId="12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9" fillId="2" borderId="2" xfId="2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9" fillId="2" borderId="3" xfId="2" quotePrefix="1" applyFont="1" applyFill="1" applyBorder="1" applyAlignment="1" applyProtection="1">
      <alignment horizontal="center" vertical="center" wrapText="1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8" xfId="2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left" vertical="center" wrapText="1"/>
    </xf>
    <xf numFmtId="0" fontId="9" fillId="2" borderId="5" xfId="2" applyFont="1" applyFill="1" applyBorder="1" applyAlignment="1" applyProtection="1">
      <alignment horizontal="left" vertical="center" wrapText="1"/>
    </xf>
    <xf numFmtId="0" fontId="9" fillId="2" borderId="7" xfId="2" applyFont="1" applyFill="1" applyBorder="1" applyAlignment="1" applyProtection="1">
      <alignment horizontal="left" vertical="center" wrapText="1"/>
    </xf>
    <xf numFmtId="0" fontId="9" fillId="2" borderId="3" xfId="2" applyFont="1" applyFill="1" applyBorder="1" applyAlignment="1">
      <alignment horizontal="left" vertical="center" wrapText="1"/>
    </xf>
    <xf numFmtId="0" fontId="9" fillId="2" borderId="4" xfId="2" applyFont="1" applyFill="1" applyBorder="1" applyAlignment="1">
      <alignment horizontal="left" vertical="center" wrapText="1"/>
    </xf>
    <xf numFmtId="0" fontId="9" fillId="2" borderId="8" xfId="2" applyFont="1" applyFill="1" applyBorder="1" applyAlignment="1">
      <alignment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34</v>
      </c>
      <c r="AR1" t="s">
        <v>24</v>
      </c>
    </row>
    <row r="2" spans="1:57">
      <c r="A2" s="8" t="s">
        <v>98</v>
      </c>
      <c r="B2" s="25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34</v>
      </c>
      <c r="V3" s="4" t="s">
        <v>35</v>
      </c>
      <c r="W3" s="4" t="s">
        <v>49</v>
      </c>
      <c r="X3" s="4" t="s">
        <v>50</v>
      </c>
      <c r="Y3" s="4" t="s">
        <v>51</v>
      </c>
      <c r="Z3" s="4" t="s">
        <v>52</v>
      </c>
      <c r="AA3" s="4" t="s">
        <v>36</v>
      </c>
      <c r="AB3" s="4" t="s">
        <v>37</v>
      </c>
      <c r="AC3" s="4" t="s">
        <v>38</v>
      </c>
      <c r="AD3" s="4" t="s">
        <v>53</v>
      </c>
      <c r="AE3" s="4" t="s">
        <v>54</v>
      </c>
      <c r="AF3" s="4" t="s">
        <v>55</v>
      </c>
      <c r="AG3" s="4" t="s">
        <v>56</v>
      </c>
      <c r="AH3" s="4" t="s">
        <v>57</v>
      </c>
      <c r="AI3" s="4" t="s">
        <v>58</v>
      </c>
      <c r="AJ3" s="4" t="s">
        <v>59</v>
      </c>
      <c r="AK3" s="4" t="s">
        <v>60</v>
      </c>
      <c r="AQ3" s="4" t="s">
        <v>35</v>
      </c>
      <c r="AR3" s="4" t="s">
        <v>49</v>
      </c>
      <c r="AS3" s="4" t="s">
        <v>50</v>
      </c>
      <c r="AT3" s="4" t="s">
        <v>51</v>
      </c>
      <c r="AU3" s="4" t="s">
        <v>52</v>
      </c>
      <c r="AV3" s="4" t="s">
        <v>36</v>
      </c>
      <c r="AW3" s="4" t="s">
        <v>37</v>
      </c>
      <c r="AX3" s="4" t="s">
        <v>38</v>
      </c>
      <c r="AY3" s="4" t="s">
        <v>53</v>
      </c>
      <c r="AZ3" s="4" t="s">
        <v>54</v>
      </c>
      <c r="BA3" s="4" t="s">
        <v>56</v>
      </c>
      <c r="BB3" s="4" t="s">
        <v>57</v>
      </c>
      <c r="BC3" s="4" t="s">
        <v>58</v>
      </c>
      <c r="BD3" s="4" t="s">
        <v>60</v>
      </c>
    </row>
    <row r="4" spans="1:57" ht="15.75" customHeight="1">
      <c r="A4" s="5" t="s">
        <v>19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46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3"/>
    </row>
    <row r="6" spans="1:57">
      <c r="A6" s="5" t="s">
        <v>24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3"/>
    </row>
    <row r="7" spans="1:57">
      <c r="A7" s="5" t="s">
        <v>21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22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5" t="s">
        <v>23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27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29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30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33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42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43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44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5" t="s">
        <v>47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2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2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2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2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45</v>
      </c>
      <c r="B3" t="s">
        <v>63</v>
      </c>
      <c r="C3" t="s">
        <v>73</v>
      </c>
      <c r="V3" s="7" t="s">
        <v>74</v>
      </c>
      <c r="W3" s="4" t="s">
        <v>39</v>
      </c>
      <c r="X3" s="4" t="s">
        <v>61</v>
      </c>
      <c r="Y3" t="s">
        <v>72</v>
      </c>
      <c r="Z3" t="s">
        <v>63</v>
      </c>
      <c r="AA3" t="s">
        <v>73</v>
      </c>
    </row>
    <row r="4" spans="1:27">
      <c r="A4" s="5" t="s">
        <v>29</v>
      </c>
      <c r="B4" s="6">
        <v>2467</v>
      </c>
      <c r="C4" s="6">
        <v>3806.1423290000002</v>
      </c>
      <c r="V4" t="str">
        <f>W4&amp;X4</f>
        <v>AIR ASIAP1</v>
      </c>
      <c r="W4" t="s">
        <v>29</v>
      </c>
      <c r="X4" t="s">
        <v>9</v>
      </c>
      <c r="Y4" s="6">
        <v>263</v>
      </c>
      <c r="Z4" s="6">
        <v>311</v>
      </c>
      <c r="AA4" s="6">
        <v>1997.191354</v>
      </c>
    </row>
    <row r="5" spans="1:27">
      <c r="A5" s="5" t="s">
        <v>21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6"/>
      <c r="Z5" s="6"/>
      <c r="AA5" s="6"/>
    </row>
    <row r="6" spans="1:27">
      <c r="A6" s="5" t="s">
        <v>22</v>
      </c>
      <c r="B6" s="6">
        <v>1472</v>
      </c>
      <c r="C6" s="6">
        <v>2956.1</v>
      </c>
      <c r="V6" t="str">
        <f t="shared" si="0"/>
        <v>AIR ASIAP3</v>
      </c>
      <c r="W6" t="s">
        <v>29</v>
      </c>
      <c r="X6" t="s">
        <v>11</v>
      </c>
      <c r="Y6" s="6">
        <v>476</v>
      </c>
      <c r="Z6" s="6">
        <v>488</v>
      </c>
      <c r="AA6" s="6">
        <v>399.74493799999999</v>
      </c>
    </row>
    <row r="7" spans="1:27">
      <c r="A7" s="5" t="s">
        <v>44</v>
      </c>
      <c r="B7" s="6">
        <v>61052</v>
      </c>
      <c r="C7" s="6">
        <v>93775.981349000009</v>
      </c>
      <c r="V7" t="str">
        <f t="shared" si="0"/>
        <v>AIR ASIAP4</v>
      </c>
      <c r="W7" t="s">
        <v>29</v>
      </c>
      <c r="X7" t="s">
        <v>12</v>
      </c>
      <c r="Y7" s="6">
        <v>180</v>
      </c>
      <c r="Z7" s="6">
        <v>199</v>
      </c>
      <c r="AA7" s="6">
        <v>337.623289</v>
      </c>
    </row>
    <row r="8" spans="1:27">
      <c r="A8" s="5" t="s">
        <v>23</v>
      </c>
      <c r="B8" s="6">
        <v>648</v>
      </c>
      <c r="C8" s="6">
        <v>1392.7165519999999</v>
      </c>
      <c r="V8" t="str">
        <f t="shared" si="0"/>
        <v>AIR ASIAP4.1</v>
      </c>
      <c r="W8" t="s">
        <v>29</v>
      </c>
      <c r="X8" t="s">
        <v>40</v>
      </c>
      <c r="Y8" s="6">
        <v>180</v>
      </c>
      <c r="Z8" s="6">
        <v>199</v>
      </c>
      <c r="AA8" s="6">
        <v>337.623289</v>
      </c>
    </row>
    <row r="9" spans="1:27">
      <c r="A9" s="5" t="s">
        <v>31</v>
      </c>
      <c r="B9" s="6">
        <v>1389</v>
      </c>
      <c r="C9" s="6">
        <v>1617.18</v>
      </c>
      <c r="V9" t="str">
        <f t="shared" si="0"/>
        <v>AIR ASIAP4.2</v>
      </c>
      <c r="W9" t="s">
        <v>29</v>
      </c>
      <c r="X9" t="s">
        <v>41</v>
      </c>
      <c r="Y9" s="6"/>
      <c r="Z9" s="6"/>
      <c r="AA9" s="6"/>
    </row>
    <row r="10" spans="1:27">
      <c r="A10" s="5" t="s">
        <v>24</v>
      </c>
      <c r="B10" s="6">
        <v>4140</v>
      </c>
      <c r="C10" s="6">
        <v>6380</v>
      </c>
      <c r="V10" t="str">
        <f t="shared" si="0"/>
        <v>AIR ASIAP5</v>
      </c>
      <c r="W10" t="s">
        <v>29</v>
      </c>
      <c r="X10" t="s">
        <v>13</v>
      </c>
      <c r="Y10" s="6"/>
      <c r="Z10" s="6"/>
      <c r="AA10" s="6"/>
    </row>
    <row r="11" spans="1:27">
      <c r="A11" s="5" t="s">
        <v>19</v>
      </c>
      <c r="B11" s="6">
        <v>25201</v>
      </c>
      <c r="C11" s="6">
        <v>33290.79</v>
      </c>
      <c r="V11" t="str">
        <f t="shared" si="0"/>
        <v>AIR ASIAP6</v>
      </c>
      <c r="W11" t="s">
        <v>29</v>
      </c>
      <c r="X11" t="s">
        <v>14</v>
      </c>
      <c r="Y11" s="6">
        <v>1253</v>
      </c>
      <c r="Z11" s="6">
        <v>1270</v>
      </c>
      <c r="AA11" s="6">
        <v>733.95945900000004</v>
      </c>
    </row>
    <row r="12" spans="1:27">
      <c r="A12" s="5" t="s">
        <v>42</v>
      </c>
      <c r="B12" s="6">
        <v>12112</v>
      </c>
      <c r="C12" s="6">
        <v>34401.086552000001</v>
      </c>
      <c r="V12" t="str">
        <f t="shared" si="0"/>
        <v>AIR INDIAP1</v>
      </c>
      <c r="W12" t="s">
        <v>21</v>
      </c>
      <c r="X12" t="s">
        <v>9</v>
      </c>
      <c r="Y12" s="6">
        <v>1329</v>
      </c>
      <c r="Z12" s="6">
        <v>1318</v>
      </c>
      <c r="AA12" s="6">
        <v>12079.48</v>
      </c>
    </row>
    <row r="13" spans="1:27">
      <c r="A13" s="5" t="s">
        <v>43</v>
      </c>
      <c r="B13" s="6">
        <v>48940</v>
      </c>
      <c r="C13" s="6">
        <v>59374.894797000001</v>
      </c>
      <c r="V13" t="str">
        <f t="shared" si="0"/>
        <v>AIR INDIAP2</v>
      </c>
      <c r="W13" t="s">
        <v>21</v>
      </c>
      <c r="X13" t="s">
        <v>10</v>
      </c>
      <c r="Y13" s="6"/>
      <c r="Z13" s="6"/>
      <c r="AA13" s="6"/>
    </row>
    <row r="14" spans="1:27">
      <c r="A14" s="5" t="s">
        <v>27</v>
      </c>
      <c r="B14" s="6">
        <v>12094</v>
      </c>
      <c r="C14" s="6">
        <v>9401.4900000000016</v>
      </c>
      <c r="V14" t="str">
        <f t="shared" si="0"/>
        <v>AIR INDIAP3</v>
      </c>
      <c r="W14" t="s">
        <v>21</v>
      </c>
      <c r="X14" t="s">
        <v>11</v>
      </c>
      <c r="Y14" s="6">
        <v>1766</v>
      </c>
      <c r="Z14" s="6">
        <v>1703</v>
      </c>
      <c r="AA14" s="6">
        <v>5986.11</v>
      </c>
    </row>
    <row r="15" spans="1:27">
      <c r="A15" s="5" t="s">
        <v>33</v>
      </c>
      <c r="B15" s="6">
        <v>895</v>
      </c>
      <c r="C15" s="6">
        <v>801.87858399999982</v>
      </c>
      <c r="V15" t="str">
        <f t="shared" si="0"/>
        <v>AIR INDIAP4</v>
      </c>
      <c r="W15" t="s">
        <v>21</v>
      </c>
      <c r="X15" t="s">
        <v>12</v>
      </c>
      <c r="Y15" s="6">
        <v>577</v>
      </c>
      <c r="Z15" s="6">
        <v>543</v>
      </c>
      <c r="AA15" s="6">
        <v>69.31</v>
      </c>
    </row>
    <row r="16" spans="1:27">
      <c r="A16" s="5" t="s">
        <v>30</v>
      </c>
      <c r="B16" s="6">
        <v>2721</v>
      </c>
      <c r="C16" s="6">
        <v>4070.3999999999996</v>
      </c>
      <c r="V16" t="str">
        <f t="shared" si="0"/>
        <v>AIR INDIAP4.1</v>
      </c>
      <c r="W16" t="s">
        <v>21</v>
      </c>
      <c r="X16" t="s">
        <v>40</v>
      </c>
      <c r="Y16" s="6"/>
      <c r="Z16" s="6"/>
      <c r="AA16" s="6"/>
    </row>
    <row r="17" spans="1:27">
      <c r="A17" s="5" t="s">
        <v>46</v>
      </c>
      <c r="B17" s="6"/>
      <c r="C17" s="6"/>
      <c r="V17" t="str">
        <f t="shared" si="0"/>
        <v>AIR INDIAP4.2</v>
      </c>
      <c r="W17" t="s">
        <v>21</v>
      </c>
      <c r="X17" t="s">
        <v>41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21</v>
      </c>
      <c r="X18" t="s">
        <v>13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21</v>
      </c>
      <c r="X19" t="s">
        <v>14</v>
      </c>
      <c r="Y19" s="6">
        <v>4964</v>
      </c>
      <c r="Z19" s="6">
        <v>4439</v>
      </c>
      <c r="AA19" s="6">
        <v>8709.1299999999992</v>
      </c>
    </row>
    <row r="20" spans="1:27">
      <c r="A20" s="5" t="s">
        <v>47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22</v>
      </c>
      <c r="X20" t="s">
        <v>9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6"/>
      <c r="Z21" s="6"/>
      <c r="AA21" s="6"/>
    </row>
    <row r="22" spans="1:27">
      <c r="V22" t="str">
        <f t="shared" si="0"/>
        <v>AIR INDIA EXPRESSP3</v>
      </c>
      <c r="W22" t="s">
        <v>22</v>
      </c>
      <c r="X22" t="s">
        <v>11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6"/>
      <c r="Z26" s="6"/>
      <c r="AA26" s="6"/>
    </row>
    <row r="27" spans="1:27">
      <c r="V27" t="str">
        <f t="shared" si="0"/>
        <v>AIR INDIA EXPRESSP6</v>
      </c>
      <c r="W27" t="s">
        <v>22</v>
      </c>
      <c r="X27" t="s">
        <v>14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6"/>
      <c r="Z37" s="6"/>
      <c r="AA37" s="6"/>
    </row>
    <row r="38" spans="22:27">
      <c r="V38" t="str">
        <f t="shared" si="0"/>
        <v>ALLIANCE AIRP3</v>
      </c>
      <c r="W38" t="s">
        <v>23</v>
      </c>
      <c r="X38" t="s">
        <v>11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6"/>
      <c r="Z39" s="6"/>
      <c r="AA39" s="6"/>
    </row>
    <row r="40" spans="22:27">
      <c r="V40" t="str">
        <f t="shared" si="0"/>
        <v>ALLIANCE AIRP4.1</v>
      </c>
      <c r="W40" t="s">
        <v>23</v>
      </c>
      <c r="X40" t="s">
        <v>40</v>
      </c>
      <c r="Y40" s="6"/>
      <c r="Z40" s="6"/>
      <c r="AA40" s="6"/>
    </row>
    <row r="41" spans="22:27">
      <c r="V41" t="str">
        <f t="shared" si="0"/>
        <v>ALLIANCE AIRP4.2</v>
      </c>
      <c r="W41" t="s">
        <v>23</v>
      </c>
      <c r="X41" t="s">
        <v>41</v>
      </c>
      <c r="Y41" s="6"/>
      <c r="Z41" s="6"/>
      <c r="AA41" s="6"/>
    </row>
    <row r="42" spans="22:27">
      <c r="V42" t="str">
        <f t="shared" si="0"/>
        <v>ALLIANCE AIRP5</v>
      </c>
      <c r="W42" t="s">
        <v>23</v>
      </c>
      <c r="X42" t="s">
        <v>13</v>
      </c>
      <c r="Y42" s="6"/>
      <c r="Z42" s="6"/>
      <c r="AA42" s="6"/>
    </row>
    <row r="43" spans="22:27">
      <c r="V43" t="str">
        <f t="shared" si="0"/>
        <v>ALLIANCE AIRP6</v>
      </c>
      <c r="W43" t="s">
        <v>23</v>
      </c>
      <c r="X43" t="s">
        <v>14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6"/>
      <c r="Z45" s="6"/>
      <c r="AA45" s="6"/>
    </row>
    <row r="46" spans="22:27">
      <c r="V46" t="str">
        <f t="shared" si="0"/>
        <v>Blue Dart P3</v>
      </c>
      <c r="W46" t="s">
        <v>31</v>
      </c>
      <c r="X46" t="s">
        <v>11</v>
      </c>
      <c r="Y46" s="6"/>
      <c r="Z46" s="6"/>
      <c r="AA46" s="6"/>
    </row>
    <row r="47" spans="22:27">
      <c r="V47" t="str">
        <f t="shared" si="0"/>
        <v>Blue Dart P4</v>
      </c>
      <c r="W47" t="s">
        <v>31</v>
      </c>
      <c r="X47" t="s">
        <v>12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6"/>
      <c r="Z50" s="6"/>
      <c r="AA50" s="6"/>
    </row>
    <row r="51" spans="22:27">
      <c r="V51" t="str">
        <f t="shared" si="0"/>
        <v>Blue Dart P6</v>
      </c>
      <c r="W51" t="s">
        <v>31</v>
      </c>
      <c r="X51" t="s">
        <v>14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6"/>
      <c r="Z53" s="6"/>
      <c r="AA53" s="6"/>
    </row>
    <row r="54" spans="22:27">
      <c r="V54" t="str">
        <f t="shared" si="0"/>
        <v>GO AIRP3</v>
      </c>
      <c r="W54" t="s">
        <v>24</v>
      </c>
      <c r="X54" t="s">
        <v>11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6"/>
      <c r="Z93" s="6"/>
      <c r="AA93" s="6"/>
    </row>
    <row r="94" spans="22:27">
      <c r="V94" t="str">
        <f t="shared" si="1"/>
        <v>TRUEJETP3</v>
      </c>
      <c r="W94" t="s">
        <v>33</v>
      </c>
      <c r="X94" t="s">
        <v>11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6"/>
      <c r="Z101" s="6"/>
      <c r="AA101" s="6"/>
    </row>
    <row r="102" spans="22:27">
      <c r="V102" t="str">
        <f t="shared" si="1"/>
        <v>VISTARAP3</v>
      </c>
      <c r="W102" t="s">
        <v>30</v>
      </c>
      <c r="X102" t="s">
        <v>11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9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10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11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12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40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41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13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14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17</v>
      </c>
      <c r="C2" s="10" t="s">
        <v>100</v>
      </c>
      <c r="D2" s="10" t="s">
        <v>101</v>
      </c>
      <c r="E2" s="10" t="s">
        <v>18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29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21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22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23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31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24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19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26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27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33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30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46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42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43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44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47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E14"/>
  <sheetViews>
    <sheetView showGridLines="0" tabSelected="1" view="pageBreakPreview" zoomScale="89" zoomScaleNormal="100" zoomScaleSheetLayoutView="89" workbookViewId="0">
      <selection activeCell="G9" sqref="G9"/>
    </sheetView>
  </sheetViews>
  <sheetFormatPr defaultColWidth="11" defaultRowHeight="15"/>
  <cols>
    <col min="1" max="1" width="38.28515625" style="2" customWidth="1"/>
    <col min="2" max="3" width="17.5703125" style="2" customWidth="1"/>
    <col min="4" max="4" width="18.28515625" style="2" customWidth="1"/>
    <col min="5" max="5" width="17.28515625" style="2" bestFit="1" customWidth="1"/>
    <col min="6" max="7" width="11" style="2" customWidth="1"/>
    <col min="8" max="16384" width="11" style="2"/>
  </cols>
  <sheetData>
    <row r="1" spans="1:5" ht="24.95" customHeight="1">
      <c r="A1" s="32" t="s">
        <v>183</v>
      </c>
      <c r="B1" s="33"/>
      <c r="C1" s="33"/>
      <c r="D1" s="34"/>
    </row>
    <row r="2" spans="1:5" ht="24.95" customHeight="1">
      <c r="A2" s="35" t="s">
        <v>184</v>
      </c>
      <c r="B2" s="36"/>
      <c r="C2" s="36"/>
      <c r="D2" s="37"/>
    </row>
    <row r="3" spans="1:5" ht="45" customHeight="1">
      <c r="A3" s="30" t="s">
        <v>187</v>
      </c>
      <c r="B3" s="30"/>
      <c r="C3" s="30"/>
      <c r="D3" s="30"/>
    </row>
    <row r="4" spans="1:5" ht="36" customHeight="1">
      <c r="A4" s="31" t="s">
        <v>8</v>
      </c>
      <c r="B4" s="31" t="s">
        <v>7</v>
      </c>
      <c r="C4" s="31"/>
      <c r="D4" s="31" t="s">
        <v>15</v>
      </c>
    </row>
    <row r="5" spans="1:5" ht="36" customHeight="1">
      <c r="A5" s="31"/>
      <c r="B5" s="3" t="s">
        <v>6</v>
      </c>
      <c r="C5" s="3" t="s">
        <v>5</v>
      </c>
      <c r="D5" s="31"/>
    </row>
    <row r="6" spans="1:5" ht="50.1" customHeight="1">
      <c r="A6" s="3" t="s">
        <v>4</v>
      </c>
      <c r="B6" s="26">
        <v>320</v>
      </c>
      <c r="C6" s="26">
        <v>333</v>
      </c>
      <c r="D6" s="28">
        <v>363.27</v>
      </c>
      <c r="E6" s="1"/>
    </row>
    <row r="7" spans="1:5" ht="50.1" customHeight="1">
      <c r="A7" s="3" t="s">
        <v>185</v>
      </c>
      <c r="B7" s="26"/>
      <c r="C7" s="26"/>
      <c r="D7" s="28"/>
      <c r="E7" s="1"/>
    </row>
    <row r="8" spans="1:5" ht="50.1" customHeight="1">
      <c r="A8" s="3" t="s">
        <v>186</v>
      </c>
      <c r="B8" s="26">
        <v>583</v>
      </c>
      <c r="C8" s="26">
        <v>556</v>
      </c>
      <c r="D8" s="28">
        <v>117.16</v>
      </c>
      <c r="E8" s="1"/>
    </row>
    <row r="9" spans="1:5" ht="50.1" customHeight="1">
      <c r="A9" s="3" t="s">
        <v>3</v>
      </c>
      <c r="B9" s="26">
        <v>73</v>
      </c>
      <c r="C9" s="26">
        <v>77</v>
      </c>
      <c r="D9" s="28">
        <v>62.54</v>
      </c>
      <c r="E9" s="1"/>
    </row>
    <row r="10" spans="1:5" ht="50.1" customHeight="1">
      <c r="A10" s="3" t="s">
        <v>2</v>
      </c>
      <c r="B10" s="26">
        <v>48</v>
      </c>
      <c r="C10" s="26">
        <v>52</v>
      </c>
      <c r="D10" s="28">
        <v>18.670000000000002</v>
      </c>
      <c r="E10" s="1"/>
    </row>
    <row r="11" spans="1:5" ht="50.1" customHeight="1">
      <c r="A11" s="3" t="s">
        <v>1</v>
      </c>
      <c r="B11" s="26">
        <v>384</v>
      </c>
      <c r="C11" s="26">
        <v>427</v>
      </c>
      <c r="D11" s="28">
        <v>1713.68</v>
      </c>
      <c r="E11" s="1"/>
    </row>
    <row r="12" spans="1:5" ht="50.1" customHeight="1">
      <c r="A12" s="3" t="s">
        <v>0</v>
      </c>
      <c r="B12" s="27">
        <v>1408</v>
      </c>
      <c r="C12" s="27">
        <v>1445</v>
      </c>
      <c r="D12" s="29">
        <v>2275.3199999999997</v>
      </c>
    </row>
    <row r="13" spans="1:5" ht="32.25" customHeight="1">
      <c r="A13" s="39" t="s">
        <v>182</v>
      </c>
      <c r="B13" s="38"/>
      <c r="C13" s="38"/>
      <c r="D13" s="40"/>
    </row>
    <row r="14" spans="1:5" ht="20.100000000000001" customHeight="1">
      <c r="A14" s="41" t="s">
        <v>16</v>
      </c>
      <c r="B14" s="42"/>
      <c r="C14" s="42"/>
      <c r="D14" s="43"/>
    </row>
  </sheetData>
  <mergeCells count="8">
    <mergeCell ref="A14:C14"/>
    <mergeCell ref="A3:D3"/>
    <mergeCell ref="A4:A5"/>
    <mergeCell ref="A1:D1"/>
    <mergeCell ref="D4:D5"/>
    <mergeCell ref="B4:C4"/>
    <mergeCell ref="A2:D2"/>
    <mergeCell ref="A13:D13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2023-02-08T06:47:45Z</cp:lastPrinted>
  <dcterms:created xsi:type="dcterms:W3CDTF">2002-12-26T09:18:20Z</dcterms:created>
  <dcterms:modified xsi:type="dcterms:W3CDTF">2023-02-08T06:52:52Z</dcterms:modified>
</cp:coreProperties>
</file>