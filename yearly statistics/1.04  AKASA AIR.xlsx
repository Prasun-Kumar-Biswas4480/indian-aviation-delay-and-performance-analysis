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Draft Annual Report 2024-25\01 Airline Wise Air Transport Operating and Traffic Statistics\AKASA AIR\"/>
    </mc:Choice>
  </mc:AlternateContent>
  <bookViews>
    <workbookView xWindow="0" yWindow="0" windowWidth="24000" windowHeight="10725"/>
  </bookViews>
  <sheets>
    <sheet name="AKASA AIR" sheetId="7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7" l="1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B18" i="7"/>
  <c r="B17" i="7"/>
</calcChain>
</file>

<file path=xl/sharedStrings.xml><?xml version="1.0" encoding="utf-8"?>
<sst xmlns="http://schemas.openxmlformats.org/spreadsheetml/2006/main" count="39" uniqueCount="37">
  <si>
    <t>YEAR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</si>
  <si>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</si>
  <si>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</si>
  <si>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</si>
  <si>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</si>
  <si>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</si>
  <si>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</si>
  <si>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</si>
  <si>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</si>
  <si>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</si>
  <si>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</si>
  <si>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</si>
  <si>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</si>
  <si>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</si>
  <si>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</si>
  <si>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</si>
  <si>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</si>
  <si>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</si>
  <si>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</si>
  <si>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</si>
  <si>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</si>
  <si>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</si>
  <si>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</si>
  <si>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</si>
  <si>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</si>
  <si>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</si>
  <si>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</si>
  <si>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</si>
  <si>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TABLE - 1.04 (AKASA AIR)</t>
  </si>
  <si>
    <t xml:space="preserve">YEAR ON YEAR GROWTH AND CAGR FOR LAST TEN YEARS OF AKASA AIR ON SCHEDULED DOMESTIC SERVICES (ALL AIR TRAFFIC AND OPERATING STATISTICS) </t>
  </si>
  <si>
    <t>SOURCE: ICAO ATR FORM 'A' FURNISHED BY AKASA AIR</t>
  </si>
  <si>
    <t xml:space="preserve">तालिका - 1.04 (अकासा एयर)  </t>
  </si>
  <si>
    <t>2023-24</t>
  </si>
  <si>
    <t>YOY growth</t>
  </si>
  <si>
    <t>CAGR last 10 years</t>
  </si>
  <si>
    <t>2024-25</t>
  </si>
  <si>
    <t>Note: Growth has been calculated with respect to preceeding year while Compound Annual Growth Rate (CAGR) has been calculating taking 2014-15 as a Base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</si>
</sst>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0.0%"/>
    <numFmt numFmtId="166" formatCode="_(* #,##0_);_(* \(#,##0\);_(* &quot;-&quot;??_);_(@_)"/>
    <numFmt numFmtId="167" formatCode="[$-1010409]mmmm/yy;@"/>
    <numFmt numFmtId="168" formatCode="_(* #,##0.0_);_(* \(#,##0.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C99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7">
    <xf numFmtId="0" fontId="0" fillId="0" borderId="0"/>
    <xf numFmtId="0" fontId="5" fillId="3" borderId="2" applyNumberFormat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  <xf numFmtId="9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6" borderId="0" applyNumberFormat="0" applyBorder="0" applyAlignment="0" applyProtection="0"/>
  </cellStyleXfs>
  <cellXfs count="24">
    <xf numFmtId="0" fontId="0" fillId="0" borderId="0" xfId="0"/>
    <xf numFmtId="0" fontId="4" fillId="5" borderId="1" xfId="3" applyFont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165" fontId="8" fillId="2" borderId="1" xfId="4" applyNumberFormat="1" applyFont="1" applyFill="1" applyBorder="1" applyAlignment="1" applyProtection="1">
      <alignment horizontal="center"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167" fontId="4" fillId="6" borderId="1" xfId="6" applyNumberFormat="1" applyFont="1" applyBorder="1" applyAlignment="1" applyProtection="1">
      <alignment horizontal="center" vertical="top"/>
    </xf>
    <xf numFmtId="166" fontId="4" fillId="6" borderId="1" xfId="6" applyNumberFormat="1" applyBorder="1" applyAlignment="1">
      <alignment horizontal="right" vertical="top"/>
    </xf>
    <xf numFmtId="168" fontId="4" fillId="6" borderId="1" xfId="6" applyNumberFormat="1" applyBorder="1" applyAlignment="1">
      <alignment horizontal="right" vertical="top"/>
    </xf>
    <xf numFmtId="167" fontId="4" fillId="7" borderId="1" xfId="6" applyNumberFormat="1" applyFont="1" applyFill="1" applyBorder="1" applyAlignment="1" applyProtection="1">
      <alignment horizontal="center" vertical="top"/>
    </xf>
    <xf numFmtId="166" fontId="0" fillId="0" borderId="1" xfId="5" applyNumberFormat="1" applyFont="1" applyBorder="1" applyAlignment="1">
      <alignment horizontal="right" vertical="top"/>
    </xf>
    <xf numFmtId="168" fontId="0" fillId="0" borderId="1" xfId="5" applyNumberFormat="1" applyFont="1" applyBorder="1" applyAlignment="1">
      <alignment horizontal="right" vertical="top"/>
    </xf>
    <xf numFmtId="167" fontId="0" fillId="6" borderId="1" xfId="6" applyNumberFormat="1" applyFont="1" applyBorder="1" applyAlignment="1" applyProtection="1">
      <alignment horizontal="center" vertical="top"/>
    </xf>
    <xf numFmtId="165" fontId="7" fillId="5" borderId="1" xfId="4" applyNumberFormat="1" applyFont="1" applyFill="1" applyBorder="1" applyAlignment="1" applyProtection="1">
      <alignment vertical="center" wrapText="1"/>
    </xf>
    <xf numFmtId="0" fontId="2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6" fillId="4" borderId="1" xfId="2" applyBorder="1" applyAlignment="1" applyProtection="1">
      <alignment horizontal="center" vertical="center" textRotation="90" wrapText="1"/>
    </xf>
    <xf numFmtId="0" fontId="6" fillId="4" borderId="1" xfId="2" applyBorder="1" applyAlignment="1">
      <alignment textRotation="90"/>
    </xf>
    <xf numFmtId="0" fontId="2" fillId="2" borderId="1" xfId="0" applyFont="1" applyFill="1" applyBorder="1" applyAlignment="1" applyProtection="1">
      <alignment horizontal="left" vertical="center"/>
    </xf>
    <xf numFmtId="0" fontId="1" fillId="0" borderId="1" xfId="0" applyFont="1" applyBorder="1" applyAlignment="1">
      <alignment vertical="center"/>
    </xf>
    <xf numFmtId="0" fontId="5" fillId="3" borderId="1" xfId="1" applyBorder="1" applyAlignment="1">
      <alignment horizontal="center" vertical="center" wrapText="1"/>
    </xf>
    <xf numFmtId="0" fontId="5" fillId="3" borderId="1" xfId="1" quotePrefix="1" applyBorder="1" applyAlignment="1" applyProtection="1">
      <alignment horizontal="center" vertical="center" wrapText="1"/>
    </xf>
    <xf numFmtId="0" fontId="5" fillId="3" borderId="1" xfId="1" applyBorder="1"/>
    <xf numFmtId="0" fontId="6" fillId="4" borderId="1" xfId="2" applyBorder="1" applyAlignment="1" applyProtection="1">
      <alignment horizontal="center" vertical="center" wrapText="1"/>
    </xf>
    <xf numFmtId="0" fontId="6" fillId="4" borderId="1" xfId="2" applyBorder="1"/>
  </cellXfs>
  <cellStyles count="7">
    <cellStyle name="20% - Accent2" xfId="3" builtinId="34"/>
    <cellStyle name="40% - Accent2" xfId="6" builtinId="35"/>
    <cellStyle name="Accent2" xfId="2" builtinId="33"/>
    <cellStyle name="Comma" xfId="5" builtinId="3"/>
    <cellStyle name="Input" xfId="1" builtinId="20"/>
    <cellStyle name="Normal" xfId="0" builtinId="0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D1" zoomScale="85" zoomScaleNormal="98" zoomScaleSheetLayoutView="85" workbookViewId="0">
      <selection activeCell="M25" sqref="M25"/>
    </sheetView>
  </sheetViews>
  <sheetFormatPr defaultRowHeight="15" x14ac:dyDescent="0.25"/>
  <cols>
    <col min="1" max="1" width="11.28515625" customWidth="1"/>
    <col min="3" max="3" width="10.140625" customWidth="1"/>
    <col min="5" max="5" width="11.7109375" customWidth="1"/>
    <col min="6" max="6" width="10.5703125" customWidth="1"/>
    <col min="7" max="7" width="11.28515625" customWidth="1"/>
    <col min="9" max="9" width="10.28515625" customWidth="1"/>
    <col min="11" max="11" width="10.28515625" customWidth="1"/>
    <col min="12" max="12" width="9.28515625" bestFit="1" customWidth="1"/>
    <col min="15" max="15" width="9.28515625" bestFit="1" customWidth="1"/>
    <col min="16" max="16" width="10.28515625" customWidth="1"/>
  </cols>
  <sheetData>
    <row r="1" spans="1:17" ht="21" customHeight="1" x14ac:dyDescent="0.25">
      <c r="A1" s="19" t="s">
        <v>31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21" customHeight="1" x14ac:dyDescent="0.25">
      <c r="A2" s="20" t="s">
        <v>28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20.25" customHeight="1" x14ac:dyDescent="0.25">
      <c r="A3" s="22" t="s">
        <v>29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21.75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5" t="s">
        <v>3</v>
      </c>
      <c r="H4" s="15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5" t="s">
        <v>7</v>
      </c>
      <c r="Q4" s="15" t="s">
        <v>8</v>
      </c>
    </row>
    <row r="5" spans="1:17" ht="116.25" customHeight="1" x14ac:dyDescent="0.25">
      <c r="A5" s="22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6"/>
      <c r="H5" s="16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6"/>
      <c r="Q5" s="16"/>
    </row>
    <row r="6" spans="1:17" ht="16.5" customHeight="1" x14ac:dyDescent="0.25">
      <c r="A6" s="5" t="s">
        <v>19</v>
      </c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16.5" customHeight="1" x14ac:dyDescent="0.25">
      <c r="A7" s="8" t="s">
        <v>20</v>
      </c>
      <c r="B7" s="9"/>
      <c r="C7" s="9"/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</row>
    <row r="8" spans="1:17" ht="16.5" customHeight="1" x14ac:dyDescent="0.25">
      <c r="A8" s="5" t="s">
        <v>21</v>
      </c>
      <c r="B8" s="6"/>
      <c r="C8" s="6"/>
      <c r="D8" s="6"/>
      <c r="E8" s="6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16.5" customHeight="1" x14ac:dyDescent="0.25">
      <c r="A9" s="8" t="s">
        <v>22</v>
      </c>
      <c r="B9" s="9"/>
      <c r="C9" s="9"/>
      <c r="D9" s="9"/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pans="1:17" ht="16.5" customHeight="1" x14ac:dyDescent="0.25">
      <c r="A10" s="5" t="s">
        <v>23</v>
      </c>
      <c r="B10" s="6"/>
      <c r="C10" s="6"/>
      <c r="D10" s="6"/>
      <c r="E10" s="6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16.5" customHeight="1" x14ac:dyDescent="0.25">
      <c r="A11" s="8" t="s">
        <v>24</v>
      </c>
      <c r="B11" s="9"/>
      <c r="C11" s="9"/>
      <c r="D11" s="9"/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 ht="16.5" customHeight="1" x14ac:dyDescent="0.25">
      <c r="A12" s="5" t="s">
        <v>25</v>
      </c>
      <c r="B12" s="6"/>
      <c r="C12" s="6"/>
      <c r="D12" s="6"/>
      <c r="E12" s="6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16.5" customHeight="1" x14ac:dyDescent="0.25">
      <c r="A13" s="8" t="s">
        <v>26</v>
      </c>
      <c r="B13" s="9"/>
      <c r="C13" s="9"/>
      <c r="D13" s="9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 ht="16.5" customHeight="1" x14ac:dyDescent="0.25">
      <c r="A14" s="5" t="s">
        <v>27</v>
      </c>
      <c r="B14" s="6">
        <v>13600</v>
      </c>
      <c r="C14" s="6">
        <v>22439.944</v>
      </c>
      <c r="D14" s="6">
        <v>10125.377</v>
      </c>
      <c r="E14" s="6">
        <v>1913714</v>
      </c>
      <c r="F14" s="7">
        <v>1483.6780309999999</v>
      </c>
      <c r="G14" s="7">
        <v>1864.2063580000004</v>
      </c>
      <c r="H14" s="7">
        <v>79.587649974102263</v>
      </c>
      <c r="I14" s="7">
        <v>10956.209070000001</v>
      </c>
      <c r="J14" s="7">
        <v>0</v>
      </c>
      <c r="K14" s="7">
        <v>10956.209070000001</v>
      </c>
      <c r="L14" s="7">
        <v>120.45305503168318</v>
      </c>
      <c r="M14" s="7">
        <v>10.762023974</v>
      </c>
      <c r="N14" s="7">
        <v>0</v>
      </c>
      <c r="O14" s="7">
        <v>131.21507900568318</v>
      </c>
      <c r="P14" s="7">
        <v>207.63113928000001</v>
      </c>
      <c r="Q14" s="7">
        <v>63.196242847145243</v>
      </c>
    </row>
    <row r="15" spans="1:17" x14ac:dyDescent="0.25">
      <c r="A15" s="8" t="s">
        <v>32</v>
      </c>
      <c r="B15" s="9">
        <v>42241</v>
      </c>
      <c r="C15" s="9">
        <v>83012.333333333328</v>
      </c>
      <c r="D15" s="9">
        <v>41196.420000000006</v>
      </c>
      <c r="E15" s="9">
        <v>6845064</v>
      </c>
      <c r="F15" s="10">
        <v>6725.0316220000004</v>
      </c>
      <c r="G15" s="10">
        <v>7521.6141299999999</v>
      </c>
      <c r="H15" s="10">
        <v>89.409420714327453</v>
      </c>
      <c r="I15" s="10">
        <v>43039.593000000001</v>
      </c>
      <c r="J15" s="10">
        <v>1250.5517200000002</v>
      </c>
      <c r="K15" s="10">
        <v>44290.144720000004</v>
      </c>
      <c r="L15" s="10">
        <v>552.76272398000003</v>
      </c>
      <c r="M15" s="10">
        <v>46.665391040000003</v>
      </c>
      <c r="N15" s="10">
        <v>1.4056039699999998</v>
      </c>
      <c r="O15" s="10">
        <v>600.83371899000008</v>
      </c>
      <c r="P15" s="10">
        <v>844.75752991999991</v>
      </c>
      <c r="Q15" s="10">
        <v>71.124991220486677</v>
      </c>
    </row>
    <row r="16" spans="1:17" x14ac:dyDescent="0.25">
      <c r="A16" s="11" t="s">
        <v>35</v>
      </c>
      <c r="B16" s="6">
        <v>45836</v>
      </c>
      <c r="C16" s="6">
        <v>100471.03599333332</v>
      </c>
      <c r="D16" s="6">
        <v>51770.508000000009</v>
      </c>
      <c r="E16" s="6">
        <v>7683824</v>
      </c>
      <c r="F16" s="7">
        <v>8732.9659969999993</v>
      </c>
      <c r="G16" s="7">
        <v>9695.012401</v>
      </c>
      <c r="H16" s="7">
        <v>90.076893517941556</v>
      </c>
      <c r="I16" s="7">
        <v>52418.148720000005</v>
      </c>
      <c r="J16" s="7">
        <v>2601.0933700000005</v>
      </c>
      <c r="K16" s="7">
        <v>55019.24209</v>
      </c>
      <c r="L16" s="7">
        <v>722.85113022999997</v>
      </c>
      <c r="M16" s="7">
        <v>59.792630620000004</v>
      </c>
      <c r="N16" s="7">
        <v>3.18401494</v>
      </c>
      <c r="O16" s="7">
        <v>785.82777579000003</v>
      </c>
      <c r="P16" s="7">
        <v>1061.606037</v>
      </c>
      <c r="Q16" s="7">
        <v>74.022542110882895</v>
      </c>
    </row>
    <row r="17" spans="1:17" x14ac:dyDescent="0.25">
      <c r="A17" s="1" t="s">
        <v>33</v>
      </c>
      <c r="B17" s="12">
        <f>IFERROR(((B16-B15)/B15),"-")</f>
        <v>8.510688667408442E-2</v>
      </c>
      <c r="C17" s="12">
        <f t="shared" ref="C17:Q17" si="0">IFERROR(((C16-C15)/C15),"-")</f>
        <v>0.21031456361906059</v>
      </c>
      <c r="D17" s="12">
        <f t="shared" si="0"/>
        <v>0.25667492466578412</v>
      </c>
      <c r="E17" s="12">
        <f t="shared" si="0"/>
        <v>0.12253501209046402</v>
      </c>
      <c r="F17" s="12">
        <f t="shared" si="0"/>
        <v>0.29857619827858095</v>
      </c>
      <c r="G17" s="12">
        <f t="shared" si="0"/>
        <v>0.28895370507394003</v>
      </c>
      <c r="H17" s="12">
        <f t="shared" si="0"/>
        <v>7.4653520656033489E-3</v>
      </c>
      <c r="I17" s="12">
        <f t="shared" si="0"/>
        <v>0.21790530686477458</v>
      </c>
      <c r="J17" s="12">
        <f t="shared" si="0"/>
        <v>1.0799566530523026</v>
      </c>
      <c r="K17" s="12">
        <f t="shared" si="0"/>
        <v>0.24224570585236949</v>
      </c>
      <c r="L17" s="12">
        <f t="shared" si="0"/>
        <v>0.3077059991045164</v>
      </c>
      <c r="M17" s="12">
        <f t="shared" si="0"/>
        <v>0.28130568045058862</v>
      </c>
      <c r="N17" s="12">
        <f t="shared" si="0"/>
        <v>1.265229045987968</v>
      </c>
      <c r="O17" s="12">
        <f t="shared" si="0"/>
        <v>0.30789559732262445</v>
      </c>
      <c r="P17" s="12">
        <f t="shared" si="0"/>
        <v>0.25669911116452082</v>
      </c>
      <c r="Q17" s="12">
        <f t="shared" si="0"/>
        <v>4.0738857617765356E-2</v>
      </c>
    </row>
    <row r="18" spans="1:17" ht="30" x14ac:dyDescent="0.25">
      <c r="A18" s="2" t="s">
        <v>34</v>
      </c>
      <c r="B18" s="3" t="str">
        <f>IFERROR((((B16/B6)^(1/10))-1),"-")</f>
        <v>-</v>
      </c>
      <c r="C18" s="3" t="str">
        <f t="shared" ref="C18:Q18" si="1">IFERROR((((C16/C6)^(1/10))-1),"-")</f>
        <v>-</v>
      </c>
      <c r="D18" s="3" t="str">
        <f t="shared" si="1"/>
        <v>-</v>
      </c>
      <c r="E18" s="3" t="str">
        <f t="shared" si="1"/>
        <v>-</v>
      </c>
      <c r="F18" s="3" t="str">
        <f t="shared" si="1"/>
        <v>-</v>
      </c>
      <c r="G18" s="3" t="str">
        <f t="shared" si="1"/>
        <v>-</v>
      </c>
      <c r="H18" s="3" t="str">
        <f t="shared" si="1"/>
        <v>-</v>
      </c>
      <c r="I18" s="3" t="str">
        <f t="shared" si="1"/>
        <v>-</v>
      </c>
      <c r="J18" s="3" t="str">
        <f t="shared" si="1"/>
        <v>-</v>
      </c>
      <c r="K18" s="3" t="str">
        <f t="shared" si="1"/>
        <v>-</v>
      </c>
      <c r="L18" s="3" t="str">
        <f t="shared" si="1"/>
        <v>-</v>
      </c>
      <c r="M18" s="3" t="str">
        <f t="shared" si="1"/>
        <v>-</v>
      </c>
      <c r="N18" s="3" t="str">
        <f t="shared" si="1"/>
        <v>-</v>
      </c>
      <c r="O18" s="3" t="str">
        <f t="shared" si="1"/>
        <v>-</v>
      </c>
      <c r="P18" s="3" t="str">
        <f t="shared" si="1"/>
        <v>-</v>
      </c>
      <c r="Q18" s="3" t="str">
        <f t="shared" si="1"/>
        <v>-</v>
      </c>
    </row>
    <row r="19" spans="1:17" x14ac:dyDescent="0.25">
      <c r="A19" s="17" t="s">
        <v>30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" customHeight="1" x14ac:dyDescent="0.25">
      <c r="A20" s="13" t="s">
        <v>36</v>
      </c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AKASA AIR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acer</cp:lastModifiedBy>
  <cp:lastPrinted>2020-05-11T07:35:52Z</cp:lastPrinted>
  <dcterms:created xsi:type="dcterms:W3CDTF">2018-10-29T04:00:14Z</dcterms:created>
  <dcterms:modified xsi:type="dcterms:W3CDTF">2025-11-19T12:03:51Z</dcterms:modified>
</cp:coreProperties>
</file>