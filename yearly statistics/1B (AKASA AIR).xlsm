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KASA AIR\AKASA AIR ( 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B" sheetId="2" r:id="rId4"/>
  </sheets>
  <definedNames>
    <definedName name="\a">B!#REF!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B!$A$1:$J$18</definedName>
    <definedName name="Print_Area_MI" localSheetId="3">B!$A$8:$J$27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I17" i="2" l="1"/>
  <c r="E17" i="2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<sst xmlns="http://schemas.openxmlformats.org/spreadsheetml/2006/main" count="889" uniqueCount="195">
  <si>
    <t>NON-SCHEDULED</t>
  </si>
  <si>
    <t>SCHEDULED</t>
  </si>
  <si>
    <t>ALL FLIGHTS</t>
  </si>
  <si>
    <t>REVENUE FLIGHTS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</si>
  <si>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</si>
  <si>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</si>
  <si>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</si>
  <si>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</si>
  <si>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</si>
  <si>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</si>
  <si>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</si>
  <si>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</si>
  <si>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</si>
  <si>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</si>
  <si>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</si>
  <si>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</si>
  <si>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</si>
  <si>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</si>
  <si>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</si>
  <si>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</si>
  <si>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</si>
  <si>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</si>
  <si>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</si>
  <si>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</si>
  <si>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</si>
  <si>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</si>
  <si>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</si>
  <si>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</si>
  <si>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</si>
  <si>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</si>
  <si>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</si>
  <si>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</si>
  <si>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</si>
  <si>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</si>
  <si>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</si>
  <si>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</si>
  <si>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</si>
  <si>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</si>
  <si>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</si>
  <si>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</si>
  <si>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</si>
  <si>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</si>
  <si>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</si>
  <si>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</si>
  <si>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</si>
  <si>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</si>
  <si>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</si>
  <si>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</si>
  <si>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</si>
  <si>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</si>
  <si>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</si>
  <si>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</si>
  <si>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</si>
  <si>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</si>
  <si>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</si>
  <si>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</si>
  <si>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</si>
  <si>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</si>
  <si>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</si>
  <si>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</si>
  <si>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</si>
  <si>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</si>
  <si>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</si>
  <si>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</si>
  <si>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</si>
  <si>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</si>
  <si>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</si>
  <si>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</si>
  <si>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</si>
  <si>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</si>
  <si>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</si>
  <si>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</si>
  <si>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</si>
  <si>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</si>
  <si>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</si>
  <si>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</si>
  <si>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</si>
  <si>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</si>
  <si>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</si>
  <si>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</si>
  <si>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</si>
  <si>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</si>
  <si>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</si>
  <si>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</si>
  <si>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</si>
  <si>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</si>
  <si>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</si>
  <si>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</si>
  <si>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</si>
  <si>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</si>
  <si>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</si>
  <si>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</si>
  <si>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</si>
  <si>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</si>
  <si>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</si>
  <si>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</si>
  <si>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</si>
  <si>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</si>
  <si>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</si>
  <si>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</si>
  <si>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</si>
  <si>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</si>
  <si>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</si>
  <si>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</si>
  <si>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</si>
  <si>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</si>
  <si>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</si>
  <si>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</si>
  <si>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</si>
  <si>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</si>
  <si>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</si>
  <si>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</si>
  <si>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</si>
  <si>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</si>
  <si>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</si>
  <si>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</si>
  <si>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</si>
  <si>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</si>
  <si>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</si>
  <si>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</si>
  <si>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</si>
  <si>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</si>
  <si>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</si>
  <si>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</si>
  <si>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</si>
  <si>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</si>
  <si>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</si>
  <si>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</si>
  <si>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</si>
  <si>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</si>
  <si>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</si>
  <si>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</si>
  <si>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</si>
  <si>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</si>
  <si>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</si>
  <si>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</si>
  <si>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</si>
  <si>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</si>
  <si>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</si>
  <si>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</si>
  <si>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</si>
  <si>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</si>
  <si>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</si>
  <si>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</si>
  <si>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</si>
  <si>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</si>
  <si>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</si>
  <si>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</si>
  <si>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</si>
  <si>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</si>
  <si>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</si>
  <si>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</si>
  <si>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</si>
  <si>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</si>
  <si>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</si>
  <si>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</si>
  <si>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</si>
  <si>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</si>
  <si>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</si>
  <si>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</si>
  <si>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</si>
  <si>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</si>
  <si>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</si>
  <si>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</si>
  <si>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</si>
  <si>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</si>
  <si>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</si>
  <si>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</si>
  <si>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</si>
  <si>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</si>
  <si>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</si>
  <si>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</si>
  <si>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</si>
  <si>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</si>
  <si>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</si>
  <si>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</si>
  <si>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</si>
  <si>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</si>
  <si>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</si>
  <si>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</si>
  <si>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</si>
  <si>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</si>
  <si>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</si>
  <si>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</si>
  <si>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</si>
  <si>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</si>
  <si>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</si>
  <si>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2022-23</t>
  </si>
  <si>
    <t>TIME SERIES DATA ON FLEET STRENGTH AND UTILISATION OF AIRCRAFT BY AKASA AIR</t>
  </si>
  <si>
    <t>2023-24</t>
  </si>
  <si>
    <r>
      <t xml:space="preserve">   NOTE : YEAR-END 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</t>
    </r>
  </si>
  <si>
    <t>NON REVENUE FLIGHTS</t>
  </si>
  <si>
    <t xml:space="preserve">तालिका 1B (अकासा एयर) </t>
  </si>
  <si>
    <t>TABLE - 1B (AKASA AIR)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</si>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</sst>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9" xfId="7" applyNumberFormat="1" applyFont="1" applyFill="1" applyBorder="1" applyAlignment="1" applyProtection="1">
      <alignment horizontal="left" vertical="center"/>
    </xf>
    <xf numFmtId="166" fontId="7" fillId="4" borderId="9" xfId="7" applyNumberFormat="1" applyFont="1" applyFill="1" applyBorder="1" applyAlignment="1" applyProtection="1">
      <alignment vertical="center"/>
    </xf>
    <xf numFmtId="166" fontId="8" fillId="4" borderId="8" xfId="7" applyNumberFormat="1" applyFont="1" applyFill="1" applyBorder="1" applyAlignment="1" applyProtection="1">
      <alignment vertical="center"/>
    </xf>
    <xf numFmtId="166" fontId="7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2" applyFont="1" applyFill="1"/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4" fillId="2" borderId="1" xfId="2" quotePrefix="1" applyFont="1" applyFill="1" applyBorder="1" applyAlignment="1" applyProtection="1">
      <alignment horizontal="center" vertical="center" wrapText="1"/>
    </xf>
    <xf numFmtId="37" fontId="15" fillId="2" borderId="1" xfId="2" applyNumberFormat="1" applyFont="1" applyFill="1" applyBorder="1" applyAlignment="1" applyProtection="1">
      <alignment horizontal="center" vertical="center" wrapText="1"/>
    </xf>
    <xf numFmtId="0" fontId="14" fillId="2" borderId="6" xfId="2" applyFont="1" applyFill="1" applyBorder="1" applyAlignment="1">
      <alignment horizontal="center" vertical="center"/>
    </xf>
    <xf numFmtId="0" fontId="14" fillId="2" borderId="7" xfId="2" applyFont="1" applyFill="1" applyBorder="1" applyAlignment="1">
      <alignment horizontal="center" vertical="center"/>
    </xf>
    <xf numFmtId="0" fontId="14" fillId="2" borderId="2" xfId="2" applyFont="1" applyFill="1" applyBorder="1" applyAlignment="1" applyProtection="1">
      <alignment horizontal="left" vertical="center" wrapText="1"/>
    </xf>
    <xf numFmtId="0" fontId="14" fillId="2" borderId="3" xfId="2" applyFont="1" applyFill="1" applyBorder="1" applyAlignment="1" applyProtection="1">
      <alignment horizontal="left" vertical="center" wrapText="1"/>
    </xf>
    <xf numFmtId="0" fontId="14" fillId="2" borderId="4" xfId="2" quotePrefix="1" applyFont="1" applyFill="1" applyBorder="1" applyAlignment="1" applyProtection="1">
      <alignment horizontal="center" vertical="center" wrapText="1"/>
    </xf>
    <xf numFmtId="0" fontId="14" fillId="2" borderId="5" xfId="2" applyFont="1" applyFill="1" applyBorder="1" applyAlignment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/>
    </xf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4" fillId="2" borderId="2" xfId="2" applyFont="1" applyFill="1" applyBorder="1" applyAlignment="1" applyProtection="1">
      <alignment horizontal="center" vertical="center" wrapText="1"/>
    </xf>
    <xf numFmtId="0" fontId="14" fillId="2" borderId="3" xfId="2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 wrapText="1"/>
    </xf>
    <xf numFmtId="0" fontId="15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98</v>
      </c>
      <c r="B1" s="5" t="s">
        <v>98</v>
      </c>
      <c r="C1" s="5" t="s">
        <v>98</v>
      </c>
      <c r="D1" s="5" t="s">
        <v>98</v>
      </c>
      <c r="E1" s="5" t="s">
        <v>98</v>
      </c>
      <c r="F1" s="5" t="s">
        <v>98</v>
      </c>
      <c r="G1" s="5" t="s">
        <v>98</v>
      </c>
      <c r="H1" s="5" t="s">
        <v>98</v>
      </c>
      <c r="I1" s="5" t="s">
        <v>98</v>
      </c>
      <c r="J1" s="5" t="s">
        <v>98</v>
      </c>
      <c r="K1" s="5" t="s">
        <v>98</v>
      </c>
      <c r="L1" s="5" t="s">
        <v>98</v>
      </c>
      <c r="M1" s="5" t="s">
        <v>98</v>
      </c>
      <c r="N1" s="5" t="s">
        <v>98</v>
      </c>
      <c r="O1" s="5" t="s">
        <v>98</v>
      </c>
      <c r="P1" s="5" t="s">
        <v>98</v>
      </c>
      <c r="Q1" s="5" t="s">
        <v>98</v>
      </c>
      <c r="R1" s="5" t="s">
        <v>98</v>
      </c>
      <c r="S1" s="5" t="s">
        <v>98</v>
      </c>
      <c r="T1" s="5" t="s">
        <v>98</v>
      </c>
      <c r="U1" s="5" t="s">
        <v>98</v>
      </c>
      <c r="V1" s="5" t="s">
        <v>98</v>
      </c>
      <c r="W1" s="5" t="s">
        <v>98</v>
      </c>
      <c r="X1" s="5" t="s">
        <v>98</v>
      </c>
      <c r="Y1" s="5" t="s">
        <v>98</v>
      </c>
      <c r="Z1" s="5" t="s">
        <v>98</v>
      </c>
      <c r="AA1" s="5" t="s">
        <v>98</v>
      </c>
      <c r="AB1" s="5" t="s">
        <v>98</v>
      </c>
      <c r="AC1" s="5" t="s">
        <v>98</v>
      </c>
      <c r="AD1" s="5" t="s">
        <v>98</v>
      </c>
      <c r="AE1" s="5" t="s">
        <v>98</v>
      </c>
      <c r="AF1" s="5" t="s">
        <v>98</v>
      </c>
      <c r="AG1" s="5" t="s">
        <v>98</v>
      </c>
      <c r="AH1" s="5" t="s">
        <v>98</v>
      </c>
      <c r="AI1" s="5" t="s">
        <v>98</v>
      </c>
      <c r="AJ1" s="5" t="s">
        <v>98</v>
      </c>
      <c r="AK1" s="5" t="s">
        <v>98</v>
      </c>
      <c r="AQ1" s="1" t="s">
        <v>33</v>
      </c>
      <c r="AR1" t="s">
        <v>23</v>
      </c>
    </row>
    <row r="2" spans="1:57" x14ac:dyDescent="0.2">
      <c r="A2" s="5" t="s">
        <v>98</v>
      </c>
      <c r="B2" s="22" t="e">
        <f>#REF!</f>
        <v>#REF!</v>
      </c>
      <c r="C2" s="5" t="s">
        <v>98</v>
      </c>
      <c r="D2" s="5" t="s">
        <v>98</v>
      </c>
      <c r="E2" s="5" t="s">
        <v>98</v>
      </c>
      <c r="F2" s="5" t="s">
        <v>98</v>
      </c>
      <c r="G2" s="5" t="s">
        <v>98</v>
      </c>
      <c r="H2" s="5" t="s">
        <v>98</v>
      </c>
      <c r="I2" s="5" t="s">
        <v>98</v>
      </c>
      <c r="J2" s="5" t="s">
        <v>98</v>
      </c>
      <c r="K2" s="5" t="s">
        <v>98</v>
      </c>
      <c r="L2" s="5" t="s">
        <v>98</v>
      </c>
      <c r="M2" s="5" t="s">
        <v>98</v>
      </c>
      <c r="N2" s="5" t="s">
        <v>98</v>
      </c>
      <c r="O2" s="5" t="s">
        <v>98</v>
      </c>
      <c r="P2" s="5" t="s">
        <v>98</v>
      </c>
      <c r="Q2" s="5" t="s">
        <v>98</v>
      </c>
      <c r="R2" s="5" t="s">
        <v>98</v>
      </c>
      <c r="S2" s="5" t="s">
        <v>98</v>
      </c>
      <c r="T2" s="5" t="s">
        <v>98</v>
      </c>
      <c r="U2" s="5" t="s">
        <v>98</v>
      </c>
      <c r="V2" s="5" t="s">
        <v>98</v>
      </c>
      <c r="W2" s="5" t="s">
        <v>98</v>
      </c>
      <c r="X2" s="5" t="s">
        <v>98</v>
      </c>
      <c r="Y2" s="5" t="s">
        <v>98</v>
      </c>
      <c r="Z2" s="5" t="s">
        <v>98</v>
      </c>
      <c r="AA2" s="5" t="s">
        <v>98</v>
      </c>
      <c r="AB2" s="5" t="s">
        <v>98</v>
      </c>
      <c r="AC2" s="5" t="s">
        <v>98</v>
      </c>
      <c r="AD2" s="5" t="s">
        <v>98</v>
      </c>
      <c r="AE2" s="5" t="s">
        <v>98</v>
      </c>
      <c r="AF2" s="5" t="s">
        <v>98</v>
      </c>
      <c r="AG2" s="5" t="s">
        <v>98</v>
      </c>
      <c r="AH2" s="5" t="s">
        <v>98</v>
      </c>
      <c r="AI2" s="5" t="s">
        <v>98</v>
      </c>
      <c r="AJ2" s="5" t="s">
        <v>98</v>
      </c>
      <c r="AK2" s="5" t="s">
        <v>98</v>
      </c>
    </row>
    <row r="3" spans="1:57" ht="15.75" customHeight="1" x14ac:dyDescent="0.2">
      <c r="A3" s="1" t="s">
        <v>44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5" t="s">
        <v>98</v>
      </c>
      <c r="L3" s="5" t="s">
        <v>98</v>
      </c>
      <c r="M3" s="5" t="s">
        <v>98</v>
      </c>
      <c r="N3" s="5" t="s">
        <v>98</v>
      </c>
      <c r="O3" s="5" t="s">
        <v>98</v>
      </c>
      <c r="P3" s="5" t="s">
        <v>98</v>
      </c>
      <c r="Q3" s="5" t="s">
        <v>98</v>
      </c>
      <c r="R3" s="5" t="s">
        <v>98</v>
      </c>
      <c r="S3" s="5" t="s">
        <v>98</v>
      </c>
      <c r="T3" s="18" t="s">
        <v>98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17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17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 x14ac:dyDescent="0.2">
      <c r="A13" s="2" t="s">
        <v>172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 x14ac:dyDescent="0.2">
      <c r="A18" s="2" t="s">
        <v>180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 x14ac:dyDescent="0.2">
      <c r="A19" s="2" t="s">
        <v>181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170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170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171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63</v>
      </c>
      <c r="C3" t="s">
        <v>73</v>
      </c>
      <c r="V3" s="4" t="s">
        <v>74</v>
      </c>
      <c r="W3" s="1" t="s">
        <v>38</v>
      </c>
      <c r="X3" s="1" t="s">
        <v>60</v>
      </c>
      <c r="Y3" t="s">
        <v>72</v>
      </c>
      <c r="Z3" t="s">
        <v>63</v>
      </c>
      <c r="AA3" t="s">
        <v>73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9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11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61052</v>
      </c>
      <c r="C7" s="3">
        <v>93775.981349000009</v>
      </c>
      <c r="V7" t="str">
        <f t="shared" si="0"/>
        <v>AIR ASIAP4</v>
      </c>
      <c r="W7" t="s">
        <v>28</v>
      </c>
      <c r="X7" t="s">
        <v>12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648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13</v>
      </c>
      <c r="Y10" s="3"/>
      <c r="Z10" s="3"/>
      <c r="AA10" s="3"/>
    </row>
    <row r="11" spans="1:27" x14ac:dyDescent="0.2">
      <c r="A11" s="2" t="s">
        <v>17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14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12112</v>
      </c>
      <c r="C12" s="3">
        <v>34401.086552000001</v>
      </c>
      <c r="V12" t="str">
        <f t="shared" si="0"/>
        <v>AIR INDIAP1</v>
      </c>
      <c r="W12" t="s">
        <v>20</v>
      </c>
      <c r="X12" t="s">
        <v>9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10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11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12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180</v>
      </c>
      <c r="B18" s="3"/>
      <c r="C18" s="3"/>
      <c r="V18" t="str">
        <f t="shared" si="0"/>
        <v>AIR INDIAP5</v>
      </c>
      <c r="W18" t="s">
        <v>20</v>
      </c>
      <c r="X18" t="s">
        <v>13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182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14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21</v>
      </c>
      <c r="X20" t="s">
        <v>9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10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11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12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13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14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9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10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11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12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13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14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9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10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11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12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13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14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9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10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11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12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13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14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9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10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11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12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13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14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17</v>
      </c>
      <c r="X60" t="s">
        <v>9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17</v>
      </c>
      <c r="X61" t="s">
        <v>10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17</v>
      </c>
      <c r="X62" t="s">
        <v>11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17</v>
      </c>
      <c r="X63" t="s">
        <v>12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17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17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17</v>
      </c>
      <c r="X66" t="s">
        <v>13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17</v>
      </c>
      <c r="X67" t="s">
        <v>14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9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10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11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12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13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14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9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10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11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12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13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14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9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10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11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12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13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14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9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10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11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12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13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14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9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10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11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12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13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14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180</v>
      </c>
      <c r="X109" t="s">
        <v>9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180</v>
      </c>
      <c r="X110" t="s">
        <v>10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180</v>
      </c>
      <c r="X111" t="s">
        <v>11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180</v>
      </c>
      <c r="X112" t="s">
        <v>12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180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180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180</v>
      </c>
      <c r="X115" t="s">
        <v>13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180</v>
      </c>
      <c r="X116" t="s">
        <v>14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182</v>
      </c>
      <c r="X117" t="s">
        <v>9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182</v>
      </c>
      <c r="X118" t="s">
        <v>10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182</v>
      </c>
      <c r="X119" t="s">
        <v>11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182</v>
      </c>
      <c r="X120" t="s">
        <v>12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182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182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182</v>
      </c>
      <c r="X123" t="s">
        <v>13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182</v>
      </c>
      <c r="X124" t="s">
        <v>14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15</v>
      </c>
      <c r="C2" s="7" t="s">
        <v>100</v>
      </c>
      <c r="D2" s="7" t="s">
        <v>101</v>
      </c>
      <c r="E2" s="7" t="s">
        <v>16</v>
      </c>
      <c r="F2" s="7" t="s">
        <v>102</v>
      </c>
      <c r="G2" s="8" t="s">
        <v>103</v>
      </c>
      <c r="H2" s="8" t="s">
        <v>104</v>
      </c>
      <c r="I2" s="9" t="s">
        <v>105</v>
      </c>
      <c r="J2" s="8" t="s">
        <v>106</v>
      </c>
      <c r="K2" s="8" t="s">
        <v>107</v>
      </c>
      <c r="L2" s="8" t="s">
        <v>108</v>
      </c>
      <c r="M2" s="8" t="s">
        <v>109</v>
      </c>
      <c r="N2" s="8" t="s">
        <v>110</v>
      </c>
      <c r="O2" s="8" t="s">
        <v>111</v>
      </c>
      <c r="P2" s="8" t="s">
        <v>112</v>
      </c>
      <c r="Q2" s="8" t="s">
        <v>113</v>
      </c>
      <c r="R2" s="8" t="s">
        <v>114</v>
      </c>
      <c r="S2" s="10" t="s">
        <v>115</v>
      </c>
      <c r="T2" s="8" t="s">
        <v>116</v>
      </c>
      <c r="U2" s="8" t="s">
        <v>117</v>
      </c>
      <c r="V2" s="7" t="s">
        <v>118</v>
      </c>
      <c r="W2" s="8" t="s">
        <v>119</v>
      </c>
      <c r="X2" s="7" t="s">
        <v>120</v>
      </c>
      <c r="Y2" s="7" t="s">
        <v>121</v>
      </c>
    </row>
    <row r="3" spans="1:25" x14ac:dyDescent="0.2">
      <c r="A3" s="1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17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180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181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179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J18"/>
  <sheetViews>
    <sheetView showGridLines="0" tabSelected="1" view="pageBreakPreview" zoomScaleNormal="100" zoomScaleSheetLayoutView="100" workbookViewId="0">
      <selection activeCell="M17" sqref="M17"/>
    </sheetView>
  </sheetViews>
  <sheetFormatPr defaultColWidth="11" defaultRowHeight="54.95" customHeight="1" x14ac:dyDescent="0.25"/>
  <cols>
    <col min="1" max="1" width="10.42578125" style="23" customWidth="1"/>
    <col min="2" max="2" width="5.5703125" style="23" customWidth="1"/>
    <col min="3" max="3" width="10" style="23" customWidth="1"/>
    <col min="4" max="5" width="10.7109375" style="23" customWidth="1"/>
    <col min="6" max="6" width="10.140625" style="23" customWidth="1"/>
    <col min="7" max="7" width="10.7109375" style="23" customWidth="1"/>
    <col min="8" max="9" width="10.28515625" style="23" customWidth="1"/>
    <col min="10" max="10" width="10.140625" style="23" customWidth="1"/>
    <col min="11" max="16384" width="11" style="23"/>
  </cols>
  <sheetData>
    <row r="1" spans="1:10" ht="24.95" customHeight="1" x14ac:dyDescent="0.25">
      <c r="A1" s="27" t="s">
        <v>192</v>
      </c>
      <c r="B1" s="28"/>
      <c r="C1" s="28"/>
      <c r="D1" s="28"/>
      <c r="E1" s="28"/>
      <c r="F1" s="28"/>
      <c r="G1" s="28"/>
      <c r="H1" s="28"/>
      <c r="I1" s="28"/>
      <c r="J1" s="28"/>
    </row>
    <row r="2" spans="1:10" ht="24.95" customHeight="1" x14ac:dyDescent="0.25">
      <c r="A2" s="31" t="s">
        <v>193</v>
      </c>
      <c r="B2" s="32"/>
      <c r="C2" s="32"/>
      <c r="D2" s="32"/>
      <c r="E2" s="32"/>
      <c r="F2" s="32"/>
      <c r="G2" s="32"/>
      <c r="H2" s="32"/>
      <c r="I2" s="32"/>
      <c r="J2" s="32"/>
    </row>
    <row r="3" spans="1:10" ht="36.75" customHeight="1" x14ac:dyDescent="0.25">
      <c r="A3" s="35" t="s">
        <v>188</v>
      </c>
      <c r="B3" s="36"/>
      <c r="C3" s="36"/>
      <c r="D3" s="36"/>
      <c r="E3" s="36"/>
      <c r="F3" s="36"/>
      <c r="G3" s="36"/>
      <c r="H3" s="36"/>
      <c r="I3" s="36"/>
      <c r="J3" s="36"/>
    </row>
    <row r="4" spans="1:10" ht="15.75" x14ac:dyDescent="0.25">
      <c r="A4" s="33" t="s">
        <v>8</v>
      </c>
      <c r="B4" s="34" t="s">
        <v>7</v>
      </c>
      <c r="C4" s="37" t="s">
        <v>6</v>
      </c>
      <c r="D4" s="38"/>
      <c r="E4" s="38"/>
      <c r="F4" s="38"/>
      <c r="G4" s="38"/>
      <c r="H4" s="38"/>
      <c r="I4" s="38"/>
      <c r="J4" s="38"/>
    </row>
    <row r="5" spans="1:10" ht="34.5" customHeight="1" x14ac:dyDescent="0.25">
      <c r="A5" s="33"/>
      <c r="B5" s="34"/>
      <c r="C5" s="37" t="s">
        <v>5</v>
      </c>
      <c r="D5" s="37"/>
      <c r="E5" s="37"/>
      <c r="F5" s="37"/>
      <c r="G5" s="33" t="s">
        <v>4</v>
      </c>
      <c r="H5" s="33"/>
      <c r="I5" s="33"/>
      <c r="J5" s="33"/>
    </row>
    <row r="6" spans="1:10" ht="34.5" customHeight="1" x14ac:dyDescent="0.25">
      <c r="A6" s="33"/>
      <c r="B6" s="34"/>
      <c r="C6" s="37" t="s">
        <v>3</v>
      </c>
      <c r="D6" s="37"/>
      <c r="E6" s="34" t="s">
        <v>191</v>
      </c>
      <c r="F6" s="34" t="s">
        <v>2</v>
      </c>
      <c r="G6" s="37" t="s">
        <v>3</v>
      </c>
      <c r="H6" s="37"/>
      <c r="I6" s="34" t="s">
        <v>191</v>
      </c>
      <c r="J6" s="34" t="s">
        <v>2</v>
      </c>
    </row>
    <row r="7" spans="1:10" ht="89.25" customHeight="1" x14ac:dyDescent="0.25">
      <c r="A7" s="33"/>
      <c r="B7" s="34"/>
      <c r="C7" s="24" t="s">
        <v>1</v>
      </c>
      <c r="D7" s="24" t="s">
        <v>0</v>
      </c>
      <c r="E7" s="34"/>
      <c r="F7" s="34"/>
      <c r="G7" s="24" t="s">
        <v>1</v>
      </c>
      <c r="H7" s="24" t="s">
        <v>0</v>
      </c>
      <c r="I7" s="34"/>
      <c r="J7" s="34"/>
    </row>
    <row r="8" spans="1:10" ht="24.95" customHeight="1" x14ac:dyDescent="0.25">
      <c r="A8" s="25" t="s">
        <v>19</v>
      </c>
      <c r="B8" s="26"/>
      <c r="C8" s="26"/>
      <c r="D8" s="26"/>
      <c r="E8" s="26"/>
      <c r="F8" s="26"/>
      <c r="G8" s="26"/>
      <c r="H8" s="26"/>
      <c r="I8" s="26"/>
      <c r="J8" s="26"/>
    </row>
    <row r="9" spans="1:10" ht="24.95" customHeight="1" x14ac:dyDescent="0.25">
      <c r="A9" s="25" t="s">
        <v>61</v>
      </c>
      <c r="B9" s="26"/>
      <c r="C9" s="26"/>
      <c r="D9" s="26"/>
      <c r="E9" s="26"/>
      <c r="F9" s="26"/>
      <c r="G9" s="26"/>
      <c r="H9" s="26"/>
      <c r="I9" s="26"/>
      <c r="J9" s="26"/>
    </row>
    <row r="10" spans="1:10" ht="24.95" customHeight="1" x14ac:dyDescent="0.25">
      <c r="A10" s="25" t="s">
        <v>176</v>
      </c>
      <c r="B10" s="26"/>
      <c r="C10" s="26"/>
      <c r="D10" s="26"/>
      <c r="E10" s="26"/>
      <c r="F10" s="26"/>
      <c r="G10" s="26"/>
      <c r="H10" s="26"/>
      <c r="I10" s="26"/>
      <c r="J10" s="26"/>
    </row>
    <row r="11" spans="1:10" ht="24.95" customHeight="1" x14ac:dyDescent="0.25">
      <c r="A11" s="25" t="s">
        <v>183</v>
      </c>
      <c r="B11" s="26"/>
      <c r="C11" s="26"/>
      <c r="D11" s="26"/>
      <c r="E11" s="26"/>
      <c r="F11" s="26"/>
      <c r="G11" s="26"/>
      <c r="H11" s="26"/>
      <c r="I11" s="26"/>
      <c r="J11" s="26"/>
    </row>
    <row r="12" spans="1:10" ht="24.95" customHeight="1" x14ac:dyDescent="0.25">
      <c r="A12" s="25" t="s">
        <v>184</v>
      </c>
      <c r="B12" s="26"/>
      <c r="C12" s="26"/>
      <c r="D12" s="26"/>
      <c r="E12" s="26"/>
      <c r="F12" s="26"/>
      <c r="G12" s="26"/>
      <c r="H12" s="26"/>
      <c r="I12" s="26"/>
      <c r="J12" s="26"/>
    </row>
    <row r="13" spans="1:10" ht="24.95" customHeight="1" x14ac:dyDescent="0.25">
      <c r="A13" s="25" t="s">
        <v>185</v>
      </c>
      <c r="B13" s="26"/>
      <c r="C13" s="26"/>
      <c r="D13" s="26"/>
      <c r="E13" s="26"/>
      <c r="F13" s="26"/>
      <c r="G13" s="26"/>
      <c r="H13" s="26"/>
      <c r="I13" s="26"/>
      <c r="J13" s="26"/>
    </row>
    <row r="14" spans="1:10" ht="24.95" customHeight="1" x14ac:dyDescent="0.25">
      <c r="A14" s="25" t="s">
        <v>186</v>
      </c>
      <c r="B14" s="26"/>
      <c r="C14" s="26"/>
      <c r="D14" s="26"/>
      <c r="E14" s="26"/>
      <c r="F14" s="26"/>
      <c r="G14" s="26"/>
      <c r="H14" s="26"/>
      <c r="I14" s="26"/>
      <c r="J14" s="26"/>
    </row>
    <row r="15" spans="1:10" ht="24.95" customHeight="1" x14ac:dyDescent="0.25">
      <c r="A15" s="25" t="s">
        <v>187</v>
      </c>
      <c r="B15" s="26">
        <v>19</v>
      </c>
      <c r="C15" s="26">
        <v>13600</v>
      </c>
      <c r="D15" s="26">
        <v>4</v>
      </c>
      <c r="E15" s="26"/>
      <c r="F15" s="26">
        <v>13604</v>
      </c>
      <c r="G15" s="26">
        <v>22439.94</v>
      </c>
      <c r="H15" s="26">
        <v>6</v>
      </c>
      <c r="I15" s="26"/>
      <c r="J15" s="26">
        <v>22446.12</v>
      </c>
    </row>
    <row r="16" spans="1:10" ht="24.95" customHeight="1" x14ac:dyDescent="0.25">
      <c r="A16" s="25" t="s">
        <v>189</v>
      </c>
      <c r="B16" s="26">
        <v>24</v>
      </c>
      <c r="C16" s="26">
        <v>42247</v>
      </c>
      <c r="D16" s="26">
        <v>29</v>
      </c>
      <c r="E16" s="26">
        <v>49</v>
      </c>
      <c r="F16" s="26">
        <v>42325</v>
      </c>
      <c r="G16" s="26">
        <v>83034.16</v>
      </c>
      <c r="H16" s="26">
        <v>42.34</v>
      </c>
      <c r="I16" s="26">
        <v>193.94999999999709</v>
      </c>
      <c r="J16" s="26">
        <v>83270.45</v>
      </c>
    </row>
    <row r="17" spans="1:10" ht="24.95" customHeight="1" x14ac:dyDescent="0.25">
      <c r="A17" s="25" t="s">
        <v>194</v>
      </c>
      <c r="B17" s="26">
        <v>27</v>
      </c>
      <c r="C17" s="26">
        <v>48629</v>
      </c>
      <c r="D17" s="26">
        <v>68</v>
      </c>
      <c r="E17" s="26">
        <f>F17-C17-D17</f>
        <v>43</v>
      </c>
      <c r="F17" s="26">
        <v>48740</v>
      </c>
      <c r="G17" s="26">
        <v>112652</v>
      </c>
      <c r="H17" s="26">
        <v>133</v>
      </c>
      <c r="I17" s="26">
        <f>J17-G17-H17</f>
        <v>141</v>
      </c>
      <c r="J17" s="26">
        <v>112926</v>
      </c>
    </row>
    <row r="18" spans="1:10" ht="24.95" customHeight="1" x14ac:dyDescent="0.25">
      <c r="A18" s="29" t="s">
        <v>190</v>
      </c>
      <c r="B18" s="30"/>
      <c r="C18" s="30"/>
      <c r="D18" s="30"/>
      <c r="E18" s="30"/>
      <c r="F18" s="30"/>
      <c r="G18" s="30"/>
      <c r="H18" s="30"/>
      <c r="I18" s="30"/>
      <c r="J18" s="30"/>
    </row>
  </sheetData>
  <mergeCells count="15">
    <mergeCell ref="A1:J1"/>
    <mergeCell ref="A18:J18"/>
    <mergeCell ref="A2:J2"/>
    <mergeCell ref="A4:A7"/>
    <mergeCell ref="B4:B7"/>
    <mergeCell ref="A3:J3"/>
    <mergeCell ref="G5:J5"/>
    <mergeCell ref="C4:J4"/>
    <mergeCell ref="C5:F5"/>
    <mergeCell ref="C6:D6"/>
    <mergeCell ref="F6:F7"/>
    <mergeCell ref="G6:H6"/>
    <mergeCell ref="J6:J7"/>
    <mergeCell ref="I6:I7"/>
    <mergeCell ref="E6:E7"/>
  </mergeCells>
  <pageMargins left="0.59" right="0.48" top="0.49" bottom="0" header="0.28000000000000003" footer="0.75"/>
  <pageSetup scale="94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B</vt:lpstr>
      <vt:lpstr>B!Print_Area</vt:lpstr>
      <vt:lpstr>B!Print_Area_MI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2025-03-28T09:09:00Z</cp:lastPrinted>
  <dcterms:created xsi:type="dcterms:W3CDTF">2002-12-26T09:18:20Z</dcterms:created>
  <dcterms:modified xsi:type="dcterms:W3CDTF">2025-11-17T12:33:11Z</dcterms:modified>
</cp:coreProperties>
</file>