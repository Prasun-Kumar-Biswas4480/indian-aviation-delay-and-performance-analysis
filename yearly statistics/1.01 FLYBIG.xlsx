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FLYBIG\"/>
    </mc:Choice>
  </mc:AlternateContent>
  <bookViews>
    <workbookView xWindow="0" yWindow="0" windowWidth="24000" windowHeight="9435"/>
  </bookViews>
  <sheets>
    <sheet name="FLY BIG" sheetId="4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7" i="4" l="1"/>
  <c r="Q17" i="4" l="1"/>
  <c r="Q16" i="4" l="1"/>
  <c r="Q15" i="4"/>
  <c r="Q14" i="4"/>
  <c r="Q13" i="4"/>
  <c r="Q12" i="4"/>
  <c r="Q11" i="4"/>
  <c r="Q10" i="4"/>
  <c r="Q9" i="4"/>
  <c r="Q8" i="4"/>
  <c r="Q7" i="4"/>
  <c r="Q6" i="4"/>
  <c r="H16" i="4"/>
  <c r="H14" i="4"/>
  <c r="H13" i="4"/>
  <c r="H12" i="4"/>
  <c r="H11" i="4"/>
  <c r="H10" i="4"/>
  <c r="H9" i="4"/>
  <c r="H8" i="4"/>
  <c r="H7" i="4"/>
  <c r="H6" i="4"/>
  <c r="H15" i="4" l="1"/>
  <c r="P18" i="4"/>
  <c r="O18" i="4"/>
  <c r="N18" i="4"/>
  <c r="M18" i="4"/>
  <c r="L18" i="4"/>
  <c r="K18" i="4"/>
  <c r="J18" i="4"/>
  <c r="I18" i="4"/>
  <c r="G18" i="4"/>
  <c r="F18" i="4"/>
  <c r="E18" i="4"/>
  <c r="D18" i="4"/>
  <c r="C18" i="4"/>
  <c r="B18" i="4"/>
  <c r="H18" i="4" l="1"/>
  <c r="Q18" i="4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<sst xmlns="http://schemas.openxmlformats.org/spreadsheetml/2006/main" count="26" uniqueCount="24">
  <si>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</si>
  <si>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</si>
  <si>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</si>
  <si>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</si>
  <si>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</si>
  <si>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</si>
  <si>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</si>
  <si>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</si>
  <si>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</si>
  <si>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</si>
  <si>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</si>
  <si>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</si>
  <si>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</si>
  <si>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</si>
  <si>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</si>
  <si>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</si>
  <si>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</si>
  <si>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</si>
  <si>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</si>
  <si>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Table 1.01 (FLY BIG)</t>
  </si>
  <si>
    <t xml:space="preserve">तालिका 1.01 (फ्लाई बिग) </t>
  </si>
  <si>
    <t xml:space="preserve">SOURCE:-  ICAO ATR FORM 'A' FURNISHED BY FLY BIG </t>
  </si>
  <si>
    <t>MONTHLY TRAFFIC AND OPERATING STATISTICS OF FLY BIG ON SCHEDULED DOMESTIC SERVICES DURING 2024-25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</si>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</sst>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[$-409]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5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0" fontId="2" fillId="3" borderId="1" xfId="2" applyFont="1" applyBorder="1" applyAlignment="1" applyProtection="1">
      <alignment horizontal="center" vertical="center" textRotation="90" wrapText="1"/>
    </xf>
    <xf numFmtId="166" fontId="4" fillId="4" borderId="1" xfId="3" applyNumberFormat="1" applyFont="1" applyBorder="1" applyAlignment="1" applyProtection="1">
      <alignment horizontal="right" vertical="center" wrapText="1"/>
    </xf>
    <xf numFmtId="164" fontId="0" fillId="0" borderId="1" xfId="1" applyNumberFormat="1" applyFont="1" applyBorder="1" applyAlignment="1">
      <alignment horizontal="right" vertical="center"/>
    </xf>
    <xf numFmtId="164" fontId="3" fillId="4" borderId="1" xfId="3" applyNumberFormat="1" applyBorder="1" applyAlignment="1">
      <alignment horizontal="right" vertical="center"/>
    </xf>
    <xf numFmtId="164" fontId="4" fillId="4" borderId="1" xfId="3" applyNumberFormat="1" applyFont="1" applyBorder="1" applyAlignment="1" applyProtection="1">
      <alignment horizontal="right" vertical="center" wrapText="1"/>
    </xf>
    <xf numFmtId="166" fontId="4" fillId="4" borderId="1" xfId="3" applyNumberFormat="1" applyFont="1" applyBorder="1" applyAlignment="1" applyProtection="1">
      <alignment vertical="center" wrapText="1"/>
    </xf>
    <xf numFmtId="167" fontId="3" fillId="4" borderId="1" xfId="3" applyNumberFormat="1" applyFont="1" applyBorder="1" applyAlignment="1" applyProtection="1">
      <alignment horizontal="center" vertical="center" wrapText="1"/>
    </xf>
    <xf numFmtId="167" fontId="2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view="pageBreakPreview" zoomScaleNormal="100" zoomScaleSheetLayoutView="100" workbookViewId="0">
      <selection activeCell="J11" sqref="J11"/>
    </sheetView>
  </sheetViews>
  <sheetFormatPr defaultRowHeight="15" x14ac:dyDescent="0.25"/>
  <cols>
    <col min="1" max="1" width="16.28515625" customWidth="1"/>
    <col min="2" max="2" width="6.85546875" customWidth="1"/>
    <col min="3" max="3" width="6.7109375" customWidth="1"/>
    <col min="4" max="4" width="7.140625" customWidth="1"/>
    <col min="5" max="5" width="9.7109375" customWidth="1"/>
    <col min="6" max="6" width="8" customWidth="1"/>
    <col min="7" max="7" width="8.28515625" customWidth="1"/>
    <col min="8" max="8" width="9.42578125" customWidth="1"/>
    <col min="9" max="9" width="7.140625" customWidth="1"/>
    <col min="10" max="10" width="6.7109375" customWidth="1"/>
    <col min="11" max="11" width="7.5703125" customWidth="1"/>
    <col min="12" max="12" width="7.42578125" customWidth="1"/>
    <col min="13" max="14" width="7.7109375" customWidth="1"/>
    <col min="15" max="15" width="7.140625" customWidth="1"/>
    <col min="16" max="17" width="8.28515625" customWidth="1"/>
  </cols>
  <sheetData>
    <row r="1" spans="1:17" x14ac:dyDescent="0.25">
      <c r="A1" s="20" t="s">
        <v>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1" t="s">
        <v>19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x14ac:dyDescent="0.25">
      <c r="A3" s="23" t="s">
        <v>22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28.15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5" t="s">
        <v>3</v>
      </c>
      <c r="H4" s="15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5" t="s">
        <v>7</v>
      </c>
      <c r="Q4" s="15" t="s">
        <v>8</v>
      </c>
    </row>
    <row r="5" spans="1:17" ht="120.75" customHeight="1" x14ac:dyDescent="0.25">
      <c r="A5" s="23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16"/>
      <c r="H5" s="16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16"/>
      <c r="Q5" s="16"/>
    </row>
    <row r="6" spans="1:17" x14ac:dyDescent="0.25">
      <c r="A6" s="13">
        <v>45383</v>
      </c>
      <c r="B6" s="2">
        <v>198</v>
      </c>
      <c r="C6" s="2">
        <v>237.91666666666666</v>
      </c>
      <c r="D6" s="2">
        <v>47</v>
      </c>
      <c r="E6" s="2">
        <v>1125</v>
      </c>
      <c r="F6" s="5">
        <v>0.29925400000000002</v>
      </c>
      <c r="G6" s="5">
        <v>0.90099899999999999</v>
      </c>
      <c r="H6" s="5">
        <f t="shared" ref="H6:H16" si="0">F6/G6*100</f>
        <v>33.213577373559794</v>
      </c>
      <c r="I6" s="5"/>
      <c r="J6" s="5"/>
      <c r="K6" s="5"/>
      <c r="L6" s="5">
        <v>2.244405E-2</v>
      </c>
      <c r="M6" s="5">
        <v>0</v>
      </c>
      <c r="N6" s="5">
        <v>0</v>
      </c>
      <c r="O6" s="5">
        <v>2.244405E-2</v>
      </c>
      <c r="P6" s="5">
        <v>0.284526</v>
      </c>
      <c r="Q6" s="5">
        <f t="shared" ref="Q6:Q17" si="1">O6/P6*100</f>
        <v>7.8882246262204507</v>
      </c>
    </row>
    <row r="7" spans="1:17" x14ac:dyDescent="0.25">
      <c r="A7" s="14">
        <v>45413</v>
      </c>
      <c r="B7" s="3">
        <v>229</v>
      </c>
      <c r="C7" s="3">
        <v>264</v>
      </c>
      <c r="D7" s="3">
        <v>51</v>
      </c>
      <c r="E7" s="3">
        <v>1605</v>
      </c>
      <c r="F7" s="6">
        <v>0.37</v>
      </c>
      <c r="G7" s="6">
        <v>0.97299999999999998</v>
      </c>
      <c r="H7" s="6">
        <f t="shared" si="0"/>
        <v>38.026721479958894</v>
      </c>
      <c r="I7" s="6"/>
      <c r="J7" s="6"/>
      <c r="K7" s="6">
        <v>0</v>
      </c>
      <c r="L7" s="6">
        <v>2.8000000000000001E-2</v>
      </c>
      <c r="M7" s="6">
        <v>0</v>
      </c>
      <c r="N7" s="6">
        <v>0</v>
      </c>
      <c r="O7" s="6">
        <v>2.8000000000000001E-2</v>
      </c>
      <c r="P7" s="6">
        <v>0.307</v>
      </c>
      <c r="Q7" s="6">
        <f t="shared" si="1"/>
        <v>9.120521172638437</v>
      </c>
    </row>
    <row r="8" spans="1:17" x14ac:dyDescent="0.25">
      <c r="A8" s="13">
        <v>45444</v>
      </c>
      <c r="B8" s="2">
        <v>244</v>
      </c>
      <c r="C8" s="2">
        <v>297</v>
      </c>
      <c r="D8" s="2">
        <v>57</v>
      </c>
      <c r="E8" s="2">
        <v>1908</v>
      </c>
      <c r="F8" s="5">
        <v>0.46800000000000003</v>
      </c>
      <c r="G8" s="5">
        <v>1.077</v>
      </c>
      <c r="H8" s="5">
        <f t="shared" si="0"/>
        <v>43.454038997214489</v>
      </c>
      <c r="I8" s="5"/>
      <c r="J8" s="5"/>
      <c r="K8" s="5">
        <v>0</v>
      </c>
      <c r="L8" s="5">
        <v>3.5000000000000003E-2</v>
      </c>
      <c r="M8" s="5">
        <v>0</v>
      </c>
      <c r="N8" s="5">
        <v>0</v>
      </c>
      <c r="O8" s="5">
        <v>3.5000000000000003E-2</v>
      </c>
      <c r="P8" s="5">
        <v>0.34</v>
      </c>
      <c r="Q8" s="5">
        <f t="shared" si="1"/>
        <v>10.294117647058824</v>
      </c>
    </row>
    <row r="9" spans="1:17" x14ac:dyDescent="0.25">
      <c r="A9" s="14">
        <v>45474</v>
      </c>
      <c r="B9" s="3">
        <v>280</v>
      </c>
      <c r="C9" s="3">
        <v>343</v>
      </c>
      <c r="D9" s="3">
        <v>64.659000000000006</v>
      </c>
      <c r="E9" s="3">
        <v>1011</v>
      </c>
      <c r="F9" s="6">
        <v>0.24</v>
      </c>
      <c r="G9" s="6">
        <v>1.2290000000000001</v>
      </c>
      <c r="H9" s="6">
        <f t="shared" si="0"/>
        <v>19.528071602929209</v>
      </c>
      <c r="I9" s="6"/>
      <c r="J9" s="6"/>
      <c r="K9" s="6">
        <v>0</v>
      </c>
      <c r="L9" s="6">
        <v>1.8001999999999997E-2</v>
      </c>
      <c r="M9" s="6">
        <v>0</v>
      </c>
      <c r="N9" s="6">
        <v>0</v>
      </c>
      <c r="O9" s="6">
        <v>1.8001999999999997E-2</v>
      </c>
      <c r="P9" s="6">
        <v>0.38794999999999996</v>
      </c>
      <c r="Q9" s="6">
        <f t="shared" si="1"/>
        <v>4.6402886969970352</v>
      </c>
    </row>
    <row r="10" spans="1:17" x14ac:dyDescent="0.25">
      <c r="A10" s="13">
        <v>45505</v>
      </c>
      <c r="B10" s="2">
        <v>300</v>
      </c>
      <c r="C10" s="2">
        <v>362.33</v>
      </c>
      <c r="D10" s="2">
        <v>71.956000000000003</v>
      </c>
      <c r="E10" s="2">
        <v>2013</v>
      </c>
      <c r="F10" s="5">
        <v>0.487483</v>
      </c>
      <c r="G10" s="5">
        <v>1.367164</v>
      </c>
      <c r="H10" s="5">
        <f t="shared" si="0"/>
        <v>35.656512313080214</v>
      </c>
      <c r="I10" s="5"/>
      <c r="J10" s="5"/>
      <c r="K10" s="5">
        <v>0</v>
      </c>
      <c r="L10" s="5">
        <v>3.6561225000000003E-2</v>
      </c>
      <c r="M10" s="5">
        <v>0</v>
      </c>
      <c r="N10" s="5">
        <v>0</v>
      </c>
      <c r="O10" s="5">
        <v>3.6561225000000003E-2</v>
      </c>
      <c r="P10" s="5">
        <v>0.43173600000000001</v>
      </c>
      <c r="Q10" s="5">
        <f t="shared" si="1"/>
        <v>8.4684216743565521</v>
      </c>
    </row>
    <row r="11" spans="1:17" x14ac:dyDescent="0.25">
      <c r="A11" s="14">
        <v>45536</v>
      </c>
      <c r="B11" s="3">
        <v>283</v>
      </c>
      <c r="C11" s="3">
        <v>341.58</v>
      </c>
      <c r="D11" s="3">
        <v>67.956000000000003</v>
      </c>
      <c r="E11" s="3">
        <v>1792</v>
      </c>
      <c r="F11" s="6">
        <v>0.42499999999999999</v>
      </c>
      <c r="G11" s="6">
        <v>1.2909999999999999</v>
      </c>
      <c r="H11" s="6">
        <f t="shared" si="0"/>
        <v>32.920216886134781</v>
      </c>
      <c r="I11" s="6"/>
      <c r="J11" s="6"/>
      <c r="K11" s="6">
        <v>0</v>
      </c>
      <c r="L11" s="6">
        <v>3.1910000000000001E-2</v>
      </c>
      <c r="M11" s="6">
        <v>0</v>
      </c>
      <c r="N11" s="6">
        <v>0</v>
      </c>
      <c r="O11" s="6">
        <v>3.1910000000000001E-2</v>
      </c>
      <c r="P11" s="6">
        <v>0.40773999999999999</v>
      </c>
      <c r="Q11" s="6">
        <f t="shared" si="1"/>
        <v>7.8260656300583706</v>
      </c>
    </row>
    <row r="12" spans="1:17" x14ac:dyDescent="0.25">
      <c r="A12" s="13">
        <v>45566</v>
      </c>
      <c r="B12" s="2">
        <v>308</v>
      </c>
      <c r="C12" s="2">
        <v>368.66666666666669</v>
      </c>
      <c r="D12" s="2">
        <v>72.025999999999996</v>
      </c>
      <c r="E12" s="2">
        <v>2037</v>
      </c>
      <c r="F12" s="5">
        <v>0.45393800000000001</v>
      </c>
      <c r="G12" s="5">
        <v>1.3684939999999999</v>
      </c>
      <c r="H12" s="5">
        <f t="shared" si="0"/>
        <v>33.170624058271358</v>
      </c>
      <c r="I12" s="5"/>
      <c r="J12" s="5"/>
      <c r="K12" s="5">
        <v>0</v>
      </c>
      <c r="L12" s="5">
        <v>3.4049999999999997E-2</v>
      </c>
      <c r="M12" s="5">
        <v>0</v>
      </c>
      <c r="N12" s="5">
        <v>0</v>
      </c>
      <c r="O12" s="5">
        <v>3.4049999999999997E-2</v>
      </c>
      <c r="P12" s="5">
        <v>0.43215599999999998</v>
      </c>
      <c r="Q12" s="5">
        <f t="shared" si="1"/>
        <v>7.8790992141726592</v>
      </c>
    </row>
    <row r="13" spans="1:17" x14ac:dyDescent="0.25">
      <c r="A13" s="14">
        <v>45597</v>
      </c>
      <c r="B13" s="3">
        <v>200</v>
      </c>
      <c r="C13" s="3">
        <v>245.08333333333334</v>
      </c>
      <c r="D13" s="3">
        <v>44.204999999999998</v>
      </c>
      <c r="E13" s="3">
        <v>1446</v>
      </c>
      <c r="F13" s="6">
        <v>0.298904</v>
      </c>
      <c r="G13" s="6">
        <v>0.83989499999999995</v>
      </c>
      <c r="H13" s="6">
        <f t="shared" si="0"/>
        <v>35.588258056066536</v>
      </c>
      <c r="I13" s="6"/>
      <c r="J13" s="6"/>
      <c r="K13" s="6">
        <v>0</v>
      </c>
      <c r="L13" s="6">
        <v>2.2417799999999995E-2</v>
      </c>
      <c r="M13" s="6">
        <v>0</v>
      </c>
      <c r="N13" s="6">
        <v>0</v>
      </c>
      <c r="O13" s="6">
        <v>2.2417799999999995E-2</v>
      </c>
      <c r="P13" s="6">
        <v>0.26523000000000002</v>
      </c>
      <c r="Q13" s="6">
        <f t="shared" si="1"/>
        <v>8.452211288315798</v>
      </c>
    </row>
    <row r="14" spans="1:17" x14ac:dyDescent="0.25">
      <c r="A14" s="13">
        <v>45627</v>
      </c>
      <c r="B14" s="2">
        <v>294</v>
      </c>
      <c r="C14" s="2">
        <v>348.75</v>
      </c>
      <c r="D14" s="2">
        <v>67.876000000000005</v>
      </c>
      <c r="E14" s="2">
        <v>1137</v>
      </c>
      <c r="F14" s="5">
        <v>0.269312</v>
      </c>
      <c r="G14" s="5">
        <v>1.289644</v>
      </c>
      <c r="H14" s="5">
        <f t="shared" si="0"/>
        <v>20.882662192046798</v>
      </c>
      <c r="I14" s="5"/>
      <c r="J14" s="5"/>
      <c r="K14" s="5">
        <v>0</v>
      </c>
      <c r="L14" s="5">
        <v>2.0198400000000002E-2</v>
      </c>
      <c r="M14" s="5">
        <v>0</v>
      </c>
      <c r="N14" s="5">
        <v>0</v>
      </c>
      <c r="O14" s="5">
        <v>2.0198400000000002E-2</v>
      </c>
      <c r="P14" s="5">
        <v>0.40725599999999995</v>
      </c>
      <c r="Q14" s="5">
        <f t="shared" si="1"/>
        <v>4.9596322706111158</v>
      </c>
    </row>
    <row r="15" spans="1:17" x14ac:dyDescent="0.25">
      <c r="A15" s="14">
        <v>45658</v>
      </c>
      <c r="B15" s="3">
        <v>269</v>
      </c>
      <c r="C15" s="3">
        <v>346.58333333333331</v>
      </c>
      <c r="D15" s="3">
        <v>63.811999999999998</v>
      </c>
      <c r="E15" s="3">
        <v>1050</v>
      </c>
      <c r="F15" s="6">
        <v>0.27500000000000002</v>
      </c>
      <c r="G15" s="6">
        <v>1.212</v>
      </c>
      <c r="H15" s="6">
        <f t="shared" ref="H15" si="2">F15/G15*100</f>
        <v>22.689768976897692</v>
      </c>
      <c r="I15" s="9"/>
      <c r="J15" s="9"/>
      <c r="K15" s="9">
        <v>0</v>
      </c>
      <c r="L15" s="6">
        <v>2.0620724999999999E-2</v>
      </c>
      <c r="M15" s="9">
        <v>0</v>
      </c>
      <c r="N15" s="9">
        <v>0</v>
      </c>
      <c r="O15" s="6">
        <v>2.0620724999999999E-2</v>
      </c>
      <c r="P15" s="6">
        <v>0.38286999999999999</v>
      </c>
      <c r="Q15" s="6">
        <f t="shared" si="1"/>
        <v>5.3858293937890149</v>
      </c>
    </row>
    <row r="16" spans="1:17" x14ac:dyDescent="0.25">
      <c r="A16" s="13">
        <v>45689</v>
      </c>
      <c r="B16" s="2">
        <v>157</v>
      </c>
      <c r="C16" s="2">
        <v>196.58330000000001</v>
      </c>
      <c r="D16" s="2">
        <v>34.883000000000003</v>
      </c>
      <c r="E16" s="2">
        <v>707</v>
      </c>
      <c r="F16" s="5">
        <v>0.17996600000000001</v>
      </c>
      <c r="G16" s="5">
        <v>0.66277700000000006</v>
      </c>
      <c r="H16" s="5">
        <f t="shared" si="0"/>
        <v>27.153326081019706</v>
      </c>
      <c r="I16" s="10"/>
      <c r="J16" s="10"/>
      <c r="K16" s="10">
        <v>0</v>
      </c>
      <c r="L16" s="5">
        <v>1.3497449999999999E-2</v>
      </c>
      <c r="M16" s="10">
        <v>0</v>
      </c>
      <c r="N16" s="10">
        <v>0</v>
      </c>
      <c r="O16" s="5">
        <v>1.3497449999999999E-2</v>
      </c>
      <c r="P16" s="5">
        <v>0.20929800000000001</v>
      </c>
      <c r="Q16" s="5">
        <f t="shared" si="1"/>
        <v>6.4489149442421807</v>
      </c>
    </row>
    <row r="17" spans="1:17" x14ac:dyDescent="0.25">
      <c r="A17" s="14">
        <v>45717</v>
      </c>
      <c r="B17" s="3">
        <v>229</v>
      </c>
      <c r="C17" s="3">
        <v>283</v>
      </c>
      <c r="D17" s="3">
        <v>55.113</v>
      </c>
      <c r="E17" s="3">
        <v>1161</v>
      </c>
      <c r="F17" s="6">
        <v>0.27670499999999998</v>
      </c>
      <c r="G17" s="6">
        <v>1.0471469999999998</v>
      </c>
      <c r="H17" s="6">
        <f>F17/G17*100</f>
        <v>26.424656710089415</v>
      </c>
      <c r="I17" s="9"/>
      <c r="J17" s="9"/>
      <c r="K17" s="9">
        <v>0</v>
      </c>
      <c r="L17" s="6">
        <v>2.0752875E-2</v>
      </c>
      <c r="M17" s="9">
        <v>0</v>
      </c>
      <c r="N17" s="9">
        <v>0</v>
      </c>
      <c r="O17" s="6">
        <v>2.0752875E-2</v>
      </c>
      <c r="P17" s="6">
        <v>0.33067799999999997</v>
      </c>
      <c r="Q17" s="6">
        <f t="shared" si="1"/>
        <v>6.2758559686462361</v>
      </c>
    </row>
    <row r="18" spans="1:17" x14ac:dyDescent="0.25">
      <c r="A18" s="1" t="s">
        <v>23</v>
      </c>
      <c r="B18" s="4">
        <f>SUM(B6:B17)</f>
        <v>2991</v>
      </c>
      <c r="C18" s="4">
        <f t="shared" ref="C18:G18" si="3">SUM(C6:C17)</f>
        <v>3634.4933000000001</v>
      </c>
      <c r="D18" s="4">
        <f t="shared" si="3"/>
        <v>697.4860000000001</v>
      </c>
      <c r="E18" s="4">
        <f t="shared" si="3"/>
        <v>16992</v>
      </c>
      <c r="F18" s="8">
        <f t="shared" si="3"/>
        <v>4.0435619999999988</v>
      </c>
      <c r="G18" s="8">
        <f t="shared" si="3"/>
        <v>13.258120000000002</v>
      </c>
      <c r="H18" s="8">
        <f t="shared" ref="H18" si="4">F18/G18*100</f>
        <v>30.498758496679756</v>
      </c>
      <c r="I18" s="11">
        <f>SUM(I6:I17)</f>
        <v>0</v>
      </c>
      <c r="J18" s="11">
        <f t="shared" ref="J18:P18" si="5">SUM(J6:J17)</f>
        <v>0</v>
      </c>
      <c r="K18" s="11">
        <f t="shared" si="5"/>
        <v>0</v>
      </c>
      <c r="L18" s="8">
        <f t="shared" si="5"/>
        <v>0.30345452500000003</v>
      </c>
      <c r="M18" s="11">
        <f t="shared" si="5"/>
        <v>0</v>
      </c>
      <c r="N18" s="11">
        <f t="shared" si="5"/>
        <v>0</v>
      </c>
      <c r="O18" s="8">
        <f t="shared" si="5"/>
        <v>0.30345452500000003</v>
      </c>
      <c r="P18" s="8">
        <f t="shared" si="5"/>
        <v>4.1864400000000002</v>
      </c>
      <c r="Q18" s="12">
        <f t="shared" ref="Q18" si="6">O18/P18*100</f>
        <v>7.2485100706089183</v>
      </c>
    </row>
    <row r="19" spans="1:17" x14ac:dyDescent="0.25">
      <c r="A19" s="17" t="s">
        <v>21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9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3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 BIG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2022-04-26T05:16:06Z</cp:lastPrinted>
  <dcterms:created xsi:type="dcterms:W3CDTF">2018-10-29T04:00:07Z</dcterms:created>
  <dcterms:modified xsi:type="dcterms:W3CDTF">2025-11-11T08:46:36Z</dcterms:modified>
</cp:coreProperties>
</file>