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3 All Scheduled Private Airlines Air Transport Operating and Traffic Statistics\"/>
    </mc:Choice>
  </mc:AlternateContent>
  <bookViews>
    <workbookView showHorizontalScroll="0" showVerticalScroll="0" xWindow="0" yWindow="0" windowWidth="24000" windowHeight="10725"/>
  </bookViews>
  <sheets>
    <sheet name="Table 3.06" sheetId="2" r:id="rId1"/>
  </sheets>
  <definedNames>
    <definedName name="_xlnm.Print_Titles" localSheetId="0">'Table 3.06'!$1:$5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2" l="1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B18" i="2"/>
  <c r="B17" i="2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<sst xmlns="http://schemas.openxmlformats.org/spreadsheetml/2006/main" count="40" uniqueCount="38">
  <si>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</si>
  <si>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</si>
  <si>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</si>
  <si>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</si>
  <si>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</si>
  <si>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</si>
  <si>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</si>
  <si>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</si>
  <si>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</si>
  <si>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</si>
  <si>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</si>
  <si>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</si>
  <si>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</si>
  <si>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</si>
  <si>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</si>
  <si>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</si>
  <si>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</si>
  <si>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</si>
  <si>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</si>
  <si>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</si>
  <si>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</si>
  <si>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</si>
  <si>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</si>
  <si>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Growth</t>
  </si>
  <si>
    <t>CAGR</t>
  </si>
  <si>
    <t>2018-19</t>
  </si>
  <si>
    <t>SOURCE: ICAO ATR FORM 'A' FURNISHED BY ALL SCHEDULED PRIVATE AIRLINES</t>
  </si>
  <si>
    <t>2019-20</t>
  </si>
  <si>
    <t xml:space="preserve">YEAR ON YEAR GROWTH AND CAGR FOR LAST TEN YEARS OF ALL SCHEDULED PRIVATE AIRLINES ON TOTAL (DOMESTIC + INTERNATIONAL) SCHEDULED SERVICES (ALL AIR TRAFFIC AND OPERATING STATISTICS) </t>
  </si>
  <si>
    <t>2020-21*</t>
  </si>
  <si>
    <t>2022-23</t>
  </si>
  <si>
    <t>2023-24</t>
  </si>
  <si>
    <t>2021-22*</t>
  </si>
  <si>
    <t>* DENOTES THAT THE INTERNATIONAL OPERATIONS BY SCHEDULED INDIAN OPERATORS WERE CARRIED AS PER DGCA’S CIRCULAR DATED 26.03.2020 UNDER COVID-19 RESTRICTION.</t>
  </si>
  <si>
    <t xml:space="preserve"> तालिका- 3.06 (सभी 
अनुसूचित निजी एयरलाइन्स) </t>
  </si>
  <si>
    <t>TABLE - 3.06 (ALL SCHEDULED PRIVATE AIRLINES)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</si>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</sst>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[$-1010409]\ mmmm/yy;@"/>
    <numFmt numFmtId="166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9">
    <xf numFmtId="0" fontId="0" fillId="0" borderId="0" xfId="0"/>
    <xf numFmtId="0" fontId="5" fillId="4" borderId="1" xfId="3" applyFont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164" fontId="7" fillId="2" borderId="1" xfId="1" applyNumberFormat="1" applyFont="1" applyFill="1" applyBorder="1" applyAlignment="1" applyProtection="1">
      <alignment horizontal="right" vertical="center" wrapText="1"/>
    </xf>
    <xf numFmtId="164" fontId="7" fillId="6" borderId="1" xfId="1" applyNumberFormat="1" applyFont="1" applyFill="1" applyBorder="1" applyAlignment="1" applyProtection="1">
      <alignment horizontal="right" vertical="center" wrapText="1"/>
    </xf>
    <xf numFmtId="165" fontId="0" fillId="5" borderId="1" xfId="4" applyNumberFormat="1" applyFont="1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right" vertical="center" wrapText="1"/>
    </xf>
    <xf numFmtId="166" fontId="0" fillId="7" borderId="1" xfId="0" applyNumberFormat="1" applyFont="1" applyFill="1" applyBorder="1" applyAlignment="1">
      <alignment horizontal="right" vertical="center"/>
    </xf>
    <xf numFmtId="166" fontId="3" fillId="5" borderId="1" xfId="4" applyNumberFormat="1" applyBorder="1" applyAlignment="1" applyProtection="1">
      <alignment horizontal="right" vertical="center" wrapText="1"/>
    </xf>
    <xf numFmtId="165" fontId="3" fillId="8" borderId="1" xfId="4" applyNumberFormat="1" applyFill="1" applyBorder="1" applyAlignment="1" applyProtection="1">
      <alignment horizontal="center" vertical="center" wrapText="1"/>
    </xf>
    <xf numFmtId="3" fontId="3" fillId="9" borderId="1" xfId="4" applyNumberFormat="1" applyFill="1" applyBorder="1" applyAlignment="1" applyProtection="1">
      <alignment horizontal="right" vertical="center" wrapText="1"/>
    </xf>
    <xf numFmtId="166" fontId="0" fillId="10" borderId="1" xfId="0" applyNumberFormat="1" applyFont="1" applyFill="1" applyBorder="1" applyAlignment="1">
      <alignment horizontal="right" vertical="center"/>
    </xf>
    <xf numFmtId="166" fontId="3" fillId="9" borderId="1" xfId="4" applyNumberFormat="1" applyFill="1" applyBorder="1" applyAlignment="1" applyProtection="1">
      <alignment horizontal="right" vertical="center" wrapText="1"/>
    </xf>
    <xf numFmtId="0" fontId="7" fillId="5" borderId="1" xfId="4" applyFont="1" applyBorder="1" applyAlignment="1">
      <alignment horizontal="center" vertical="center" wrapText="1"/>
    </xf>
    <xf numFmtId="0" fontId="7" fillId="5" borderId="1" xfId="4" applyFont="1" applyBorder="1" applyAlignment="1">
      <alignment horizontal="center" vertical="center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 applyAlignment="1">
      <alignment wrapText="1"/>
    </xf>
    <xf numFmtId="0" fontId="7" fillId="3" borderId="1" xfId="2" applyFont="1" applyBorder="1"/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8" fillId="0" borderId="1" xfId="0" applyFont="1" applyBorder="1" applyAlignment="1">
      <alignment horizontal="left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5">
    <cellStyle name="20% - Accent1" xfId="3" builtinId="30"/>
    <cellStyle name="40% - Accent1" xfId="4" builtinId="31"/>
    <cellStyle name="Accent1" xfId="2" builtinId="2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tabSelected="1" view="pageBreakPreview" zoomScaleNormal="100" zoomScaleSheetLayoutView="100" workbookViewId="0">
      <selection activeCell="J14" sqref="J14"/>
    </sheetView>
  </sheetViews>
  <sheetFormatPr defaultRowHeight="15" x14ac:dyDescent="0.25"/>
  <cols>
    <col min="1" max="1" width="8.7109375" customWidth="1"/>
    <col min="2" max="2" width="10.28515625" customWidth="1"/>
    <col min="3" max="4" width="9.85546875" customWidth="1"/>
    <col min="5" max="5" width="12.5703125" customWidth="1"/>
    <col min="6" max="6" width="8.7109375" customWidth="1"/>
    <col min="7" max="7" width="8.28515625" customWidth="1"/>
    <col min="8" max="8" width="8.140625" customWidth="1"/>
    <col min="9" max="9" width="11.28515625" customWidth="1"/>
    <col min="10" max="10" width="9" customWidth="1"/>
    <col min="11" max="11" width="10.85546875" customWidth="1"/>
    <col min="12" max="12" width="9" customWidth="1"/>
    <col min="13" max="13" width="7.85546875" customWidth="1"/>
    <col min="14" max="14" width="10.85546875" customWidth="1"/>
    <col min="15" max="15" width="8.85546875" customWidth="1"/>
    <col min="16" max="16" width="9.28515625" customWidth="1"/>
    <col min="17" max="17" width="7" customWidth="1"/>
  </cols>
  <sheetData>
    <row r="1" spans="1:17" x14ac:dyDescent="0.25">
      <c r="A1" s="14" t="s">
        <v>34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35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8.5" customHeight="1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20"/>
      <c r="G4" s="21" t="s">
        <v>3</v>
      </c>
      <c r="H4" s="21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1" t="s">
        <v>7</v>
      </c>
      <c r="Q4" s="21" t="s">
        <v>8</v>
      </c>
    </row>
    <row r="5" spans="1:17" ht="88.5" x14ac:dyDescent="0.25">
      <c r="A5" s="18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22"/>
      <c r="H5" s="22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22"/>
      <c r="Q5" s="22"/>
    </row>
    <row r="6" spans="1:17" x14ac:dyDescent="0.25">
      <c r="A6" s="6" t="s">
        <v>19</v>
      </c>
      <c r="B6" s="7">
        <v>567350</v>
      </c>
      <c r="C6" s="7">
        <v>1061293.6099999996</v>
      </c>
      <c r="D6" s="7">
        <v>589665.96900000004</v>
      </c>
      <c r="E6" s="7">
        <v>67254851</v>
      </c>
      <c r="F6" s="7">
        <v>84148.72477500001</v>
      </c>
      <c r="G6" s="7">
        <v>104017.823401</v>
      </c>
      <c r="H6" s="8">
        <v>80.898371090305872</v>
      </c>
      <c r="I6" s="9">
        <v>609079.56822000002</v>
      </c>
      <c r="J6" s="9">
        <v>12352.01</v>
      </c>
      <c r="K6" s="9">
        <v>621431.57822000002</v>
      </c>
      <c r="L6" s="9">
        <v>7157.2367319999994</v>
      </c>
      <c r="M6" s="9">
        <v>1204.8737033867696</v>
      </c>
      <c r="N6" s="9">
        <v>18.984999999999999</v>
      </c>
      <c r="O6" s="9">
        <v>8381.0954353867692</v>
      </c>
      <c r="P6" s="9">
        <v>11438.824746000002</v>
      </c>
      <c r="Q6" s="8">
        <v>73.268850790965416</v>
      </c>
    </row>
    <row r="7" spans="1:17" x14ac:dyDescent="0.25">
      <c r="A7" s="10" t="s">
        <v>20</v>
      </c>
      <c r="B7" s="11">
        <v>652819</v>
      </c>
      <c r="C7" s="11">
        <v>1221123.9360000002</v>
      </c>
      <c r="D7" s="11">
        <v>682294.62500000012</v>
      </c>
      <c r="E7" s="11">
        <v>82162730</v>
      </c>
      <c r="F7" s="11">
        <v>99821.417429999958</v>
      </c>
      <c r="G7" s="11">
        <v>119326.975003</v>
      </c>
      <c r="H7" s="12">
        <v>83.653689727314671</v>
      </c>
      <c r="I7" s="13">
        <v>647461.03551000007</v>
      </c>
      <c r="J7" s="13">
        <v>17308.134724999996</v>
      </c>
      <c r="K7" s="13">
        <v>664769.17023500009</v>
      </c>
      <c r="L7" s="13">
        <v>8490.5564041549987</v>
      </c>
      <c r="M7" s="13">
        <v>1218.0161322250001</v>
      </c>
      <c r="N7" s="13">
        <v>22.544</v>
      </c>
      <c r="O7" s="13">
        <v>9731.1165363800028</v>
      </c>
      <c r="P7" s="13">
        <v>13335.857658584997</v>
      </c>
      <c r="Q7" s="12">
        <v>72.969559105301101</v>
      </c>
    </row>
    <row r="8" spans="1:17" x14ac:dyDescent="0.25">
      <c r="A8" s="6" t="s">
        <v>21</v>
      </c>
      <c r="B8" s="7">
        <v>762543</v>
      </c>
      <c r="C8" s="7">
        <v>1428072.2640000002</v>
      </c>
      <c r="D8" s="7">
        <v>799191.91900000023</v>
      </c>
      <c r="E8" s="7">
        <v>100917507</v>
      </c>
      <c r="F8" s="7">
        <v>119612.46023600003</v>
      </c>
      <c r="G8" s="7">
        <v>142005.78250999996</v>
      </c>
      <c r="H8" s="8">
        <v>84.230696892626185</v>
      </c>
      <c r="I8" s="9">
        <v>702963.24183999992</v>
      </c>
      <c r="J8" s="9">
        <v>26749</v>
      </c>
      <c r="K8" s="9">
        <v>729712.24183999992</v>
      </c>
      <c r="L8" s="9">
        <v>10176.181583999998</v>
      </c>
      <c r="M8" s="9">
        <v>1329.7409825300006</v>
      </c>
      <c r="N8" s="9">
        <v>31.005637</v>
      </c>
      <c r="O8" s="9">
        <v>11536.92820353</v>
      </c>
      <c r="P8" s="9">
        <v>15917.23952678</v>
      </c>
      <c r="Q8" s="8">
        <v>72.480709887664034</v>
      </c>
    </row>
    <row r="9" spans="1:17" x14ac:dyDescent="0.25">
      <c r="A9" s="10" t="s">
        <v>22</v>
      </c>
      <c r="B9" s="11">
        <v>869950</v>
      </c>
      <c r="C9" s="11">
        <v>1639383.7658300006</v>
      </c>
      <c r="D9" s="11">
        <v>912130.31499999994</v>
      </c>
      <c r="E9" s="11">
        <v>120776795</v>
      </c>
      <c r="F9" s="11">
        <v>142757.21986800001</v>
      </c>
      <c r="G9" s="11">
        <v>164562.43687199999</v>
      </c>
      <c r="H9" s="12">
        <v>86.749578203584505</v>
      </c>
      <c r="I9" s="13">
        <v>804724.11681999988</v>
      </c>
      <c r="J9" s="13">
        <v>28103.40022</v>
      </c>
      <c r="K9" s="13">
        <v>832827.51703999995</v>
      </c>
      <c r="L9" s="13">
        <v>12123.834445499999</v>
      </c>
      <c r="M9" s="13">
        <v>1651.048239</v>
      </c>
      <c r="N9" s="13">
        <v>37.702109999999998</v>
      </c>
      <c r="O9" s="13">
        <v>13812.5847945</v>
      </c>
      <c r="P9" s="13">
        <v>18741.201365000001</v>
      </c>
      <c r="Q9" s="12">
        <v>73.701704205022821</v>
      </c>
    </row>
    <row r="10" spans="1:17" x14ac:dyDescent="0.25">
      <c r="A10" s="6" t="s">
        <v>25</v>
      </c>
      <c r="B10" s="7">
        <v>998688</v>
      </c>
      <c r="C10" s="7">
        <v>1934432.5586900001</v>
      </c>
      <c r="D10" s="7">
        <v>1063046.0420000001</v>
      </c>
      <c r="E10" s="7">
        <v>138010499</v>
      </c>
      <c r="F10" s="7">
        <v>164253.50263500001</v>
      </c>
      <c r="G10" s="7">
        <v>191210.95603200007</v>
      </c>
      <c r="H10" s="8">
        <v>85.901721346715817</v>
      </c>
      <c r="I10" s="9">
        <v>867139.24252000044</v>
      </c>
      <c r="J10" s="9">
        <v>32226.979179999998</v>
      </c>
      <c r="K10" s="9">
        <v>899366.22170000011</v>
      </c>
      <c r="L10" s="9">
        <v>14108.767599066792</v>
      </c>
      <c r="M10" s="9">
        <v>1756.3090172469992</v>
      </c>
      <c r="N10" s="9">
        <v>39.752865699999994</v>
      </c>
      <c r="O10" s="9">
        <v>15904.829482013789</v>
      </c>
      <c r="P10" s="9">
        <v>21934.856775450007</v>
      </c>
      <c r="Q10" s="8">
        <v>72.50938378505775</v>
      </c>
    </row>
    <row r="11" spans="1:17" x14ac:dyDescent="0.25">
      <c r="A11" s="10" t="s">
        <v>27</v>
      </c>
      <c r="B11" s="11">
        <v>974634</v>
      </c>
      <c r="C11" s="11">
        <v>1774231.9946666667</v>
      </c>
      <c r="D11" s="11">
        <v>996009.13490000018</v>
      </c>
      <c r="E11" s="11">
        <v>134978636</v>
      </c>
      <c r="F11" s="11">
        <v>147862.37989899999</v>
      </c>
      <c r="G11" s="11">
        <v>171734.376364</v>
      </c>
      <c r="H11" s="12">
        <v>86.099465365977707</v>
      </c>
      <c r="I11" s="13">
        <v>691032.92884360789</v>
      </c>
      <c r="J11" s="13">
        <v>17531.689300000002</v>
      </c>
      <c r="K11" s="13">
        <v>708564.61563360807</v>
      </c>
      <c r="L11" s="13">
        <v>12988.593875225575</v>
      </c>
      <c r="M11" s="13">
        <v>837.01128409901992</v>
      </c>
      <c r="N11" s="13">
        <v>17.846368720800001</v>
      </c>
      <c r="O11" s="13">
        <v>13843.451528045396</v>
      </c>
      <c r="P11" s="13">
        <v>20540.258715101401</v>
      </c>
      <c r="Q11" s="12">
        <v>67.3966755728717</v>
      </c>
    </row>
    <row r="12" spans="1:17" x14ac:dyDescent="0.25">
      <c r="A12" s="6" t="s">
        <v>29</v>
      </c>
      <c r="B12" s="7">
        <v>452420</v>
      </c>
      <c r="C12" s="7">
        <v>817866.55593000003</v>
      </c>
      <c r="D12" s="7">
        <v>457545.68439999991</v>
      </c>
      <c r="E12" s="7">
        <v>50284476</v>
      </c>
      <c r="F12" s="7">
        <v>53779.116232999993</v>
      </c>
      <c r="G12" s="7">
        <v>77211.826241000002</v>
      </c>
      <c r="H12" s="8">
        <v>69.651397786059505</v>
      </c>
      <c r="I12" s="9">
        <v>476743.17155786947</v>
      </c>
      <c r="J12" s="9">
        <v>24466.203599999993</v>
      </c>
      <c r="K12" s="9">
        <v>501209.37515786942</v>
      </c>
      <c r="L12" s="9">
        <v>4661.7407956586603</v>
      </c>
      <c r="M12" s="9">
        <v>603.42118057766993</v>
      </c>
      <c r="N12" s="9">
        <v>23.179434154079988</v>
      </c>
      <c r="O12" s="9">
        <v>5288.3414103904097</v>
      </c>
      <c r="P12" s="9">
        <v>8571.5137648370965</v>
      </c>
      <c r="Q12" s="8">
        <v>61.6967032367697</v>
      </c>
    </row>
    <row r="13" spans="1:17" x14ac:dyDescent="0.25">
      <c r="A13" s="10" t="s">
        <v>32</v>
      </c>
      <c r="B13" s="11">
        <v>692237</v>
      </c>
      <c r="C13" s="11">
        <v>1280701.6477222221</v>
      </c>
      <c r="D13" s="11">
        <v>742735.95490000001</v>
      </c>
      <c r="E13" s="11">
        <v>82963244</v>
      </c>
      <c r="F13" s="11">
        <v>93441.114449999994</v>
      </c>
      <c r="G13" s="11">
        <v>125883.33524099999</v>
      </c>
      <c r="H13" s="12">
        <v>74.228343466678652</v>
      </c>
      <c r="I13" s="13">
        <v>664389.44601000007</v>
      </c>
      <c r="J13" s="13">
        <v>24552.122178157246</v>
      </c>
      <c r="K13" s="13">
        <v>688793.06178815733</v>
      </c>
      <c r="L13" s="13">
        <v>8208.3153204561986</v>
      </c>
      <c r="M13" s="13">
        <v>1077.3526656787994</v>
      </c>
      <c r="N13" s="13">
        <v>25.972839720518419</v>
      </c>
      <c r="O13" s="13">
        <v>9311.6408258555166</v>
      </c>
      <c r="P13" s="13">
        <v>15146.954633083</v>
      </c>
      <c r="Q13" s="12">
        <v>61.475333170389455</v>
      </c>
    </row>
    <row r="14" spans="1:17" x14ac:dyDescent="0.25">
      <c r="A14" s="6" t="s">
        <v>30</v>
      </c>
      <c r="B14" s="7">
        <v>1121113</v>
      </c>
      <c r="C14" s="7">
        <v>2347440.2959999996</v>
      </c>
      <c r="D14" s="7">
        <v>1383977.759074667</v>
      </c>
      <c r="E14" s="7">
        <v>158303409</v>
      </c>
      <c r="F14" s="7">
        <v>214521.44565300003</v>
      </c>
      <c r="G14" s="7">
        <v>259522.65045600006</v>
      </c>
      <c r="H14" s="8">
        <v>82.660008779992936</v>
      </c>
      <c r="I14" s="9">
        <v>857796.34689399996</v>
      </c>
      <c r="J14" s="9">
        <v>34883.547270945797</v>
      </c>
      <c r="K14" s="9">
        <v>892679.89416494581</v>
      </c>
      <c r="L14" s="9">
        <v>19472.613304014681</v>
      </c>
      <c r="M14" s="9">
        <v>1780.4879003742433</v>
      </c>
      <c r="N14" s="9">
        <v>42.649127310135498</v>
      </c>
      <c r="O14" s="9">
        <v>21295.750331699062</v>
      </c>
      <c r="P14" s="9">
        <v>30186.004459791002</v>
      </c>
      <c r="Q14" s="8">
        <v>70.548423724199324</v>
      </c>
    </row>
    <row r="15" spans="1:17" x14ac:dyDescent="0.25">
      <c r="A15" s="10" t="s">
        <v>31</v>
      </c>
      <c r="B15" s="11">
        <v>1204433</v>
      </c>
      <c r="C15" s="11">
        <v>2601201.8138333322</v>
      </c>
      <c r="D15" s="11">
        <v>1515331.9595600001</v>
      </c>
      <c r="E15" s="11">
        <v>181608676</v>
      </c>
      <c r="F15" s="11">
        <v>252857.12507180005</v>
      </c>
      <c r="G15" s="11">
        <v>293805.70536820003</v>
      </c>
      <c r="H15" s="12">
        <v>86.062700775302233</v>
      </c>
      <c r="I15" s="13">
        <v>942620.42862234404</v>
      </c>
      <c r="J15" s="13">
        <v>50089.574509654238</v>
      </c>
      <c r="K15" s="13">
        <v>992710.00313199847</v>
      </c>
      <c r="L15" s="13">
        <v>23094.316549371</v>
      </c>
      <c r="M15" s="13">
        <v>2200.2737380697185</v>
      </c>
      <c r="N15" s="13">
        <v>85.614416901811708</v>
      </c>
      <c r="O15" s="13">
        <v>25380.204704342526</v>
      </c>
      <c r="P15" s="13">
        <v>34555.764299548988</v>
      </c>
      <c r="Q15" s="12">
        <v>73.447094048716437</v>
      </c>
    </row>
    <row r="16" spans="1:17" x14ac:dyDescent="0.25">
      <c r="A16" s="6" t="s">
        <v>36</v>
      </c>
      <c r="B16" s="7">
        <v>1319646</v>
      </c>
      <c r="C16" s="7">
        <v>2934184.718716667</v>
      </c>
      <c r="D16" s="7">
        <v>1689337.7852189091</v>
      </c>
      <c r="E16" s="7">
        <v>198095914</v>
      </c>
      <c r="F16" s="7">
        <v>282604.24827216135</v>
      </c>
      <c r="G16" s="7">
        <v>333524.47660510259</v>
      </c>
      <c r="H16" s="8">
        <v>84.732686233031259</v>
      </c>
      <c r="I16" s="9">
        <v>1040277.439176747</v>
      </c>
      <c r="J16" s="9">
        <v>45504.641686003379</v>
      </c>
      <c r="K16" s="9">
        <v>1085782.080862751</v>
      </c>
      <c r="L16" s="9">
        <v>26076.679977029977</v>
      </c>
      <c r="M16" s="9">
        <v>2290.3390165835076</v>
      </c>
      <c r="N16" s="9">
        <v>58.887594617394356</v>
      </c>
      <c r="O16" s="9">
        <v>28425.906588230886</v>
      </c>
      <c r="P16" s="9">
        <v>37281.755302377547</v>
      </c>
      <c r="Q16" s="8">
        <v>76.246159435572764</v>
      </c>
    </row>
    <row r="17" spans="1:17" x14ac:dyDescent="0.25">
      <c r="A17" s="1" t="s">
        <v>23</v>
      </c>
      <c r="B17" s="5">
        <f>IFERROR(((B16-B15)/B15),"-")</f>
        <v>9.5657458737845938E-2</v>
      </c>
      <c r="C17" s="5">
        <f t="shared" ref="C17:Q17" si="0">IFERROR(((C16-C15)/C15),"-")</f>
        <v>0.12801117664631548</v>
      </c>
      <c r="D17" s="5">
        <f t="shared" si="0"/>
        <v>0.11483016942996062</v>
      </c>
      <c r="E17" s="5">
        <f t="shared" si="0"/>
        <v>9.0784418251031132E-2</v>
      </c>
      <c r="F17" s="5">
        <f t="shared" si="0"/>
        <v>0.1176439983327124</v>
      </c>
      <c r="G17" s="5">
        <f t="shared" si="0"/>
        <v>0.13518720198822087</v>
      </c>
      <c r="H17" s="5">
        <f t="shared" si="0"/>
        <v>-1.5454018178484274E-2</v>
      </c>
      <c r="I17" s="5">
        <f t="shared" si="0"/>
        <v>0.10360162753647335</v>
      </c>
      <c r="J17" s="5">
        <f t="shared" si="0"/>
        <v>-9.1534673004003295E-2</v>
      </c>
      <c r="K17" s="5">
        <f t="shared" si="0"/>
        <v>9.3755555436240465E-2</v>
      </c>
      <c r="L17" s="5">
        <f t="shared" si="0"/>
        <v>0.12913841469537685</v>
      </c>
      <c r="M17" s="5">
        <f t="shared" si="0"/>
        <v>4.0933669731840983E-2</v>
      </c>
      <c r="N17" s="5">
        <f t="shared" si="0"/>
        <v>-0.31217665495601571</v>
      </c>
      <c r="O17" s="5">
        <f t="shared" si="0"/>
        <v>0.12000304644379969</v>
      </c>
      <c r="P17" s="5">
        <f t="shared" si="0"/>
        <v>7.8886722898041592E-2</v>
      </c>
      <c r="Q17" s="5">
        <f t="shared" si="0"/>
        <v>3.8109954152845668E-2</v>
      </c>
    </row>
    <row r="18" spans="1:17" x14ac:dyDescent="0.25">
      <c r="A18" s="2" t="s">
        <v>24</v>
      </c>
      <c r="B18" s="4">
        <f>IFERROR((((B16/B6)^(1/10))-1),"-")</f>
        <v>8.8079526591124502E-2</v>
      </c>
      <c r="C18" s="4">
        <f t="shared" ref="C18:Q18" si="1">IFERROR((((C16/C6)^(1/10))-1),"-")</f>
        <v>0.10704478432578024</v>
      </c>
      <c r="D18" s="4">
        <f t="shared" si="1"/>
        <v>0.11099228514826787</v>
      </c>
      <c r="E18" s="4">
        <f t="shared" si="1"/>
        <v>0.11407695363204784</v>
      </c>
      <c r="F18" s="4">
        <f t="shared" si="1"/>
        <v>0.12878989966130328</v>
      </c>
      <c r="G18" s="4">
        <f t="shared" si="1"/>
        <v>0.12357481253980063</v>
      </c>
      <c r="H18" s="4">
        <f t="shared" si="1"/>
        <v>4.6415130201380439E-3</v>
      </c>
      <c r="I18" s="4">
        <f t="shared" si="1"/>
        <v>5.4987988118050168E-2</v>
      </c>
      <c r="J18" s="4">
        <f t="shared" si="1"/>
        <v>0.13928349687411923</v>
      </c>
      <c r="K18" s="4">
        <f t="shared" si="1"/>
        <v>5.7389358004232172E-2</v>
      </c>
      <c r="L18" s="4">
        <f t="shared" si="1"/>
        <v>0.13802208825065754</v>
      </c>
      <c r="M18" s="4">
        <f t="shared" si="1"/>
        <v>6.6340304490055457E-2</v>
      </c>
      <c r="N18" s="4">
        <f t="shared" si="1"/>
        <v>0.11985378279541425</v>
      </c>
      <c r="O18" s="4">
        <f t="shared" si="1"/>
        <v>0.12990349983432758</v>
      </c>
      <c r="P18" s="4">
        <f t="shared" si="1"/>
        <v>0.1254118780011475</v>
      </c>
      <c r="Q18" s="4">
        <f t="shared" si="1"/>
        <v>3.9910915469967279E-3</v>
      </c>
    </row>
    <row r="19" spans="1:17" x14ac:dyDescent="0.25">
      <c r="A19" s="26" t="s">
        <v>26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</row>
    <row r="20" spans="1:17" ht="15" customHeight="1" x14ac:dyDescent="0.25">
      <c r="A20" s="24" t="s">
        <v>37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spans="1:17" ht="17.25" customHeight="1" x14ac:dyDescent="0.25">
      <c r="A21" s="23" t="s">
        <v>33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3.06</vt:lpstr>
      <vt:lpstr>'Table 3.06'!Print_Titles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2022-04-26T06:35:38Z</cp:lastPrinted>
  <dcterms:created xsi:type="dcterms:W3CDTF">2018-10-29T04:00:16Z</dcterms:created>
  <dcterms:modified xsi:type="dcterms:W3CDTF">2025-11-20T07:29:07Z</dcterms:modified>
</cp:coreProperties>
</file>