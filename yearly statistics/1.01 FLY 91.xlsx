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cer\Desktop\Draft Annual Report 2024-25\01 Airline Wise Air Transport Operating and Traffic Statistics\FLY91\"/>
    </mc:Choice>
  </mc:AlternateContent>
  <bookViews>
    <workbookView xWindow="0" yWindow="0" windowWidth="24000" windowHeight="9435"/>
  </bookViews>
  <sheets>
    <sheet name="FLY 91" sheetId="4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16" i="4" l="1"/>
  <c r="Q15" i="4"/>
  <c r="Q14" i="4"/>
  <c r="Q13" i="4"/>
  <c r="Q12" i="4"/>
  <c r="Q11" i="4"/>
  <c r="Q10" i="4"/>
  <c r="Q9" i="4"/>
  <c r="Q8" i="4"/>
  <c r="Q7" i="4"/>
  <c r="Q6" i="4"/>
  <c r="H16" i="4"/>
  <c r="H15" i="4"/>
  <c r="H14" i="4"/>
  <c r="H13" i="4"/>
  <c r="H12" i="4"/>
  <c r="H11" i="4"/>
  <c r="H10" i="4"/>
  <c r="H9" i="4"/>
  <c r="H8" i="4"/>
  <c r="H7" i="4"/>
  <c r="H6" i="4"/>
  <c r="H17" i="4" l="1"/>
  <c r="Q17" i="4" l="1"/>
  <c r="P18" i="4" l="1"/>
  <c r="O18" i="4"/>
  <c r="N18" i="4"/>
  <c r="M18" i="4"/>
  <c r="L18" i="4"/>
  <c r="K18" i="4"/>
  <c r="J18" i="4"/>
  <c r="I18" i="4"/>
  <c r="G18" i="4"/>
  <c r="F18" i="4"/>
  <c r="E18" i="4"/>
  <c r="D18" i="4"/>
  <c r="C18" i="4"/>
  <c r="B18" i="4"/>
  <c r="H18" i="4" l="1"/>
  <c r="Q18" i="4"/>
</calcChain>
</file>

<file path=xl/sharedStrings.xml><?xml version="1.0" encoding="utf-8"?>
<sst xmlns="http://schemas.openxmlformats.org/spreadsheetml/2006/main" count="26" uniqueCount="24">
  <si>
    <t>MONTH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</si>
  <si>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</si>
  <si>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</si>
  <si>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</si>
  <si>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</si>
  <si>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</si>
  <si>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</si>
  <si>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</si>
  <si>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</si>
  <si>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</si>
  <si>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</si>
  <si>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</si>
  <si>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</si>
  <si>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</si>
  <si>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</si>
  <si>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</si>
  <si>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</si>
  <si>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</si>
  <si>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</si>
  <si>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Table 1.01 (FLY 91)</t>
  </si>
  <si>
    <t xml:space="preserve">SOURCE:-  ICAO ATR FORM 'A' FURNISHED BY FLY 91 </t>
  </si>
  <si>
    <t xml:space="preserve">तालिका 1.01 (फ्लाई 91 ) </t>
  </si>
  <si>
    <t>2024-25</t>
  </si>
  <si>
    <t>MONTHLY TRAFFIC AND OPERATING STATISTICS OF FLY 91 ON SCHEDULED DOMESTIC SERVICES DURING 2024-25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</si>
</sst>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(* #,##0.00_);_(* \(#,##0.00\);_(* &quot;-&quot;??_);_(@_)"/>
    <numFmt numFmtId="165" formatCode="_(* #,##0_);_(* \(#,##0\);_(* &quot;-&quot;??_);_(@_)"/>
    <numFmt numFmtId="166" formatCode="_(* #,##0.0_);_(* \(#,##0.0\);_(* &quot;-&quot;??_);_(@_)"/>
    <numFmt numFmtId="167" formatCode="[$-409]mmm/yy;@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3" fillId="0" borderId="0" applyFont="0" applyFill="0" applyBorder="0" applyAlignment="0" applyProtection="0"/>
    <xf numFmtId="0" fontId="5" fillId="3" borderId="0" applyNumberFormat="0" applyBorder="0" applyAlignment="0" applyProtection="0"/>
    <xf numFmtId="0" fontId="3" fillId="4" borderId="0" applyNumberFormat="0" applyBorder="0" applyAlignment="0" applyProtection="0"/>
  </cellStyleXfs>
  <cellXfs count="25">
    <xf numFmtId="0" fontId="0" fillId="0" borderId="0" xfId="0"/>
    <xf numFmtId="0" fontId="4" fillId="4" borderId="1" xfId="3" applyFont="1" applyBorder="1" applyAlignment="1" applyProtection="1">
      <alignment horizontal="center" vertical="center" wrapText="1"/>
    </xf>
    <xf numFmtId="165" fontId="3" fillId="4" borderId="1" xfId="3" applyNumberFormat="1" applyBorder="1" applyAlignment="1">
      <alignment horizontal="right" vertical="center"/>
    </xf>
    <xf numFmtId="165" fontId="0" fillId="0" borderId="1" xfId="1" applyNumberFormat="1" applyFont="1" applyBorder="1" applyAlignment="1">
      <alignment horizontal="right" vertical="center"/>
    </xf>
    <xf numFmtId="3" fontId="4" fillId="4" borderId="1" xfId="3" applyNumberFormat="1" applyFont="1" applyBorder="1" applyAlignment="1" applyProtection="1">
      <alignment horizontal="right" vertical="center" wrapText="1"/>
    </xf>
    <xf numFmtId="166" fontId="3" fillId="4" borderId="1" xfId="3" applyNumberFormat="1" applyBorder="1" applyAlignment="1">
      <alignment horizontal="right" vertical="center"/>
    </xf>
    <xf numFmtId="166" fontId="0" fillId="0" borderId="1" xfId="1" applyNumberFormat="1" applyFont="1" applyBorder="1" applyAlignment="1">
      <alignment horizontal="right" vertical="center"/>
    </xf>
    <xf numFmtId="0" fontId="2" fillId="3" borderId="1" xfId="2" applyFont="1" applyBorder="1" applyAlignment="1" applyProtection="1">
      <alignment horizontal="center" vertical="center" textRotation="90" wrapText="1"/>
    </xf>
    <xf numFmtId="166" fontId="4" fillId="4" borderId="1" xfId="3" applyNumberFormat="1" applyFont="1" applyBorder="1" applyAlignment="1" applyProtection="1">
      <alignment horizontal="right" vertical="center" wrapText="1"/>
    </xf>
    <xf numFmtId="164" fontId="0" fillId="0" borderId="1" xfId="1" applyNumberFormat="1" applyFont="1" applyBorder="1" applyAlignment="1">
      <alignment horizontal="right" vertical="center"/>
    </xf>
    <xf numFmtId="164" fontId="3" fillId="4" borderId="1" xfId="3" applyNumberFormat="1" applyBorder="1" applyAlignment="1">
      <alignment horizontal="right" vertical="center"/>
    </xf>
    <xf numFmtId="164" fontId="4" fillId="4" borderId="1" xfId="3" applyNumberFormat="1" applyFont="1" applyBorder="1" applyAlignment="1" applyProtection="1">
      <alignment horizontal="right" vertical="center" wrapText="1"/>
    </xf>
    <xf numFmtId="166" fontId="4" fillId="4" borderId="1" xfId="3" applyNumberFormat="1" applyFont="1" applyBorder="1" applyAlignment="1" applyProtection="1">
      <alignment vertical="center" wrapText="1"/>
    </xf>
    <xf numFmtId="167" fontId="3" fillId="4" borderId="1" xfId="3" applyNumberFormat="1" applyFont="1" applyBorder="1" applyAlignment="1" applyProtection="1">
      <alignment horizontal="center" vertical="center" wrapText="1"/>
    </xf>
    <xf numFmtId="167" fontId="2" fillId="2" borderId="1" xfId="0" applyNumberFormat="1" applyFont="1" applyFill="1" applyBorder="1" applyAlignment="1" applyProtection="1">
      <alignment horizontal="center" vertical="center" wrapText="1"/>
    </xf>
    <xf numFmtId="0" fontId="2" fillId="3" borderId="1" xfId="2" applyFont="1" applyBorder="1" applyAlignment="1" applyProtection="1">
      <alignment horizontal="center" vertical="center" textRotation="90" wrapText="1"/>
    </xf>
    <xf numFmtId="0" fontId="2" fillId="3" borderId="1" xfId="2" applyFont="1" applyBorder="1" applyAlignment="1">
      <alignment textRotation="90"/>
    </xf>
    <xf numFmtId="0" fontId="1" fillId="2" borderId="2" xfId="0" applyFont="1" applyFill="1" applyBorder="1" applyAlignment="1" applyProtection="1">
      <alignment horizontal="left" vertical="center" wrapText="1"/>
    </xf>
    <xf numFmtId="0" fontId="1" fillId="2" borderId="3" xfId="0" applyFont="1" applyFill="1" applyBorder="1" applyAlignment="1" applyProtection="1">
      <alignment horizontal="left" vertical="center" wrapText="1"/>
    </xf>
    <xf numFmtId="0" fontId="1" fillId="2" borderId="4" xfId="0" applyFont="1" applyFill="1" applyBorder="1" applyAlignment="1" applyProtection="1">
      <alignment horizontal="left" vertical="center" wrapText="1"/>
    </xf>
    <xf numFmtId="0" fontId="2" fillId="4" borderId="1" xfId="3" applyFont="1" applyBorder="1" applyAlignment="1">
      <alignment horizontal="center" vertical="center" wrapText="1"/>
    </xf>
    <xf numFmtId="0" fontId="2" fillId="4" borderId="1" xfId="3" quotePrefix="1" applyFont="1" applyBorder="1" applyAlignment="1" applyProtection="1">
      <alignment horizontal="center" vertical="center" wrapText="1"/>
    </xf>
    <xf numFmtId="0" fontId="2" fillId="4" borderId="1" xfId="3" applyFont="1" applyBorder="1"/>
    <xf numFmtId="0" fontId="2" fillId="3" borderId="1" xfId="2" applyFont="1" applyBorder="1" applyAlignment="1" applyProtection="1">
      <alignment horizontal="center" vertical="center" wrapText="1"/>
    </xf>
    <xf numFmtId="0" fontId="2" fillId="3" borderId="1" xfId="2" applyFont="1" applyBorder="1"/>
  </cellXfs>
  <cellStyles count="4">
    <cellStyle name="40% - Accent2" xfId="3" builtinId="35"/>
    <cellStyle name="Accent2" xfId="2" builtinId="33"/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9"/>
  <sheetViews>
    <sheetView tabSelected="1" view="pageBreakPreview" zoomScale="90" zoomScaleNormal="100" zoomScaleSheetLayoutView="90" workbookViewId="0">
      <selection activeCell="I9" sqref="I9"/>
    </sheetView>
  </sheetViews>
  <sheetFormatPr defaultRowHeight="15" x14ac:dyDescent="0.25"/>
  <cols>
    <col min="1" max="1" width="14" bestFit="1" customWidth="1"/>
    <col min="2" max="2" width="6.85546875" customWidth="1"/>
    <col min="3" max="3" width="6.7109375" customWidth="1"/>
    <col min="4" max="4" width="7.140625" customWidth="1"/>
    <col min="5" max="5" width="9.7109375" customWidth="1"/>
    <col min="6" max="6" width="8" customWidth="1"/>
    <col min="7" max="7" width="8.28515625" customWidth="1"/>
    <col min="8" max="8" width="9.42578125" customWidth="1"/>
    <col min="9" max="9" width="7.140625" customWidth="1"/>
    <col min="10" max="10" width="6.7109375" customWidth="1"/>
    <col min="11" max="11" width="7.5703125" customWidth="1"/>
    <col min="12" max="12" width="7.42578125" customWidth="1"/>
    <col min="13" max="14" width="7.7109375" customWidth="1"/>
    <col min="15" max="15" width="7.140625" customWidth="1"/>
    <col min="16" max="17" width="8.28515625" customWidth="1"/>
  </cols>
  <sheetData>
    <row r="1" spans="1:17" x14ac:dyDescent="0.25">
      <c r="A1" s="20" t="s">
        <v>21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</row>
    <row r="2" spans="1:17" x14ac:dyDescent="0.25">
      <c r="A2" s="21" t="s">
        <v>19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</row>
    <row r="3" spans="1:17" x14ac:dyDescent="0.25">
      <c r="A3" s="23" t="s">
        <v>23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</row>
    <row r="4" spans="1:17" ht="28.15" customHeight="1" x14ac:dyDescent="0.25">
      <c r="A4" s="23" t="s">
        <v>0</v>
      </c>
      <c r="B4" s="23" t="s">
        <v>1</v>
      </c>
      <c r="C4" s="23"/>
      <c r="D4" s="23"/>
      <c r="E4" s="23" t="s">
        <v>2</v>
      </c>
      <c r="F4" s="24"/>
      <c r="G4" s="15" t="s">
        <v>3</v>
      </c>
      <c r="H4" s="15" t="s">
        <v>4</v>
      </c>
      <c r="I4" s="23" t="s">
        <v>5</v>
      </c>
      <c r="J4" s="23"/>
      <c r="K4" s="23"/>
      <c r="L4" s="23" t="s">
        <v>6</v>
      </c>
      <c r="M4" s="23"/>
      <c r="N4" s="23"/>
      <c r="O4" s="23"/>
      <c r="P4" s="15" t="s">
        <v>7</v>
      </c>
      <c r="Q4" s="15" t="s">
        <v>8</v>
      </c>
    </row>
    <row r="5" spans="1:17" ht="120.75" customHeight="1" x14ac:dyDescent="0.25">
      <c r="A5" s="23"/>
      <c r="B5" s="7" t="s">
        <v>9</v>
      </c>
      <c r="C5" s="7" t="s">
        <v>10</v>
      </c>
      <c r="D5" s="7" t="s">
        <v>11</v>
      </c>
      <c r="E5" s="7" t="s">
        <v>12</v>
      </c>
      <c r="F5" s="7" t="s">
        <v>13</v>
      </c>
      <c r="G5" s="16"/>
      <c r="H5" s="16"/>
      <c r="I5" s="7" t="s">
        <v>14</v>
      </c>
      <c r="J5" s="7" t="s">
        <v>15</v>
      </c>
      <c r="K5" s="7" t="s">
        <v>16</v>
      </c>
      <c r="L5" s="7" t="s">
        <v>17</v>
      </c>
      <c r="M5" s="7" t="s">
        <v>18</v>
      </c>
      <c r="N5" s="7" t="s">
        <v>15</v>
      </c>
      <c r="O5" s="7" t="s">
        <v>16</v>
      </c>
      <c r="P5" s="16"/>
      <c r="Q5" s="16"/>
    </row>
    <row r="6" spans="1:17" x14ac:dyDescent="0.25">
      <c r="A6" s="13">
        <v>45383</v>
      </c>
      <c r="B6" s="2">
        <v>130</v>
      </c>
      <c r="C6" s="2">
        <v>218</v>
      </c>
      <c r="D6" s="2">
        <v>69.77</v>
      </c>
      <c r="E6" s="2">
        <v>4454</v>
      </c>
      <c r="F6" s="5">
        <v>2.3659460000000001</v>
      </c>
      <c r="G6" s="5">
        <v>4.4952084333333335</v>
      </c>
      <c r="H6" s="5">
        <f t="shared" ref="H6:H16" si="0">F6/G6*100</f>
        <v>52.632620602323868</v>
      </c>
      <c r="I6" s="5">
        <v>0</v>
      </c>
      <c r="J6" s="5">
        <v>0</v>
      </c>
      <c r="K6" s="5">
        <v>0</v>
      </c>
      <c r="L6" s="5">
        <v>0.192749743</v>
      </c>
      <c r="M6" s="5">
        <v>0</v>
      </c>
      <c r="N6" s="5">
        <v>0</v>
      </c>
      <c r="O6" s="5">
        <v>0.192749743</v>
      </c>
      <c r="P6" s="5">
        <v>0.404568759</v>
      </c>
      <c r="Q6" s="5">
        <f t="shared" ref="Q6:Q16" si="1">O6/P6*100</f>
        <v>47.643259325419145</v>
      </c>
    </row>
    <row r="7" spans="1:17" x14ac:dyDescent="0.25">
      <c r="A7" s="14">
        <v>45413</v>
      </c>
      <c r="B7" s="3">
        <v>225</v>
      </c>
      <c r="C7" s="3">
        <v>386</v>
      </c>
      <c r="D7" s="3">
        <v>121.12</v>
      </c>
      <c r="E7" s="3">
        <v>9474</v>
      </c>
      <c r="F7" s="6">
        <v>5.0889359999999995</v>
      </c>
      <c r="G7" s="6">
        <v>7.2922919647058828</v>
      </c>
      <c r="H7" s="6">
        <f t="shared" si="0"/>
        <v>69.78513785007577</v>
      </c>
      <c r="I7" s="6">
        <v>0</v>
      </c>
      <c r="J7" s="6">
        <v>0</v>
      </c>
      <c r="K7" s="6">
        <v>0</v>
      </c>
      <c r="L7" s="6">
        <v>0.41657452699999997</v>
      </c>
      <c r="M7" s="6">
        <v>0</v>
      </c>
      <c r="N7" s="6">
        <v>0</v>
      </c>
      <c r="O7" s="6">
        <v>0.41657452699999997</v>
      </c>
      <c r="P7" s="6">
        <v>0.61984481700000005</v>
      </c>
      <c r="Q7" s="6">
        <f t="shared" si="1"/>
        <v>67.206261240706638</v>
      </c>
    </row>
    <row r="8" spans="1:17" x14ac:dyDescent="0.25">
      <c r="A8" s="13">
        <v>45444</v>
      </c>
      <c r="B8" s="2">
        <v>263</v>
      </c>
      <c r="C8" s="2">
        <v>443</v>
      </c>
      <c r="D8" s="2">
        <v>137.52799999999999</v>
      </c>
      <c r="E8" s="2">
        <v>9736</v>
      </c>
      <c r="F8" s="5">
        <v>4.9978059999999997</v>
      </c>
      <c r="G8" s="5">
        <v>9.6269599999999986</v>
      </c>
      <c r="H8" s="5">
        <f t="shared" si="0"/>
        <v>51.914685425097851</v>
      </c>
      <c r="I8" s="5">
        <v>0</v>
      </c>
      <c r="J8" s="5">
        <v>0</v>
      </c>
      <c r="K8" s="5">
        <v>0</v>
      </c>
      <c r="L8" s="5">
        <v>0.41049882599999998</v>
      </c>
      <c r="M8" s="5">
        <v>0</v>
      </c>
      <c r="N8" s="5">
        <v>0</v>
      </c>
      <c r="O8" s="5">
        <v>0.41049882599999998</v>
      </c>
      <c r="P8" s="5">
        <v>0.72722352000000001</v>
      </c>
      <c r="Q8" s="5">
        <f t="shared" si="1"/>
        <v>56.44740780661219</v>
      </c>
    </row>
    <row r="9" spans="1:17" x14ac:dyDescent="0.25">
      <c r="A9" s="14">
        <v>45474</v>
      </c>
      <c r="B9" s="3">
        <v>276</v>
      </c>
      <c r="C9" s="3">
        <v>469.75</v>
      </c>
      <c r="D9" s="3">
        <v>145.00299999999999</v>
      </c>
      <c r="E9" s="3">
        <v>10200</v>
      </c>
      <c r="F9" s="6">
        <v>5.2740140000000002</v>
      </c>
      <c r="G9" s="6">
        <v>8.9617697411764716</v>
      </c>
      <c r="H9" s="6">
        <f t="shared" si="0"/>
        <v>58.850139563032833</v>
      </c>
      <c r="I9" s="6"/>
      <c r="J9" s="6"/>
      <c r="K9" s="6">
        <v>0</v>
      </c>
      <c r="L9" s="6">
        <v>0.43437902500000003</v>
      </c>
      <c r="M9" s="6">
        <v>0</v>
      </c>
      <c r="N9" s="6">
        <v>0</v>
      </c>
      <c r="O9" s="6">
        <v>0.43437902500000003</v>
      </c>
      <c r="P9" s="6">
        <v>0.76175042800000003</v>
      </c>
      <c r="Q9" s="6">
        <f t="shared" si="1"/>
        <v>57.023797957091539</v>
      </c>
    </row>
    <row r="10" spans="1:17" x14ac:dyDescent="0.25">
      <c r="A10" s="13">
        <v>45505</v>
      </c>
      <c r="B10" s="2">
        <v>388</v>
      </c>
      <c r="C10" s="2">
        <v>652.83299999999997</v>
      </c>
      <c r="D10" s="2">
        <v>200.39099999999999</v>
      </c>
      <c r="E10" s="2">
        <v>14846</v>
      </c>
      <c r="F10" s="5">
        <v>7.5128349999999999</v>
      </c>
      <c r="G10" s="5">
        <v>12.759128023529412</v>
      </c>
      <c r="H10" s="5">
        <f t="shared" si="0"/>
        <v>58.882041046577804</v>
      </c>
      <c r="I10" s="5">
        <v>0</v>
      </c>
      <c r="J10" s="5">
        <v>0</v>
      </c>
      <c r="K10" s="5">
        <v>0</v>
      </c>
      <c r="L10" s="5">
        <v>0.61818093499999993</v>
      </c>
      <c r="M10" s="5">
        <v>0</v>
      </c>
      <c r="N10" s="5">
        <v>0</v>
      </c>
      <c r="O10" s="5">
        <v>0.61818093499999993</v>
      </c>
      <c r="P10" s="5">
        <v>1.0845258819999999</v>
      </c>
      <c r="Q10" s="5">
        <f t="shared" si="1"/>
        <v>57.000109011690689</v>
      </c>
    </row>
    <row r="11" spans="1:17" x14ac:dyDescent="0.25">
      <c r="A11" s="14">
        <v>45536</v>
      </c>
      <c r="B11" s="3">
        <v>374</v>
      </c>
      <c r="C11" s="3">
        <v>614.91666666666663</v>
      </c>
      <c r="D11" s="3">
        <v>187.34200000000001</v>
      </c>
      <c r="E11" s="3">
        <v>15537</v>
      </c>
      <c r="F11" s="6">
        <v>7.6718799999999998</v>
      </c>
      <c r="G11" s="6">
        <v>12.248972235294117</v>
      </c>
      <c r="H11" s="6">
        <f t="shared" si="0"/>
        <v>62.632846679938503</v>
      </c>
      <c r="I11" s="6"/>
      <c r="J11" s="6"/>
      <c r="K11" s="6">
        <v>0</v>
      </c>
      <c r="L11" s="6">
        <v>0.63139391999999994</v>
      </c>
      <c r="M11" s="6">
        <v>0</v>
      </c>
      <c r="N11" s="6">
        <v>0</v>
      </c>
      <c r="O11" s="6">
        <v>0.63139391999999994</v>
      </c>
      <c r="P11" s="6">
        <v>1.04116264</v>
      </c>
      <c r="Q11" s="6">
        <f t="shared" si="1"/>
        <v>60.643159458737394</v>
      </c>
    </row>
    <row r="12" spans="1:17" x14ac:dyDescent="0.25">
      <c r="A12" s="13">
        <v>45566</v>
      </c>
      <c r="B12" s="2">
        <v>381</v>
      </c>
      <c r="C12" s="2">
        <v>629.58333333333337</v>
      </c>
      <c r="D12" s="2">
        <v>190.18</v>
      </c>
      <c r="E12" s="2">
        <v>17042</v>
      </c>
      <c r="F12" s="5">
        <v>8.4497700000000009</v>
      </c>
      <c r="G12" s="5">
        <v>12.41042</v>
      </c>
      <c r="H12" s="5">
        <f t="shared" si="0"/>
        <v>68.086092170933782</v>
      </c>
      <c r="I12" s="5"/>
      <c r="J12" s="5"/>
      <c r="K12" s="5">
        <v>0</v>
      </c>
      <c r="L12" s="5">
        <v>0.69562999999999997</v>
      </c>
      <c r="M12" s="5">
        <v>0</v>
      </c>
      <c r="N12" s="5">
        <v>0</v>
      </c>
      <c r="O12" s="5">
        <v>0.69562999999999997</v>
      </c>
      <c r="P12" s="5">
        <v>1.0548900000000001</v>
      </c>
      <c r="Q12" s="5">
        <f t="shared" si="1"/>
        <v>65.943368502877064</v>
      </c>
    </row>
    <row r="13" spans="1:17" x14ac:dyDescent="0.25">
      <c r="A13" s="14">
        <v>45597</v>
      </c>
      <c r="B13" s="3">
        <v>389</v>
      </c>
      <c r="C13" s="3">
        <v>627.16666666666663</v>
      </c>
      <c r="D13" s="3">
        <v>180.81</v>
      </c>
      <c r="E13" s="3">
        <v>20308</v>
      </c>
      <c r="F13" s="6">
        <v>9.339360000000001</v>
      </c>
      <c r="G13" s="6">
        <v>12.656420000000001</v>
      </c>
      <c r="H13" s="6">
        <f t="shared" si="0"/>
        <v>73.79148289958772</v>
      </c>
      <c r="I13" s="6">
        <v>0</v>
      </c>
      <c r="J13" s="6">
        <v>0</v>
      </c>
      <c r="K13" s="6">
        <v>0</v>
      </c>
      <c r="L13" s="6">
        <v>0.77096000000000009</v>
      </c>
      <c r="M13" s="6">
        <v>0</v>
      </c>
      <c r="N13" s="6">
        <v>0</v>
      </c>
      <c r="O13" s="6">
        <v>0.77096000000000009</v>
      </c>
      <c r="P13" s="6">
        <v>1.02664</v>
      </c>
      <c r="Q13" s="6">
        <f t="shared" si="1"/>
        <v>75.095457024857794</v>
      </c>
    </row>
    <row r="14" spans="1:17" x14ac:dyDescent="0.25">
      <c r="A14" s="13">
        <v>45627</v>
      </c>
      <c r="B14" s="2">
        <v>431</v>
      </c>
      <c r="C14" s="2">
        <v>688.15</v>
      </c>
      <c r="D14" s="2">
        <v>198.119</v>
      </c>
      <c r="E14" s="2">
        <v>24230</v>
      </c>
      <c r="F14" s="5">
        <v>11.086546</v>
      </c>
      <c r="G14" s="5">
        <v>13.398441999999999</v>
      </c>
      <c r="H14" s="5">
        <f t="shared" si="0"/>
        <v>82.745038564931662</v>
      </c>
      <c r="I14" s="5"/>
      <c r="J14" s="5"/>
      <c r="K14" s="5">
        <v>0</v>
      </c>
      <c r="L14" s="5">
        <v>0.92008248400000003</v>
      </c>
      <c r="M14" s="5">
        <v>0</v>
      </c>
      <c r="N14" s="5">
        <v>0</v>
      </c>
      <c r="O14" s="5">
        <v>0.92008248400000003</v>
      </c>
      <c r="P14" s="5">
        <v>1.1388675699999999</v>
      </c>
      <c r="Q14" s="5">
        <f t="shared" si="1"/>
        <v>80.7892425982417</v>
      </c>
    </row>
    <row r="15" spans="1:17" x14ac:dyDescent="0.25">
      <c r="A15" s="14">
        <v>45658</v>
      </c>
      <c r="B15" s="3">
        <v>373</v>
      </c>
      <c r="C15" s="3">
        <v>596.81666666666672</v>
      </c>
      <c r="D15" s="3">
        <v>172.41300000000001</v>
      </c>
      <c r="E15" s="3">
        <v>20612</v>
      </c>
      <c r="F15" s="6">
        <v>9.5599120000000006</v>
      </c>
      <c r="G15" s="6">
        <v>11.659647999999999</v>
      </c>
      <c r="H15" s="6">
        <f t="shared" si="0"/>
        <v>81.991428900769563</v>
      </c>
      <c r="I15" s="9"/>
      <c r="J15" s="9"/>
      <c r="K15" s="9">
        <v>0</v>
      </c>
      <c r="L15" s="6">
        <v>0.79188610600000009</v>
      </c>
      <c r="M15" s="9">
        <v>0</v>
      </c>
      <c r="N15" s="9">
        <v>0</v>
      </c>
      <c r="O15" s="6">
        <v>0.79188610600000009</v>
      </c>
      <c r="P15" s="6">
        <v>0.99107007999999996</v>
      </c>
      <c r="Q15" s="6">
        <f t="shared" si="1"/>
        <v>79.902130230790561</v>
      </c>
    </row>
    <row r="16" spans="1:17" x14ac:dyDescent="0.25">
      <c r="A16" s="13">
        <v>45689</v>
      </c>
      <c r="B16" s="2">
        <v>210</v>
      </c>
      <c r="C16" s="2">
        <v>341.33333333333331</v>
      </c>
      <c r="D16" s="2">
        <v>99.61</v>
      </c>
      <c r="E16" s="2">
        <v>11757</v>
      </c>
      <c r="F16" s="5">
        <v>5.4783500000000007</v>
      </c>
      <c r="G16" s="5">
        <v>6.6046400000000007</v>
      </c>
      <c r="H16" s="5">
        <f t="shared" si="0"/>
        <v>82.946988783643022</v>
      </c>
      <c r="I16" s="10"/>
      <c r="J16" s="10"/>
      <c r="K16" s="10">
        <v>0</v>
      </c>
      <c r="L16" s="5">
        <v>0.45491999999999999</v>
      </c>
      <c r="M16" s="10">
        <v>0</v>
      </c>
      <c r="N16" s="10">
        <v>0</v>
      </c>
      <c r="O16" s="5">
        <v>0.45491999999999999</v>
      </c>
      <c r="P16" s="5">
        <v>0.56138999999999994</v>
      </c>
      <c r="Q16" s="5">
        <f t="shared" si="1"/>
        <v>81.034574894458402</v>
      </c>
    </row>
    <row r="17" spans="1:17" x14ac:dyDescent="0.25">
      <c r="A17" s="14">
        <v>45717</v>
      </c>
      <c r="B17" s="3">
        <v>242</v>
      </c>
      <c r="C17" s="3">
        <v>392.58333333333331</v>
      </c>
      <c r="D17" s="3">
        <v>113.79</v>
      </c>
      <c r="E17" s="3">
        <v>12327</v>
      </c>
      <c r="F17" s="6">
        <v>5.6193559999999998</v>
      </c>
      <c r="G17" s="6">
        <v>7.3540460000000003</v>
      </c>
      <c r="H17" s="6">
        <f>F17/G17*100</f>
        <v>76.411760274548186</v>
      </c>
      <c r="I17" s="9"/>
      <c r="J17" s="9"/>
      <c r="K17" s="9">
        <v>0</v>
      </c>
      <c r="L17" s="6">
        <v>0.46491970799999999</v>
      </c>
      <c r="M17" s="9">
        <v>0</v>
      </c>
      <c r="N17" s="9">
        <v>0</v>
      </c>
      <c r="O17" s="6">
        <v>0.46491970799999999</v>
      </c>
      <c r="P17" s="6">
        <v>0.62509391000000003</v>
      </c>
      <c r="Q17" s="6">
        <f t="shared" ref="Q17" si="2">O17/P17*100</f>
        <v>74.375977843073201</v>
      </c>
    </row>
    <row r="18" spans="1:17" x14ac:dyDescent="0.25">
      <c r="A18" s="1" t="s">
        <v>22</v>
      </c>
      <c r="B18" s="4">
        <f>SUM(B6:B17)</f>
        <v>3682</v>
      </c>
      <c r="C18" s="4">
        <f t="shared" ref="C18:G18" si="3">SUM(C6:C17)</f>
        <v>6060.1329999999989</v>
      </c>
      <c r="D18" s="4">
        <f t="shared" si="3"/>
        <v>1816.0759999999998</v>
      </c>
      <c r="E18" s="4">
        <f t="shared" si="3"/>
        <v>170523</v>
      </c>
      <c r="F18" s="8">
        <f t="shared" si="3"/>
        <v>82.444710999999998</v>
      </c>
      <c r="G18" s="8">
        <f t="shared" si="3"/>
        <v>119.46794639803922</v>
      </c>
      <c r="H18" s="8">
        <f t="shared" ref="H18" si="4">F18/G18*100</f>
        <v>69.009900551327405</v>
      </c>
      <c r="I18" s="11">
        <f>SUM(I6:I17)</f>
        <v>0</v>
      </c>
      <c r="J18" s="11">
        <f t="shared" ref="J18:P18" si="5">SUM(J6:J17)</f>
        <v>0</v>
      </c>
      <c r="K18" s="11">
        <f t="shared" si="5"/>
        <v>0</v>
      </c>
      <c r="L18" s="8">
        <f t="shared" si="5"/>
        <v>6.8021752739999997</v>
      </c>
      <c r="M18" s="11">
        <f t="shared" si="5"/>
        <v>0</v>
      </c>
      <c r="N18" s="11">
        <f t="shared" si="5"/>
        <v>0</v>
      </c>
      <c r="O18" s="8">
        <f t="shared" si="5"/>
        <v>6.8021752739999997</v>
      </c>
      <c r="P18" s="8">
        <f t="shared" si="5"/>
        <v>10.037027606000001</v>
      </c>
      <c r="Q18" s="12">
        <f t="shared" ref="Q18" si="6">O18/P18*100</f>
        <v>67.770813641418599</v>
      </c>
    </row>
    <row r="19" spans="1:17" x14ac:dyDescent="0.25">
      <c r="A19" s="17" t="s">
        <v>20</v>
      </c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9"/>
    </row>
  </sheetData>
  <mergeCells count="13">
    <mergeCell ref="P4:P5"/>
    <mergeCell ref="Q4:Q5"/>
    <mergeCell ref="A19:Q1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7" right="0.7" top="0.75" bottom="0.75" header="0.3" footer="0.3"/>
  <pageSetup paperSize="9" scale="93" orientation="landscape" r:id="rId1"/>
  <ignoredErrors>
    <ignoredError sqref="H18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FLY 91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acer</cp:lastModifiedBy>
  <cp:lastPrinted>2022-04-26T05:16:06Z</cp:lastPrinted>
  <dcterms:created xsi:type="dcterms:W3CDTF">2018-10-29T04:00:07Z</dcterms:created>
  <dcterms:modified xsi:type="dcterms:W3CDTF">2025-11-10T10:28:40Z</dcterms:modified>
</cp:coreProperties>
</file>