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Q17" i="1"/>
  <c r="Q16" i="1"/>
  <c r="Q15" i="1"/>
  <c r="Q14" i="1"/>
  <c r="Q13" i="1"/>
  <c r="Q12" i="1"/>
  <c r="Q11" i="1"/>
  <c r="Q10" i="1"/>
  <c r="Q9" i="1"/>
  <c r="Q8" i="1"/>
  <c r="Q7" i="1"/>
  <c r="Q6" i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<sst xmlns="http://schemas.openxmlformats.org/spreadsheetml/2006/main" count="26" uniqueCount="24">
  <si>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</si>
  <si>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</si>
  <si>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</si>
  <si>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</si>
  <si>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</si>
  <si>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</si>
  <si>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</si>
  <si>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</si>
  <si>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</si>
  <si>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</si>
  <si>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</si>
  <si>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</si>
  <si>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</si>
  <si>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</si>
  <si>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</si>
  <si>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</si>
  <si>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</si>
  <si>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</si>
  <si>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</si>
  <si>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</si>
  <si>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Table 1.03  AIR INDIA EXPRESS</t>
  </si>
  <si>
    <t>MONTHLY TRAFFIC AND OPERATING STATISTICS OF AIR INDIA EXPRESS ON SCHEDULED (DOMESTIC + INTERNATIONAL) SERVICES DURING 2024-25</t>
  </si>
  <si>
    <t>2024-25</t>
  </si>
  <si>
    <t>तालिका 1.03 एयर इंडिया एक्सप्रेस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</si>
</sst>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5" borderId="1" xfId="3" applyNumberFormat="1" applyFill="1" applyBorder="1" applyAlignment="1">
      <alignment horizontal="right" vertical="center"/>
    </xf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A3" sqref="A3:Q3"/>
    </sheetView>
  </sheetViews>
  <sheetFormatPr defaultRowHeight="15" x14ac:dyDescent="0.25"/>
  <cols>
    <col min="1" max="1" width="14.28515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10.28515625" customWidth="1"/>
    <col min="10" max="10" width="8.140625" customWidth="1"/>
    <col min="11" max="11" width="9.5703125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24" customHeight="1" x14ac:dyDescent="0.25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4.75" customHeight="1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4.75" customHeight="1" x14ac:dyDescent="0.25">
      <c r="A3" s="21" t="s">
        <v>21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2.15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19.25" customHeight="1" x14ac:dyDescent="0.25">
      <c r="A5" s="21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21" customHeight="1" x14ac:dyDescent="0.25">
      <c r="A6" s="13">
        <v>45383</v>
      </c>
      <c r="B6" s="1">
        <v>6194</v>
      </c>
      <c r="C6" s="1">
        <v>18658.150000000001</v>
      </c>
      <c r="D6" s="1">
        <v>11716.499999999991</v>
      </c>
      <c r="E6" s="1">
        <v>892660</v>
      </c>
      <c r="F6" s="1">
        <v>1704.9736320000009</v>
      </c>
      <c r="G6" s="1">
        <v>2144.5047189999996</v>
      </c>
      <c r="H6" s="2">
        <f t="shared" ref="H6:H17" si="0">F6/G6*100</f>
        <v>79.504307772987531</v>
      </c>
      <c r="I6" s="2">
        <v>3949.2587999999987</v>
      </c>
      <c r="J6" s="2">
        <v>0</v>
      </c>
      <c r="K6" s="2">
        <v>3949.2587999999987</v>
      </c>
      <c r="L6" s="2">
        <v>97.689797999999939</v>
      </c>
      <c r="M6" s="2">
        <v>7.6178468772000008</v>
      </c>
      <c r="N6" s="3">
        <v>0</v>
      </c>
      <c r="O6" s="2">
        <v>105.30764487719993</v>
      </c>
      <c r="P6" s="2">
        <v>216.35359999999991</v>
      </c>
      <c r="Q6" s="2">
        <f t="shared" ref="Q6:Q17" si="1">O6/P6*100</f>
        <v>48.673858386086472</v>
      </c>
    </row>
    <row r="7" spans="1:17" ht="21" customHeight="1" x14ac:dyDescent="0.25">
      <c r="A7" s="14">
        <v>45413</v>
      </c>
      <c r="B7" s="4">
        <v>5582</v>
      </c>
      <c r="C7" s="4">
        <v>18125.066666666669</v>
      </c>
      <c r="D7" s="4">
        <v>10861.982999999993</v>
      </c>
      <c r="E7" s="4">
        <v>838344</v>
      </c>
      <c r="F7" s="4">
        <v>1735.0484230000011</v>
      </c>
      <c r="G7" s="4">
        <v>2109.009523000002</v>
      </c>
      <c r="H7" s="5">
        <f t="shared" si="0"/>
        <v>82.268401544813671</v>
      </c>
      <c r="I7" s="5">
        <v>4147.8110000000015</v>
      </c>
      <c r="J7" s="5">
        <v>0</v>
      </c>
      <c r="K7" s="5">
        <v>4147.8110000000015</v>
      </c>
      <c r="L7" s="5">
        <v>141.92921799999996</v>
      </c>
      <c r="M7" s="5">
        <v>7.4137421784999997</v>
      </c>
      <c r="N7" s="6">
        <v>0</v>
      </c>
      <c r="O7" s="5">
        <v>149.34296017849994</v>
      </c>
      <c r="P7" s="5">
        <v>197.55333999999988</v>
      </c>
      <c r="Q7" s="5">
        <f t="shared" si="1"/>
        <v>75.596271963055656</v>
      </c>
    </row>
    <row r="8" spans="1:17" ht="21" customHeight="1" x14ac:dyDescent="0.25">
      <c r="A8" s="13">
        <v>45444</v>
      </c>
      <c r="B8" s="1">
        <v>6406</v>
      </c>
      <c r="C8" s="1">
        <v>20003.899999999998</v>
      </c>
      <c r="D8" s="1">
        <v>11867.239000000007</v>
      </c>
      <c r="E8" s="1">
        <v>904161</v>
      </c>
      <c r="F8" s="1">
        <v>1756.7115260000005</v>
      </c>
      <c r="G8" s="1">
        <v>2319.4676290000007</v>
      </c>
      <c r="H8" s="2">
        <f t="shared" si="0"/>
        <v>75.737703947063792</v>
      </c>
      <c r="I8" s="2">
        <v>4076.419550000001</v>
      </c>
      <c r="J8" s="2"/>
      <c r="K8" s="2">
        <v>4076.419550000001</v>
      </c>
      <c r="L8" s="2">
        <v>134.84056955</v>
      </c>
      <c r="M8" s="2">
        <v>7.6159720433299993</v>
      </c>
      <c r="N8" s="3">
        <v>0</v>
      </c>
      <c r="O8" s="2">
        <v>142.45654159333</v>
      </c>
      <c r="P8" s="2">
        <v>197.80988000000002</v>
      </c>
      <c r="Q8" s="2">
        <f t="shared" si="1"/>
        <v>72.016899051417454</v>
      </c>
    </row>
    <row r="9" spans="1:17" ht="21" customHeight="1" x14ac:dyDescent="0.25">
      <c r="A9" s="14">
        <v>45474</v>
      </c>
      <c r="B9" s="4">
        <v>6058</v>
      </c>
      <c r="C9" s="4">
        <v>18900.866666666665</v>
      </c>
      <c r="D9" s="4">
        <v>12496.996000000001</v>
      </c>
      <c r="E9" s="4">
        <v>839444</v>
      </c>
      <c r="F9" s="4">
        <v>1741.5453659999994</v>
      </c>
      <c r="G9" s="4">
        <v>2288.1454880000006</v>
      </c>
      <c r="H9" s="5">
        <f t="shared" si="0"/>
        <v>76.111653526115248</v>
      </c>
      <c r="I9" s="5">
        <v>4774.0859700000001</v>
      </c>
      <c r="J9" s="5"/>
      <c r="K9" s="5">
        <v>4774.0859700000001</v>
      </c>
      <c r="L9" s="5">
        <v>138.31946222500005</v>
      </c>
      <c r="M9" s="5">
        <v>9.3344579903199989</v>
      </c>
      <c r="N9" s="6">
        <v>0</v>
      </c>
      <c r="O9" s="5">
        <v>147.65392021532003</v>
      </c>
      <c r="P9" s="5">
        <v>249.93992000000011</v>
      </c>
      <c r="Q9" s="5">
        <f t="shared" si="1"/>
        <v>59.075765174014606</v>
      </c>
    </row>
    <row r="10" spans="1:17" ht="21" customHeight="1" x14ac:dyDescent="0.25">
      <c r="A10" s="13">
        <v>45505</v>
      </c>
      <c r="B10" s="1">
        <v>7084</v>
      </c>
      <c r="C10" s="1">
        <v>19760.116666666676</v>
      </c>
      <c r="D10" s="1">
        <v>13947.672000000013</v>
      </c>
      <c r="E10" s="1">
        <v>930363</v>
      </c>
      <c r="F10" s="1">
        <v>1845.4338150000001</v>
      </c>
      <c r="G10" s="1">
        <v>2535.7278640000004</v>
      </c>
      <c r="H10" s="2">
        <f t="shared" si="0"/>
        <v>72.777281868445797</v>
      </c>
      <c r="I10" s="2">
        <v>4843.6177800000014</v>
      </c>
      <c r="J10" s="2"/>
      <c r="K10" s="2">
        <v>4843.6177800000014</v>
      </c>
      <c r="L10" s="2">
        <v>148.40881565000007</v>
      </c>
      <c r="M10" s="2">
        <v>10.87948949954</v>
      </c>
      <c r="N10" s="3">
        <v>0</v>
      </c>
      <c r="O10" s="2">
        <v>159.28830514954007</v>
      </c>
      <c r="P10" s="2">
        <v>278.95344000000023</v>
      </c>
      <c r="Q10" s="2">
        <f t="shared" si="1"/>
        <v>57.102111789530156</v>
      </c>
    </row>
    <row r="11" spans="1:17" ht="21" customHeight="1" x14ac:dyDescent="0.25">
      <c r="A11" s="14">
        <v>45536</v>
      </c>
      <c r="B11" s="4">
        <v>7675</v>
      </c>
      <c r="C11" s="4">
        <v>19900.449999999997</v>
      </c>
      <c r="D11" s="4">
        <v>14073.607000000011</v>
      </c>
      <c r="E11" s="4">
        <v>1001256</v>
      </c>
      <c r="F11" s="4">
        <v>1847.62734</v>
      </c>
      <c r="G11" s="4">
        <v>2587.9100100000023</v>
      </c>
      <c r="H11" s="5">
        <f t="shared" si="0"/>
        <v>71.394574496815608</v>
      </c>
      <c r="I11" s="5">
        <v>9310.472600000001</v>
      </c>
      <c r="J11" s="5"/>
      <c r="K11" s="5">
        <v>9310.472600000001</v>
      </c>
      <c r="L11" s="5">
        <v>150.99995079999991</v>
      </c>
      <c r="M11" s="5">
        <v>13.0322917799</v>
      </c>
      <c r="N11" s="6">
        <v>0</v>
      </c>
      <c r="O11" s="5">
        <v>164.0322425798999</v>
      </c>
      <c r="P11" s="5">
        <v>284.95538000000022</v>
      </c>
      <c r="Q11" s="5">
        <f t="shared" si="1"/>
        <v>57.564185164673773</v>
      </c>
    </row>
    <row r="12" spans="1:17" ht="21" customHeight="1" x14ac:dyDescent="0.25">
      <c r="A12" s="13">
        <v>45566</v>
      </c>
      <c r="B12" s="1">
        <v>12042</v>
      </c>
      <c r="C12" s="1">
        <v>27922.666666666657</v>
      </c>
      <c r="D12" s="1">
        <v>18926.888999999988</v>
      </c>
      <c r="E12" s="1">
        <v>1679800</v>
      </c>
      <c r="F12" s="1">
        <v>2591.6424289999982</v>
      </c>
      <c r="G12" s="1">
        <v>3430.2747129999998</v>
      </c>
      <c r="H12" s="2">
        <f t="shared" si="0"/>
        <v>75.552037251658987</v>
      </c>
      <c r="I12" s="2">
        <v>2518.538</v>
      </c>
      <c r="J12" s="2"/>
      <c r="K12" s="2">
        <v>2518.538</v>
      </c>
      <c r="L12" s="2">
        <v>222.44509975000011</v>
      </c>
      <c r="M12" s="2">
        <v>2.4121008257000005</v>
      </c>
      <c r="N12" s="3">
        <v>0</v>
      </c>
      <c r="O12" s="2">
        <v>224.85720057570009</v>
      </c>
      <c r="P12" s="2">
        <v>378.53778000000068</v>
      </c>
      <c r="Q12" s="2">
        <f t="shared" si="1"/>
        <v>59.401521448057224</v>
      </c>
    </row>
    <row r="13" spans="1:17" ht="21" customHeight="1" x14ac:dyDescent="0.25">
      <c r="A13" s="14">
        <v>45597</v>
      </c>
      <c r="B13" s="4">
        <v>11548</v>
      </c>
      <c r="C13" s="4">
        <v>26185.699999999997</v>
      </c>
      <c r="D13" s="4">
        <v>15890.660999999987</v>
      </c>
      <c r="E13" s="4">
        <v>1730242</v>
      </c>
      <c r="F13" s="4">
        <v>2628.4850590000019</v>
      </c>
      <c r="G13" s="4">
        <v>3227.0285799999983</v>
      </c>
      <c r="H13" s="5">
        <f t="shared" si="0"/>
        <v>81.452177873181512</v>
      </c>
      <c r="I13" s="5">
        <v>9690.7438908136737</v>
      </c>
      <c r="J13" s="5">
        <v>0</v>
      </c>
      <c r="K13" s="12">
        <v>9690.7438908136737</v>
      </c>
      <c r="L13" s="5">
        <v>227.97896847500004</v>
      </c>
      <c r="M13" s="5">
        <v>14.87457390022516</v>
      </c>
      <c r="N13" s="6">
        <v>0</v>
      </c>
      <c r="O13" s="5">
        <v>242.8535423752252</v>
      </c>
      <c r="P13" s="5">
        <v>355.96943999999996</v>
      </c>
      <c r="Q13" s="5">
        <f t="shared" si="1"/>
        <v>68.223143642674842</v>
      </c>
    </row>
    <row r="14" spans="1:17" ht="21" customHeight="1" x14ac:dyDescent="0.25">
      <c r="A14" s="13">
        <v>45627</v>
      </c>
      <c r="B14" s="1">
        <v>12726</v>
      </c>
      <c r="C14" s="1">
        <v>29346.999999999978</v>
      </c>
      <c r="D14" s="1">
        <v>19687.030649547803</v>
      </c>
      <c r="E14" s="1">
        <v>1890330</v>
      </c>
      <c r="F14" s="1">
        <v>2859.9812746555817</v>
      </c>
      <c r="G14" s="1">
        <v>3565.1637231499571</v>
      </c>
      <c r="H14" s="2">
        <f t="shared" si="0"/>
        <v>80.220194547718549</v>
      </c>
      <c r="I14" s="2">
        <v>11559.481878765208</v>
      </c>
      <c r="J14" s="2">
        <v>197.73745000000002</v>
      </c>
      <c r="K14" s="2">
        <v>11757.219328765208</v>
      </c>
      <c r="L14" s="2">
        <v>249.13199360594632</v>
      </c>
      <c r="M14" s="2">
        <v>22.756048610368424</v>
      </c>
      <c r="N14" s="3">
        <v>0.15875813051103871</v>
      </c>
      <c r="O14" s="2">
        <v>272.04680034682582</v>
      </c>
      <c r="P14" s="2">
        <v>393.74061299095564</v>
      </c>
      <c r="Q14" s="2">
        <f t="shared" si="1"/>
        <v>69.092898058010306</v>
      </c>
    </row>
    <row r="15" spans="1:17" ht="21" customHeight="1" x14ac:dyDescent="0.25">
      <c r="A15" s="14">
        <v>45658</v>
      </c>
      <c r="B15" s="4">
        <v>12983</v>
      </c>
      <c r="C15" s="4">
        <v>29677.533333333355</v>
      </c>
      <c r="D15" s="4">
        <v>20459.874032266314</v>
      </c>
      <c r="E15" s="4">
        <v>1941716</v>
      </c>
      <c r="F15" s="4">
        <v>3048.0095403857677</v>
      </c>
      <c r="G15" s="4">
        <v>3707.1797330145778</v>
      </c>
      <c r="H15" s="5">
        <f t="shared" si="0"/>
        <v>82.219092676879981</v>
      </c>
      <c r="I15" s="5">
        <v>11357.693597168418</v>
      </c>
      <c r="J15" s="5"/>
      <c r="K15" s="12">
        <v>11357.693597168418</v>
      </c>
      <c r="L15" s="5">
        <v>266.06013974059715</v>
      </c>
      <c r="M15" s="5">
        <v>14.355137756553116</v>
      </c>
      <c r="N15" s="6">
        <v>0</v>
      </c>
      <c r="O15" s="5">
        <v>280.41527749715021</v>
      </c>
      <c r="P15" s="5">
        <v>409.19748064532632</v>
      </c>
      <c r="Q15" s="5">
        <f t="shared" si="1"/>
        <v>68.52810458532646</v>
      </c>
    </row>
    <row r="16" spans="1:17" ht="21" customHeight="1" x14ac:dyDescent="0.25">
      <c r="A16" s="13">
        <v>45689</v>
      </c>
      <c r="B16" s="1">
        <v>12896</v>
      </c>
      <c r="C16" s="1">
        <v>29304.300000000032</v>
      </c>
      <c r="D16" s="1">
        <v>19262.127685331325</v>
      </c>
      <c r="E16" s="1">
        <v>1931003</v>
      </c>
      <c r="F16" s="1">
        <v>2861.4360965223186</v>
      </c>
      <c r="G16" s="1">
        <v>3486.9912664796402</v>
      </c>
      <c r="H16" s="2">
        <f t="shared" si="0"/>
        <v>82.060317272062946</v>
      </c>
      <c r="I16" s="2">
        <v>7086.0748299999996</v>
      </c>
      <c r="J16" s="2"/>
      <c r="K16" s="2">
        <v>7086.0748299999996</v>
      </c>
      <c r="L16" s="2">
        <v>252.41912791240435</v>
      </c>
      <c r="M16" s="2">
        <v>10.919597098388225</v>
      </c>
      <c r="N16" s="3">
        <v>0</v>
      </c>
      <c r="O16" s="2">
        <v>263.33872501079259</v>
      </c>
      <c r="P16" s="2">
        <v>385.24255370662593</v>
      </c>
      <c r="Q16" s="2">
        <f t="shared" si="1"/>
        <v>68.356603515647222</v>
      </c>
    </row>
    <row r="17" spans="1:17" ht="21" customHeight="1" x14ac:dyDescent="0.25">
      <c r="A17" s="14">
        <v>45717</v>
      </c>
      <c r="B17" s="4">
        <v>14996</v>
      </c>
      <c r="C17" s="4">
        <v>33683.366666666683</v>
      </c>
      <c r="D17" s="4">
        <v>22033.452851763923</v>
      </c>
      <c r="E17" s="4">
        <v>2071203</v>
      </c>
      <c r="F17" s="4">
        <v>2981.2985167779216</v>
      </c>
      <c r="G17" s="4">
        <v>3988.9407624119476</v>
      </c>
      <c r="H17" s="5">
        <f t="shared" si="0"/>
        <v>74.739102291788697</v>
      </c>
      <c r="I17" s="5">
        <v>9819.7633399999959</v>
      </c>
      <c r="J17" s="5"/>
      <c r="K17" s="5">
        <v>9819.7633399999959</v>
      </c>
      <c r="L17" s="5">
        <v>263.68530215125264</v>
      </c>
      <c r="M17" s="5">
        <v>13.866594107583188</v>
      </c>
      <c r="N17" s="6">
        <v>0</v>
      </c>
      <c r="O17" s="5">
        <v>277.55189625883577</v>
      </c>
      <c r="P17" s="5">
        <v>440.66905703527817</v>
      </c>
      <c r="Q17" s="5">
        <f t="shared" si="1"/>
        <v>62.984203639380134</v>
      </c>
    </row>
    <row r="18" spans="1:17" ht="21" customHeight="1" x14ac:dyDescent="0.25">
      <c r="A18" s="7" t="s">
        <v>22</v>
      </c>
      <c r="B18" s="8">
        <f>SUM(B6:B17)</f>
        <v>116190</v>
      </c>
      <c r="C18" s="8">
        <f t="shared" ref="C18:F18" si="2">SUM(C6:C17)</f>
        <v>291469.11666666676</v>
      </c>
      <c r="D18" s="8">
        <f t="shared" si="2"/>
        <v>191224.03221890936</v>
      </c>
      <c r="E18" s="8">
        <f t="shared" si="2"/>
        <v>16650522</v>
      </c>
      <c r="F18" s="8">
        <f t="shared" si="2"/>
        <v>27602.193018341593</v>
      </c>
      <c r="G18" s="8">
        <f>SUM(G6:G17)</f>
        <v>35390.344011056121</v>
      </c>
      <c r="H18" s="9">
        <f t="shared" ref="H18" si="3">F18/G18*100</f>
        <v>77.99357081614842</v>
      </c>
      <c r="I18" s="9">
        <f t="shared" ref="I18:P18" si="4">SUM(I6:I17)</f>
        <v>83133.961236747287</v>
      </c>
      <c r="J18" s="9">
        <f t="shared" si="4"/>
        <v>197.73745000000002</v>
      </c>
      <c r="K18" s="9">
        <f t="shared" si="4"/>
        <v>83331.698686747288</v>
      </c>
      <c r="L18" s="9">
        <f t="shared" si="4"/>
        <v>2293.9084458602006</v>
      </c>
      <c r="M18" s="9">
        <f t="shared" si="4"/>
        <v>135.07785266760811</v>
      </c>
      <c r="N18" s="10">
        <f t="shared" si="4"/>
        <v>0.15875813051103871</v>
      </c>
      <c r="O18" s="9">
        <f t="shared" si="4"/>
        <v>2429.1450566583198</v>
      </c>
      <c r="P18" s="9">
        <f t="shared" si="4"/>
        <v>3788.9224843781867</v>
      </c>
      <c r="Q18" s="9">
        <f t="shared" ref="Q18" si="5">O18/P18*100</f>
        <v>64.11176440462269</v>
      </c>
    </row>
    <row r="19" spans="1:17" ht="21" customHeight="1" x14ac:dyDescent="0.25">
      <c r="A19" s="17" t="s">
        <v>19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2022-04-25T06:57:26Z</cp:lastPrinted>
  <dcterms:created xsi:type="dcterms:W3CDTF">2020-06-03T10:33:04Z</dcterms:created>
  <dcterms:modified xsi:type="dcterms:W3CDTF">2025-11-24T07:38:37Z</dcterms:modified>
</cp:coreProperties>
</file>