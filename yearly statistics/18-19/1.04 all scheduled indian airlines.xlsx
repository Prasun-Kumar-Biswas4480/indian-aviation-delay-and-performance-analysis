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Anindya\ANNUAL PUBLICATION 2018-19\domestic\"/>
    </mc:Choice>
  </mc:AlternateContent>
  <xr:revisionPtr revIDLastSave="0" documentId="13_ncr:1_{0F875B2C-1009-4CCB-A61F-7A4B818D76D9}" xr6:coauthVersionLast="45" xr6:coauthVersionMax="45" xr10:uidLastSave="{00000000-0000-0000-0000-000000000000}"/>
  <bookViews>
    <workbookView showHorizontalScroll="0" showVerticalScroll="0" xWindow="-120" yWindow="-120" windowWidth="20730" windowHeight="11160" xr2:uid="{00000000-000D-0000-FFFF-FFFF00000000}"/>
  </bookViews>
  <sheets>
    <sheet name="2018-1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2" l="1"/>
  <c r="Q36" i="2"/>
  <c r="Q37" i="2" s="1"/>
  <c r="Q33" i="2"/>
  <c r="Q35" i="2" s="1"/>
  <c r="Q30" i="2"/>
  <c r="Q34" i="2" s="1"/>
  <c r="Q27" i="2"/>
  <c r="Q29" i="2" s="1"/>
  <c r="Q24" i="2"/>
  <c r="Q26" i="2" s="1"/>
  <c r="Q23" i="2"/>
  <c r="Q22" i="2"/>
  <c r="Q21" i="2"/>
  <c r="Q18" i="2"/>
  <c r="Q20" i="2" s="1"/>
  <c r="Q15" i="2"/>
  <c r="Q17" i="2" s="1"/>
  <c r="Q14" i="2"/>
  <c r="Q12" i="2"/>
  <c r="Q13" i="2" s="1"/>
  <c r="Q10" i="2"/>
  <c r="Q9" i="2"/>
  <c r="Q6" i="2"/>
  <c r="Q11" i="2" s="1"/>
  <c r="H36" i="2"/>
  <c r="H37" i="2" s="1"/>
  <c r="H33" i="2"/>
  <c r="H34" i="2" s="1"/>
  <c r="H30" i="2"/>
  <c r="H31" i="2" s="1"/>
  <c r="H27" i="2"/>
  <c r="H29" i="2" s="1"/>
  <c r="H24" i="2"/>
  <c r="H26" i="2" s="1"/>
  <c r="H22" i="2"/>
  <c r="H21" i="2"/>
  <c r="H18" i="2"/>
  <c r="H20" i="2" s="1"/>
  <c r="H15" i="2"/>
  <c r="H19" i="2" s="1"/>
  <c r="H14" i="2"/>
  <c r="H12" i="2"/>
  <c r="H13" i="2" s="1"/>
  <c r="H9" i="2"/>
  <c r="H6" i="2"/>
  <c r="H38" i="2" s="1"/>
  <c r="Q31" i="2" l="1"/>
  <c r="Q32" i="2"/>
  <c r="Q16" i="2"/>
  <c r="Q25" i="2"/>
  <c r="Q19" i="2"/>
  <c r="Q28" i="2"/>
  <c r="H23" i="2"/>
  <c r="H32" i="2"/>
  <c r="H17" i="2"/>
  <c r="H25" i="2"/>
  <c r="H10" i="2"/>
  <c r="H11" i="2"/>
  <c r="H35" i="2"/>
  <c r="H28" i="2"/>
  <c r="H16" i="2"/>
  <c r="P36" i="2" l="1"/>
  <c r="O36" i="2"/>
  <c r="N36" i="2"/>
  <c r="M36" i="2"/>
  <c r="L36" i="2"/>
  <c r="G36" i="2"/>
  <c r="F36" i="2"/>
  <c r="P38" i="2" l="1"/>
  <c r="O38" i="2"/>
  <c r="N38" i="2"/>
  <c r="M38" i="2"/>
  <c r="L38" i="2"/>
  <c r="K38" i="2"/>
  <c r="J38" i="2"/>
  <c r="I38" i="2"/>
  <c r="G38" i="2"/>
  <c r="F38" i="2"/>
  <c r="E38" i="2"/>
  <c r="D38" i="2"/>
  <c r="C38" i="2"/>
  <c r="B38" i="2"/>
  <c r="P37" i="2"/>
  <c r="O37" i="2"/>
  <c r="N37" i="2"/>
  <c r="M37" i="2"/>
  <c r="L37" i="2"/>
  <c r="K37" i="2"/>
  <c r="J37" i="2"/>
  <c r="I37" i="2"/>
  <c r="G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<sst xmlns="http://schemas.openxmlformats.org/spreadsheetml/2006/main" count="91" uniqueCount="39">
  <si>
    <t>YEAR-WISE DETAILS OF ANNUAL TRAFFIC AND OPERATING STATISTICS ON DOMESTIC SCHEDULED SERVICES OF ALL SCHEDULED INDIAN AIRLINES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</si>
  <si>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</si>
  <si>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</si>
  <si>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</si>
  <si>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</si>
  <si>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</si>
  <si>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</si>
  <si>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</si>
  <si>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</si>
  <si>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</si>
  <si>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</si>
  <si>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</si>
  <si>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</si>
  <si>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</si>
  <si>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</si>
  <si>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</si>
  <si>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</si>
  <si>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</si>
  <si>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</si>
  <si>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</si>
  <si>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</si>
  <si>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</si>
  <si>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</si>
  <si>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</si>
  <si>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</si>
  <si>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</si>
  <si>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</si>
  <si>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</si>
  <si>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</si>
  <si>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</si>
  <si>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</si>
  <si>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</si>
  <si>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CAGR</t>
  </si>
  <si>
    <t xml:space="preserve">तालिका - 1.04 (सभी अनुसूचित भारतीय एयरलाइन्स) </t>
  </si>
  <si>
    <t>TABLE - 1.04 (ALL SCHEDULED INDIAN AIRLINES)</t>
  </si>
  <si>
    <t>-</t>
  </si>
  <si>
    <t>Growth</t>
  </si>
  <si>
    <t>2018-19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</si>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</sst>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9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5" fillId="3" borderId="2" xfId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2" xfId="1" applyAlignment="1">
      <alignment horizontal="center" vertical="center" wrapText="1"/>
    </xf>
    <xf numFmtId="0" fontId="5" fillId="3" borderId="2" xfId="1" quotePrefix="1" applyAlignment="1" applyProtection="1">
      <alignment horizontal="center" vertical="center" wrapText="1"/>
    </xf>
    <xf numFmtId="0" fontId="5" fillId="3" borderId="2" xfId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  <xf numFmtId="166" fontId="7" fillId="3" borderId="2" xfId="4" applyNumberFormat="1" applyFont="1" applyFill="1" applyBorder="1" applyAlignment="1" applyProtection="1">
      <alignment horizontal="center" vertical="center" wrapText="1"/>
    </xf>
    <xf numFmtId="166" fontId="8" fillId="5" borderId="1" xfId="3" applyNumberFormat="1" applyFont="1" applyBorder="1" applyAlignment="1" applyProtection="1">
      <alignment horizontal="center" vertical="center" wrapText="1"/>
    </xf>
    <xf numFmtId="166" fontId="8" fillId="0" borderId="0" xfId="0" applyNumberFormat="1" applyFont="1" applyAlignment="1">
      <alignment horizontal="center" vertical="center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tabSelected="1" view="pageBreakPreview" topLeftCell="A25" zoomScale="98" zoomScaleNormal="100" zoomScaleSheetLayoutView="98" workbookViewId="0">
      <selection activeCell="A40" sqref="A40:Q40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7.85546875" customWidth="1"/>
    <col min="5" max="5" width="11.28515625" customWidth="1"/>
    <col min="6" max="6" width="8.28515625" customWidth="1"/>
    <col min="7" max="7" width="8.140625" customWidth="1"/>
    <col min="8" max="8" width="6.42578125" customWidth="1"/>
    <col min="9" max="9" width="9.42578125" customWidth="1"/>
    <col min="10" max="10" width="8.57031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6" customWidth="1"/>
  </cols>
  <sheetData>
    <row r="1" spans="1:17" x14ac:dyDescent="0.25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1.75" customHeight="1" x14ac:dyDescent="0.25">
      <c r="A3" s="17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25.5" customHeight="1" x14ac:dyDescent="0.25">
      <c r="A4" s="17" t="s">
        <v>1</v>
      </c>
      <c r="B4" s="17" t="s">
        <v>2</v>
      </c>
      <c r="C4" s="17"/>
      <c r="D4" s="17"/>
      <c r="E4" s="17" t="s">
        <v>3</v>
      </c>
      <c r="F4" s="18"/>
      <c r="G4" s="10" t="s">
        <v>4</v>
      </c>
      <c r="H4" s="10" t="s">
        <v>5</v>
      </c>
      <c r="I4" s="17" t="s">
        <v>6</v>
      </c>
      <c r="J4" s="17"/>
      <c r="K4" s="17"/>
      <c r="L4" s="17" t="s">
        <v>7</v>
      </c>
      <c r="M4" s="17"/>
      <c r="N4" s="17"/>
      <c r="O4" s="17"/>
      <c r="P4" s="10" t="s">
        <v>8</v>
      </c>
      <c r="Q4" s="10" t="s">
        <v>9</v>
      </c>
    </row>
    <row r="5" spans="1:17" ht="104.25" customHeight="1" x14ac:dyDescent="0.25">
      <c r="A5" s="17"/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11"/>
      <c r="H5" s="11"/>
      <c r="I5" s="8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16</v>
      </c>
      <c r="O5" s="8" t="s">
        <v>17</v>
      </c>
      <c r="P5" s="11"/>
      <c r="Q5" s="11"/>
    </row>
    <row r="6" spans="1:17" s="4" customFormat="1" ht="20.100000000000001" customHeight="1" x14ac:dyDescent="0.25">
      <c r="A6" s="5" t="s">
        <v>20</v>
      </c>
      <c r="B6" s="1">
        <v>509567</v>
      </c>
      <c r="C6" s="1">
        <v>808442</v>
      </c>
      <c r="D6" s="1">
        <v>426099</v>
      </c>
      <c r="E6" s="1">
        <v>39467072</v>
      </c>
      <c r="F6" s="1">
        <v>37703.882999999973</v>
      </c>
      <c r="G6" s="1">
        <v>59159.773000000001</v>
      </c>
      <c r="H6" s="19">
        <f>F6/G6*100</f>
        <v>63.732298296682053</v>
      </c>
      <c r="I6" s="2">
        <v>252971</v>
      </c>
      <c r="J6" s="2">
        <v>24637</v>
      </c>
      <c r="K6" s="2">
        <v>277608</v>
      </c>
      <c r="L6" s="2">
        <v>3259.7223550000008</v>
      </c>
      <c r="M6" s="2">
        <v>236.43499999999995</v>
      </c>
      <c r="N6" s="2">
        <v>23.814</v>
      </c>
      <c r="O6" s="2">
        <v>3519.9713550000006</v>
      </c>
      <c r="P6" s="2">
        <v>5908.4749309999988</v>
      </c>
      <c r="Q6" s="19">
        <f>O6/P6*100</f>
        <v>59.574956246861014</v>
      </c>
    </row>
    <row r="7" spans="1:17" s="4" customFormat="1" ht="20.100000000000001" customHeight="1" x14ac:dyDescent="0.25">
      <c r="A7" s="6" t="s">
        <v>36</v>
      </c>
      <c r="B7" s="3" t="s">
        <v>35</v>
      </c>
      <c r="C7" s="3" t="s">
        <v>35</v>
      </c>
      <c r="D7" s="3" t="s">
        <v>35</v>
      </c>
      <c r="E7" s="3" t="s">
        <v>35</v>
      </c>
      <c r="F7" s="3" t="s">
        <v>35</v>
      </c>
      <c r="G7" s="3" t="s">
        <v>35</v>
      </c>
      <c r="H7" s="20" t="s">
        <v>35</v>
      </c>
      <c r="I7" s="3" t="s">
        <v>35</v>
      </c>
      <c r="J7" s="3" t="s">
        <v>35</v>
      </c>
      <c r="K7" s="3" t="s">
        <v>35</v>
      </c>
      <c r="L7" s="3" t="s">
        <v>35</v>
      </c>
      <c r="M7" s="3" t="s">
        <v>35</v>
      </c>
      <c r="N7" s="3" t="s">
        <v>35</v>
      </c>
      <c r="O7" s="3" t="s">
        <v>35</v>
      </c>
      <c r="P7" s="3" t="s">
        <v>35</v>
      </c>
      <c r="Q7" s="20" t="s">
        <v>35</v>
      </c>
    </row>
    <row r="8" spans="1:17" s="4" customFormat="1" ht="20.100000000000001" customHeight="1" x14ac:dyDescent="0.25">
      <c r="A8" s="7" t="s">
        <v>32</v>
      </c>
      <c r="B8" s="4" t="s">
        <v>35</v>
      </c>
      <c r="C8" s="4" t="s">
        <v>35</v>
      </c>
      <c r="D8" s="4" t="s">
        <v>35</v>
      </c>
      <c r="E8" s="4" t="s">
        <v>35</v>
      </c>
      <c r="F8" s="4" t="s">
        <v>35</v>
      </c>
      <c r="G8" s="4" t="s">
        <v>35</v>
      </c>
      <c r="H8" s="21" t="s">
        <v>35</v>
      </c>
      <c r="I8" s="4" t="s">
        <v>35</v>
      </c>
      <c r="J8" s="4" t="s">
        <v>35</v>
      </c>
      <c r="K8" s="4" t="s">
        <v>35</v>
      </c>
      <c r="L8" s="4" t="s">
        <v>35</v>
      </c>
      <c r="M8" s="4" t="s">
        <v>35</v>
      </c>
      <c r="N8" s="4" t="s">
        <v>35</v>
      </c>
      <c r="O8" s="4" t="s">
        <v>35</v>
      </c>
      <c r="P8" s="4" t="s">
        <v>35</v>
      </c>
      <c r="Q8" s="21" t="s">
        <v>35</v>
      </c>
    </row>
    <row r="9" spans="1:17" s="4" customFormat="1" ht="20.100000000000001" customHeight="1" x14ac:dyDescent="0.25">
      <c r="A9" s="5" t="s">
        <v>21</v>
      </c>
      <c r="B9" s="1">
        <v>512923</v>
      </c>
      <c r="C9" s="1">
        <v>820991.07000000007</v>
      </c>
      <c r="D9" s="1">
        <v>412594.40400000004</v>
      </c>
      <c r="E9" s="1">
        <v>45337263</v>
      </c>
      <c r="F9" s="1">
        <v>43959.366477000032</v>
      </c>
      <c r="G9" s="1">
        <v>61090.525477000025</v>
      </c>
      <c r="H9" s="19">
        <f>F9/G9*100</f>
        <v>71.957748167594829</v>
      </c>
      <c r="I9" s="2">
        <v>298245</v>
      </c>
      <c r="J9" s="2">
        <v>29658.502</v>
      </c>
      <c r="K9" s="2">
        <v>327903.50199999998</v>
      </c>
      <c r="L9" s="2">
        <v>3705.8688280000001</v>
      </c>
      <c r="M9" s="2">
        <v>285.55206400000003</v>
      </c>
      <c r="N9" s="2">
        <v>28.577999999999999</v>
      </c>
      <c r="O9" s="2">
        <v>4019.9988920000001</v>
      </c>
      <c r="P9" s="2">
        <v>6128.9993019999993</v>
      </c>
      <c r="Q9" s="19">
        <f>O9/P9*100</f>
        <v>65.589808285476622</v>
      </c>
    </row>
    <row r="10" spans="1:17" s="4" customFormat="1" ht="20.100000000000001" customHeight="1" x14ac:dyDescent="0.25">
      <c r="A10" s="6" t="s">
        <v>36</v>
      </c>
      <c r="B10" s="24">
        <f t="shared" ref="B10:Q10" si="0">(B9-B6)/B6</f>
        <v>6.5859837862341951E-3</v>
      </c>
      <c r="C10" s="24">
        <f t="shared" si="0"/>
        <v>1.5522535939498523E-2</v>
      </c>
      <c r="D10" s="24">
        <f t="shared" si="0"/>
        <v>-3.1693564171706483E-2</v>
      </c>
      <c r="E10" s="24">
        <f t="shared" si="0"/>
        <v>0.14873642007190196</v>
      </c>
      <c r="F10" s="24">
        <f t="shared" si="0"/>
        <v>0.16591085530898939</v>
      </c>
      <c r="G10" s="24">
        <f t="shared" si="0"/>
        <v>3.2636238766501416E-2</v>
      </c>
      <c r="H10" s="22">
        <f t="shared" si="0"/>
        <v>0.12906250191421387</v>
      </c>
      <c r="I10" s="24">
        <f t="shared" si="0"/>
        <v>0.1789691308489906</v>
      </c>
      <c r="J10" s="24">
        <f t="shared" si="0"/>
        <v>0.20381953971668629</v>
      </c>
      <c r="K10" s="24">
        <f t="shared" si="0"/>
        <v>0.18117454107950773</v>
      </c>
      <c r="L10" s="24">
        <f t="shared" si="0"/>
        <v>0.13686640284429968</v>
      </c>
      <c r="M10" s="24">
        <f t="shared" si="0"/>
        <v>0.20774024150400786</v>
      </c>
      <c r="N10" s="24">
        <f t="shared" si="0"/>
        <v>0.20005039052658097</v>
      </c>
      <c r="O10" s="24">
        <f t="shared" si="0"/>
        <v>0.14205443356512751</v>
      </c>
      <c r="P10" s="24">
        <f t="shared" si="0"/>
        <v>3.7323399620936885E-2</v>
      </c>
      <c r="Q10" s="22">
        <f t="shared" si="0"/>
        <v>0.10096276048767604</v>
      </c>
    </row>
    <row r="11" spans="1:17" s="4" customFormat="1" ht="20.100000000000001" customHeight="1" x14ac:dyDescent="0.25">
      <c r="A11" s="7" t="s">
        <v>32</v>
      </c>
      <c r="B11" s="25">
        <f t="shared" ref="B11:Q11" si="1">(((B9/B6)^(1/1))-1)</f>
        <v>6.5859837862340953E-3</v>
      </c>
      <c r="C11" s="25">
        <f t="shared" si="1"/>
        <v>1.5522535939498594E-2</v>
      </c>
      <c r="D11" s="25">
        <f t="shared" si="1"/>
        <v>-3.1693564171706434E-2</v>
      </c>
      <c r="E11" s="25">
        <f t="shared" si="1"/>
        <v>0.14873642007190191</v>
      </c>
      <c r="F11" s="25">
        <f t="shared" si="1"/>
        <v>0.16591085530898941</v>
      </c>
      <c r="G11" s="25">
        <f t="shared" si="1"/>
        <v>3.2636238766501346E-2</v>
      </c>
      <c r="H11" s="23">
        <f t="shared" si="1"/>
        <v>0.12906250191421376</v>
      </c>
      <c r="I11" s="25">
        <f t="shared" si="1"/>
        <v>0.17896913084899069</v>
      </c>
      <c r="J11" s="25">
        <f t="shared" si="1"/>
        <v>0.2038195397166862</v>
      </c>
      <c r="K11" s="25">
        <f t="shared" si="1"/>
        <v>0.18117454107950781</v>
      </c>
      <c r="L11" s="25">
        <f t="shared" si="1"/>
        <v>0.13686640284429963</v>
      </c>
      <c r="M11" s="25">
        <f t="shared" si="1"/>
        <v>0.20774024150400794</v>
      </c>
      <c r="N11" s="25">
        <f t="shared" si="1"/>
        <v>0.20005039052658091</v>
      </c>
      <c r="O11" s="25">
        <f t="shared" si="1"/>
        <v>0.14205443356512748</v>
      </c>
      <c r="P11" s="25">
        <f t="shared" si="1"/>
        <v>3.7323399620936781E-2</v>
      </c>
      <c r="Q11" s="23">
        <f t="shared" si="1"/>
        <v>0.10096276048767594</v>
      </c>
    </row>
    <row r="12" spans="1:17" s="4" customFormat="1" ht="20.100000000000001" customHeight="1" x14ac:dyDescent="0.25">
      <c r="A12" s="5" t="s">
        <v>22</v>
      </c>
      <c r="B12" s="1">
        <v>531052</v>
      </c>
      <c r="C12" s="1">
        <v>892629.86999999988</v>
      </c>
      <c r="D12" s="1">
        <v>438558.80700000003</v>
      </c>
      <c r="E12" s="1">
        <v>53842538</v>
      </c>
      <c r="F12" s="1">
        <v>52707.259845999994</v>
      </c>
      <c r="G12" s="1">
        <v>68215.732792999988</v>
      </c>
      <c r="H12" s="19">
        <f t="shared" ref="H12:H36" si="2">F12/G12*100</f>
        <v>77.265548119140917</v>
      </c>
      <c r="I12" s="2">
        <v>360766</v>
      </c>
      <c r="J12" s="2">
        <v>21278.800000000003</v>
      </c>
      <c r="K12" s="2">
        <v>382044.8</v>
      </c>
      <c r="L12" s="2">
        <v>4363.2996750000002</v>
      </c>
      <c r="M12" s="2">
        <v>374.87342400000006</v>
      </c>
      <c r="N12" s="2">
        <v>20.253000000000004</v>
      </c>
      <c r="O12" s="2">
        <v>4758.4260990000002</v>
      </c>
      <c r="P12" s="2">
        <v>6777.6978010000012</v>
      </c>
      <c r="Q12" s="19">
        <f t="shared" ref="Q12:Q36" si="3">O12/P12*100</f>
        <v>70.207115140157597</v>
      </c>
    </row>
    <row r="13" spans="1:17" s="4" customFormat="1" ht="20.100000000000001" customHeight="1" x14ac:dyDescent="0.25">
      <c r="A13" s="6" t="s">
        <v>36</v>
      </c>
      <c r="B13" s="24">
        <f t="shared" ref="B13:Q13" si="4">(B12-B9)/B9</f>
        <v>3.5344486404392084E-2</v>
      </c>
      <c r="C13" s="24">
        <f t="shared" si="4"/>
        <v>8.7258927189061641E-2</v>
      </c>
      <c r="D13" s="24">
        <f t="shared" si="4"/>
        <v>6.2929605317671708E-2</v>
      </c>
      <c r="E13" s="24">
        <f t="shared" si="4"/>
        <v>0.18760009840029382</v>
      </c>
      <c r="F13" s="24">
        <f t="shared" si="4"/>
        <v>0.19899953229710315</v>
      </c>
      <c r="G13" s="24">
        <f t="shared" si="4"/>
        <v>0.11663359023949685</v>
      </c>
      <c r="H13" s="22">
        <f t="shared" si="4"/>
        <v>7.3762730028513884E-2</v>
      </c>
      <c r="I13" s="24">
        <f t="shared" si="4"/>
        <v>0.2096296668846083</v>
      </c>
      <c r="J13" s="24">
        <f t="shared" si="4"/>
        <v>-0.28253962388255471</v>
      </c>
      <c r="K13" s="24">
        <f t="shared" si="4"/>
        <v>0.16511350952268883</v>
      </c>
      <c r="L13" s="24">
        <f t="shared" si="4"/>
        <v>0.17740262203365825</v>
      </c>
      <c r="M13" s="24">
        <f t="shared" si="4"/>
        <v>0.31280236167370173</v>
      </c>
      <c r="N13" s="24">
        <f t="shared" si="4"/>
        <v>-0.29130799916019301</v>
      </c>
      <c r="O13" s="24">
        <f t="shared" si="4"/>
        <v>0.18368841057879579</v>
      </c>
      <c r="P13" s="24">
        <f t="shared" si="4"/>
        <v>0.10584085052649954</v>
      </c>
      <c r="Q13" s="22">
        <f t="shared" si="4"/>
        <v>7.0396712162724431E-2</v>
      </c>
    </row>
    <row r="14" spans="1:17" s="4" customFormat="1" ht="20.100000000000001" customHeight="1" x14ac:dyDescent="0.25">
      <c r="A14" s="7" t="s">
        <v>32</v>
      </c>
      <c r="B14" s="25">
        <f t="shared" ref="B14:Q14" si="5">(((B12/B6)^(1/2))-1)</f>
        <v>2.086397154812869E-2</v>
      </c>
      <c r="C14" s="25">
        <f t="shared" si="5"/>
        <v>5.0778731685169998E-2</v>
      </c>
      <c r="D14" s="25">
        <f t="shared" si="5"/>
        <v>1.4515439833977739E-2</v>
      </c>
      <c r="E14" s="25">
        <f t="shared" si="5"/>
        <v>0.16800662905370189</v>
      </c>
      <c r="F14" s="25">
        <f t="shared" si="5"/>
        <v>0.18233944796559753</v>
      </c>
      <c r="G14" s="25">
        <f t="shared" si="5"/>
        <v>7.3813908787387916E-2</v>
      </c>
      <c r="H14" s="23">
        <f t="shared" si="5"/>
        <v>0.10106549960855205</v>
      </c>
      <c r="I14" s="25">
        <f t="shared" si="5"/>
        <v>0.19420100360705628</v>
      </c>
      <c r="J14" s="25">
        <f t="shared" si="5"/>
        <v>-7.0649248269167408E-2</v>
      </c>
      <c r="K14" s="25">
        <f t="shared" si="5"/>
        <v>0.17311653935830118</v>
      </c>
      <c r="L14" s="25">
        <f t="shared" si="5"/>
        <v>0.15695699298238885</v>
      </c>
      <c r="M14" s="25">
        <f t="shared" si="5"/>
        <v>0.25917601682005853</v>
      </c>
      <c r="N14" s="25">
        <f t="shared" si="5"/>
        <v>-7.779280399095001E-2</v>
      </c>
      <c r="O14" s="25">
        <f t="shared" si="5"/>
        <v>0.1626850808629019</v>
      </c>
      <c r="P14" s="25">
        <f t="shared" si="5"/>
        <v>7.1034355428366558E-2</v>
      </c>
      <c r="Q14" s="23">
        <f t="shared" si="5"/>
        <v>8.5572162059992074E-2</v>
      </c>
    </row>
    <row r="15" spans="1:17" s="4" customFormat="1" ht="20.100000000000001" customHeight="1" x14ac:dyDescent="0.25">
      <c r="A15" s="5" t="s">
        <v>23</v>
      </c>
      <c r="B15" s="1">
        <v>600509</v>
      </c>
      <c r="C15" s="1">
        <v>987924.72</v>
      </c>
      <c r="D15" s="1">
        <v>500233.22900000005</v>
      </c>
      <c r="E15" s="1">
        <v>60837455</v>
      </c>
      <c r="F15" s="1">
        <v>59084.130873000009</v>
      </c>
      <c r="G15" s="1">
        <v>78638.841017000028</v>
      </c>
      <c r="H15" s="19">
        <f t="shared" si="2"/>
        <v>75.133521945252596</v>
      </c>
      <c r="I15" s="2">
        <v>345248.33999999997</v>
      </c>
      <c r="J15" s="2">
        <v>15464</v>
      </c>
      <c r="K15" s="2">
        <v>360712.33999999997</v>
      </c>
      <c r="L15" s="2">
        <v>5066.0135989999999</v>
      </c>
      <c r="M15" s="2">
        <v>374.98542800000001</v>
      </c>
      <c r="N15" s="2">
        <v>18.087</v>
      </c>
      <c r="O15" s="2">
        <v>5459.0860270000003</v>
      </c>
      <c r="P15" s="2">
        <v>8032.6233609999981</v>
      </c>
      <c r="Q15" s="19">
        <f t="shared" si="3"/>
        <v>67.961434037912952</v>
      </c>
    </row>
    <row r="16" spans="1:17" s="4" customFormat="1" ht="20.100000000000001" customHeight="1" x14ac:dyDescent="0.25">
      <c r="A16" s="6" t="s">
        <v>36</v>
      </c>
      <c r="B16" s="24">
        <f t="shared" ref="B16:Q16" si="6">(B15-B12)/B12</f>
        <v>0.13079133493518524</v>
      </c>
      <c r="C16" s="24">
        <f t="shared" si="6"/>
        <v>0.10675740662812472</v>
      </c>
      <c r="D16" s="24">
        <f t="shared" si="6"/>
        <v>0.14062976507504046</v>
      </c>
      <c r="E16" s="24">
        <f t="shared" si="6"/>
        <v>0.12991432536111133</v>
      </c>
      <c r="F16" s="24">
        <f t="shared" si="6"/>
        <v>0.12098657842642455</v>
      </c>
      <c r="G16" s="24">
        <f t="shared" si="6"/>
        <v>0.15279625091221793</v>
      </c>
      <c r="H16" s="22">
        <f t="shared" si="6"/>
        <v>-2.7593490576172535E-2</v>
      </c>
      <c r="I16" s="24">
        <f t="shared" si="6"/>
        <v>-4.3013088816573716E-2</v>
      </c>
      <c r="J16" s="24">
        <f t="shared" si="6"/>
        <v>-0.27326728950880697</v>
      </c>
      <c r="K16" s="24">
        <f t="shared" si="6"/>
        <v>-5.5837587633701655E-2</v>
      </c>
      <c r="L16" s="24">
        <f t="shared" si="6"/>
        <v>0.16105103392881207</v>
      </c>
      <c r="M16" s="24">
        <f t="shared" si="6"/>
        <v>2.9877818172556356E-4</v>
      </c>
      <c r="N16" s="24">
        <f t="shared" si="6"/>
        <v>-0.1069471189453416</v>
      </c>
      <c r="O16" s="24">
        <f t="shared" si="6"/>
        <v>0.14724615102192007</v>
      </c>
      <c r="P16" s="24">
        <f t="shared" si="6"/>
        <v>0.18515513627869948</v>
      </c>
      <c r="Q16" s="22">
        <f t="shared" si="6"/>
        <v>-3.1986517289045314E-2</v>
      </c>
    </row>
    <row r="17" spans="1:17" s="4" customFormat="1" ht="20.100000000000001" customHeight="1" x14ac:dyDescent="0.25">
      <c r="A17" s="7" t="s">
        <v>32</v>
      </c>
      <c r="B17" s="25">
        <f t="shared" ref="B17:Q17" si="7">(((B15/B6)^(1/3))-1)</f>
        <v>5.6264641261960735E-2</v>
      </c>
      <c r="C17" s="25">
        <f t="shared" si="7"/>
        <v>6.9116408224808801E-2</v>
      </c>
      <c r="D17" s="25">
        <f t="shared" si="7"/>
        <v>5.4922788516427179E-2</v>
      </c>
      <c r="E17" s="25">
        <f t="shared" si="7"/>
        <v>0.15516860363682849</v>
      </c>
      <c r="F17" s="25">
        <f t="shared" si="7"/>
        <v>0.16152418617644693</v>
      </c>
      <c r="G17" s="25">
        <f t="shared" si="7"/>
        <v>9.952101680562575E-2</v>
      </c>
      <c r="H17" s="23">
        <f t="shared" si="7"/>
        <v>5.6391072497145478E-2</v>
      </c>
      <c r="I17" s="25">
        <f t="shared" si="7"/>
        <v>0.1092266293416384</v>
      </c>
      <c r="J17" s="25">
        <f t="shared" si="7"/>
        <v>-0.1437945146760915</v>
      </c>
      <c r="K17" s="25">
        <f t="shared" si="7"/>
        <v>9.121335913334816E-2</v>
      </c>
      <c r="L17" s="25">
        <f t="shared" si="7"/>
        <v>0.15832006675606247</v>
      </c>
      <c r="M17" s="25">
        <f t="shared" si="7"/>
        <v>0.16618524315889682</v>
      </c>
      <c r="N17" s="25">
        <f t="shared" si="7"/>
        <v>-8.7615154575947485E-2</v>
      </c>
      <c r="O17" s="25">
        <f t="shared" si="7"/>
        <v>0.1575158226295994</v>
      </c>
      <c r="P17" s="25">
        <f t="shared" si="7"/>
        <v>0.10779823511207431</v>
      </c>
      <c r="Q17" s="23">
        <f t="shared" si="7"/>
        <v>4.487964138388012E-2</v>
      </c>
    </row>
    <row r="18" spans="1:17" s="4" customFormat="1" ht="20.100000000000001" customHeight="1" x14ac:dyDescent="0.25">
      <c r="A18" s="5" t="s">
        <v>24</v>
      </c>
      <c r="B18" s="1">
        <v>554058</v>
      </c>
      <c r="C18" s="1">
        <v>903440.7899999998</v>
      </c>
      <c r="D18" s="1">
        <v>474809.71199999994</v>
      </c>
      <c r="E18" s="1">
        <v>57867052</v>
      </c>
      <c r="F18" s="1">
        <v>56739.181310000022</v>
      </c>
      <c r="G18" s="1">
        <v>76147.903636000017</v>
      </c>
      <c r="H18" s="19">
        <f t="shared" si="2"/>
        <v>74.511810044335562</v>
      </c>
      <c r="I18" s="2">
        <v>368873.26</v>
      </c>
      <c r="J18" s="2">
        <v>4220.58</v>
      </c>
      <c r="K18" s="2">
        <v>373093.84</v>
      </c>
      <c r="L18" s="2">
        <v>4857.1924048549145</v>
      </c>
      <c r="M18" s="2">
        <v>424.3158899999998</v>
      </c>
      <c r="N18" s="2">
        <v>16.936000000000007</v>
      </c>
      <c r="O18" s="2">
        <v>5298.444294854914</v>
      </c>
      <c r="P18" s="2">
        <v>7842.8224529044828</v>
      </c>
      <c r="Q18" s="19">
        <f t="shared" si="3"/>
        <v>67.557876347088637</v>
      </c>
    </row>
    <row r="19" spans="1:17" s="4" customFormat="1" ht="20.100000000000001" customHeight="1" x14ac:dyDescent="0.25">
      <c r="A19" s="6" t="s">
        <v>36</v>
      </c>
      <c r="B19" s="24">
        <f t="shared" ref="B19:Q19" si="8">(B18-B15)/B15</f>
        <v>-7.7352712448939154E-2</v>
      </c>
      <c r="C19" s="24">
        <f t="shared" si="8"/>
        <v>-8.551656648494449E-2</v>
      </c>
      <c r="D19" s="24">
        <f t="shared" si="8"/>
        <v>-5.0823327052509956E-2</v>
      </c>
      <c r="E19" s="24">
        <f t="shared" si="8"/>
        <v>-4.8825234388913868E-2</v>
      </c>
      <c r="F19" s="24">
        <f t="shared" si="8"/>
        <v>-3.9688314414582877E-2</v>
      </c>
      <c r="G19" s="24">
        <f t="shared" si="8"/>
        <v>-3.1675662418034919E-2</v>
      </c>
      <c r="H19" s="22">
        <f t="shared" si="8"/>
        <v>-8.2747605172835675E-3</v>
      </c>
      <c r="I19" s="24">
        <f t="shared" si="8"/>
        <v>6.8428772170200866E-2</v>
      </c>
      <c r="J19" s="24">
        <f t="shared" si="8"/>
        <v>-0.72707061562338338</v>
      </c>
      <c r="K19" s="24">
        <f t="shared" si="8"/>
        <v>3.4325135646870467E-2</v>
      </c>
      <c r="L19" s="24">
        <f t="shared" si="8"/>
        <v>-4.1220022422818893E-2</v>
      </c>
      <c r="M19" s="24">
        <f t="shared" si="8"/>
        <v>0.1315530106412556</v>
      </c>
      <c r="N19" s="24">
        <f t="shared" si="8"/>
        <v>-6.3636866257532634E-2</v>
      </c>
      <c r="O19" s="24">
        <f t="shared" si="8"/>
        <v>-2.9426488491035144E-2</v>
      </c>
      <c r="P19" s="24">
        <f t="shared" si="8"/>
        <v>-2.3628757326907283E-2</v>
      </c>
      <c r="Q19" s="22">
        <f t="shared" si="8"/>
        <v>-5.938039662305915E-3</v>
      </c>
    </row>
    <row r="20" spans="1:17" s="4" customFormat="1" ht="20.100000000000001" customHeight="1" x14ac:dyDescent="0.25">
      <c r="A20" s="7" t="s">
        <v>32</v>
      </c>
      <c r="B20" s="25">
        <f t="shared" ref="B20:Q20" si="9">(((B18/B6)^(1/4))-1)</f>
        <v>2.1147512531350499E-2</v>
      </c>
      <c r="C20" s="25">
        <f t="shared" si="9"/>
        <v>2.8164741733518461E-2</v>
      </c>
      <c r="D20" s="25">
        <f t="shared" si="9"/>
        <v>2.7430064119623898E-2</v>
      </c>
      <c r="E20" s="25">
        <f t="shared" si="9"/>
        <v>0.1003962774217857</v>
      </c>
      <c r="F20" s="25">
        <f t="shared" si="9"/>
        <v>0.1075778107638794</v>
      </c>
      <c r="G20" s="25">
        <f t="shared" si="9"/>
        <v>6.5142866586587633E-2</v>
      </c>
      <c r="H20" s="23">
        <f t="shared" si="9"/>
        <v>3.9839673632966477E-2</v>
      </c>
      <c r="I20" s="25">
        <f t="shared" si="9"/>
        <v>9.8883390436707685E-2</v>
      </c>
      <c r="J20" s="25">
        <f t="shared" si="9"/>
        <v>-0.35665181766052223</v>
      </c>
      <c r="K20" s="25">
        <f t="shared" si="9"/>
        <v>7.6704493011858776E-2</v>
      </c>
      <c r="L20" s="25">
        <f t="shared" si="9"/>
        <v>0.10484454076697247</v>
      </c>
      <c r="M20" s="25">
        <f t="shared" si="9"/>
        <v>0.15742906038590587</v>
      </c>
      <c r="N20" s="25">
        <f t="shared" si="9"/>
        <v>-8.1678771355165658E-2</v>
      </c>
      <c r="O20" s="25">
        <f t="shared" si="9"/>
        <v>0.10764938542562907</v>
      </c>
      <c r="P20" s="25">
        <f t="shared" si="9"/>
        <v>7.3369490129075121E-2</v>
      </c>
      <c r="Q20" s="23">
        <f t="shared" si="9"/>
        <v>3.1936714814235767E-2</v>
      </c>
    </row>
    <row r="21" spans="1:17" s="4" customFormat="1" ht="20.100000000000001" customHeight="1" x14ac:dyDescent="0.25">
      <c r="A21" s="5" t="s">
        <v>25</v>
      </c>
      <c r="B21" s="1">
        <v>588630</v>
      </c>
      <c r="C21" s="1">
        <v>974029.45</v>
      </c>
      <c r="D21" s="1">
        <v>499922.66200000001</v>
      </c>
      <c r="E21" s="1">
        <v>60668409</v>
      </c>
      <c r="F21" s="1">
        <v>59138.948364000018</v>
      </c>
      <c r="G21" s="1">
        <v>80716.19875299999</v>
      </c>
      <c r="H21" s="19">
        <f t="shared" si="2"/>
        <v>73.267757002496353</v>
      </c>
      <c r="I21" s="2">
        <v>505284</v>
      </c>
      <c r="J21" s="2">
        <v>3660</v>
      </c>
      <c r="K21" s="2">
        <v>508944</v>
      </c>
      <c r="L21" s="2">
        <v>5101.4660340058517</v>
      </c>
      <c r="M21" s="2">
        <v>554.09655500000019</v>
      </c>
      <c r="N21" s="2">
        <v>18.398000000000007</v>
      </c>
      <c r="O21" s="2">
        <v>5673.9605890058519</v>
      </c>
      <c r="P21" s="2">
        <v>8389.9665435406259</v>
      </c>
      <c r="Q21" s="19">
        <f t="shared" si="3"/>
        <v>67.62792866408023</v>
      </c>
    </row>
    <row r="22" spans="1:17" s="4" customFormat="1" ht="20.100000000000001" customHeight="1" x14ac:dyDescent="0.25">
      <c r="A22" s="6" t="s">
        <v>36</v>
      </c>
      <c r="B22" s="24">
        <f t="shared" ref="B22:Q22" si="10">(B21-B18)/B18</f>
        <v>6.2397799508354723E-2</v>
      </c>
      <c r="C22" s="24">
        <f t="shared" si="10"/>
        <v>7.8133133661144702E-2</v>
      </c>
      <c r="D22" s="24">
        <f t="shared" si="10"/>
        <v>5.289055671211728E-2</v>
      </c>
      <c r="E22" s="24">
        <f t="shared" si="10"/>
        <v>4.8410224872004887E-2</v>
      </c>
      <c r="F22" s="24">
        <f t="shared" si="10"/>
        <v>4.2294707089420909E-2</v>
      </c>
      <c r="G22" s="24">
        <f t="shared" si="10"/>
        <v>5.9992395047895254E-2</v>
      </c>
      <c r="H22" s="22">
        <f t="shared" si="10"/>
        <v>-1.6696051821838441E-2</v>
      </c>
      <c r="I22" s="24">
        <f t="shared" si="10"/>
        <v>0.36980381825454084</v>
      </c>
      <c r="J22" s="24">
        <f t="shared" si="10"/>
        <v>-0.13282060759421691</v>
      </c>
      <c r="K22" s="24">
        <f t="shared" si="10"/>
        <v>0.36411793880059762</v>
      </c>
      <c r="L22" s="24">
        <f t="shared" si="10"/>
        <v>5.0291116511418862E-2</v>
      </c>
      <c r="M22" s="24">
        <f t="shared" si="10"/>
        <v>0.30585860218433125</v>
      </c>
      <c r="N22" s="24">
        <f t="shared" si="10"/>
        <v>8.6324988190836033E-2</v>
      </c>
      <c r="O22" s="24">
        <f t="shared" si="10"/>
        <v>7.0872934252717401E-2</v>
      </c>
      <c r="P22" s="24">
        <f t="shared" si="10"/>
        <v>6.976367167836571E-2</v>
      </c>
      <c r="Q22" s="22">
        <f t="shared" si="10"/>
        <v>1.036923017409374E-3</v>
      </c>
    </row>
    <row r="23" spans="1:17" s="4" customFormat="1" ht="20.100000000000001" customHeight="1" x14ac:dyDescent="0.25">
      <c r="A23" s="7" t="s">
        <v>32</v>
      </c>
      <c r="B23" s="25">
        <f t="shared" ref="B23:Q23" si="11">(((B21/B6)^(1/5))-1)</f>
        <v>2.926740457351884E-2</v>
      </c>
      <c r="C23" s="25">
        <f t="shared" si="11"/>
        <v>3.7969623779030126E-2</v>
      </c>
      <c r="D23" s="25">
        <f t="shared" si="11"/>
        <v>3.2472425918765202E-2</v>
      </c>
      <c r="E23" s="25">
        <f t="shared" si="11"/>
        <v>8.9796828238243309E-2</v>
      </c>
      <c r="F23" s="25">
        <f t="shared" si="11"/>
        <v>9.4201998533317122E-2</v>
      </c>
      <c r="G23" s="25">
        <f t="shared" si="11"/>
        <v>6.4110774080650801E-2</v>
      </c>
      <c r="H23" s="23">
        <f t="shared" si="11"/>
        <v>2.8278281909760672E-2</v>
      </c>
      <c r="I23" s="25">
        <f t="shared" si="11"/>
        <v>0.14839941281477098</v>
      </c>
      <c r="J23" s="25">
        <f t="shared" si="11"/>
        <v>-0.31706612943942181</v>
      </c>
      <c r="K23" s="25">
        <f t="shared" si="11"/>
        <v>0.12887954627014331</v>
      </c>
      <c r="L23" s="25">
        <f t="shared" si="11"/>
        <v>9.3711749616911089E-2</v>
      </c>
      <c r="M23" s="25">
        <f t="shared" si="11"/>
        <v>0.18569977292346418</v>
      </c>
      <c r="N23" s="25">
        <f t="shared" si="11"/>
        <v>-5.0297342984099269E-2</v>
      </c>
      <c r="O23" s="25">
        <f t="shared" si="11"/>
        <v>0.100194417903261</v>
      </c>
      <c r="P23" s="25">
        <f t="shared" si="11"/>
        <v>7.2647355426033844E-2</v>
      </c>
      <c r="Q23" s="23">
        <f t="shared" si="11"/>
        <v>2.5681378262743193E-2</v>
      </c>
    </row>
    <row r="24" spans="1:17" s="4" customFormat="1" ht="20.100000000000001" customHeight="1" x14ac:dyDescent="0.25">
      <c r="A24" s="5" t="s">
        <v>26</v>
      </c>
      <c r="B24" s="1">
        <v>616920</v>
      </c>
      <c r="C24" s="1">
        <v>1012898.6199999999</v>
      </c>
      <c r="D24" s="1">
        <v>528582.15100000007</v>
      </c>
      <c r="E24" s="1">
        <v>70083961</v>
      </c>
      <c r="F24" s="1">
        <v>67023.209906000062</v>
      </c>
      <c r="G24" s="1">
        <v>84805.46082600001</v>
      </c>
      <c r="H24" s="19">
        <f t="shared" si="2"/>
        <v>79.031714766004555</v>
      </c>
      <c r="I24" s="2">
        <v>564539.79200000002</v>
      </c>
      <c r="J24" s="2">
        <v>27379</v>
      </c>
      <c r="K24" s="2">
        <v>591918.79200000002</v>
      </c>
      <c r="L24" s="2">
        <v>5841.8371040000011</v>
      </c>
      <c r="M24" s="2">
        <v>633.06448399999988</v>
      </c>
      <c r="N24" s="2">
        <v>27.327000000000005</v>
      </c>
      <c r="O24" s="2">
        <v>6502.2285880000009</v>
      </c>
      <c r="P24" s="2">
        <v>8889.588200000002</v>
      </c>
      <c r="Q24" s="19">
        <f t="shared" si="3"/>
        <v>73.144317168707545</v>
      </c>
    </row>
    <row r="25" spans="1:17" s="4" customFormat="1" ht="20.100000000000001" customHeight="1" x14ac:dyDescent="0.25">
      <c r="A25" s="6" t="s">
        <v>36</v>
      </c>
      <c r="B25" s="24">
        <f t="shared" ref="B25:Q25" si="12">(B24-B21)/B21</f>
        <v>4.8060751235920698E-2</v>
      </c>
      <c r="C25" s="24">
        <f t="shared" si="12"/>
        <v>3.9905538790433827E-2</v>
      </c>
      <c r="D25" s="24">
        <f t="shared" si="12"/>
        <v>5.7327845241790736E-2</v>
      </c>
      <c r="E25" s="24">
        <f t="shared" si="12"/>
        <v>0.15519694937112988</v>
      </c>
      <c r="F25" s="24">
        <f t="shared" si="12"/>
        <v>0.13331758105457747</v>
      </c>
      <c r="G25" s="24">
        <f t="shared" si="12"/>
        <v>5.0662223149452186E-2</v>
      </c>
      <c r="H25" s="22">
        <f t="shared" si="12"/>
        <v>7.866977234354007E-2</v>
      </c>
      <c r="I25" s="24">
        <f t="shared" si="12"/>
        <v>0.11727225085298568</v>
      </c>
      <c r="J25" s="24">
        <f t="shared" si="12"/>
        <v>6.4806010928961753</v>
      </c>
      <c r="K25" s="24">
        <f t="shared" si="12"/>
        <v>0.16303324530793176</v>
      </c>
      <c r="L25" s="24">
        <f t="shared" si="12"/>
        <v>0.14512907957416779</v>
      </c>
      <c r="M25" s="24">
        <f t="shared" si="12"/>
        <v>0.14251654930429888</v>
      </c>
      <c r="N25" s="24">
        <f t="shared" si="12"/>
        <v>0.48532449179258591</v>
      </c>
      <c r="O25" s="24">
        <f t="shared" si="12"/>
        <v>0.14597704478227116</v>
      </c>
      <c r="P25" s="24">
        <f t="shared" si="12"/>
        <v>5.9549898544474067E-2</v>
      </c>
      <c r="Q25" s="22">
        <f t="shared" si="12"/>
        <v>8.1569680065586264E-2</v>
      </c>
    </row>
    <row r="26" spans="1:17" s="4" customFormat="1" ht="20.100000000000001" customHeight="1" x14ac:dyDescent="0.25">
      <c r="A26" s="7" t="s">
        <v>32</v>
      </c>
      <c r="B26" s="25">
        <f t="shared" ref="B26:Q26" si="13">(((B24/B6)^(1/6))-1)</f>
        <v>3.2376061879739515E-2</v>
      </c>
      <c r="C26" s="25">
        <f t="shared" si="13"/>
        <v>3.8292025825294784E-2</v>
      </c>
      <c r="D26" s="25">
        <f t="shared" si="13"/>
        <v>3.6574043993987448E-2</v>
      </c>
      <c r="E26" s="25">
        <f t="shared" si="13"/>
        <v>0.10043388582495294</v>
      </c>
      <c r="F26" s="25">
        <f t="shared" si="13"/>
        <v>0.1006262267944551</v>
      </c>
      <c r="G26" s="25">
        <f t="shared" si="13"/>
        <v>6.1857453688838104E-2</v>
      </c>
      <c r="H26" s="23">
        <f t="shared" si="13"/>
        <v>3.6510336647293196E-2</v>
      </c>
      <c r="I26" s="25">
        <f t="shared" si="13"/>
        <v>0.14315197295758164</v>
      </c>
      <c r="J26" s="25">
        <f t="shared" si="13"/>
        <v>1.7743396142264389E-2</v>
      </c>
      <c r="K26" s="25">
        <f t="shared" si="13"/>
        <v>0.13450137117853966</v>
      </c>
      <c r="L26" s="25">
        <f t="shared" si="13"/>
        <v>0.10211810969239177</v>
      </c>
      <c r="M26" s="25">
        <f t="shared" si="13"/>
        <v>0.17839085598489457</v>
      </c>
      <c r="N26" s="25">
        <f t="shared" si="13"/>
        <v>2.3198593733103401E-2</v>
      </c>
      <c r="O26" s="25">
        <f t="shared" si="13"/>
        <v>0.10769582117153531</v>
      </c>
      <c r="P26" s="25">
        <f t="shared" si="13"/>
        <v>7.0453256431974864E-2</v>
      </c>
      <c r="Q26" s="23">
        <f t="shared" si="13"/>
        <v>3.4791397490533171E-2</v>
      </c>
    </row>
    <row r="27" spans="1:17" s="4" customFormat="1" ht="20.100000000000001" customHeight="1" x14ac:dyDescent="0.25">
      <c r="A27" s="5" t="s">
        <v>27</v>
      </c>
      <c r="B27" s="1">
        <v>699921</v>
      </c>
      <c r="C27" s="1">
        <v>1160022.6960000002</v>
      </c>
      <c r="D27" s="1">
        <v>624853.27600000007</v>
      </c>
      <c r="E27" s="1">
        <v>85197675</v>
      </c>
      <c r="F27" s="1">
        <v>80965.882337000003</v>
      </c>
      <c r="G27" s="1">
        <v>97728.035216000018</v>
      </c>
      <c r="H27" s="19">
        <f t="shared" si="2"/>
        <v>82.848163434420798</v>
      </c>
      <c r="I27" s="2">
        <v>590793.71669999999</v>
      </c>
      <c r="J27" s="2">
        <v>32770.949925000008</v>
      </c>
      <c r="K27" s="2">
        <v>623564.66662499995</v>
      </c>
      <c r="L27" s="2">
        <v>7037.1620817349985</v>
      </c>
      <c r="M27" s="2">
        <v>663.94372766500021</v>
      </c>
      <c r="N27" s="2">
        <v>34.01010999999999</v>
      </c>
      <c r="O27" s="2">
        <v>7735.1159193999993</v>
      </c>
      <c r="P27" s="2">
        <v>10501.916390585002</v>
      </c>
      <c r="Q27" s="19">
        <f t="shared" si="3"/>
        <v>73.654327759974876</v>
      </c>
    </row>
    <row r="28" spans="1:17" s="4" customFormat="1" ht="20.100000000000001" customHeight="1" x14ac:dyDescent="0.25">
      <c r="A28" s="6" t="s">
        <v>36</v>
      </c>
      <c r="B28" s="24">
        <f t="shared" ref="B28:Q28" si="14">(B27-B24)/B24</f>
        <v>0.13454094534137329</v>
      </c>
      <c r="C28" s="24">
        <f t="shared" si="14"/>
        <v>0.14525054442269886</v>
      </c>
      <c r="D28" s="24">
        <f t="shared" si="14"/>
        <v>0.18213086616312926</v>
      </c>
      <c r="E28" s="24">
        <f t="shared" si="14"/>
        <v>0.21565153830275088</v>
      </c>
      <c r="F28" s="24">
        <f t="shared" si="14"/>
        <v>0.20802752435394417</v>
      </c>
      <c r="G28" s="24">
        <f t="shared" si="14"/>
        <v>0.15237903625703964</v>
      </c>
      <c r="H28" s="22">
        <f t="shared" si="14"/>
        <v>4.8290090626477031E-2</v>
      </c>
      <c r="I28" s="24">
        <f t="shared" si="14"/>
        <v>4.6505002963546586E-2</v>
      </c>
      <c r="J28" s="24">
        <f t="shared" si="14"/>
        <v>0.19693743106030198</v>
      </c>
      <c r="K28" s="24">
        <f t="shared" si="14"/>
        <v>5.3463203150002268E-2</v>
      </c>
      <c r="L28" s="24">
        <f t="shared" si="14"/>
        <v>0.20461456840632186</v>
      </c>
      <c r="M28" s="24">
        <f t="shared" si="14"/>
        <v>4.8777406481391457E-2</v>
      </c>
      <c r="N28" s="24">
        <f t="shared" si="14"/>
        <v>0.24456069089179142</v>
      </c>
      <c r="O28" s="24">
        <f t="shared" si="14"/>
        <v>0.18960996444746925</v>
      </c>
      <c r="P28" s="24">
        <f t="shared" si="14"/>
        <v>0.18137265240081646</v>
      </c>
      <c r="Q28" s="22">
        <f t="shared" si="14"/>
        <v>6.9726618691509654E-3</v>
      </c>
    </row>
    <row r="29" spans="1:17" s="4" customFormat="1" ht="20.100000000000001" customHeight="1" x14ac:dyDescent="0.25">
      <c r="A29" s="7" t="s">
        <v>32</v>
      </c>
      <c r="B29" s="25">
        <f t="shared" ref="B29:Q29" si="15">(((B27/B6)^(1/7))-1)</f>
        <v>4.638747526443221E-2</v>
      </c>
      <c r="C29" s="25">
        <f t="shared" si="15"/>
        <v>5.2937315076873492E-2</v>
      </c>
      <c r="D29" s="25">
        <f t="shared" si="15"/>
        <v>5.6215423817102872E-2</v>
      </c>
      <c r="E29" s="25">
        <f t="shared" si="15"/>
        <v>0.11619952563516556</v>
      </c>
      <c r="F29" s="25">
        <f t="shared" si="15"/>
        <v>0.11536385826557827</v>
      </c>
      <c r="G29" s="25">
        <f t="shared" si="15"/>
        <v>7.4340158441767334E-2</v>
      </c>
      <c r="H29" s="23">
        <f t="shared" si="15"/>
        <v>3.8185019429332501E-2</v>
      </c>
      <c r="I29" s="25">
        <f t="shared" si="15"/>
        <v>0.12881712673719892</v>
      </c>
      <c r="J29" s="25">
        <f t="shared" si="15"/>
        <v>4.1598084145294312E-2</v>
      </c>
      <c r="K29" s="25">
        <f t="shared" si="15"/>
        <v>0.12255356764491632</v>
      </c>
      <c r="L29" s="25">
        <f t="shared" si="15"/>
        <v>0.11620837716487231</v>
      </c>
      <c r="M29" s="25">
        <f t="shared" si="15"/>
        <v>0.15893726985753753</v>
      </c>
      <c r="N29" s="25">
        <f t="shared" si="15"/>
        <v>5.2230321552870551E-2</v>
      </c>
      <c r="O29" s="25">
        <f t="shared" si="15"/>
        <v>0.11904310041932997</v>
      </c>
      <c r="P29" s="25">
        <f t="shared" si="15"/>
        <v>8.5637251903853961E-2</v>
      </c>
      <c r="Q29" s="23">
        <f t="shared" si="15"/>
        <v>3.0770727935959474E-2</v>
      </c>
    </row>
    <row r="30" spans="1:17" s="4" customFormat="1" ht="20.100000000000001" customHeight="1" x14ac:dyDescent="0.25">
      <c r="A30" s="5" t="s">
        <v>28</v>
      </c>
      <c r="B30" s="1">
        <v>810194</v>
      </c>
      <c r="C30" s="1">
        <v>1359242.1113</v>
      </c>
      <c r="D30" s="1">
        <v>721348.56200000027</v>
      </c>
      <c r="E30" s="1">
        <v>103748598</v>
      </c>
      <c r="F30" s="1">
        <v>98641.198876000009</v>
      </c>
      <c r="G30" s="1">
        <v>116944.84715400006</v>
      </c>
      <c r="H30" s="19">
        <f t="shared" si="2"/>
        <v>84.348478172880334</v>
      </c>
      <c r="I30" s="2">
        <v>601798.28399999999</v>
      </c>
      <c r="J30" s="2">
        <v>35999.18</v>
      </c>
      <c r="K30" s="2">
        <v>637797.46400000004</v>
      </c>
      <c r="L30" s="2">
        <v>8557.4469480000007</v>
      </c>
      <c r="M30" s="2">
        <v>675.51252199999999</v>
      </c>
      <c r="N30" s="2">
        <v>36.364746999999994</v>
      </c>
      <c r="O30" s="2">
        <v>9269.3242170000012</v>
      </c>
      <c r="P30" s="2">
        <v>12595.923799779996</v>
      </c>
      <c r="Q30" s="19">
        <f t="shared" si="3"/>
        <v>73.589872123249123</v>
      </c>
    </row>
    <row r="31" spans="1:17" s="4" customFormat="1" ht="20.100000000000001" customHeight="1" x14ac:dyDescent="0.25">
      <c r="A31" s="6" t="s">
        <v>36</v>
      </c>
      <c r="B31" s="24">
        <f t="shared" ref="B31:Q31" si="16">(B30-B27)/B27</f>
        <v>0.15755063785770107</v>
      </c>
      <c r="C31" s="24">
        <f t="shared" si="16"/>
        <v>0.17173751512530727</v>
      </c>
      <c r="D31" s="24">
        <f t="shared" si="16"/>
        <v>0.15442871103711744</v>
      </c>
      <c r="E31" s="24">
        <f t="shared" si="16"/>
        <v>0.21773977987075352</v>
      </c>
      <c r="F31" s="24">
        <f t="shared" si="16"/>
        <v>0.21830573605597198</v>
      </c>
      <c r="G31" s="24">
        <f t="shared" si="16"/>
        <v>0.19663561121971548</v>
      </c>
      <c r="H31" s="22">
        <f t="shared" si="16"/>
        <v>1.8109209380931225E-2</v>
      </c>
      <c r="I31" s="24">
        <f t="shared" si="16"/>
        <v>1.862675074045857E-2</v>
      </c>
      <c r="J31" s="24">
        <f t="shared" si="16"/>
        <v>9.8508895298676374E-2</v>
      </c>
      <c r="K31" s="24">
        <f t="shared" si="16"/>
        <v>2.2824893931264741E-2</v>
      </c>
      <c r="L31" s="24">
        <f t="shared" si="16"/>
        <v>0.21603664213034282</v>
      </c>
      <c r="M31" s="24">
        <f t="shared" si="16"/>
        <v>1.7424359705431144E-2</v>
      </c>
      <c r="N31" s="24">
        <f t="shared" si="16"/>
        <v>6.9233442643966886E-2</v>
      </c>
      <c r="O31" s="24">
        <f t="shared" si="16"/>
        <v>0.1983432845204223</v>
      </c>
      <c r="P31" s="24">
        <f t="shared" si="16"/>
        <v>0.19939288519496093</v>
      </c>
      <c r="Q31" s="22">
        <f t="shared" si="16"/>
        <v>-8.7510997229927863E-4</v>
      </c>
    </row>
    <row r="32" spans="1:17" s="4" customFormat="1" ht="20.100000000000001" customHeight="1" x14ac:dyDescent="0.25">
      <c r="A32" s="7" t="s">
        <v>32</v>
      </c>
      <c r="B32" s="25">
        <f>(((B30/B6)^(1/8))-1)</f>
        <v>5.9676896948472669E-2</v>
      </c>
      <c r="C32" s="25">
        <f t="shared" ref="C32:Q32" si="17">(((C30/C6)^(1/8))-1)</f>
        <v>6.7102148142888174E-2</v>
      </c>
      <c r="D32" s="25">
        <f t="shared" si="17"/>
        <v>6.8019868317653387E-2</v>
      </c>
      <c r="E32" s="25">
        <f t="shared" si="17"/>
        <v>0.128413871027101</v>
      </c>
      <c r="F32" s="25">
        <f t="shared" si="17"/>
        <v>0.12774012488469233</v>
      </c>
      <c r="G32" s="25">
        <f t="shared" si="17"/>
        <v>8.8915861586811307E-2</v>
      </c>
      <c r="H32" s="23">
        <f t="shared" si="17"/>
        <v>3.5654052500718292E-2</v>
      </c>
      <c r="I32" s="25">
        <f t="shared" si="17"/>
        <v>0.11441648031855789</v>
      </c>
      <c r="J32" s="25">
        <f t="shared" si="17"/>
        <v>4.8547473423903753E-2</v>
      </c>
      <c r="K32" s="25">
        <f t="shared" si="17"/>
        <v>0.10957420370752025</v>
      </c>
      <c r="L32" s="25">
        <f t="shared" si="17"/>
        <v>0.1282243029258614</v>
      </c>
      <c r="M32" s="25">
        <f t="shared" si="17"/>
        <v>0.1402240700138635</v>
      </c>
      <c r="N32" s="25">
        <f t="shared" si="17"/>
        <v>5.4340836005384752E-2</v>
      </c>
      <c r="O32" s="25">
        <f t="shared" si="17"/>
        <v>0.12866125821970265</v>
      </c>
      <c r="P32" s="25">
        <f t="shared" si="17"/>
        <v>9.9244568593847893E-2</v>
      </c>
      <c r="Q32" s="23">
        <f t="shared" si="17"/>
        <v>2.6760823265639777E-2</v>
      </c>
    </row>
    <row r="33" spans="1:17" s="4" customFormat="1" ht="20.100000000000001" customHeight="1" x14ac:dyDescent="0.25">
      <c r="A33" s="5" t="s">
        <v>29</v>
      </c>
      <c r="B33" s="1">
        <v>922339</v>
      </c>
      <c r="C33" s="1">
        <v>1565387.78993</v>
      </c>
      <c r="D33" s="1">
        <v>826155.44800000021</v>
      </c>
      <c r="E33" s="1">
        <v>123315916</v>
      </c>
      <c r="F33" s="1">
        <v>117041.70689099999</v>
      </c>
      <c r="G33" s="1">
        <v>134541.20041199998</v>
      </c>
      <c r="H33" s="19">
        <f t="shared" si="2"/>
        <v>86.993208424325047</v>
      </c>
      <c r="I33" s="2">
        <v>660016.33749999967</v>
      </c>
      <c r="J33" s="2">
        <v>36513.440299999995</v>
      </c>
      <c r="K33" s="2">
        <v>696529.77779999969</v>
      </c>
      <c r="L33" s="2">
        <v>10184.313995500004</v>
      </c>
      <c r="M33" s="2">
        <v>754.63844899999992</v>
      </c>
      <c r="N33" s="2">
        <v>37.229360100000008</v>
      </c>
      <c r="O33" s="2">
        <v>10976.181804600004</v>
      </c>
      <c r="P33" s="2">
        <v>14590.537565000001</v>
      </c>
      <c r="Q33" s="19">
        <f t="shared" si="3"/>
        <v>75.228083651488163</v>
      </c>
    </row>
    <row r="34" spans="1:17" s="4" customFormat="1" ht="20.100000000000001" customHeight="1" x14ac:dyDescent="0.25">
      <c r="A34" s="6" t="s">
        <v>36</v>
      </c>
      <c r="B34" s="24">
        <f>(B33-B30)/B30</f>
        <v>0.13841746544654737</v>
      </c>
      <c r="C34" s="24">
        <f t="shared" ref="C34:Q34" si="18">(C33-C30)/C30</f>
        <v>0.15166222184864409</v>
      </c>
      <c r="D34" s="24">
        <f t="shared" si="18"/>
        <v>0.14529298527942433</v>
      </c>
      <c r="E34" s="24">
        <f t="shared" si="18"/>
        <v>0.18860320406450215</v>
      </c>
      <c r="F34" s="24">
        <f t="shared" si="18"/>
        <v>0.18653978484315581</v>
      </c>
      <c r="G34" s="24">
        <f t="shared" si="18"/>
        <v>0.15046711066138699</v>
      </c>
      <c r="H34" s="22">
        <f t="shared" si="18"/>
        <v>3.1354806971432059E-2</v>
      </c>
      <c r="I34" s="24">
        <f t="shared" si="18"/>
        <v>9.6740145407260239E-2</v>
      </c>
      <c r="J34" s="24">
        <f t="shared" si="18"/>
        <v>1.4285333721490169E-2</v>
      </c>
      <c r="K34" s="24">
        <f t="shared" si="18"/>
        <v>9.2086151349136836E-2</v>
      </c>
      <c r="L34" s="24">
        <f t="shared" si="18"/>
        <v>0.19011126301872383</v>
      </c>
      <c r="M34" s="24">
        <f t="shared" si="18"/>
        <v>0.11713465616555949</v>
      </c>
      <c r="N34" s="24">
        <f t="shared" si="18"/>
        <v>2.3776134067425632E-2</v>
      </c>
      <c r="O34" s="24">
        <f t="shared" si="18"/>
        <v>0.18414045594279843</v>
      </c>
      <c r="P34" s="24">
        <f t="shared" si="18"/>
        <v>0.15835390852831641</v>
      </c>
      <c r="Q34" s="22">
        <f t="shared" si="18"/>
        <v>2.2261372128699254E-2</v>
      </c>
    </row>
    <row r="35" spans="1:17" s="4" customFormat="1" ht="20.100000000000001" customHeight="1" x14ac:dyDescent="0.25">
      <c r="A35" s="7" t="s">
        <v>32</v>
      </c>
      <c r="B35" s="25">
        <f>(((B33/B6)^(1/9))-1)</f>
        <v>6.8149747017227202E-2</v>
      </c>
      <c r="C35" s="25">
        <f t="shared" ref="C35:Q35" si="19">(((C33/C6)^(1/9))-1)</f>
        <v>7.6182429391435935E-2</v>
      </c>
      <c r="D35" s="25">
        <f t="shared" si="19"/>
        <v>7.6341634037355277E-2</v>
      </c>
      <c r="E35" s="25">
        <f t="shared" si="19"/>
        <v>0.13494815980369235</v>
      </c>
      <c r="F35" s="25">
        <f t="shared" si="19"/>
        <v>0.13412681426941497</v>
      </c>
      <c r="G35" s="25">
        <f t="shared" si="19"/>
        <v>9.5588952567767116E-2</v>
      </c>
      <c r="H35" s="23">
        <f t="shared" si="19"/>
        <v>3.5175474899893366E-2</v>
      </c>
      <c r="I35" s="25">
        <f t="shared" si="19"/>
        <v>0.11243845762452986</v>
      </c>
      <c r="J35" s="25">
        <f t="shared" si="19"/>
        <v>4.4684117946938828E-2</v>
      </c>
      <c r="K35" s="25">
        <f t="shared" si="19"/>
        <v>0.10761733878847823</v>
      </c>
      <c r="L35" s="25">
        <f t="shared" si="19"/>
        <v>0.13493856159606077</v>
      </c>
      <c r="M35" s="25">
        <f t="shared" si="19"/>
        <v>0.13763519153478643</v>
      </c>
      <c r="N35" s="25">
        <f t="shared" si="19"/>
        <v>5.0900186587474305E-2</v>
      </c>
      <c r="O35" s="25">
        <f t="shared" si="19"/>
        <v>0.1346949686946779</v>
      </c>
      <c r="P35" s="25">
        <f t="shared" si="19"/>
        <v>0.10566042774190287</v>
      </c>
      <c r="Q35" s="23">
        <f t="shared" si="19"/>
        <v>2.6259907856223341E-2</v>
      </c>
    </row>
    <row r="36" spans="1:17" s="4" customFormat="1" ht="20.100000000000001" customHeight="1" x14ac:dyDescent="0.25">
      <c r="A36" s="9" t="s">
        <v>37</v>
      </c>
      <c r="B36" s="1">
        <v>1054821</v>
      </c>
      <c r="C36" s="1">
        <v>1838009.1303299996</v>
      </c>
      <c r="D36" s="1">
        <v>962163.69799999997</v>
      </c>
      <c r="E36" s="1">
        <v>140333572</v>
      </c>
      <c r="F36" s="1">
        <f>134881037.25/1000</f>
        <v>134881.03724999999</v>
      </c>
      <c r="G36" s="1">
        <f>156783807.137/1000</f>
        <v>156783.807137</v>
      </c>
      <c r="H36" s="19">
        <f t="shared" si="2"/>
        <v>86.029954057780316</v>
      </c>
      <c r="I36" s="26">
        <v>721575.42956999992</v>
      </c>
      <c r="J36" s="2">
        <v>39369.031309999998</v>
      </c>
      <c r="K36" s="2">
        <v>760944.46088000003</v>
      </c>
      <c r="L36" s="2">
        <f>11863338.9111998/1000</f>
        <v>11863.3389111998</v>
      </c>
      <c r="M36" s="2">
        <f>818103.14709/1000</f>
        <v>818.10314708999999</v>
      </c>
      <c r="N36" s="2">
        <f>39887.461066/1000</f>
        <v>39.887461066</v>
      </c>
      <c r="O36" s="2">
        <f>12721329.1087558/1000</f>
        <v>12721.329108755801</v>
      </c>
      <c r="P36" s="2">
        <f>17249243.536576/1000</f>
        <v>17249.243536575999</v>
      </c>
      <c r="Q36" s="19">
        <f t="shared" si="3"/>
        <v>73.750069571346572</v>
      </c>
    </row>
    <row r="37" spans="1:17" s="4" customFormat="1" ht="20.100000000000001" customHeight="1" x14ac:dyDescent="0.25">
      <c r="A37" s="6" t="s">
        <v>31</v>
      </c>
      <c r="B37" s="24">
        <f>(B36-B33)/B33</f>
        <v>0.14363699247239897</v>
      </c>
      <c r="C37" s="24">
        <f t="shared" ref="C37:Q37" si="20">(C36-C33)/C33</f>
        <v>0.17415578564860951</v>
      </c>
      <c r="D37" s="24">
        <f t="shared" si="20"/>
        <v>0.16462791636762253</v>
      </c>
      <c r="E37" s="24">
        <f t="shared" si="20"/>
        <v>0.13800048324662326</v>
      </c>
      <c r="F37" s="24">
        <f t="shared" si="20"/>
        <v>0.15241857653027588</v>
      </c>
      <c r="G37" s="24">
        <f t="shared" si="20"/>
        <v>0.16532189884501849</v>
      </c>
      <c r="H37" s="22">
        <f t="shared" si="20"/>
        <v>-1.107275365504724E-2</v>
      </c>
      <c r="I37" s="24">
        <f t="shared" si="20"/>
        <v>9.3269042859109946E-2</v>
      </c>
      <c r="J37" s="24">
        <f t="shared" si="20"/>
        <v>7.8206572334407073E-2</v>
      </c>
      <c r="K37" s="24">
        <f t="shared" si="20"/>
        <v>9.247943897453334E-2</v>
      </c>
      <c r="L37" s="24">
        <f t="shared" si="20"/>
        <v>0.16486382062077845</v>
      </c>
      <c r="M37" s="24">
        <f t="shared" si="20"/>
        <v>8.4099475946527183E-2</v>
      </c>
      <c r="N37" s="24">
        <f t="shared" si="20"/>
        <v>7.1397976190302331E-2</v>
      </c>
      <c r="O37" s="24">
        <f t="shared" si="20"/>
        <v>0.15899402316973496</v>
      </c>
      <c r="P37" s="24">
        <f t="shared" si="20"/>
        <v>0.18222124851340243</v>
      </c>
      <c r="Q37" s="22">
        <f t="shared" si="20"/>
        <v>-1.9647105288350022E-2</v>
      </c>
    </row>
    <row r="38" spans="1:17" s="4" customFormat="1" ht="20.100000000000001" customHeight="1" x14ac:dyDescent="0.25">
      <c r="A38" s="7" t="s">
        <v>32</v>
      </c>
      <c r="B38" s="25">
        <f>(((B36/B6)^(1/10))-1)</f>
        <v>7.546863032971407E-2</v>
      </c>
      <c r="C38" s="25">
        <f t="shared" ref="C38:Q38" si="21">(((C36/C6)^(1/10))-1)</f>
        <v>8.5600112511109439E-2</v>
      </c>
      <c r="D38" s="25">
        <f t="shared" si="21"/>
        <v>8.4860371315594207E-2</v>
      </c>
      <c r="E38" s="25">
        <f t="shared" si="21"/>
        <v>0.13525302337535794</v>
      </c>
      <c r="F38" s="25">
        <f t="shared" si="21"/>
        <v>0.13594284869897066</v>
      </c>
      <c r="G38" s="25">
        <f t="shared" si="21"/>
        <v>0.10237021556269443</v>
      </c>
      <c r="H38" s="23">
        <f t="shared" si="21"/>
        <v>3.0454953029676712E-2</v>
      </c>
      <c r="I38" s="25">
        <f t="shared" si="21"/>
        <v>0.11050648723377665</v>
      </c>
      <c r="J38" s="25">
        <f t="shared" si="21"/>
        <v>4.7988918808743231E-2</v>
      </c>
      <c r="K38" s="25">
        <f t="shared" si="21"/>
        <v>0.10609415732043415</v>
      </c>
      <c r="L38" s="25">
        <f t="shared" si="21"/>
        <v>0.1378961621711845</v>
      </c>
      <c r="M38" s="25">
        <f t="shared" si="21"/>
        <v>0.13216475181336462</v>
      </c>
      <c r="N38" s="25">
        <f t="shared" si="21"/>
        <v>5.2932193296479912E-2</v>
      </c>
      <c r="O38" s="25">
        <f t="shared" si="21"/>
        <v>0.13710177090467734</v>
      </c>
      <c r="P38" s="25">
        <f t="shared" si="21"/>
        <v>0.11308791014957098</v>
      </c>
      <c r="Q38" s="23">
        <f t="shared" si="21"/>
        <v>2.1574091800062201E-2</v>
      </c>
    </row>
    <row r="39" spans="1:17" ht="20.100000000000001" customHeight="1" x14ac:dyDescent="0.25">
      <c r="A39" s="12" t="s">
        <v>30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5.5" customHeight="1" x14ac:dyDescent="0.25">
      <c r="A40" s="27" t="s">
        <v>38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2020-05-11T07:57:47Z</cp:lastPrinted>
  <dcterms:created xsi:type="dcterms:W3CDTF">2018-10-29T04:00:14Z</dcterms:created>
  <dcterms:modified xsi:type="dcterms:W3CDTF">2020-05-11T07:58:10Z</dcterms:modified>
</cp:coreProperties>
</file>