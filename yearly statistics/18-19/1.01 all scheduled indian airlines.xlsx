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D:\Anindya\ANNUAL PUBLICATION 2018-19\domestic\"/>
    </mc:Choice>
  </mc:AlternateContent>
  <xr:revisionPtr revIDLastSave="0" documentId="13_ncr:1_{25AA6FF1-5A33-44F7-A93C-5D974911E53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.01" sheetId="1" r:id="rId1"/>
  </sheets>
  <definedNames>
    <definedName name="_xlnm.Print_Area" localSheetId="0">'1.01'!$A$1:$Q$19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<sst xmlns="http://schemas.openxmlformats.org/spreadsheetml/2006/main" count="26" uniqueCount="24">
  <si>
    <t>Table 1.01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</si>
  <si>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</si>
  <si>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</si>
  <si>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</si>
  <si>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</si>
  <si>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</si>
  <si>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</si>
  <si>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</si>
  <si>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</si>
  <si>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</si>
  <si>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</si>
  <si>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</si>
  <si>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</si>
  <si>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</si>
  <si>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</si>
  <si>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</si>
  <si>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</si>
  <si>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</si>
  <si>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</si>
  <si>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</si>
  <si>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</si>
  <si>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2018-19</t>
  </si>
  <si>
    <t>MONTHLY TRAFFIC AND OPERATING STATISTICS OF ALL SCHEDULED INDIAN AIRLINES ON SCHEDULED DOMESTIC SERVICES DURING 2018-19</t>
  </si>
  <si>
    <t xml:space="preserve">तालिका 1.01 (सभी अनुसूचित भारतीय एयरलाइन्स)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</si>
</sst>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5" fillId="3" borderId="1" xfId="2" applyBorder="1" applyAlignment="1" applyProtection="1">
      <alignment horizontal="center" vertical="center" textRotation="90" wrapText="1"/>
    </xf>
    <xf numFmtId="0" fontId="4" fillId="5" borderId="1" xfId="4" applyFont="1" applyBorder="1" applyAlignment="1" applyProtection="1">
      <alignment horizontal="center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6" fontId="3" fillId="5" borderId="1" xfId="4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3" fillId="5" borderId="1" xfId="4" quotePrefix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171" fontId="3" fillId="4" borderId="1" xfId="3" applyNumberFormat="1" applyBorder="1" applyAlignment="1" applyProtection="1">
      <alignment horizontal="center" vertical="center" wrapText="1"/>
    </xf>
    <xf numFmtId="171" fontId="4" fillId="4" borderId="1" xfId="3" applyNumberFormat="1" applyFont="1" applyBorder="1" applyAlignment="1" applyProtection="1">
      <alignment horizontal="center" vertical="center" wrapText="1"/>
    </xf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Q19"/>
  <sheetViews>
    <sheetView tabSelected="1" view="pageBreakPreview" topLeftCell="A9" zoomScaleSheetLayoutView="100" workbookViewId="0">
      <selection activeCell="Q18" sqref="Q18"/>
    </sheetView>
  </sheetViews>
  <sheetFormatPr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9.85546875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7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1" customHeight="1" x14ac:dyDescent="0.25">
      <c r="A4" s="21" t="s">
        <v>1</v>
      </c>
      <c r="B4" s="21" t="s">
        <v>2</v>
      </c>
      <c r="C4" s="21"/>
      <c r="D4" s="21"/>
      <c r="E4" s="21" t="s">
        <v>3</v>
      </c>
      <c r="F4" s="22"/>
      <c r="G4" s="15" t="s">
        <v>4</v>
      </c>
      <c r="H4" s="15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5" t="s">
        <v>8</v>
      </c>
      <c r="Q4" s="15" t="s">
        <v>9</v>
      </c>
    </row>
    <row r="5" spans="1:17" ht="115.5" customHeight="1" x14ac:dyDescent="0.25">
      <c r="A5" s="21"/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16"/>
      <c r="H5" s="16"/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16</v>
      </c>
      <c r="O5" s="2" t="s">
        <v>17</v>
      </c>
      <c r="P5" s="16"/>
      <c r="Q5" s="16"/>
    </row>
    <row r="6" spans="1:17" ht="30" customHeight="1" x14ac:dyDescent="0.25">
      <c r="A6" s="10">
        <v>43191</v>
      </c>
      <c r="B6" s="4">
        <v>83696</v>
      </c>
      <c r="C6" s="4">
        <v>145291.87330000001</v>
      </c>
      <c r="D6" s="4">
        <v>75328.559000000008</v>
      </c>
      <c r="E6" s="4">
        <v>11475498</v>
      </c>
      <c r="F6" s="4">
        <v>10905.934265999998</v>
      </c>
      <c r="G6" s="4">
        <v>12187.071814000001</v>
      </c>
      <c r="H6" s="23">
        <f>F6/G6*100</f>
        <v>89.487732840564007</v>
      </c>
      <c r="I6" s="7">
        <v>55367.758000000002</v>
      </c>
      <c r="J6" s="7">
        <v>2914.8946999999998</v>
      </c>
      <c r="K6" s="7">
        <v>58282.652700000006</v>
      </c>
      <c r="L6" s="7">
        <v>952.35294865899994</v>
      </c>
      <c r="M6" s="7">
        <v>63.275783682000011</v>
      </c>
      <c r="N6" s="7">
        <v>2.9684563179999994</v>
      </c>
      <c r="O6" s="7">
        <v>1018.5971886589999</v>
      </c>
      <c r="P6" s="7">
        <v>1330.126950398</v>
      </c>
      <c r="Q6" s="23">
        <f>O6/P6*100</f>
        <v>76.578945216786693</v>
      </c>
    </row>
    <row r="7" spans="1:17" ht="30" customHeight="1" x14ac:dyDescent="0.25">
      <c r="A7" s="11">
        <v>43221</v>
      </c>
      <c r="B7" s="5">
        <v>88328</v>
      </c>
      <c r="C7" s="5">
        <v>154457.89600000001</v>
      </c>
      <c r="D7" s="5">
        <v>79654.870999999999</v>
      </c>
      <c r="E7" s="5">
        <v>11818634</v>
      </c>
      <c r="F7" s="5">
        <v>11267.29549</v>
      </c>
      <c r="G7" s="5">
        <v>12830.892272999998</v>
      </c>
      <c r="H7" s="23">
        <f t="shared" ref="H7:H18" si="0">F7/G7*100</f>
        <v>87.813810998240015</v>
      </c>
      <c r="I7" s="8">
        <v>61818.9</v>
      </c>
      <c r="J7" s="8">
        <v>3065.8359700000001</v>
      </c>
      <c r="K7" s="8">
        <v>64884.735970000002</v>
      </c>
      <c r="L7" s="8">
        <v>988.07271779999985</v>
      </c>
      <c r="M7" s="8">
        <v>71.487341999999998</v>
      </c>
      <c r="N7" s="8">
        <v>3.1454110000000002</v>
      </c>
      <c r="O7" s="8">
        <v>1062.7050601999999</v>
      </c>
      <c r="P7" s="8">
        <v>1416.8271836000001</v>
      </c>
      <c r="Q7" s="23">
        <f t="shared" ref="Q7:Q18" si="1">O7/P7*100</f>
        <v>75.005976205212605</v>
      </c>
    </row>
    <row r="8" spans="1:17" ht="30" customHeight="1" x14ac:dyDescent="0.25">
      <c r="A8" s="10">
        <v>43252</v>
      </c>
      <c r="B8" s="4">
        <v>86058</v>
      </c>
      <c r="C8" s="4">
        <v>155597.99959999998</v>
      </c>
      <c r="D8" s="4">
        <v>77744.981999999989</v>
      </c>
      <c r="E8" s="4">
        <v>11288337</v>
      </c>
      <c r="F8" s="4">
        <v>10841.706531</v>
      </c>
      <c r="G8" s="4">
        <v>12705.768153000001</v>
      </c>
      <c r="H8" s="23">
        <f t="shared" si="0"/>
        <v>85.32901277944481</v>
      </c>
      <c r="I8" s="7">
        <v>62701.97</v>
      </c>
      <c r="J8" s="7">
        <v>3172.2374</v>
      </c>
      <c r="K8" s="7">
        <v>65874.207399999999</v>
      </c>
      <c r="L8" s="7">
        <v>960.24050270000009</v>
      </c>
      <c r="M8" s="7">
        <v>71.594311000000005</v>
      </c>
      <c r="N8" s="7">
        <v>3.1726999999999999</v>
      </c>
      <c r="O8" s="7">
        <v>1035.0075137000001</v>
      </c>
      <c r="P8" s="7">
        <v>1392.3480291999999</v>
      </c>
      <c r="Q8" s="23">
        <f t="shared" si="1"/>
        <v>74.335402643165551</v>
      </c>
    </row>
    <row r="9" spans="1:17" ht="30" customHeight="1" x14ac:dyDescent="0.25">
      <c r="A9" s="11">
        <v>43282</v>
      </c>
      <c r="B9" s="5">
        <v>86692</v>
      </c>
      <c r="C9" s="5">
        <v>155954.43919999999</v>
      </c>
      <c r="D9" s="5">
        <v>78703.357000000004</v>
      </c>
      <c r="E9" s="5">
        <v>11658023</v>
      </c>
      <c r="F9" s="5">
        <v>11060.615631000002</v>
      </c>
      <c r="G9" s="5">
        <v>12769.860014000002</v>
      </c>
      <c r="H9" s="23">
        <f t="shared" si="0"/>
        <v>86.615010805708906</v>
      </c>
      <c r="I9" s="8">
        <v>64481.722999999998</v>
      </c>
      <c r="J9" s="8">
        <v>3500.8122000000003</v>
      </c>
      <c r="K9" s="8">
        <v>67982.535199999998</v>
      </c>
      <c r="L9" s="8">
        <v>977.36842276079994</v>
      </c>
      <c r="M9" s="8">
        <v>74.082644586000001</v>
      </c>
      <c r="N9" s="8">
        <v>3.6275529999999998</v>
      </c>
      <c r="O9" s="8">
        <v>1055.0786203467999</v>
      </c>
      <c r="P9" s="8">
        <v>1403.4745921079998</v>
      </c>
      <c r="Q9" s="23">
        <f t="shared" si="1"/>
        <v>75.176182474531743</v>
      </c>
    </row>
    <row r="10" spans="1:17" ht="30" customHeight="1" x14ac:dyDescent="0.25">
      <c r="A10" s="10">
        <v>43313</v>
      </c>
      <c r="B10" s="4">
        <v>87898</v>
      </c>
      <c r="C10" s="4">
        <v>151859.46599999999</v>
      </c>
      <c r="D10" s="4">
        <v>79614.934000000008</v>
      </c>
      <c r="E10" s="4">
        <v>11319216</v>
      </c>
      <c r="F10" s="4">
        <v>10805.587346999999</v>
      </c>
      <c r="G10" s="4">
        <v>12954.826768000001</v>
      </c>
      <c r="H10" s="23">
        <f t="shared" si="0"/>
        <v>83.409740172605893</v>
      </c>
      <c r="I10" s="7">
        <v>63029.831639999997</v>
      </c>
      <c r="J10" s="7">
        <v>3447.8546999999999</v>
      </c>
      <c r="K10" s="7">
        <v>66477.68634</v>
      </c>
      <c r="L10" s="7">
        <v>958.0640183700001</v>
      </c>
      <c r="M10" s="7">
        <v>72.533435830000002</v>
      </c>
      <c r="N10" s="7">
        <v>3.59775</v>
      </c>
      <c r="O10" s="7">
        <v>1034.1952041999998</v>
      </c>
      <c r="P10" s="7">
        <v>1448.9104444</v>
      </c>
      <c r="Q10" s="23">
        <f t="shared" si="1"/>
        <v>71.37744145589788</v>
      </c>
    </row>
    <row r="11" spans="1:17" ht="30" customHeight="1" x14ac:dyDescent="0.25">
      <c r="A11" s="11">
        <v>43344</v>
      </c>
      <c r="B11" s="5">
        <v>87350</v>
      </c>
      <c r="C11" s="5">
        <v>154583.46333</v>
      </c>
      <c r="D11" s="5">
        <v>79710.592000000004</v>
      </c>
      <c r="E11" s="5">
        <v>11363706</v>
      </c>
      <c r="F11" s="5">
        <v>10812.669802</v>
      </c>
      <c r="G11" s="5">
        <v>12877.618255000003</v>
      </c>
      <c r="H11" s="23">
        <f t="shared" si="0"/>
        <v>83.964826320284473</v>
      </c>
      <c r="I11" s="8">
        <v>63831.889699999992</v>
      </c>
      <c r="J11" s="8">
        <v>3143.8966</v>
      </c>
      <c r="K11" s="8">
        <v>66975.786299999992</v>
      </c>
      <c r="L11" s="8">
        <v>964.00638897500005</v>
      </c>
      <c r="M11" s="8">
        <v>73.582924791999986</v>
      </c>
      <c r="N11" s="8">
        <v>3.2629126999999998</v>
      </c>
      <c r="O11" s="8">
        <v>1040.852226467</v>
      </c>
      <c r="P11" s="8">
        <v>1441.7680968699999</v>
      </c>
      <c r="Q11" s="23">
        <f t="shared" si="1"/>
        <v>72.19276308905944</v>
      </c>
    </row>
    <row r="12" spans="1:17" ht="30" customHeight="1" x14ac:dyDescent="0.25">
      <c r="A12" s="10">
        <v>43374</v>
      </c>
      <c r="B12" s="4">
        <v>92655</v>
      </c>
      <c r="C12" s="4">
        <v>161641.08100000001</v>
      </c>
      <c r="D12" s="4">
        <v>84296.276000000013</v>
      </c>
      <c r="E12" s="4">
        <v>11805382</v>
      </c>
      <c r="F12" s="4">
        <v>11386.615684999999</v>
      </c>
      <c r="G12" s="4">
        <v>13717.681753000001</v>
      </c>
      <c r="H12" s="23">
        <f t="shared" si="0"/>
        <v>83.006851230600915</v>
      </c>
      <c r="I12" s="7">
        <v>67357.315100000007</v>
      </c>
      <c r="J12" s="7">
        <v>3259.2832999999996</v>
      </c>
      <c r="K12" s="7">
        <v>70616.598400000003</v>
      </c>
      <c r="L12" s="7">
        <v>1004.56322478</v>
      </c>
      <c r="M12" s="7">
        <v>75.290960999999996</v>
      </c>
      <c r="N12" s="7">
        <v>3.3409940469999997</v>
      </c>
      <c r="O12" s="7">
        <v>1083.1951798269999</v>
      </c>
      <c r="P12" s="7">
        <v>1517.8165848000001</v>
      </c>
      <c r="Q12" s="23">
        <f t="shared" si="1"/>
        <v>71.365354066791326</v>
      </c>
    </row>
    <row r="13" spans="1:17" ht="30" customHeight="1" x14ac:dyDescent="0.25">
      <c r="A13" s="11">
        <v>43405</v>
      </c>
      <c r="B13" s="5">
        <v>89032</v>
      </c>
      <c r="C13" s="5">
        <v>150652.42919999998</v>
      </c>
      <c r="D13" s="5">
        <v>81691.725000000006</v>
      </c>
      <c r="E13" s="5">
        <v>11606526</v>
      </c>
      <c r="F13" s="5">
        <v>11190.323200999999</v>
      </c>
      <c r="G13" s="5">
        <v>13299.46292</v>
      </c>
      <c r="H13" s="23">
        <f t="shared" si="0"/>
        <v>84.141166213349607</v>
      </c>
      <c r="I13" s="8">
        <v>55978.358269999997</v>
      </c>
      <c r="J13" s="8">
        <v>3307.29135</v>
      </c>
      <c r="K13" s="8">
        <v>59285.649620000004</v>
      </c>
      <c r="L13" s="8">
        <v>990.75079689999995</v>
      </c>
      <c r="M13" s="8">
        <v>62.451177999999999</v>
      </c>
      <c r="N13" s="8">
        <v>3.3735640010000001</v>
      </c>
      <c r="O13" s="8">
        <v>1056.5755389010001</v>
      </c>
      <c r="P13" s="8">
        <v>1466.4089555999999</v>
      </c>
      <c r="Q13" s="23">
        <f t="shared" si="1"/>
        <v>72.051901679002555</v>
      </c>
    </row>
    <row r="14" spans="1:17" ht="30" customHeight="1" x14ac:dyDescent="0.25">
      <c r="A14" s="10">
        <v>43435</v>
      </c>
      <c r="B14" s="4">
        <v>93259</v>
      </c>
      <c r="C14" s="4">
        <v>161978.74650000001</v>
      </c>
      <c r="D14" s="4">
        <v>85030.172999999995</v>
      </c>
      <c r="E14" s="4">
        <v>12649810</v>
      </c>
      <c r="F14" s="4">
        <v>12242.201326000002</v>
      </c>
      <c r="G14" s="4">
        <v>13992.280197</v>
      </c>
      <c r="H14" s="23">
        <f t="shared" si="0"/>
        <v>87.492539840824364</v>
      </c>
      <c r="I14" s="7">
        <v>58473.772140000008</v>
      </c>
      <c r="J14" s="7">
        <v>3678.6044900000002</v>
      </c>
      <c r="K14" s="7">
        <v>62152.376630000006</v>
      </c>
      <c r="L14" s="7">
        <v>1068.2186008200001</v>
      </c>
      <c r="M14" s="7">
        <v>65.4000092</v>
      </c>
      <c r="N14" s="7">
        <v>3.6638769999999998</v>
      </c>
      <c r="O14" s="7">
        <v>1137.2824870200002</v>
      </c>
      <c r="P14" s="7">
        <v>1535.0569468000001</v>
      </c>
      <c r="Q14" s="23">
        <f t="shared" si="1"/>
        <v>74.087315743614212</v>
      </c>
    </row>
    <row r="15" spans="1:17" ht="30" customHeight="1" x14ac:dyDescent="0.25">
      <c r="A15" s="11">
        <v>43466</v>
      </c>
      <c r="B15" s="5">
        <v>92783</v>
      </c>
      <c r="C15" s="5">
        <v>160917.98499999999</v>
      </c>
      <c r="D15" s="5">
        <v>86032.053</v>
      </c>
      <c r="E15" s="5">
        <v>12469075</v>
      </c>
      <c r="F15" s="5">
        <v>12148.303733000001</v>
      </c>
      <c r="G15" s="5">
        <v>14137.706811999999</v>
      </c>
      <c r="H15" s="23">
        <f t="shared" si="0"/>
        <v>85.928389197380966</v>
      </c>
      <c r="I15" s="8">
        <v>55841.556999999993</v>
      </c>
      <c r="J15" s="8">
        <v>3681.0776000000001</v>
      </c>
      <c r="K15" s="8">
        <v>59522.634599999998</v>
      </c>
      <c r="L15" s="8">
        <v>1058.4234943049998</v>
      </c>
      <c r="M15" s="8">
        <v>62.854570000000002</v>
      </c>
      <c r="N15" s="8">
        <v>3.703424</v>
      </c>
      <c r="O15" s="8">
        <v>1124.9814883050001</v>
      </c>
      <c r="P15" s="8">
        <v>1537.2972946</v>
      </c>
      <c r="Q15" s="23">
        <f t="shared" si="1"/>
        <v>73.179175703793646</v>
      </c>
    </row>
    <row r="16" spans="1:17" ht="30" customHeight="1" x14ac:dyDescent="0.25">
      <c r="A16" s="10">
        <v>43497</v>
      </c>
      <c r="B16" s="4">
        <v>81139</v>
      </c>
      <c r="C16" s="4">
        <v>140023.11789999998</v>
      </c>
      <c r="D16" s="4">
        <v>74971.534</v>
      </c>
      <c r="E16" s="4">
        <v>11321549</v>
      </c>
      <c r="F16" s="4">
        <v>10972.362789000001</v>
      </c>
      <c r="G16" s="4">
        <v>12312.813032</v>
      </c>
      <c r="H16" s="23">
        <f t="shared" si="0"/>
        <v>89.113371253861501</v>
      </c>
      <c r="I16" s="7">
        <v>52269.464220000002</v>
      </c>
      <c r="J16" s="7">
        <v>3152.9286000000002</v>
      </c>
      <c r="K16" s="7">
        <v>55422.392820000001</v>
      </c>
      <c r="L16" s="7">
        <v>957.12464899999998</v>
      </c>
      <c r="M16" s="7">
        <v>59.15608000000001</v>
      </c>
      <c r="N16" s="7">
        <v>3.099828</v>
      </c>
      <c r="O16" s="7">
        <v>1019.3805570000001</v>
      </c>
      <c r="P16" s="7">
        <v>1338.8449547999999</v>
      </c>
      <c r="Q16" s="23">
        <f t="shared" si="1"/>
        <v>76.138805568586378</v>
      </c>
    </row>
    <row r="17" spans="1:17" ht="30" customHeight="1" x14ac:dyDescent="0.25">
      <c r="A17" s="11">
        <v>43525</v>
      </c>
      <c r="B17" s="5">
        <v>85931</v>
      </c>
      <c r="C17" s="5">
        <v>145050.63330000002</v>
      </c>
      <c r="D17" s="5">
        <v>79384.641999999993</v>
      </c>
      <c r="E17" s="5">
        <v>11557816</v>
      </c>
      <c r="F17" s="5">
        <v>11247.421448999999</v>
      </c>
      <c r="G17" s="5">
        <v>12997.825145999997</v>
      </c>
      <c r="H17" s="23">
        <f t="shared" si="0"/>
        <v>86.533103212742674</v>
      </c>
      <c r="I17" s="8">
        <v>60422.890500000001</v>
      </c>
      <c r="J17" s="8">
        <v>3044.3143999999998</v>
      </c>
      <c r="K17" s="8">
        <v>63467.204900000004</v>
      </c>
      <c r="L17" s="8">
        <v>984.15314612999987</v>
      </c>
      <c r="M17" s="8">
        <v>66.393907000000013</v>
      </c>
      <c r="N17" s="8">
        <v>2.9309910000000001</v>
      </c>
      <c r="O17" s="8">
        <v>1053.4780441299999</v>
      </c>
      <c r="P17" s="8">
        <v>1420.3635034000001</v>
      </c>
      <c r="Q17" s="23">
        <f t="shared" si="1"/>
        <v>74.169608104420675</v>
      </c>
    </row>
    <row r="18" spans="1:17" ht="30" customHeight="1" x14ac:dyDescent="0.25">
      <c r="A18" s="3" t="s">
        <v>21</v>
      </c>
      <c r="B18" s="6">
        <f>SUM(B6:B17)</f>
        <v>1054821</v>
      </c>
      <c r="C18" s="6">
        <f t="shared" ref="C18:G18" si="2">SUM(C6:C17)</f>
        <v>1838009.1303299998</v>
      </c>
      <c r="D18" s="6">
        <f t="shared" si="2"/>
        <v>962163.69799999986</v>
      </c>
      <c r="E18" s="6">
        <f t="shared" si="2"/>
        <v>140333572</v>
      </c>
      <c r="F18" s="6">
        <f t="shared" si="2"/>
        <v>134881.03725000002</v>
      </c>
      <c r="G18" s="6">
        <f t="shared" si="2"/>
        <v>156783.807137</v>
      </c>
      <c r="H18" s="24">
        <f t="shared" si="0"/>
        <v>86.02995405778033</v>
      </c>
      <c r="I18" s="9">
        <f t="shared" ref="I18" si="3">SUM(I6:I17)</f>
        <v>721575.42957000004</v>
      </c>
      <c r="J18" s="9">
        <f t="shared" ref="J18" si="4">SUM(J6:J17)</f>
        <v>39369.031309999998</v>
      </c>
      <c r="K18" s="9">
        <f t="shared" ref="K18" si="5">SUM(K6:K17)</f>
        <v>760944.46087999991</v>
      </c>
      <c r="L18" s="9">
        <f t="shared" ref="L18" si="6">SUM(L6:L17)</f>
        <v>11863.338911199799</v>
      </c>
      <c r="M18" s="9">
        <f t="shared" ref="M18" si="7">SUM(M6:M17)</f>
        <v>818.10314708999988</v>
      </c>
      <c r="N18" s="9">
        <f t="shared" ref="N18" si="8">SUM(N6:N17)</f>
        <v>39.887461066</v>
      </c>
      <c r="O18" s="9">
        <f t="shared" ref="O18" si="9">SUM(O6:O17)</f>
        <v>12721.329108755799</v>
      </c>
      <c r="P18" s="9">
        <f t="shared" ref="P18" si="10">SUM(P6:P17)</f>
        <v>17249.243536575999</v>
      </c>
      <c r="Q18" s="24">
        <f t="shared" si="1"/>
        <v>73.750069571346557</v>
      </c>
    </row>
    <row r="19" spans="1:17" ht="19.5" customHeight="1" x14ac:dyDescent="0.25">
      <c r="A19" s="12" t="s">
        <v>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2020-05-06T11:10:52Z</cp:lastPrinted>
  <dcterms:created xsi:type="dcterms:W3CDTF">2018-10-29T04:00:07Z</dcterms:created>
  <dcterms:modified xsi:type="dcterms:W3CDTF">2020-05-06T11:10:56Z</dcterms:modified>
</cp:coreProperties>
</file>