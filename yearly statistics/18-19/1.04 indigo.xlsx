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INDIGO\"/>
    </mc:Choice>
  </mc:AlternateContent>
  <bookViews>
    <workbookView xWindow="0" yWindow="0" windowWidth="24000" windowHeight="9132"/>
  </bookViews>
  <sheets>
    <sheet name="INDIGO" sheetId="1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11" l="1"/>
  <c r="Q38" i="11" s="1"/>
  <c r="Q33" i="11"/>
  <c r="Q35" i="11" s="1"/>
  <c r="Q31" i="11"/>
  <c r="Q30" i="11"/>
  <c r="Q27" i="11"/>
  <c r="Q29" i="11" s="1"/>
  <c r="Q24" i="11"/>
  <c r="Q26" i="11" s="1"/>
  <c r="Q23" i="11"/>
  <c r="Q21" i="11"/>
  <c r="Q18" i="11"/>
  <c r="Q22" i="11" s="1"/>
  <c r="Q15" i="11"/>
  <c r="Q19" i="11" s="1"/>
  <c r="Q12" i="11"/>
  <c r="Q14" i="11" s="1"/>
  <c r="Q9" i="11"/>
  <c r="Q11" i="11" s="1"/>
  <c r="Q6" i="11"/>
  <c r="Q20" i="11" s="1"/>
  <c r="H36" i="11"/>
  <c r="H37" i="11" s="1"/>
  <c r="H33" i="11"/>
  <c r="H35" i="11" s="1"/>
  <c r="H31" i="11"/>
  <c r="H30" i="11"/>
  <c r="H34" i="11" s="1"/>
  <c r="H27" i="11"/>
  <c r="H29" i="11" s="1"/>
  <c r="H24" i="11"/>
  <c r="H26" i="11" s="1"/>
  <c r="H23" i="11"/>
  <c r="H22" i="11"/>
  <c r="H21" i="11"/>
  <c r="H18" i="11"/>
  <c r="H20" i="11" s="1"/>
  <c r="H15" i="11"/>
  <c r="H16" i="11" s="1"/>
  <c r="H12" i="11"/>
  <c r="H13" i="11" s="1"/>
  <c r="H9" i="11"/>
  <c r="H6" i="11"/>
  <c r="H38" i="11" s="1"/>
  <c r="Q32" i="11" l="1"/>
  <c r="Q17" i="11"/>
  <c r="Q25" i="11"/>
  <c r="Q16" i="11"/>
  <c r="Q10" i="11"/>
  <c r="Q34" i="11"/>
  <c r="Q28" i="11"/>
  <c r="Q13" i="11"/>
  <c r="Q37" i="11"/>
  <c r="H32" i="11"/>
  <c r="H17" i="11"/>
  <c r="H25" i="11"/>
  <c r="H10" i="11"/>
  <c r="H11" i="11"/>
  <c r="H19" i="11"/>
  <c r="H28" i="11"/>
  <c r="H14" i="11"/>
</calcChain>
</file>

<file path=xl/sharedStrings.xml><?xml version="1.0" encoding="utf-8"?>
<sst xmlns="http://schemas.openxmlformats.org/spreadsheetml/2006/main" count="123" uniqueCount="39">
  <si>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</si>
  <si>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</si>
  <si>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</si>
  <si>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</si>
  <si>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</si>
  <si>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</si>
  <si>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</si>
  <si>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</si>
  <si>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</si>
  <si>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</si>
  <si>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</si>
  <si>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</si>
  <si>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</si>
  <si>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</si>
  <si>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</si>
  <si>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</si>
  <si>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</si>
  <si>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</si>
  <si>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</si>
  <si>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</si>
  <si>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</si>
  <si>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</si>
  <si>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</si>
  <si>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</si>
  <si>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</si>
  <si>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</si>
  <si>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</si>
  <si>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</si>
  <si>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</si>
  <si>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</si>
  <si>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</si>
  <si>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</si>
  <si>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</si>
  <si>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</si>
  <si>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(इंडिगो) </t>
  </si>
  <si>
    <t>TABLE - 1.04 (INDIGO)</t>
  </si>
  <si>
    <t>YEAR-WISE DETAILS OF ANNUAL TRAFFIC AND OPERATING STATISTICS ON DOMESTIC SCHEDULED SERVICES OF INDIGO</t>
  </si>
  <si>
    <t>SOURCE: ICAO ATR FORM 'A' FURNISHED BY INDIGO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</si>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</sst>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8" fillId="7" borderId="1" xfId="3" applyNumberFormat="1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9" fillId="7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10" fillId="8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4" fontId="7" fillId="6" borderId="1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workbookViewId="0">
      <selection activeCell="D13" sqref="D13"/>
    </sheetView>
  </sheetViews>
  <sheetFormatPr defaultRowHeight="14.4" x14ac:dyDescent="0.3"/>
  <cols>
    <col min="1" max="1" width="7.44140625" customWidth="1"/>
    <col min="2" max="2" width="8" customWidth="1"/>
    <col min="3" max="3" width="7.6640625" customWidth="1"/>
    <col min="4" max="4" width="7.88671875" customWidth="1"/>
    <col min="5" max="5" width="10.109375" customWidth="1"/>
    <col min="6" max="6" width="7.109375" customWidth="1"/>
    <col min="7" max="7" width="8" customWidth="1"/>
    <col min="8" max="8" width="6" customWidth="1"/>
    <col min="9" max="9" width="9.33203125" customWidth="1"/>
    <col min="10" max="10" width="8" customWidth="1"/>
    <col min="12" max="12" width="7.44140625" customWidth="1"/>
    <col min="13" max="13" width="7" customWidth="1"/>
    <col min="14" max="14" width="6" customWidth="1"/>
    <col min="15" max="15" width="7.88671875" customWidth="1"/>
    <col min="16" max="16" width="7.44140625" customWidth="1"/>
    <col min="17" max="17" width="6.33203125" customWidth="1"/>
  </cols>
  <sheetData>
    <row r="1" spans="1:17" x14ac:dyDescent="0.3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3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3">
      <c r="A3" s="26" t="s">
        <v>36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36.6" customHeight="1" x14ac:dyDescent="0.3">
      <c r="A4" s="26" t="s">
        <v>0</v>
      </c>
      <c r="B4" s="26" t="s">
        <v>1</v>
      </c>
      <c r="C4" s="26"/>
      <c r="D4" s="26"/>
      <c r="E4" s="26" t="s">
        <v>2</v>
      </c>
      <c r="F4" s="27"/>
      <c r="G4" s="19" t="s">
        <v>3</v>
      </c>
      <c r="H4" s="19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19" t="s">
        <v>7</v>
      </c>
      <c r="Q4" s="19" t="s">
        <v>8</v>
      </c>
    </row>
    <row r="5" spans="1:17" ht="119.25" customHeight="1" x14ac:dyDescent="0.3">
      <c r="A5" s="26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20"/>
      <c r="H5" s="20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20"/>
      <c r="Q5" s="20"/>
    </row>
    <row r="6" spans="1:17" ht="17.100000000000001" customHeight="1" x14ac:dyDescent="0.3">
      <c r="A6" s="10" t="s">
        <v>19</v>
      </c>
      <c r="B6" s="14">
        <v>40199</v>
      </c>
      <c r="C6" s="14">
        <v>73335</v>
      </c>
      <c r="D6" s="14">
        <v>40246</v>
      </c>
      <c r="E6" s="14">
        <v>4917360</v>
      </c>
      <c r="F6" s="14">
        <v>5044.4660000000003</v>
      </c>
      <c r="G6" s="14">
        <v>7243.5370000000003</v>
      </c>
      <c r="H6" s="11">
        <f>F6/G6*100</f>
        <v>69.640922659744817</v>
      </c>
      <c r="I6" s="15">
        <v>34550</v>
      </c>
      <c r="J6" s="15">
        <v>0</v>
      </c>
      <c r="K6" s="15">
        <v>34550</v>
      </c>
      <c r="L6" s="15">
        <v>454.00299999999999</v>
      </c>
      <c r="M6" s="15">
        <v>38.381</v>
      </c>
      <c r="N6" s="15">
        <v>0</v>
      </c>
      <c r="O6" s="15">
        <v>492.38400000000001</v>
      </c>
      <c r="P6" s="15">
        <v>732.476</v>
      </c>
      <c r="Q6" s="11">
        <f>O6/P6*100</f>
        <v>67.221861194086912</v>
      </c>
    </row>
    <row r="7" spans="1:17" ht="17.100000000000001" customHeight="1" x14ac:dyDescent="0.3">
      <c r="A7" s="2" t="s">
        <v>32</v>
      </c>
      <c r="B7" s="4" t="s">
        <v>31</v>
      </c>
      <c r="C7" s="4" t="s">
        <v>31</v>
      </c>
      <c r="D7" s="4" t="s">
        <v>31</v>
      </c>
      <c r="E7" s="4" t="s">
        <v>31</v>
      </c>
      <c r="F7" s="4" t="s">
        <v>31</v>
      </c>
      <c r="G7" s="4" t="s">
        <v>31</v>
      </c>
      <c r="H7" s="1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1" t="s">
        <v>31</v>
      </c>
    </row>
    <row r="8" spans="1:17" ht="17.100000000000001" customHeight="1" x14ac:dyDescent="0.3">
      <c r="A8" s="3" t="s">
        <v>30</v>
      </c>
      <c r="B8" s="16" t="s">
        <v>31</v>
      </c>
      <c r="C8" s="16" t="s">
        <v>31</v>
      </c>
      <c r="D8" s="16" t="s">
        <v>31</v>
      </c>
      <c r="E8" s="16" t="s">
        <v>31</v>
      </c>
      <c r="F8" s="16" t="s">
        <v>31</v>
      </c>
      <c r="G8" s="16" t="s">
        <v>31</v>
      </c>
      <c r="H8" s="12" t="s">
        <v>31</v>
      </c>
      <c r="I8" s="16" t="s">
        <v>31</v>
      </c>
      <c r="J8" s="16" t="s">
        <v>31</v>
      </c>
      <c r="K8" s="16" t="s">
        <v>31</v>
      </c>
      <c r="L8" s="16" t="s">
        <v>31</v>
      </c>
      <c r="M8" s="16" t="s">
        <v>31</v>
      </c>
      <c r="N8" s="16" t="s">
        <v>31</v>
      </c>
      <c r="O8" s="16" t="s">
        <v>31</v>
      </c>
      <c r="P8" s="16" t="s">
        <v>31</v>
      </c>
      <c r="Q8" s="12" t="s">
        <v>31</v>
      </c>
    </row>
    <row r="9" spans="1:17" ht="17.100000000000001" customHeight="1" x14ac:dyDescent="0.3">
      <c r="A9" s="10" t="s">
        <v>20</v>
      </c>
      <c r="B9" s="14">
        <v>51520</v>
      </c>
      <c r="C9" s="14">
        <v>93488.200000000012</v>
      </c>
      <c r="D9" s="14">
        <v>51611</v>
      </c>
      <c r="E9" s="14">
        <v>6554908</v>
      </c>
      <c r="F9" s="14">
        <v>7428.6639999999998</v>
      </c>
      <c r="G9" s="14">
        <v>9285.9599999999991</v>
      </c>
      <c r="H9" s="11">
        <f t="shared" ref="H9:H36" si="0">F9/G9*100</f>
        <v>79.99888002963614</v>
      </c>
      <c r="I9" s="15">
        <v>50296</v>
      </c>
      <c r="J9" s="15">
        <v>0</v>
      </c>
      <c r="K9" s="15">
        <v>50296</v>
      </c>
      <c r="L9" s="15">
        <v>668.35500000000002</v>
      </c>
      <c r="M9" s="15">
        <v>54.825000000000003</v>
      </c>
      <c r="N9" s="15">
        <v>0</v>
      </c>
      <c r="O9" s="15">
        <v>723.18</v>
      </c>
      <c r="P9" s="15">
        <v>939.33199999999999</v>
      </c>
      <c r="Q9" s="11">
        <f t="shared" ref="Q9:Q36" si="1">O9/P9*100</f>
        <v>76.98875371008333</v>
      </c>
    </row>
    <row r="10" spans="1:17" ht="17.100000000000001" customHeight="1" x14ac:dyDescent="0.3">
      <c r="A10" s="2" t="s">
        <v>32</v>
      </c>
      <c r="B10" s="7">
        <v>0.28162392099305955</v>
      </c>
      <c r="C10" s="7">
        <v>0.27481011795186489</v>
      </c>
      <c r="D10" s="7">
        <v>0.28238831188192615</v>
      </c>
      <c r="E10" s="7">
        <v>0.3330136496005987</v>
      </c>
      <c r="F10" s="7">
        <v>0.47263635040854657</v>
      </c>
      <c r="G10" s="7">
        <v>0.28196487434246542</v>
      </c>
      <c r="H10" s="8">
        <f t="shared" ref="H10" si="2">(H9-H6)/H6</f>
        <v>0.14873377569247268</v>
      </c>
      <c r="I10" s="7">
        <v>0.45574529667149061</v>
      </c>
      <c r="J10" s="4" t="s">
        <v>31</v>
      </c>
      <c r="K10" s="7">
        <v>0.45574529667149061</v>
      </c>
      <c r="L10" s="7">
        <v>0.47213784930936586</v>
      </c>
      <c r="M10" s="7">
        <v>0.42844115578020381</v>
      </c>
      <c r="N10" s="4" t="s">
        <v>31</v>
      </c>
      <c r="O10" s="7">
        <v>0.46873172158315446</v>
      </c>
      <c r="P10" s="7">
        <v>0.28240652253452669</v>
      </c>
      <c r="Q10" s="8">
        <f t="shared" ref="Q10" si="3">(Q9-Q6)/Q6</f>
        <v>0.14529339626281501</v>
      </c>
    </row>
    <row r="11" spans="1:17" ht="17.100000000000001" customHeight="1" x14ac:dyDescent="0.3">
      <c r="A11" s="3" t="s">
        <v>30</v>
      </c>
      <c r="B11" s="9">
        <v>0.28162392099305955</v>
      </c>
      <c r="C11" s="9">
        <v>0.27481011795186494</v>
      </c>
      <c r="D11" s="9">
        <v>0.28238831188192615</v>
      </c>
      <c r="E11" s="9">
        <v>0.33301364960059865</v>
      </c>
      <c r="F11" s="9">
        <v>0.47263635040854646</v>
      </c>
      <c r="G11" s="9">
        <v>0.28196487434246542</v>
      </c>
      <c r="H11" s="6">
        <f t="shared" ref="H11" si="4">(((H9/H6)^(1/1))-1)</f>
        <v>0.1487337756924727</v>
      </c>
      <c r="I11" s="9">
        <v>0.45574529667149055</v>
      </c>
      <c r="J11" s="16" t="s">
        <v>31</v>
      </c>
      <c r="K11" s="9">
        <v>0.45574529667149055</v>
      </c>
      <c r="L11" s="9">
        <v>0.47213784930936598</v>
      </c>
      <c r="M11" s="9">
        <v>0.42844115578020392</v>
      </c>
      <c r="N11" s="16" t="s">
        <v>31</v>
      </c>
      <c r="O11" s="9">
        <v>0.46873172158315457</v>
      </c>
      <c r="P11" s="9">
        <v>0.28240652253452669</v>
      </c>
      <c r="Q11" s="6">
        <f t="shared" ref="Q11" si="5">(((Q9/Q6)^(1/1))-1)</f>
        <v>0.14529339626281512</v>
      </c>
    </row>
    <row r="12" spans="1:17" ht="17.100000000000001" customHeight="1" x14ac:dyDescent="0.3">
      <c r="A12" s="10" t="s">
        <v>21</v>
      </c>
      <c r="B12" s="14">
        <v>70217</v>
      </c>
      <c r="C12" s="14">
        <v>125551.67</v>
      </c>
      <c r="D12" s="14">
        <v>69424</v>
      </c>
      <c r="E12" s="14">
        <v>9466897</v>
      </c>
      <c r="F12" s="14">
        <v>10633.906999999999</v>
      </c>
      <c r="G12" s="14">
        <v>12491.392</v>
      </c>
      <c r="H12" s="11">
        <f t="shared" si="0"/>
        <v>85.129879840453327</v>
      </c>
      <c r="I12" s="15">
        <v>77793</v>
      </c>
      <c r="J12" s="15">
        <v>0</v>
      </c>
      <c r="K12" s="15">
        <v>77793</v>
      </c>
      <c r="L12" s="15">
        <v>954.47</v>
      </c>
      <c r="M12" s="15">
        <v>84.308999999999997</v>
      </c>
      <c r="N12" s="15">
        <v>0</v>
      </c>
      <c r="O12" s="15">
        <v>1038.779</v>
      </c>
      <c r="P12" s="15">
        <v>1263.5060000000001</v>
      </c>
      <c r="Q12" s="11">
        <f t="shared" si="1"/>
        <v>82.214014021302631</v>
      </c>
    </row>
    <row r="13" spans="1:17" ht="17.100000000000001" customHeight="1" x14ac:dyDescent="0.3">
      <c r="A13" s="2" t="s">
        <v>32</v>
      </c>
      <c r="B13" s="7">
        <v>0.3629076086956522</v>
      </c>
      <c r="C13" s="7">
        <v>0.34296809650843618</v>
      </c>
      <c r="D13" s="7">
        <v>0.34513960202282457</v>
      </c>
      <c r="E13" s="7">
        <v>0.44424559429361937</v>
      </c>
      <c r="F13" s="7">
        <v>0.43146964245522473</v>
      </c>
      <c r="G13" s="7">
        <v>0.34519123493962939</v>
      </c>
      <c r="H13" s="8">
        <f t="shared" ref="H13" si="6">(H12-H9)/H9</f>
        <v>6.4138395548992339E-2</v>
      </c>
      <c r="I13" s="7">
        <v>0.54670351519007476</v>
      </c>
      <c r="J13" s="4" t="s">
        <v>31</v>
      </c>
      <c r="K13" s="7">
        <v>0.54670351519007476</v>
      </c>
      <c r="L13" s="7">
        <v>0.42808836621256668</v>
      </c>
      <c r="M13" s="7">
        <v>0.53778385772913806</v>
      </c>
      <c r="N13" s="4" t="s">
        <v>31</v>
      </c>
      <c r="O13" s="7">
        <v>0.4364044912746482</v>
      </c>
      <c r="P13" s="7">
        <v>0.34511120668730555</v>
      </c>
      <c r="Q13" s="8">
        <f t="shared" ref="Q13" si="7">(Q12-Q9)/Q9</f>
        <v>6.7870436387320571E-2</v>
      </c>
    </row>
    <row r="14" spans="1:17" ht="17.100000000000001" customHeight="1" x14ac:dyDescent="0.3">
      <c r="A14" s="3" t="s">
        <v>30</v>
      </c>
      <c r="B14" s="9">
        <v>0.32164102289834973</v>
      </c>
      <c r="C14" s="9">
        <v>0.30844538193824156</v>
      </c>
      <c r="D14" s="9">
        <v>0.31338924294497561</v>
      </c>
      <c r="E14" s="9">
        <v>0.3875154379569703</v>
      </c>
      <c r="F14" s="9">
        <v>0.45190710101779219</v>
      </c>
      <c r="G14" s="9">
        <v>0.31319759079354381</v>
      </c>
      <c r="H14" s="6">
        <f t="shared" ref="H14" si="8">(((H12/H6)^(1/2))-1)</f>
        <v>0.10562729569160156</v>
      </c>
      <c r="I14" s="9">
        <v>0.50053536032417867</v>
      </c>
      <c r="J14" s="16" t="s">
        <v>31</v>
      </c>
      <c r="K14" s="9">
        <v>0.50053536032417867</v>
      </c>
      <c r="L14" s="9">
        <v>0.44994583900913154</v>
      </c>
      <c r="M14" s="9">
        <v>0.48210450072683808</v>
      </c>
      <c r="N14" s="16" t="s">
        <v>31</v>
      </c>
      <c r="O14" s="9">
        <v>0.45247817242104849</v>
      </c>
      <c r="P14" s="9">
        <v>0.3133847056327741</v>
      </c>
      <c r="Q14" s="6">
        <f t="shared" ref="Q14" si="9">(((Q12/Q6)^(1/2))-1)</f>
        <v>0.10590458849698647</v>
      </c>
    </row>
    <row r="15" spans="1:17" ht="17.100000000000001" customHeight="1" x14ac:dyDescent="0.3">
      <c r="A15" s="10" t="s">
        <v>22</v>
      </c>
      <c r="B15" s="14">
        <v>95594</v>
      </c>
      <c r="C15" s="14">
        <v>167785.74000000002</v>
      </c>
      <c r="D15" s="14">
        <v>92581</v>
      </c>
      <c r="E15" s="14">
        <v>12336876</v>
      </c>
      <c r="F15" s="14">
        <v>13719.424000000001</v>
      </c>
      <c r="G15" s="14">
        <v>16660.874</v>
      </c>
      <c r="H15" s="11">
        <f t="shared" si="0"/>
        <v>82.345163885159934</v>
      </c>
      <c r="I15" s="15">
        <v>74564</v>
      </c>
      <c r="J15" s="15">
        <v>0</v>
      </c>
      <c r="K15" s="15">
        <v>74564</v>
      </c>
      <c r="L15" s="15">
        <v>1229.5840000000001</v>
      </c>
      <c r="M15" s="15">
        <v>79.697000000000003</v>
      </c>
      <c r="N15" s="15">
        <v>0</v>
      </c>
      <c r="O15" s="15">
        <v>1309.2809999999999</v>
      </c>
      <c r="P15" s="15">
        <v>1684.9949999999999</v>
      </c>
      <c r="Q15" s="11">
        <f t="shared" si="1"/>
        <v>77.702367069338479</v>
      </c>
    </row>
    <row r="16" spans="1:17" ht="17.100000000000001" customHeight="1" x14ac:dyDescent="0.3">
      <c r="A16" s="2" t="s">
        <v>32</v>
      </c>
      <c r="B16" s="7">
        <v>0.3614082059900024</v>
      </c>
      <c r="C16" s="7">
        <v>0.336387958837983</v>
      </c>
      <c r="D16" s="7">
        <v>0.33355899976953213</v>
      </c>
      <c r="E16" s="7">
        <v>0.30315941960707926</v>
      </c>
      <c r="F16" s="7">
        <v>0.29015835854122118</v>
      </c>
      <c r="G16" s="7">
        <v>0.33378842005758846</v>
      </c>
      <c r="H16" s="8">
        <f t="shared" ref="H16" si="10">(H15-H12)/H12</f>
        <v>-3.2711381250770999E-2</v>
      </c>
      <c r="I16" s="7">
        <v>-4.1507590657257079E-2</v>
      </c>
      <c r="J16" s="4" t="s">
        <v>31</v>
      </c>
      <c r="K16" s="7">
        <v>-4.1507590657257079E-2</v>
      </c>
      <c r="L16" s="7">
        <v>0.28823745115090055</v>
      </c>
      <c r="M16" s="7">
        <v>-5.470353105836856E-2</v>
      </c>
      <c r="N16" s="4" t="s">
        <v>31</v>
      </c>
      <c r="O16" s="7">
        <v>0.26040380100098282</v>
      </c>
      <c r="P16" s="7">
        <v>0.33358686068764198</v>
      </c>
      <c r="Q16" s="8">
        <f t="shared" ref="Q16" si="11">(Q15-Q12)/Q12</f>
        <v>-5.4876860176114636E-2</v>
      </c>
    </row>
    <row r="17" spans="1:17" ht="17.100000000000001" customHeight="1" x14ac:dyDescent="0.3">
      <c r="A17" s="3" t="s">
        <v>30</v>
      </c>
      <c r="B17" s="9">
        <v>0.33476597780652506</v>
      </c>
      <c r="C17" s="9">
        <v>0.31769404659847478</v>
      </c>
      <c r="D17" s="9">
        <v>0.32007836948323876</v>
      </c>
      <c r="E17" s="9">
        <v>0.35880686328674871</v>
      </c>
      <c r="F17" s="9">
        <v>0.39585474215185479</v>
      </c>
      <c r="G17" s="9">
        <v>0.32002563620557933</v>
      </c>
      <c r="H17" s="6">
        <f t="shared" ref="H17" si="12">(((H15/H6)^(1/3))-1)</f>
        <v>5.7445176719633118E-2</v>
      </c>
      <c r="I17" s="9">
        <v>0.29229118531478093</v>
      </c>
      <c r="J17" s="16" t="s">
        <v>31</v>
      </c>
      <c r="K17" s="9">
        <v>0.29229118531478093</v>
      </c>
      <c r="L17" s="9">
        <v>0.39390494954689115</v>
      </c>
      <c r="M17" s="9">
        <v>0.27577835410137297</v>
      </c>
      <c r="N17" s="16" t="s">
        <v>31</v>
      </c>
      <c r="O17" s="9">
        <v>0.38540359782533185</v>
      </c>
      <c r="P17" s="9">
        <v>0.32008452220863415</v>
      </c>
      <c r="Q17" s="6">
        <f t="shared" ref="Q17" si="13">(((Q15/Q6)^(1/3))-1)</f>
        <v>4.9480979829543248E-2</v>
      </c>
    </row>
    <row r="18" spans="1:17" ht="17.100000000000001" customHeight="1" x14ac:dyDescent="0.3">
      <c r="A18" s="10" t="s">
        <v>23</v>
      </c>
      <c r="B18" s="14">
        <v>123222</v>
      </c>
      <c r="C18" s="14">
        <v>214824.62</v>
      </c>
      <c r="D18" s="14">
        <v>118127</v>
      </c>
      <c r="E18" s="14">
        <v>15685848</v>
      </c>
      <c r="F18" s="14">
        <v>17175.834999999999</v>
      </c>
      <c r="G18" s="14">
        <v>21262.816999999999</v>
      </c>
      <c r="H18" s="11">
        <f t="shared" si="0"/>
        <v>80.778736890789219</v>
      </c>
      <c r="I18" s="15">
        <v>74564</v>
      </c>
      <c r="J18" s="15">
        <v>0</v>
      </c>
      <c r="K18" s="15">
        <v>74564</v>
      </c>
      <c r="L18" s="15">
        <v>1537.8610000000001</v>
      </c>
      <c r="M18" s="15">
        <v>98.066000000000003</v>
      </c>
      <c r="N18" s="15">
        <v>0</v>
      </c>
      <c r="O18" s="15">
        <v>1635.9269999999999</v>
      </c>
      <c r="P18" s="15">
        <v>2149.904</v>
      </c>
      <c r="Q18" s="11">
        <f t="shared" si="1"/>
        <v>76.093025549047766</v>
      </c>
    </row>
    <row r="19" spans="1:17" ht="17.100000000000001" customHeight="1" x14ac:dyDescent="0.3">
      <c r="A19" s="2" t="s">
        <v>32</v>
      </c>
      <c r="B19" s="7">
        <v>0.28901395485072284</v>
      </c>
      <c r="C19" s="7">
        <v>0.28035088083170817</v>
      </c>
      <c r="D19" s="7">
        <v>0.2759313466045949</v>
      </c>
      <c r="E19" s="7">
        <v>0.271460295134684</v>
      </c>
      <c r="F19" s="7">
        <v>0.25193557688719281</v>
      </c>
      <c r="G19" s="7">
        <v>0.27621258044445923</v>
      </c>
      <c r="H19" s="8">
        <f t="shared" ref="H19" si="14">(H18-H15)/H15</f>
        <v>-1.9022695692916258E-2</v>
      </c>
      <c r="I19" s="7">
        <v>0</v>
      </c>
      <c r="J19" s="4" t="s">
        <v>31</v>
      </c>
      <c r="K19" s="7">
        <v>0</v>
      </c>
      <c r="L19" s="7">
        <v>0.2507165024918997</v>
      </c>
      <c r="M19" s="7">
        <v>0.23048546369374004</v>
      </c>
      <c r="N19" s="4" t="s">
        <v>31</v>
      </c>
      <c r="O19" s="7">
        <v>0.24948502269566272</v>
      </c>
      <c r="P19" s="7">
        <v>0.27591120448428641</v>
      </c>
      <c r="Q19" s="8">
        <f t="shared" ref="Q19" si="15">(Q18-Q15)/Q15</f>
        <v>-2.0711615115336198E-2</v>
      </c>
    </row>
    <row r="20" spans="1:17" ht="17.100000000000001" customHeight="1" x14ac:dyDescent="0.3">
      <c r="A20" s="3" t="s">
        <v>30</v>
      </c>
      <c r="B20" s="9">
        <v>0.32317793772376979</v>
      </c>
      <c r="C20" s="9">
        <v>0.30825736695200545</v>
      </c>
      <c r="D20" s="9">
        <v>0.30890043769007614</v>
      </c>
      <c r="E20" s="9">
        <v>0.33642317920611409</v>
      </c>
      <c r="F20" s="9">
        <v>0.35839371978264167</v>
      </c>
      <c r="G20" s="9">
        <v>0.30893333948567547</v>
      </c>
      <c r="H20" s="6">
        <f t="shared" ref="H20" si="16">(((H18/H6)^(1/4))-1)</f>
        <v>3.778678318057116E-2</v>
      </c>
      <c r="I20" s="9">
        <v>0.2120493040128768</v>
      </c>
      <c r="J20" s="16" t="s">
        <v>31</v>
      </c>
      <c r="K20" s="9">
        <v>0.2120493040128768</v>
      </c>
      <c r="L20" s="9">
        <v>0.35663991338699863</v>
      </c>
      <c r="M20" s="9">
        <v>0.26430118166574701</v>
      </c>
      <c r="N20" s="16" t="s">
        <v>31</v>
      </c>
      <c r="O20" s="9">
        <v>0.35009707708426463</v>
      </c>
      <c r="P20" s="9">
        <v>0.30889984746425303</v>
      </c>
      <c r="Q20" s="6">
        <f t="shared" ref="Q20" si="17">(((Q18/Q6)^(1/4))-1)</f>
        <v>3.147469968754546E-2</v>
      </c>
    </row>
    <row r="21" spans="1:17" ht="17.100000000000001" customHeight="1" x14ac:dyDescent="0.3">
      <c r="A21" s="10" t="s">
        <v>24</v>
      </c>
      <c r="B21" s="14">
        <v>148342</v>
      </c>
      <c r="C21" s="14">
        <v>261951.44999999998</v>
      </c>
      <c r="D21" s="14">
        <v>143117</v>
      </c>
      <c r="E21" s="14">
        <v>18078096</v>
      </c>
      <c r="F21" s="14">
        <v>19700.616000000002</v>
      </c>
      <c r="G21" s="14">
        <v>25760.406999999999</v>
      </c>
      <c r="H21" s="11">
        <f t="shared" si="0"/>
        <v>76.476338281456506</v>
      </c>
      <c r="I21" s="15">
        <v>95627</v>
      </c>
      <c r="J21" s="15">
        <v>0</v>
      </c>
      <c r="K21" s="15">
        <v>95627</v>
      </c>
      <c r="L21" s="15">
        <v>1766.326</v>
      </c>
      <c r="M21" s="15">
        <v>105.187</v>
      </c>
      <c r="N21" s="15">
        <v>0</v>
      </c>
      <c r="O21" s="15">
        <v>1871.5129999999999</v>
      </c>
      <c r="P21" s="15">
        <v>2604.7109999999998</v>
      </c>
      <c r="Q21" s="11">
        <f t="shared" si="1"/>
        <v>71.851080599728718</v>
      </c>
    </row>
    <row r="22" spans="1:17" ht="17.100000000000001" customHeight="1" x14ac:dyDescent="0.3">
      <c r="A22" s="2" t="s">
        <v>32</v>
      </c>
      <c r="B22" s="7">
        <v>0.20385970037817921</v>
      </c>
      <c r="C22" s="7">
        <v>0.21937350569967254</v>
      </c>
      <c r="D22" s="7">
        <v>0.21155197372319623</v>
      </c>
      <c r="E22" s="7">
        <v>0.15250995674572393</v>
      </c>
      <c r="F22" s="7">
        <v>0.14699611401716439</v>
      </c>
      <c r="G22" s="7">
        <v>0.21152371296804184</v>
      </c>
      <c r="H22" s="8">
        <f t="shared" ref="H22" si="18">(H21-H18)/H18</f>
        <v>-5.3261523699602346E-2</v>
      </c>
      <c r="I22" s="7">
        <v>0.28248216297408935</v>
      </c>
      <c r="J22" s="4" t="s">
        <v>31</v>
      </c>
      <c r="K22" s="7">
        <v>0.28248216297408935</v>
      </c>
      <c r="L22" s="7">
        <v>0.14856024048987515</v>
      </c>
      <c r="M22" s="7">
        <v>7.2614361756368109E-2</v>
      </c>
      <c r="N22" s="4" t="s">
        <v>31</v>
      </c>
      <c r="O22" s="7">
        <v>0.14400764826303375</v>
      </c>
      <c r="P22" s="7">
        <v>0.21154758538055643</v>
      </c>
      <c r="Q22" s="8">
        <f t="shared" ref="Q22" si="19">(Q21-Q18)/Q18</f>
        <v>-5.5746829866618865E-2</v>
      </c>
    </row>
    <row r="23" spans="1:17" ht="17.100000000000001" customHeight="1" x14ac:dyDescent="0.3">
      <c r="A23" s="3" t="s">
        <v>30</v>
      </c>
      <c r="B23" s="9">
        <v>0.29840379470230372</v>
      </c>
      <c r="C23" s="9">
        <v>0.28997680721588304</v>
      </c>
      <c r="D23" s="9">
        <v>0.28882425366630704</v>
      </c>
      <c r="E23" s="9">
        <v>0.297430600727006</v>
      </c>
      <c r="F23" s="9">
        <v>0.31320619050095422</v>
      </c>
      <c r="G23" s="9">
        <v>0.28884415849415168</v>
      </c>
      <c r="H23" s="6">
        <f t="shared" ref="H23" si="20">(((H21/H6)^(1/5))-1)</f>
        <v>1.890223255173562E-2</v>
      </c>
      <c r="I23" s="9">
        <v>0.22581941594307153</v>
      </c>
      <c r="J23" s="16" t="s">
        <v>31</v>
      </c>
      <c r="K23" s="9">
        <v>0.22581941594307153</v>
      </c>
      <c r="L23" s="9">
        <v>0.31220723457143196</v>
      </c>
      <c r="M23" s="9">
        <v>0.22340191680366406</v>
      </c>
      <c r="N23" s="16" t="s">
        <v>31</v>
      </c>
      <c r="O23" s="9">
        <v>0.30610407131294548</v>
      </c>
      <c r="P23" s="9">
        <v>0.28882285508115491</v>
      </c>
      <c r="Q23" s="6">
        <f t="shared" ref="Q23" si="21">(((Q21/Q6)^(1/5))-1)</f>
        <v>1.3408527140607029E-2</v>
      </c>
    </row>
    <row r="24" spans="1:17" ht="17.100000000000001" customHeight="1" x14ac:dyDescent="0.3">
      <c r="A24" s="10" t="s">
        <v>25</v>
      </c>
      <c r="B24" s="14">
        <v>183149</v>
      </c>
      <c r="C24" s="14">
        <v>324875.06</v>
      </c>
      <c r="D24" s="14">
        <v>174544</v>
      </c>
      <c r="E24" s="14">
        <v>23727080</v>
      </c>
      <c r="F24" s="14">
        <v>24957.178</v>
      </c>
      <c r="G24" s="14">
        <v>31416.634999999998</v>
      </c>
      <c r="H24" s="11">
        <f t="shared" si="0"/>
        <v>79.439373440217267</v>
      </c>
      <c r="I24" s="15">
        <v>118076</v>
      </c>
      <c r="J24" s="15">
        <v>8111</v>
      </c>
      <c r="K24" s="15">
        <v>126187</v>
      </c>
      <c r="L24" s="15">
        <v>2244.1579999999999</v>
      </c>
      <c r="M24" s="15">
        <v>145.73400000000001</v>
      </c>
      <c r="N24" s="15">
        <v>9.532</v>
      </c>
      <c r="O24" s="15">
        <v>2399.424</v>
      </c>
      <c r="P24" s="15">
        <v>3176.7069999999999</v>
      </c>
      <c r="Q24" s="11">
        <f t="shared" si="1"/>
        <v>75.531800698018429</v>
      </c>
    </row>
    <row r="25" spans="1:17" ht="17.100000000000001" customHeight="1" x14ac:dyDescent="0.3">
      <c r="A25" s="2" t="s">
        <v>32</v>
      </c>
      <c r="B25" s="7">
        <v>0.23464022326785403</v>
      </c>
      <c r="C25" s="7">
        <v>0.2402109627566483</v>
      </c>
      <c r="D25" s="7">
        <v>0.2195895665783939</v>
      </c>
      <c r="E25" s="7">
        <v>0.31247671214933254</v>
      </c>
      <c r="F25" s="7">
        <v>0.26682221510230936</v>
      </c>
      <c r="G25" s="7">
        <v>0.21957059917570398</v>
      </c>
      <c r="H25" s="8">
        <f t="shared" ref="H25" si="22">(H24-H21)/H21</f>
        <v>3.8744469535869741E-2</v>
      </c>
      <c r="I25" s="7">
        <v>0.23475587438694093</v>
      </c>
      <c r="J25" s="4" t="s">
        <v>31</v>
      </c>
      <c r="K25" s="7">
        <v>0.319575015424514</v>
      </c>
      <c r="L25" s="7">
        <v>0.27052310841826471</v>
      </c>
      <c r="M25" s="7">
        <v>0.38547539144571108</v>
      </c>
      <c r="N25" s="4" t="s">
        <v>31</v>
      </c>
      <c r="O25" s="7">
        <v>0.28207712155886711</v>
      </c>
      <c r="P25" s="7">
        <v>0.21960056221208424</v>
      </c>
      <c r="Q25" s="8">
        <f t="shared" ref="Q25" si="23">(Q24-Q21)/Q21</f>
        <v>5.1227066699169564E-2</v>
      </c>
    </row>
    <row r="26" spans="1:17" ht="17.100000000000001" customHeight="1" x14ac:dyDescent="0.3">
      <c r="A26" s="3" t="s">
        <v>30</v>
      </c>
      <c r="B26" s="9">
        <v>0.28755231394227354</v>
      </c>
      <c r="C26" s="9">
        <v>0.28154594089350549</v>
      </c>
      <c r="D26" s="9">
        <v>0.27701804339442959</v>
      </c>
      <c r="E26" s="9">
        <v>0.29992625394895889</v>
      </c>
      <c r="F26" s="9">
        <v>0.30535923562016642</v>
      </c>
      <c r="G26" s="9">
        <v>0.27703116862700372</v>
      </c>
      <c r="H26" s="6">
        <f t="shared" ref="H26" si="24">(((H24/H6)^(1/6))-1)</f>
        <v>2.2182753004861722E-2</v>
      </c>
      <c r="I26" s="9">
        <v>0.22730432153504809</v>
      </c>
      <c r="J26" s="16" t="s">
        <v>31</v>
      </c>
      <c r="K26" s="9">
        <v>0.24096946063968061</v>
      </c>
      <c r="L26" s="9">
        <v>0.30516609869144951</v>
      </c>
      <c r="M26" s="9">
        <v>0.2490335381509996</v>
      </c>
      <c r="N26" s="16" t="s">
        <v>31</v>
      </c>
      <c r="O26" s="9">
        <v>0.3020685358153492</v>
      </c>
      <c r="P26" s="9">
        <v>0.27701880747416041</v>
      </c>
      <c r="Q26" s="6">
        <f t="shared" ref="Q26" si="25">(((Q24/Q6)^(1/6))-1)</f>
        <v>1.9615786544863179E-2</v>
      </c>
    </row>
    <row r="27" spans="1:17" ht="17.100000000000001" customHeight="1" x14ac:dyDescent="0.3">
      <c r="A27" s="10" t="s">
        <v>26</v>
      </c>
      <c r="B27" s="14">
        <v>225341</v>
      </c>
      <c r="C27" s="14">
        <v>398809.04999999993</v>
      </c>
      <c r="D27" s="14">
        <v>213509</v>
      </c>
      <c r="E27" s="14">
        <v>31453451</v>
      </c>
      <c r="F27" s="14">
        <v>32315.911</v>
      </c>
      <c r="G27" s="14">
        <v>38414.086000000003</v>
      </c>
      <c r="H27" s="11">
        <f t="shared" si="0"/>
        <v>84.12515919290648</v>
      </c>
      <c r="I27" s="15">
        <v>127073</v>
      </c>
      <c r="J27" s="15">
        <v>11899.743924999999</v>
      </c>
      <c r="K27" s="15">
        <v>138972.74392500002</v>
      </c>
      <c r="L27" s="15">
        <v>2908.2080000000001</v>
      </c>
      <c r="M27" s="15">
        <v>157.23500000000001</v>
      </c>
      <c r="N27" s="15">
        <v>14.86</v>
      </c>
      <c r="O27" s="15">
        <v>3080.3029999999999</v>
      </c>
      <c r="P27" s="15">
        <v>4094.9520000000002</v>
      </c>
      <c r="Q27" s="11">
        <f t="shared" si="1"/>
        <v>75.22195620363803</v>
      </c>
    </row>
    <row r="28" spans="1:17" ht="17.100000000000001" customHeight="1" x14ac:dyDescent="0.3">
      <c r="A28" s="2" t="s">
        <v>32</v>
      </c>
      <c r="B28" s="7">
        <v>0.23036980818896091</v>
      </c>
      <c r="C28" s="7">
        <v>0.22757668748102711</v>
      </c>
      <c r="D28" s="7">
        <v>0.22323883949032908</v>
      </c>
      <c r="E28" s="7">
        <v>0.32563513925860238</v>
      </c>
      <c r="F28" s="7">
        <v>0.2948543701535486</v>
      </c>
      <c r="G28" s="7">
        <v>0.22273076031217234</v>
      </c>
      <c r="H28" s="8">
        <f t="shared" ref="H28" si="26">(H27-H24)/H24</f>
        <v>5.8985683670019613E-2</v>
      </c>
      <c r="I28" s="7">
        <v>7.6196686879636849E-2</v>
      </c>
      <c r="J28" s="7">
        <v>0.46711181420293413</v>
      </c>
      <c r="K28" s="7">
        <v>0.10132378077773477</v>
      </c>
      <c r="L28" s="7">
        <v>0.29590162546487375</v>
      </c>
      <c r="M28" s="7">
        <v>7.8917754264619125E-2</v>
      </c>
      <c r="N28" s="7">
        <v>0.55895929500629449</v>
      </c>
      <c r="O28" s="7">
        <v>0.28376768757835208</v>
      </c>
      <c r="P28" s="7">
        <v>0.28905561639773525</v>
      </c>
      <c r="Q28" s="8">
        <f t="shared" ref="Q28" si="27">(Q27-Q24)/Q24</f>
        <v>-4.1021727473330117E-3</v>
      </c>
    </row>
    <row r="29" spans="1:17" ht="17.100000000000001" customHeight="1" x14ac:dyDescent="0.3">
      <c r="A29" s="3" t="s">
        <v>30</v>
      </c>
      <c r="B29" s="9">
        <v>0.27922348504979988</v>
      </c>
      <c r="C29" s="9">
        <v>0.27369315695881147</v>
      </c>
      <c r="D29" s="9">
        <v>0.26919291085142305</v>
      </c>
      <c r="E29" s="9">
        <v>0.30356819810916935</v>
      </c>
      <c r="F29" s="9">
        <v>0.30385333883605581</v>
      </c>
      <c r="G29" s="9">
        <v>0.26912876853777568</v>
      </c>
      <c r="H29" s="6">
        <f t="shared" ref="H29" si="28">(((H27/H6)^(1/7))-1)</f>
        <v>2.7360951196692129E-2</v>
      </c>
      <c r="I29" s="9">
        <v>0.20448320125658714</v>
      </c>
      <c r="J29" s="16" t="s">
        <v>31</v>
      </c>
      <c r="K29" s="9">
        <v>0.21998505781085109</v>
      </c>
      <c r="L29" s="9">
        <v>0.30383855848285668</v>
      </c>
      <c r="M29" s="9">
        <v>0.22318013654960711</v>
      </c>
      <c r="N29" s="16" t="s">
        <v>31</v>
      </c>
      <c r="O29" s="9">
        <v>0.29943824220681114</v>
      </c>
      <c r="P29" s="9">
        <v>0.27873144561305163</v>
      </c>
      <c r="Q29" s="6">
        <f t="shared" ref="Q29" si="29">(((Q27/Q6)^(1/7))-1)</f>
        <v>1.6193233274115926E-2</v>
      </c>
    </row>
    <row r="30" spans="1:17" ht="17.100000000000001" customHeight="1" x14ac:dyDescent="0.3">
      <c r="A30" s="10" t="s">
        <v>27</v>
      </c>
      <c r="B30" s="14">
        <v>287281</v>
      </c>
      <c r="C30" s="14">
        <v>512440.59499999997</v>
      </c>
      <c r="D30" s="14">
        <v>273660</v>
      </c>
      <c r="E30" s="14">
        <v>41600088</v>
      </c>
      <c r="F30" s="14">
        <v>41936.813000000002</v>
      </c>
      <c r="G30" s="14">
        <v>49212.411</v>
      </c>
      <c r="H30" s="11">
        <f t="shared" si="0"/>
        <v>85.215928559159607</v>
      </c>
      <c r="I30" s="15">
        <v>149408</v>
      </c>
      <c r="J30" s="15">
        <v>14204</v>
      </c>
      <c r="K30" s="15">
        <v>163612</v>
      </c>
      <c r="L30" s="15">
        <v>3774.4513459999998</v>
      </c>
      <c r="M30" s="15">
        <v>182.554925</v>
      </c>
      <c r="N30" s="15">
        <v>15.645637000000001</v>
      </c>
      <c r="O30" s="15">
        <v>3972.6519079999998</v>
      </c>
      <c r="P30" s="15">
        <v>5326.489223999999</v>
      </c>
      <c r="Q30" s="11">
        <f t="shared" si="1"/>
        <v>74.582933353175605</v>
      </c>
    </row>
    <row r="31" spans="1:17" ht="17.100000000000001" customHeight="1" x14ac:dyDescent="0.3">
      <c r="A31" s="2" t="s">
        <v>32</v>
      </c>
      <c r="B31" s="7">
        <v>0.27487230464052259</v>
      </c>
      <c r="C31" s="7">
        <v>0.28492719761499913</v>
      </c>
      <c r="D31" s="7">
        <v>0.2817258288877752</v>
      </c>
      <c r="E31" s="7">
        <v>0.32259216961598269</v>
      </c>
      <c r="F31" s="7">
        <v>0.29771408888952572</v>
      </c>
      <c r="G31" s="7">
        <v>0.28110326508874883</v>
      </c>
      <c r="H31" s="8">
        <f t="shared" ref="H31" si="30">(H30-H27)/H27</f>
        <v>1.2966030337629388E-2</v>
      </c>
      <c r="I31" s="7">
        <v>0.17576511139266407</v>
      </c>
      <c r="J31" s="7">
        <v>0.19363913118827902</v>
      </c>
      <c r="K31" s="7">
        <v>0.17729560041138104</v>
      </c>
      <c r="L31" s="7">
        <v>0.2978615511682795</v>
      </c>
      <c r="M31" s="7">
        <v>0.16103237192736974</v>
      </c>
      <c r="N31" s="7">
        <v>5.286924629878878E-2</v>
      </c>
      <c r="O31" s="7">
        <v>0.28969517219572227</v>
      </c>
      <c r="P31" s="7">
        <v>0.30074521606114035</v>
      </c>
      <c r="Q31" s="8">
        <f t="shared" ref="Q31" si="31">(Q30-Q27)/Q27</f>
        <v>-8.4951639483090043E-3</v>
      </c>
    </row>
    <row r="32" spans="1:17" ht="17.100000000000001" customHeight="1" x14ac:dyDescent="0.3">
      <c r="A32" s="3" t="s">
        <v>30</v>
      </c>
      <c r="B32" s="9">
        <v>0.27867877638749738</v>
      </c>
      <c r="C32" s="9">
        <v>0.27509202302190716</v>
      </c>
      <c r="D32" s="9">
        <v>0.27075279901238791</v>
      </c>
      <c r="E32" s="9">
        <v>0.30593114862822834</v>
      </c>
      <c r="F32" s="9">
        <v>0.30308434707732856</v>
      </c>
      <c r="G32" s="9">
        <v>0.2706194381000242</v>
      </c>
      <c r="H32" s="6">
        <f t="shared" ref="H32" si="32">(((H30/H6)^(1/8))-1)</f>
        <v>2.5550458307052049E-2</v>
      </c>
      <c r="I32" s="9">
        <v>0.20085542688664293</v>
      </c>
      <c r="J32" s="16" t="s">
        <v>31</v>
      </c>
      <c r="K32" s="9">
        <v>0.21456535175905156</v>
      </c>
      <c r="L32" s="9">
        <v>0.30308992984722183</v>
      </c>
      <c r="M32" s="9">
        <v>0.21523329128152979</v>
      </c>
      <c r="N32" s="16" t="s">
        <v>31</v>
      </c>
      <c r="O32" s="9">
        <v>0.29821634456523038</v>
      </c>
      <c r="P32" s="9">
        <v>0.28146266204421444</v>
      </c>
      <c r="Q32" s="6">
        <f t="shared" ref="Q32" si="33">(((Q30/Q6)^(1/8))-1)</f>
        <v>1.3073874890970449E-2</v>
      </c>
    </row>
    <row r="33" spans="1:17" ht="17.100000000000001" customHeight="1" x14ac:dyDescent="0.3">
      <c r="A33" s="10" t="s">
        <v>28</v>
      </c>
      <c r="B33" s="14">
        <v>326233</v>
      </c>
      <c r="C33" s="14">
        <v>576628.04463000002</v>
      </c>
      <c r="D33" s="14">
        <v>302623.00100000005</v>
      </c>
      <c r="E33" s="14">
        <v>48955983</v>
      </c>
      <c r="F33" s="14">
        <v>47899.64</v>
      </c>
      <c r="G33" s="14">
        <v>54298.065999999999</v>
      </c>
      <c r="H33" s="11">
        <f t="shared" si="0"/>
        <v>88.216106997254755</v>
      </c>
      <c r="I33" s="15">
        <v>170287.51</v>
      </c>
      <c r="J33" s="15">
        <v>15237.461000000001</v>
      </c>
      <c r="K33" s="15">
        <v>185524.97100000002</v>
      </c>
      <c r="L33" s="15">
        <v>4310.8915099999995</v>
      </c>
      <c r="M33" s="15">
        <v>205.79885999999999</v>
      </c>
      <c r="N33" s="15">
        <v>16.439809999999998</v>
      </c>
      <c r="O33" s="15">
        <v>4533.1301800000001</v>
      </c>
      <c r="P33" s="15">
        <v>5869.2875999999997</v>
      </c>
      <c r="Q33" s="11">
        <f t="shared" si="1"/>
        <v>77.234759802876255</v>
      </c>
    </row>
    <row r="34" spans="1:17" ht="17.100000000000001" customHeight="1" x14ac:dyDescent="0.3">
      <c r="A34" s="2" t="s">
        <v>32</v>
      </c>
      <c r="B34" s="7">
        <v>0.13558850045773999</v>
      </c>
      <c r="C34" s="7">
        <v>0.12525832312328816</v>
      </c>
      <c r="D34" s="7">
        <v>0.10583571219761766</v>
      </c>
      <c r="E34" s="7">
        <v>0.17682402498763944</v>
      </c>
      <c r="F34" s="7">
        <v>0.14218598346994077</v>
      </c>
      <c r="G34" s="7">
        <v>0.10334090317176289</v>
      </c>
      <c r="H34" s="8">
        <f t="shared" ref="H34" si="34">(H33-H30)/H30</f>
        <v>3.5206779868769821E-2</v>
      </c>
      <c r="I34" s="7">
        <v>0.13974827318483621</v>
      </c>
      <c r="J34" s="7">
        <v>7.2758448324415734E-2</v>
      </c>
      <c r="K34" s="7">
        <v>0.13393254162286397</v>
      </c>
      <c r="L34" s="7">
        <v>0.14212401083630227</v>
      </c>
      <c r="M34" s="7">
        <v>0.12732570759183842</v>
      </c>
      <c r="N34" s="7">
        <v>5.0760029776991317E-2</v>
      </c>
      <c r="O34" s="7">
        <v>0.14108416367196103</v>
      </c>
      <c r="P34" s="7">
        <v>0.10190546778059167</v>
      </c>
      <c r="Q34" s="8">
        <f t="shared" ref="Q34" si="35">(Q33-Q30)/Q30</f>
        <v>3.5555405646803241E-2</v>
      </c>
    </row>
    <row r="35" spans="1:17" ht="17.100000000000001" customHeight="1" x14ac:dyDescent="0.3">
      <c r="A35" s="3" t="s">
        <v>30</v>
      </c>
      <c r="B35" s="9">
        <v>0.26192846811424997</v>
      </c>
      <c r="C35" s="9">
        <v>0.25750402824369933</v>
      </c>
      <c r="D35" s="9">
        <v>0.25127637729976149</v>
      </c>
      <c r="E35" s="9">
        <v>0.29091333095930572</v>
      </c>
      <c r="F35" s="9">
        <v>0.28414186708019096</v>
      </c>
      <c r="G35" s="9">
        <v>0.25084570603077938</v>
      </c>
      <c r="H35" s="6">
        <f t="shared" ref="H35" si="36">(((H33/H6)^(1/9))-1)</f>
        <v>2.6618919414983733E-2</v>
      </c>
      <c r="I35" s="9">
        <v>0.19390707842589783</v>
      </c>
      <c r="J35" s="16" t="s">
        <v>31</v>
      </c>
      <c r="K35" s="9">
        <v>0.20533019311904654</v>
      </c>
      <c r="L35" s="9">
        <v>0.28413901553581189</v>
      </c>
      <c r="M35" s="9">
        <v>0.2051366595774573</v>
      </c>
      <c r="N35" s="16" t="s">
        <v>31</v>
      </c>
      <c r="O35" s="9">
        <v>0.27973952766966481</v>
      </c>
      <c r="P35" s="9">
        <v>0.26014735554639379</v>
      </c>
      <c r="Q35" s="6">
        <f t="shared" ref="Q35" si="37">(((Q33/Q6)^(1/9))-1)</f>
        <v>1.554752468990106E-2</v>
      </c>
    </row>
    <row r="36" spans="1:17" ht="17.100000000000001" customHeight="1" x14ac:dyDescent="0.3">
      <c r="A36" s="13" t="s">
        <v>33</v>
      </c>
      <c r="B36" s="14">
        <v>417419</v>
      </c>
      <c r="C36" s="14">
        <v>740551.19860000012</v>
      </c>
      <c r="D36" s="14">
        <v>382121.826</v>
      </c>
      <c r="E36" s="14">
        <v>60038171</v>
      </c>
      <c r="F36" s="14">
        <v>58688.678999999996</v>
      </c>
      <c r="G36" s="14">
        <v>67643.506999999998</v>
      </c>
      <c r="H36" s="11">
        <f t="shared" si="0"/>
        <v>86.761733095831346</v>
      </c>
      <c r="I36" s="15">
        <v>163256.30495000002</v>
      </c>
      <c r="J36" s="15">
        <v>21163.398409999998</v>
      </c>
      <c r="K36" s="15">
        <v>184419.70335999998</v>
      </c>
      <c r="L36" s="15">
        <v>5281.9677139999994</v>
      </c>
      <c r="M36" s="15">
        <v>195.54945129999999</v>
      </c>
      <c r="N36" s="15">
        <v>21.825904699999995</v>
      </c>
      <c r="O36" s="15">
        <v>5499.3430699999999</v>
      </c>
      <c r="P36" s="15">
        <v>7452.3593386000002</v>
      </c>
      <c r="Q36" s="11">
        <f t="shared" si="1"/>
        <v>73.793315916957738</v>
      </c>
    </row>
    <row r="37" spans="1:17" ht="17.100000000000001" customHeight="1" x14ac:dyDescent="0.3">
      <c r="A37" s="2" t="s">
        <v>29</v>
      </c>
      <c r="B37" s="7">
        <v>0.27951188261150772</v>
      </c>
      <c r="C37" s="7">
        <v>0.28427884404266751</v>
      </c>
      <c r="D37" s="7">
        <v>0.26269921564884602</v>
      </c>
      <c r="E37" s="7">
        <v>0.22637045200379288</v>
      </c>
      <c r="F37" s="7">
        <v>0.22524259054974102</v>
      </c>
      <c r="G37" s="7">
        <v>0.24578114807993343</v>
      </c>
      <c r="H37" s="8">
        <f t="shared" ref="H37" si="38">(H36-H33)/H33</f>
        <v>-1.6486489269682561E-2</v>
      </c>
      <c r="I37" s="7">
        <v>-4.1290198265274941E-2</v>
      </c>
      <c r="J37" s="7">
        <v>0.38890582952107283</v>
      </c>
      <c r="K37" s="7">
        <v>-5.9575141504807699E-3</v>
      </c>
      <c r="L37" s="7">
        <v>0.2252611093894126</v>
      </c>
      <c r="M37" s="7">
        <v>-4.9803039239381619E-2</v>
      </c>
      <c r="N37" s="7">
        <v>0.32762511853847448</v>
      </c>
      <c r="O37" s="7">
        <v>0.21314474802927449</v>
      </c>
      <c r="P37" s="7">
        <v>0.26972127564510567</v>
      </c>
      <c r="Q37" s="8">
        <f t="shared" ref="Q37" si="39">(Q36-Q33)/Q33</f>
        <v>-4.4558226046174043E-2</v>
      </c>
    </row>
    <row r="38" spans="1:17" ht="17.100000000000001" customHeight="1" x14ac:dyDescent="0.3">
      <c r="A38" s="3" t="s">
        <v>30</v>
      </c>
      <c r="B38" s="9">
        <v>0.26367588074313963</v>
      </c>
      <c r="C38" s="9">
        <v>0.26015619645397914</v>
      </c>
      <c r="D38" s="9">
        <v>0.25241399555410138</v>
      </c>
      <c r="E38" s="9">
        <v>0.28430905611707424</v>
      </c>
      <c r="F38" s="9">
        <v>0.27812671817226597</v>
      </c>
      <c r="G38" s="9">
        <v>0.25033832509587994</v>
      </c>
      <c r="H38" s="6">
        <f t="shared" ref="H38" si="40">(((H36/H6)^(1/10))-1)</f>
        <v>2.2224699122339597E-2</v>
      </c>
      <c r="I38" s="9">
        <v>0.16799824736781854</v>
      </c>
      <c r="J38" s="16" t="s">
        <v>31</v>
      </c>
      <c r="K38" s="9">
        <v>0.18232242460406822</v>
      </c>
      <c r="L38" s="9">
        <v>0.27812609560176393</v>
      </c>
      <c r="M38" s="9">
        <v>0.17683081452749772</v>
      </c>
      <c r="N38" s="16" t="s">
        <v>31</v>
      </c>
      <c r="O38" s="9">
        <v>0.27291876312358432</v>
      </c>
      <c r="P38" s="9">
        <v>0.26110149003299243</v>
      </c>
      <c r="Q38" s="6">
        <f t="shared" ref="Q38" si="41">(((Q36/Q6)^(1/10))-1)</f>
        <v>9.3705964063865999E-3</v>
      </c>
    </row>
    <row r="39" spans="1:17" x14ac:dyDescent="0.3">
      <c r="A39" s="21" t="s">
        <v>37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3">
      <c r="A40" s="17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2020-06-11T07:59:44Z</cp:lastPrinted>
  <dcterms:created xsi:type="dcterms:W3CDTF">2018-10-29T04:00:14Z</dcterms:created>
  <dcterms:modified xsi:type="dcterms:W3CDTF">2020-06-11T07:59:51Z</dcterms:modified>
</cp:coreProperties>
</file>