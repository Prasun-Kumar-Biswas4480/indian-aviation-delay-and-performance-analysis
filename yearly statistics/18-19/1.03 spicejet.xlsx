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SPICEJET\"/>
    </mc:Choice>
  </mc:AlternateContent>
  <bookViews>
    <workbookView xWindow="0" yWindow="0" windowWidth="19200" windowHeight="7224"/>
  </bookViews>
  <sheets>
    <sheet name="spicejet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H18" i="1" s="1"/>
  <c r="F18" i="1"/>
  <c r="E18" i="1"/>
  <c r="D18" i="1"/>
  <c r="C18" i="1"/>
  <c r="B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</calcChain>
</file>

<file path=xl/sharedStrings.xml><?xml version="1.0" encoding="utf-8"?>
<sst xmlns="http://schemas.openxmlformats.org/spreadsheetml/2006/main" count="26" uniqueCount="24">
  <si>
    <t xml:space="preserve">तालिका 1.03 (स्पाइसजेट) </t>
  </si>
  <si>
    <t>Table 1.03 (SPICEJET)</t>
  </si>
  <si>
    <t>MONTHLY TRAFFIC AND OPERATING STATISTICS OF SPICEJET ON SCHEDULED (DOMESTIC + INTERNATIONAL) SERVICES DURING 2018-19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</si>
  <si>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</si>
  <si>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</si>
  <si>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</si>
  <si>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</si>
  <si>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</si>
  <si>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</si>
  <si>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</si>
  <si>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</si>
  <si>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</si>
  <si>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</si>
  <si>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</si>
  <si>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</si>
  <si>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</si>
  <si>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</si>
  <si>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</si>
  <si>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</si>
  <si>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</si>
  <si>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</si>
  <si>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</si>
  <si>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</si>
  <si>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SOURCE:-  ICAO ATR FORM 'A'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</si>
</sst>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3">
    <xf numFmtId="0" fontId="0" fillId="0" borderId="0" xfId="0"/>
    <xf numFmtId="0" fontId="0" fillId="4" borderId="1" xfId="4" applyFont="1" applyBorder="1" applyAlignment="1">
      <alignment horizontal="center" vertical="center" wrapText="1"/>
    </xf>
    <xf numFmtId="0" fontId="1" fillId="4" borderId="1" xfId="4" applyBorder="1" applyAlignment="1">
      <alignment horizontal="center" vertical="center" wrapText="1"/>
    </xf>
    <xf numFmtId="0" fontId="0" fillId="4" borderId="1" xfId="4" quotePrefix="1" applyFont="1" applyBorder="1" applyAlignment="1" applyProtection="1">
      <alignment horizontal="center" vertical="center" wrapText="1"/>
    </xf>
    <xf numFmtId="0" fontId="1" fillId="4" borderId="1" xfId="4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17" fontId="1" fillId="4" borderId="1" xfId="4" applyNumberFormat="1" applyBorder="1" applyAlignment="1" applyProtection="1">
      <alignment horizontal="center" vertical="center" wrapText="1"/>
    </xf>
    <xf numFmtId="164" fontId="1" fillId="4" borderId="1" xfId="4" applyNumberFormat="1" applyBorder="1" applyAlignment="1">
      <alignment horizontal="right" vertical="center"/>
    </xf>
    <xf numFmtId="165" fontId="1" fillId="3" borderId="1" xfId="3" applyNumberFormat="1" applyBorder="1" applyAlignment="1" applyProtection="1">
      <alignment horizontal="center" vertical="center" wrapText="1"/>
    </xf>
    <xf numFmtId="166" fontId="1" fillId="4" borderId="1" xfId="4" applyNumberFormat="1" applyBorder="1" applyAlignment="1">
      <alignment horizontal="right" vertical="center"/>
    </xf>
    <xf numFmtId="17" fontId="4" fillId="5" borderId="1" xfId="0" applyNumberFormat="1" applyFont="1" applyFill="1" applyBorder="1" applyAlignment="1" applyProtection="1">
      <alignment horizontal="center" vertical="center" wrapText="1"/>
    </xf>
    <xf numFmtId="164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2" fillId="4" borderId="1" xfId="4" applyFont="1" applyBorder="1" applyAlignment="1" applyProtection="1">
      <alignment horizontal="center" vertical="center" wrapText="1"/>
    </xf>
    <xf numFmtId="3" fontId="2" fillId="4" borderId="1" xfId="4" applyNumberFormat="1" applyFont="1" applyBorder="1" applyAlignment="1" applyProtection="1">
      <alignment horizontal="right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5" fillId="5" borderId="2" xfId="0" applyFont="1" applyFill="1" applyBorder="1" applyAlignment="1" applyProtection="1">
      <alignment horizontal="left" vertical="center" wrapText="1"/>
    </xf>
    <xf numFmtId="0" fontId="5" fillId="5" borderId="3" xfId="0" applyFont="1" applyFill="1" applyBorder="1" applyAlignment="1" applyProtection="1">
      <alignment horizontal="left" vertical="center" wrapText="1"/>
    </xf>
    <xf numFmtId="0" fontId="5" fillId="5" borderId="4" xfId="0" applyFont="1" applyFill="1" applyBorder="1" applyAlignment="1" applyProtection="1">
      <alignment horizontal="left" vertical="center" wrapText="1"/>
    </xf>
  </cellXfs>
  <cellStyles count="5">
    <cellStyle name="20% - Accent1" xfId="3" builtinId="30"/>
    <cellStyle name="40% - Accent1" xfId="4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sqref="A1:Q1"/>
    </sheetView>
  </sheetViews>
  <sheetFormatPr defaultRowHeight="14.4" x14ac:dyDescent="0.3"/>
  <cols>
    <col min="1" max="1" width="8.109375" customWidth="1"/>
    <col min="2" max="2" width="9.5546875" customWidth="1"/>
    <col min="3" max="3" width="9.33203125" customWidth="1"/>
    <col min="4" max="4" width="9.88671875" customWidth="1"/>
    <col min="5" max="5" width="11.5546875" customWidth="1"/>
    <col min="6" max="7" width="8.33203125" customWidth="1"/>
    <col min="8" max="8" width="7.33203125" customWidth="1"/>
    <col min="9" max="9" width="9.109375" bestFit="1" customWidth="1"/>
    <col min="10" max="10" width="8.109375" bestFit="1" customWidth="1"/>
    <col min="11" max="11" width="9.109375" bestFit="1" customWidth="1"/>
    <col min="12" max="12" width="8.6640625" customWidth="1"/>
    <col min="13" max="13" width="7.33203125" customWidth="1"/>
    <col min="14" max="14" width="7.109375" customWidth="1"/>
    <col min="15" max="15" width="8.5546875" customWidth="1"/>
    <col min="16" max="16" width="8.6640625" customWidth="1"/>
    <col min="17" max="17" width="7" customWidth="1"/>
  </cols>
  <sheetData>
    <row r="1" spans="1:17" ht="18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" customHeigh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8" customHeight="1" x14ac:dyDescent="0.3">
      <c r="A4" s="5" t="s">
        <v>3</v>
      </c>
      <c r="B4" s="5" t="s">
        <v>4</v>
      </c>
      <c r="C4" s="5"/>
      <c r="D4" s="5"/>
      <c r="E4" s="5" t="s">
        <v>5</v>
      </c>
      <c r="F4" s="6"/>
      <c r="G4" s="7" t="s">
        <v>6</v>
      </c>
      <c r="H4" s="7" t="s">
        <v>7</v>
      </c>
      <c r="I4" s="5" t="s">
        <v>8</v>
      </c>
      <c r="J4" s="5"/>
      <c r="K4" s="5"/>
      <c r="L4" s="5" t="s">
        <v>9</v>
      </c>
      <c r="M4" s="5"/>
      <c r="N4" s="5"/>
      <c r="O4" s="5"/>
      <c r="P4" s="7" t="s">
        <v>10</v>
      </c>
      <c r="Q4" s="7" t="s">
        <v>11</v>
      </c>
    </row>
    <row r="5" spans="1:17" ht="120.75" customHeight="1" x14ac:dyDescent="0.3">
      <c r="A5" s="5"/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9"/>
      <c r="H5" s="9"/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18</v>
      </c>
      <c r="O5" s="8" t="s">
        <v>19</v>
      </c>
      <c r="P5" s="9"/>
      <c r="Q5" s="9"/>
    </row>
    <row r="6" spans="1:17" ht="22.2" customHeight="1" x14ac:dyDescent="0.3">
      <c r="A6" s="10">
        <v>43191</v>
      </c>
      <c r="B6" s="11">
        <v>12192</v>
      </c>
      <c r="C6" s="11">
        <v>17624</v>
      </c>
      <c r="D6" s="11">
        <v>10559.900000000001</v>
      </c>
      <c r="E6" s="11">
        <v>1599614</v>
      </c>
      <c r="F6" s="11">
        <v>1631.0298</v>
      </c>
      <c r="G6" s="11">
        <v>1725.2485999999999</v>
      </c>
      <c r="H6" s="12">
        <f>F6/G6*100</f>
        <v>94.538827621712031</v>
      </c>
      <c r="I6" s="13">
        <v>6277.2999999999993</v>
      </c>
      <c r="J6" s="13">
        <v>0</v>
      </c>
      <c r="K6" s="13">
        <v>6277.2999999999993</v>
      </c>
      <c r="L6" s="13">
        <v>122.32730000000001</v>
      </c>
      <c r="M6" s="13">
        <v>7.2007999999999992</v>
      </c>
      <c r="N6" s="13">
        <v>0</v>
      </c>
      <c r="O6" s="13">
        <v>129.52809999999999</v>
      </c>
      <c r="P6" s="13">
        <v>149.71289999999999</v>
      </c>
      <c r="Q6" s="12">
        <f>O6/P6*100</f>
        <v>86.517661470721634</v>
      </c>
    </row>
    <row r="7" spans="1:17" ht="22.2" customHeight="1" x14ac:dyDescent="0.3">
      <c r="A7" s="14">
        <v>43221</v>
      </c>
      <c r="B7" s="15">
        <v>12694</v>
      </c>
      <c r="C7" s="15">
        <v>18412</v>
      </c>
      <c r="D7" s="15">
        <v>10962.1</v>
      </c>
      <c r="E7" s="15">
        <v>1643162</v>
      </c>
      <c r="F7" s="15">
        <v>1684.0577999999998</v>
      </c>
      <c r="G7" s="15">
        <v>1785.7458000000001</v>
      </c>
      <c r="H7" s="12">
        <f t="shared" ref="H7:H18" si="0">F7/G7*100</f>
        <v>94.305572495256584</v>
      </c>
      <c r="I7" s="16">
        <v>6835.8</v>
      </c>
      <c r="J7" s="16">
        <v>0</v>
      </c>
      <c r="K7" s="16">
        <v>6835.8</v>
      </c>
      <c r="L7" s="16">
        <v>126.30429999999998</v>
      </c>
      <c r="M7" s="16">
        <v>7.8228</v>
      </c>
      <c r="N7" s="16">
        <v>0</v>
      </c>
      <c r="O7" s="16">
        <v>134.12710000000001</v>
      </c>
      <c r="P7" s="16">
        <v>155.24</v>
      </c>
      <c r="Q7" s="12">
        <f t="shared" ref="Q7:Q18" si="1">O7/P7*100</f>
        <v>86.399832517392426</v>
      </c>
    </row>
    <row r="8" spans="1:17" ht="22.2" customHeight="1" x14ac:dyDescent="0.3">
      <c r="A8" s="10">
        <v>43252</v>
      </c>
      <c r="B8" s="11">
        <v>12192</v>
      </c>
      <c r="C8" s="11">
        <v>17616</v>
      </c>
      <c r="D8" s="11">
        <v>10451.5</v>
      </c>
      <c r="E8" s="11">
        <v>1543170</v>
      </c>
      <c r="F8" s="11">
        <v>1569.6507239999999</v>
      </c>
      <c r="G8" s="11">
        <v>1697.3448679999999</v>
      </c>
      <c r="H8" s="12">
        <f t="shared" si="0"/>
        <v>92.476829758794779</v>
      </c>
      <c r="I8" s="13">
        <v>8044.2000000000007</v>
      </c>
      <c r="J8" s="13">
        <v>0</v>
      </c>
      <c r="K8" s="13">
        <v>8044.2000000000007</v>
      </c>
      <c r="L8" s="13">
        <v>117.7238</v>
      </c>
      <c r="M8" s="13">
        <v>9.0536000000000012</v>
      </c>
      <c r="N8" s="13">
        <v>0</v>
      </c>
      <c r="O8" s="13">
        <v>126.7774</v>
      </c>
      <c r="P8" s="13">
        <v>147.5556</v>
      </c>
      <c r="Q8" s="12">
        <f t="shared" si="1"/>
        <v>85.918392795664829</v>
      </c>
    </row>
    <row r="9" spans="1:17" ht="22.2" customHeight="1" x14ac:dyDescent="0.3">
      <c r="A9" s="14">
        <v>43282</v>
      </c>
      <c r="B9" s="15">
        <v>12623</v>
      </c>
      <c r="C9" s="15">
        <v>18099</v>
      </c>
      <c r="D9" s="15">
        <v>10695.4</v>
      </c>
      <c r="E9" s="15">
        <v>1611794</v>
      </c>
      <c r="F9" s="15">
        <v>1611.9142000000002</v>
      </c>
      <c r="G9" s="15">
        <v>1729.8454999999999</v>
      </c>
      <c r="H9" s="12">
        <f t="shared" si="0"/>
        <v>93.182553008346716</v>
      </c>
      <c r="I9" s="16">
        <v>8568</v>
      </c>
      <c r="J9" s="16">
        <v>0</v>
      </c>
      <c r="K9" s="16">
        <v>8568</v>
      </c>
      <c r="L9" s="16">
        <v>120.89360000000001</v>
      </c>
      <c r="M9" s="16">
        <v>9.7370999999999999</v>
      </c>
      <c r="N9" s="16">
        <v>0</v>
      </c>
      <c r="O9" s="16">
        <v>130.63069999999999</v>
      </c>
      <c r="P9" s="16">
        <v>150.42160000000001</v>
      </c>
      <c r="Q9" s="12">
        <f t="shared" si="1"/>
        <v>86.843046477367608</v>
      </c>
    </row>
    <row r="10" spans="1:17" ht="22.2" customHeight="1" x14ac:dyDescent="0.3">
      <c r="A10" s="10">
        <v>43313</v>
      </c>
      <c r="B10" s="11">
        <v>12517</v>
      </c>
      <c r="C10" s="11">
        <v>17746</v>
      </c>
      <c r="D10" s="11">
        <v>10531.35</v>
      </c>
      <c r="E10" s="11">
        <v>1583859</v>
      </c>
      <c r="F10" s="11">
        <v>1581.00755</v>
      </c>
      <c r="G10" s="11">
        <v>1704.3552</v>
      </c>
      <c r="H10" s="12">
        <f t="shared" si="0"/>
        <v>92.762796745654896</v>
      </c>
      <c r="I10" s="13">
        <v>8335.2347200000004</v>
      </c>
      <c r="J10" s="13">
        <v>0</v>
      </c>
      <c r="K10" s="13">
        <v>8335.2347200000004</v>
      </c>
      <c r="L10" s="13">
        <v>118.57556</v>
      </c>
      <c r="M10" s="13">
        <v>9.5640000000000001</v>
      </c>
      <c r="N10" s="13">
        <v>0</v>
      </c>
      <c r="O10" s="13">
        <v>128.13955999999999</v>
      </c>
      <c r="P10" s="13">
        <v>148.38016999999999</v>
      </c>
      <c r="Q10" s="12">
        <f t="shared" si="1"/>
        <v>86.358952142998618</v>
      </c>
    </row>
    <row r="11" spans="1:17" ht="22.2" customHeight="1" x14ac:dyDescent="0.3">
      <c r="A11" s="14">
        <v>43344</v>
      </c>
      <c r="B11" s="15">
        <v>12141</v>
      </c>
      <c r="C11" s="15">
        <v>17370</v>
      </c>
      <c r="D11" s="15">
        <v>10413.769</v>
      </c>
      <c r="E11" s="15">
        <v>1538951</v>
      </c>
      <c r="F11" s="15">
        <v>1548.7624070000002</v>
      </c>
      <c r="G11" s="15">
        <v>1686.0875040000001</v>
      </c>
      <c r="H11" s="12">
        <f t="shared" si="0"/>
        <v>91.855399160825527</v>
      </c>
      <c r="I11" s="16">
        <v>8872.2379999999994</v>
      </c>
      <c r="J11" s="16">
        <v>0</v>
      </c>
      <c r="K11" s="16">
        <v>8872.2379999999994</v>
      </c>
      <c r="L11" s="16">
        <v>116.15718099999999</v>
      </c>
      <c r="M11" s="16">
        <v>10.455238</v>
      </c>
      <c r="N11" s="16">
        <v>0</v>
      </c>
      <c r="O11" s="16">
        <v>126.61241899999999</v>
      </c>
      <c r="P11" s="16">
        <v>147.40455799999998</v>
      </c>
      <c r="Q11" s="12">
        <f t="shared" si="1"/>
        <v>85.894507414078745</v>
      </c>
    </row>
    <row r="12" spans="1:17" ht="22.2" customHeight="1" x14ac:dyDescent="0.3">
      <c r="A12" s="10">
        <v>43374</v>
      </c>
      <c r="B12" s="11">
        <v>12763</v>
      </c>
      <c r="C12" s="11">
        <v>21481</v>
      </c>
      <c r="D12" s="11">
        <v>10986.031000000001</v>
      </c>
      <c r="E12" s="11">
        <v>1563254</v>
      </c>
      <c r="F12" s="11">
        <v>1588.271146</v>
      </c>
      <c r="G12" s="11">
        <v>1779.154061</v>
      </c>
      <c r="H12" s="12">
        <f t="shared" si="0"/>
        <v>89.271141876678655</v>
      </c>
      <c r="I12" s="13">
        <v>9709.9219999999987</v>
      </c>
      <c r="J12" s="13">
        <v>0</v>
      </c>
      <c r="K12" s="13">
        <v>9709.9219999999987</v>
      </c>
      <c r="L12" s="13">
        <v>119.12034</v>
      </c>
      <c r="M12" s="13">
        <v>9.947102000000001</v>
      </c>
      <c r="N12" s="13">
        <v>0</v>
      </c>
      <c r="O12" s="13">
        <v>129.067442</v>
      </c>
      <c r="P12" s="13">
        <v>154.622928</v>
      </c>
      <c r="Q12" s="12">
        <f t="shared" si="1"/>
        <v>83.472382569291398</v>
      </c>
    </row>
    <row r="13" spans="1:17" ht="22.2" customHeight="1" x14ac:dyDescent="0.3">
      <c r="A13" s="14">
        <v>43405</v>
      </c>
      <c r="B13" s="15">
        <v>13081</v>
      </c>
      <c r="C13" s="15">
        <v>19397</v>
      </c>
      <c r="D13" s="15">
        <v>11682.573</v>
      </c>
      <c r="E13" s="15">
        <v>1646634</v>
      </c>
      <c r="F13" s="15">
        <v>1714.333691</v>
      </c>
      <c r="G13" s="15">
        <v>1910.8405280000002</v>
      </c>
      <c r="H13" s="12">
        <f t="shared" si="0"/>
        <v>89.716209483704219</v>
      </c>
      <c r="I13" s="16">
        <v>8996.53377</v>
      </c>
      <c r="J13" s="16">
        <v>0</v>
      </c>
      <c r="K13" s="16">
        <v>8996.53377</v>
      </c>
      <c r="L13" s="16">
        <v>128.57502700000001</v>
      </c>
      <c r="M13" s="16">
        <v>9.4778529999999996</v>
      </c>
      <c r="N13" s="16">
        <v>0</v>
      </c>
      <c r="O13" s="16">
        <v>138.05288000000002</v>
      </c>
      <c r="P13" s="16">
        <v>165.65494699999999</v>
      </c>
      <c r="Q13" s="12">
        <f t="shared" si="1"/>
        <v>83.337613817231798</v>
      </c>
    </row>
    <row r="14" spans="1:17" ht="22.2" customHeight="1" x14ac:dyDescent="0.3">
      <c r="A14" s="10">
        <v>43435</v>
      </c>
      <c r="B14" s="11">
        <v>13862</v>
      </c>
      <c r="C14" s="11">
        <v>20920</v>
      </c>
      <c r="D14" s="11">
        <v>12615.423000000001</v>
      </c>
      <c r="E14" s="11">
        <v>1782167</v>
      </c>
      <c r="F14" s="11">
        <v>1900.5713949999999</v>
      </c>
      <c r="G14" s="11">
        <v>2068.223931</v>
      </c>
      <c r="H14" s="12">
        <f t="shared" si="0"/>
        <v>91.89388859266613</v>
      </c>
      <c r="I14" s="13">
        <v>10800.977639999999</v>
      </c>
      <c r="J14" s="13">
        <v>0</v>
      </c>
      <c r="K14" s="13">
        <v>10800.977639999999</v>
      </c>
      <c r="L14" s="13">
        <v>142.5414385</v>
      </c>
      <c r="M14" s="13">
        <v>10.4925152</v>
      </c>
      <c r="N14" s="13">
        <v>0</v>
      </c>
      <c r="O14" s="13">
        <v>153.03395370000001</v>
      </c>
      <c r="P14" s="13">
        <v>178.99811799999998</v>
      </c>
      <c r="Q14" s="12">
        <f t="shared" si="1"/>
        <v>85.494727771383623</v>
      </c>
    </row>
    <row r="15" spans="1:17" ht="22.2" customHeight="1" x14ac:dyDescent="0.3">
      <c r="A15" s="14">
        <v>43466</v>
      </c>
      <c r="B15" s="15">
        <v>14649</v>
      </c>
      <c r="C15" s="15">
        <v>22450</v>
      </c>
      <c r="D15" s="15">
        <v>13480.98</v>
      </c>
      <c r="E15" s="15">
        <v>1878194</v>
      </c>
      <c r="F15" s="15">
        <v>2005.1924100000001</v>
      </c>
      <c r="G15" s="15">
        <v>2225.5394999999999</v>
      </c>
      <c r="H15" s="12">
        <f t="shared" si="0"/>
        <v>90.099160675422752</v>
      </c>
      <c r="I15" s="16">
        <v>9515.7000000000007</v>
      </c>
      <c r="J15" s="16">
        <v>0</v>
      </c>
      <c r="K15" s="16">
        <v>9515.7000000000007</v>
      </c>
      <c r="L15" s="16">
        <v>150.38944000000001</v>
      </c>
      <c r="M15" s="16">
        <v>9.7718299999999996</v>
      </c>
      <c r="N15" s="16">
        <v>0</v>
      </c>
      <c r="O15" s="16">
        <v>160.16127000000003</v>
      </c>
      <c r="P15" s="16">
        <v>192.00480999999999</v>
      </c>
      <c r="Q15" s="12">
        <f t="shared" si="1"/>
        <v>83.41523839949636</v>
      </c>
    </row>
    <row r="16" spans="1:17" ht="22.2" customHeight="1" x14ac:dyDescent="0.3">
      <c r="A16" s="10">
        <v>43497</v>
      </c>
      <c r="B16" s="11">
        <v>13254</v>
      </c>
      <c r="C16" s="11">
        <v>20215</v>
      </c>
      <c r="D16" s="11">
        <v>12075.275</v>
      </c>
      <c r="E16" s="11">
        <v>1732059</v>
      </c>
      <c r="F16" s="11">
        <v>1812.1123270000001</v>
      </c>
      <c r="G16" s="11">
        <v>1981.6356170000001</v>
      </c>
      <c r="H16" s="12">
        <f t="shared" si="0"/>
        <v>91.445284463717826</v>
      </c>
      <c r="I16" s="13">
        <v>10499.15991</v>
      </c>
      <c r="J16" s="13">
        <v>0</v>
      </c>
      <c r="K16" s="13">
        <v>10499.15991</v>
      </c>
      <c r="L16" s="13">
        <v>135.90842499999999</v>
      </c>
      <c r="M16" s="13">
        <v>9.4674140000000016</v>
      </c>
      <c r="N16" s="13">
        <v>0</v>
      </c>
      <c r="O16" s="13">
        <v>145.37583899999998</v>
      </c>
      <c r="P16" s="13">
        <v>171.20848500000002</v>
      </c>
      <c r="Q16" s="12">
        <f t="shared" si="1"/>
        <v>84.911585427556318</v>
      </c>
    </row>
    <row r="17" spans="1:17" ht="22.2" customHeight="1" x14ac:dyDescent="0.3">
      <c r="A17" s="14">
        <v>43525</v>
      </c>
      <c r="B17" s="15">
        <v>14214</v>
      </c>
      <c r="C17" s="15">
        <v>21215</v>
      </c>
      <c r="D17" s="15">
        <v>12593.957</v>
      </c>
      <c r="E17" s="15">
        <v>1772256</v>
      </c>
      <c r="F17" s="15">
        <v>1857.0458719999999</v>
      </c>
      <c r="G17" s="15">
        <v>2022.50569</v>
      </c>
      <c r="H17" s="12">
        <f t="shared" si="0"/>
        <v>91.819067861312178</v>
      </c>
      <c r="I17" s="16">
        <v>10949.144</v>
      </c>
      <c r="J17" s="16">
        <v>0</v>
      </c>
      <c r="K17" s="16">
        <v>10949.144</v>
      </c>
      <c r="L17" s="16">
        <v>139.27834100000001</v>
      </c>
      <c r="M17" s="16">
        <v>9.8883899999999993</v>
      </c>
      <c r="N17" s="16">
        <v>0</v>
      </c>
      <c r="O17" s="16">
        <v>149.166731</v>
      </c>
      <c r="P17" s="16">
        <v>175.187499</v>
      </c>
      <c r="Q17" s="12">
        <f t="shared" si="1"/>
        <v>85.146903661202444</v>
      </c>
    </row>
    <row r="18" spans="1:17" ht="22.2" customHeight="1" x14ac:dyDescent="0.3">
      <c r="A18" s="17" t="s">
        <v>22</v>
      </c>
      <c r="B18" s="18">
        <f>SUM(B6:B17)</f>
        <v>156182</v>
      </c>
      <c r="C18" s="18">
        <f t="shared" ref="C18:P18" si="2">SUM(C6:C17)</f>
        <v>232545</v>
      </c>
      <c r="D18" s="18">
        <f t="shared" si="2"/>
        <v>137048.258</v>
      </c>
      <c r="E18" s="18">
        <f t="shared" si="2"/>
        <v>19895114</v>
      </c>
      <c r="F18" s="18">
        <f t="shared" si="2"/>
        <v>20503.949321999997</v>
      </c>
      <c r="G18" s="18">
        <f t="shared" si="2"/>
        <v>22316.526798999999</v>
      </c>
      <c r="H18" s="19">
        <f t="shared" si="0"/>
        <v>91.877869287969915</v>
      </c>
      <c r="I18" s="18">
        <f t="shared" si="2"/>
        <v>107404.21003999999</v>
      </c>
      <c r="J18" s="18">
        <f t="shared" si="2"/>
        <v>0</v>
      </c>
      <c r="K18" s="18">
        <f t="shared" si="2"/>
        <v>107404.21003999999</v>
      </c>
      <c r="L18" s="18">
        <f t="shared" si="2"/>
        <v>1537.7947525</v>
      </c>
      <c r="M18" s="18">
        <f t="shared" si="2"/>
        <v>112.8786422</v>
      </c>
      <c r="N18" s="18">
        <f t="shared" si="2"/>
        <v>0</v>
      </c>
      <c r="O18" s="18">
        <f t="shared" si="2"/>
        <v>1650.6733947</v>
      </c>
      <c r="P18" s="18">
        <f t="shared" si="2"/>
        <v>1936.391615</v>
      </c>
      <c r="Q18" s="19">
        <f t="shared" si="1"/>
        <v>85.244812150252997</v>
      </c>
    </row>
    <row r="19" spans="1:17" ht="22.2" customHeight="1" x14ac:dyDescent="0.3">
      <c r="A19" s="20" t="s">
        <v>23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2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2020-06-03T10:37:13Z</dcterms:created>
  <dcterms:modified xsi:type="dcterms:W3CDTF">2020-06-03T10:37:30Z</dcterms:modified>
</cp:coreProperties>
</file>