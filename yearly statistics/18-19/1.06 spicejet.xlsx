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SPICEJET\"/>
    </mc:Choice>
  </mc:AlternateContent>
  <bookViews>
    <workbookView xWindow="-120" yWindow="-120" windowWidth="20730" windowHeight="11160"/>
  </bookViews>
  <sheets>
    <sheet name="SPICEJ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6" l="1"/>
  <c r="Q38" i="6" s="1"/>
  <c r="Q34" i="6"/>
  <c r="Q33" i="6"/>
  <c r="Q31" i="6"/>
  <c r="Q30" i="6"/>
  <c r="Q27" i="6"/>
  <c r="Q29" i="6" s="1"/>
  <c r="Q24" i="6"/>
  <c r="Q26" i="6" s="1"/>
  <c r="Q23" i="6"/>
  <c r="Q21" i="6"/>
  <c r="Q18" i="6"/>
  <c r="Q22" i="6" s="1"/>
  <c r="Q15" i="6"/>
  <c r="Q16" i="6" s="1"/>
  <c r="Q12" i="6"/>
  <c r="Q13" i="6" s="1"/>
  <c r="Q9" i="6"/>
  <c r="Q6" i="6"/>
  <c r="Q14" i="6" s="1"/>
  <c r="H37" i="6"/>
  <c r="H36" i="6"/>
  <c r="H38" i="6" s="1"/>
  <c r="H33" i="6"/>
  <c r="H35" i="6" s="1"/>
  <c r="H30" i="6"/>
  <c r="H31" i="6" s="1"/>
  <c r="H27" i="6"/>
  <c r="H24" i="6"/>
  <c r="H28" i="6" s="1"/>
  <c r="H21" i="6"/>
  <c r="H22" i="6" s="1"/>
  <c r="H18" i="6"/>
  <c r="H20" i="6" s="1"/>
  <c r="H16" i="6"/>
  <c r="H15" i="6"/>
  <c r="H12" i="6"/>
  <c r="H14" i="6" s="1"/>
  <c r="H9" i="6"/>
  <c r="H13" i="6" s="1"/>
  <c r="H6" i="6"/>
  <c r="H32" i="6" s="1"/>
  <c r="Q32" i="6" l="1"/>
  <c r="Q17" i="6"/>
  <c r="Q25" i="6"/>
  <c r="Q10" i="6"/>
  <c r="Q11" i="6"/>
  <c r="Q19" i="6"/>
  <c r="Q35" i="6"/>
  <c r="Q20" i="6"/>
  <c r="Q28" i="6"/>
  <c r="Q37" i="6"/>
  <c r="H29" i="6"/>
  <c r="H23" i="6"/>
  <c r="H17" i="6"/>
  <c r="H25" i="6"/>
  <c r="H26" i="6"/>
  <c r="H34" i="6"/>
  <c r="H10" i="6"/>
  <c r="H11" i="6"/>
  <c r="H19" i="6"/>
</calcChain>
</file>

<file path=xl/sharedStrings.xml><?xml version="1.0" encoding="utf-8"?>
<sst xmlns="http://schemas.openxmlformats.org/spreadsheetml/2006/main" count="164" uniqueCount="38">
  <si>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</si>
  <si>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</si>
  <si>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</si>
  <si>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</si>
  <si>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</si>
  <si>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</si>
  <si>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</si>
  <si>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</si>
  <si>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</si>
  <si>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</si>
  <si>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</si>
  <si>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</si>
  <si>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</si>
  <si>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</si>
  <si>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</si>
  <si>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</si>
  <si>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</si>
  <si>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</si>
  <si>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</si>
  <si>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</si>
  <si>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</si>
  <si>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</si>
  <si>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</si>
  <si>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</si>
  <si>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</si>
  <si>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</si>
  <si>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</si>
  <si>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</si>
  <si>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</si>
  <si>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</si>
  <si>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</si>
  <si>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</si>
  <si>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</si>
  <si>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(SPICEJET)</t>
  </si>
  <si>
    <t>YEAR-WISE DETAILS OF ANNUAL TRAFFIC AND OPERATING STATISTICS ON SCHEDULED (INTERNATIONAL+DOMESTIC) SERVICES OF SPICEJET</t>
  </si>
  <si>
    <t>SOURCE: ICAO ATR FORM 'A' FURNISHED BY SPICEJET</t>
  </si>
  <si>
    <t xml:space="preserve"> तालिका- 1.06 (स्पाइसजेट)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</si>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</sst>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4" borderId="1" xfId="1" applyNumberForma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164" fontId="4" fillId="4" borderId="1" xfId="3" applyNumberForma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T5" sqref="T5"/>
    </sheetView>
  </sheetViews>
  <sheetFormatPr defaultRowHeight="15" x14ac:dyDescent="0.25"/>
  <cols>
    <col min="1" max="1" width="7.5703125" customWidth="1"/>
    <col min="2" max="2" width="8.42578125" customWidth="1"/>
    <col min="3" max="3" width="8.5703125" customWidth="1"/>
    <col min="4" max="4" width="8.140625" customWidth="1"/>
    <col min="5" max="5" width="11" customWidth="1"/>
    <col min="6" max="6" width="7.85546875" customWidth="1"/>
    <col min="7" max="7" width="7.42578125" customWidth="1"/>
    <col min="8" max="8" width="5.7109375" customWidth="1"/>
    <col min="9" max="9" width="9.85546875" customWidth="1"/>
    <col min="10" max="10" width="5.7109375" customWidth="1"/>
    <col min="11" max="11" width="9.7109375" customWidth="1"/>
    <col min="12" max="12" width="8.85546875" customWidth="1"/>
    <col min="13" max="13" width="7.28515625" customWidth="1"/>
    <col min="14" max="14" width="5.7109375" customWidth="1"/>
    <col min="15" max="15" width="8.5703125" customWidth="1"/>
    <col min="16" max="16" width="8" customWidth="1"/>
    <col min="17" max="17" width="7.28515625" customWidth="1"/>
  </cols>
  <sheetData>
    <row r="1" spans="1:17" x14ac:dyDescent="0.25">
      <c r="A1" s="19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34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17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3" t="s">
        <v>19</v>
      </c>
      <c r="B6" s="6">
        <v>36774</v>
      </c>
      <c r="C6" s="6">
        <v>58198</v>
      </c>
      <c r="D6" s="6">
        <v>37869</v>
      </c>
      <c r="E6" s="6">
        <v>4099458</v>
      </c>
      <c r="F6" s="6">
        <v>4761.1670000000004</v>
      </c>
      <c r="G6" s="6">
        <v>7208.4260000000004</v>
      </c>
      <c r="H6" s="5">
        <f>F6/G6*100</f>
        <v>66.05002257080811</v>
      </c>
      <c r="I6" s="5">
        <v>0</v>
      </c>
      <c r="J6" s="5">
        <v>0</v>
      </c>
      <c r="K6" s="5">
        <v>0</v>
      </c>
      <c r="L6" s="5">
        <v>452.31099999999998</v>
      </c>
      <c r="M6" s="5">
        <v>0</v>
      </c>
      <c r="N6" s="5">
        <v>0</v>
      </c>
      <c r="O6" s="5">
        <v>452.31099999999998</v>
      </c>
      <c r="P6" s="5">
        <v>719.88099999999997</v>
      </c>
      <c r="Q6" s="5">
        <f>O6/P6*100</f>
        <v>62.831356849257027</v>
      </c>
    </row>
    <row r="7" spans="1:17" x14ac:dyDescent="0.25">
      <c r="A7" s="1" t="s">
        <v>29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</row>
    <row r="8" spans="1:17" x14ac:dyDescent="0.25">
      <c r="A8" s="4" t="s">
        <v>31</v>
      </c>
      <c r="B8" s="8" t="s">
        <v>30</v>
      </c>
      <c r="C8" s="8" t="s">
        <v>30</v>
      </c>
      <c r="D8" s="8" t="s">
        <v>30</v>
      </c>
      <c r="E8" s="8" t="s">
        <v>30</v>
      </c>
      <c r="F8" s="8" t="s">
        <v>30</v>
      </c>
      <c r="G8" s="8" t="s">
        <v>30</v>
      </c>
      <c r="H8" s="8" t="s">
        <v>30</v>
      </c>
      <c r="I8" s="8" t="s">
        <v>30</v>
      </c>
      <c r="J8" s="8" t="s">
        <v>30</v>
      </c>
      <c r="K8" s="8" t="s">
        <v>30</v>
      </c>
      <c r="L8" s="8" t="s">
        <v>30</v>
      </c>
      <c r="M8" s="8" t="s">
        <v>30</v>
      </c>
      <c r="N8" s="8" t="s">
        <v>30</v>
      </c>
      <c r="O8" s="8" t="s">
        <v>30</v>
      </c>
      <c r="P8" s="8" t="s">
        <v>30</v>
      </c>
      <c r="Q8" s="8" t="s">
        <v>30</v>
      </c>
    </row>
    <row r="9" spans="1:17" x14ac:dyDescent="0.25">
      <c r="A9" s="3" t="s">
        <v>20</v>
      </c>
      <c r="B9" s="6">
        <v>44609</v>
      </c>
      <c r="C9" s="6">
        <v>74242</v>
      </c>
      <c r="D9" s="6">
        <v>44979.204000000005</v>
      </c>
      <c r="E9" s="6">
        <v>5692049</v>
      </c>
      <c r="F9" s="6">
        <v>6712.6885159999993</v>
      </c>
      <c r="G9" s="6">
        <v>8760.3131970000013</v>
      </c>
      <c r="H9" s="10">
        <f>F9/G9*100</f>
        <v>76.626124717764455</v>
      </c>
      <c r="I9" s="5">
        <v>25771</v>
      </c>
      <c r="J9" s="5">
        <v>0</v>
      </c>
      <c r="K9" s="5">
        <v>25771</v>
      </c>
      <c r="L9" s="5">
        <v>590.52082799999994</v>
      </c>
      <c r="M9" s="5">
        <v>33.714064</v>
      </c>
      <c r="N9" s="5">
        <v>0</v>
      </c>
      <c r="O9" s="5">
        <v>624.23489199999995</v>
      </c>
      <c r="P9" s="5">
        <v>827.63430199999993</v>
      </c>
      <c r="Q9" s="10">
        <f>O9/P9*100</f>
        <v>75.423999523886337</v>
      </c>
    </row>
    <row r="10" spans="1:17" x14ac:dyDescent="0.25">
      <c r="A10" s="1" t="s">
        <v>29</v>
      </c>
      <c r="B10" s="12">
        <v>0.21305813890248546</v>
      </c>
      <c r="C10" s="12">
        <v>0.27567957661775316</v>
      </c>
      <c r="D10" s="12">
        <v>0.18775790224193944</v>
      </c>
      <c r="E10" s="12">
        <v>0.38848818551135295</v>
      </c>
      <c r="F10" s="12">
        <v>0.40988302153652639</v>
      </c>
      <c r="G10" s="12">
        <v>0.21528794177813587</v>
      </c>
      <c r="H10" s="11">
        <f t="shared" ref="H10" si="0">(H9-H6)/H6</f>
        <v>0.16012261215533069</v>
      </c>
      <c r="I10" s="12" t="s">
        <v>30</v>
      </c>
      <c r="J10" s="12" t="s">
        <v>30</v>
      </c>
      <c r="K10" s="12" t="s">
        <v>30</v>
      </c>
      <c r="L10" s="12">
        <v>0.30556371169394503</v>
      </c>
      <c r="M10" s="12" t="s">
        <v>30</v>
      </c>
      <c r="N10" s="12" t="s">
        <v>30</v>
      </c>
      <c r="O10" s="12">
        <v>0.38010106320651049</v>
      </c>
      <c r="P10" s="12">
        <v>0.14968210301424814</v>
      </c>
      <c r="Q10" s="11">
        <f t="shared" ref="Q10" si="1">(Q9-Q6)/Q6</f>
        <v>0.20041971566587641</v>
      </c>
    </row>
    <row r="11" spans="1:17" x14ac:dyDescent="0.25">
      <c r="A11" s="4" t="s">
        <v>31</v>
      </c>
      <c r="B11" s="13">
        <v>0.21305813890248548</v>
      </c>
      <c r="C11" s="13">
        <v>0.27567957661775311</v>
      </c>
      <c r="D11" s="13">
        <v>0.18775790224193956</v>
      </c>
      <c r="E11" s="13">
        <v>0.38848818551135289</v>
      </c>
      <c r="F11" s="13">
        <v>0.40988302153652634</v>
      </c>
      <c r="G11" s="13">
        <v>0.21528794177813593</v>
      </c>
      <c r="H11" s="9">
        <f t="shared" ref="H11" si="2">(((H9/H6)^(1/1))-1)</f>
        <v>0.16012261215533075</v>
      </c>
      <c r="I11" s="13" t="s">
        <v>30</v>
      </c>
      <c r="J11" s="13" t="s">
        <v>30</v>
      </c>
      <c r="K11" s="13" t="s">
        <v>30</v>
      </c>
      <c r="L11" s="13">
        <v>0.30556371169394492</v>
      </c>
      <c r="M11" s="13" t="s">
        <v>30</v>
      </c>
      <c r="N11" s="13" t="s">
        <v>30</v>
      </c>
      <c r="O11" s="13">
        <v>0.38010106320651049</v>
      </c>
      <c r="P11" s="13">
        <v>0.14968210301424811</v>
      </c>
      <c r="Q11" s="9">
        <f t="shared" ref="Q11" si="3">(((Q9/Q6)^(1/1))-1)</f>
        <v>0.20041971566587646</v>
      </c>
    </row>
    <row r="12" spans="1:17" x14ac:dyDescent="0.25">
      <c r="A12" s="3" t="s">
        <v>21</v>
      </c>
      <c r="B12" s="6">
        <v>53937</v>
      </c>
      <c r="C12" s="6">
        <v>85216</v>
      </c>
      <c r="D12" s="6">
        <v>53666.788269851</v>
      </c>
      <c r="E12" s="6">
        <v>7384010</v>
      </c>
      <c r="F12" s="6">
        <v>8485.097237</v>
      </c>
      <c r="G12" s="6">
        <v>10434.448784</v>
      </c>
      <c r="H12" s="10">
        <f t="shared" ref="H12:H36" si="4">F12/G12*100</f>
        <v>81.318116679157015</v>
      </c>
      <c r="I12" s="5">
        <v>46599</v>
      </c>
      <c r="J12" s="5">
        <v>0</v>
      </c>
      <c r="K12" s="5">
        <v>46599</v>
      </c>
      <c r="L12" s="5">
        <v>636.42819059999999</v>
      </c>
      <c r="M12" s="5">
        <v>61.092424000000001</v>
      </c>
      <c r="N12" s="5">
        <v>0</v>
      </c>
      <c r="O12" s="5">
        <v>697.52061459999993</v>
      </c>
      <c r="P12" s="5">
        <v>895.72793100000001</v>
      </c>
      <c r="Q12" s="10">
        <f t="shared" ref="Q12:Q36" si="5">O12/P12*100</f>
        <v>77.871928568899335</v>
      </c>
    </row>
    <row r="13" spans="1:17" x14ac:dyDescent="0.25">
      <c r="A13" s="1" t="s">
        <v>29</v>
      </c>
      <c r="B13" s="12">
        <v>0.20910578582797193</v>
      </c>
      <c r="C13" s="12">
        <v>0.14781390587538051</v>
      </c>
      <c r="D13" s="12">
        <v>0.19314668774153926</v>
      </c>
      <c r="E13" s="12">
        <v>0.29724990069481133</v>
      </c>
      <c r="F13" s="12">
        <v>0.26403857661135083</v>
      </c>
      <c r="G13" s="12">
        <v>0.1911045358028195</v>
      </c>
      <c r="H13" s="11">
        <f t="shared" ref="H13" si="6">(H12-H9)/H9</f>
        <v>6.1232275267403706E-2</v>
      </c>
      <c r="I13" s="12">
        <v>0.80819525823600169</v>
      </c>
      <c r="J13" s="12" t="s">
        <v>30</v>
      </c>
      <c r="K13" s="12">
        <v>0.80819525823600169</v>
      </c>
      <c r="L13" s="12">
        <v>7.7740463034099899E-2</v>
      </c>
      <c r="M13" s="12">
        <v>0.8120753404276625</v>
      </c>
      <c r="N13" s="12" t="s">
        <v>30</v>
      </c>
      <c r="O13" s="12">
        <v>0.11740087511801565</v>
      </c>
      <c r="P13" s="12">
        <v>8.2275020302384816E-2</v>
      </c>
      <c r="Q13" s="11">
        <f t="shared" ref="Q13" si="7">(Q12-Q9)/Q9</f>
        <v>3.2455571972655112E-2</v>
      </c>
    </row>
    <row r="14" spans="1:17" x14ac:dyDescent="0.25">
      <c r="A14" s="4" t="s">
        <v>31</v>
      </c>
      <c r="B14" s="13">
        <v>0.21108035005638937</v>
      </c>
      <c r="C14" s="13">
        <v>0.21005898925757949</v>
      </c>
      <c r="D14" s="13">
        <v>0.19044924583066924</v>
      </c>
      <c r="E14" s="13">
        <v>0.34209394632809564</v>
      </c>
      <c r="F14" s="13">
        <v>0.33497060931375611</v>
      </c>
      <c r="G14" s="13">
        <v>0.20313547855526659</v>
      </c>
      <c r="H14" s="9">
        <f t="shared" ref="H14" si="8">(((H12/H6)^(1/2))-1)</f>
        <v>0.10957629719040285</v>
      </c>
      <c r="I14" s="13" t="s">
        <v>30</v>
      </c>
      <c r="J14" s="13" t="s">
        <v>30</v>
      </c>
      <c r="K14" s="13" t="s">
        <v>30</v>
      </c>
      <c r="L14" s="13">
        <v>0.18619511007319134</v>
      </c>
      <c r="M14" s="13" t="s">
        <v>30</v>
      </c>
      <c r="N14" s="13" t="s">
        <v>30</v>
      </c>
      <c r="O14" s="13">
        <v>0.2418237136478989</v>
      </c>
      <c r="P14" s="13">
        <v>0.1154695071498073</v>
      </c>
      <c r="Q14" s="9">
        <f t="shared" ref="Q14" si="9">(((Q12/Q6)^(1/2))-1)</f>
        <v>0.1132744603847986</v>
      </c>
    </row>
    <row r="15" spans="1:17" x14ac:dyDescent="0.25">
      <c r="A15" s="3" t="s">
        <v>22</v>
      </c>
      <c r="B15" s="6">
        <v>81034</v>
      </c>
      <c r="C15" s="6">
        <v>117173</v>
      </c>
      <c r="D15" s="6">
        <v>75409.953209999992</v>
      </c>
      <c r="E15" s="6">
        <v>9572842</v>
      </c>
      <c r="F15" s="6">
        <v>10223.659045</v>
      </c>
      <c r="G15" s="6">
        <v>13729.761013999998</v>
      </c>
      <c r="H15" s="10">
        <f t="shared" si="4"/>
        <v>74.46348872769974</v>
      </c>
      <c r="I15" s="5">
        <v>51863.199000000001</v>
      </c>
      <c r="J15" s="5">
        <v>0</v>
      </c>
      <c r="K15" s="5">
        <v>51863.199000000001</v>
      </c>
      <c r="L15" s="5">
        <v>766.77401099999997</v>
      </c>
      <c r="M15" s="5">
        <v>66.988570867999996</v>
      </c>
      <c r="N15" s="5">
        <v>0</v>
      </c>
      <c r="O15" s="5">
        <v>833.76258186799998</v>
      </c>
      <c r="P15" s="5">
        <v>1180.204097</v>
      </c>
      <c r="Q15" s="10">
        <f t="shared" si="5"/>
        <v>70.645626801954748</v>
      </c>
    </row>
    <row r="16" spans="1:17" x14ac:dyDescent="0.25">
      <c r="A16" s="1" t="s">
        <v>29</v>
      </c>
      <c r="B16" s="12">
        <v>0.502382409106921</v>
      </c>
      <c r="C16" s="12">
        <v>0.37501173488546752</v>
      </c>
      <c r="D16" s="12">
        <v>0.40515122371062207</v>
      </c>
      <c r="E16" s="12">
        <v>0.29642863430574984</v>
      </c>
      <c r="F16" s="12">
        <v>0.2048959203930924</v>
      </c>
      <c r="G16" s="12">
        <v>0.31581085864861125</v>
      </c>
      <c r="H16" s="11">
        <f t="shared" ref="H16" si="10">(H15-H12)/H12</f>
        <v>-8.4293983080085427E-2</v>
      </c>
      <c r="I16" s="12">
        <v>0.11296806798429151</v>
      </c>
      <c r="J16" s="12" t="s">
        <v>30</v>
      </c>
      <c r="K16" s="12">
        <v>0.11296806798429151</v>
      </c>
      <c r="L16" s="12">
        <v>0.20480837009610614</v>
      </c>
      <c r="M16" s="12">
        <v>9.6511915585474159E-2</v>
      </c>
      <c r="N16" s="12" t="s">
        <v>30</v>
      </c>
      <c r="O16" s="12">
        <v>0.19532321255641935</v>
      </c>
      <c r="P16" s="12">
        <v>0.31759215734448282</v>
      </c>
      <c r="Q16" s="11">
        <f t="shared" ref="Q16" si="11">(Q15-Q12)/Q12</f>
        <v>-9.2797262116744897E-2</v>
      </c>
    </row>
    <row r="17" spans="1:17" x14ac:dyDescent="0.25">
      <c r="A17" s="4" t="s">
        <v>31</v>
      </c>
      <c r="B17" s="13">
        <v>0.30129412314892501</v>
      </c>
      <c r="C17" s="13">
        <v>0.26271836353861078</v>
      </c>
      <c r="D17" s="13">
        <v>0.2580993697658438</v>
      </c>
      <c r="E17" s="13">
        <v>0.32669619388142057</v>
      </c>
      <c r="F17" s="13">
        <v>0.29012259332209633</v>
      </c>
      <c r="G17" s="13">
        <v>0.23957890762412992</v>
      </c>
      <c r="H17" s="9">
        <f t="shared" ref="H17" si="12">(((H15/H6)^(1/3))-1)</f>
        <v>4.0774883621440772E-2</v>
      </c>
      <c r="I17" s="13" t="s">
        <v>30</v>
      </c>
      <c r="J17" s="13" t="s">
        <v>30</v>
      </c>
      <c r="K17" s="13" t="s">
        <v>30</v>
      </c>
      <c r="L17" s="13">
        <v>0.19236735770225222</v>
      </c>
      <c r="M17" s="13" t="s">
        <v>30</v>
      </c>
      <c r="N17" s="13" t="s">
        <v>30</v>
      </c>
      <c r="O17" s="13">
        <v>0.22612594892941429</v>
      </c>
      <c r="P17" s="13">
        <v>0.17914026250666204</v>
      </c>
      <c r="Q17" s="9">
        <f t="shared" ref="Q17" si="13">(((Q15/Q6)^(1/3))-1)</f>
        <v>3.9847410793070637E-2</v>
      </c>
    </row>
    <row r="18" spans="1:17" x14ac:dyDescent="0.25">
      <c r="A18" s="3" t="s">
        <v>23</v>
      </c>
      <c r="B18" s="6">
        <v>109238</v>
      </c>
      <c r="C18" s="6">
        <v>150789</v>
      </c>
      <c r="D18" s="6">
        <v>94977.811000000002</v>
      </c>
      <c r="E18" s="6">
        <v>11681066</v>
      </c>
      <c r="F18" s="6">
        <v>12033.715024000001</v>
      </c>
      <c r="G18" s="6">
        <v>16105.504767</v>
      </c>
      <c r="H18" s="10">
        <f t="shared" si="4"/>
        <v>74.718024663573104</v>
      </c>
      <c r="I18" s="5">
        <v>67185.058999999994</v>
      </c>
      <c r="J18" s="5">
        <v>0</v>
      </c>
      <c r="K18" s="5">
        <v>67185.058999999994</v>
      </c>
      <c r="L18" s="5">
        <v>902.54224600000009</v>
      </c>
      <c r="M18" s="5">
        <v>79.945281402000006</v>
      </c>
      <c r="N18" s="5">
        <v>0</v>
      </c>
      <c r="O18" s="5">
        <v>982.48752740199996</v>
      </c>
      <c r="P18" s="5">
        <v>1391.8565600000004</v>
      </c>
      <c r="Q18" s="10">
        <f t="shared" si="5"/>
        <v>70.588274369450815</v>
      </c>
    </row>
    <row r="19" spans="1:17" x14ac:dyDescent="0.25">
      <c r="A19" s="1" t="s">
        <v>29</v>
      </c>
      <c r="B19" s="14">
        <v>0.34805143520003951</v>
      </c>
      <c r="C19" s="14">
        <v>0.28689203144069025</v>
      </c>
      <c r="D19" s="14">
        <v>0.25948640672813927</v>
      </c>
      <c r="E19" s="14">
        <v>0.22022968727573275</v>
      </c>
      <c r="F19" s="14">
        <v>0.17704580826032434</v>
      </c>
      <c r="G19" s="14">
        <v>0.1730360601744996</v>
      </c>
      <c r="H19" s="11">
        <f t="shared" ref="H19" si="14">(H18-H15)/H15</f>
        <v>3.4182649808976568E-3</v>
      </c>
      <c r="I19" s="14">
        <v>0.2954283633757338</v>
      </c>
      <c r="J19" s="14" t="s">
        <v>30</v>
      </c>
      <c r="K19" s="14">
        <v>0.2954283633757338</v>
      </c>
      <c r="L19" s="14">
        <v>0.17706421064393654</v>
      </c>
      <c r="M19" s="14">
        <v>0.19341673312498364</v>
      </c>
      <c r="N19" s="14" t="s">
        <v>30</v>
      </c>
      <c r="O19" s="14">
        <v>0.17837805241965857</v>
      </c>
      <c r="P19" s="14">
        <v>0.17933547556563037</v>
      </c>
      <c r="Q19" s="11">
        <f t="shared" ref="Q19" si="15">(Q18-Q15)/Q15</f>
        <v>-8.1183273615382558E-4</v>
      </c>
    </row>
    <row r="20" spans="1:17" x14ac:dyDescent="0.25">
      <c r="A20" s="4" t="s">
        <v>31</v>
      </c>
      <c r="B20" s="13">
        <v>0.31282916785819781</v>
      </c>
      <c r="C20" s="13">
        <v>0.2687188727103067</v>
      </c>
      <c r="D20" s="13">
        <v>0.25844598573709088</v>
      </c>
      <c r="E20" s="13">
        <v>0.29923888200261994</v>
      </c>
      <c r="F20" s="13">
        <v>0.26087367349098578</v>
      </c>
      <c r="G20" s="13">
        <v>0.222597417424508</v>
      </c>
      <c r="H20" s="9">
        <f t="shared" ref="H20" si="16">(((H18/H6)^(1/4))-1)</f>
        <v>3.1307326124661472E-2</v>
      </c>
      <c r="I20" s="13" t="s">
        <v>30</v>
      </c>
      <c r="J20" s="13" t="s">
        <v>30</v>
      </c>
      <c r="K20" s="13" t="s">
        <v>30</v>
      </c>
      <c r="L20" s="13">
        <v>0.18852301893693402</v>
      </c>
      <c r="M20" s="13" t="s">
        <v>30</v>
      </c>
      <c r="N20" s="13" t="s">
        <v>30</v>
      </c>
      <c r="O20" s="13">
        <v>0.21401058674160134</v>
      </c>
      <c r="P20" s="13">
        <v>0.17918906274182977</v>
      </c>
      <c r="Q20" s="9">
        <f t="shared" ref="Q20" si="17">(((Q18/Q6)^(1/4))-1)</f>
        <v>2.9530060191370167E-2</v>
      </c>
    </row>
    <row r="21" spans="1:17" x14ac:dyDescent="0.25">
      <c r="A21" s="3" t="s">
        <v>24</v>
      </c>
      <c r="B21" s="6">
        <v>121738</v>
      </c>
      <c r="C21" s="6">
        <v>174079</v>
      </c>
      <c r="D21" s="6">
        <v>107618.33799999999</v>
      </c>
      <c r="E21" s="6">
        <v>12610917</v>
      </c>
      <c r="F21" s="6">
        <v>13366.902354</v>
      </c>
      <c r="G21" s="6">
        <v>18494.116624000002</v>
      </c>
      <c r="H21" s="10">
        <f t="shared" si="4"/>
        <v>72.276511637509827</v>
      </c>
      <c r="I21" s="5">
        <v>80431.520600000003</v>
      </c>
      <c r="J21" s="5">
        <v>0</v>
      </c>
      <c r="K21" s="5">
        <v>80431.520600000003</v>
      </c>
      <c r="L21" s="5">
        <v>1001.3792419999999</v>
      </c>
      <c r="M21" s="5">
        <v>105.14817649499997</v>
      </c>
      <c r="N21" s="5">
        <v>0</v>
      </c>
      <c r="O21" s="5">
        <v>1106.5274184949999</v>
      </c>
      <c r="P21" s="5">
        <v>1582.6904880000002</v>
      </c>
      <c r="Q21" s="10">
        <f t="shared" si="5"/>
        <v>69.914327967768756</v>
      </c>
    </row>
    <row r="22" spans="1:17" x14ac:dyDescent="0.25">
      <c r="A22" s="1" t="s">
        <v>29</v>
      </c>
      <c r="B22" s="14">
        <v>0.11442904483787693</v>
      </c>
      <c r="C22" s="14">
        <v>0.15445423737805808</v>
      </c>
      <c r="D22" s="14">
        <v>0.13308926439671248</v>
      </c>
      <c r="E22" s="14">
        <v>7.960326566085664E-2</v>
      </c>
      <c r="F22" s="14">
        <v>0.11078767673499784</v>
      </c>
      <c r="G22" s="14">
        <v>0.14831027599297855</v>
      </c>
      <c r="H22" s="11">
        <f t="shared" ref="H22" si="18">(H21-H18)/H18</f>
        <v>-3.2676359379901737E-2</v>
      </c>
      <c r="I22" s="14">
        <v>0.19716380095759103</v>
      </c>
      <c r="J22" s="14" t="s">
        <v>30</v>
      </c>
      <c r="K22" s="14">
        <v>0.19716380095759103</v>
      </c>
      <c r="L22" s="14">
        <v>0.10950955086926729</v>
      </c>
      <c r="M22" s="14">
        <v>0.31525181537943103</v>
      </c>
      <c r="N22" s="14" t="s">
        <v>30</v>
      </c>
      <c r="O22" s="14">
        <v>0.1262508557447031</v>
      </c>
      <c r="P22" s="14">
        <v>0.13710746745339888</v>
      </c>
      <c r="Q22" s="11">
        <f t="shared" ref="Q22" si="19">(Q21-Q18)/Q18</f>
        <v>-9.5475687386080872E-3</v>
      </c>
    </row>
    <row r="23" spans="1:17" x14ac:dyDescent="0.25">
      <c r="A23" s="4" t="s">
        <v>31</v>
      </c>
      <c r="B23" s="13">
        <v>0.27050698824049535</v>
      </c>
      <c r="C23" s="13">
        <v>0.24499516435386193</v>
      </c>
      <c r="D23" s="13">
        <v>0.23231146425540294</v>
      </c>
      <c r="E23" s="13">
        <v>0.25199918223317863</v>
      </c>
      <c r="F23" s="13">
        <v>0.22931582444809262</v>
      </c>
      <c r="G23" s="13">
        <v>0.20736513193157857</v>
      </c>
      <c r="H23" s="9">
        <f t="shared" ref="H23" si="20">(((H21/H6)^(1/5))-1)</f>
        <v>1.8180657976594627E-2</v>
      </c>
      <c r="I23" s="13" t="s">
        <v>30</v>
      </c>
      <c r="J23" s="13" t="s">
        <v>30</v>
      </c>
      <c r="K23" s="13" t="s">
        <v>30</v>
      </c>
      <c r="L23" s="13">
        <v>0.17228251384424809</v>
      </c>
      <c r="M23" s="13" t="s">
        <v>30</v>
      </c>
      <c r="N23" s="13" t="s">
        <v>30</v>
      </c>
      <c r="O23" s="13">
        <v>0.19592792276645121</v>
      </c>
      <c r="P23" s="13">
        <v>0.17064996423874246</v>
      </c>
      <c r="Q23" s="9">
        <f t="shared" ref="Q23" si="21">(((Q21/Q6)^(1/5))-1)</f>
        <v>2.1593097253581384E-2</v>
      </c>
    </row>
    <row r="24" spans="1:17" x14ac:dyDescent="0.25">
      <c r="A24" s="3" t="s">
        <v>25</v>
      </c>
      <c r="B24" s="6">
        <v>102615</v>
      </c>
      <c r="C24" s="6">
        <v>139259</v>
      </c>
      <c r="D24" s="6">
        <v>86019.104999999996</v>
      </c>
      <c r="E24" s="6">
        <v>11700059</v>
      </c>
      <c r="F24" s="6">
        <v>11832.673454</v>
      </c>
      <c r="G24" s="6">
        <v>14540.973821</v>
      </c>
      <c r="H24" s="10">
        <f t="shared" si="4"/>
        <v>81.37469745603498</v>
      </c>
      <c r="I24" s="5">
        <v>71445.77622</v>
      </c>
      <c r="J24" s="5">
        <v>0</v>
      </c>
      <c r="K24" s="5">
        <v>71445.77622</v>
      </c>
      <c r="L24" s="5">
        <v>886.74105099999997</v>
      </c>
      <c r="M24" s="5">
        <v>90.370049386769992</v>
      </c>
      <c r="N24" s="5">
        <v>0</v>
      </c>
      <c r="O24" s="5">
        <v>977.11110038676998</v>
      </c>
      <c r="P24" s="5">
        <v>1264.218102</v>
      </c>
      <c r="Q24" s="10">
        <f t="shared" si="5"/>
        <v>77.289757110816154</v>
      </c>
    </row>
    <row r="25" spans="1:17" x14ac:dyDescent="0.25">
      <c r="A25" s="1" t="s">
        <v>29</v>
      </c>
      <c r="B25" s="14">
        <v>-0.15708324434441176</v>
      </c>
      <c r="C25" s="14">
        <v>-0.20002412697683236</v>
      </c>
      <c r="D25" s="14">
        <v>-0.2007021610015943</v>
      </c>
      <c r="E25" s="14">
        <v>-7.2227737285084026E-2</v>
      </c>
      <c r="F25" s="14">
        <v>-0.11477819313469342</v>
      </c>
      <c r="G25" s="14">
        <v>-0.21375137203741698</v>
      </c>
      <c r="H25" s="11">
        <f t="shared" ref="H25" si="22">(H24-H21)/H21</f>
        <v>0.12588025642625794</v>
      </c>
      <c r="I25" s="14">
        <v>-0.11171919059802039</v>
      </c>
      <c r="J25" s="14" t="s">
        <v>30</v>
      </c>
      <c r="K25" s="14">
        <v>-0.11171919059802039</v>
      </c>
      <c r="L25" s="14">
        <v>-0.11448029496900626</v>
      </c>
      <c r="M25" s="14">
        <v>-0.14054572890222888</v>
      </c>
      <c r="N25" s="14" t="s">
        <v>30</v>
      </c>
      <c r="O25" s="14">
        <v>-0.11695717245240111</v>
      </c>
      <c r="P25" s="14">
        <v>-0.20122215203456767</v>
      </c>
      <c r="Q25" s="11">
        <f t="shared" ref="Q25" si="23">(Q24-Q21)/Q21</f>
        <v>0.10549238414259735</v>
      </c>
    </row>
    <row r="26" spans="1:17" x14ac:dyDescent="0.25">
      <c r="A26" s="4" t="s">
        <v>31</v>
      </c>
      <c r="B26" s="13">
        <v>0.18652892441199831</v>
      </c>
      <c r="C26" s="13">
        <v>0.15651836973241973</v>
      </c>
      <c r="D26" s="13">
        <v>0.1465293598352988</v>
      </c>
      <c r="E26" s="13">
        <v>0.19099590543584144</v>
      </c>
      <c r="F26" s="13">
        <v>0.16384437190469137</v>
      </c>
      <c r="G26" s="13">
        <v>0.12406693933750601</v>
      </c>
      <c r="H26" s="9">
        <f t="shared" ref="H26" si="24">(((H24/H6)^(1/6))-1)</f>
        <v>3.5387067420227902E-2</v>
      </c>
      <c r="I26" s="13" t="s">
        <v>30</v>
      </c>
      <c r="J26" s="13" t="s">
        <v>30</v>
      </c>
      <c r="K26" s="13" t="s">
        <v>30</v>
      </c>
      <c r="L26" s="13">
        <v>0.11873341684001093</v>
      </c>
      <c r="M26" s="13" t="s">
        <v>30</v>
      </c>
      <c r="N26" s="13" t="s">
        <v>30</v>
      </c>
      <c r="O26" s="13">
        <v>0.13697556925714416</v>
      </c>
      <c r="P26" s="13">
        <v>9.8399219307052865E-2</v>
      </c>
      <c r="Q26" s="9">
        <f t="shared" ref="Q26" si="25">(((Q24/Q6)^(1/6))-1)</f>
        <v>3.5120518361646313E-2</v>
      </c>
    </row>
    <row r="27" spans="1:17" x14ac:dyDescent="0.25">
      <c r="A27" s="3" t="s">
        <v>26</v>
      </c>
      <c r="B27" s="6">
        <v>95755</v>
      </c>
      <c r="C27" s="6">
        <v>133905</v>
      </c>
      <c r="D27" s="6">
        <v>79635.166999999987</v>
      </c>
      <c r="E27" s="6">
        <v>11914456</v>
      </c>
      <c r="F27" s="6">
        <v>11699.948880999998</v>
      </c>
      <c r="G27" s="6">
        <v>12916.360223</v>
      </c>
      <c r="H27" s="10">
        <f t="shared" si="4"/>
        <v>90.582398438888745</v>
      </c>
      <c r="I27" s="5">
        <v>63209.987910000003</v>
      </c>
      <c r="J27" s="5">
        <v>0</v>
      </c>
      <c r="K27" s="5">
        <v>63209.987910000003</v>
      </c>
      <c r="L27" s="5">
        <v>877.56996242000025</v>
      </c>
      <c r="M27" s="5">
        <v>73.100768559999977</v>
      </c>
      <c r="N27" s="5">
        <v>0</v>
      </c>
      <c r="O27" s="5">
        <v>950.67073098000003</v>
      </c>
      <c r="P27" s="5">
        <v>1128.4691620000001</v>
      </c>
      <c r="Q27" s="10">
        <f t="shared" si="5"/>
        <v>84.244280924355465</v>
      </c>
    </row>
    <row r="28" spans="1:17" x14ac:dyDescent="0.25">
      <c r="A28" s="1" t="s">
        <v>29</v>
      </c>
      <c r="B28" s="14">
        <v>-6.6851824781951952E-2</v>
      </c>
      <c r="C28" s="14">
        <v>-3.844634817139287E-2</v>
      </c>
      <c r="D28" s="14">
        <v>-7.4215350182962367E-2</v>
      </c>
      <c r="E28" s="14">
        <v>1.8324437509246748E-2</v>
      </c>
      <c r="F28" s="14">
        <v>-1.1216786596534883E-2</v>
      </c>
      <c r="G28" s="14">
        <v>-0.11172660222066705</v>
      </c>
      <c r="H28" s="11">
        <f t="shared" ref="H28" si="26">(H27-H24)/H24</f>
        <v>0.11315189205868927</v>
      </c>
      <c r="I28" s="14">
        <v>-0.11527327080385938</v>
      </c>
      <c r="J28" s="14" t="s">
        <v>30</v>
      </c>
      <c r="K28" s="14">
        <v>-0.11527327080385938</v>
      </c>
      <c r="L28" s="14">
        <v>-1.0342465333771627E-2</v>
      </c>
      <c r="M28" s="14">
        <v>-0.1910951796967614</v>
      </c>
      <c r="N28" s="14" t="s">
        <v>30</v>
      </c>
      <c r="O28" s="14">
        <v>-2.7059737010769861E-2</v>
      </c>
      <c r="P28" s="14">
        <v>-0.10737778535621692</v>
      </c>
      <c r="Q28" s="11">
        <f t="shared" ref="Q28" si="27">(Q27-Q24)/Q24</f>
        <v>8.9979889619372005E-2</v>
      </c>
    </row>
    <row r="29" spans="1:17" x14ac:dyDescent="0.25">
      <c r="A29" s="4" t="s">
        <v>31</v>
      </c>
      <c r="B29" s="13">
        <v>0.14650082041540347</v>
      </c>
      <c r="C29" s="13">
        <v>0.12641491016894091</v>
      </c>
      <c r="D29" s="13">
        <v>0.11203202376273769</v>
      </c>
      <c r="E29" s="13">
        <v>0.16464224579557185</v>
      </c>
      <c r="F29" s="13">
        <v>0.13705509109754144</v>
      </c>
      <c r="G29" s="13">
        <v>8.68901976830323E-2</v>
      </c>
      <c r="H29" s="9">
        <f t="shared" ref="H29" si="28">(((H27/H6)^(1/7))-1)</f>
        <v>4.6154518203814554E-2</v>
      </c>
      <c r="I29" s="13" t="s">
        <v>30</v>
      </c>
      <c r="J29" s="13" t="s">
        <v>30</v>
      </c>
      <c r="K29" s="13" t="s">
        <v>30</v>
      </c>
      <c r="L29" s="13">
        <v>9.9311211325860738E-2</v>
      </c>
      <c r="M29" s="13" t="s">
        <v>30</v>
      </c>
      <c r="N29" s="13" t="s">
        <v>30</v>
      </c>
      <c r="O29" s="13">
        <v>0.11194859516816047</v>
      </c>
      <c r="P29" s="13">
        <v>6.6325647028864454E-2</v>
      </c>
      <c r="Q29" s="9">
        <f t="shared" ref="Q29" si="29">(((Q27/Q6)^(1/7))-1)</f>
        <v>4.2785192559530394E-2</v>
      </c>
    </row>
    <row r="30" spans="1:17" x14ac:dyDescent="0.25">
      <c r="A30" s="3" t="s">
        <v>27</v>
      </c>
      <c r="B30" s="6">
        <v>115207</v>
      </c>
      <c r="C30" s="6">
        <v>163596</v>
      </c>
      <c r="D30" s="6">
        <v>99039.251000000004</v>
      </c>
      <c r="E30" s="6">
        <v>14914804</v>
      </c>
      <c r="F30" s="6">
        <v>15056.481735999996</v>
      </c>
      <c r="G30" s="6">
        <v>16438.449419999997</v>
      </c>
      <c r="H30" s="10">
        <f t="shared" si="4"/>
        <v>91.59307761522436</v>
      </c>
      <c r="I30" s="5">
        <v>60481.887840000003</v>
      </c>
      <c r="J30" s="5">
        <v>0</v>
      </c>
      <c r="K30" s="5">
        <v>60481.887840000003</v>
      </c>
      <c r="L30" s="5">
        <v>1125.3011659999997</v>
      </c>
      <c r="M30" s="5">
        <v>72.234873530000002</v>
      </c>
      <c r="N30" s="5">
        <v>0</v>
      </c>
      <c r="O30" s="5">
        <v>1197.5360395299999</v>
      </c>
      <c r="P30" s="5">
        <v>1434.8214310000001</v>
      </c>
      <c r="Q30" s="10">
        <f t="shared" si="5"/>
        <v>83.462374735745072</v>
      </c>
    </row>
    <row r="31" spans="1:17" x14ac:dyDescent="0.25">
      <c r="A31" s="1" t="s">
        <v>29</v>
      </c>
      <c r="B31" s="14">
        <v>0.20314343898490941</v>
      </c>
      <c r="C31" s="14">
        <v>0.22173182480116502</v>
      </c>
      <c r="D31" s="14">
        <v>0.24366225037237657</v>
      </c>
      <c r="E31" s="14">
        <v>0.25182417057060769</v>
      </c>
      <c r="F31" s="14">
        <v>0.2868844034396425</v>
      </c>
      <c r="G31" s="14">
        <v>0.27268434266243657</v>
      </c>
      <c r="H31" s="11">
        <f t="shared" ref="H31" si="30">(H30-H27)/H27</f>
        <v>1.1157566963933585E-2</v>
      </c>
      <c r="I31" s="14">
        <v>-4.3159319598104325E-2</v>
      </c>
      <c r="J31" s="14" t="s">
        <v>30</v>
      </c>
      <c r="K31" s="14">
        <v>-4.3159319598104325E-2</v>
      </c>
      <c r="L31" s="14">
        <v>0.28229225496375487</v>
      </c>
      <c r="M31" s="14">
        <v>-1.1845224709084456E-2</v>
      </c>
      <c r="N31" s="14" t="s">
        <v>30</v>
      </c>
      <c r="O31" s="14">
        <v>0.25967488059248284</v>
      </c>
      <c r="P31" s="14">
        <v>0.27147597764838161</v>
      </c>
      <c r="Q31" s="11">
        <f t="shared" ref="Q31" si="31">(Q30-Q27)/Q27</f>
        <v>-9.2814156644352008E-3</v>
      </c>
    </row>
    <row r="32" spans="1:17" x14ac:dyDescent="0.25">
      <c r="A32" s="4" t="s">
        <v>31</v>
      </c>
      <c r="B32" s="13">
        <v>0.15343267325415222</v>
      </c>
      <c r="C32" s="13">
        <v>0.13791042848305524</v>
      </c>
      <c r="D32" s="13">
        <v>0.12769184236316056</v>
      </c>
      <c r="E32" s="13">
        <v>0.17519893348845472</v>
      </c>
      <c r="F32" s="13">
        <v>0.15478533729388944</v>
      </c>
      <c r="G32" s="13">
        <v>0.10854301721765602</v>
      </c>
      <c r="H32" s="9">
        <f t="shared" ref="H32" si="32">(((H30/H6)^(1/8))-1)</f>
        <v>4.1714502151028343E-2</v>
      </c>
      <c r="I32" s="13" t="s">
        <v>30</v>
      </c>
      <c r="J32" s="13" t="s">
        <v>30</v>
      </c>
      <c r="K32" s="13" t="s">
        <v>30</v>
      </c>
      <c r="L32" s="13">
        <v>0.12067311262643754</v>
      </c>
      <c r="M32" s="13" t="s">
        <v>30</v>
      </c>
      <c r="N32" s="13" t="s">
        <v>30</v>
      </c>
      <c r="O32" s="13">
        <v>0.12942248687302249</v>
      </c>
      <c r="P32" s="13">
        <v>9.0039266815798769E-2</v>
      </c>
      <c r="Q32" s="9">
        <f t="shared" ref="Q32" si="33">(((Q30/Q6)^(1/8))-1)</f>
        <v>3.6130092975704686E-2</v>
      </c>
    </row>
    <row r="33" spans="1:17" x14ac:dyDescent="0.25">
      <c r="A33" s="3" t="s">
        <v>28</v>
      </c>
      <c r="B33" s="6">
        <v>138311</v>
      </c>
      <c r="C33" s="6">
        <v>197708</v>
      </c>
      <c r="D33" s="6">
        <v>118614.7</v>
      </c>
      <c r="E33" s="6">
        <v>18090019</v>
      </c>
      <c r="F33" s="6">
        <v>18254.3001</v>
      </c>
      <c r="G33" s="6">
        <v>19510.000899999999</v>
      </c>
      <c r="H33" s="10">
        <f t="shared" si="4"/>
        <v>93.563809625452151</v>
      </c>
      <c r="I33" s="5">
        <v>74646.979319999999</v>
      </c>
      <c r="J33" s="5">
        <v>0</v>
      </c>
      <c r="K33" s="5">
        <v>74646.979319999999</v>
      </c>
      <c r="L33" s="5">
        <v>1369.0691999999999</v>
      </c>
      <c r="M33" s="5">
        <v>85.585700000000003</v>
      </c>
      <c r="N33" s="5">
        <v>0</v>
      </c>
      <c r="O33" s="5">
        <v>1454.6549</v>
      </c>
      <c r="P33" s="5">
        <v>1692.9860000000001</v>
      </c>
      <c r="Q33" s="10">
        <f t="shared" si="5"/>
        <v>85.922441177895152</v>
      </c>
    </row>
    <row r="34" spans="1:17" x14ac:dyDescent="0.25">
      <c r="A34" s="1" t="s">
        <v>29</v>
      </c>
      <c r="B34" s="14">
        <v>0.20054336976051804</v>
      </c>
      <c r="C34" s="14">
        <v>0.20851365559060123</v>
      </c>
      <c r="D34" s="14">
        <v>0.19765344348171607</v>
      </c>
      <c r="E34" s="14">
        <v>0.21289015933430971</v>
      </c>
      <c r="F34" s="14">
        <v>0.21238815415649404</v>
      </c>
      <c r="G34" s="14">
        <v>0.186851655014552</v>
      </c>
      <c r="H34" s="11">
        <f t="shared" ref="H34" si="34">(H33-H30)/H30</f>
        <v>2.1516167613743573E-2</v>
      </c>
      <c r="I34" s="14">
        <v>0.23420385814465006</v>
      </c>
      <c r="J34" s="14" t="s">
        <v>30</v>
      </c>
      <c r="K34" s="14">
        <v>0.23420385814465006</v>
      </c>
      <c r="L34" s="14">
        <v>0.21662470578120793</v>
      </c>
      <c r="M34" s="14">
        <v>0.18482522108182614</v>
      </c>
      <c r="N34" s="14" t="s">
        <v>30</v>
      </c>
      <c r="O34" s="14">
        <v>0.21470657415113134</v>
      </c>
      <c r="P34" s="14">
        <v>0.17992801293752073</v>
      </c>
      <c r="Q34" s="11">
        <f t="shared" ref="Q34" si="35">(Q33-Q30)/Q30</f>
        <v>2.9475155121562673E-2</v>
      </c>
    </row>
    <row r="35" spans="1:17" x14ac:dyDescent="0.25">
      <c r="A35" s="4" t="s">
        <v>31</v>
      </c>
      <c r="B35" s="13">
        <v>0.1585745473682918</v>
      </c>
      <c r="C35" s="13">
        <v>0.14554699174387409</v>
      </c>
      <c r="D35" s="13">
        <v>0.13525902786150157</v>
      </c>
      <c r="E35" s="13">
        <v>0.17932832985659308</v>
      </c>
      <c r="F35" s="13">
        <v>0.16104805910465103</v>
      </c>
      <c r="G35" s="13">
        <v>0.11698236400284934</v>
      </c>
      <c r="H35" s="9">
        <f t="shared" ref="H35" si="36">(((H33/H6)^(1/9))-1)</f>
        <v>3.9450663252986962E-2</v>
      </c>
      <c r="I35" s="13" t="s">
        <v>30</v>
      </c>
      <c r="J35" s="13" t="s">
        <v>30</v>
      </c>
      <c r="K35" s="13" t="s">
        <v>30</v>
      </c>
      <c r="L35" s="13">
        <v>0.13094930736871446</v>
      </c>
      <c r="M35" s="13" t="s">
        <v>30</v>
      </c>
      <c r="N35" s="13" t="s">
        <v>30</v>
      </c>
      <c r="O35" s="13">
        <v>0.13859481750939362</v>
      </c>
      <c r="P35" s="13">
        <v>9.9678794832233297E-2</v>
      </c>
      <c r="Q35" s="9">
        <f t="shared" ref="Q35" si="37">(((Q33/Q6)^(1/9))-1)</f>
        <v>3.5388536052563646E-2</v>
      </c>
    </row>
    <row r="36" spans="1:17" x14ac:dyDescent="0.25">
      <c r="A36" s="3" t="s">
        <v>32</v>
      </c>
      <c r="B36" s="6">
        <v>156182</v>
      </c>
      <c r="C36" s="6">
        <v>232545</v>
      </c>
      <c r="D36" s="6">
        <v>137048.258</v>
      </c>
      <c r="E36" s="6">
        <v>19895114</v>
      </c>
      <c r="F36" s="6">
        <v>20503.949322</v>
      </c>
      <c r="G36" s="6">
        <v>22316.526798999999</v>
      </c>
      <c r="H36" s="10">
        <f t="shared" si="4"/>
        <v>91.877869287969943</v>
      </c>
      <c r="I36" s="5">
        <v>107404.21004000001</v>
      </c>
      <c r="J36" s="5">
        <v>0</v>
      </c>
      <c r="K36" s="5">
        <v>107404.21004000001</v>
      </c>
      <c r="L36" s="5">
        <v>1537.7947525000002</v>
      </c>
      <c r="M36" s="5">
        <v>112.8786422</v>
      </c>
      <c r="N36" s="5">
        <v>0</v>
      </c>
      <c r="O36" s="5">
        <v>1650.6733947</v>
      </c>
      <c r="P36" s="5">
        <v>1936.391615</v>
      </c>
      <c r="Q36" s="10">
        <f t="shared" si="5"/>
        <v>85.244812150252997</v>
      </c>
    </row>
    <row r="37" spans="1:17" x14ac:dyDescent="0.25">
      <c r="A37" s="1" t="s">
        <v>29</v>
      </c>
      <c r="B37" s="14">
        <v>0.12920881202507392</v>
      </c>
      <c r="C37" s="14">
        <v>0.17620430129281567</v>
      </c>
      <c r="D37" s="14">
        <v>0.15540702796533654</v>
      </c>
      <c r="E37" s="14">
        <v>9.9784030077580355E-2</v>
      </c>
      <c r="F37" s="14">
        <v>0.12323941261379832</v>
      </c>
      <c r="G37" s="14">
        <v>0.14385062888438926</v>
      </c>
      <c r="H37" s="11">
        <f t="shared" ref="H37" si="38">(H36-H33)/H33</f>
        <v>-1.8019150184577157E-2</v>
      </c>
      <c r="I37" s="14">
        <v>0.43882861729173056</v>
      </c>
      <c r="J37" s="14" t="s">
        <v>30</v>
      </c>
      <c r="K37" s="14">
        <v>0.43882861729173056</v>
      </c>
      <c r="L37" s="14">
        <v>0.12324106955294903</v>
      </c>
      <c r="M37" s="14">
        <v>0.31889605623369321</v>
      </c>
      <c r="N37" s="14" t="s">
        <v>30</v>
      </c>
      <c r="O37" s="14">
        <v>0.13475257581712338</v>
      </c>
      <c r="P37" s="14">
        <v>0.14377296386384758</v>
      </c>
      <c r="Q37" s="11">
        <f t="shared" ref="Q37" si="39">(Q36-Q33)/Q33</f>
        <v>-7.8865197304995235E-3</v>
      </c>
    </row>
    <row r="38" spans="1:17" x14ac:dyDescent="0.25">
      <c r="A38" s="4" t="s">
        <v>31</v>
      </c>
      <c r="B38" s="13">
        <v>0.15560393182688048</v>
      </c>
      <c r="C38" s="13">
        <v>0.14857641607508976</v>
      </c>
      <c r="D38" s="13">
        <v>0.13725791549906208</v>
      </c>
      <c r="E38" s="13">
        <v>0.17112162145019227</v>
      </c>
      <c r="F38" s="13">
        <v>0.15721061967118599</v>
      </c>
      <c r="G38" s="13">
        <v>0.11964054255740941</v>
      </c>
      <c r="H38" s="9">
        <f t="shared" ref="H38" si="40">(((H36/H6)^(1/10))-1)</f>
        <v>3.3555481143940469E-2</v>
      </c>
      <c r="I38" s="13" t="s">
        <v>30</v>
      </c>
      <c r="J38" s="13" t="s">
        <v>30</v>
      </c>
      <c r="K38" s="13" t="s">
        <v>30</v>
      </c>
      <c r="L38" s="13">
        <v>0.13017610915637756</v>
      </c>
      <c r="M38" s="13" t="s">
        <v>30</v>
      </c>
      <c r="N38" s="13" t="s">
        <v>30</v>
      </c>
      <c r="O38" s="13">
        <v>0.13821000862799693</v>
      </c>
      <c r="P38" s="13">
        <v>0.10401061266327694</v>
      </c>
      <c r="Q38" s="9">
        <f t="shared" ref="Q38" si="41">(((Q36/Q6)^(1/10))-1)</f>
        <v>3.0977415952749388E-2</v>
      </c>
    </row>
    <row r="39" spans="1:17" x14ac:dyDescent="0.25">
      <c r="A39" s="25" t="s">
        <v>35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/>
    </row>
    <row r="40" spans="1:17" ht="31.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2020-05-20T11:05:58Z</dcterms:modified>
</cp:coreProperties>
</file>