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ALLIANCE AIR\"/>
    </mc:Choice>
  </mc:AlternateContent>
  <bookViews>
    <workbookView xWindow="-120" yWindow="-120" windowWidth="20730" windowHeight="11160"/>
  </bookViews>
  <sheets>
    <sheet name="AIR INDIA" sheetId="1" r:id="rId1"/>
    <sheet name="AIR INDIA EXPRESS" sheetId="2" r:id="rId2"/>
    <sheet name="GO AIR" sheetId="3" r:id="rId3"/>
    <sheet name="INDIGO" sheetId="5" r:id="rId4"/>
    <sheet name="JET AIRWAYS " sheetId="4" r:id="rId5"/>
    <sheet name="SPICEJET" sheetId="6" r:id="rId6"/>
  </sheets>
  <definedNames>
    <definedName name="_xlnm.Print_Area" localSheetId="0">'AIR INDIA'!$A$1:$Q$40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9" i="3" l="1"/>
  <c r="C29" i="3"/>
  <c r="D29" i="3"/>
  <c r="E29" i="3"/>
  <c r="F29" i="3"/>
  <c r="G29" i="3"/>
  <c r="H29" i="3"/>
  <c r="I29" i="3"/>
  <c r="K29" i="3"/>
  <c r="L29" i="3"/>
  <c r="M29" i="3"/>
  <c r="O29" i="3"/>
  <c r="P29" i="3"/>
  <c r="Q36" i="6"/>
  <c r="Q38" i="6" s="1"/>
  <c r="Q34" i="6"/>
  <c r="Q33" i="6"/>
  <c r="Q31" i="6"/>
  <c r="Q30" i="6"/>
  <c r="Q27" i="6"/>
  <c r="Q29" i="6" s="1"/>
  <c r="Q24" i="6"/>
  <c r="Q26" i="6" s="1"/>
  <c r="Q23" i="6"/>
  <c r="Q21" i="6"/>
  <c r="Q18" i="6"/>
  <c r="Q22" i="6" s="1"/>
  <c r="Q15" i="6"/>
  <c r="Q16" i="6" s="1"/>
  <c r="Q12" i="6"/>
  <c r="Q13" i="6" s="1"/>
  <c r="Q9" i="6"/>
  <c r="Q6" i="6"/>
  <c r="Q14" i="6" s="1"/>
  <c r="H37" i="6"/>
  <c r="H36" i="6"/>
  <c r="H38" i="6" s="1"/>
  <c r="H33" i="6"/>
  <c r="H35" i="6" s="1"/>
  <c r="H30" i="6"/>
  <c r="H31" i="6" s="1"/>
  <c r="H27" i="6"/>
  <c r="H24" i="6"/>
  <c r="H28" i="6" s="1"/>
  <c r="H21" i="6"/>
  <c r="H22" i="6" s="1"/>
  <c r="H18" i="6"/>
  <c r="H20" i="6" s="1"/>
  <c r="H16" i="6"/>
  <c r="H15" i="6"/>
  <c r="H12" i="6"/>
  <c r="H14" i="6" s="1"/>
  <c r="H9" i="6"/>
  <c r="H13" i="6" s="1"/>
  <c r="H6" i="6"/>
  <c r="H32" i="6" s="1"/>
  <c r="Q36" i="4"/>
  <c r="Q37" i="4" s="1"/>
  <c r="Q33" i="4"/>
  <c r="Q35" i="4" s="1"/>
  <c r="Q31" i="4"/>
  <c r="Q30" i="4"/>
  <c r="Q34" i="4" s="1"/>
  <c r="Q27" i="4"/>
  <c r="Q29" i="4" s="1"/>
  <c r="Q24" i="4"/>
  <c r="Q26" i="4" s="1"/>
  <c r="Q23" i="4"/>
  <c r="Q22" i="4"/>
  <c r="Q21" i="4"/>
  <c r="Q18" i="4"/>
  <c r="Q20" i="4" s="1"/>
  <c r="Q15" i="4"/>
  <c r="Q16" i="4" s="1"/>
  <c r="Q12" i="4"/>
  <c r="Q13" i="4" s="1"/>
  <c r="Q9" i="4"/>
  <c r="Q6" i="4"/>
  <c r="Q38" i="4" s="1"/>
  <c r="H36" i="4"/>
  <c r="H38" i="4" s="1"/>
  <c r="H33" i="4"/>
  <c r="H35" i="4" s="1"/>
  <c r="H30" i="4"/>
  <c r="H31" i="4" s="1"/>
  <c r="H27" i="4"/>
  <c r="H29" i="4" s="1"/>
  <c r="H24" i="4"/>
  <c r="H28" i="4" s="1"/>
  <c r="H22" i="4"/>
  <c r="H21" i="4"/>
  <c r="H23" i="4" s="1"/>
  <c r="H18" i="4"/>
  <c r="H19" i="4" s="1"/>
  <c r="H16" i="4"/>
  <c r="H15" i="4"/>
  <c r="H12" i="4"/>
  <c r="H13" i="4" s="1"/>
  <c r="H9" i="4"/>
  <c r="H11" i="4" s="1"/>
  <c r="H6" i="4"/>
  <c r="H20" i="4" s="1"/>
  <c r="Q36" i="5"/>
  <c r="Q38" i="5" s="1"/>
  <c r="Q33" i="5"/>
  <c r="Q35" i="5" s="1"/>
  <c r="Q31" i="5"/>
  <c r="Q30" i="5"/>
  <c r="Q27" i="5"/>
  <c r="Q29" i="5" s="1"/>
  <c r="Q24" i="5"/>
  <c r="Q26" i="5" s="1"/>
  <c r="Q23" i="5"/>
  <c r="Q21" i="5"/>
  <c r="Q18" i="5"/>
  <c r="Q22" i="5" s="1"/>
  <c r="Q15" i="5"/>
  <c r="Q16" i="5" s="1"/>
  <c r="Q12" i="5"/>
  <c r="Q14" i="5" s="1"/>
  <c r="Q9" i="5"/>
  <c r="Q11" i="5" s="1"/>
  <c r="Q6" i="5"/>
  <c r="Q32" i="5" s="1"/>
  <c r="H36" i="5"/>
  <c r="H37" i="5" s="1"/>
  <c r="H33" i="5"/>
  <c r="H35" i="5" s="1"/>
  <c r="H30" i="5"/>
  <c r="H34" i="5" s="1"/>
  <c r="H27" i="5"/>
  <c r="H29" i="5" s="1"/>
  <c r="H24" i="5"/>
  <c r="H28" i="5" s="1"/>
  <c r="H23" i="5"/>
  <c r="H22" i="5"/>
  <c r="H21" i="5"/>
  <c r="H18" i="5"/>
  <c r="H20" i="5" s="1"/>
  <c r="H15" i="5"/>
  <c r="H17" i="5" s="1"/>
  <c r="H14" i="5"/>
  <c r="H12" i="5"/>
  <c r="H13" i="5" s="1"/>
  <c r="H9" i="5"/>
  <c r="H11" i="5" s="1"/>
  <c r="H6" i="5"/>
  <c r="H38" i="5" s="1"/>
  <c r="Q36" i="3"/>
  <c r="Q37" i="3" s="1"/>
  <c r="Q33" i="3"/>
  <c r="Q35" i="3" s="1"/>
  <c r="Q31" i="3"/>
  <c r="Q30" i="3"/>
  <c r="Q34" i="3" s="1"/>
  <c r="Q27" i="3"/>
  <c r="Q29" i="3" s="1"/>
  <c r="Q24" i="3"/>
  <c r="Q26" i="3" s="1"/>
  <c r="Q23" i="3"/>
  <c r="Q22" i="3"/>
  <c r="Q21" i="3"/>
  <c r="Q18" i="3"/>
  <c r="Q20" i="3" s="1"/>
  <c r="Q15" i="3"/>
  <c r="Q17" i="3" s="1"/>
  <c r="Q14" i="3"/>
  <c r="Q12" i="3"/>
  <c r="Q13" i="3" s="1"/>
  <c r="Q11" i="3"/>
  <c r="Q9" i="3"/>
  <c r="Q6" i="3"/>
  <c r="Q38" i="3" s="1"/>
  <c r="H36" i="3"/>
  <c r="H37" i="3" s="1"/>
  <c r="H33" i="3"/>
  <c r="H35" i="3" s="1"/>
  <c r="H30" i="3"/>
  <c r="H31" i="3" s="1"/>
  <c r="H28" i="3"/>
  <c r="H27" i="3"/>
  <c r="H24" i="3"/>
  <c r="H26" i="3" s="1"/>
  <c r="H23" i="3"/>
  <c r="H22" i="3"/>
  <c r="H21" i="3"/>
  <c r="H18" i="3"/>
  <c r="H19" i="3" s="1"/>
  <c r="H15" i="3"/>
  <c r="H17" i="3" s="1"/>
  <c r="H14" i="3"/>
  <c r="H12" i="3"/>
  <c r="H13" i="3" s="1"/>
  <c r="H9" i="3"/>
  <c r="H6" i="3"/>
  <c r="H38" i="3" s="1"/>
  <c r="Q36" i="2"/>
  <c r="Q33" i="2"/>
  <c r="Q35" i="2" s="1"/>
  <c r="Q30" i="2"/>
  <c r="Q31" i="2" s="1"/>
  <c r="Q27" i="2"/>
  <c r="Q28" i="2" s="1"/>
  <c r="Q24" i="2"/>
  <c r="Q25" i="2" s="1"/>
  <c r="Q21" i="2"/>
  <c r="Q23" i="2" s="1"/>
  <c r="Q19" i="2"/>
  <c r="Q18" i="2"/>
  <c r="Q20" i="2" s="1"/>
  <c r="Q16" i="2"/>
  <c r="Q15" i="2"/>
  <c r="Q12" i="2"/>
  <c r="Q9" i="2"/>
  <c r="Q11" i="2" s="1"/>
  <c r="Q6" i="2"/>
  <c r="Q38" i="2" s="1"/>
  <c r="H38" i="2"/>
  <c r="H37" i="2"/>
  <c r="H36" i="2"/>
  <c r="H33" i="2"/>
  <c r="H35" i="2" s="1"/>
  <c r="H30" i="2"/>
  <c r="H32" i="2" s="1"/>
  <c r="H29" i="2"/>
  <c r="H28" i="2"/>
  <c r="H27" i="2"/>
  <c r="H26" i="2"/>
  <c r="H24" i="2"/>
  <c r="H21" i="2"/>
  <c r="H25" i="2" s="1"/>
  <c r="H18" i="2"/>
  <c r="H20" i="2" s="1"/>
  <c r="H17" i="2"/>
  <c r="H15" i="2"/>
  <c r="H16" i="2" s="1"/>
  <c r="H14" i="2"/>
  <c r="H13" i="2"/>
  <c r="H12" i="2"/>
  <c r="H9" i="2"/>
  <c r="H11" i="2" s="1"/>
  <c r="H6" i="2"/>
  <c r="Q32" i="6" l="1"/>
  <c r="Q17" i="6"/>
  <c r="Q25" i="6"/>
  <c r="Q10" i="6"/>
  <c r="Q11" i="6"/>
  <c r="Q19" i="6"/>
  <c r="Q35" i="6"/>
  <c r="Q20" i="6"/>
  <c r="Q28" i="6"/>
  <c r="Q37" i="6"/>
  <c r="H29" i="6"/>
  <c r="H23" i="6"/>
  <c r="H17" i="6"/>
  <c r="H25" i="6"/>
  <c r="H26" i="6"/>
  <c r="H34" i="6"/>
  <c r="H10" i="6"/>
  <c r="H11" i="6"/>
  <c r="H19" i="6"/>
  <c r="Q32" i="4"/>
  <c r="Q17" i="4"/>
  <c r="Q25" i="4"/>
  <c r="Q10" i="4"/>
  <c r="Q11" i="4"/>
  <c r="Q19" i="4"/>
  <c r="Q28" i="4"/>
  <c r="Q14" i="4"/>
  <c r="H14" i="4"/>
  <c r="H10" i="4"/>
  <c r="H26" i="4"/>
  <c r="H34" i="4"/>
  <c r="H32" i="4"/>
  <c r="H17" i="4"/>
  <c r="H25" i="4"/>
  <c r="H37" i="4"/>
  <c r="Q17" i="5"/>
  <c r="Q25" i="5"/>
  <c r="Q10" i="5"/>
  <c r="Q34" i="5"/>
  <c r="Q19" i="5"/>
  <c r="Q20" i="5"/>
  <c r="Q28" i="5"/>
  <c r="Q13" i="5"/>
  <c r="Q37" i="5"/>
  <c r="H31" i="5"/>
  <c r="H16" i="5"/>
  <c r="H32" i="5"/>
  <c r="H25" i="5"/>
  <c r="H26" i="5"/>
  <c r="H19" i="5"/>
  <c r="H10" i="5"/>
  <c r="Q16" i="3"/>
  <c r="Q32" i="3"/>
  <c r="Q25" i="3"/>
  <c r="Q19" i="3"/>
  <c r="Q28" i="3"/>
  <c r="Q10" i="3"/>
  <c r="H16" i="3"/>
  <c r="H32" i="3"/>
  <c r="H25" i="3"/>
  <c r="H10" i="3"/>
  <c r="H34" i="3"/>
  <c r="H11" i="3"/>
  <c r="H20" i="3"/>
  <c r="Q13" i="2"/>
  <c r="Q29" i="2"/>
  <c r="Q37" i="2"/>
  <c r="Q14" i="2"/>
  <c r="Q22" i="2"/>
  <c r="Q10" i="2"/>
  <c r="Q26" i="2"/>
  <c r="Q34" i="2"/>
  <c r="Q32" i="2"/>
  <c r="Q17" i="2"/>
  <c r="H22" i="2"/>
  <c r="H23" i="2"/>
  <c r="H31" i="2"/>
  <c r="H10" i="2"/>
  <c r="H34" i="2"/>
  <c r="H19" i="2"/>
</calcChain>
</file>

<file path=xl/sharedStrings.xml><?xml version="1.0" encoding="utf-8"?>
<sst xmlns="http://schemas.openxmlformats.org/spreadsheetml/2006/main" count="783" uniqueCount="58">
  <si>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</si>
  <si>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</si>
  <si>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</si>
  <si>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</si>
  <si>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</si>
  <si>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</si>
  <si>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</si>
  <si>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</si>
  <si>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</si>
  <si>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</si>
  <si>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</si>
  <si>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</si>
  <si>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</si>
  <si>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</si>
  <si>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</si>
  <si>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</si>
  <si>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</si>
  <si>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</si>
  <si>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</si>
  <si>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</si>
  <si>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</si>
  <si>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</si>
  <si>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</si>
  <si>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</si>
  <si>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</si>
  <si>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</si>
  <si>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</si>
  <si>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</si>
  <si>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</si>
  <si>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</si>
  <si>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</si>
  <si>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</si>
  <si>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</si>
  <si>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TABLE - 1.06 (AIR INDIA EXPRESS)</t>
  </si>
  <si>
    <t>YEAR-WISE DETAILS OF ANNUAL TRAFFIC AND OPERATING STATISTICS ON SCHEDULED (INTERNATIONAL+DOMESTIC) SERVICES OF AIR INDIA EXPRESS</t>
  </si>
  <si>
    <t xml:space="preserve">SOURCE: ICAO ATR FORM 'A' FURNISHED BY AIR INDIA EXPRESSS </t>
  </si>
  <si>
    <t>TABLE - 1.06 (GO AIR)</t>
  </si>
  <si>
    <t>YEAR-WISE DETAILS OF ANNUAL TRAFFIC AND OPERATING STATISTICS ON SCHEDULED (INTERNATIONAL+DOMESTIC) SERVICES OF GO AIR</t>
  </si>
  <si>
    <t xml:space="preserve">SOURCE: ICAO ATR FORM 'A' FURNISHED BY GO AIR </t>
  </si>
  <si>
    <t>TABLE - 1.06 (INDIGO)</t>
  </si>
  <si>
    <t>YEAR-WISE DETAILS OF ANNUAL TRAFFIC AND OPERATING STATISTICS ON SCHEDULED (INTERNATIONAL+DOMESTIC) SERVICES OF INDIGO</t>
  </si>
  <si>
    <t>SOURCE: ICAO ATR FORM 'A' FURNISHED BY INDIGO</t>
  </si>
  <si>
    <t>TABLE - 1.06 (JET AIRWAYS)</t>
  </si>
  <si>
    <t>YEAR-WISE DETAILS OF ANNUAL TRAFFIC AND OPERATING STATISTICS ON SCHEDULED (INTERNATIONAL+DOMESTIC) SERVICES OF JET AIRWAYS</t>
  </si>
  <si>
    <t>SOURCE: ICAO ATR FORM 'A' FURNISHED BY JET AIRWAYS</t>
  </si>
  <si>
    <t>TABLE - 1.06 (SPICEJET)</t>
  </si>
  <si>
    <t>YEAR-WISE DETAILS OF ANNUAL TRAFFIC AND OPERATING STATISTICS ON SCHEDULED (INTERNATIONAL+DOMESTIC) SERVICES OF SPICEJET</t>
  </si>
  <si>
    <t>SOURCE: ICAO ATR FORM 'A' FURNISHED BY SPICEJET</t>
  </si>
  <si>
    <t xml:space="preserve"> तालिका- 1.06 (स्पाइसजेट) </t>
  </si>
  <si>
    <t xml:space="preserve"> तालिका- 1.06 (जेट एयरवेज) </t>
  </si>
  <si>
    <t xml:space="preserve"> तालिका- 1.06 (इंडिगो) </t>
  </si>
  <si>
    <t xml:space="preserve"> तालिका- 1.06 (गो एयर) </t>
  </si>
  <si>
    <t xml:space="preserve"> तालिका- 1.06 (एयर इंडिया एक्सप्रेस) </t>
  </si>
  <si>
    <t>Note: Growth has been calculated with respect to preceeding year while Compound Annual Growth Rate (CAGR) has been calculating taking 2008-09 as a Base Year</t>
  </si>
  <si>
    <t xml:space="preserve"> तालिका- 1.06 (एलाइंस एयर) </t>
  </si>
  <si>
    <t>TABLE - 1.06 (ALLIANCE AIR)</t>
  </si>
  <si>
    <t>YEAR-WISE DETAILS OF ANNUAL TRAFFIC AND OPERATING STATISTICS ON SCHEDULED (INTERNATIONAL+DOMESTIC) SERVICES OF ALLIANCE AIR</t>
  </si>
  <si>
    <t>SOURCE: ICAO ATR FORM 'A' FURNISHED BY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</si>
</sst>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43" fontId="4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Font="1"/>
    <xf numFmtId="0" fontId="0" fillId="0" borderId="0" xfId="0" applyFont="1" applyBorder="1"/>
    <xf numFmtId="0" fontId="2" fillId="2" borderId="0" xfId="0" applyFont="1" applyFill="1" applyBorder="1" applyAlignment="1" applyProtection="1">
      <alignment horizontal="center" vertical="center" wrapText="1"/>
    </xf>
    <xf numFmtId="0" fontId="4" fillId="4" borderId="1" xfId="3" applyBorder="1" applyAlignment="1" applyProtection="1">
      <alignment horizontal="center" vertical="center" wrapText="1"/>
    </xf>
    <xf numFmtId="3" fontId="4" fillId="4" borderId="1" xfId="3" applyNumberFormat="1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right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5" fillId="6" borderId="1" xfId="6" applyNumberFormat="1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164" fontId="7" fillId="2" borderId="1" xfId="1" applyNumberFormat="1" applyFont="1" applyFill="1" applyBorder="1" applyAlignment="1" applyProtection="1">
      <alignment horizontal="center" vertical="center" wrapText="1"/>
    </xf>
    <xf numFmtId="167" fontId="8" fillId="7" borderId="1" xfId="1" applyNumberFormat="1" applyFont="1" applyFill="1" applyBorder="1" applyAlignment="1" applyProtection="1">
      <alignment horizontal="center" vertical="center" wrapText="1"/>
    </xf>
    <xf numFmtId="167" fontId="0" fillId="7" borderId="1" xfId="1" applyNumberFormat="1" applyFont="1" applyFill="1" applyBorder="1" applyAlignment="1" applyProtection="1">
      <alignment horizontal="center" vertical="center" wrapText="1"/>
    </xf>
    <xf numFmtId="164" fontId="4" fillId="8" borderId="1" xfId="1" applyNumberFormat="1" applyFill="1" applyBorder="1" applyAlignment="1" applyProtection="1">
      <alignment horizontal="right" vertical="center" wrapText="1"/>
    </xf>
    <xf numFmtId="164" fontId="6" fillId="8" borderId="1" xfId="1" applyNumberFormat="1" applyFont="1" applyFill="1" applyBorder="1" applyAlignment="1" applyProtection="1">
      <alignment horizontal="center" vertical="center" wrapText="1"/>
    </xf>
    <xf numFmtId="164" fontId="4" fillId="8" borderId="1" xfId="3" applyNumberFormat="1" applyFill="1" applyBorder="1" applyAlignment="1" applyProtection="1">
      <alignment horizontal="right" vertical="center" wrapText="1"/>
    </xf>
    <xf numFmtId="43" fontId="5" fillId="6" borderId="1" xfId="6" applyNumberFormat="1" applyFont="1" applyFill="1" applyBorder="1" applyAlignment="1" applyProtection="1">
      <alignment horizontal="center" vertical="center" wrapText="1"/>
    </xf>
    <xf numFmtId="164" fontId="4" fillId="4" borderId="1" xfId="1" applyNumberForma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center" vertical="center" wrapText="1"/>
    </xf>
    <xf numFmtId="164" fontId="4" fillId="4" borderId="1" xfId="3" applyNumberFormat="1" applyBorder="1" applyAlignment="1" applyProtection="1">
      <alignment horizontal="center" vertical="center" wrapText="1"/>
    </xf>
    <xf numFmtId="164" fontId="0" fillId="4" borderId="1" xfId="1" applyNumberFormat="1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5" borderId="1" xfId="4" applyFont="1" applyBorder="1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4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  <xf numFmtId="0" fontId="2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6.85546875" style="1" customWidth="1"/>
    <col min="9" max="9" width="10.5703125" style="1" customWidth="1"/>
    <col min="10" max="10" width="8.7109375" style="1" customWidth="1"/>
    <col min="11" max="11" width="10.85546875" style="1" customWidth="1"/>
    <col min="12" max="12" width="10" style="1" customWidth="1"/>
    <col min="13" max="13" width="9.5703125" style="1" customWidth="1"/>
    <col min="14" max="14" width="7.140625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5">
      <c r="A1" s="30" t="s">
        <v>54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21" customHeight="1" x14ac:dyDescent="0.25">
      <c r="A2" s="32" t="s">
        <v>55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ht="21" customHeight="1" x14ac:dyDescent="0.25">
      <c r="A3" s="34" t="s">
        <v>56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1:17" ht="15" customHeight="1" x14ac:dyDescent="0.25">
      <c r="A4" s="34" t="s">
        <v>0</v>
      </c>
      <c r="B4" s="34" t="s">
        <v>1</v>
      </c>
      <c r="C4" s="34"/>
      <c r="D4" s="34"/>
      <c r="E4" s="34" t="s">
        <v>2</v>
      </c>
      <c r="F4" s="35"/>
      <c r="G4" s="24" t="s">
        <v>3</v>
      </c>
      <c r="H4" s="24" t="s">
        <v>4</v>
      </c>
      <c r="I4" s="34" t="s">
        <v>5</v>
      </c>
      <c r="J4" s="34"/>
      <c r="K4" s="34"/>
      <c r="L4" s="34" t="s">
        <v>6</v>
      </c>
      <c r="M4" s="34"/>
      <c r="N4" s="34"/>
      <c r="O4" s="34"/>
      <c r="P4" s="24" t="s">
        <v>7</v>
      </c>
      <c r="Q4" s="24" t="s">
        <v>8</v>
      </c>
    </row>
    <row r="5" spans="1:17" ht="132" customHeight="1" x14ac:dyDescent="0.25">
      <c r="A5" s="34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25"/>
      <c r="H5" s="25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25"/>
      <c r="Q5" s="25"/>
    </row>
    <row r="6" spans="1:17" ht="24.95" customHeight="1" x14ac:dyDescent="0.25">
      <c r="A6" s="6" t="s">
        <v>19</v>
      </c>
      <c r="B6" s="10">
        <v>15057</v>
      </c>
      <c r="C6" s="10">
        <v>18355</v>
      </c>
      <c r="D6" s="10">
        <v>7618</v>
      </c>
      <c r="E6" s="10">
        <v>318289</v>
      </c>
      <c r="F6" s="10">
        <v>206.827</v>
      </c>
      <c r="G6" s="10">
        <v>362.245</v>
      </c>
      <c r="H6" s="9">
        <v>57.095888142003339</v>
      </c>
      <c r="I6" s="9">
        <v>5627</v>
      </c>
      <c r="J6" s="9">
        <v>6336</v>
      </c>
      <c r="K6" s="9">
        <v>11963</v>
      </c>
      <c r="L6" s="9">
        <v>17.558</v>
      </c>
      <c r="M6" s="9">
        <v>7.3879999999999999</v>
      </c>
      <c r="N6" s="9">
        <v>4.008</v>
      </c>
      <c r="O6" s="9">
        <v>28.954000000000001</v>
      </c>
      <c r="P6" s="9">
        <v>48.246000000000002</v>
      </c>
      <c r="Q6" s="9">
        <v>60.013265348422664</v>
      </c>
    </row>
    <row r="7" spans="1:17" ht="24.95" customHeight="1" x14ac:dyDescent="0.25">
      <c r="A7" s="4" t="s">
        <v>29</v>
      </c>
      <c r="B7" s="5" t="s">
        <v>30</v>
      </c>
      <c r="C7" s="5" t="s">
        <v>30</v>
      </c>
      <c r="D7" s="5" t="s">
        <v>30</v>
      </c>
      <c r="E7" s="5" t="s">
        <v>30</v>
      </c>
      <c r="F7" s="5" t="s">
        <v>30</v>
      </c>
      <c r="G7" s="5" t="s">
        <v>30</v>
      </c>
      <c r="H7" s="5" t="s">
        <v>30</v>
      </c>
      <c r="I7" s="5" t="s">
        <v>30</v>
      </c>
      <c r="J7" s="5" t="s">
        <v>30</v>
      </c>
      <c r="K7" s="5" t="s">
        <v>30</v>
      </c>
      <c r="L7" s="5" t="s">
        <v>30</v>
      </c>
      <c r="M7" s="5" t="s">
        <v>30</v>
      </c>
      <c r="N7" s="5" t="s">
        <v>30</v>
      </c>
      <c r="O7" s="5" t="s">
        <v>30</v>
      </c>
      <c r="P7" s="5" t="s">
        <v>30</v>
      </c>
      <c r="Q7" s="5" t="s">
        <v>30</v>
      </c>
    </row>
    <row r="8" spans="1:17" ht="24.95" customHeight="1" x14ac:dyDescent="0.25">
      <c r="A8" s="7" t="s">
        <v>31</v>
      </c>
      <c r="B8" s="12" t="s">
        <v>30</v>
      </c>
      <c r="C8" s="12" t="s">
        <v>30</v>
      </c>
      <c r="D8" s="12" t="s">
        <v>30</v>
      </c>
      <c r="E8" s="12" t="s">
        <v>30</v>
      </c>
      <c r="F8" s="12" t="s">
        <v>30</v>
      </c>
      <c r="G8" s="12" t="s">
        <v>30</v>
      </c>
      <c r="H8" s="12" t="s">
        <v>30</v>
      </c>
      <c r="I8" s="12" t="s">
        <v>30</v>
      </c>
      <c r="J8" s="12" t="s">
        <v>30</v>
      </c>
      <c r="K8" s="12" t="s">
        <v>30</v>
      </c>
      <c r="L8" s="12" t="s">
        <v>30</v>
      </c>
      <c r="M8" s="12" t="s">
        <v>30</v>
      </c>
      <c r="N8" s="12" t="s">
        <v>30</v>
      </c>
      <c r="O8" s="12" t="s">
        <v>30</v>
      </c>
      <c r="P8" s="12" t="s">
        <v>30</v>
      </c>
      <c r="Q8" s="12" t="s">
        <v>30</v>
      </c>
    </row>
    <row r="9" spans="1:17" ht="24.95" customHeight="1" x14ac:dyDescent="0.25">
      <c r="A9" s="6" t="s">
        <v>20</v>
      </c>
      <c r="B9" s="10">
        <v>16957</v>
      </c>
      <c r="C9" s="10">
        <v>21541</v>
      </c>
      <c r="D9" s="10">
        <v>9206</v>
      </c>
      <c r="E9" s="10">
        <v>455180</v>
      </c>
      <c r="F9" s="10">
        <v>305.05399999999997</v>
      </c>
      <c r="G9" s="10">
        <v>460.09399999999999</v>
      </c>
      <c r="H9" s="14">
        <v>66.302538176981216</v>
      </c>
      <c r="I9" s="9">
        <v>2254</v>
      </c>
      <c r="J9" s="9">
        <v>11842</v>
      </c>
      <c r="K9" s="9">
        <v>14096</v>
      </c>
      <c r="L9" s="9">
        <v>25.792000000000002</v>
      </c>
      <c r="M9" s="9">
        <v>1.778</v>
      </c>
      <c r="N9" s="9">
        <v>10.512</v>
      </c>
      <c r="O9" s="9">
        <v>38.082000000000001</v>
      </c>
      <c r="P9" s="9">
        <v>60.353999999999999</v>
      </c>
      <c r="Q9" s="15">
        <v>63.097723431752662</v>
      </c>
    </row>
    <row r="10" spans="1:17" ht="24.95" customHeight="1" x14ac:dyDescent="0.25">
      <c r="A10" s="4" t="s">
        <v>29</v>
      </c>
      <c r="B10" s="16">
        <v>0.1261871554758584</v>
      </c>
      <c r="C10" s="16">
        <v>0.17357668210296923</v>
      </c>
      <c r="D10" s="16">
        <v>0.20845366237857704</v>
      </c>
      <c r="E10" s="16">
        <v>0.43008398028207068</v>
      </c>
      <c r="F10" s="16">
        <v>0.47492348677880536</v>
      </c>
      <c r="G10" s="16">
        <v>0.27011829010752386</v>
      </c>
      <c r="H10" s="17">
        <v>0.16124891536987729</v>
      </c>
      <c r="I10" s="16">
        <v>-0.59943131331082278</v>
      </c>
      <c r="J10" s="16">
        <v>0.8690025252525253</v>
      </c>
      <c r="K10" s="16">
        <v>0.17829975758588984</v>
      </c>
      <c r="L10" s="16">
        <v>0.46896001822531053</v>
      </c>
      <c r="M10" s="16">
        <v>-0.75933946940985375</v>
      </c>
      <c r="N10" s="16">
        <v>1.6227544910179641</v>
      </c>
      <c r="O10" s="16">
        <v>0.31525868619189057</v>
      </c>
      <c r="P10" s="16">
        <v>0.25096381047133431</v>
      </c>
      <c r="Q10" s="17">
        <v>5.1396271564667792E-2</v>
      </c>
    </row>
    <row r="11" spans="1:17" ht="24.95" customHeight="1" x14ac:dyDescent="0.25">
      <c r="A11" s="7" t="s">
        <v>31</v>
      </c>
      <c r="B11" s="8">
        <v>0.12618715547585846</v>
      </c>
      <c r="C11" s="8">
        <v>0.17357668210296917</v>
      </c>
      <c r="D11" s="8">
        <v>0.2084536623785771</v>
      </c>
      <c r="E11" s="8">
        <v>0.43008398028207062</v>
      </c>
      <c r="F11" s="8">
        <v>0.47492348677880547</v>
      </c>
      <c r="G11" s="8">
        <v>0.27011829010752386</v>
      </c>
      <c r="H11" s="13">
        <v>0.16124891536987729</v>
      </c>
      <c r="I11" s="8">
        <v>-0.59943131331082289</v>
      </c>
      <c r="J11" s="8">
        <v>0.8690025252525253</v>
      </c>
      <c r="K11" s="8">
        <v>0.17829975758588978</v>
      </c>
      <c r="L11" s="8">
        <v>0.46896001822531042</v>
      </c>
      <c r="M11" s="8">
        <v>-0.75933946940985386</v>
      </c>
      <c r="N11" s="8">
        <v>1.6227544910179641</v>
      </c>
      <c r="O11" s="8">
        <v>0.31525868619189068</v>
      </c>
      <c r="P11" s="8">
        <v>0.25096381047133431</v>
      </c>
      <c r="Q11" s="13">
        <v>5.1396271564667861E-2</v>
      </c>
    </row>
    <row r="12" spans="1:17" ht="24.95" customHeight="1" x14ac:dyDescent="0.25">
      <c r="A12" s="6" t="s">
        <v>21</v>
      </c>
      <c r="B12" s="10">
        <v>16230</v>
      </c>
      <c r="C12" s="10">
        <v>22276</v>
      </c>
      <c r="D12" s="10">
        <v>9320</v>
      </c>
      <c r="E12" s="10">
        <v>503801</v>
      </c>
      <c r="F12" s="10">
        <v>365.733</v>
      </c>
      <c r="G12" s="10">
        <v>538.50900000000001</v>
      </c>
      <c r="H12" s="14">
        <v>67.915856559500398</v>
      </c>
      <c r="I12" s="9">
        <v>1427</v>
      </c>
      <c r="J12" s="9">
        <v>6040</v>
      </c>
      <c r="K12" s="9">
        <v>7467</v>
      </c>
      <c r="L12" s="9">
        <v>30.959</v>
      </c>
      <c r="M12" s="9">
        <v>1.373</v>
      </c>
      <c r="N12" s="9">
        <v>3.911</v>
      </c>
      <c r="O12" s="9">
        <v>36.243000000000002</v>
      </c>
      <c r="P12" s="9">
        <v>53.125999999999998</v>
      </c>
      <c r="Q12" s="14">
        <v>68.220833490193129</v>
      </c>
    </row>
    <row r="13" spans="1:17" ht="24.95" customHeight="1" x14ac:dyDescent="0.25">
      <c r="A13" s="4" t="s">
        <v>29</v>
      </c>
      <c r="B13" s="16">
        <v>-4.2873149731674234E-2</v>
      </c>
      <c r="C13" s="16">
        <v>3.4120978598950837E-2</v>
      </c>
      <c r="D13" s="16">
        <v>1.2383228329350423E-2</v>
      </c>
      <c r="E13" s="16">
        <v>0.10681708335164111</v>
      </c>
      <c r="F13" s="16">
        <v>0.198912323719735</v>
      </c>
      <c r="G13" s="16">
        <v>0.17043256378044491</v>
      </c>
      <c r="H13" s="17">
        <v>2.43326790629456E-2</v>
      </c>
      <c r="I13" s="16">
        <v>-0.36690328305235137</v>
      </c>
      <c r="J13" s="16">
        <v>-0.48995102178686034</v>
      </c>
      <c r="K13" s="16">
        <v>-0.47027525539160048</v>
      </c>
      <c r="L13" s="16">
        <v>0.20033343672456566</v>
      </c>
      <c r="M13" s="16">
        <v>-0.22778402699662542</v>
      </c>
      <c r="N13" s="16">
        <v>-0.62794901065449016</v>
      </c>
      <c r="O13" s="16">
        <v>-4.8290530959508395E-2</v>
      </c>
      <c r="P13" s="16">
        <v>-0.11976008218179411</v>
      </c>
      <c r="Q13" s="17">
        <v>8.1193263081538763E-2</v>
      </c>
    </row>
    <row r="14" spans="1:17" ht="24.95" customHeight="1" x14ac:dyDescent="0.25">
      <c r="A14" s="7" t="s">
        <v>31</v>
      </c>
      <c r="B14" s="8">
        <v>3.8221539428485274E-2</v>
      </c>
      <c r="C14" s="8">
        <v>0.10164434685484247</v>
      </c>
      <c r="D14" s="8">
        <v>0.1060823748732509</v>
      </c>
      <c r="E14" s="8">
        <v>0.25811024159399776</v>
      </c>
      <c r="F14" s="8">
        <v>0.32977590023386694</v>
      </c>
      <c r="G14" s="8">
        <v>0.21925707157883001</v>
      </c>
      <c r="H14" s="13">
        <v>9.0644402424441051E-2</v>
      </c>
      <c r="I14" s="8">
        <v>-0.49641413795168021</v>
      </c>
      <c r="J14" s="8">
        <v>-2.363796249402017E-2</v>
      </c>
      <c r="K14" s="8">
        <v>-0.20995282535830528</v>
      </c>
      <c r="L14" s="8">
        <v>0.32787116358755508</v>
      </c>
      <c r="M14" s="8">
        <v>-0.56890615198871353</v>
      </c>
      <c r="N14" s="8">
        <v>-1.2174912652238468E-2</v>
      </c>
      <c r="O14" s="8">
        <v>0.11881372260380263</v>
      </c>
      <c r="P14" s="8">
        <v>4.935612721460636E-2</v>
      </c>
      <c r="Q14" s="13">
        <v>6.6190679777668571E-2</v>
      </c>
    </row>
    <row r="15" spans="1:17" ht="24.95" customHeight="1" x14ac:dyDescent="0.25">
      <c r="A15" s="6" t="s">
        <v>22</v>
      </c>
      <c r="B15" s="10">
        <v>14359</v>
      </c>
      <c r="C15" s="10">
        <v>19951</v>
      </c>
      <c r="D15" s="10">
        <v>8511</v>
      </c>
      <c r="E15" s="10">
        <v>467257</v>
      </c>
      <c r="F15" s="10">
        <v>347.791</v>
      </c>
      <c r="G15" s="10">
        <v>518.10199999999998</v>
      </c>
      <c r="H15" s="14">
        <v>67.127901455697909</v>
      </c>
      <c r="I15" s="9">
        <v>457.34000000000003</v>
      </c>
      <c r="J15" s="9">
        <v>452</v>
      </c>
      <c r="K15" s="9">
        <v>909.34</v>
      </c>
      <c r="L15" s="9">
        <v>29.594999999999999</v>
      </c>
      <c r="M15" s="9">
        <v>0.28999999999999998</v>
      </c>
      <c r="N15" s="9">
        <v>0.34100000000000003</v>
      </c>
      <c r="O15" s="9">
        <v>30.225999999999999</v>
      </c>
      <c r="P15" s="9">
        <v>46.677999999999997</v>
      </c>
      <c r="Q15" s="14">
        <v>64.754273962037786</v>
      </c>
    </row>
    <row r="16" spans="1:17" ht="24.95" customHeight="1" x14ac:dyDescent="0.25">
      <c r="A16" s="4" t="s">
        <v>29</v>
      </c>
      <c r="B16" s="16">
        <v>-0.11528034504004929</v>
      </c>
      <c r="C16" s="16">
        <v>-0.10437241874663315</v>
      </c>
      <c r="D16" s="16">
        <v>-8.6802575107296137E-2</v>
      </c>
      <c r="E16" s="16">
        <v>-7.2536576942086262E-2</v>
      </c>
      <c r="F16" s="16">
        <v>-4.9057645878277344E-2</v>
      </c>
      <c r="G16" s="16">
        <v>-3.789537407917052E-2</v>
      </c>
      <c r="H16" s="17">
        <v>-1.1601931326775936E-2</v>
      </c>
      <c r="I16" s="16">
        <v>-0.67950946040644711</v>
      </c>
      <c r="J16" s="16">
        <v>-0.92516556291390728</v>
      </c>
      <c r="K16" s="16">
        <v>-0.8782188295165394</v>
      </c>
      <c r="L16" s="16">
        <v>-4.4058270615975996E-2</v>
      </c>
      <c r="M16" s="16">
        <v>-0.78878368536052434</v>
      </c>
      <c r="N16" s="16">
        <v>-0.9128100230120173</v>
      </c>
      <c r="O16" s="16">
        <v>-0.16601826559611518</v>
      </c>
      <c r="P16" s="16">
        <v>-0.12137183300079059</v>
      </c>
      <c r="Q16" s="17">
        <v>-5.0813796179339669E-2</v>
      </c>
    </row>
    <row r="17" spans="1:17" s="2" customFormat="1" ht="24.95" customHeight="1" x14ac:dyDescent="0.25">
      <c r="A17" s="7" t="s">
        <v>31</v>
      </c>
      <c r="B17" s="8">
        <v>-1.5697514635343746E-2</v>
      </c>
      <c r="C17" s="8">
        <v>2.8182228925165642E-2</v>
      </c>
      <c r="D17" s="8">
        <v>3.7639607462178537E-2</v>
      </c>
      <c r="E17" s="8">
        <v>0.13652256333543566</v>
      </c>
      <c r="F17" s="8">
        <v>0.18915108254221202</v>
      </c>
      <c r="G17" s="8">
        <v>0.12668961075656737</v>
      </c>
      <c r="H17" s="13">
        <v>5.5438047168733462E-2</v>
      </c>
      <c r="I17" s="8">
        <v>-0.56683426925477942</v>
      </c>
      <c r="J17" s="8">
        <v>-0.58526143366034444</v>
      </c>
      <c r="K17" s="8">
        <v>-0.57639403775409315</v>
      </c>
      <c r="L17" s="8">
        <v>0.19009354571639614</v>
      </c>
      <c r="M17" s="8">
        <v>-0.66014757717467454</v>
      </c>
      <c r="N17" s="8">
        <v>-0.56017941143876837</v>
      </c>
      <c r="O17" s="8">
        <v>1.4434558935776165E-2</v>
      </c>
      <c r="P17" s="8">
        <v>-1.0952895813787111E-2</v>
      </c>
      <c r="Q17" s="13">
        <v>2.566860025382911E-2</v>
      </c>
    </row>
    <row r="18" spans="1:17" ht="24.95" customHeight="1" x14ac:dyDescent="0.25">
      <c r="A18" s="6" t="s">
        <v>23</v>
      </c>
      <c r="B18" s="10">
        <v>10171</v>
      </c>
      <c r="C18" s="10">
        <v>16645</v>
      </c>
      <c r="D18" s="10">
        <v>9393</v>
      </c>
      <c r="E18" s="10">
        <v>392947</v>
      </c>
      <c r="F18" s="10">
        <v>286.26499999999999</v>
      </c>
      <c r="G18" s="10">
        <v>404.65499999999997</v>
      </c>
      <c r="H18" s="14">
        <v>70.742978586697319</v>
      </c>
      <c r="I18" s="9">
        <v>243</v>
      </c>
      <c r="J18" s="9">
        <v>102</v>
      </c>
      <c r="K18" s="9">
        <v>345</v>
      </c>
      <c r="L18" s="9">
        <v>26.34</v>
      </c>
      <c r="M18" s="9">
        <v>0.193</v>
      </c>
      <c r="N18" s="9">
        <v>7.4999999999999997E-2</v>
      </c>
      <c r="O18" s="9">
        <v>26.608000000000001</v>
      </c>
      <c r="P18" s="9">
        <v>43.325000000000003</v>
      </c>
      <c r="Q18" s="14">
        <v>61.414887478361223</v>
      </c>
    </row>
    <row r="19" spans="1:17" ht="24.95" customHeight="1" x14ac:dyDescent="0.25">
      <c r="A19" s="4" t="s">
        <v>29</v>
      </c>
      <c r="B19" s="18">
        <v>-0.29166376488613416</v>
      </c>
      <c r="C19" s="18">
        <v>-0.16570597965014286</v>
      </c>
      <c r="D19" s="18">
        <v>0.10363059569968276</v>
      </c>
      <c r="E19" s="18">
        <v>-0.15903453559818259</v>
      </c>
      <c r="F19" s="18">
        <v>-0.17690509530148857</v>
      </c>
      <c r="G19" s="18">
        <v>-0.21896653554705445</v>
      </c>
      <c r="H19" s="17">
        <v>5.3853569865955596E-2</v>
      </c>
      <c r="I19" s="18">
        <v>-0.46866663751257276</v>
      </c>
      <c r="J19" s="18">
        <v>-0.77433628318584069</v>
      </c>
      <c r="K19" s="18">
        <v>-0.62060395451646255</v>
      </c>
      <c r="L19" s="18">
        <v>-0.10998479472883931</v>
      </c>
      <c r="M19" s="18">
        <v>-0.3344827586206896</v>
      </c>
      <c r="N19" s="18">
        <v>-0.78005865102639294</v>
      </c>
      <c r="O19" s="18">
        <v>-0.11969827300999135</v>
      </c>
      <c r="P19" s="18">
        <v>-7.1832554950940375E-2</v>
      </c>
      <c r="Q19" s="17">
        <v>-5.1570132430706885E-2</v>
      </c>
    </row>
    <row r="20" spans="1:17" ht="24.95" customHeight="1" x14ac:dyDescent="0.25">
      <c r="A20" s="7" t="s">
        <v>31</v>
      </c>
      <c r="B20" s="8">
        <v>-9.341965120235951E-2</v>
      </c>
      <c r="C20" s="8">
        <v>-2.4151603881859107E-2</v>
      </c>
      <c r="D20" s="8">
        <v>5.3757887775107038E-2</v>
      </c>
      <c r="E20" s="8">
        <v>5.4090955468031332E-2</v>
      </c>
      <c r="F20" s="8">
        <v>8.4651584396634005E-2</v>
      </c>
      <c r="G20" s="8">
        <v>2.8065127304132576E-2</v>
      </c>
      <c r="H20" s="13">
        <v>5.5041704644613887E-2</v>
      </c>
      <c r="I20" s="8">
        <v>-0.54413910417588673</v>
      </c>
      <c r="J20" s="8">
        <v>-0.64379808432486207</v>
      </c>
      <c r="K20" s="8">
        <v>-0.58790746436049157</v>
      </c>
      <c r="L20" s="8">
        <v>0.1067134333878228</v>
      </c>
      <c r="M20" s="8">
        <v>-0.59797079273068476</v>
      </c>
      <c r="N20" s="8">
        <v>-0.63014338752545507</v>
      </c>
      <c r="O20" s="8">
        <v>-2.0902559068571747E-2</v>
      </c>
      <c r="P20" s="8">
        <v>-2.6537301496411869E-2</v>
      </c>
      <c r="Q20" s="13">
        <v>5.7883496065149753E-3</v>
      </c>
    </row>
    <row r="21" spans="1:17" ht="24.95" customHeight="1" x14ac:dyDescent="0.25">
      <c r="A21" s="6" t="s">
        <v>24</v>
      </c>
      <c r="B21" s="10">
        <v>9097</v>
      </c>
      <c r="C21" s="10">
        <v>14119</v>
      </c>
      <c r="D21" s="10">
        <v>6446</v>
      </c>
      <c r="E21" s="10">
        <v>363801</v>
      </c>
      <c r="F21" s="10">
        <v>249.57599999999999</v>
      </c>
      <c r="G21" s="10">
        <v>340.892</v>
      </c>
      <c r="H21" s="14">
        <v>73.21263039320371</v>
      </c>
      <c r="I21" s="9">
        <v>161</v>
      </c>
      <c r="J21" s="9">
        <v>52</v>
      </c>
      <c r="K21" s="9">
        <v>213</v>
      </c>
      <c r="L21" s="9">
        <v>22.593</v>
      </c>
      <c r="M21" s="9">
        <v>0.104</v>
      </c>
      <c r="N21" s="9">
        <v>0.03</v>
      </c>
      <c r="O21" s="9">
        <v>22.727</v>
      </c>
      <c r="P21" s="9">
        <v>36.814999999999998</v>
      </c>
      <c r="Q21" s="14">
        <v>61.73298927067772</v>
      </c>
    </row>
    <row r="22" spans="1:17" ht="24.95" customHeight="1" x14ac:dyDescent="0.25">
      <c r="A22" s="4" t="s">
        <v>29</v>
      </c>
      <c r="B22" s="18">
        <v>-0.1055943368400354</v>
      </c>
      <c r="C22" s="18">
        <v>-0.15175728446981077</v>
      </c>
      <c r="D22" s="18">
        <v>-0.31374427765357182</v>
      </c>
      <c r="E22" s="18">
        <v>-7.4172852827480554E-2</v>
      </c>
      <c r="F22" s="18">
        <v>-0.12816446299757217</v>
      </c>
      <c r="G22" s="18">
        <v>-0.15757373565135729</v>
      </c>
      <c r="H22" s="17">
        <v>3.4910203893659501E-2</v>
      </c>
      <c r="I22" s="18">
        <v>-0.33744855967078191</v>
      </c>
      <c r="J22" s="18">
        <v>-0.49019607843137253</v>
      </c>
      <c r="K22" s="18">
        <v>-0.38260869565217392</v>
      </c>
      <c r="L22" s="18">
        <v>-0.14225512528473805</v>
      </c>
      <c r="M22" s="18">
        <v>-0.46113989637305702</v>
      </c>
      <c r="N22" s="18">
        <v>-0.6</v>
      </c>
      <c r="O22" s="18">
        <v>-0.14585838845460011</v>
      </c>
      <c r="P22" s="18">
        <v>-0.150259665320254</v>
      </c>
      <c r="Q22" s="17">
        <v>5.1795550782141623E-3</v>
      </c>
    </row>
    <row r="23" spans="1:17" ht="24.95" customHeight="1" x14ac:dyDescent="0.25">
      <c r="A23" s="7" t="s">
        <v>31</v>
      </c>
      <c r="B23" s="8">
        <v>-9.5867774464067468E-2</v>
      </c>
      <c r="C23" s="8">
        <v>-5.1123021725529627E-2</v>
      </c>
      <c r="D23" s="8">
        <v>-3.2858839999393652E-2</v>
      </c>
      <c r="E23" s="8">
        <v>2.7089883894762856E-2</v>
      </c>
      <c r="F23" s="8">
        <v>3.8291066785428152E-2</v>
      </c>
      <c r="G23" s="8">
        <v>-1.2077487922553698E-2</v>
      </c>
      <c r="H23" s="13">
        <v>5.0984317182999117E-2</v>
      </c>
      <c r="I23" s="8">
        <v>-0.50874182312044991</v>
      </c>
      <c r="J23" s="8">
        <v>-0.61731835248649602</v>
      </c>
      <c r="K23" s="8">
        <v>-0.55320541585570115</v>
      </c>
      <c r="L23" s="8">
        <v>5.1719125246703301E-2</v>
      </c>
      <c r="M23" s="8">
        <v>-0.57371378343080548</v>
      </c>
      <c r="N23" s="8">
        <v>-0.62430215118377497</v>
      </c>
      <c r="O23" s="8">
        <v>-4.727687147731563E-2</v>
      </c>
      <c r="P23" s="8">
        <v>-5.2645115915875063E-2</v>
      </c>
      <c r="Q23" s="13">
        <v>5.6665612103212748E-3</v>
      </c>
    </row>
    <row r="24" spans="1:17" ht="24.95" customHeight="1" x14ac:dyDescent="0.25">
      <c r="A24" s="6" t="s">
        <v>25</v>
      </c>
      <c r="B24" s="10">
        <v>9059</v>
      </c>
      <c r="C24" s="10">
        <v>13164</v>
      </c>
      <c r="D24" s="10">
        <v>5519</v>
      </c>
      <c r="E24" s="10">
        <v>310492</v>
      </c>
      <c r="F24" s="10">
        <v>197.91499999999999</v>
      </c>
      <c r="G24" s="10">
        <v>289.61399999999998</v>
      </c>
      <c r="H24" s="14">
        <v>68.337511308155001</v>
      </c>
      <c r="I24" s="9">
        <v>168</v>
      </c>
      <c r="J24" s="9">
        <v>52</v>
      </c>
      <c r="K24" s="9">
        <v>220</v>
      </c>
      <c r="L24" s="9">
        <v>17.876000000000001</v>
      </c>
      <c r="M24" s="9">
        <v>0.108</v>
      </c>
      <c r="N24" s="9">
        <v>2.8000000000000001E-2</v>
      </c>
      <c r="O24" s="9">
        <v>18.012</v>
      </c>
      <c r="P24" s="9">
        <v>30.779</v>
      </c>
      <c r="Q24" s="14">
        <v>58.520419766724061</v>
      </c>
    </row>
    <row r="25" spans="1:17" ht="24.95" customHeight="1" x14ac:dyDescent="0.25">
      <c r="A25" s="4" t="s">
        <v>29</v>
      </c>
      <c r="B25" s="18">
        <v>-4.1772012751456521E-3</v>
      </c>
      <c r="C25" s="18">
        <v>-6.7639351228840572E-2</v>
      </c>
      <c r="D25" s="18">
        <v>-0.1438101147998759</v>
      </c>
      <c r="E25" s="18">
        <v>-0.14653340699998077</v>
      </c>
      <c r="F25" s="18">
        <v>-0.20699506362791295</v>
      </c>
      <c r="G25" s="18">
        <v>-0.15042300787346144</v>
      </c>
      <c r="H25" s="17">
        <v>-6.6588497898052088E-2</v>
      </c>
      <c r="I25" s="18">
        <v>4.3478260869565216E-2</v>
      </c>
      <c r="J25" s="18">
        <v>0</v>
      </c>
      <c r="K25" s="18">
        <v>3.2863849765258218E-2</v>
      </c>
      <c r="L25" s="18">
        <v>-0.20878148098968702</v>
      </c>
      <c r="M25" s="18">
        <v>3.8461538461538498E-2</v>
      </c>
      <c r="N25" s="18">
        <v>-6.666666666666661E-2</v>
      </c>
      <c r="O25" s="18">
        <v>-0.20746248954987459</v>
      </c>
      <c r="P25" s="18">
        <v>-0.16395490968355286</v>
      </c>
      <c r="Q25" s="17">
        <v>-5.2039752843777869E-2</v>
      </c>
    </row>
    <row r="26" spans="1:17" ht="24.95" customHeight="1" x14ac:dyDescent="0.25">
      <c r="A26" s="7" t="s">
        <v>31</v>
      </c>
      <c r="B26" s="8">
        <v>-8.1194397087010595E-2</v>
      </c>
      <c r="C26" s="8">
        <v>-5.389592265299481E-2</v>
      </c>
      <c r="D26" s="8">
        <v>-5.230213051615018E-2</v>
      </c>
      <c r="E26" s="8">
        <v>-4.1250749001605636E-3</v>
      </c>
      <c r="F26" s="8">
        <v>-7.3139634067791448E-3</v>
      </c>
      <c r="G26" s="8">
        <v>-3.6608392443096327E-2</v>
      </c>
      <c r="H26" s="13">
        <v>3.0407602481202778E-2</v>
      </c>
      <c r="I26" s="8">
        <v>-0.44302111971215996</v>
      </c>
      <c r="J26" s="8">
        <v>-0.55087762090785763</v>
      </c>
      <c r="K26" s="8">
        <v>-0.48623588938747864</v>
      </c>
      <c r="L26" s="8">
        <v>2.9960366012411477E-3</v>
      </c>
      <c r="M26" s="8">
        <v>-0.50551914886800153</v>
      </c>
      <c r="N26" s="8">
        <v>-0.56277493289384228</v>
      </c>
      <c r="O26" s="8">
        <v>-7.6063279089573443E-2</v>
      </c>
      <c r="P26" s="8">
        <v>-7.2176149597548367E-2</v>
      </c>
      <c r="Q26" s="13">
        <v>-4.1895123630837361E-3</v>
      </c>
    </row>
    <row r="27" spans="1:17" ht="24.95" customHeight="1" x14ac:dyDescent="0.25">
      <c r="A27" s="6" t="s">
        <v>26</v>
      </c>
      <c r="B27" s="10">
        <v>10796</v>
      </c>
      <c r="C27" s="10">
        <v>16133</v>
      </c>
      <c r="D27" s="10">
        <v>7318</v>
      </c>
      <c r="E27" s="10">
        <v>400340</v>
      </c>
      <c r="F27" s="10">
        <v>227.98400000000001</v>
      </c>
      <c r="G27" s="10">
        <v>342.601</v>
      </c>
      <c r="H27" s="14">
        <v>66.545048029632142</v>
      </c>
      <c r="I27" s="9">
        <v>127</v>
      </c>
      <c r="J27" s="9">
        <v>45</v>
      </c>
      <c r="K27" s="9">
        <v>172</v>
      </c>
      <c r="L27" s="9">
        <v>20.065000000000001</v>
      </c>
      <c r="M27" s="9">
        <v>7.2999999999999995E-2</v>
      </c>
      <c r="N27" s="9">
        <v>2.4E-2</v>
      </c>
      <c r="O27" s="9">
        <v>20.161999999999999</v>
      </c>
      <c r="P27" s="9">
        <v>32.779000000000003</v>
      </c>
      <c r="Q27" s="14">
        <v>61.50889288873973</v>
      </c>
    </row>
    <row r="28" spans="1:17" ht="24.95" customHeight="1" x14ac:dyDescent="0.25">
      <c r="A28" s="4" t="s">
        <v>29</v>
      </c>
      <c r="B28" s="18">
        <v>0.19174301799315599</v>
      </c>
      <c r="C28" s="18">
        <v>0.22553934974171985</v>
      </c>
      <c r="D28" s="18">
        <v>0.32596484870447545</v>
      </c>
      <c r="E28" s="18">
        <v>0.28937299511742653</v>
      </c>
      <c r="F28" s="18">
        <v>0.15192885834828093</v>
      </c>
      <c r="G28" s="18">
        <v>0.18295731559938411</v>
      </c>
      <c r="H28" s="17">
        <v>-2.622956622520372E-2</v>
      </c>
      <c r="I28" s="18">
        <v>-0.24404761904761904</v>
      </c>
      <c r="J28" s="18">
        <v>-0.13461538461538461</v>
      </c>
      <c r="K28" s="18">
        <v>-0.21818181818181817</v>
      </c>
      <c r="L28" s="18">
        <v>0.12245468784963079</v>
      </c>
      <c r="M28" s="18">
        <v>-0.32407407407407413</v>
      </c>
      <c r="N28" s="18">
        <v>-0.14285714285714285</v>
      </c>
      <c r="O28" s="18">
        <v>0.11936486786586711</v>
      </c>
      <c r="P28" s="18">
        <v>6.4979369050326641E-2</v>
      </c>
      <c r="Q28" s="17">
        <v>5.1067185333400121E-2</v>
      </c>
    </row>
    <row r="29" spans="1:17" ht="24.95" customHeight="1" x14ac:dyDescent="0.25">
      <c r="A29" s="7" t="s">
        <v>31</v>
      </c>
      <c r="B29" s="8">
        <v>-4.6412318455457235E-2</v>
      </c>
      <c r="C29" s="8">
        <v>-1.8264733796620969E-2</v>
      </c>
      <c r="D29" s="8">
        <v>-5.7231033555060762E-3</v>
      </c>
      <c r="E29" s="8">
        <v>3.3307596450520505E-2</v>
      </c>
      <c r="F29" s="8">
        <v>1.4010490583943769E-2</v>
      </c>
      <c r="G29" s="8">
        <v>-7.9332605101654075E-3</v>
      </c>
      <c r="H29" s="13">
        <v>2.2119228697651483E-2</v>
      </c>
      <c r="I29" s="8">
        <v>-0.41817879736944441</v>
      </c>
      <c r="J29" s="8">
        <v>-0.50676173252819656</v>
      </c>
      <c r="K29" s="8">
        <v>-0.45447755917980215</v>
      </c>
      <c r="L29" s="8">
        <v>1.9249691049978646E-2</v>
      </c>
      <c r="M29" s="8">
        <v>-0.48293840455932213</v>
      </c>
      <c r="N29" s="8">
        <v>-0.51864102295262238</v>
      </c>
      <c r="O29" s="8">
        <v>-5.0387474597532456E-2</v>
      </c>
      <c r="P29" s="8">
        <v>-5.3721008718334851E-2</v>
      </c>
      <c r="Q29" s="13">
        <v>3.5227814962766058E-3</v>
      </c>
    </row>
    <row r="30" spans="1:17" ht="24.95" customHeight="1" x14ac:dyDescent="0.25">
      <c r="A30" s="6" t="s">
        <v>27</v>
      </c>
      <c r="B30" s="10">
        <v>12686</v>
      </c>
      <c r="C30" s="10">
        <v>22938</v>
      </c>
      <c r="D30" s="10">
        <v>9324</v>
      </c>
      <c r="E30" s="10">
        <v>625411</v>
      </c>
      <c r="F30" s="10">
        <v>323.77</v>
      </c>
      <c r="G30" s="10">
        <v>470.59300000000002</v>
      </c>
      <c r="H30" s="14">
        <v>68.800428395662479</v>
      </c>
      <c r="I30" s="9">
        <v>64</v>
      </c>
      <c r="J30" s="9">
        <v>33</v>
      </c>
      <c r="K30" s="9">
        <v>97</v>
      </c>
      <c r="L30" s="9">
        <v>29.280999999999999</v>
      </c>
      <c r="M30" s="9">
        <v>5.6000000000000001E-2</v>
      </c>
      <c r="N30" s="9">
        <v>2.4E-2</v>
      </c>
      <c r="O30" s="9">
        <v>29.361000000000001</v>
      </c>
      <c r="P30" s="9">
        <v>45.115000000000002</v>
      </c>
      <c r="Q30" s="14">
        <v>65.080350216114368</v>
      </c>
    </row>
    <row r="31" spans="1:17" ht="24.95" customHeight="1" x14ac:dyDescent="0.25">
      <c r="A31" s="4" t="s">
        <v>29</v>
      </c>
      <c r="B31" s="18">
        <v>0.17506483882919599</v>
      </c>
      <c r="C31" s="18">
        <v>0.42180623566602615</v>
      </c>
      <c r="D31" s="18">
        <v>0.27411861164252527</v>
      </c>
      <c r="E31" s="18">
        <v>0.56219963031423292</v>
      </c>
      <c r="F31" s="18">
        <v>0.42014351884342749</v>
      </c>
      <c r="G31" s="18">
        <v>0.3735891021917625</v>
      </c>
      <c r="H31" s="17">
        <v>3.389253494904728E-2</v>
      </c>
      <c r="I31" s="18">
        <v>-0.49606299212598426</v>
      </c>
      <c r="J31" s="18">
        <v>-0.26666666666666666</v>
      </c>
      <c r="K31" s="18">
        <v>-0.43604651162790697</v>
      </c>
      <c r="L31" s="18">
        <v>0.45930725143284312</v>
      </c>
      <c r="M31" s="18">
        <v>-0.23287671232876705</v>
      </c>
      <c r="N31" s="18">
        <v>0</v>
      </c>
      <c r="O31" s="18">
        <v>0.45625433984723746</v>
      </c>
      <c r="P31" s="18">
        <v>0.37633850941151337</v>
      </c>
      <c r="Q31" s="17">
        <v>5.8064080812425992E-2</v>
      </c>
    </row>
    <row r="32" spans="1:17" ht="24.95" customHeight="1" x14ac:dyDescent="0.25">
      <c r="A32" s="7" t="s">
        <v>31</v>
      </c>
      <c r="B32" s="8">
        <v>-2.1190260502500169E-2</v>
      </c>
      <c r="C32" s="8">
        <v>2.8253378059537759E-2</v>
      </c>
      <c r="D32" s="8">
        <v>2.5581461888969814E-2</v>
      </c>
      <c r="E32" s="8">
        <v>8.8097934069371719E-2</v>
      </c>
      <c r="F32" s="8">
        <v>5.7617605379808756E-2</v>
      </c>
      <c r="G32" s="8">
        <v>3.3249926095998861E-2</v>
      </c>
      <c r="H32" s="13">
        <v>2.3583528697534106E-2</v>
      </c>
      <c r="I32" s="8">
        <v>-0.42853730845211124</v>
      </c>
      <c r="J32" s="8">
        <v>-0.48169267518596126</v>
      </c>
      <c r="K32" s="8">
        <v>-0.45220703072426471</v>
      </c>
      <c r="L32" s="8">
        <v>6.6016329787604189E-2</v>
      </c>
      <c r="M32" s="8">
        <v>-0.45680265004109621</v>
      </c>
      <c r="N32" s="8">
        <v>-0.47257532843632932</v>
      </c>
      <c r="O32" s="8">
        <v>1.7463855807009487E-3</v>
      </c>
      <c r="P32" s="8">
        <v>-8.3521921727931492E-3</v>
      </c>
      <c r="Q32" s="13">
        <v>1.0183633416808613E-2</v>
      </c>
    </row>
    <row r="33" spans="1:17" ht="24.95" customHeight="1" x14ac:dyDescent="0.25">
      <c r="A33" s="6" t="s">
        <v>28</v>
      </c>
      <c r="B33" s="10">
        <v>20828</v>
      </c>
      <c r="C33" s="10">
        <v>38202</v>
      </c>
      <c r="D33" s="10">
        <v>17564</v>
      </c>
      <c r="E33" s="10">
        <v>1281251</v>
      </c>
      <c r="F33" s="10">
        <v>570.33299999999997</v>
      </c>
      <c r="G33" s="10">
        <v>729.71299999999997</v>
      </c>
      <c r="H33" s="14">
        <v>78.158536301258167</v>
      </c>
      <c r="I33" s="9">
        <v>76</v>
      </c>
      <c r="J33" s="9">
        <v>38</v>
      </c>
      <c r="K33" s="9">
        <v>114</v>
      </c>
      <c r="L33" s="9">
        <v>51.292999999999999</v>
      </c>
      <c r="M33" s="9">
        <v>5.1999999999999998E-2</v>
      </c>
      <c r="N33" s="9">
        <v>2.4E-2</v>
      </c>
      <c r="O33" s="9">
        <v>51.369</v>
      </c>
      <c r="P33" s="9">
        <v>67.221999999999994</v>
      </c>
      <c r="Q33" s="14">
        <v>76.41694683288209</v>
      </c>
    </row>
    <row r="34" spans="1:17" ht="24.95" customHeight="1" x14ac:dyDescent="0.25">
      <c r="A34" s="4" t="s">
        <v>29</v>
      </c>
      <c r="B34" s="18">
        <v>0.64180986914709126</v>
      </c>
      <c r="C34" s="18">
        <v>0.66544598482866857</v>
      </c>
      <c r="D34" s="18">
        <v>0.88374088374088378</v>
      </c>
      <c r="E34" s="18">
        <v>1.0486544048633619</v>
      </c>
      <c r="F34" s="18">
        <v>0.7615375111962196</v>
      </c>
      <c r="G34" s="18">
        <v>0.55062442492769748</v>
      </c>
      <c r="H34" s="17">
        <v>0.13601816331401897</v>
      </c>
      <c r="I34" s="18">
        <v>0.1875</v>
      </c>
      <c r="J34" s="18">
        <v>0.15151515151515152</v>
      </c>
      <c r="K34" s="18">
        <v>0.17525773195876287</v>
      </c>
      <c r="L34" s="18">
        <v>0.75175028175267244</v>
      </c>
      <c r="M34" s="18">
        <v>-7.1428571428571494E-2</v>
      </c>
      <c r="N34" s="18">
        <v>0</v>
      </c>
      <c r="O34" s="18">
        <v>0.74956575048533769</v>
      </c>
      <c r="P34" s="18">
        <v>0.49001440762495824</v>
      </c>
      <c r="Q34" s="17">
        <v>0.17419384774547045</v>
      </c>
    </row>
    <row r="35" spans="1:17" ht="24.95" customHeight="1" x14ac:dyDescent="0.25">
      <c r="A35" s="7" t="s">
        <v>31</v>
      </c>
      <c r="B35" s="8">
        <v>3.6708283708118961E-2</v>
      </c>
      <c r="C35" s="8">
        <v>8.485124107259967E-2</v>
      </c>
      <c r="D35" s="8">
        <v>9.7259026548063066E-2</v>
      </c>
      <c r="E35" s="8">
        <v>0.16735083587894106</v>
      </c>
      <c r="F35" s="8">
        <v>0.11930078307651315</v>
      </c>
      <c r="G35" s="8">
        <v>8.0922132339892539E-2</v>
      </c>
      <c r="H35" s="13">
        <v>3.5505472215229483E-2</v>
      </c>
      <c r="I35" s="8">
        <v>-0.38015678304101874</v>
      </c>
      <c r="J35" s="8">
        <v>-0.43362039911671379</v>
      </c>
      <c r="K35" s="8">
        <v>-0.40371808339115878</v>
      </c>
      <c r="L35" s="8">
        <v>0.12650066039317998</v>
      </c>
      <c r="M35" s="8">
        <v>-0.42345830916928118</v>
      </c>
      <c r="N35" s="8">
        <v>-0.4337196351465713</v>
      </c>
      <c r="O35" s="8">
        <v>6.5775758775259208E-2</v>
      </c>
      <c r="P35" s="8">
        <v>3.7541719175515187E-2</v>
      </c>
      <c r="Q35" s="13">
        <v>2.721243789809269E-2</v>
      </c>
    </row>
    <row r="36" spans="1:17" ht="24.95" customHeight="1" x14ac:dyDescent="0.25">
      <c r="A36" s="6" t="s">
        <v>32</v>
      </c>
      <c r="B36" s="10">
        <v>28983</v>
      </c>
      <c r="C36" s="10">
        <v>51698</v>
      </c>
      <c r="D36" s="10">
        <v>23821</v>
      </c>
      <c r="E36" s="10">
        <v>1597382</v>
      </c>
      <c r="F36" s="10">
        <v>679.84728900000005</v>
      </c>
      <c r="G36" s="10">
        <v>984.52216399999998</v>
      </c>
      <c r="H36" s="14">
        <v>69.053528082888349</v>
      </c>
      <c r="I36" s="9">
        <v>83.3</v>
      </c>
      <c r="J36" s="9">
        <v>15</v>
      </c>
      <c r="K36" s="9">
        <v>98.3</v>
      </c>
      <c r="L36" s="9">
        <v>61.920999999999999</v>
      </c>
      <c r="M36" s="9">
        <v>5.1799999999999999E-2</v>
      </c>
      <c r="N36" s="9">
        <v>8.9999999999999993E-3</v>
      </c>
      <c r="O36" s="9">
        <v>61.9818</v>
      </c>
      <c r="P36" s="9">
        <v>91.338999999999999</v>
      </c>
      <c r="Q36" s="14">
        <v>67.859074436987484</v>
      </c>
    </row>
    <row r="37" spans="1:17" ht="24.95" customHeight="1" x14ac:dyDescent="0.25">
      <c r="A37" s="4" t="s">
        <v>29</v>
      </c>
      <c r="B37" s="18">
        <v>0.3915402342999808</v>
      </c>
      <c r="C37" s="18">
        <v>0.35327993298780169</v>
      </c>
      <c r="D37" s="18">
        <v>0.35624003643816898</v>
      </c>
      <c r="E37" s="18">
        <v>0.24673619766930913</v>
      </c>
      <c r="F37" s="18">
        <v>0.19201815255298235</v>
      </c>
      <c r="G37" s="18">
        <v>0.34919093396993067</v>
      </c>
      <c r="H37" s="17">
        <v>-0.11649409839604748</v>
      </c>
      <c r="I37" s="18">
        <v>9.6052631578947334E-2</v>
      </c>
      <c r="J37" s="18">
        <v>-0.60526315789473684</v>
      </c>
      <c r="K37" s="18">
        <v>-0.13771929824561405</v>
      </c>
      <c r="L37" s="18">
        <v>0.20720176242372254</v>
      </c>
      <c r="M37" s="18">
        <v>-3.8461538461538229E-3</v>
      </c>
      <c r="N37" s="18">
        <v>-0.625</v>
      </c>
      <c r="O37" s="18">
        <v>0.20659931086842259</v>
      </c>
      <c r="P37" s="18">
        <v>0.35876647526107536</v>
      </c>
      <c r="Q37" s="17">
        <v>-0.11198919546746622</v>
      </c>
    </row>
    <row r="38" spans="1:17" ht="24.95" customHeight="1" x14ac:dyDescent="0.25">
      <c r="A38" s="7" t="s">
        <v>31</v>
      </c>
      <c r="B38" s="8">
        <v>6.7678478571068679E-2</v>
      </c>
      <c r="C38" s="8">
        <v>0.10910314128754828</v>
      </c>
      <c r="D38" s="8">
        <v>0.12075814070742186</v>
      </c>
      <c r="E38" s="8">
        <v>0.17505640923228194</v>
      </c>
      <c r="F38" s="8">
        <v>0.12636828538082057</v>
      </c>
      <c r="G38" s="8">
        <v>0.10515275278402436</v>
      </c>
      <c r="H38" s="13">
        <v>1.9196923269974686E-2</v>
      </c>
      <c r="I38" s="8">
        <v>-0.3437991197536423</v>
      </c>
      <c r="J38" s="8">
        <v>-0.45370451769588982</v>
      </c>
      <c r="K38" s="8">
        <v>-0.38131250012353179</v>
      </c>
      <c r="L38" s="8">
        <v>0.13432183397529851</v>
      </c>
      <c r="M38" s="8">
        <v>-0.39105188942054925</v>
      </c>
      <c r="N38" s="8">
        <v>-0.45658517831994461</v>
      </c>
      <c r="O38" s="8">
        <v>7.9084766016538577E-2</v>
      </c>
      <c r="P38" s="8">
        <v>6.5907441038414172E-2</v>
      </c>
      <c r="Q38" s="13">
        <v>1.2362541502934699E-2</v>
      </c>
    </row>
    <row r="39" spans="1:17" ht="24.95" customHeight="1" x14ac:dyDescent="0.25">
      <c r="A39" s="26" t="s">
        <v>57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spans="1:17" x14ac:dyDescent="0.25">
      <c r="A40" s="28" t="s">
        <v>53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</row>
    <row r="41" spans="1:17" x14ac:dyDescent="0.25">
      <c r="A41" s="3"/>
    </row>
  </sheetData>
  <mergeCells count="14"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workbookViewId="0">
      <selection activeCell="J13" sqref="J13"/>
    </sheetView>
  </sheetViews>
  <sheetFormatPr defaultRowHeight="15" x14ac:dyDescent="0.25"/>
  <cols>
    <col min="1" max="1" width="7.7109375" customWidth="1"/>
    <col min="2" max="2" width="7.42578125" customWidth="1"/>
    <col min="3" max="3" width="8.140625" customWidth="1"/>
    <col min="4" max="4" width="7.42578125" customWidth="1"/>
    <col min="5" max="5" width="10" customWidth="1"/>
    <col min="6" max="6" width="8" customWidth="1"/>
    <col min="7" max="7" width="7.140625" customWidth="1"/>
    <col min="8" max="8" width="6.140625" customWidth="1"/>
    <col min="9" max="9" width="9" customWidth="1"/>
    <col min="10" max="10" width="7" customWidth="1"/>
    <col min="11" max="11" width="9.7109375" customWidth="1"/>
    <col min="12" max="12" width="6.5703125" customWidth="1"/>
    <col min="13" max="13" width="6.140625" customWidth="1"/>
    <col min="14" max="14" width="9.28515625" customWidth="1"/>
    <col min="15" max="16" width="7.85546875" customWidth="1"/>
    <col min="17" max="17" width="5.7109375" customWidth="1"/>
  </cols>
  <sheetData>
    <row r="1" spans="1:17" x14ac:dyDescent="0.25">
      <c r="A1" s="30" t="s">
        <v>52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x14ac:dyDescent="0.25">
      <c r="A2" s="32" t="s">
        <v>33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4" t="s">
        <v>34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1:17" x14ac:dyDescent="0.25">
      <c r="A4" s="34" t="s">
        <v>0</v>
      </c>
      <c r="B4" s="34" t="s">
        <v>1</v>
      </c>
      <c r="C4" s="34"/>
      <c r="D4" s="34"/>
      <c r="E4" s="34" t="s">
        <v>2</v>
      </c>
      <c r="F4" s="35"/>
      <c r="G4" s="24" t="s">
        <v>3</v>
      </c>
      <c r="H4" s="24" t="s">
        <v>4</v>
      </c>
      <c r="I4" s="34" t="s">
        <v>5</v>
      </c>
      <c r="J4" s="34"/>
      <c r="K4" s="34"/>
      <c r="L4" s="34" t="s">
        <v>6</v>
      </c>
      <c r="M4" s="34"/>
      <c r="N4" s="34"/>
      <c r="O4" s="34"/>
      <c r="P4" s="24" t="s">
        <v>7</v>
      </c>
      <c r="Q4" s="24" t="s">
        <v>8</v>
      </c>
    </row>
    <row r="5" spans="1:17" ht="119.25" customHeight="1" x14ac:dyDescent="0.25">
      <c r="A5" s="34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25"/>
      <c r="H5" s="25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25"/>
      <c r="Q5" s="25"/>
    </row>
    <row r="6" spans="1:17" x14ac:dyDescent="0.25">
      <c r="A6" s="6" t="s">
        <v>19</v>
      </c>
      <c r="B6" s="10">
        <v>22969</v>
      </c>
      <c r="C6" s="10">
        <v>67104</v>
      </c>
      <c r="D6" s="10">
        <v>43545</v>
      </c>
      <c r="E6" s="10">
        <v>2236891</v>
      </c>
      <c r="F6" s="10">
        <v>5575.2709999999997</v>
      </c>
      <c r="G6" s="10">
        <v>7657.835</v>
      </c>
      <c r="H6" s="9">
        <f>F6/G6*100</f>
        <v>72.804794044269698</v>
      </c>
      <c r="I6" s="9">
        <v>0</v>
      </c>
      <c r="J6" s="9">
        <v>0</v>
      </c>
      <c r="K6" s="9">
        <v>0</v>
      </c>
      <c r="L6" s="9">
        <v>553.37</v>
      </c>
      <c r="M6" s="9">
        <v>0</v>
      </c>
      <c r="N6" s="9">
        <v>0</v>
      </c>
      <c r="O6" s="9">
        <v>553.37</v>
      </c>
      <c r="P6" s="9">
        <v>808.02800000000002</v>
      </c>
      <c r="Q6" s="9">
        <f>O6/P6*100</f>
        <v>68.484012930244987</v>
      </c>
    </row>
    <row r="7" spans="1:17" x14ac:dyDescent="0.25">
      <c r="A7" s="4" t="s">
        <v>29</v>
      </c>
      <c r="B7" s="5" t="s">
        <v>30</v>
      </c>
      <c r="C7" s="5" t="s">
        <v>30</v>
      </c>
      <c r="D7" s="5" t="s">
        <v>30</v>
      </c>
      <c r="E7" s="5" t="s">
        <v>30</v>
      </c>
      <c r="F7" s="5" t="s">
        <v>30</v>
      </c>
      <c r="G7" s="5" t="s">
        <v>30</v>
      </c>
      <c r="H7" s="5" t="s">
        <v>30</v>
      </c>
      <c r="I7" s="5" t="s">
        <v>30</v>
      </c>
      <c r="J7" s="5" t="s">
        <v>30</v>
      </c>
      <c r="K7" s="5" t="s">
        <v>30</v>
      </c>
      <c r="L7" s="5" t="s">
        <v>30</v>
      </c>
      <c r="M7" s="5" t="s">
        <v>30</v>
      </c>
      <c r="N7" s="5" t="s">
        <v>30</v>
      </c>
      <c r="O7" s="5" t="s">
        <v>30</v>
      </c>
      <c r="P7" s="5" t="s">
        <v>30</v>
      </c>
      <c r="Q7" s="5" t="s">
        <v>30</v>
      </c>
    </row>
    <row r="8" spans="1:17" x14ac:dyDescent="0.25">
      <c r="A8" s="7" t="s">
        <v>31</v>
      </c>
      <c r="B8" s="12" t="s">
        <v>30</v>
      </c>
      <c r="C8" s="12" t="s">
        <v>30</v>
      </c>
      <c r="D8" s="12" t="s">
        <v>30</v>
      </c>
      <c r="E8" s="12" t="s">
        <v>30</v>
      </c>
      <c r="F8" s="12" t="s">
        <v>30</v>
      </c>
      <c r="G8" s="12" t="s">
        <v>30</v>
      </c>
      <c r="H8" s="12" t="s">
        <v>30</v>
      </c>
      <c r="I8" s="12" t="s">
        <v>30</v>
      </c>
      <c r="J8" s="12" t="s">
        <v>30</v>
      </c>
      <c r="K8" s="12" t="s">
        <v>30</v>
      </c>
      <c r="L8" s="12" t="s">
        <v>30</v>
      </c>
      <c r="M8" s="12" t="s">
        <v>30</v>
      </c>
      <c r="N8" s="12" t="s">
        <v>30</v>
      </c>
      <c r="O8" s="12" t="s">
        <v>30</v>
      </c>
      <c r="P8" s="12" t="s">
        <v>30</v>
      </c>
      <c r="Q8" s="12" t="s">
        <v>30</v>
      </c>
    </row>
    <row r="9" spans="1:17" x14ac:dyDescent="0.25">
      <c r="A9" s="6" t="s">
        <v>20</v>
      </c>
      <c r="B9" s="10">
        <v>27005</v>
      </c>
      <c r="C9" s="10">
        <v>78142.34</v>
      </c>
      <c r="D9" s="10">
        <v>50792</v>
      </c>
      <c r="E9" s="10">
        <v>2501231</v>
      </c>
      <c r="F9" s="10">
        <v>5935.0379999999996</v>
      </c>
      <c r="G9" s="10">
        <v>8927.2849999999999</v>
      </c>
      <c r="H9" s="14">
        <f>F9/G9*100</f>
        <v>66.482004327183446</v>
      </c>
      <c r="I9" s="9">
        <v>0</v>
      </c>
      <c r="J9" s="9">
        <v>0</v>
      </c>
      <c r="K9" s="9">
        <v>0</v>
      </c>
      <c r="L9" s="9">
        <v>575.70100000000002</v>
      </c>
      <c r="M9" s="9">
        <v>0</v>
      </c>
      <c r="N9" s="9">
        <v>0</v>
      </c>
      <c r="O9" s="9">
        <v>575.70100000000002</v>
      </c>
      <c r="P9" s="9">
        <v>919.41300000000001</v>
      </c>
      <c r="Q9" s="14">
        <f>O9/P9*100</f>
        <v>62.616147476705244</v>
      </c>
    </row>
    <row r="10" spans="1:17" x14ac:dyDescent="0.25">
      <c r="A10" s="4" t="s">
        <v>29</v>
      </c>
      <c r="B10" s="20">
        <v>0.17571509425747747</v>
      </c>
      <c r="C10" s="20">
        <v>0.16449600619933233</v>
      </c>
      <c r="D10" s="20">
        <v>0.16642553680101044</v>
      </c>
      <c r="E10" s="20">
        <v>0.11817294629018579</v>
      </c>
      <c r="F10" s="20">
        <v>6.4529060560464202E-2</v>
      </c>
      <c r="G10" s="20">
        <v>0.16577139622360626</v>
      </c>
      <c r="H10" s="17">
        <f t="shared" ref="H10" si="0">(H9-H6)/H6</f>
        <v>-8.6845788111722624E-2</v>
      </c>
      <c r="I10" s="20" t="s">
        <v>30</v>
      </c>
      <c r="J10" s="20" t="s">
        <v>30</v>
      </c>
      <c r="K10" s="20" t="s">
        <v>30</v>
      </c>
      <c r="L10" s="20">
        <v>4.0354554818656629E-2</v>
      </c>
      <c r="M10" s="20" t="s">
        <v>30</v>
      </c>
      <c r="N10" s="20" t="s">
        <v>30</v>
      </c>
      <c r="O10" s="20">
        <v>4.0354554818656629E-2</v>
      </c>
      <c r="P10" s="20">
        <v>0.13784794586326216</v>
      </c>
      <c r="Q10" s="17">
        <f t="shared" ref="Q10" si="1">(Q9-Q6)/Q6</f>
        <v>-8.5682266597264245E-2</v>
      </c>
    </row>
    <row r="11" spans="1:17" x14ac:dyDescent="0.25">
      <c r="A11" s="7" t="s">
        <v>31</v>
      </c>
      <c r="B11" s="21">
        <v>0.17571509425747744</v>
      </c>
      <c r="C11" s="21">
        <v>0.16449600619933236</v>
      </c>
      <c r="D11" s="21">
        <v>0.16642553680101035</v>
      </c>
      <c r="E11" s="21">
        <v>0.11817294629018571</v>
      </c>
      <c r="F11" s="21">
        <v>6.4529060560464258E-2</v>
      </c>
      <c r="G11" s="21">
        <v>0.16577139622360626</v>
      </c>
      <c r="H11" s="13">
        <f t="shared" ref="H11" si="2">(((H9/H6)^(1/1))-1)</f>
        <v>-8.684578811172261E-2</v>
      </c>
      <c r="I11" s="21" t="s">
        <v>30</v>
      </c>
      <c r="J11" s="21" t="s">
        <v>30</v>
      </c>
      <c r="K11" s="21" t="s">
        <v>30</v>
      </c>
      <c r="L11" s="21">
        <v>4.0354554818656574E-2</v>
      </c>
      <c r="M11" s="21" t="s">
        <v>30</v>
      </c>
      <c r="N11" s="21" t="s">
        <v>30</v>
      </c>
      <c r="O11" s="21">
        <v>4.0354554818656574E-2</v>
      </c>
      <c r="P11" s="21">
        <v>0.13784794586326221</v>
      </c>
      <c r="Q11" s="13">
        <f t="shared" ref="Q11" si="3">(((Q9/Q6)^(1/1))-1)</f>
        <v>-8.5682266597264301E-2</v>
      </c>
    </row>
    <row r="12" spans="1:17" x14ac:dyDescent="0.25">
      <c r="A12" s="6" t="s">
        <v>21</v>
      </c>
      <c r="B12" s="10">
        <v>23945</v>
      </c>
      <c r="C12" s="10">
        <v>72557</v>
      </c>
      <c r="D12" s="10">
        <v>46451</v>
      </c>
      <c r="E12" s="10">
        <v>2379887</v>
      </c>
      <c r="F12" s="10">
        <v>5643.5150000000003</v>
      </c>
      <c r="G12" s="10">
        <v>8144.1450000000004</v>
      </c>
      <c r="H12" s="14">
        <f t="shared" ref="H12:H36" si="4">F12/G12*100</f>
        <v>69.295364952367621</v>
      </c>
      <c r="I12" s="9">
        <v>0</v>
      </c>
      <c r="J12" s="9">
        <v>0</v>
      </c>
      <c r="K12" s="9">
        <v>0</v>
      </c>
      <c r="L12" s="9">
        <v>547.42200000000003</v>
      </c>
      <c r="M12" s="9">
        <v>0</v>
      </c>
      <c r="N12" s="9">
        <v>0</v>
      </c>
      <c r="O12" s="9">
        <v>547.42200000000003</v>
      </c>
      <c r="P12" s="9">
        <v>840.44100000000003</v>
      </c>
      <c r="Q12" s="14">
        <f t="shared" ref="Q12:Q36" si="5">O12/P12*100</f>
        <v>65.135089792144839</v>
      </c>
    </row>
    <row r="13" spans="1:17" x14ac:dyDescent="0.25">
      <c r="A13" s="4" t="s">
        <v>29</v>
      </c>
      <c r="B13" s="20">
        <v>-0.11331234956489539</v>
      </c>
      <c r="C13" s="20">
        <v>-7.147648765061293E-2</v>
      </c>
      <c r="D13" s="20">
        <v>-8.5466215151992445E-2</v>
      </c>
      <c r="E13" s="20">
        <v>-4.8513711848285901E-2</v>
      </c>
      <c r="F13" s="20">
        <v>-4.9118977839737378E-2</v>
      </c>
      <c r="G13" s="20">
        <v>-8.7724319319927552E-2</v>
      </c>
      <c r="H13" s="17">
        <f t="shared" ref="H13" si="6">(H12-H9)/H9</f>
        <v>4.2317626456304581E-2</v>
      </c>
      <c r="I13" s="20" t="s">
        <v>30</v>
      </c>
      <c r="J13" s="20" t="s">
        <v>30</v>
      </c>
      <c r="K13" s="20" t="s">
        <v>30</v>
      </c>
      <c r="L13" s="20">
        <v>-4.9120984677810176E-2</v>
      </c>
      <c r="M13" s="20" t="s">
        <v>30</v>
      </c>
      <c r="N13" s="20" t="s">
        <v>30</v>
      </c>
      <c r="O13" s="20">
        <v>-4.9120984677810176E-2</v>
      </c>
      <c r="P13" s="20">
        <v>-8.5893934499512173E-2</v>
      </c>
      <c r="Q13" s="17">
        <f t="shared" ref="Q13" si="7">(Q12-Q9)/Q9</f>
        <v>4.0228318364311767E-2</v>
      </c>
    </row>
    <row r="14" spans="1:17" x14ac:dyDescent="0.25">
      <c r="A14" s="7" t="s">
        <v>31</v>
      </c>
      <c r="B14" s="21">
        <v>2.1025001901643137E-2</v>
      </c>
      <c r="C14" s="21">
        <v>3.9837449697325278E-2</v>
      </c>
      <c r="D14" s="21">
        <v>3.2828911734173349E-2</v>
      </c>
      <c r="E14" s="21">
        <v>3.1467995711604635E-2</v>
      </c>
      <c r="F14" s="21">
        <v>6.1016256944614877E-3</v>
      </c>
      <c r="G14" s="21">
        <v>3.1263736396877739E-2</v>
      </c>
      <c r="H14" s="13">
        <f t="shared" ref="H14" si="8">(((H12/H6)^(1/2))-1)</f>
        <v>-2.4399297497194938E-2</v>
      </c>
      <c r="I14" s="21" t="s">
        <v>30</v>
      </c>
      <c r="J14" s="21" t="s">
        <v>30</v>
      </c>
      <c r="K14" s="21" t="s">
        <v>30</v>
      </c>
      <c r="L14" s="21">
        <v>-5.3888625840150528E-3</v>
      </c>
      <c r="M14" s="21" t="s">
        <v>30</v>
      </c>
      <c r="N14" s="21" t="s">
        <v>30</v>
      </c>
      <c r="O14" s="21">
        <v>-5.3888625840150528E-3</v>
      </c>
      <c r="P14" s="21">
        <v>1.9859651584902549E-2</v>
      </c>
      <c r="Q14" s="13">
        <f t="shared" ref="Q14" si="9">(((Q12/Q6)^(1/2))-1)</f>
        <v>-2.4756851719430539E-2</v>
      </c>
    </row>
    <row r="15" spans="1:17" x14ac:dyDescent="0.25">
      <c r="A15" s="6" t="s">
        <v>22</v>
      </c>
      <c r="B15" s="10">
        <v>22020</v>
      </c>
      <c r="C15" s="10">
        <v>67809.69</v>
      </c>
      <c r="D15" s="10">
        <v>44340</v>
      </c>
      <c r="E15" s="10">
        <v>2301407</v>
      </c>
      <c r="F15" s="10">
        <v>5549.2709999999997</v>
      </c>
      <c r="G15" s="10">
        <v>7766.6710000000003</v>
      </c>
      <c r="H15" s="14">
        <f t="shared" si="4"/>
        <v>71.449801337020702</v>
      </c>
      <c r="I15" s="9">
        <v>0</v>
      </c>
      <c r="J15" s="9">
        <v>0</v>
      </c>
      <c r="K15" s="9">
        <v>0</v>
      </c>
      <c r="L15" s="9">
        <v>538.28700000000003</v>
      </c>
      <c r="M15" s="9">
        <v>0</v>
      </c>
      <c r="N15" s="9">
        <v>0</v>
      </c>
      <c r="O15" s="9">
        <v>538.28700000000003</v>
      </c>
      <c r="P15" s="9">
        <v>807.05200000000002</v>
      </c>
      <c r="Q15" s="14">
        <f t="shared" si="5"/>
        <v>66.69793272304635</v>
      </c>
    </row>
    <row r="16" spans="1:17" x14ac:dyDescent="0.25">
      <c r="A16" s="4" t="s">
        <v>29</v>
      </c>
      <c r="B16" s="20">
        <v>-8.0392566297765714E-2</v>
      </c>
      <c r="C16" s="20">
        <v>-6.5428697437876396E-2</v>
      </c>
      <c r="D16" s="20">
        <v>-4.5445738520161032E-2</v>
      </c>
      <c r="E16" s="20">
        <v>-3.2976355600076813E-2</v>
      </c>
      <c r="F16" s="20">
        <v>-1.6699521486166085E-2</v>
      </c>
      <c r="G16" s="20">
        <v>-4.6349125660213583E-2</v>
      </c>
      <c r="H16" s="17">
        <f t="shared" ref="H16" si="10">(H15-H12)/H12</f>
        <v>3.1090627578540093E-2</v>
      </c>
      <c r="I16" s="20" t="s">
        <v>30</v>
      </c>
      <c r="J16" s="20" t="s">
        <v>30</v>
      </c>
      <c r="K16" s="20" t="s">
        <v>30</v>
      </c>
      <c r="L16" s="20">
        <v>-1.6687308876881073E-2</v>
      </c>
      <c r="M16" s="20" t="s">
        <v>30</v>
      </c>
      <c r="N16" s="20" t="s">
        <v>30</v>
      </c>
      <c r="O16" s="20">
        <v>-1.6687308876881073E-2</v>
      </c>
      <c r="P16" s="20">
        <v>-3.9727952348826402E-2</v>
      </c>
      <c r="Q16" s="17">
        <f t="shared" ref="Q16" si="11">(Q15-Q12)/Q12</f>
        <v>2.3993870828899758E-2</v>
      </c>
    </row>
    <row r="17" spans="1:17" x14ac:dyDescent="0.25">
      <c r="A17" s="7" t="s">
        <v>31</v>
      </c>
      <c r="B17" s="21">
        <v>-1.3966336160918802E-2</v>
      </c>
      <c r="C17" s="21">
        <v>3.4932373044658238E-3</v>
      </c>
      <c r="D17" s="21">
        <v>6.0489944026569376E-3</v>
      </c>
      <c r="E17" s="21">
        <v>9.5229641547269761E-3</v>
      </c>
      <c r="F17" s="21">
        <v>-1.5569061790078331E-3</v>
      </c>
      <c r="G17" s="21">
        <v>4.7151893896191233E-3</v>
      </c>
      <c r="H17" s="13">
        <f t="shared" ref="H17" si="12">(((H15/H6)^(1/3))-1)</f>
        <v>-6.2426602432849032E-3</v>
      </c>
      <c r="I17" s="21" t="s">
        <v>30</v>
      </c>
      <c r="J17" s="21" t="s">
        <v>30</v>
      </c>
      <c r="K17" s="21" t="s">
        <v>30</v>
      </c>
      <c r="L17" s="21">
        <v>-9.1693627595502702E-3</v>
      </c>
      <c r="M17" s="21" t="s">
        <v>30</v>
      </c>
      <c r="N17" s="21" t="s">
        <v>30</v>
      </c>
      <c r="O17" s="21">
        <v>-9.1693627595502702E-3</v>
      </c>
      <c r="P17" s="21">
        <v>-4.0278852844544133E-4</v>
      </c>
      <c r="Q17" s="13">
        <f t="shared" ref="Q17" si="13">(((Q15/Q6)^(1/3))-1)</f>
        <v>-8.7701067294886359E-3</v>
      </c>
    </row>
    <row r="18" spans="1:17" x14ac:dyDescent="0.25">
      <c r="A18" s="6" t="s">
        <v>23</v>
      </c>
      <c r="B18" s="10">
        <v>18486</v>
      </c>
      <c r="C18" s="10">
        <v>58338</v>
      </c>
      <c r="D18" s="10">
        <v>37349</v>
      </c>
      <c r="E18" s="10">
        <v>2164153</v>
      </c>
      <c r="F18" s="10">
        <v>5236.4549999999999</v>
      </c>
      <c r="G18" s="10">
        <v>6947.1679999999997</v>
      </c>
      <c r="H18" s="14">
        <f t="shared" si="4"/>
        <v>75.375390374898089</v>
      </c>
      <c r="I18" s="9">
        <v>0</v>
      </c>
      <c r="J18" s="9">
        <v>0</v>
      </c>
      <c r="K18" s="9">
        <v>0</v>
      </c>
      <c r="L18" s="9">
        <v>507.94397855524659</v>
      </c>
      <c r="M18" s="9">
        <v>0</v>
      </c>
      <c r="N18" s="9">
        <v>0</v>
      </c>
      <c r="O18" s="9">
        <v>507.94397855524659</v>
      </c>
      <c r="P18" s="9">
        <v>719.90297664117952</v>
      </c>
      <c r="Q18" s="14">
        <f t="shared" si="5"/>
        <v>70.557282722338371</v>
      </c>
    </row>
    <row r="19" spans="1:17" x14ac:dyDescent="0.25">
      <c r="A19" s="4" t="s">
        <v>29</v>
      </c>
      <c r="B19" s="22">
        <v>-0.16049046321525887</v>
      </c>
      <c r="C19" s="22">
        <v>-0.13968047929433097</v>
      </c>
      <c r="D19" s="22">
        <v>-0.15766801984663961</v>
      </c>
      <c r="E19" s="22">
        <v>-5.963916856079781E-2</v>
      </c>
      <c r="F19" s="22">
        <v>-5.6370647603982547E-2</v>
      </c>
      <c r="G19" s="22">
        <v>-0.10551534885409727</v>
      </c>
      <c r="H19" s="17">
        <f t="shared" ref="H19" si="14">(H18-H15)/H15</f>
        <v>5.4941916764202375E-2</v>
      </c>
      <c r="I19" s="22" t="s">
        <v>30</v>
      </c>
      <c r="J19" s="22" t="s">
        <v>30</v>
      </c>
      <c r="K19" s="22" t="s">
        <v>30</v>
      </c>
      <c r="L19" s="22">
        <v>-5.6369597342595015E-2</v>
      </c>
      <c r="M19" s="22" t="s">
        <v>30</v>
      </c>
      <c r="N19" s="22" t="s">
        <v>30</v>
      </c>
      <c r="O19" s="22">
        <v>-5.6369597342595015E-2</v>
      </c>
      <c r="P19" s="22">
        <v>-0.10798439674125149</v>
      </c>
      <c r="Q19" s="17">
        <f t="shared" ref="Q19" si="15">(Q18-Q15)/Q15</f>
        <v>5.786311271921158E-2</v>
      </c>
    </row>
    <row r="20" spans="1:17" x14ac:dyDescent="0.25">
      <c r="A20" s="7" t="s">
        <v>31</v>
      </c>
      <c r="B20" s="21">
        <v>-5.2835929563985751E-2</v>
      </c>
      <c r="C20" s="21">
        <v>-3.4392163126895636E-2</v>
      </c>
      <c r="D20" s="21">
        <v>-3.7645301844429824E-2</v>
      </c>
      <c r="E20" s="21">
        <v>-8.2304167383971949E-3</v>
      </c>
      <c r="F20" s="21">
        <v>-1.5551847265807495E-2</v>
      </c>
      <c r="G20" s="21">
        <v>-2.4054762295087961E-2</v>
      </c>
      <c r="H20" s="13">
        <f t="shared" ref="H20" si="16">(((H18/H6)^(1/4))-1)</f>
        <v>8.7124919521881505E-3</v>
      </c>
      <c r="I20" s="21" t="s">
        <v>30</v>
      </c>
      <c r="J20" s="21" t="s">
        <v>30</v>
      </c>
      <c r="K20" s="21" t="s">
        <v>30</v>
      </c>
      <c r="L20" s="21">
        <v>-2.1186272926242977E-2</v>
      </c>
      <c r="M20" s="21" t="s">
        <v>30</v>
      </c>
      <c r="N20" s="21" t="s">
        <v>30</v>
      </c>
      <c r="O20" s="21">
        <v>-2.1186272926242977E-2</v>
      </c>
      <c r="P20" s="21">
        <v>-2.8457307092556117E-2</v>
      </c>
      <c r="Q20" s="13">
        <f t="shared" ref="Q20" si="17">(((Q18/Q6)^(1/4))-1)</f>
        <v>7.4840089060355108E-3</v>
      </c>
    </row>
    <row r="21" spans="1:17" x14ac:dyDescent="0.25">
      <c r="A21" s="6" t="s">
        <v>24</v>
      </c>
      <c r="B21" s="10">
        <v>20889</v>
      </c>
      <c r="C21" s="10">
        <v>67283</v>
      </c>
      <c r="D21" s="10">
        <v>43654.671000000002</v>
      </c>
      <c r="E21" s="10">
        <v>2668193</v>
      </c>
      <c r="F21" s="10">
        <v>6396.3008899999995</v>
      </c>
      <c r="G21" s="10">
        <v>8119.8387480000001</v>
      </c>
      <c r="H21" s="14">
        <f t="shared" si="4"/>
        <v>78.773742786154159</v>
      </c>
      <c r="I21" s="9">
        <v>0</v>
      </c>
      <c r="J21" s="9">
        <v>0</v>
      </c>
      <c r="K21" s="9">
        <v>0</v>
      </c>
      <c r="L21" s="9">
        <v>620.45056546724231</v>
      </c>
      <c r="M21" s="9">
        <v>0</v>
      </c>
      <c r="N21" s="9">
        <v>0</v>
      </c>
      <c r="O21" s="9">
        <v>620.45056546724231</v>
      </c>
      <c r="P21" s="9">
        <v>842.99393196081405</v>
      </c>
      <c r="Q21" s="14">
        <f t="shared" si="5"/>
        <v>73.60083411562249</v>
      </c>
    </row>
    <row r="22" spans="1:17" x14ac:dyDescent="0.25">
      <c r="A22" s="4" t="s">
        <v>29</v>
      </c>
      <c r="B22" s="22">
        <v>0.1299902629016553</v>
      </c>
      <c r="C22" s="22">
        <v>0.15333059069560148</v>
      </c>
      <c r="D22" s="22">
        <v>0.1688310530402421</v>
      </c>
      <c r="E22" s="22">
        <v>0.23290405068403205</v>
      </c>
      <c r="F22" s="22">
        <v>0.22149448243133946</v>
      </c>
      <c r="G22" s="22">
        <v>0.16879838633526648</v>
      </c>
      <c r="H22" s="17">
        <f t="shared" ref="H22" si="18">(H21-H18)/H18</f>
        <v>4.5085702300890602E-2</v>
      </c>
      <c r="I22" s="22" t="s">
        <v>30</v>
      </c>
      <c r="J22" s="22" t="s">
        <v>30</v>
      </c>
      <c r="K22" s="22" t="s">
        <v>30</v>
      </c>
      <c r="L22" s="22">
        <v>0.22149408529657161</v>
      </c>
      <c r="M22" s="22" t="s">
        <v>30</v>
      </c>
      <c r="N22" s="22" t="s">
        <v>30</v>
      </c>
      <c r="O22" s="22">
        <v>0.22149408529657161</v>
      </c>
      <c r="P22" s="22">
        <v>0.17098270088274217</v>
      </c>
      <c r="Q22" s="17">
        <f t="shared" ref="Q22" si="19">(Q21-Q18)/Q18</f>
        <v>4.3135892934841345E-2</v>
      </c>
    </row>
    <row r="23" spans="1:17" x14ac:dyDescent="0.25">
      <c r="A23" s="7" t="s">
        <v>31</v>
      </c>
      <c r="B23" s="21">
        <v>-1.8805483536675438E-2</v>
      </c>
      <c r="C23" s="21">
        <v>5.3293190280623293E-4</v>
      </c>
      <c r="D23" s="21">
        <v>5.0320671103798453E-4</v>
      </c>
      <c r="E23" s="21">
        <v>3.5892010861201307E-2</v>
      </c>
      <c r="F23" s="21">
        <v>2.785672243889481E-2</v>
      </c>
      <c r="G23" s="21">
        <v>1.1785101202887782E-2</v>
      </c>
      <c r="H23" s="13">
        <f t="shared" ref="H23" si="20">(((H21/H6)^(1/5))-1)</f>
        <v>1.5884421718505015E-2</v>
      </c>
      <c r="I23" s="21" t="s">
        <v>30</v>
      </c>
      <c r="J23" s="21" t="s">
        <v>30</v>
      </c>
      <c r="K23" s="21" t="s">
        <v>30</v>
      </c>
      <c r="L23" s="21">
        <v>2.3147658651157643E-2</v>
      </c>
      <c r="M23" s="21" t="s">
        <v>30</v>
      </c>
      <c r="N23" s="21" t="s">
        <v>30</v>
      </c>
      <c r="O23" s="21">
        <v>2.3147658651157643E-2</v>
      </c>
      <c r="P23" s="21">
        <v>8.5086038287034427E-3</v>
      </c>
      <c r="Q23" s="13">
        <f t="shared" ref="Q23" si="21">(((Q21/Q6)^(1/5))-1)</f>
        <v>1.4515547777062654E-2</v>
      </c>
    </row>
    <row r="24" spans="1:17" x14ac:dyDescent="0.25">
      <c r="A24" s="6" t="s">
        <v>25</v>
      </c>
      <c r="B24" s="10">
        <v>19524</v>
      </c>
      <c r="C24" s="10">
        <v>66620</v>
      </c>
      <c r="D24" s="10">
        <v>43891</v>
      </c>
      <c r="E24" s="10">
        <v>2583255</v>
      </c>
      <c r="F24" s="10">
        <v>6639.1989999999996</v>
      </c>
      <c r="G24" s="10">
        <v>8160.7849999999999</v>
      </c>
      <c r="H24" s="14">
        <f t="shared" si="4"/>
        <v>81.354906421379809</v>
      </c>
      <c r="I24" s="9">
        <v>0</v>
      </c>
      <c r="J24" s="9">
        <v>0</v>
      </c>
      <c r="K24" s="9">
        <v>0</v>
      </c>
      <c r="L24" s="9">
        <v>529.77085</v>
      </c>
      <c r="M24" s="9">
        <v>11.570879999999999</v>
      </c>
      <c r="N24" s="9">
        <v>0.49462</v>
      </c>
      <c r="O24" s="9">
        <v>541.36682000000008</v>
      </c>
      <c r="P24" s="9">
        <v>659.40926999999999</v>
      </c>
      <c r="Q24" s="14">
        <f t="shared" si="5"/>
        <v>82.098757877637979</v>
      </c>
    </row>
    <row r="25" spans="1:17" x14ac:dyDescent="0.25">
      <c r="A25" s="4" t="s">
        <v>29</v>
      </c>
      <c r="B25" s="22">
        <v>-6.5345397098951596E-2</v>
      </c>
      <c r="C25" s="22">
        <v>-9.8539006881381633E-3</v>
      </c>
      <c r="D25" s="22">
        <v>5.4136016739193358E-3</v>
      </c>
      <c r="E25" s="22">
        <v>-3.1833529283676255E-2</v>
      </c>
      <c r="F25" s="22">
        <v>3.7974778575496332E-2</v>
      </c>
      <c r="G25" s="22">
        <v>5.0427420138220375E-3</v>
      </c>
      <c r="H25" s="17">
        <f t="shared" ref="H25" si="22">(H24-H21)/H21</f>
        <v>3.2766802032406846E-2</v>
      </c>
      <c r="I25" s="22" t="s">
        <v>30</v>
      </c>
      <c r="J25" s="22" t="s">
        <v>30</v>
      </c>
      <c r="K25" s="22" t="s">
        <v>30</v>
      </c>
      <c r="L25" s="22">
        <v>-0.1461513946706684</v>
      </c>
      <c r="M25" s="22" t="s">
        <v>30</v>
      </c>
      <c r="N25" s="22" t="s">
        <v>30</v>
      </c>
      <c r="O25" s="22">
        <v>-0.12746179932592486</v>
      </c>
      <c r="P25" s="22">
        <v>-0.21777696730721882</v>
      </c>
      <c r="Q25" s="17">
        <f t="shared" ref="Q25" si="23">(Q24-Q21)/Q21</f>
        <v>0.11545961216507086</v>
      </c>
    </row>
    <row r="26" spans="1:17" x14ac:dyDescent="0.25">
      <c r="A26" s="7" t="s">
        <v>31</v>
      </c>
      <c r="B26" s="21">
        <v>-2.6720031181338366E-2</v>
      </c>
      <c r="C26" s="21">
        <v>-1.2057428329348419E-3</v>
      </c>
      <c r="D26" s="21">
        <v>1.3199372729457703E-3</v>
      </c>
      <c r="E26" s="21">
        <v>2.4284048622816634E-2</v>
      </c>
      <c r="F26" s="21">
        <v>2.953618974653649E-2</v>
      </c>
      <c r="G26" s="21">
        <v>1.0658241772640631E-2</v>
      </c>
      <c r="H26" s="13">
        <f t="shared" ref="H26" si="24">(((H24/H6)^(1/6))-1)</f>
        <v>1.8678864124023642E-2</v>
      </c>
      <c r="I26" s="21" t="s">
        <v>30</v>
      </c>
      <c r="J26" s="21" t="s">
        <v>30</v>
      </c>
      <c r="K26" s="21" t="s">
        <v>30</v>
      </c>
      <c r="L26" s="21">
        <v>-7.2373997982041471E-3</v>
      </c>
      <c r="M26" s="21" t="s">
        <v>30</v>
      </c>
      <c r="N26" s="21" t="s">
        <v>30</v>
      </c>
      <c r="O26" s="21">
        <v>-3.6482897271954418E-3</v>
      </c>
      <c r="P26" s="21">
        <v>-3.3308040581295106E-2</v>
      </c>
      <c r="Q26" s="13">
        <f t="shared" ref="Q26" si="25">(((Q24/Q6)^(1/6))-1)</f>
        <v>3.0681698099500831E-2</v>
      </c>
    </row>
    <row r="27" spans="1:17" x14ac:dyDescent="0.25">
      <c r="A27" s="6" t="s">
        <v>26</v>
      </c>
      <c r="B27" s="10">
        <v>20101</v>
      </c>
      <c r="C27" s="10">
        <v>70395.48000000001</v>
      </c>
      <c r="D27" s="10">
        <v>46938</v>
      </c>
      <c r="E27" s="10">
        <v>2784008</v>
      </c>
      <c r="F27" s="10">
        <v>7189.0640000000003</v>
      </c>
      <c r="G27" s="10">
        <v>8729.6020000000008</v>
      </c>
      <c r="H27" s="14">
        <f t="shared" si="4"/>
        <v>82.352712070951227</v>
      </c>
      <c r="I27" s="9">
        <v>4032.6599999999994</v>
      </c>
      <c r="J27" s="9">
        <v>2.5120000000000005</v>
      </c>
      <c r="K27" s="9">
        <v>4035.1719999999991</v>
      </c>
      <c r="L27" s="9">
        <v>658.18547999999998</v>
      </c>
      <c r="M27" s="9">
        <v>13.940390000000003</v>
      </c>
      <c r="N27" s="9">
        <v>0.12473000000000001</v>
      </c>
      <c r="O27" s="9">
        <v>672.15069999999992</v>
      </c>
      <c r="P27" s="9">
        <v>817.54653999999994</v>
      </c>
      <c r="Q27" s="14">
        <f t="shared" si="5"/>
        <v>82.215588607347044</v>
      </c>
    </row>
    <row r="28" spans="1:17" x14ac:dyDescent="0.25">
      <c r="A28" s="4" t="s">
        <v>29</v>
      </c>
      <c r="B28" s="22">
        <v>2.955337021102233E-2</v>
      </c>
      <c r="C28" s="22">
        <v>5.667187030921661E-2</v>
      </c>
      <c r="D28" s="22">
        <v>6.9421977170718366E-2</v>
      </c>
      <c r="E28" s="22">
        <v>7.7713195174305291E-2</v>
      </c>
      <c r="F28" s="22">
        <v>8.2820984880856971E-2</v>
      </c>
      <c r="G28" s="22">
        <v>6.9701260356693745E-2</v>
      </c>
      <c r="H28" s="17">
        <f t="shared" ref="H28" si="26">(H27-H24)/H24</f>
        <v>1.2264849084863532E-2</v>
      </c>
      <c r="I28" s="22" t="s">
        <v>30</v>
      </c>
      <c r="J28" s="22" t="s">
        <v>30</v>
      </c>
      <c r="K28" s="22" t="s">
        <v>30</v>
      </c>
      <c r="L28" s="22">
        <v>0.24239655692645223</v>
      </c>
      <c r="M28" s="22">
        <v>0.20478217732791315</v>
      </c>
      <c r="N28" s="22">
        <v>-0.74782661437062792</v>
      </c>
      <c r="O28" s="22">
        <v>0.24158089333956562</v>
      </c>
      <c r="P28" s="22">
        <v>0.23981657097419928</v>
      </c>
      <c r="Q28" s="17">
        <f t="shared" ref="Q28" si="27">(Q27-Q24)/Q24</f>
        <v>1.4230511243932867E-3</v>
      </c>
    </row>
    <row r="29" spans="1:17" x14ac:dyDescent="0.25">
      <c r="A29" s="7" t="s">
        <v>31</v>
      </c>
      <c r="B29" s="21">
        <v>-1.8873327865870149E-2</v>
      </c>
      <c r="C29" s="21">
        <v>6.8642232147919646E-3</v>
      </c>
      <c r="D29" s="21">
        <v>1.077661036771338E-2</v>
      </c>
      <c r="E29" s="21">
        <v>3.1751464073276559E-2</v>
      </c>
      <c r="F29" s="21">
        <v>3.6984674985037991E-2</v>
      </c>
      <c r="G29" s="21">
        <v>1.8889108625396833E-2</v>
      </c>
      <c r="H29" s="13">
        <f t="shared" ref="H29" si="28">(((H27/H6)^(1/7))-1)</f>
        <v>1.7760094014602101E-2</v>
      </c>
      <c r="I29" s="21" t="s">
        <v>30</v>
      </c>
      <c r="J29" s="21" t="s">
        <v>30</v>
      </c>
      <c r="K29" s="21" t="s">
        <v>30</v>
      </c>
      <c r="L29" s="21">
        <v>2.5089564374617845E-2</v>
      </c>
      <c r="M29" s="21" t="s">
        <v>30</v>
      </c>
      <c r="N29" s="21" t="s">
        <v>30</v>
      </c>
      <c r="O29" s="21">
        <v>2.8168832985345338E-2</v>
      </c>
      <c r="P29" s="21">
        <v>1.6744173350515812E-3</v>
      </c>
      <c r="Q29" s="13">
        <f t="shared" ref="Q29" si="29">(((Q27/Q6)^(1/7))-1)</f>
        <v>2.6450127098964771E-2</v>
      </c>
    </row>
    <row r="30" spans="1:17" x14ac:dyDescent="0.25">
      <c r="A30" s="6" t="s">
        <v>27</v>
      </c>
      <c r="B30" s="10">
        <v>25963</v>
      </c>
      <c r="C30" s="10">
        <v>93964</v>
      </c>
      <c r="D30" s="10">
        <v>62227.070000000007</v>
      </c>
      <c r="E30" s="10">
        <v>3420763</v>
      </c>
      <c r="F30" s="10">
        <v>8786.464320000001</v>
      </c>
      <c r="G30" s="10">
        <v>11574.16136</v>
      </c>
      <c r="H30" s="14">
        <f t="shared" si="4"/>
        <v>75.914479215451351</v>
      </c>
      <c r="I30" s="9">
        <v>10567.600000000002</v>
      </c>
      <c r="J30" s="9">
        <v>9.8050000000000015</v>
      </c>
      <c r="K30" s="9">
        <v>10577.405000000001</v>
      </c>
      <c r="L30" s="9">
        <v>809.24037198999997</v>
      </c>
      <c r="M30" s="9">
        <v>26.899709999999999</v>
      </c>
      <c r="N30" s="19">
        <v>2.2650000000000007E-2</v>
      </c>
      <c r="O30" s="9">
        <v>836.16273199</v>
      </c>
      <c r="P30" s="9">
        <v>1079.7825004500003</v>
      </c>
      <c r="Q30" s="14">
        <f t="shared" si="5"/>
        <v>77.438070318932603</v>
      </c>
    </row>
    <row r="31" spans="1:17" x14ac:dyDescent="0.25">
      <c r="A31" s="4" t="s">
        <v>29</v>
      </c>
      <c r="B31" s="22">
        <v>0.29162728222476492</v>
      </c>
      <c r="C31" s="22">
        <v>0.33480160942151382</v>
      </c>
      <c r="D31" s="22">
        <v>0.32572904682773035</v>
      </c>
      <c r="E31" s="22">
        <v>0.22871881115284151</v>
      </c>
      <c r="F31" s="22">
        <v>0.22219865061710406</v>
      </c>
      <c r="G31" s="22">
        <v>0.32585212475895226</v>
      </c>
      <c r="H31" s="17">
        <f t="shared" ref="H31" si="30">(H30-H27)/H27</f>
        <v>-7.8178759309748019E-2</v>
      </c>
      <c r="I31" s="22">
        <v>1.6205035882023289</v>
      </c>
      <c r="J31" s="22">
        <v>2.9032643312101909</v>
      </c>
      <c r="K31" s="22">
        <v>1.6213021402805143</v>
      </c>
      <c r="L31" s="22">
        <v>0.22950201209239679</v>
      </c>
      <c r="M31" s="22">
        <v>0.92962392013422823</v>
      </c>
      <c r="N31" s="22">
        <v>-0.81840776076324862</v>
      </c>
      <c r="O31" s="22">
        <v>0.24401080291964303</v>
      </c>
      <c r="P31" s="22">
        <v>0.32075967253191523</v>
      </c>
      <c r="Q31" s="17">
        <f t="shared" ref="Q31" si="31">(Q30-Q27)/Q27</f>
        <v>-5.810964038987014E-2</v>
      </c>
    </row>
    <row r="32" spans="1:17" x14ac:dyDescent="0.25">
      <c r="A32" s="7" t="s">
        <v>31</v>
      </c>
      <c r="B32" s="21">
        <v>1.5433759895763233E-2</v>
      </c>
      <c r="C32" s="21">
        <v>4.2981573914989912E-2</v>
      </c>
      <c r="D32" s="21">
        <v>4.5635049269946437E-2</v>
      </c>
      <c r="E32" s="21">
        <v>5.4532018106743019E-2</v>
      </c>
      <c r="F32" s="21">
        <v>5.8506479772726383E-2</v>
      </c>
      <c r="G32" s="21">
        <v>5.2986833989683069E-2</v>
      </c>
      <c r="H32" s="13">
        <f t="shared" ref="H32" si="32">(((H30/H6)^(1/8))-1)</f>
        <v>5.2418943949470442E-3</v>
      </c>
      <c r="I32" s="21" t="s">
        <v>30</v>
      </c>
      <c r="J32" s="21" t="s">
        <v>30</v>
      </c>
      <c r="K32" s="21" t="s">
        <v>30</v>
      </c>
      <c r="L32" s="21">
        <v>4.8655264051165048E-2</v>
      </c>
      <c r="M32" s="21" t="s">
        <v>30</v>
      </c>
      <c r="N32" s="21" t="s">
        <v>30</v>
      </c>
      <c r="O32" s="21">
        <v>5.2954001867238087E-2</v>
      </c>
      <c r="P32" s="21">
        <v>3.6904440445864273E-2</v>
      </c>
      <c r="Q32" s="13">
        <f t="shared" ref="Q32" si="33">(((Q30/Q6)^(1/8))-1)</f>
        <v>1.5478341875431179E-2</v>
      </c>
    </row>
    <row r="33" spans="1:17" x14ac:dyDescent="0.25">
      <c r="A33" s="6" t="s">
        <v>28</v>
      </c>
      <c r="B33" s="10">
        <v>28850</v>
      </c>
      <c r="C33" s="10">
        <v>105697.1</v>
      </c>
      <c r="D33" s="10">
        <v>70943.489999999991</v>
      </c>
      <c r="E33" s="10">
        <v>3889643</v>
      </c>
      <c r="F33" s="10">
        <v>10054.173306000001</v>
      </c>
      <c r="G33" s="10">
        <v>13195.490330000004</v>
      </c>
      <c r="H33" s="14">
        <f t="shared" si="4"/>
        <v>76.194010639694028</v>
      </c>
      <c r="I33" s="9">
        <v>14591.307999999997</v>
      </c>
      <c r="J33" s="9">
        <v>8.6300000000000008</v>
      </c>
      <c r="K33" s="9">
        <v>14599.938</v>
      </c>
      <c r="L33" s="9">
        <v>960.70587999999987</v>
      </c>
      <c r="M33" s="9">
        <v>38.34843</v>
      </c>
      <c r="N33" s="19">
        <v>2.0920100000000001E-2</v>
      </c>
      <c r="O33" s="9">
        <v>999.07523010000011</v>
      </c>
      <c r="P33" s="9">
        <v>1276.4202099999998</v>
      </c>
      <c r="Q33" s="14">
        <f t="shared" si="5"/>
        <v>78.271655546726279</v>
      </c>
    </row>
    <row r="34" spans="1:17" x14ac:dyDescent="0.25">
      <c r="A34" s="4" t="s">
        <v>29</v>
      </c>
      <c r="B34" s="22">
        <v>0.11119670300042368</v>
      </c>
      <c r="C34" s="22">
        <v>0.12486803456642975</v>
      </c>
      <c r="D34" s="22">
        <v>0.14007440813138047</v>
      </c>
      <c r="E34" s="22">
        <v>0.13706883522769628</v>
      </c>
      <c r="F34" s="22">
        <v>0.14427976257917582</v>
      </c>
      <c r="G34" s="22">
        <v>0.14008176658079735</v>
      </c>
      <c r="H34" s="17">
        <f t="shared" ref="H34" si="34">(H33-H30)/H30</f>
        <v>3.6821885249234796E-3</v>
      </c>
      <c r="I34" s="22">
        <v>0.3807589235020245</v>
      </c>
      <c r="J34" s="22">
        <v>-0.11983681795002556</v>
      </c>
      <c r="K34" s="22">
        <v>0.38029488329131761</v>
      </c>
      <c r="L34" s="22">
        <v>0.18716998465799678</v>
      </c>
      <c r="M34" s="22">
        <v>0.42560756231201013</v>
      </c>
      <c r="N34" s="22">
        <v>-7.6375275938190101E-2</v>
      </c>
      <c r="O34" s="22">
        <v>0.19483348381514384</v>
      </c>
      <c r="P34" s="22">
        <v>0.18210862786538082</v>
      </c>
      <c r="Q34" s="17">
        <f t="shared" ref="Q34" si="35">(Q33-Q30)/Q30</f>
        <v>1.0764540288265368E-2</v>
      </c>
    </row>
    <row r="35" spans="1:17" x14ac:dyDescent="0.25">
      <c r="A35" s="7" t="s">
        <v>31</v>
      </c>
      <c r="B35" s="21">
        <v>2.5652904956302569E-2</v>
      </c>
      <c r="C35" s="21">
        <v>5.1777440543956832E-2</v>
      </c>
      <c r="D35" s="21">
        <v>5.5729591964102987E-2</v>
      </c>
      <c r="E35" s="21">
        <v>6.3398644224764267E-2</v>
      </c>
      <c r="F35" s="21">
        <v>6.7710161798867352E-2</v>
      </c>
      <c r="G35" s="21">
        <v>6.2325791020266585E-2</v>
      </c>
      <c r="H35" s="13">
        <f t="shared" ref="H35" si="36">(((H33/H6)^(1/9))-1)</f>
        <v>5.0684741198174788E-3</v>
      </c>
      <c r="I35" s="21" t="s">
        <v>30</v>
      </c>
      <c r="J35" s="21" t="s">
        <v>30</v>
      </c>
      <c r="K35" s="21" t="s">
        <v>30</v>
      </c>
      <c r="L35" s="21">
        <v>6.3210914942205321E-2</v>
      </c>
      <c r="M35" s="21" t="s">
        <v>30</v>
      </c>
      <c r="N35" s="21" t="s">
        <v>30</v>
      </c>
      <c r="O35" s="21">
        <v>6.7847353461478965E-2</v>
      </c>
      <c r="P35" s="21">
        <v>5.2114555903985949E-2</v>
      </c>
      <c r="Q35" s="13">
        <f t="shared" ref="Q35" si="37">(((Q33/Q6)^(1/9))-1)</f>
        <v>1.4953502419682074E-2</v>
      </c>
    </row>
    <row r="36" spans="1:17" x14ac:dyDescent="0.25">
      <c r="A36" s="6" t="s">
        <v>32</v>
      </c>
      <c r="B36" s="10">
        <v>30851</v>
      </c>
      <c r="C36" s="10">
        <v>115278.77</v>
      </c>
      <c r="D36" s="10">
        <v>76177.896999999997</v>
      </c>
      <c r="E36" s="10">
        <v>4342507</v>
      </c>
      <c r="F36" s="10">
        <v>11291.995884</v>
      </c>
      <c r="G36" s="10">
        <v>14169.085090000002</v>
      </c>
      <c r="H36" s="14">
        <f t="shared" si="4"/>
        <v>79.694601396454729</v>
      </c>
      <c r="I36" s="9">
        <v>16628.414999999997</v>
      </c>
      <c r="J36" s="9">
        <v>12.044</v>
      </c>
      <c r="K36" s="9">
        <v>107626.33000000002</v>
      </c>
      <c r="L36" s="9">
        <v>986.9500939699999</v>
      </c>
      <c r="M36" s="9">
        <v>44.424835780999999</v>
      </c>
      <c r="N36" s="9">
        <v>2.5434778538999998</v>
      </c>
      <c r="O36" s="9">
        <v>1031.400369856</v>
      </c>
      <c r="P36" s="9">
        <v>1298.8214877300002</v>
      </c>
      <c r="Q36" s="14">
        <f t="shared" si="5"/>
        <v>79.410479392254103</v>
      </c>
    </row>
    <row r="37" spans="1:17" x14ac:dyDescent="0.25">
      <c r="A37" s="4" t="s">
        <v>29</v>
      </c>
      <c r="B37" s="22">
        <v>6.935875216637781E-2</v>
      </c>
      <c r="C37" s="22">
        <v>9.0652156019417729E-2</v>
      </c>
      <c r="D37" s="22">
        <v>7.378276710097019E-2</v>
      </c>
      <c r="E37" s="22">
        <v>0.11642816577254005</v>
      </c>
      <c r="F37" s="22">
        <v>0.12311530150980264</v>
      </c>
      <c r="G37" s="22">
        <v>7.3782385925176747E-2</v>
      </c>
      <c r="H37" s="17">
        <f t="shared" ref="H37" si="38">(H36-H33)/H33</f>
        <v>4.5943122397300785E-2</v>
      </c>
      <c r="I37" s="22">
        <v>0.13961099306518651</v>
      </c>
      <c r="J37" s="22">
        <v>0.39559675550405554</v>
      </c>
      <c r="K37" s="22">
        <v>6.3716977428260329</v>
      </c>
      <c r="L37" s="22">
        <v>2.7317636454978329E-2</v>
      </c>
      <c r="M37" s="22">
        <v>0.15845253067726628</v>
      </c>
      <c r="N37" s="22">
        <v>120.58057819513289</v>
      </c>
      <c r="O37" s="22">
        <v>3.2355060742287022E-2</v>
      </c>
      <c r="P37" s="22">
        <v>1.7550080729292438E-2</v>
      </c>
      <c r="Q37" s="17">
        <f t="shared" ref="Q37" si="39">(Q36-Q33)/Q33</f>
        <v>1.4549632783070161E-2</v>
      </c>
    </row>
    <row r="38" spans="1:17" x14ac:dyDescent="0.25">
      <c r="A38" s="7" t="s">
        <v>31</v>
      </c>
      <c r="B38" s="21">
        <v>2.9941874786355571E-2</v>
      </c>
      <c r="C38" s="21">
        <v>5.560172809996744E-2</v>
      </c>
      <c r="D38" s="21">
        <v>5.7521166018372982E-2</v>
      </c>
      <c r="E38" s="21">
        <v>6.8586222665625085E-2</v>
      </c>
      <c r="F38" s="21">
        <v>7.3125396322205827E-2</v>
      </c>
      <c r="G38" s="21">
        <v>6.3465928304968555E-2</v>
      </c>
      <c r="H38" s="13">
        <f t="shared" ref="H38" si="40">(((H36/H6)^(1/10))-1)</f>
        <v>9.0830065732649956E-3</v>
      </c>
      <c r="I38" s="21" t="s">
        <v>30</v>
      </c>
      <c r="J38" s="21" t="s">
        <v>30</v>
      </c>
      <c r="K38" s="21" t="s">
        <v>30</v>
      </c>
      <c r="L38" s="21">
        <v>5.956586395669472E-2</v>
      </c>
      <c r="M38" s="21" t="s">
        <v>30</v>
      </c>
      <c r="N38" s="21" t="s">
        <v>30</v>
      </c>
      <c r="O38" s="21">
        <v>6.424389413902265E-2</v>
      </c>
      <c r="P38" s="21">
        <v>4.8605920563060012E-2</v>
      </c>
      <c r="Q38" s="13">
        <f t="shared" ref="Q38" si="41">(((Q36/Q6)^(1/10))-1)</f>
        <v>1.4913108222358362E-2</v>
      </c>
    </row>
    <row r="39" spans="1:17" x14ac:dyDescent="0.25">
      <c r="A39" s="26" t="s">
        <v>35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spans="1:17" ht="26.25" customHeight="1" x14ac:dyDescent="0.25">
      <c r="A40" s="28" t="s">
        <v>53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workbookViewId="0">
      <selection activeCell="A7" sqref="A7"/>
    </sheetView>
  </sheetViews>
  <sheetFormatPr defaultRowHeight="15" x14ac:dyDescent="0.25"/>
  <cols>
    <col min="1" max="1" width="8.140625" customWidth="1"/>
    <col min="2" max="2" width="7.140625" customWidth="1"/>
    <col min="3" max="3" width="8.7109375" customWidth="1"/>
    <col min="4" max="4" width="7.7109375" customWidth="1"/>
    <col min="5" max="5" width="11.140625" customWidth="1"/>
    <col min="6" max="6" width="7.28515625" customWidth="1"/>
    <col min="7" max="7" width="7.42578125" customWidth="1"/>
    <col min="8" max="8" width="6.5703125" customWidth="1"/>
    <col min="14" max="14" width="8.5703125" customWidth="1"/>
    <col min="15" max="15" width="8.42578125" customWidth="1"/>
    <col min="16" max="16" width="8" customWidth="1"/>
    <col min="17" max="17" width="6.85546875" customWidth="1"/>
  </cols>
  <sheetData>
    <row r="1" spans="1:17" x14ac:dyDescent="0.25">
      <c r="A1" s="30" t="s">
        <v>51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x14ac:dyDescent="0.25">
      <c r="A2" s="32" t="s">
        <v>36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4" t="s">
        <v>37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1:17" x14ac:dyDescent="0.25">
      <c r="A4" s="34" t="s">
        <v>0</v>
      </c>
      <c r="B4" s="34" t="s">
        <v>1</v>
      </c>
      <c r="C4" s="34"/>
      <c r="D4" s="34"/>
      <c r="E4" s="34" t="s">
        <v>2</v>
      </c>
      <c r="F4" s="35"/>
      <c r="G4" s="24" t="s">
        <v>3</v>
      </c>
      <c r="H4" s="24" t="s">
        <v>4</v>
      </c>
      <c r="I4" s="34" t="s">
        <v>5</v>
      </c>
      <c r="J4" s="34"/>
      <c r="K4" s="34"/>
      <c r="L4" s="34" t="s">
        <v>6</v>
      </c>
      <c r="M4" s="34"/>
      <c r="N4" s="34"/>
      <c r="O4" s="34"/>
      <c r="P4" s="24" t="s">
        <v>7</v>
      </c>
      <c r="Q4" s="24" t="s">
        <v>8</v>
      </c>
    </row>
    <row r="5" spans="1:17" ht="118.5" customHeight="1" x14ac:dyDescent="0.25">
      <c r="A5" s="34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25"/>
      <c r="H5" s="25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25"/>
      <c r="Q5" s="25"/>
    </row>
    <row r="6" spans="1:17" x14ac:dyDescent="0.25">
      <c r="A6" s="6" t="s">
        <v>19</v>
      </c>
      <c r="B6" s="10">
        <v>9659</v>
      </c>
      <c r="C6" s="10">
        <v>15967</v>
      </c>
      <c r="D6" s="10">
        <v>8670</v>
      </c>
      <c r="E6" s="10">
        <v>1128475</v>
      </c>
      <c r="F6" s="10">
        <v>1038.6990000000001</v>
      </c>
      <c r="G6" s="10">
        <v>1509.8910000000001</v>
      </c>
      <c r="H6" s="9">
        <f>F6/G6*100</f>
        <v>68.792979095842028</v>
      </c>
      <c r="I6" s="9">
        <v>629</v>
      </c>
      <c r="J6" s="9">
        <v>966</v>
      </c>
      <c r="K6" s="9">
        <v>1595</v>
      </c>
      <c r="L6" s="9">
        <v>92.206999999999994</v>
      </c>
      <c r="M6" s="9">
        <v>0.67100000000000004</v>
      </c>
      <c r="N6" s="9">
        <v>0.78600000000000003</v>
      </c>
      <c r="O6" s="9">
        <v>93.664000000000001</v>
      </c>
      <c r="P6" s="9">
        <v>134.39599999999999</v>
      </c>
      <c r="Q6" s="9">
        <f>O6/P6*100</f>
        <v>69.692550373523034</v>
      </c>
    </row>
    <row r="7" spans="1:17" x14ac:dyDescent="0.25">
      <c r="A7" s="4" t="s">
        <v>29</v>
      </c>
      <c r="B7" s="5" t="s">
        <v>30</v>
      </c>
      <c r="C7" s="5" t="s">
        <v>30</v>
      </c>
      <c r="D7" s="5" t="s">
        <v>30</v>
      </c>
      <c r="E7" s="5" t="s">
        <v>30</v>
      </c>
      <c r="F7" s="5" t="s">
        <v>30</v>
      </c>
      <c r="G7" s="5" t="s">
        <v>30</v>
      </c>
      <c r="H7" s="5" t="s">
        <v>30</v>
      </c>
      <c r="I7" s="5" t="s">
        <v>30</v>
      </c>
      <c r="J7" s="5" t="s">
        <v>30</v>
      </c>
      <c r="K7" s="5" t="s">
        <v>30</v>
      </c>
      <c r="L7" s="5" t="s">
        <v>30</v>
      </c>
      <c r="M7" s="5" t="s">
        <v>30</v>
      </c>
      <c r="N7" s="5" t="s">
        <v>30</v>
      </c>
      <c r="O7" s="5" t="s">
        <v>30</v>
      </c>
      <c r="P7" s="5" t="s">
        <v>30</v>
      </c>
      <c r="Q7" s="5" t="s">
        <v>30</v>
      </c>
    </row>
    <row r="8" spans="1:17" x14ac:dyDescent="0.25">
      <c r="A8" s="7" t="s">
        <v>31</v>
      </c>
      <c r="B8" s="12" t="s">
        <v>30</v>
      </c>
      <c r="C8" s="12" t="s">
        <v>30</v>
      </c>
      <c r="D8" s="12" t="s">
        <v>30</v>
      </c>
      <c r="E8" s="12" t="s">
        <v>30</v>
      </c>
      <c r="F8" s="12" t="s">
        <v>30</v>
      </c>
      <c r="G8" s="12" t="s">
        <v>30</v>
      </c>
      <c r="H8" s="12" t="s">
        <v>30</v>
      </c>
      <c r="I8" s="12" t="s">
        <v>30</v>
      </c>
      <c r="J8" s="12" t="s">
        <v>30</v>
      </c>
      <c r="K8" s="12" t="s">
        <v>30</v>
      </c>
      <c r="L8" s="12" t="s">
        <v>30</v>
      </c>
      <c r="M8" s="12" t="s">
        <v>30</v>
      </c>
      <c r="N8" s="12" t="s">
        <v>30</v>
      </c>
      <c r="O8" s="12" t="s">
        <v>30</v>
      </c>
      <c r="P8" s="12" t="s">
        <v>30</v>
      </c>
      <c r="Q8" s="12" t="s">
        <v>30</v>
      </c>
    </row>
    <row r="9" spans="1:17" x14ac:dyDescent="0.25">
      <c r="A9" s="6" t="s">
        <v>20</v>
      </c>
      <c r="B9" s="10">
        <v>18797</v>
      </c>
      <c r="C9" s="10">
        <v>29286</v>
      </c>
      <c r="D9" s="10">
        <v>18077</v>
      </c>
      <c r="E9" s="10">
        <v>2438167</v>
      </c>
      <c r="F9" s="10">
        <v>2398.2429999999999</v>
      </c>
      <c r="G9" s="10">
        <v>3065.9859999999999</v>
      </c>
      <c r="H9" s="14">
        <f>F9/G9*100</f>
        <v>78.220937734223185</v>
      </c>
      <c r="I9" s="9">
        <v>0</v>
      </c>
      <c r="J9" s="9">
        <v>0</v>
      </c>
      <c r="K9" s="9">
        <v>0</v>
      </c>
      <c r="L9" s="9">
        <v>214.15299999999999</v>
      </c>
      <c r="M9" s="9">
        <v>0</v>
      </c>
      <c r="N9" s="9">
        <v>0</v>
      </c>
      <c r="O9" s="9">
        <v>214.15299999999999</v>
      </c>
      <c r="P9" s="9">
        <v>268.58699999999999</v>
      </c>
      <c r="Q9" s="14">
        <f>O9/P9*100</f>
        <v>79.733196320000602</v>
      </c>
    </row>
    <row r="10" spans="1:17" x14ac:dyDescent="0.25">
      <c r="A10" s="4" t="s">
        <v>29</v>
      </c>
      <c r="B10" s="20">
        <v>0.94606066880629469</v>
      </c>
      <c r="C10" s="20">
        <v>0.83415795077347032</v>
      </c>
      <c r="D10" s="20">
        <v>1.0850057670126874</v>
      </c>
      <c r="E10" s="20">
        <v>1.1605857462504707</v>
      </c>
      <c r="F10" s="20">
        <v>1.3088912187265029</v>
      </c>
      <c r="G10" s="20">
        <v>1.0306008844347041</v>
      </c>
      <c r="H10" s="17">
        <f t="shared" ref="H10" si="0">(H9-H6)/H6</f>
        <v>0.13704826803976861</v>
      </c>
      <c r="I10" s="20">
        <v>-1</v>
      </c>
      <c r="J10" s="23" t="s">
        <v>30</v>
      </c>
      <c r="K10" s="20">
        <v>-1</v>
      </c>
      <c r="L10" s="20">
        <v>1.3225243202793715</v>
      </c>
      <c r="M10" s="20">
        <v>-1</v>
      </c>
      <c r="N10" s="23" t="s">
        <v>30</v>
      </c>
      <c r="O10" s="20">
        <v>1.2863960539801844</v>
      </c>
      <c r="P10" s="20">
        <v>0.99847465698383897</v>
      </c>
      <c r="Q10" s="17">
        <f t="shared" ref="Q10" si="1">(Q9-Q6)/Q6</f>
        <v>0.14407057702242046</v>
      </c>
    </row>
    <row r="11" spans="1:17" x14ac:dyDescent="0.25">
      <c r="A11" s="7" t="s">
        <v>31</v>
      </c>
      <c r="B11" s="21">
        <v>0.94606066880629469</v>
      </c>
      <c r="C11" s="21">
        <v>0.83415795077347021</v>
      </c>
      <c r="D11" s="21">
        <v>1.0850057670126874</v>
      </c>
      <c r="E11" s="21">
        <v>1.160585746250471</v>
      </c>
      <c r="F11" s="21">
        <v>1.3088912187265027</v>
      </c>
      <c r="G11" s="21">
        <v>1.0306008844347039</v>
      </c>
      <c r="H11" s="13">
        <f t="shared" ref="H11" si="2">(((H9/H6)^(1/1))-1)</f>
        <v>0.13704826803976866</v>
      </c>
      <c r="I11" s="21">
        <v>-1</v>
      </c>
      <c r="J11" s="21" t="s">
        <v>30</v>
      </c>
      <c r="K11" s="21">
        <v>-1</v>
      </c>
      <c r="L11" s="21">
        <v>1.3225243202793715</v>
      </c>
      <c r="M11" s="21">
        <v>-1</v>
      </c>
      <c r="N11" s="21" t="s">
        <v>30</v>
      </c>
      <c r="O11" s="21">
        <v>1.2863960539801842</v>
      </c>
      <c r="P11" s="21">
        <v>0.99847465698383897</v>
      </c>
      <c r="Q11" s="13">
        <f t="shared" ref="Q11" si="3">(((Q9/Q6)^(1/1))-1)</f>
        <v>0.14407057702242043</v>
      </c>
    </row>
    <row r="12" spans="1:17" x14ac:dyDescent="0.25">
      <c r="A12" s="6" t="s">
        <v>21</v>
      </c>
      <c r="B12" s="10">
        <v>24611</v>
      </c>
      <c r="C12" s="10">
        <v>45637</v>
      </c>
      <c r="D12" s="10">
        <v>23611</v>
      </c>
      <c r="E12" s="10">
        <v>3393984</v>
      </c>
      <c r="F12" s="10">
        <v>3210.9879999999998</v>
      </c>
      <c r="G12" s="10">
        <v>4003.3209999999999</v>
      </c>
      <c r="H12" s="14">
        <f t="shared" ref="H12:H36" si="4">F12/G12*100</f>
        <v>80.208107218981439</v>
      </c>
      <c r="I12" s="9">
        <v>0</v>
      </c>
      <c r="J12" s="9">
        <v>0</v>
      </c>
      <c r="K12" s="9">
        <v>0</v>
      </c>
      <c r="L12" s="9">
        <v>296.971</v>
      </c>
      <c r="M12" s="9">
        <v>0</v>
      </c>
      <c r="N12" s="9">
        <v>0</v>
      </c>
      <c r="O12" s="9">
        <v>296.971</v>
      </c>
      <c r="P12" s="9">
        <v>370.71600000000001</v>
      </c>
      <c r="Q12" s="14">
        <f t="shared" ref="Q12:Q36" si="5">O12/P12*100</f>
        <v>80.107413761477787</v>
      </c>
    </row>
    <row r="13" spans="1:17" x14ac:dyDescent="0.25">
      <c r="A13" s="4" t="s">
        <v>29</v>
      </c>
      <c r="B13" s="20">
        <v>0.30930467627812946</v>
      </c>
      <c r="C13" s="20">
        <v>0.55832138223041727</v>
      </c>
      <c r="D13" s="20">
        <v>0.30613486751120206</v>
      </c>
      <c r="E13" s="20">
        <v>0.39202277776706845</v>
      </c>
      <c r="F13" s="20">
        <v>0.33889184707304471</v>
      </c>
      <c r="G13" s="20">
        <v>0.30572057406654829</v>
      </c>
      <c r="H13" s="17">
        <f t="shared" ref="H13" si="6">(H12-H9)/H9</f>
        <v>2.5404572513694493E-2</v>
      </c>
      <c r="I13" s="20" t="s">
        <v>30</v>
      </c>
      <c r="J13" s="23" t="s">
        <v>30</v>
      </c>
      <c r="K13" s="20" t="s">
        <v>30</v>
      </c>
      <c r="L13" s="20">
        <v>0.38672351076099803</v>
      </c>
      <c r="M13" s="20" t="s">
        <v>30</v>
      </c>
      <c r="N13" s="23" t="s">
        <v>30</v>
      </c>
      <c r="O13" s="20">
        <v>0.38672351076099803</v>
      </c>
      <c r="P13" s="20">
        <v>0.38024550704241095</v>
      </c>
      <c r="Q13" s="17">
        <f t="shared" ref="Q13" si="7">(Q12-Q9)/Q9</f>
        <v>4.6933706253955232E-3</v>
      </c>
    </row>
    <row r="14" spans="1:17" x14ac:dyDescent="0.25">
      <c r="A14" s="7" t="s">
        <v>31</v>
      </c>
      <c r="B14" s="21">
        <v>0.59624131446001161</v>
      </c>
      <c r="C14" s="21">
        <v>0.69062342142720357</v>
      </c>
      <c r="D14" s="21">
        <v>0.65024202202501469</v>
      </c>
      <c r="E14" s="21">
        <v>0.73423890283303095</v>
      </c>
      <c r="F14" s="21">
        <v>0.75822513590593976</v>
      </c>
      <c r="G14" s="21">
        <v>0.62831119646218814</v>
      </c>
      <c r="H14" s="13">
        <f t="shared" ref="H14" si="8">(((H12/H6)^(1/2))-1)</f>
        <v>7.9784466093467898E-2</v>
      </c>
      <c r="I14" s="21">
        <v>-1</v>
      </c>
      <c r="J14" s="21" t="s">
        <v>30</v>
      </c>
      <c r="K14" s="21">
        <v>-1</v>
      </c>
      <c r="L14" s="21">
        <v>0.79463062473747237</v>
      </c>
      <c r="M14" s="21">
        <v>-1</v>
      </c>
      <c r="N14" s="21" t="s">
        <v>30</v>
      </c>
      <c r="O14" s="21">
        <v>0.78061763525061534</v>
      </c>
      <c r="P14" s="21">
        <v>0.66083884415077043</v>
      </c>
      <c r="Q14" s="13">
        <f t="shared" ref="Q14" si="9">(((Q12/Q6)^(1/2))-1)</f>
        <v>7.2119454287625784E-2</v>
      </c>
    </row>
    <row r="15" spans="1:17" x14ac:dyDescent="0.25">
      <c r="A15" s="6" t="s">
        <v>22</v>
      </c>
      <c r="B15" s="10">
        <v>28265</v>
      </c>
      <c r="C15" s="10">
        <v>49852</v>
      </c>
      <c r="D15" s="10">
        <v>26597</v>
      </c>
      <c r="E15" s="10">
        <v>3785881</v>
      </c>
      <c r="F15" s="10">
        <v>3603.8629999999998</v>
      </c>
      <c r="G15" s="10">
        <v>4662.1859999999997</v>
      </c>
      <c r="H15" s="14">
        <f t="shared" si="4"/>
        <v>77.299854617554942</v>
      </c>
      <c r="I15" s="9">
        <v>0</v>
      </c>
      <c r="J15" s="9">
        <v>0</v>
      </c>
      <c r="K15" s="9">
        <v>0</v>
      </c>
      <c r="L15" s="9">
        <v>323.75400000000002</v>
      </c>
      <c r="M15" s="9">
        <v>0</v>
      </c>
      <c r="N15" s="9">
        <v>0</v>
      </c>
      <c r="O15" s="9">
        <v>323.75400000000002</v>
      </c>
      <c r="P15" s="9">
        <v>426.971</v>
      </c>
      <c r="Q15" s="14">
        <f t="shared" si="5"/>
        <v>75.825758658082165</v>
      </c>
    </row>
    <row r="16" spans="1:17" x14ac:dyDescent="0.25">
      <c r="A16" s="4" t="s">
        <v>29</v>
      </c>
      <c r="B16" s="20">
        <v>0.14847019625370769</v>
      </c>
      <c r="C16" s="20">
        <v>9.2359269890658902E-2</v>
      </c>
      <c r="D16" s="20">
        <v>0.12646647748930584</v>
      </c>
      <c r="E16" s="20">
        <v>0.11546813420452189</v>
      </c>
      <c r="F16" s="20">
        <v>0.12235330683266335</v>
      </c>
      <c r="G16" s="20">
        <v>0.16457960778064007</v>
      </c>
      <c r="H16" s="17">
        <f t="shared" ref="H16" si="10">(H15-H12)/H12</f>
        <v>-3.6258835948920785E-2</v>
      </c>
      <c r="I16" s="20" t="s">
        <v>30</v>
      </c>
      <c r="J16" s="23" t="s">
        <v>30</v>
      </c>
      <c r="K16" s="20" t="s">
        <v>30</v>
      </c>
      <c r="L16" s="20">
        <v>9.0187257341625998E-2</v>
      </c>
      <c r="M16" s="20" t="s">
        <v>30</v>
      </c>
      <c r="N16" s="23" t="s">
        <v>30</v>
      </c>
      <c r="O16" s="20">
        <v>9.0187257341625998E-2</v>
      </c>
      <c r="P16" s="20">
        <v>0.15174688980243636</v>
      </c>
      <c r="Q16" s="17">
        <f t="shared" ref="Q16" si="11">(Q15-Q12)/Q12</f>
        <v>-5.3448924417212836E-2</v>
      </c>
    </row>
    <row r="17" spans="1:17" x14ac:dyDescent="0.25">
      <c r="A17" s="7" t="s">
        <v>31</v>
      </c>
      <c r="B17" s="21">
        <v>0.43033887107324964</v>
      </c>
      <c r="C17" s="21">
        <v>0.46157044935889657</v>
      </c>
      <c r="D17" s="21">
        <v>0.45301863867829262</v>
      </c>
      <c r="E17" s="21">
        <v>0.497011048230799</v>
      </c>
      <c r="F17" s="21">
        <v>0.51388488594815063</v>
      </c>
      <c r="G17" s="21">
        <v>0.45617867417089131</v>
      </c>
      <c r="H17" s="13">
        <f t="shared" ref="H17" si="12">(((H15/H6)^(1/3))-1)</f>
        <v>3.9628524164533552E-2</v>
      </c>
      <c r="I17" s="21">
        <v>-1</v>
      </c>
      <c r="J17" s="21" t="s">
        <v>30</v>
      </c>
      <c r="K17" s="21">
        <v>-1</v>
      </c>
      <c r="L17" s="21">
        <v>0.51990723924998439</v>
      </c>
      <c r="M17" s="21">
        <v>-1</v>
      </c>
      <c r="N17" s="21" t="s">
        <v>30</v>
      </c>
      <c r="O17" s="21">
        <v>0.51198499315608559</v>
      </c>
      <c r="P17" s="21">
        <v>0.47006773284825454</v>
      </c>
      <c r="Q17" s="13">
        <f t="shared" ref="Q17" si="13">(((Q15/Q6)^(1/3))-1)</f>
        <v>2.8513829241470612E-2</v>
      </c>
    </row>
    <row r="18" spans="1:17" x14ac:dyDescent="0.25">
      <c r="A18" s="6" t="s">
        <v>23</v>
      </c>
      <c r="B18" s="10">
        <v>33750</v>
      </c>
      <c r="C18" s="10">
        <v>58670.12</v>
      </c>
      <c r="D18" s="10">
        <v>31468</v>
      </c>
      <c r="E18" s="10">
        <v>4386914</v>
      </c>
      <c r="F18" s="10">
        <v>4161.6827069999999</v>
      </c>
      <c r="G18" s="10">
        <v>5538.317</v>
      </c>
      <c r="H18" s="14">
        <f t="shared" si="4"/>
        <v>75.143454356260207</v>
      </c>
      <c r="I18" s="9">
        <v>24485</v>
      </c>
      <c r="J18" s="9">
        <v>0</v>
      </c>
      <c r="K18" s="9">
        <v>24485</v>
      </c>
      <c r="L18" s="9">
        <v>374.55</v>
      </c>
      <c r="M18" s="9">
        <v>26.216999999999999</v>
      </c>
      <c r="N18" s="9">
        <v>0</v>
      </c>
      <c r="O18" s="9">
        <v>400.767</v>
      </c>
      <c r="P18" s="9">
        <v>596.31299999999999</v>
      </c>
      <c r="Q18" s="14">
        <f t="shared" si="5"/>
        <v>67.207490026211076</v>
      </c>
    </row>
    <row r="19" spans="1:17" x14ac:dyDescent="0.25">
      <c r="A19" s="4" t="s">
        <v>29</v>
      </c>
      <c r="B19" s="22">
        <v>0.19405625331682291</v>
      </c>
      <c r="C19" s="22">
        <v>0.1768859825082244</v>
      </c>
      <c r="D19" s="22">
        <v>0.18314095574688874</v>
      </c>
      <c r="E19" s="22">
        <v>0.15875644268797673</v>
      </c>
      <c r="F19" s="22">
        <v>0.15478382696567547</v>
      </c>
      <c r="G19" s="22">
        <v>0.18792278986724262</v>
      </c>
      <c r="H19" s="17">
        <f t="shared" ref="H19" si="14">(H18-H15)/H15</f>
        <v>-2.78965629620345E-2</v>
      </c>
      <c r="I19" s="22" t="s">
        <v>30</v>
      </c>
      <c r="J19" s="23" t="s">
        <v>30</v>
      </c>
      <c r="K19" s="22" t="s">
        <v>30</v>
      </c>
      <c r="L19" s="22">
        <v>0.1568969032042847</v>
      </c>
      <c r="M19" s="22" t="s">
        <v>30</v>
      </c>
      <c r="N19" s="23" t="s">
        <v>30</v>
      </c>
      <c r="O19" s="22">
        <v>0.2378750532811949</v>
      </c>
      <c r="P19" s="22">
        <v>0.39661241629993604</v>
      </c>
      <c r="Q19" s="17">
        <f t="shared" ref="Q19" si="15">(Q18-Q15)/Q15</f>
        <v>-0.11365885135067461</v>
      </c>
    </row>
    <row r="20" spans="1:17" x14ac:dyDescent="0.25">
      <c r="A20" s="7" t="s">
        <v>31</v>
      </c>
      <c r="B20" s="21">
        <v>0.36721055579696626</v>
      </c>
      <c r="C20" s="21">
        <v>0.38451738299152072</v>
      </c>
      <c r="D20" s="21">
        <v>0.38026511276658037</v>
      </c>
      <c r="E20" s="21">
        <v>0.40416063818757397</v>
      </c>
      <c r="F20" s="21">
        <v>0.41479922449716455</v>
      </c>
      <c r="G20" s="21">
        <v>0.38391065614087605</v>
      </c>
      <c r="H20" s="13">
        <f t="shared" ref="H20" si="16">(((H18/H6)^(1/4))-1)</f>
        <v>2.2319770585785603E-2</v>
      </c>
      <c r="I20" s="21">
        <v>1.4978270573456074</v>
      </c>
      <c r="J20" s="21" t="s">
        <v>30</v>
      </c>
      <c r="K20" s="21">
        <v>0.97940587635032395</v>
      </c>
      <c r="L20" s="21">
        <v>0.41966696717907848</v>
      </c>
      <c r="M20" s="21">
        <v>1.500144547820748</v>
      </c>
      <c r="N20" s="21" t="s">
        <v>30</v>
      </c>
      <c r="O20" s="21">
        <v>0.43823486735138828</v>
      </c>
      <c r="P20" s="21">
        <v>0.45134941952215901</v>
      </c>
      <c r="Q20" s="13">
        <f t="shared" ref="Q20" si="17">(((Q18/Q6)^(1/4))-1)</f>
        <v>-9.0361094264181929E-3</v>
      </c>
    </row>
    <row r="21" spans="1:17" x14ac:dyDescent="0.25">
      <c r="A21" s="6" t="s">
        <v>24</v>
      </c>
      <c r="B21" s="10">
        <v>40710</v>
      </c>
      <c r="C21" s="10">
        <v>73060</v>
      </c>
      <c r="D21" s="10">
        <v>38392</v>
      </c>
      <c r="E21" s="10">
        <v>5252416</v>
      </c>
      <c r="F21" s="10">
        <v>5018.6049999999996</v>
      </c>
      <c r="G21" s="10">
        <v>6756.1980000000003</v>
      </c>
      <c r="H21" s="14">
        <f t="shared" si="4"/>
        <v>74.281496782657925</v>
      </c>
      <c r="I21" s="9">
        <v>43857</v>
      </c>
      <c r="J21" s="9">
        <v>0</v>
      </c>
      <c r="K21" s="9">
        <v>43857</v>
      </c>
      <c r="L21" s="9">
        <v>451.67200000000003</v>
      </c>
      <c r="M21" s="9">
        <v>47.145000000000003</v>
      </c>
      <c r="N21" s="9">
        <v>0</v>
      </c>
      <c r="O21" s="9">
        <v>498.81700000000001</v>
      </c>
      <c r="P21" s="9">
        <v>727.39400000000001</v>
      </c>
      <c r="Q21" s="14">
        <f t="shared" si="5"/>
        <v>68.575902468263422</v>
      </c>
    </row>
    <row r="22" spans="1:17" x14ac:dyDescent="0.25">
      <c r="A22" s="4" t="s">
        <v>29</v>
      </c>
      <c r="B22" s="22">
        <v>0.20622222222222222</v>
      </c>
      <c r="C22" s="22">
        <v>0.24526760811124976</v>
      </c>
      <c r="D22" s="22">
        <v>0.22003304944705732</v>
      </c>
      <c r="E22" s="22">
        <v>0.19729176364068227</v>
      </c>
      <c r="F22" s="22">
        <v>0.20590764681763127</v>
      </c>
      <c r="G22" s="22">
        <v>0.21990091935871497</v>
      </c>
      <c r="H22" s="17">
        <f t="shared" ref="H22" si="18">(H21-H18)/H18</f>
        <v>-1.1470827113106661E-2</v>
      </c>
      <c r="I22" s="22">
        <v>0.79117827241168059</v>
      </c>
      <c r="J22" s="23" t="s">
        <v>30</v>
      </c>
      <c r="K22" s="22">
        <v>0.79117827241168059</v>
      </c>
      <c r="L22" s="22">
        <v>0.20590575357095184</v>
      </c>
      <c r="M22" s="22">
        <v>0.79826067055727223</v>
      </c>
      <c r="N22" s="23" t="s">
        <v>30</v>
      </c>
      <c r="O22" s="22">
        <v>0.24465587236474065</v>
      </c>
      <c r="P22" s="22">
        <v>0.21981912183702187</v>
      </c>
      <c r="Q22" s="17">
        <f t="shared" ref="Q22" si="19">(Q21-Q18)/Q18</f>
        <v>2.0361010975393695E-2</v>
      </c>
    </row>
    <row r="23" spans="1:17" x14ac:dyDescent="0.25">
      <c r="A23" s="7" t="s">
        <v>31</v>
      </c>
      <c r="B23" s="21">
        <v>0.33337954134969405</v>
      </c>
      <c r="C23" s="21">
        <v>0.3554742401131199</v>
      </c>
      <c r="D23" s="21">
        <v>0.34661772894552034</v>
      </c>
      <c r="E23" s="21">
        <v>0.36010812395936198</v>
      </c>
      <c r="F23" s="21">
        <v>0.37030947381554036</v>
      </c>
      <c r="G23" s="21">
        <v>0.3494330868709592</v>
      </c>
      <c r="H23" s="13">
        <f t="shared" ref="H23" si="20">(((H21/H6)^(1/5))-1)</f>
        <v>1.5470486938325312E-2</v>
      </c>
      <c r="I23" s="21">
        <v>1.3371019354772122</v>
      </c>
      <c r="J23" s="21" t="s">
        <v>30</v>
      </c>
      <c r="K23" s="21">
        <v>0.94024086190976641</v>
      </c>
      <c r="L23" s="21">
        <v>0.37407948383063183</v>
      </c>
      <c r="M23" s="21">
        <v>1.3406831242034518</v>
      </c>
      <c r="N23" s="21" t="s">
        <v>30</v>
      </c>
      <c r="O23" s="21">
        <v>0.39724868342045605</v>
      </c>
      <c r="P23" s="21">
        <v>0.40176971942861184</v>
      </c>
      <c r="Q23" s="13">
        <f t="shared" ref="Q23" si="21">(((Q21/Q6)^(1/5))-1)</f>
        <v>-3.2252344629034591E-3</v>
      </c>
    </row>
    <row r="24" spans="1:17" x14ac:dyDescent="0.25">
      <c r="A24" s="6" t="s">
        <v>25</v>
      </c>
      <c r="B24" s="10">
        <v>47198</v>
      </c>
      <c r="C24" s="10">
        <v>87833.16</v>
      </c>
      <c r="D24" s="10">
        <v>44645</v>
      </c>
      <c r="E24" s="10">
        <v>6529936</v>
      </c>
      <c r="F24" s="10">
        <v>6217.6120000000001</v>
      </c>
      <c r="G24" s="10">
        <v>7857.0119999999997</v>
      </c>
      <c r="H24" s="14">
        <f t="shared" si="4"/>
        <v>79.134561586516611</v>
      </c>
      <c r="I24" s="9">
        <v>55410</v>
      </c>
      <c r="J24" s="9">
        <v>0</v>
      </c>
      <c r="K24" s="9">
        <v>55410</v>
      </c>
      <c r="L24" s="9">
        <v>559.58500000000004</v>
      </c>
      <c r="M24" s="9">
        <v>59.654000000000003</v>
      </c>
      <c r="N24" s="9">
        <v>0</v>
      </c>
      <c r="O24" s="9">
        <v>619.23900000000003</v>
      </c>
      <c r="P24" s="9">
        <v>845.971</v>
      </c>
      <c r="Q24" s="14">
        <f t="shared" si="5"/>
        <v>73.198608462937855</v>
      </c>
    </row>
    <row r="25" spans="1:17" x14ac:dyDescent="0.25">
      <c r="A25" s="4" t="s">
        <v>29</v>
      </c>
      <c r="B25" s="22">
        <v>0.15937116187668876</v>
      </c>
      <c r="C25" s="22">
        <v>0.20220585819874082</v>
      </c>
      <c r="D25" s="22">
        <v>0.16287247343196498</v>
      </c>
      <c r="E25" s="22">
        <v>0.2432252129305828</v>
      </c>
      <c r="F25" s="22">
        <v>0.23891240693379945</v>
      </c>
      <c r="G25" s="22">
        <v>0.16293394598559713</v>
      </c>
      <c r="H25" s="17">
        <f t="shared" ref="H25" si="22">(H24-H21)/H21</f>
        <v>6.5333427758710746E-2</v>
      </c>
      <c r="I25" s="22">
        <v>0.26342431082837403</v>
      </c>
      <c r="J25" s="23" t="s">
        <v>30</v>
      </c>
      <c r="K25" s="22">
        <v>0.26342431082837403</v>
      </c>
      <c r="L25" s="22">
        <v>0.23891895003453834</v>
      </c>
      <c r="M25" s="22">
        <v>0.26533036377134372</v>
      </c>
      <c r="N25" s="23" t="s">
        <v>30</v>
      </c>
      <c r="O25" s="22">
        <v>0.24141518833560208</v>
      </c>
      <c r="P25" s="22">
        <v>0.16301619204997567</v>
      </c>
      <c r="Q25" s="17">
        <f t="shared" ref="Q25" si="23">(Q24-Q21)/Q21</f>
        <v>6.7410064297933198E-2</v>
      </c>
    </row>
    <row r="26" spans="1:17" x14ac:dyDescent="0.25">
      <c r="A26" s="7" t="s">
        <v>31</v>
      </c>
      <c r="B26" s="21">
        <v>0.30266248132277762</v>
      </c>
      <c r="C26" s="21">
        <v>0.32863553521639899</v>
      </c>
      <c r="D26" s="21">
        <v>0.31409154689759156</v>
      </c>
      <c r="E26" s="21">
        <v>0.33989108360207476</v>
      </c>
      <c r="F26" s="21">
        <v>0.347479967066046</v>
      </c>
      <c r="G26" s="21">
        <v>0.31639220916851385</v>
      </c>
      <c r="H26" s="13">
        <f t="shared" ref="H26" si="24">(((H24/H6)^(1/6))-1)</f>
        <v>2.3615878065070373E-2</v>
      </c>
      <c r="I26" s="21">
        <v>1.1093869301976311</v>
      </c>
      <c r="J26" s="21" t="s">
        <v>30</v>
      </c>
      <c r="K26" s="21">
        <v>0.80636112071811339</v>
      </c>
      <c r="L26" s="21">
        <v>0.350569782695757</v>
      </c>
      <c r="M26" s="21">
        <v>1.1126108615037742</v>
      </c>
      <c r="N26" s="21" t="s">
        <v>30</v>
      </c>
      <c r="O26" s="21">
        <v>0.36998012492363186</v>
      </c>
      <c r="P26" s="21">
        <v>0.35881872223967526</v>
      </c>
      <c r="Q26" s="13">
        <f t="shared" ref="Q26" si="25">(((Q24/Q6)^(1/6))-1)</f>
        <v>8.2140483504375972E-3</v>
      </c>
    </row>
    <row r="27" spans="1:17" x14ac:dyDescent="0.25">
      <c r="A27" s="6" t="s">
        <v>26</v>
      </c>
      <c r="B27" s="10">
        <v>48360</v>
      </c>
      <c r="C27" s="10">
        <v>89060.24</v>
      </c>
      <c r="D27" s="10">
        <v>45937</v>
      </c>
      <c r="E27" s="10">
        <v>7160189</v>
      </c>
      <c r="F27" s="10">
        <v>6764.7269999999999</v>
      </c>
      <c r="G27" s="10">
        <v>8085.3059999999996</v>
      </c>
      <c r="H27" s="14">
        <f t="shared" si="4"/>
        <v>83.666926149733854</v>
      </c>
      <c r="I27" s="9">
        <v>56871</v>
      </c>
      <c r="J27" s="9">
        <v>0</v>
      </c>
      <c r="K27" s="9">
        <v>56871</v>
      </c>
      <c r="L27" s="9">
        <v>608.82600000000002</v>
      </c>
      <c r="M27" s="9">
        <v>62.052</v>
      </c>
      <c r="N27" s="9">
        <v>0</v>
      </c>
      <c r="O27" s="9">
        <v>670.87800000000004</v>
      </c>
      <c r="P27" s="9">
        <v>870.55899999999997</v>
      </c>
      <c r="Q27" s="14">
        <f t="shared" si="5"/>
        <v>77.062898666259272</v>
      </c>
    </row>
    <row r="28" spans="1:17" x14ac:dyDescent="0.25">
      <c r="A28" s="4" t="s">
        <v>29</v>
      </c>
      <c r="B28" s="22">
        <v>2.461968727488453E-2</v>
      </c>
      <c r="C28" s="22">
        <v>1.3970577854650813E-2</v>
      </c>
      <c r="D28" s="22">
        <v>2.8939410908276404E-2</v>
      </c>
      <c r="E28" s="22">
        <v>9.6517485010572848E-2</v>
      </c>
      <c r="F28" s="22">
        <v>8.7994393989203543E-2</v>
      </c>
      <c r="G28" s="22">
        <v>2.9056083915870293E-2</v>
      </c>
      <c r="H28" s="17">
        <f t="shared" ref="H28" si="26">(H27-H24)/H24</f>
        <v>5.7274147633484741E-2</v>
      </c>
      <c r="I28" s="22">
        <v>2.6367081754195994E-2</v>
      </c>
      <c r="J28" s="23" t="s">
        <v>30</v>
      </c>
      <c r="K28" s="22">
        <v>2.6367081754195994E-2</v>
      </c>
      <c r="L28" s="22">
        <v>8.799556814424972E-2</v>
      </c>
      <c r="M28" s="22">
        <v>4.0198477889160762E-2</v>
      </c>
      <c r="N28" s="23" t="s">
        <v>30</v>
      </c>
      <c r="O28" s="22">
        <v>8.3391065485216548E-2</v>
      </c>
      <c r="P28" s="22">
        <v>2.9064826099239768E-2</v>
      </c>
      <c r="Q28" s="17">
        <f t="shared" ref="Q28" si="27">(Q27-Q24)/Q24</f>
        <v>5.2791853348933486E-2</v>
      </c>
    </row>
    <row r="29" spans="1:17" x14ac:dyDescent="0.25">
      <c r="A29" s="7" t="s">
        <v>31</v>
      </c>
      <c r="B29" s="13">
        <f t="shared" ref="B29:P29" si="28">(((B27/B6)^(1/7))-1)</f>
        <v>0.25874078368112463</v>
      </c>
      <c r="C29" s="13">
        <f t="shared" si="28"/>
        <v>0.27831304073563556</v>
      </c>
      <c r="D29" s="13">
        <f t="shared" si="28"/>
        <v>0.26896334104873287</v>
      </c>
      <c r="E29" s="13">
        <f t="shared" si="28"/>
        <v>0.3020666654157862</v>
      </c>
      <c r="F29" s="13">
        <f t="shared" si="28"/>
        <v>0.30692753726794453</v>
      </c>
      <c r="G29" s="13">
        <f t="shared" si="28"/>
        <v>0.27088796300855589</v>
      </c>
      <c r="H29" s="13">
        <f t="shared" si="28"/>
        <v>2.8357790228866975E-2</v>
      </c>
      <c r="I29" s="13">
        <f t="shared" si="28"/>
        <v>0.90310560562283326</v>
      </c>
      <c r="J29" s="21" t="s">
        <v>30</v>
      </c>
      <c r="K29" s="13">
        <f t="shared" si="28"/>
        <v>0.66622206943646067</v>
      </c>
      <c r="L29" s="13">
        <f t="shared" si="28"/>
        <v>0.30949602815243571</v>
      </c>
      <c r="M29" s="13">
        <f t="shared" si="28"/>
        <v>0.90924602377500952</v>
      </c>
      <c r="N29" s="21" t="s">
        <v>30</v>
      </c>
      <c r="O29" s="13">
        <f t="shared" si="28"/>
        <v>0.32480811143597954</v>
      </c>
      <c r="P29" s="13">
        <f t="shared" si="28"/>
        <v>0.30591821940961594</v>
      </c>
      <c r="Q29" s="13">
        <f t="shared" ref="Q29" si="29">(((Q27/Q6)^(1/7))-1)</f>
        <v>1.4464835351560845E-2</v>
      </c>
    </row>
    <row r="30" spans="1:17" x14ac:dyDescent="0.25">
      <c r="A30" s="6" t="s">
        <v>27</v>
      </c>
      <c r="B30" s="10">
        <v>55827</v>
      </c>
      <c r="C30" s="10">
        <v>99912.557000000001</v>
      </c>
      <c r="D30" s="10">
        <v>52001</v>
      </c>
      <c r="E30" s="10">
        <v>8645969</v>
      </c>
      <c r="F30" s="10">
        <v>8066.52</v>
      </c>
      <c r="G30" s="10">
        <v>9171.5409999999993</v>
      </c>
      <c r="H30" s="14">
        <f t="shared" si="4"/>
        <v>87.951632119400671</v>
      </c>
      <c r="I30" s="9">
        <v>54050</v>
      </c>
      <c r="J30" s="9">
        <v>0</v>
      </c>
      <c r="K30" s="9">
        <v>54050</v>
      </c>
      <c r="L30" s="9">
        <v>725.98699999999997</v>
      </c>
      <c r="M30" s="9">
        <v>56.814999999999998</v>
      </c>
      <c r="N30" s="9">
        <v>0</v>
      </c>
      <c r="O30" s="9">
        <v>782.80200000000002</v>
      </c>
      <c r="P30" s="9">
        <v>985.38900000000001</v>
      </c>
      <c r="Q30" s="14">
        <f t="shared" si="5"/>
        <v>79.440911152854355</v>
      </c>
    </row>
    <row r="31" spans="1:17" x14ac:dyDescent="0.25">
      <c r="A31" s="4" t="s">
        <v>29</v>
      </c>
      <c r="B31" s="22">
        <v>0.15440446650124071</v>
      </c>
      <c r="C31" s="22">
        <v>0.12185366893239896</v>
      </c>
      <c r="D31" s="22">
        <v>0.13200687898643795</v>
      </c>
      <c r="E31" s="22">
        <v>0.20750569572954011</v>
      </c>
      <c r="F31" s="22">
        <v>0.1924383644750188</v>
      </c>
      <c r="G31" s="22">
        <v>0.13434680146923317</v>
      </c>
      <c r="H31" s="17">
        <f t="shared" ref="H31" si="30">(H30-H27)/H27</f>
        <v>5.1211466308666902E-2</v>
      </c>
      <c r="I31" s="22">
        <v>-4.9603488597000228E-2</v>
      </c>
      <c r="J31" s="23" t="s">
        <v>30</v>
      </c>
      <c r="K31" s="22">
        <v>-4.9603488597000228E-2</v>
      </c>
      <c r="L31" s="22">
        <v>0.19243757658181473</v>
      </c>
      <c r="M31" s="22">
        <v>-8.4396957390575678E-2</v>
      </c>
      <c r="N31" s="23" t="s">
        <v>30</v>
      </c>
      <c r="O31" s="22">
        <v>0.16683212148855675</v>
      </c>
      <c r="P31" s="22">
        <v>0.13190375379497546</v>
      </c>
      <c r="Q31" s="17">
        <f t="shared" ref="Q31" si="31">(Q30-Q27)/Q27</f>
        <v>3.0858072143038349E-2</v>
      </c>
    </row>
    <row r="32" spans="1:17" x14ac:dyDescent="0.25">
      <c r="A32" s="7" t="s">
        <v>31</v>
      </c>
      <c r="B32" s="21">
        <v>0.24519972347963592</v>
      </c>
      <c r="C32" s="21">
        <v>0.25762045810384193</v>
      </c>
      <c r="D32" s="21">
        <v>0.25097627915306653</v>
      </c>
      <c r="E32" s="21">
        <v>0.28985299514702545</v>
      </c>
      <c r="F32" s="21">
        <v>0.29203584560288376</v>
      </c>
      <c r="G32" s="21">
        <v>0.25295966188528829</v>
      </c>
      <c r="H32" s="13">
        <f t="shared" ref="H32" si="32">(((H30/H6)^(1/8))-1)</f>
        <v>3.1187104346838135E-2</v>
      </c>
      <c r="I32" s="21">
        <v>0.74489031299436248</v>
      </c>
      <c r="J32" s="21" t="s">
        <v>30</v>
      </c>
      <c r="K32" s="21">
        <v>0.55329654541699669</v>
      </c>
      <c r="L32" s="21">
        <v>0.29425728735012679</v>
      </c>
      <c r="M32" s="21">
        <v>0.74167677792406517</v>
      </c>
      <c r="N32" s="21" t="s">
        <v>30</v>
      </c>
      <c r="O32" s="21">
        <v>0.3039468911019656</v>
      </c>
      <c r="P32" s="21">
        <v>0.28278144934393512</v>
      </c>
      <c r="Q32" s="13">
        <f t="shared" ref="Q32" si="33">(((Q30/Q6)^(1/8))-1)</f>
        <v>1.6499647518955829E-2</v>
      </c>
    </row>
    <row r="33" spans="1:17" x14ac:dyDescent="0.25">
      <c r="A33" s="6" t="s">
        <v>28</v>
      </c>
      <c r="B33" s="10">
        <v>69136</v>
      </c>
      <c r="C33" s="10">
        <v>127451.64320000001</v>
      </c>
      <c r="D33" s="10">
        <v>65296.3</v>
      </c>
      <c r="E33" s="10">
        <v>10829141</v>
      </c>
      <c r="F33" s="10">
        <v>10284.928599999999</v>
      </c>
      <c r="G33" s="10">
        <v>11604.2129</v>
      </c>
      <c r="H33" s="14">
        <f t="shared" si="4"/>
        <v>88.630988492119087</v>
      </c>
      <c r="I33" s="9">
        <v>24255.4</v>
      </c>
      <c r="J33" s="9">
        <v>0</v>
      </c>
      <c r="K33" s="9">
        <v>24255.4</v>
      </c>
      <c r="L33" s="9">
        <v>925.64459999999997</v>
      </c>
      <c r="M33" s="9">
        <v>25.965</v>
      </c>
      <c r="N33" s="9">
        <v>0</v>
      </c>
      <c r="O33" s="9">
        <v>951.6096</v>
      </c>
      <c r="P33" s="9">
        <v>1237.3373999999999</v>
      </c>
      <c r="Q33" s="14">
        <f t="shared" si="5"/>
        <v>76.907850680016637</v>
      </c>
    </row>
    <row r="34" spans="1:17" x14ac:dyDescent="0.25">
      <c r="A34" s="4" t="s">
        <v>29</v>
      </c>
      <c r="B34" s="22">
        <v>0.23839719132319487</v>
      </c>
      <c r="C34" s="22">
        <v>0.27563188278726569</v>
      </c>
      <c r="D34" s="22">
        <v>0.2556739293475126</v>
      </c>
      <c r="E34" s="22">
        <v>0.25250749800282651</v>
      </c>
      <c r="F34" s="22">
        <v>0.27501433083907295</v>
      </c>
      <c r="G34" s="22">
        <v>0.26524134820964124</v>
      </c>
      <c r="H34" s="17">
        <f t="shared" ref="H34" si="34">(H33-H30)/H30</f>
        <v>7.7242042739598194E-3</v>
      </c>
      <c r="I34" s="22">
        <v>-0.55124144310823309</v>
      </c>
      <c r="J34" s="23" t="s">
        <v>30</v>
      </c>
      <c r="K34" s="22">
        <v>-0.55124144310823309</v>
      </c>
      <c r="L34" s="22">
        <v>0.27501539283761284</v>
      </c>
      <c r="M34" s="22">
        <v>-0.5429904074628179</v>
      </c>
      <c r="N34" s="23" t="s">
        <v>30</v>
      </c>
      <c r="O34" s="22">
        <v>0.21564533560210625</v>
      </c>
      <c r="P34" s="22">
        <v>0.25568420187357466</v>
      </c>
      <c r="Q34" s="17">
        <f t="shared" ref="Q34" si="35">(Q33-Q30)/Q30</f>
        <v>-3.1886095414537602E-2</v>
      </c>
    </row>
    <row r="35" spans="1:17" x14ac:dyDescent="0.25">
      <c r="A35" s="7" t="s">
        <v>31</v>
      </c>
      <c r="B35" s="21">
        <v>0.24444204506231659</v>
      </c>
      <c r="C35" s="21">
        <v>0.25960910261318881</v>
      </c>
      <c r="D35" s="21">
        <v>0.25149737120133575</v>
      </c>
      <c r="E35" s="21">
        <v>0.28564910492325679</v>
      </c>
      <c r="F35" s="21">
        <v>0.29013339964233831</v>
      </c>
      <c r="G35" s="21">
        <v>0.25431838510461491</v>
      </c>
      <c r="H35" s="13">
        <f t="shared" ref="H35" si="36">(((H33/H6)^(1/9))-1)</f>
        <v>2.8553368078660712E-2</v>
      </c>
      <c r="I35" s="21">
        <v>0.5005129747467838</v>
      </c>
      <c r="J35" s="21" t="s">
        <v>30</v>
      </c>
      <c r="K35" s="21">
        <v>0.35312724722540789</v>
      </c>
      <c r="L35" s="21">
        <v>0.292105038392384</v>
      </c>
      <c r="M35" s="21">
        <v>0.50109200502105344</v>
      </c>
      <c r="N35" s="21" t="s">
        <v>30</v>
      </c>
      <c r="O35" s="21">
        <v>0.29382707441267653</v>
      </c>
      <c r="P35" s="21">
        <v>0.27974199574748049</v>
      </c>
      <c r="Q35" s="13">
        <f t="shared" ref="Q35" si="37">(((Q33/Q6)^(1/9))-1)</f>
        <v>1.1006186178151633E-2</v>
      </c>
    </row>
    <row r="36" spans="1:17" x14ac:dyDescent="0.25">
      <c r="A36" s="6" t="s">
        <v>32</v>
      </c>
      <c r="B36" s="10">
        <v>80002</v>
      </c>
      <c r="C36" s="10">
        <v>148684.90973000001</v>
      </c>
      <c r="D36" s="10">
        <v>79777.396999999997</v>
      </c>
      <c r="E36" s="10">
        <v>12703317</v>
      </c>
      <c r="F36" s="10">
        <v>12602.164004999999</v>
      </c>
      <c r="G36" s="10">
        <v>14422.200675999999</v>
      </c>
      <c r="H36" s="14">
        <f t="shared" si="4"/>
        <v>87.380312395536663</v>
      </c>
      <c r="I36" s="9">
        <v>72925.75099</v>
      </c>
      <c r="J36" s="9">
        <v>0</v>
      </c>
      <c r="K36" s="9">
        <v>72925.75099</v>
      </c>
      <c r="L36" s="9">
        <v>1134.1943360299999</v>
      </c>
      <c r="M36" s="9">
        <v>81.271139947000009</v>
      </c>
      <c r="N36" s="9">
        <v>0</v>
      </c>
      <c r="O36" s="9">
        <v>1215.4654759770001</v>
      </c>
      <c r="P36" s="9">
        <v>1511.79188995</v>
      </c>
      <c r="Q36" s="14">
        <f t="shared" si="5"/>
        <v>80.398994336264067</v>
      </c>
    </row>
    <row r="37" spans="1:17" x14ac:dyDescent="0.25">
      <c r="A37" s="4" t="s">
        <v>29</v>
      </c>
      <c r="B37" s="22">
        <v>0.15716847951862994</v>
      </c>
      <c r="C37" s="22">
        <v>0.16659860945598234</v>
      </c>
      <c r="D37" s="22">
        <v>0.22177515418178356</v>
      </c>
      <c r="E37" s="22">
        <v>0.17306783612846116</v>
      </c>
      <c r="F37" s="22">
        <v>0.22530398558138748</v>
      </c>
      <c r="G37" s="22">
        <v>0.24284178515890534</v>
      </c>
      <c r="H37" s="17">
        <f t="shared" ref="H37" si="38">(H36-H33)/H33</f>
        <v>-1.4111047590241331E-2</v>
      </c>
      <c r="I37" s="22">
        <v>2.0065779574857556</v>
      </c>
      <c r="J37" s="23" t="s">
        <v>30</v>
      </c>
      <c r="K37" s="22">
        <v>2.0065779574857556</v>
      </c>
      <c r="L37" s="22">
        <v>0.22530216892098756</v>
      </c>
      <c r="M37" s="22">
        <v>2.1300265721933376</v>
      </c>
      <c r="N37" s="23" t="s">
        <v>30</v>
      </c>
      <c r="O37" s="22">
        <v>0.27727323891751415</v>
      </c>
      <c r="P37" s="22">
        <v>0.22181055058224231</v>
      </c>
      <c r="Q37" s="17">
        <f t="shared" ref="Q37" si="39">(Q36-Q33)/Q33</f>
        <v>4.5393852843095411E-2</v>
      </c>
    </row>
    <row r="38" spans="1:17" x14ac:dyDescent="0.25">
      <c r="A38" s="7" t="s">
        <v>31</v>
      </c>
      <c r="B38" s="21">
        <v>0.23542637216361473</v>
      </c>
      <c r="C38" s="21">
        <v>0.24998372029504146</v>
      </c>
      <c r="D38" s="21">
        <v>0.2484928986209578</v>
      </c>
      <c r="E38" s="21">
        <v>0.27392106607245958</v>
      </c>
      <c r="F38" s="21">
        <v>0.28349901989916337</v>
      </c>
      <c r="G38" s="21">
        <v>0.25316597222498838</v>
      </c>
      <c r="H38" s="13">
        <f t="shared" ref="H38" si="40">(((H36/H6)^(1/10))-1)</f>
        <v>2.4205131919053713E-2</v>
      </c>
      <c r="I38" s="21">
        <v>0.60850726386206277</v>
      </c>
      <c r="J38" s="21" t="s">
        <v>30</v>
      </c>
      <c r="K38" s="21">
        <v>0.46558841128298001</v>
      </c>
      <c r="L38" s="21">
        <v>0.28526404434296504</v>
      </c>
      <c r="M38" s="21">
        <v>0.61555364365167575</v>
      </c>
      <c r="N38" s="21" t="s">
        <v>30</v>
      </c>
      <c r="O38" s="21">
        <v>0.29216208201713001</v>
      </c>
      <c r="P38" s="21">
        <v>0.27382734279919019</v>
      </c>
      <c r="Q38" s="13">
        <f t="shared" ref="Q38" si="41">(((Q36/Q6)^(1/10))-1)</f>
        <v>1.4393425703714158E-2</v>
      </c>
    </row>
    <row r="39" spans="1:17" x14ac:dyDescent="0.25">
      <c r="A39" s="26" t="s">
        <v>38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spans="1:17" ht="26.25" customHeight="1" x14ac:dyDescent="0.25">
      <c r="A40" s="28" t="s">
        <v>53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workbookViewId="0">
      <selection sqref="A1:Q40"/>
    </sheetView>
  </sheetViews>
  <sheetFormatPr defaultRowHeight="15" x14ac:dyDescent="0.25"/>
  <cols>
    <col min="1" max="1" width="7.42578125" customWidth="1"/>
    <col min="2" max="2" width="8.7109375" customWidth="1"/>
    <col min="3" max="3" width="8.28515625" customWidth="1"/>
    <col min="4" max="4" width="8.42578125" customWidth="1"/>
    <col min="5" max="5" width="10.85546875" customWidth="1"/>
    <col min="6" max="6" width="7.28515625" customWidth="1"/>
    <col min="7" max="7" width="7.42578125" customWidth="1"/>
    <col min="8" max="8" width="6.28515625" customWidth="1"/>
    <col min="9" max="9" width="10.140625" customWidth="1"/>
    <col min="10" max="10" width="8.7109375" customWidth="1"/>
    <col min="11" max="11" width="10.28515625" customWidth="1"/>
    <col min="12" max="12" width="8.140625" customWidth="1"/>
    <col min="13" max="13" width="6.5703125" customWidth="1"/>
    <col min="14" max="14" width="6" customWidth="1"/>
    <col min="17" max="17" width="8" customWidth="1"/>
  </cols>
  <sheetData>
    <row r="1" spans="1:17" x14ac:dyDescent="0.25">
      <c r="A1" s="30" t="s">
        <v>50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x14ac:dyDescent="0.25">
      <c r="A2" s="32" t="s">
        <v>39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4" t="s">
        <v>40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1:17" x14ac:dyDescent="0.25">
      <c r="A4" s="34" t="s">
        <v>0</v>
      </c>
      <c r="B4" s="34" t="s">
        <v>1</v>
      </c>
      <c r="C4" s="34"/>
      <c r="D4" s="34"/>
      <c r="E4" s="34" t="s">
        <v>2</v>
      </c>
      <c r="F4" s="35"/>
      <c r="G4" s="24" t="s">
        <v>3</v>
      </c>
      <c r="H4" s="24" t="s">
        <v>4</v>
      </c>
      <c r="I4" s="34" t="s">
        <v>5</v>
      </c>
      <c r="J4" s="34"/>
      <c r="K4" s="34"/>
      <c r="L4" s="34" t="s">
        <v>6</v>
      </c>
      <c r="M4" s="34"/>
      <c r="N4" s="34"/>
      <c r="O4" s="34"/>
      <c r="P4" s="24" t="s">
        <v>7</v>
      </c>
      <c r="Q4" s="24" t="s">
        <v>8</v>
      </c>
    </row>
    <row r="5" spans="1:17" ht="122.25" customHeight="1" x14ac:dyDescent="0.25">
      <c r="A5" s="34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25"/>
      <c r="H5" s="25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25"/>
      <c r="Q5" s="25"/>
    </row>
    <row r="6" spans="1:17" ht="17.100000000000001" customHeight="1" x14ac:dyDescent="0.25">
      <c r="A6" s="6" t="s">
        <v>19</v>
      </c>
      <c r="B6" s="10">
        <v>40199</v>
      </c>
      <c r="C6" s="10">
        <v>73335</v>
      </c>
      <c r="D6" s="10">
        <v>40246</v>
      </c>
      <c r="E6" s="10">
        <v>4917360</v>
      </c>
      <c r="F6" s="10">
        <v>5044.4660000000003</v>
      </c>
      <c r="G6" s="10">
        <v>7243.5370000000003</v>
      </c>
      <c r="H6" s="9">
        <f>F6/G6*100</f>
        <v>69.640922659744817</v>
      </c>
      <c r="I6" s="9">
        <v>34550</v>
      </c>
      <c r="J6" s="9">
        <v>0</v>
      </c>
      <c r="K6" s="9">
        <v>34550</v>
      </c>
      <c r="L6" s="9">
        <v>454.00299999999999</v>
      </c>
      <c r="M6" s="9">
        <v>38.381</v>
      </c>
      <c r="N6" s="9">
        <v>0</v>
      </c>
      <c r="O6" s="9">
        <v>492.38400000000001</v>
      </c>
      <c r="P6" s="9">
        <v>732.476</v>
      </c>
      <c r="Q6" s="9">
        <f>O6/P6*100</f>
        <v>67.221861194086912</v>
      </c>
    </row>
    <row r="7" spans="1:17" ht="17.100000000000001" customHeight="1" x14ac:dyDescent="0.25">
      <c r="A7" s="4" t="s">
        <v>29</v>
      </c>
      <c r="B7" s="5" t="s">
        <v>30</v>
      </c>
      <c r="C7" s="5" t="s">
        <v>30</v>
      </c>
      <c r="D7" s="5" t="s">
        <v>30</v>
      </c>
      <c r="E7" s="5" t="s">
        <v>30</v>
      </c>
      <c r="F7" s="5" t="s">
        <v>30</v>
      </c>
      <c r="G7" s="5" t="s">
        <v>30</v>
      </c>
      <c r="H7" s="5" t="s">
        <v>30</v>
      </c>
      <c r="I7" s="5" t="s">
        <v>30</v>
      </c>
      <c r="J7" s="5" t="s">
        <v>30</v>
      </c>
      <c r="K7" s="5" t="s">
        <v>30</v>
      </c>
      <c r="L7" s="5" t="s">
        <v>30</v>
      </c>
      <c r="M7" s="5" t="s">
        <v>30</v>
      </c>
      <c r="N7" s="5" t="s">
        <v>30</v>
      </c>
      <c r="O7" s="5" t="s">
        <v>30</v>
      </c>
      <c r="P7" s="5" t="s">
        <v>30</v>
      </c>
      <c r="Q7" s="5" t="s">
        <v>30</v>
      </c>
    </row>
    <row r="8" spans="1:17" ht="17.100000000000001" customHeight="1" x14ac:dyDescent="0.25">
      <c r="A8" s="7" t="s">
        <v>31</v>
      </c>
      <c r="B8" s="12" t="s">
        <v>30</v>
      </c>
      <c r="C8" s="12" t="s">
        <v>30</v>
      </c>
      <c r="D8" s="12" t="s">
        <v>30</v>
      </c>
      <c r="E8" s="12" t="s">
        <v>30</v>
      </c>
      <c r="F8" s="12" t="s">
        <v>30</v>
      </c>
      <c r="G8" s="12" t="s">
        <v>30</v>
      </c>
      <c r="H8" s="12" t="s">
        <v>30</v>
      </c>
      <c r="I8" s="12" t="s">
        <v>30</v>
      </c>
      <c r="J8" s="12" t="s">
        <v>30</v>
      </c>
      <c r="K8" s="12" t="s">
        <v>30</v>
      </c>
      <c r="L8" s="12" t="s">
        <v>30</v>
      </c>
      <c r="M8" s="12" t="s">
        <v>30</v>
      </c>
      <c r="N8" s="12" t="s">
        <v>30</v>
      </c>
      <c r="O8" s="12" t="s">
        <v>30</v>
      </c>
      <c r="P8" s="12" t="s">
        <v>30</v>
      </c>
      <c r="Q8" s="12" t="s">
        <v>30</v>
      </c>
    </row>
    <row r="9" spans="1:17" ht="17.100000000000001" customHeight="1" x14ac:dyDescent="0.25">
      <c r="A9" s="6" t="s">
        <v>20</v>
      </c>
      <c r="B9" s="10">
        <v>51520</v>
      </c>
      <c r="C9" s="10">
        <v>93488.200000000012</v>
      </c>
      <c r="D9" s="10">
        <v>51611</v>
      </c>
      <c r="E9" s="10">
        <v>6554908</v>
      </c>
      <c r="F9" s="10">
        <v>7428.6639999999998</v>
      </c>
      <c r="G9" s="10">
        <v>9285.9599999999991</v>
      </c>
      <c r="H9" s="14">
        <f>F9/G9*100</f>
        <v>79.99888002963614</v>
      </c>
      <c r="I9" s="9">
        <v>50296</v>
      </c>
      <c r="J9" s="9">
        <v>0</v>
      </c>
      <c r="K9" s="9">
        <v>50296</v>
      </c>
      <c r="L9" s="9">
        <v>668.35500000000002</v>
      </c>
      <c r="M9" s="9">
        <v>54.825000000000003</v>
      </c>
      <c r="N9" s="9">
        <v>0</v>
      </c>
      <c r="O9" s="9">
        <v>723.18</v>
      </c>
      <c r="P9" s="9">
        <v>939.33199999999999</v>
      </c>
      <c r="Q9" s="14">
        <f>O9/P9*100</f>
        <v>76.98875371008333</v>
      </c>
    </row>
    <row r="10" spans="1:17" ht="17.100000000000001" customHeight="1" x14ac:dyDescent="0.25">
      <c r="A10" s="4" t="s">
        <v>29</v>
      </c>
      <c r="B10" s="20">
        <v>0.28162392099305955</v>
      </c>
      <c r="C10" s="20">
        <v>0.27481011795186489</v>
      </c>
      <c r="D10" s="20">
        <v>0.28238831188192615</v>
      </c>
      <c r="E10" s="20">
        <v>0.3330136496005987</v>
      </c>
      <c r="F10" s="20">
        <v>0.47263635040854657</v>
      </c>
      <c r="G10" s="20">
        <v>0.28196487434246542</v>
      </c>
      <c r="H10" s="17">
        <f t="shared" ref="H10" si="0">(H9-H6)/H6</f>
        <v>0.14873377569247268</v>
      </c>
      <c r="I10" s="20">
        <v>0.45574529667149061</v>
      </c>
      <c r="J10" s="20" t="s">
        <v>30</v>
      </c>
      <c r="K10" s="20">
        <v>0.45574529667149061</v>
      </c>
      <c r="L10" s="20">
        <v>0.47213784930936586</v>
      </c>
      <c r="M10" s="20">
        <v>0.42844115578020381</v>
      </c>
      <c r="N10" s="20" t="s">
        <v>30</v>
      </c>
      <c r="O10" s="20">
        <v>0.46873172158315446</v>
      </c>
      <c r="P10" s="20">
        <v>0.28240652253452669</v>
      </c>
      <c r="Q10" s="17">
        <f t="shared" ref="Q10" si="1">(Q9-Q6)/Q6</f>
        <v>0.14529339626281501</v>
      </c>
    </row>
    <row r="11" spans="1:17" ht="17.100000000000001" customHeight="1" x14ac:dyDescent="0.25">
      <c r="A11" s="7" t="s">
        <v>31</v>
      </c>
      <c r="B11" s="21">
        <v>0.28162392099305955</v>
      </c>
      <c r="C11" s="21">
        <v>0.27481011795186494</v>
      </c>
      <c r="D11" s="21">
        <v>0.28238831188192615</v>
      </c>
      <c r="E11" s="21">
        <v>0.33301364960059865</v>
      </c>
      <c r="F11" s="21">
        <v>0.47263635040854646</v>
      </c>
      <c r="G11" s="21">
        <v>0.28196487434246542</v>
      </c>
      <c r="H11" s="13">
        <f t="shared" ref="H11" si="2">(((H9/H6)^(1/1))-1)</f>
        <v>0.1487337756924727</v>
      </c>
      <c r="I11" s="21">
        <v>0.45574529667149055</v>
      </c>
      <c r="J11" s="21" t="s">
        <v>30</v>
      </c>
      <c r="K11" s="21">
        <v>0.45574529667149055</v>
      </c>
      <c r="L11" s="21">
        <v>0.47213784930936598</v>
      </c>
      <c r="M11" s="21">
        <v>0.42844115578020392</v>
      </c>
      <c r="N11" s="21" t="s">
        <v>30</v>
      </c>
      <c r="O11" s="21">
        <v>0.46873172158315457</v>
      </c>
      <c r="P11" s="21">
        <v>0.28240652253452669</v>
      </c>
      <c r="Q11" s="13">
        <f t="shared" ref="Q11" si="3">(((Q9/Q6)^(1/1))-1)</f>
        <v>0.14529339626281512</v>
      </c>
    </row>
    <row r="12" spans="1:17" ht="17.100000000000001" customHeight="1" x14ac:dyDescent="0.25">
      <c r="A12" s="6" t="s">
        <v>21</v>
      </c>
      <c r="B12" s="10">
        <v>70217</v>
      </c>
      <c r="C12" s="10">
        <v>125551.67</v>
      </c>
      <c r="D12" s="10">
        <v>69424</v>
      </c>
      <c r="E12" s="10">
        <v>9466897</v>
      </c>
      <c r="F12" s="10">
        <v>10633.906999999999</v>
      </c>
      <c r="G12" s="10">
        <v>12491.392</v>
      </c>
      <c r="H12" s="14">
        <f t="shared" ref="H12:H36" si="4">F12/G12*100</f>
        <v>85.129879840453327</v>
      </c>
      <c r="I12" s="9">
        <v>77793</v>
      </c>
      <c r="J12" s="9">
        <v>0</v>
      </c>
      <c r="K12" s="9">
        <v>77793</v>
      </c>
      <c r="L12" s="9">
        <v>954.47</v>
      </c>
      <c r="M12" s="9">
        <v>84.308999999999997</v>
      </c>
      <c r="N12" s="9">
        <v>0</v>
      </c>
      <c r="O12" s="9">
        <v>1038.779</v>
      </c>
      <c r="P12" s="9">
        <v>1263.5060000000001</v>
      </c>
      <c r="Q12" s="14">
        <f t="shared" ref="Q12:Q36" si="5">O12/P12*100</f>
        <v>82.214014021302631</v>
      </c>
    </row>
    <row r="13" spans="1:17" ht="17.100000000000001" customHeight="1" x14ac:dyDescent="0.25">
      <c r="A13" s="4" t="s">
        <v>29</v>
      </c>
      <c r="B13" s="20">
        <v>0.3629076086956522</v>
      </c>
      <c r="C13" s="20">
        <v>0.34296809650843618</v>
      </c>
      <c r="D13" s="20">
        <v>0.34513960202282457</v>
      </c>
      <c r="E13" s="20">
        <v>0.44424559429361937</v>
      </c>
      <c r="F13" s="20">
        <v>0.43146964245522473</v>
      </c>
      <c r="G13" s="20">
        <v>0.34519123493962939</v>
      </c>
      <c r="H13" s="17">
        <f t="shared" ref="H13" si="6">(H12-H9)/H9</f>
        <v>6.4138395548992339E-2</v>
      </c>
      <c r="I13" s="20">
        <v>0.54670351519007476</v>
      </c>
      <c r="J13" s="20" t="s">
        <v>30</v>
      </c>
      <c r="K13" s="20">
        <v>0.54670351519007476</v>
      </c>
      <c r="L13" s="20">
        <v>0.42808836621256668</v>
      </c>
      <c r="M13" s="20">
        <v>0.53778385772913806</v>
      </c>
      <c r="N13" s="20" t="s">
        <v>30</v>
      </c>
      <c r="O13" s="20">
        <v>0.4364044912746482</v>
      </c>
      <c r="P13" s="20">
        <v>0.34511120668730555</v>
      </c>
      <c r="Q13" s="17">
        <f t="shared" ref="Q13" si="7">(Q12-Q9)/Q9</f>
        <v>6.7870436387320571E-2</v>
      </c>
    </row>
    <row r="14" spans="1:17" ht="17.100000000000001" customHeight="1" x14ac:dyDescent="0.25">
      <c r="A14" s="7" t="s">
        <v>31</v>
      </c>
      <c r="B14" s="21">
        <v>0.32164102289834973</v>
      </c>
      <c r="C14" s="21">
        <v>0.30844538193824156</v>
      </c>
      <c r="D14" s="21">
        <v>0.31338924294497561</v>
      </c>
      <c r="E14" s="21">
        <v>0.3875154379569703</v>
      </c>
      <c r="F14" s="21">
        <v>0.45190710101779219</v>
      </c>
      <c r="G14" s="21">
        <v>0.31319759079354381</v>
      </c>
      <c r="H14" s="13">
        <f t="shared" ref="H14" si="8">(((H12/H6)^(1/2))-1)</f>
        <v>0.10562729569160156</v>
      </c>
      <c r="I14" s="21">
        <v>0.50053536032417867</v>
      </c>
      <c r="J14" s="21" t="s">
        <v>30</v>
      </c>
      <c r="K14" s="21">
        <v>0.50053536032417867</v>
      </c>
      <c r="L14" s="21">
        <v>0.44994583900913154</v>
      </c>
      <c r="M14" s="21">
        <v>0.48210450072683808</v>
      </c>
      <c r="N14" s="21" t="s">
        <v>30</v>
      </c>
      <c r="O14" s="21">
        <v>0.45247817242104849</v>
      </c>
      <c r="P14" s="21">
        <v>0.3133847056327741</v>
      </c>
      <c r="Q14" s="13">
        <f t="shared" ref="Q14" si="9">(((Q12/Q6)^(1/2))-1)</f>
        <v>0.10590458849698647</v>
      </c>
    </row>
    <row r="15" spans="1:17" ht="17.100000000000001" customHeight="1" x14ac:dyDescent="0.25">
      <c r="A15" s="6" t="s">
        <v>22</v>
      </c>
      <c r="B15" s="10">
        <v>98416</v>
      </c>
      <c r="C15" s="10">
        <v>179254.96000000002</v>
      </c>
      <c r="D15" s="10">
        <v>100095</v>
      </c>
      <c r="E15" s="10">
        <v>12751544</v>
      </c>
      <c r="F15" s="10">
        <v>14826.293</v>
      </c>
      <c r="G15" s="10">
        <v>18006.36</v>
      </c>
      <c r="H15" s="14">
        <f t="shared" si="4"/>
        <v>82.339201259999243</v>
      </c>
      <c r="I15" s="9">
        <v>76149</v>
      </c>
      <c r="J15" s="9">
        <v>0</v>
      </c>
      <c r="K15" s="9">
        <v>76149</v>
      </c>
      <c r="L15" s="9">
        <v>1328.777</v>
      </c>
      <c r="M15" s="9">
        <v>83.692999999999998</v>
      </c>
      <c r="N15" s="9">
        <v>0</v>
      </c>
      <c r="O15" s="9">
        <v>1412.47</v>
      </c>
      <c r="P15" s="9">
        <v>1821.7460000000001</v>
      </c>
      <c r="Q15" s="14">
        <f t="shared" si="5"/>
        <v>77.53386037350981</v>
      </c>
    </row>
    <row r="16" spans="1:17" ht="17.100000000000001" customHeight="1" x14ac:dyDescent="0.25">
      <c r="A16" s="4" t="s">
        <v>29</v>
      </c>
      <c r="B16" s="20">
        <v>0.40159790364156828</v>
      </c>
      <c r="C16" s="20">
        <v>0.42773855576751807</v>
      </c>
      <c r="D16" s="20">
        <v>0.44179246370131364</v>
      </c>
      <c r="E16" s="20">
        <v>0.34696131161034077</v>
      </c>
      <c r="F16" s="20">
        <v>0.39424700629787346</v>
      </c>
      <c r="G16" s="20">
        <v>0.44150147557614083</v>
      </c>
      <c r="H16" s="17">
        <f t="shared" ref="H16" si="10">(H15-H12)/H12</f>
        <v>-3.278142275878048E-2</v>
      </c>
      <c r="I16" s="20">
        <v>-2.113300682580695E-2</v>
      </c>
      <c r="J16" s="20" t="s">
        <v>30</v>
      </c>
      <c r="K16" s="20">
        <v>-2.113300682580695E-2</v>
      </c>
      <c r="L16" s="20">
        <v>0.39216214234077551</v>
      </c>
      <c r="M16" s="20">
        <v>-7.3064560129997942E-3</v>
      </c>
      <c r="N16" s="20" t="s">
        <v>30</v>
      </c>
      <c r="O16" s="20">
        <v>0.35974061855312828</v>
      </c>
      <c r="P16" s="20">
        <v>0.44181824225607158</v>
      </c>
      <c r="Q16" s="17">
        <f t="shared" ref="Q16" si="11">(Q15-Q12)/Q12</f>
        <v>-5.6926470547711459E-2</v>
      </c>
    </row>
    <row r="17" spans="1:17" ht="17.100000000000001" customHeight="1" x14ac:dyDescent="0.25">
      <c r="A17" s="7" t="s">
        <v>31</v>
      </c>
      <c r="B17" s="21">
        <v>0.34777321147536733</v>
      </c>
      <c r="C17" s="21">
        <v>0.34705903265447935</v>
      </c>
      <c r="D17" s="21">
        <v>0.35486665287485719</v>
      </c>
      <c r="E17" s="21">
        <v>0.37386351352161107</v>
      </c>
      <c r="F17" s="21">
        <v>0.43242687224908449</v>
      </c>
      <c r="G17" s="21">
        <v>0.3546437011898167</v>
      </c>
      <c r="H17" s="13">
        <f t="shared" ref="H17" si="12">(((H15/H6)^(1/3))-1)</f>
        <v>5.7419652851114389E-2</v>
      </c>
      <c r="I17" s="21">
        <v>0.30138376419435153</v>
      </c>
      <c r="J17" s="21" t="s">
        <v>30</v>
      </c>
      <c r="K17" s="21">
        <v>0.30138376419435153</v>
      </c>
      <c r="L17" s="21">
        <v>0.43042291854771619</v>
      </c>
      <c r="M17" s="21">
        <v>0.29675406045635899</v>
      </c>
      <c r="N17" s="21" t="s">
        <v>30</v>
      </c>
      <c r="O17" s="21">
        <v>0.42088337698640688</v>
      </c>
      <c r="P17" s="21">
        <v>0.35487160719237232</v>
      </c>
      <c r="Q17" s="13">
        <f t="shared" ref="Q17" si="13">(((Q15/Q6)^(1/3))-1)</f>
        <v>4.8721789905116664E-2</v>
      </c>
    </row>
    <row r="18" spans="1:17" ht="17.100000000000001" customHeight="1" x14ac:dyDescent="0.25">
      <c r="A18" s="6" t="s">
        <v>23</v>
      </c>
      <c r="B18" s="10">
        <v>131237</v>
      </c>
      <c r="C18" s="10">
        <v>246142.59000000003</v>
      </c>
      <c r="D18" s="10">
        <v>138813</v>
      </c>
      <c r="E18" s="10">
        <v>16887969</v>
      </c>
      <c r="F18" s="10">
        <v>20259.741999999998</v>
      </c>
      <c r="G18" s="10">
        <v>24976.714</v>
      </c>
      <c r="H18" s="14">
        <f t="shared" si="4"/>
        <v>81.11452130972873</v>
      </c>
      <c r="I18" s="9">
        <v>80968</v>
      </c>
      <c r="J18" s="9">
        <v>0</v>
      </c>
      <c r="K18" s="9">
        <v>80968</v>
      </c>
      <c r="L18" s="9">
        <v>1814.192</v>
      </c>
      <c r="M18" s="9">
        <v>114.797</v>
      </c>
      <c r="N18" s="9">
        <v>0</v>
      </c>
      <c r="O18" s="9">
        <v>1928.989</v>
      </c>
      <c r="P18" s="9">
        <v>2526.38</v>
      </c>
      <c r="Q18" s="14">
        <f t="shared" si="5"/>
        <v>76.353873922371136</v>
      </c>
    </row>
    <row r="19" spans="1:17" ht="17.100000000000001" customHeight="1" x14ac:dyDescent="0.25">
      <c r="A19" s="4" t="s">
        <v>29</v>
      </c>
      <c r="B19" s="22">
        <v>0.33349252154121284</v>
      </c>
      <c r="C19" s="22">
        <v>0.37314242239098988</v>
      </c>
      <c r="D19" s="22">
        <v>0.38681252809830663</v>
      </c>
      <c r="E19" s="22">
        <v>0.32438620766238191</v>
      </c>
      <c r="F19" s="22">
        <v>0.36647387178979929</v>
      </c>
      <c r="G19" s="22">
        <v>0.38710511174940404</v>
      </c>
      <c r="H19" s="17">
        <f t="shared" ref="H19" si="14">(H18-H15)/H15</f>
        <v>-1.4873595219892764E-2</v>
      </c>
      <c r="I19" s="22">
        <v>6.3283825132306404E-2</v>
      </c>
      <c r="J19" s="22" t="s">
        <v>30</v>
      </c>
      <c r="K19" s="22">
        <v>6.3283825132306404E-2</v>
      </c>
      <c r="L19" s="22">
        <v>0.36530960424510656</v>
      </c>
      <c r="M19" s="22">
        <v>0.3716439845626277</v>
      </c>
      <c r="N19" s="22" t="s">
        <v>30</v>
      </c>
      <c r="O19" s="22">
        <v>0.36568493490127224</v>
      </c>
      <c r="P19" s="22">
        <v>0.38679047463257776</v>
      </c>
      <c r="Q19" s="17">
        <f t="shared" ref="Q19" si="15">(Q18-Q15)/Q15</f>
        <v>-1.5218982331773953E-2</v>
      </c>
    </row>
    <row r="20" spans="1:17" ht="17.100000000000001" customHeight="1" x14ac:dyDescent="0.25">
      <c r="A20" s="7" t="s">
        <v>31</v>
      </c>
      <c r="B20" s="21">
        <v>0.34418876490025796</v>
      </c>
      <c r="C20" s="21">
        <v>0.35353305868298013</v>
      </c>
      <c r="D20" s="21">
        <v>0.3627834612843801</v>
      </c>
      <c r="E20" s="21">
        <v>0.36132354104578468</v>
      </c>
      <c r="F20" s="21">
        <v>0.41564603800738809</v>
      </c>
      <c r="G20" s="21">
        <v>0.36268713096025063</v>
      </c>
      <c r="H20" s="13">
        <f t="shared" ref="H20" si="16">(((H18/H6)^(1/4))-1)</f>
        <v>3.8863584930033612E-2</v>
      </c>
      <c r="I20" s="21">
        <v>0.2372752912796483</v>
      </c>
      <c r="J20" s="21" t="s">
        <v>30</v>
      </c>
      <c r="K20" s="21">
        <v>0.2372752912796483</v>
      </c>
      <c r="L20" s="21">
        <v>0.41385909932855358</v>
      </c>
      <c r="M20" s="21">
        <v>0.31508420975467866</v>
      </c>
      <c r="N20" s="21" t="s">
        <v>30</v>
      </c>
      <c r="O20" s="21">
        <v>0.40687805287372503</v>
      </c>
      <c r="P20" s="21">
        <v>0.36278178084832158</v>
      </c>
      <c r="Q20" s="13">
        <f t="shared" ref="Q20" si="17">(((Q18/Q6)^(1/4))-1)</f>
        <v>3.2357544432354945E-2</v>
      </c>
    </row>
    <row r="21" spans="1:17" ht="17.100000000000001" customHeight="1" x14ac:dyDescent="0.25">
      <c r="A21" s="6" t="s">
        <v>24</v>
      </c>
      <c r="B21" s="10">
        <v>158488</v>
      </c>
      <c r="C21" s="10">
        <v>297651.5</v>
      </c>
      <c r="D21" s="10">
        <v>166490</v>
      </c>
      <c r="E21" s="10">
        <v>19568603</v>
      </c>
      <c r="F21" s="10">
        <v>23135.406999999999</v>
      </c>
      <c r="G21" s="10">
        <v>29967.616999999998</v>
      </c>
      <c r="H21" s="14">
        <f t="shared" si="4"/>
        <v>77.201357051513313</v>
      </c>
      <c r="I21" s="9">
        <v>106638</v>
      </c>
      <c r="J21" s="9">
        <v>0</v>
      </c>
      <c r="K21" s="9">
        <v>106638</v>
      </c>
      <c r="L21" s="9">
        <v>2074.25</v>
      </c>
      <c r="M21" s="9">
        <v>131.048</v>
      </c>
      <c r="N21" s="9">
        <v>0</v>
      </c>
      <c r="O21" s="9">
        <v>2205.2979999999998</v>
      </c>
      <c r="P21" s="9">
        <v>3030.1060000000002</v>
      </c>
      <c r="Q21" s="14">
        <f t="shared" si="5"/>
        <v>72.7795661273896</v>
      </c>
    </row>
    <row r="22" spans="1:17" ht="17.100000000000001" customHeight="1" x14ac:dyDescent="0.25">
      <c r="A22" s="4" t="s">
        <v>29</v>
      </c>
      <c r="B22" s="22">
        <v>0.20764723363075963</v>
      </c>
      <c r="C22" s="22">
        <v>0.20926451614895239</v>
      </c>
      <c r="D22" s="22">
        <v>0.19938334305864724</v>
      </c>
      <c r="E22" s="22">
        <v>0.1587303955851648</v>
      </c>
      <c r="F22" s="22">
        <v>0.1419398628077298</v>
      </c>
      <c r="G22" s="22">
        <v>0.19982224242948846</v>
      </c>
      <c r="H22" s="17">
        <f t="shared" ref="H22" si="18">(H21-H18)/H18</f>
        <v>-4.8242462570583886E-2</v>
      </c>
      <c r="I22" s="22">
        <v>0.31703883015512302</v>
      </c>
      <c r="J22" s="22" t="s">
        <v>30</v>
      </c>
      <c r="K22" s="22">
        <v>0.31703883015512302</v>
      </c>
      <c r="L22" s="22">
        <v>0.14334645947066241</v>
      </c>
      <c r="M22" s="22">
        <v>0.14156293282925517</v>
      </c>
      <c r="N22" s="22" t="s">
        <v>30</v>
      </c>
      <c r="O22" s="22">
        <v>0.14324031915163837</v>
      </c>
      <c r="P22" s="22">
        <v>0.19938647392712106</v>
      </c>
      <c r="Q22" s="17">
        <f t="shared" ref="Q22" si="19">(Q21-Q18)/Q18</f>
        <v>-4.6812396167554365E-2</v>
      </c>
    </row>
    <row r="23" spans="1:17" ht="17.100000000000001" customHeight="1" x14ac:dyDescent="0.25">
      <c r="A23" s="7" t="s">
        <v>31</v>
      </c>
      <c r="B23" s="21">
        <v>0.31569803803753449</v>
      </c>
      <c r="C23" s="21">
        <v>0.32336412083209543</v>
      </c>
      <c r="D23" s="21">
        <v>0.32841290544485968</v>
      </c>
      <c r="E23" s="21">
        <v>0.31815221473994537</v>
      </c>
      <c r="F23" s="21">
        <v>0.35610210147065047</v>
      </c>
      <c r="G23" s="21">
        <v>0.32843498778141478</v>
      </c>
      <c r="H23" s="13">
        <f t="shared" ref="H23" si="20">(((H21/H6)^(1/5))-1)</f>
        <v>2.0826848090956807E-2</v>
      </c>
      <c r="I23" s="21">
        <v>0.25283185648320705</v>
      </c>
      <c r="J23" s="21" t="s">
        <v>30</v>
      </c>
      <c r="K23" s="21">
        <v>0.25283185648320705</v>
      </c>
      <c r="L23" s="21">
        <v>0.35506608331832701</v>
      </c>
      <c r="M23" s="21">
        <v>0.27838840309193369</v>
      </c>
      <c r="N23" s="21" t="s">
        <v>30</v>
      </c>
      <c r="O23" s="21">
        <v>0.34968577385937816</v>
      </c>
      <c r="P23" s="21">
        <v>0.32841228853747206</v>
      </c>
      <c r="Q23" s="13">
        <f t="shared" ref="Q23" si="21">(((Q21/Q6)^(1/5))-1)</f>
        <v>1.6014219008262387E-2</v>
      </c>
    </row>
    <row r="24" spans="1:17" ht="17.100000000000001" customHeight="1" x14ac:dyDescent="0.25">
      <c r="A24" s="6" t="s">
        <v>25</v>
      </c>
      <c r="B24" s="10">
        <v>192920</v>
      </c>
      <c r="C24" s="10">
        <v>354277.05</v>
      </c>
      <c r="D24" s="10">
        <v>196267</v>
      </c>
      <c r="E24" s="10">
        <v>25180370</v>
      </c>
      <c r="F24" s="10">
        <v>28177.471000000001</v>
      </c>
      <c r="G24" s="10">
        <v>35326.855000000003</v>
      </c>
      <c r="H24" s="14">
        <f t="shared" si="4"/>
        <v>79.76218375510642</v>
      </c>
      <c r="I24" s="9">
        <v>129532</v>
      </c>
      <c r="J24" s="9">
        <v>8111</v>
      </c>
      <c r="K24" s="9">
        <v>137643</v>
      </c>
      <c r="L24" s="9">
        <v>2532.9899999999998</v>
      </c>
      <c r="M24" s="9">
        <v>172.173</v>
      </c>
      <c r="N24" s="9">
        <v>9.532</v>
      </c>
      <c r="O24" s="9">
        <v>2714.6950000000002</v>
      </c>
      <c r="P24" s="9">
        <v>3572.0729999999999</v>
      </c>
      <c r="Q24" s="14">
        <f t="shared" si="5"/>
        <v>75.997746966537363</v>
      </c>
    </row>
    <row r="25" spans="1:17" ht="17.100000000000001" customHeight="1" x14ac:dyDescent="0.25">
      <c r="A25" s="4" t="s">
        <v>29</v>
      </c>
      <c r="B25" s="22">
        <v>0.21725304123971531</v>
      </c>
      <c r="C25" s="22">
        <v>0.1902411041100078</v>
      </c>
      <c r="D25" s="22">
        <v>0.17885158267763829</v>
      </c>
      <c r="E25" s="22">
        <v>0.28677402265251128</v>
      </c>
      <c r="F25" s="22">
        <v>0.2179371212272169</v>
      </c>
      <c r="G25" s="22">
        <v>0.17883430637811493</v>
      </c>
      <c r="H25" s="17">
        <f t="shared" ref="H25" si="22">(H24-H21)/H21</f>
        <v>3.3170747269175238E-2</v>
      </c>
      <c r="I25" s="22">
        <v>0.21468894765468219</v>
      </c>
      <c r="J25" s="22" t="s">
        <v>30</v>
      </c>
      <c r="K25" s="22">
        <v>0.29075001406628032</v>
      </c>
      <c r="L25" s="22">
        <v>0.22115945522477995</v>
      </c>
      <c r="M25" s="22">
        <v>0.31381631158048956</v>
      </c>
      <c r="N25" s="22" t="s">
        <v>30</v>
      </c>
      <c r="O25" s="22">
        <v>0.23098783021614333</v>
      </c>
      <c r="P25" s="22">
        <v>0.17886073952528381</v>
      </c>
      <c r="Q25" s="17">
        <f t="shared" ref="Q25" si="23">(Q24-Q21)/Q21</f>
        <v>4.4218192143586361E-2</v>
      </c>
    </row>
    <row r="26" spans="1:17" ht="17.100000000000001" customHeight="1" x14ac:dyDescent="0.25">
      <c r="A26" s="7" t="s">
        <v>31</v>
      </c>
      <c r="B26" s="21">
        <v>0.29875430642821077</v>
      </c>
      <c r="C26" s="21">
        <v>0.30018540679559114</v>
      </c>
      <c r="D26" s="21">
        <v>0.3022291926445988</v>
      </c>
      <c r="E26" s="21">
        <v>0.31286987713241521</v>
      </c>
      <c r="F26" s="21">
        <v>0.33203141878839015</v>
      </c>
      <c r="G26" s="21">
        <v>0.30224405105418639</v>
      </c>
      <c r="H26" s="13">
        <f t="shared" ref="H26" si="24">(((H24/H6)^(1/6))-1)</f>
        <v>2.2873875069800098E-2</v>
      </c>
      <c r="I26" s="21">
        <v>0.24639252740605189</v>
      </c>
      <c r="J26" s="21" t="s">
        <v>30</v>
      </c>
      <c r="K26" s="21">
        <v>0.25907329609728014</v>
      </c>
      <c r="L26" s="21">
        <v>0.33176968679917951</v>
      </c>
      <c r="M26" s="21">
        <v>0.284226005640978</v>
      </c>
      <c r="N26" s="21" t="s">
        <v>30</v>
      </c>
      <c r="O26" s="21">
        <v>0.3291362979183674</v>
      </c>
      <c r="P26" s="21">
        <v>0.30223037454788315</v>
      </c>
      <c r="Q26" s="13">
        <f t="shared" ref="Q26" si="25">(((Q24/Q6)^(1/6))-1)</f>
        <v>2.0661415903330926E-2</v>
      </c>
    </row>
    <row r="27" spans="1:17" ht="17.100000000000001" customHeight="1" x14ac:dyDescent="0.25">
      <c r="A27" s="6" t="s">
        <v>26</v>
      </c>
      <c r="B27" s="10">
        <v>236385</v>
      </c>
      <c r="C27" s="10">
        <v>436742.0199999999</v>
      </c>
      <c r="D27" s="10">
        <v>238025</v>
      </c>
      <c r="E27" s="10">
        <v>33103686</v>
      </c>
      <c r="F27" s="10">
        <v>35968.266000000003</v>
      </c>
      <c r="G27" s="10">
        <v>42825.673999999999</v>
      </c>
      <c r="H27" s="14">
        <f t="shared" si="4"/>
        <v>83.987623872539643</v>
      </c>
      <c r="I27" s="9">
        <v>138311.22090000001</v>
      </c>
      <c r="J27" s="9">
        <v>11899.743924999999</v>
      </c>
      <c r="K27" s="9">
        <v>150210.964825</v>
      </c>
      <c r="L27" s="9">
        <v>3236.9180000000001</v>
      </c>
      <c r="M27" s="9">
        <v>183.85900000000001</v>
      </c>
      <c r="N27" s="9">
        <v>14.86</v>
      </c>
      <c r="O27" s="9">
        <v>3435.6370000000002</v>
      </c>
      <c r="P27" s="9">
        <v>4595.1000000000004</v>
      </c>
      <c r="Q27" s="14">
        <f t="shared" si="5"/>
        <v>74.767404409044417</v>
      </c>
    </row>
    <row r="28" spans="1:17" ht="17.100000000000001" customHeight="1" x14ac:dyDescent="0.25">
      <c r="A28" s="4" t="s">
        <v>29</v>
      </c>
      <c r="B28" s="22">
        <v>0.22530064275347295</v>
      </c>
      <c r="C28" s="22">
        <v>0.23276972075950139</v>
      </c>
      <c r="D28" s="22">
        <v>0.21276118756591786</v>
      </c>
      <c r="E28" s="22">
        <v>0.31466241361822722</v>
      </c>
      <c r="F28" s="22">
        <v>0.2764902144695669</v>
      </c>
      <c r="G28" s="22">
        <v>0.21226964585440722</v>
      </c>
      <c r="H28" s="17">
        <f t="shared" ref="H28" si="26">(H27-H24)/H24</f>
        <v>5.297548184496275E-2</v>
      </c>
      <c r="I28" s="22">
        <v>6.7776463730970071E-2</v>
      </c>
      <c r="J28" s="22">
        <v>0.46711181420293413</v>
      </c>
      <c r="K28" s="22">
        <v>9.1308419788874134E-2</v>
      </c>
      <c r="L28" s="22">
        <v>0.2779039790919034</v>
      </c>
      <c r="M28" s="22">
        <v>6.7873592258948887E-2</v>
      </c>
      <c r="N28" s="22">
        <v>0.55895929500629449</v>
      </c>
      <c r="O28" s="22">
        <v>0.26557016534085781</v>
      </c>
      <c r="P28" s="22">
        <v>0.2863958827269209</v>
      </c>
      <c r="Q28" s="17">
        <f t="shared" ref="Q28" si="27">(Q27-Q24)/Q24</f>
        <v>-1.618919779338563E-2</v>
      </c>
    </row>
    <row r="29" spans="1:17" ht="17.100000000000001" customHeight="1" x14ac:dyDescent="0.25">
      <c r="A29" s="7" t="s">
        <v>31</v>
      </c>
      <c r="B29" s="21">
        <v>0.28799729856512557</v>
      </c>
      <c r="C29" s="21">
        <v>0.2903334462069882</v>
      </c>
      <c r="D29" s="21">
        <v>0.28905487986966305</v>
      </c>
      <c r="E29" s="21">
        <v>0.31312580405572477</v>
      </c>
      <c r="F29" s="21">
        <v>0.32395139992994215</v>
      </c>
      <c r="G29" s="21">
        <v>0.2889928353607325</v>
      </c>
      <c r="H29" s="13">
        <f t="shared" ref="H29" si="28">(((H27/H6)^(1/7))-1)</f>
        <v>2.7120836990087938E-2</v>
      </c>
      <c r="I29" s="21">
        <v>0.21915375453178809</v>
      </c>
      <c r="J29" s="21" t="s">
        <v>30</v>
      </c>
      <c r="K29" s="21">
        <v>0.23361341479646502</v>
      </c>
      <c r="L29" s="21">
        <v>0.32393775699917149</v>
      </c>
      <c r="M29" s="21">
        <v>0.25082201209583488</v>
      </c>
      <c r="N29" s="21" t="s">
        <v>30</v>
      </c>
      <c r="O29" s="21">
        <v>0.31986358983107199</v>
      </c>
      <c r="P29" s="21">
        <v>0.29995642662767619</v>
      </c>
      <c r="Q29" s="13">
        <f t="shared" ref="Q29" si="29">(((Q27/Q6)^(1/7))-1)</f>
        <v>1.531371574894913E-2</v>
      </c>
    </row>
    <row r="30" spans="1:17" ht="17.100000000000001" customHeight="1" x14ac:dyDescent="0.25">
      <c r="A30" s="6" t="s">
        <v>27</v>
      </c>
      <c r="B30" s="10">
        <v>300526</v>
      </c>
      <c r="C30" s="10">
        <v>558566.74769999995</v>
      </c>
      <c r="D30" s="10">
        <v>303494.57400000002</v>
      </c>
      <c r="E30" s="10">
        <v>43531952</v>
      </c>
      <c r="F30" s="10">
        <v>46288.307000000001</v>
      </c>
      <c r="G30" s="10">
        <v>54582.542000000001</v>
      </c>
      <c r="H30" s="14">
        <f t="shared" si="4"/>
        <v>84.804234658034062</v>
      </c>
      <c r="I30" s="9">
        <v>163177</v>
      </c>
      <c r="J30" s="9">
        <v>14204</v>
      </c>
      <c r="K30" s="9">
        <v>177381</v>
      </c>
      <c r="L30" s="9">
        <v>4166.085986</v>
      </c>
      <c r="M30" s="9">
        <v>215.91493700000001</v>
      </c>
      <c r="N30" s="9">
        <v>15.645637000000001</v>
      </c>
      <c r="O30" s="9">
        <v>4397.6465599999992</v>
      </c>
      <c r="P30" s="9">
        <v>5935.1954999999998</v>
      </c>
      <c r="Q30" s="14">
        <f t="shared" si="5"/>
        <v>74.094384254065417</v>
      </c>
    </row>
    <row r="31" spans="1:17" ht="17.100000000000001" customHeight="1" x14ac:dyDescent="0.25">
      <c r="A31" s="4" t="s">
        <v>29</v>
      </c>
      <c r="B31" s="22">
        <v>0.27134124415677813</v>
      </c>
      <c r="C31" s="22">
        <v>0.27893979081747178</v>
      </c>
      <c r="D31" s="22">
        <v>0.27505335153870403</v>
      </c>
      <c r="E31" s="22">
        <v>0.31501827319169229</v>
      </c>
      <c r="F31" s="22">
        <v>0.28692072617567932</v>
      </c>
      <c r="G31" s="22">
        <v>0.27452849895602349</v>
      </c>
      <c r="H31" s="17">
        <f t="shared" ref="H31" si="30">(H30-H27)/H27</f>
        <v>9.722989505378964E-3</v>
      </c>
      <c r="I31" s="22">
        <v>0.17978135785510937</v>
      </c>
      <c r="J31" s="22">
        <v>0.19363913118827902</v>
      </c>
      <c r="K31" s="22">
        <v>0.180879173545379</v>
      </c>
      <c r="L31" s="22">
        <v>0.28705329761211124</v>
      </c>
      <c r="M31" s="22">
        <v>0.17435065457769269</v>
      </c>
      <c r="N31" s="22">
        <v>5.286924629878878E-2</v>
      </c>
      <c r="O31" s="22">
        <v>0.2800090812853625</v>
      </c>
      <c r="P31" s="22">
        <v>0.29163576418358672</v>
      </c>
      <c r="Q31" s="17">
        <f t="shared" ref="Q31" si="31">(Q30-Q27)/Q27</f>
        <v>-9.0015182457983799E-3</v>
      </c>
    </row>
    <row r="32" spans="1:17" ht="17.100000000000001" customHeight="1" x14ac:dyDescent="0.25">
      <c r="A32" s="7" t="s">
        <v>31</v>
      </c>
      <c r="B32" s="21">
        <v>0.28590341642339934</v>
      </c>
      <c r="C32" s="21">
        <v>0.28890370683094213</v>
      </c>
      <c r="D32" s="21">
        <v>0.28729631490611163</v>
      </c>
      <c r="E32" s="21">
        <v>0.31336221367640782</v>
      </c>
      <c r="F32" s="21">
        <v>0.31926491310750871</v>
      </c>
      <c r="G32" s="21">
        <v>0.28717585419670111</v>
      </c>
      <c r="H32" s="13">
        <f t="shared" ref="H32" si="32">(((H30/H6)^(1/8))-1)</f>
        <v>2.4929817325413994E-2</v>
      </c>
      <c r="I32" s="21">
        <v>0.21416123141001253</v>
      </c>
      <c r="J32" s="21" t="s">
        <v>30</v>
      </c>
      <c r="K32" s="21">
        <v>0.22689495573568741</v>
      </c>
      <c r="L32" s="21">
        <v>0.31927000479234313</v>
      </c>
      <c r="M32" s="21">
        <v>0.24099719606890413</v>
      </c>
      <c r="N32" s="21" t="s">
        <v>30</v>
      </c>
      <c r="O32" s="21">
        <v>0.31481469325893174</v>
      </c>
      <c r="P32" s="21">
        <v>0.29891341955537842</v>
      </c>
      <c r="Q32" s="13">
        <f t="shared" ref="Q32" si="33">(((Q30/Q6)^(1/8))-1)</f>
        <v>1.2241981231509769E-2</v>
      </c>
    </row>
    <row r="33" spans="1:17" ht="17.100000000000001" customHeight="1" x14ac:dyDescent="0.25">
      <c r="A33" s="6" t="s">
        <v>28</v>
      </c>
      <c r="B33" s="10">
        <v>347640</v>
      </c>
      <c r="C33" s="10">
        <v>654040.32053000003</v>
      </c>
      <c r="D33" s="10">
        <v>353803.94799999997</v>
      </c>
      <c r="E33" s="10">
        <v>52141844</v>
      </c>
      <c r="F33" s="10">
        <v>55523.815000000002</v>
      </c>
      <c r="G33" s="10">
        <v>63510.063999999998</v>
      </c>
      <c r="H33" s="14">
        <f t="shared" si="4"/>
        <v>87.425222874913189</v>
      </c>
      <c r="I33" s="9">
        <v>192467.33000000002</v>
      </c>
      <c r="J33" s="9">
        <v>15237.461000000001</v>
      </c>
      <c r="K33" s="9">
        <v>207704.79100000003</v>
      </c>
      <c r="L33" s="9">
        <v>4997.0683200000003</v>
      </c>
      <c r="M33" s="9">
        <v>261.02579000000003</v>
      </c>
      <c r="N33" s="9">
        <v>16.439809999999998</v>
      </c>
      <c r="O33" s="9">
        <v>5274.5339199999999</v>
      </c>
      <c r="P33" s="9">
        <v>6890.4937499999996</v>
      </c>
      <c r="Q33" s="14">
        <f t="shared" si="5"/>
        <v>76.547982065871551</v>
      </c>
    </row>
    <row r="34" spans="1:17" ht="17.100000000000001" customHeight="1" x14ac:dyDescent="0.25">
      <c r="A34" s="4" t="s">
        <v>29</v>
      </c>
      <c r="B34" s="22">
        <v>0.15677179345547473</v>
      </c>
      <c r="C34" s="22">
        <v>0.17092598731150727</v>
      </c>
      <c r="D34" s="22">
        <v>0.16576696359652199</v>
      </c>
      <c r="E34" s="22">
        <v>0.19778327422579167</v>
      </c>
      <c r="F34" s="22">
        <v>0.19952140396925733</v>
      </c>
      <c r="G34" s="22">
        <v>0.16356002620764706</v>
      </c>
      <c r="H34" s="17">
        <f t="shared" ref="H34" si="34">(H33-H30)/H30</f>
        <v>3.0906336546141135E-2</v>
      </c>
      <c r="I34" s="22">
        <v>0.17950035850640725</v>
      </c>
      <c r="J34" s="22">
        <v>7.2758448324415734E-2</v>
      </c>
      <c r="K34" s="22">
        <v>0.17095286981131028</v>
      </c>
      <c r="L34" s="22">
        <v>0.19946355807165048</v>
      </c>
      <c r="M34" s="22">
        <v>0.20892881996394727</v>
      </c>
      <c r="N34" s="22">
        <v>5.0760029776991317E-2</v>
      </c>
      <c r="O34" s="22">
        <v>0.19939923503083903</v>
      </c>
      <c r="P34" s="22">
        <v>0.16095480763860262</v>
      </c>
      <c r="Q34" s="17">
        <f t="shared" ref="Q34" si="35">(Q33-Q30)/Q30</f>
        <v>3.3114490882235913E-2</v>
      </c>
    </row>
    <row r="35" spans="1:17" ht="17.100000000000001" customHeight="1" x14ac:dyDescent="0.25">
      <c r="A35" s="7" t="s">
        <v>31</v>
      </c>
      <c r="B35" s="21">
        <v>0.27087141124567071</v>
      </c>
      <c r="C35" s="21">
        <v>0.27522887022574416</v>
      </c>
      <c r="D35" s="21">
        <v>0.2731903198454011</v>
      </c>
      <c r="E35" s="21">
        <v>0.29998809680225214</v>
      </c>
      <c r="F35" s="21">
        <v>0.30539052312255888</v>
      </c>
      <c r="G35" s="21">
        <v>0.27281640170945032</v>
      </c>
      <c r="H35" s="13">
        <f t="shared" ref="H35" si="36">(((H33/H6)^(1/9))-1)</f>
        <v>2.5592160322069901E-2</v>
      </c>
      <c r="I35" s="21">
        <v>0.21026026380886109</v>
      </c>
      <c r="J35" s="21" t="s">
        <v>30</v>
      </c>
      <c r="K35" s="21">
        <v>0.22054946511008899</v>
      </c>
      <c r="L35" s="21">
        <v>0.30538800669755672</v>
      </c>
      <c r="M35" s="21">
        <v>0.23739244256018166</v>
      </c>
      <c r="N35" s="21" t="s">
        <v>30</v>
      </c>
      <c r="O35" s="21">
        <v>0.30146091062672897</v>
      </c>
      <c r="P35" s="21">
        <v>0.28280865862815663</v>
      </c>
      <c r="Q35" s="13">
        <f t="shared" ref="Q35" si="37">(((Q33/Q6)^(1/9))-1)</f>
        <v>1.4540166901055418E-2</v>
      </c>
    </row>
    <row r="36" spans="1:17" ht="17.100000000000001" customHeight="1" x14ac:dyDescent="0.25">
      <c r="A36" s="6" t="s">
        <v>32</v>
      </c>
      <c r="B36" s="10">
        <v>448904</v>
      </c>
      <c r="C36" s="10">
        <v>853552.33082999999</v>
      </c>
      <c r="D36" s="10">
        <v>456346.02600000001</v>
      </c>
      <c r="E36" s="10">
        <v>64742944</v>
      </c>
      <c r="F36" s="10">
        <v>69811.416639000003</v>
      </c>
      <c r="G36" s="10">
        <v>81028.372488000008</v>
      </c>
      <c r="H36" s="14">
        <f t="shared" si="4"/>
        <v>86.156755338185775</v>
      </c>
      <c r="I36" s="9">
        <v>188184.70794999998</v>
      </c>
      <c r="J36" s="9">
        <v>21163.398409999998</v>
      </c>
      <c r="K36" s="9">
        <v>209348.10635999998</v>
      </c>
      <c r="L36" s="9">
        <v>6282.6052390000004</v>
      </c>
      <c r="M36" s="9">
        <v>257.76510559999997</v>
      </c>
      <c r="N36" s="9">
        <v>21.825904699999995</v>
      </c>
      <c r="O36" s="9">
        <v>6562.1962493000001</v>
      </c>
      <c r="P36" s="9">
        <v>8959.9306053</v>
      </c>
      <c r="Q36" s="14">
        <f t="shared" si="5"/>
        <v>73.239364660015497</v>
      </c>
    </row>
    <row r="37" spans="1:17" ht="17.100000000000001" customHeight="1" x14ac:dyDescent="0.25">
      <c r="A37" s="4" t="s">
        <v>29</v>
      </c>
      <c r="B37" s="22">
        <v>0.29128984006443448</v>
      </c>
      <c r="C37" s="22">
        <v>0.30504542921501521</v>
      </c>
      <c r="D37" s="22">
        <v>0.28982739898651455</v>
      </c>
      <c r="E37" s="22">
        <v>0.24166962718081086</v>
      </c>
      <c r="F37" s="22">
        <v>0.25732384633512667</v>
      </c>
      <c r="G37" s="22">
        <v>0.27583515721224922</v>
      </c>
      <c r="H37" s="17">
        <f t="shared" ref="H37" si="38">(H36-H33)/H33</f>
        <v>-1.4509171323958989E-2</v>
      </c>
      <c r="I37" s="22">
        <v>-2.2251163613066352E-2</v>
      </c>
      <c r="J37" s="22">
        <v>0.38890582952107283</v>
      </c>
      <c r="K37" s="22">
        <v>7.9117836044520964E-3</v>
      </c>
      <c r="L37" s="22">
        <v>0.25725822355776795</v>
      </c>
      <c r="M37" s="22">
        <v>-1.2491809334242638E-2</v>
      </c>
      <c r="N37" s="22">
        <v>0.32762511853847448</v>
      </c>
      <c r="O37" s="22">
        <v>0.24412817299694231</v>
      </c>
      <c r="P37" s="22">
        <v>0.30033215766286714</v>
      </c>
      <c r="Q37" s="17">
        <f t="shared" ref="Q37" si="39">(Q36-Q33)/Q33</f>
        <v>-4.3222790680607387E-2</v>
      </c>
    </row>
    <row r="38" spans="1:17" x14ac:dyDescent="0.25">
      <c r="A38" s="7" t="s">
        <v>31</v>
      </c>
      <c r="B38" s="21">
        <v>0.27289864026126254</v>
      </c>
      <c r="C38" s="21">
        <v>0.27817961115112566</v>
      </c>
      <c r="D38" s="21">
        <v>0.27484432493452982</v>
      </c>
      <c r="E38" s="21">
        <v>0.29403506266754142</v>
      </c>
      <c r="F38" s="21">
        <v>0.30050230171295467</v>
      </c>
      <c r="G38" s="21">
        <v>0.27311795555983909</v>
      </c>
      <c r="H38" s="13">
        <f t="shared" ref="H38" si="40">(((H36/H6)^(1/10))-1)</f>
        <v>2.1509669260043829E-2</v>
      </c>
      <c r="I38" s="21">
        <v>0.18471429225959102</v>
      </c>
      <c r="J38" s="21" t="s">
        <v>30</v>
      </c>
      <c r="K38" s="21">
        <v>0.19740784320985805</v>
      </c>
      <c r="L38" s="21">
        <v>0.30049325762683532</v>
      </c>
      <c r="M38" s="21">
        <v>0.20979221065778186</v>
      </c>
      <c r="N38" s="21" t="s">
        <v>30</v>
      </c>
      <c r="O38" s="21">
        <v>0.29561070649167287</v>
      </c>
      <c r="P38" s="21">
        <v>0.28455032891205367</v>
      </c>
      <c r="Q38" s="13">
        <f t="shared" ref="Q38" si="41">(((Q36/Q6)^(1/10))-1)</f>
        <v>8.610310807352306E-3</v>
      </c>
    </row>
    <row r="39" spans="1:17" x14ac:dyDescent="0.25">
      <c r="A39" s="26" t="s">
        <v>41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spans="1:17" ht="30.75" customHeight="1" x14ac:dyDescent="0.25">
      <c r="A40" s="28" t="s">
        <v>53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opLeftCell="A19" workbookViewId="0">
      <selection activeCell="A40" sqref="A40:XFD40"/>
    </sheetView>
  </sheetViews>
  <sheetFormatPr defaultRowHeight="15" x14ac:dyDescent="0.25"/>
  <cols>
    <col min="1" max="1" width="7.7109375" bestFit="1" customWidth="1"/>
    <col min="2" max="2" width="8.28515625" customWidth="1"/>
    <col min="3" max="3" width="8.42578125" customWidth="1"/>
    <col min="4" max="4" width="8.28515625" customWidth="1"/>
    <col min="5" max="5" width="10.85546875" customWidth="1"/>
    <col min="6" max="6" width="7.28515625" customWidth="1"/>
    <col min="7" max="7" width="7.5703125" customWidth="1"/>
    <col min="8" max="8" width="6.5703125" customWidth="1"/>
    <col min="9" max="9" width="9.7109375" customWidth="1"/>
    <col min="10" max="10" width="9.140625" customWidth="1"/>
    <col min="11" max="11" width="9.7109375" customWidth="1"/>
    <col min="12" max="12" width="8" customWidth="1"/>
    <col min="13" max="13" width="7.7109375" customWidth="1"/>
    <col min="14" max="14" width="7" customWidth="1"/>
    <col min="15" max="15" width="7.85546875" customWidth="1"/>
    <col min="17" max="17" width="8.140625" customWidth="1"/>
  </cols>
  <sheetData>
    <row r="1" spans="1:17" x14ac:dyDescent="0.25">
      <c r="A1" s="30" t="s">
        <v>49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x14ac:dyDescent="0.25">
      <c r="A2" s="32" t="s">
        <v>42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4" t="s">
        <v>43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1:17" x14ac:dyDescent="0.25">
      <c r="A4" s="34" t="s">
        <v>0</v>
      </c>
      <c r="B4" s="34" t="s">
        <v>1</v>
      </c>
      <c r="C4" s="34"/>
      <c r="D4" s="34"/>
      <c r="E4" s="34" t="s">
        <v>2</v>
      </c>
      <c r="F4" s="35"/>
      <c r="G4" s="24" t="s">
        <v>3</v>
      </c>
      <c r="H4" s="24" t="s">
        <v>4</v>
      </c>
      <c r="I4" s="34" t="s">
        <v>5</v>
      </c>
      <c r="J4" s="34"/>
      <c r="K4" s="34"/>
      <c r="L4" s="34" t="s">
        <v>6</v>
      </c>
      <c r="M4" s="34"/>
      <c r="N4" s="34"/>
      <c r="O4" s="34"/>
      <c r="P4" s="24" t="s">
        <v>7</v>
      </c>
      <c r="Q4" s="24" t="s">
        <v>8</v>
      </c>
    </row>
    <row r="5" spans="1:17" ht="114" customHeight="1" x14ac:dyDescent="0.25">
      <c r="A5" s="34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25"/>
      <c r="H5" s="25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25"/>
      <c r="Q5" s="25"/>
    </row>
    <row r="6" spans="1:17" x14ac:dyDescent="0.25">
      <c r="A6" s="6" t="s">
        <v>19</v>
      </c>
      <c r="B6" s="10">
        <v>133265</v>
      </c>
      <c r="C6" s="10">
        <v>317246</v>
      </c>
      <c r="D6" s="10">
        <v>179024</v>
      </c>
      <c r="E6" s="10">
        <v>11030474</v>
      </c>
      <c r="F6" s="10">
        <v>21445.834999999999</v>
      </c>
      <c r="G6" s="10">
        <v>31652.288</v>
      </c>
      <c r="H6" s="9">
        <f>F6/G6*100</f>
        <v>67.754454275153819</v>
      </c>
      <c r="I6" s="9">
        <v>177454</v>
      </c>
      <c r="J6" s="9">
        <v>3857</v>
      </c>
      <c r="K6" s="9">
        <v>181311</v>
      </c>
      <c r="L6" s="9">
        <v>1779.605</v>
      </c>
      <c r="M6" s="9">
        <v>618.59900000000005</v>
      </c>
      <c r="N6" s="9">
        <v>8.8230000000000004</v>
      </c>
      <c r="O6" s="9">
        <v>2407.027</v>
      </c>
      <c r="P6" s="9">
        <v>4662.5519999999997</v>
      </c>
      <c r="Q6" s="9">
        <f>O6/P6*100</f>
        <v>51.624668207453773</v>
      </c>
    </row>
    <row r="7" spans="1:17" x14ac:dyDescent="0.25">
      <c r="A7" s="4" t="s">
        <v>29</v>
      </c>
      <c r="B7" s="5" t="s">
        <v>30</v>
      </c>
      <c r="C7" s="5" t="s">
        <v>30</v>
      </c>
      <c r="D7" s="5" t="s">
        <v>30</v>
      </c>
      <c r="E7" s="5" t="s">
        <v>30</v>
      </c>
      <c r="F7" s="5" t="s">
        <v>30</v>
      </c>
      <c r="G7" s="5" t="s">
        <v>30</v>
      </c>
      <c r="H7" s="5" t="s">
        <v>30</v>
      </c>
      <c r="I7" s="5" t="s">
        <v>30</v>
      </c>
      <c r="J7" s="5" t="s">
        <v>30</v>
      </c>
      <c r="K7" s="5" t="s">
        <v>30</v>
      </c>
      <c r="L7" s="5" t="s">
        <v>30</v>
      </c>
      <c r="M7" s="5" t="s">
        <v>30</v>
      </c>
      <c r="N7" s="5" t="s">
        <v>30</v>
      </c>
      <c r="O7" s="5" t="s">
        <v>30</v>
      </c>
      <c r="P7" s="5" t="s">
        <v>30</v>
      </c>
      <c r="Q7" s="5" t="s">
        <v>30</v>
      </c>
    </row>
    <row r="8" spans="1:17" x14ac:dyDescent="0.25">
      <c r="A8" s="7" t="s">
        <v>31</v>
      </c>
      <c r="B8" s="12" t="s">
        <v>30</v>
      </c>
      <c r="C8" s="12" t="s">
        <v>30</v>
      </c>
      <c r="D8" s="12" t="s">
        <v>30</v>
      </c>
      <c r="E8" s="12" t="s">
        <v>30</v>
      </c>
      <c r="F8" s="12" t="s">
        <v>30</v>
      </c>
      <c r="G8" s="12" t="s">
        <v>30</v>
      </c>
      <c r="H8" s="12" t="s">
        <v>30</v>
      </c>
      <c r="I8" s="12" t="s">
        <v>30</v>
      </c>
      <c r="J8" s="12" t="s">
        <v>30</v>
      </c>
      <c r="K8" s="12" t="s">
        <v>30</v>
      </c>
      <c r="L8" s="12" t="s">
        <v>30</v>
      </c>
      <c r="M8" s="12" t="s">
        <v>30</v>
      </c>
      <c r="N8" s="12" t="s">
        <v>30</v>
      </c>
      <c r="O8" s="12" t="s">
        <v>30</v>
      </c>
      <c r="P8" s="12" t="s">
        <v>30</v>
      </c>
      <c r="Q8" s="12" t="s">
        <v>30</v>
      </c>
    </row>
    <row r="9" spans="1:17" x14ac:dyDescent="0.25">
      <c r="A9" s="6" t="s">
        <v>20</v>
      </c>
      <c r="B9" s="10">
        <v>130573</v>
      </c>
      <c r="C9" s="10">
        <v>310550</v>
      </c>
      <c r="D9" s="10">
        <v>173862</v>
      </c>
      <c r="E9" s="10">
        <v>11986743</v>
      </c>
      <c r="F9" s="10">
        <v>22629.544999999998</v>
      </c>
      <c r="G9" s="10">
        <v>29227.674999999999</v>
      </c>
      <c r="H9" s="14">
        <f>F9/G9*100</f>
        <v>77.425060323819807</v>
      </c>
      <c r="I9" s="9">
        <v>184396</v>
      </c>
      <c r="J9" s="9">
        <v>3369</v>
      </c>
      <c r="K9" s="9">
        <v>187765</v>
      </c>
      <c r="L9" s="9">
        <v>1884.9749999999999</v>
      </c>
      <c r="M9" s="9">
        <v>699.96299999999997</v>
      </c>
      <c r="N9" s="9">
        <v>7.4550000000000001</v>
      </c>
      <c r="O9" s="9">
        <v>2592.393</v>
      </c>
      <c r="P9" s="9">
        <v>4188.6130000000003</v>
      </c>
      <c r="Q9" s="14">
        <f>O9/P9*100</f>
        <v>61.891442346189528</v>
      </c>
    </row>
    <row r="10" spans="1:17" x14ac:dyDescent="0.25">
      <c r="A10" s="4" t="s">
        <v>29</v>
      </c>
      <c r="B10" s="20">
        <v>-2.0200352680748882E-2</v>
      </c>
      <c r="C10" s="20">
        <v>-2.1106649098806603E-2</v>
      </c>
      <c r="D10" s="20">
        <v>-2.8834122799177762E-2</v>
      </c>
      <c r="E10" s="20">
        <v>8.6693373285681108E-2</v>
      </c>
      <c r="F10" s="20">
        <v>5.5195332800051816E-2</v>
      </c>
      <c r="G10" s="20">
        <v>-7.6601508238519786E-2</v>
      </c>
      <c r="H10" s="17">
        <f t="shared" ref="H10" si="0">(H9-H6)/H6</f>
        <v>0.14273018876948268</v>
      </c>
      <c r="I10" s="20">
        <v>3.911999729507365E-2</v>
      </c>
      <c r="J10" s="20">
        <v>-0.12652320456313196</v>
      </c>
      <c r="K10" s="20">
        <v>3.5596295867321895E-2</v>
      </c>
      <c r="L10" s="20">
        <v>5.9209768459854796E-2</v>
      </c>
      <c r="M10" s="20">
        <v>0.13152947224292297</v>
      </c>
      <c r="N10" s="20">
        <v>-0.15504930295817751</v>
      </c>
      <c r="O10" s="20">
        <v>7.7010353436002169E-2</v>
      </c>
      <c r="P10" s="20">
        <v>-0.10164798162036572</v>
      </c>
      <c r="Q10" s="17">
        <f t="shared" ref="Q10" si="1">(Q9-Q6)/Q6</f>
        <v>0.19887341643492437</v>
      </c>
    </row>
    <row r="11" spans="1:17" x14ac:dyDescent="0.25">
      <c r="A11" s="7" t="s">
        <v>31</v>
      </c>
      <c r="B11" s="21">
        <v>-2.0200352680748934E-2</v>
      </c>
      <c r="C11" s="21">
        <v>-2.1106649098806551E-2</v>
      </c>
      <c r="D11" s="21">
        <v>-2.8834122799177742E-2</v>
      </c>
      <c r="E11" s="21">
        <v>8.6693373285681163E-2</v>
      </c>
      <c r="F11" s="21">
        <v>5.5195332800051844E-2</v>
      </c>
      <c r="G11" s="21">
        <v>-7.6601508238519744E-2</v>
      </c>
      <c r="H11" s="13">
        <f t="shared" ref="H11" si="2">(((H9/H6)^(1/1))-1)</f>
        <v>0.14273018876948274</v>
      </c>
      <c r="I11" s="21">
        <v>3.9119997295073761E-2</v>
      </c>
      <c r="J11" s="21">
        <v>-0.12652320456313193</v>
      </c>
      <c r="K11" s="21">
        <v>3.5596295867321937E-2</v>
      </c>
      <c r="L11" s="21">
        <v>5.9209768459854706E-2</v>
      </c>
      <c r="M11" s="21">
        <v>0.131529472242923</v>
      </c>
      <c r="N11" s="21">
        <v>-0.15504930295817754</v>
      </c>
      <c r="O11" s="21">
        <v>7.7010353436002266E-2</v>
      </c>
      <c r="P11" s="21">
        <v>-0.1016479816203657</v>
      </c>
      <c r="Q11" s="13">
        <f t="shared" ref="Q11" si="3">(((Q9/Q6)^(1/1))-1)</f>
        <v>0.1988734164349244</v>
      </c>
    </row>
    <row r="12" spans="1:17" x14ac:dyDescent="0.25">
      <c r="A12" s="6" t="s">
        <v>21</v>
      </c>
      <c r="B12" s="10">
        <v>146622</v>
      </c>
      <c r="C12" s="10">
        <v>351719</v>
      </c>
      <c r="D12" s="10">
        <v>199336</v>
      </c>
      <c r="E12" s="10">
        <v>14643462</v>
      </c>
      <c r="F12" s="10">
        <v>26972.34</v>
      </c>
      <c r="G12" s="10">
        <v>34323.112999999998</v>
      </c>
      <c r="H12" s="14">
        <f t="shared" ref="H12:H36" si="4">F12/G12*100</f>
        <v>78.58360632964731</v>
      </c>
      <c r="I12" s="9">
        <v>203084</v>
      </c>
      <c r="J12" s="9">
        <v>2848</v>
      </c>
      <c r="K12" s="9">
        <v>205932</v>
      </c>
      <c r="L12" s="9">
        <v>2243.9279999999999</v>
      </c>
      <c r="M12" s="9">
        <v>779.81100000000004</v>
      </c>
      <c r="N12" s="9">
        <v>6.1870000000000003</v>
      </c>
      <c r="O12" s="9">
        <v>3029.9259999999999</v>
      </c>
      <c r="P12" s="9">
        <v>4747.4790000000003</v>
      </c>
      <c r="Q12" s="14">
        <f t="shared" ref="Q12:Q36" si="5">O12/P12*100</f>
        <v>63.821788363887443</v>
      </c>
    </row>
    <row r="13" spans="1:17" x14ac:dyDescent="0.25">
      <c r="A13" s="4" t="s">
        <v>29</v>
      </c>
      <c r="B13" s="20">
        <v>0.1229120874912884</v>
      </c>
      <c r="C13" s="20">
        <v>0.13256802447270971</v>
      </c>
      <c r="D13" s="20">
        <v>0.14651850318068352</v>
      </c>
      <c r="E13" s="20">
        <v>0.22163810469616307</v>
      </c>
      <c r="F13" s="20">
        <v>0.19190818905108353</v>
      </c>
      <c r="G13" s="20">
        <v>0.17433607018006045</v>
      </c>
      <c r="H13" s="17">
        <f t="shared" ref="H13" si="6">(H12-H9)/H9</f>
        <v>1.4963449831127568E-2</v>
      </c>
      <c r="I13" s="20">
        <v>0.10134710080478969</v>
      </c>
      <c r="J13" s="20">
        <v>-0.15464529533986346</v>
      </c>
      <c r="K13" s="20">
        <v>9.6753921124810266E-2</v>
      </c>
      <c r="L13" s="20">
        <v>0.19042852027215215</v>
      </c>
      <c r="M13" s="20">
        <v>0.11407460108605751</v>
      </c>
      <c r="N13" s="20">
        <v>-0.17008718980549964</v>
      </c>
      <c r="O13" s="20">
        <v>0.1687757218909324</v>
      </c>
      <c r="P13" s="20">
        <v>0.13342507412358218</v>
      </c>
      <c r="Q13" s="17">
        <f t="shared" ref="Q13" si="7">(Q12-Q9)/Q9</f>
        <v>3.1189223332371733E-2</v>
      </c>
    </row>
    <row r="14" spans="1:17" x14ac:dyDescent="0.25">
      <c r="A14" s="7" t="s">
        <v>31</v>
      </c>
      <c r="B14" s="21">
        <v>4.8917950697044965E-2</v>
      </c>
      <c r="C14" s="21">
        <v>5.2930818524956846E-2</v>
      </c>
      <c r="D14" s="21">
        <v>5.5205974143646586E-2</v>
      </c>
      <c r="E14" s="21">
        <v>0.15219183859572594</v>
      </c>
      <c r="F14" s="21">
        <v>0.12147044464527235</v>
      </c>
      <c r="G14" s="21">
        <v>4.1335755664507978E-2</v>
      </c>
      <c r="H14" s="13">
        <f t="shared" ref="H14" si="8">(((H12/H6)^(1/2))-1)</f>
        <v>7.6953747669624706E-2</v>
      </c>
      <c r="I14" s="21">
        <v>6.9781190902705292E-2</v>
      </c>
      <c r="J14" s="21">
        <v>-0.14069928521267017</v>
      </c>
      <c r="K14" s="21">
        <v>6.5736505049355243E-2</v>
      </c>
      <c r="L14" s="21">
        <v>0.12290405526272541</v>
      </c>
      <c r="M14" s="21">
        <v>0.12276811738049975</v>
      </c>
      <c r="N14" s="21">
        <v>-0.16260200175915107</v>
      </c>
      <c r="O14" s="21">
        <v>0.12195523677247122</v>
      </c>
      <c r="P14" s="21">
        <v>9.0662530384248985E-3</v>
      </c>
      <c r="Q14" s="13">
        <f t="shared" ref="Q14" si="9">(((Q12/Q6)^(1/2))-1)</f>
        <v>0.11187469940068184</v>
      </c>
    </row>
    <row r="15" spans="1:17" x14ac:dyDescent="0.25">
      <c r="A15" s="6" t="s">
        <v>22</v>
      </c>
      <c r="B15" s="10">
        <v>175403</v>
      </c>
      <c r="C15" s="10">
        <v>410522</v>
      </c>
      <c r="D15" s="10">
        <v>223122</v>
      </c>
      <c r="E15" s="10">
        <v>17282287</v>
      </c>
      <c r="F15" s="10">
        <v>30645.217000000001</v>
      </c>
      <c r="G15" s="10">
        <v>38645.284</v>
      </c>
      <c r="H15" s="14">
        <f t="shared" si="4"/>
        <v>79.298723745955655</v>
      </c>
      <c r="I15" s="9">
        <v>209171</v>
      </c>
      <c r="J15" s="9">
        <v>2816</v>
      </c>
      <c r="K15" s="9">
        <v>211987</v>
      </c>
      <c r="L15" s="9">
        <v>2553.3620000000001</v>
      </c>
      <c r="M15" s="9">
        <v>831.48900000000003</v>
      </c>
      <c r="N15" s="9">
        <v>5.8959999999999999</v>
      </c>
      <c r="O15" s="9">
        <v>3390.7469999999998</v>
      </c>
      <c r="P15" s="9">
        <v>5309.2380000000003</v>
      </c>
      <c r="Q15" s="14">
        <f t="shared" si="5"/>
        <v>63.865040519939008</v>
      </c>
    </row>
    <row r="16" spans="1:17" x14ac:dyDescent="0.25">
      <c r="A16" s="4" t="s">
        <v>29</v>
      </c>
      <c r="B16" s="20">
        <v>0.19629387131535514</v>
      </c>
      <c r="C16" s="20">
        <v>0.16718744224793089</v>
      </c>
      <c r="D16" s="20">
        <v>0.11932616286069751</v>
      </c>
      <c r="E16" s="20">
        <v>0.18020499523951372</v>
      </c>
      <c r="F16" s="20">
        <v>0.13617198211204518</v>
      </c>
      <c r="G16" s="20">
        <v>0.12592596131941769</v>
      </c>
      <c r="H16" s="17">
        <f t="shared" ref="H16" si="10">(H15-H12)/H12</f>
        <v>9.1000839705488584E-3</v>
      </c>
      <c r="I16" s="20">
        <v>2.9972819129030354E-2</v>
      </c>
      <c r="J16" s="20">
        <v>-1.1235955056179775E-2</v>
      </c>
      <c r="K16" s="20">
        <v>2.9402909698347027E-2</v>
      </c>
      <c r="L16" s="20">
        <v>0.13789836394037608</v>
      </c>
      <c r="M16" s="20">
        <v>6.6269903861320242E-2</v>
      </c>
      <c r="N16" s="20">
        <v>-4.7034103765960941E-2</v>
      </c>
      <c r="O16" s="20">
        <v>0.11908574664859799</v>
      </c>
      <c r="P16" s="20">
        <v>0.11832785358292264</v>
      </c>
      <c r="Q16" s="17">
        <f t="shared" ref="Q16" si="11">(Q15-Q12)/Q12</f>
        <v>6.7770203813403084E-4</v>
      </c>
    </row>
    <row r="17" spans="1:17" x14ac:dyDescent="0.25">
      <c r="A17" s="7" t="s">
        <v>31</v>
      </c>
      <c r="B17" s="21">
        <v>9.5906840638704027E-2</v>
      </c>
      <c r="C17" s="21">
        <v>8.9716249535543247E-2</v>
      </c>
      <c r="D17" s="21">
        <v>7.6160496214151996E-2</v>
      </c>
      <c r="E17" s="21">
        <v>0.16145488760453275</v>
      </c>
      <c r="F17" s="21">
        <v>0.12634969786828965</v>
      </c>
      <c r="G17" s="21">
        <v>6.8801689211227535E-2</v>
      </c>
      <c r="H17" s="13">
        <f t="shared" ref="H17" si="12">(((H15/H6)^(1/3))-1)</f>
        <v>5.3843485875787023E-2</v>
      </c>
      <c r="I17" s="21">
        <v>5.6343651201680833E-2</v>
      </c>
      <c r="J17" s="21">
        <v>-9.9547094267704583E-2</v>
      </c>
      <c r="K17" s="21">
        <v>5.3485005434965815E-2</v>
      </c>
      <c r="L17" s="21">
        <v>0.12788007492704523</v>
      </c>
      <c r="M17" s="21">
        <v>0.10361035022084386</v>
      </c>
      <c r="N17" s="21">
        <v>-0.12572700232891376</v>
      </c>
      <c r="O17" s="21">
        <v>0.12099792346498783</v>
      </c>
      <c r="P17" s="21">
        <v>4.4246035764159641E-2</v>
      </c>
      <c r="Q17" s="13">
        <f t="shared" ref="Q17" si="13">(((Q15/Q6)^(1/3))-1)</f>
        <v>7.3499812373874596E-2</v>
      </c>
    </row>
    <row r="18" spans="1:17" x14ac:dyDescent="0.25">
      <c r="A18" s="6" t="s">
        <v>23</v>
      </c>
      <c r="B18" s="10">
        <v>168924</v>
      </c>
      <c r="C18" s="10">
        <v>392897</v>
      </c>
      <c r="D18" s="10">
        <v>209068</v>
      </c>
      <c r="E18" s="10">
        <v>16818737</v>
      </c>
      <c r="F18" s="10">
        <v>29505.466</v>
      </c>
      <c r="G18" s="10">
        <v>37432.874000000003</v>
      </c>
      <c r="H18" s="14">
        <f t="shared" si="4"/>
        <v>78.822336751380618</v>
      </c>
      <c r="I18" s="9">
        <v>226143</v>
      </c>
      <c r="J18" s="9">
        <v>3874</v>
      </c>
      <c r="K18" s="9">
        <v>230017</v>
      </c>
      <c r="L18" s="9">
        <v>2450.06</v>
      </c>
      <c r="M18" s="9">
        <v>839.64800000000002</v>
      </c>
      <c r="N18" s="9">
        <v>8.9969999999999999</v>
      </c>
      <c r="O18" s="9">
        <v>3298.7049999999999</v>
      </c>
      <c r="P18" s="9">
        <v>4997.6099999999997</v>
      </c>
      <c r="Q18" s="14">
        <f t="shared" si="5"/>
        <v>66.005650701035108</v>
      </c>
    </row>
    <row r="19" spans="1:17" x14ac:dyDescent="0.25">
      <c r="A19" s="4" t="s">
        <v>29</v>
      </c>
      <c r="B19" s="22">
        <v>-3.6937794678540276E-2</v>
      </c>
      <c r="C19" s="22">
        <v>-4.2933143656125619E-2</v>
      </c>
      <c r="D19" s="22">
        <v>-6.2987961742902984E-2</v>
      </c>
      <c r="E19" s="22">
        <v>-2.6822260271455969E-2</v>
      </c>
      <c r="F19" s="22">
        <v>-3.7191807126051683E-2</v>
      </c>
      <c r="G19" s="22">
        <v>-3.1372780181923264E-2</v>
      </c>
      <c r="H19" s="17">
        <f t="shared" ref="H19" si="14">(H18-H15)/H15</f>
        <v>-6.00749888612594E-3</v>
      </c>
      <c r="I19" s="22">
        <v>8.1139354881890891E-2</v>
      </c>
      <c r="J19" s="22">
        <v>0.37571022727272729</v>
      </c>
      <c r="K19" s="22">
        <v>8.5052385287777074E-2</v>
      </c>
      <c r="L19" s="22">
        <v>-4.0457248130112429E-2</v>
      </c>
      <c r="M19" s="22">
        <v>9.8125170627632978E-3</v>
      </c>
      <c r="N19" s="22">
        <v>0.52594979647218454</v>
      </c>
      <c r="O19" s="22">
        <v>-2.7145050928305745E-2</v>
      </c>
      <c r="P19" s="22">
        <v>-5.8695428609529386E-2</v>
      </c>
      <c r="Q19" s="17">
        <f t="shared" ref="Q19" si="15">(Q18-Q15)/Q15</f>
        <v>3.351771428733049E-2</v>
      </c>
    </row>
    <row r="20" spans="1:17" x14ac:dyDescent="0.25">
      <c r="A20" s="7" t="s">
        <v>31</v>
      </c>
      <c r="B20" s="21">
        <v>6.1069456404818201E-2</v>
      </c>
      <c r="C20" s="21">
        <v>5.4922704334880335E-2</v>
      </c>
      <c r="D20" s="21">
        <v>3.954687459875772E-2</v>
      </c>
      <c r="E20" s="21">
        <v>0.11121936467993288</v>
      </c>
      <c r="F20" s="21">
        <v>8.3028485499173188E-2</v>
      </c>
      <c r="G20" s="21">
        <v>4.2826397077762035E-2</v>
      </c>
      <c r="H20" s="13">
        <f t="shared" ref="H20" si="16">(((H18/H6)^(1/4))-1)</f>
        <v>3.85510843742225E-2</v>
      </c>
      <c r="I20" s="21">
        <v>6.2488746822533692E-2</v>
      </c>
      <c r="J20" s="21">
        <v>1.1000760799761977E-3</v>
      </c>
      <c r="K20" s="21">
        <v>6.1289690384097817E-2</v>
      </c>
      <c r="L20" s="21">
        <v>8.3211533916309754E-2</v>
      </c>
      <c r="M20" s="21">
        <v>7.9374145411103436E-2</v>
      </c>
      <c r="N20" s="21">
        <v>4.8942479447222631E-3</v>
      </c>
      <c r="O20" s="21">
        <v>8.1971021586015214E-2</v>
      </c>
      <c r="P20" s="21">
        <v>1.7500586867326362E-2</v>
      </c>
      <c r="Q20" s="13">
        <f t="shared" ref="Q20" si="17">(((Q18/Q6)^(1/4))-1)</f>
        <v>6.3361570057841377E-2</v>
      </c>
    </row>
    <row r="21" spans="1:17" x14ac:dyDescent="0.25">
      <c r="A21" s="6" t="s">
        <v>24</v>
      </c>
      <c r="B21" s="10">
        <v>173347</v>
      </c>
      <c r="C21" s="10">
        <v>397170</v>
      </c>
      <c r="D21" s="10">
        <v>210514</v>
      </c>
      <c r="E21" s="10">
        <v>17175949</v>
      </c>
      <c r="F21" s="10">
        <v>29750.315999999999</v>
      </c>
      <c r="G21" s="10">
        <v>38067.35</v>
      </c>
      <c r="H21" s="14">
        <f t="shared" si="4"/>
        <v>78.151791495861943</v>
      </c>
      <c r="I21" s="9">
        <v>203597</v>
      </c>
      <c r="J21" s="9">
        <v>3972.6359000000002</v>
      </c>
      <c r="K21" s="9">
        <v>207569.63589999999</v>
      </c>
      <c r="L21" s="9">
        <v>2467.38</v>
      </c>
      <c r="M21" s="9">
        <v>719.024</v>
      </c>
      <c r="N21" s="9">
        <v>9.0060000000000002</v>
      </c>
      <c r="O21" s="9">
        <v>3195.41</v>
      </c>
      <c r="P21" s="9">
        <v>4734.8370000000004</v>
      </c>
      <c r="Q21" s="14">
        <f t="shared" si="5"/>
        <v>67.487222897007854</v>
      </c>
    </row>
    <row r="22" spans="1:17" x14ac:dyDescent="0.25">
      <c r="A22" s="4" t="s">
        <v>29</v>
      </c>
      <c r="B22" s="22">
        <v>2.6183372404158082E-2</v>
      </c>
      <c r="C22" s="22">
        <v>1.0875623891248852E-2</v>
      </c>
      <c r="D22" s="22">
        <v>6.9164099718751794E-3</v>
      </c>
      <c r="E22" s="22">
        <v>2.1238931318088867E-2</v>
      </c>
      <c r="F22" s="22">
        <v>8.2984623933747923E-3</v>
      </c>
      <c r="G22" s="22">
        <v>1.6949700415736048E-2</v>
      </c>
      <c r="H22" s="17">
        <f t="shared" ref="H22" si="18">(H21-H18)/H18</f>
        <v>-8.5070461388843596E-3</v>
      </c>
      <c r="I22" s="22">
        <v>-9.9697978712584512E-2</v>
      </c>
      <c r="J22" s="22">
        <v>2.5460996386164229E-2</v>
      </c>
      <c r="K22" s="22">
        <v>-9.7590022041849106E-2</v>
      </c>
      <c r="L22" s="22">
        <v>7.0692146314784796E-3</v>
      </c>
      <c r="M22" s="22">
        <v>-0.14366020046495676</v>
      </c>
      <c r="N22" s="22">
        <v>1.0003334444815318E-3</v>
      </c>
      <c r="O22" s="22">
        <v>-3.1313803447110329E-2</v>
      </c>
      <c r="P22" s="22">
        <v>-5.2579733112427592E-2</v>
      </c>
      <c r="Q22" s="17">
        <f t="shared" ref="Q22" si="19">(Q21-Q18)/Q18</f>
        <v>2.2446141811151198E-2</v>
      </c>
    </row>
    <row r="23" spans="1:17" x14ac:dyDescent="0.25">
      <c r="A23" s="7" t="s">
        <v>31</v>
      </c>
      <c r="B23" s="21">
        <v>5.3998627332489502E-2</v>
      </c>
      <c r="C23" s="21">
        <v>4.5962360208676056E-2</v>
      </c>
      <c r="D23" s="21">
        <v>3.2937264400306088E-2</v>
      </c>
      <c r="E23" s="21">
        <v>9.2610357976879332E-2</v>
      </c>
      <c r="F23" s="21">
        <v>6.7652016237384371E-2</v>
      </c>
      <c r="G23" s="21">
        <v>3.7598911059869344E-2</v>
      </c>
      <c r="H23" s="13">
        <f t="shared" ref="H23" si="20">(((H21/H6)^(1/5))-1)</f>
        <v>2.8964087044787812E-2</v>
      </c>
      <c r="I23" s="21">
        <v>2.786745703887461E-2</v>
      </c>
      <c r="J23" s="21">
        <v>5.9255167921443697E-3</v>
      </c>
      <c r="K23" s="21">
        <v>2.7419807225322224E-2</v>
      </c>
      <c r="L23" s="21">
        <v>6.7535889687472261E-2</v>
      </c>
      <c r="M23" s="21">
        <v>3.0544701260651896E-2</v>
      </c>
      <c r="N23" s="21">
        <v>4.1142551327983945E-3</v>
      </c>
      <c r="O23" s="21">
        <v>5.8300802931760209E-2</v>
      </c>
      <c r="P23" s="21">
        <v>3.0816111964764303E-3</v>
      </c>
      <c r="Q23" s="13">
        <f t="shared" ref="Q23" si="21">(((Q21/Q6)^(1/5))-1)</f>
        <v>5.5049550424335347E-2</v>
      </c>
    </row>
    <row r="24" spans="1:17" x14ac:dyDescent="0.25">
      <c r="A24" s="6" t="s">
        <v>25</v>
      </c>
      <c r="B24" s="10">
        <v>176059</v>
      </c>
      <c r="C24" s="10">
        <v>408116</v>
      </c>
      <c r="D24" s="10">
        <v>226727</v>
      </c>
      <c r="E24" s="10">
        <v>19436196</v>
      </c>
      <c r="F24" s="10">
        <v>34416.955999999998</v>
      </c>
      <c r="G24" s="10">
        <v>41769.186000000002</v>
      </c>
      <c r="H24" s="14">
        <f t="shared" si="4"/>
        <v>82.397957192653919</v>
      </c>
      <c r="I24" s="9">
        <v>210864</v>
      </c>
      <c r="J24" s="9">
        <v>3702.01</v>
      </c>
      <c r="K24" s="9">
        <v>214566.01</v>
      </c>
      <c r="L24" s="9">
        <v>2855.8690000000001</v>
      </c>
      <c r="M24" s="9">
        <v>744.96900000000005</v>
      </c>
      <c r="N24" s="9">
        <v>9.0299999999999994</v>
      </c>
      <c r="O24" s="9">
        <v>3609.8679999999999</v>
      </c>
      <c r="P24" s="9">
        <v>5090.232</v>
      </c>
      <c r="Q24" s="14">
        <f t="shared" si="5"/>
        <v>70.917553463182031</v>
      </c>
    </row>
    <row r="25" spans="1:17" x14ac:dyDescent="0.25">
      <c r="A25" s="4" t="s">
        <v>29</v>
      </c>
      <c r="B25" s="22">
        <v>1.5644920304360616E-2</v>
      </c>
      <c r="C25" s="22">
        <v>2.7559986907369639E-2</v>
      </c>
      <c r="D25" s="22">
        <v>7.7016255450943885E-2</v>
      </c>
      <c r="E25" s="22">
        <v>0.13159371863528471</v>
      </c>
      <c r="F25" s="22">
        <v>0.15686018259436302</v>
      </c>
      <c r="G25" s="22">
        <v>9.7244383966837808E-2</v>
      </c>
      <c r="H25" s="17">
        <f t="shared" ref="H25" si="22">(H24-H21)/H21</f>
        <v>5.4332288684857677E-2</v>
      </c>
      <c r="I25" s="22">
        <v>3.5693060310318915E-2</v>
      </c>
      <c r="J25" s="22">
        <v>-6.8122502744336566E-2</v>
      </c>
      <c r="K25" s="22">
        <v>3.370615393559119E-2</v>
      </c>
      <c r="L25" s="22">
        <v>0.15745000770047582</v>
      </c>
      <c r="M25" s="22">
        <v>3.6083635594917625E-2</v>
      </c>
      <c r="N25" s="22">
        <v>2.6648900732843808E-3</v>
      </c>
      <c r="O25" s="22">
        <v>0.129704169418009</v>
      </c>
      <c r="P25" s="22">
        <v>7.505960606458037E-2</v>
      </c>
      <c r="Q25" s="17">
        <f t="shared" ref="Q25" si="23">(Q24-Q21)/Q21</f>
        <v>5.0829333597104738E-2</v>
      </c>
    </row>
    <row r="26" spans="1:17" x14ac:dyDescent="0.25">
      <c r="A26" s="7" t="s">
        <v>31</v>
      </c>
      <c r="B26" s="21">
        <v>4.7507210697596225E-2</v>
      </c>
      <c r="C26" s="21">
        <v>4.287256942926887E-2</v>
      </c>
      <c r="D26" s="21">
        <v>4.0156444504201083E-2</v>
      </c>
      <c r="E26" s="21">
        <v>9.9013049290855415E-2</v>
      </c>
      <c r="F26" s="21">
        <v>8.2027377353024233E-2</v>
      </c>
      <c r="G26" s="21">
        <v>4.7309759347211156E-2</v>
      </c>
      <c r="H26" s="13">
        <f t="shared" ref="H26" si="24">(((H24/H6)^(1/6))-1)</f>
        <v>3.3149331127643178E-2</v>
      </c>
      <c r="I26" s="21">
        <v>2.9167605916528005E-2</v>
      </c>
      <c r="J26" s="21">
        <v>-6.8123175481570319E-3</v>
      </c>
      <c r="K26" s="21">
        <v>2.8464870545520826E-2</v>
      </c>
      <c r="L26" s="21">
        <v>8.2021218762983406E-2</v>
      </c>
      <c r="M26" s="21">
        <v>3.1465796354489095E-2</v>
      </c>
      <c r="N26" s="21">
        <v>3.8725488798851959E-3</v>
      </c>
      <c r="O26" s="21">
        <v>6.9879977647909985E-2</v>
      </c>
      <c r="P26" s="21">
        <v>1.4734239523891413E-2</v>
      </c>
      <c r="Q26" s="13">
        <f t="shared" ref="Q26" si="25">(((Q24/Q6)^(1/6))-1)</f>
        <v>5.4345005791755607E-2</v>
      </c>
    </row>
    <row r="27" spans="1:17" x14ac:dyDescent="0.25">
      <c r="A27" s="6" t="s">
        <v>26</v>
      </c>
      <c r="B27" s="10">
        <v>202245</v>
      </c>
      <c r="C27" s="10">
        <v>456043</v>
      </c>
      <c r="D27" s="10">
        <v>258379</v>
      </c>
      <c r="E27" s="10">
        <v>23324258</v>
      </c>
      <c r="F27" s="10">
        <v>39171.212</v>
      </c>
      <c r="G27" s="10">
        <v>47436.072999999997</v>
      </c>
      <c r="H27" s="14">
        <f t="shared" si="4"/>
        <v>82.576843998026575</v>
      </c>
      <c r="I27" s="9">
        <v>214895</v>
      </c>
      <c r="J27" s="9">
        <v>4938.7632000000003</v>
      </c>
      <c r="K27" s="9">
        <v>219833.76320000002</v>
      </c>
      <c r="L27" s="9">
        <v>3247.93</v>
      </c>
      <c r="M27" s="9">
        <v>718.15599999999995</v>
      </c>
      <c r="N27" s="9">
        <v>7.3090000000000002</v>
      </c>
      <c r="O27" s="9">
        <v>3973.395</v>
      </c>
      <c r="P27" s="9">
        <v>5623.8130000000001</v>
      </c>
      <c r="Q27" s="14">
        <f t="shared" si="5"/>
        <v>70.653042695409667</v>
      </c>
    </row>
    <row r="28" spans="1:17" x14ac:dyDescent="0.25">
      <c r="A28" s="4" t="s">
        <v>29</v>
      </c>
      <c r="B28" s="22">
        <v>0.14873423113842518</v>
      </c>
      <c r="C28" s="22">
        <v>0.11743474894392771</v>
      </c>
      <c r="D28" s="22">
        <v>0.13960401716601906</v>
      </c>
      <c r="E28" s="22">
        <v>0.20004233338663593</v>
      </c>
      <c r="F28" s="22">
        <v>0.13813702757443166</v>
      </c>
      <c r="G28" s="22">
        <v>0.13567147322430451</v>
      </c>
      <c r="H28" s="17">
        <f t="shared" ref="H28" si="26">(H27-H24)/H24</f>
        <v>2.1710101981582187E-3</v>
      </c>
      <c r="I28" s="22">
        <v>1.9116586994460883E-2</v>
      </c>
      <c r="J28" s="22">
        <v>0.33407613701745809</v>
      </c>
      <c r="K28" s="22">
        <v>2.455073475989979E-2</v>
      </c>
      <c r="L28" s="22">
        <v>0.13728255742822926</v>
      </c>
      <c r="M28" s="22">
        <v>-3.5992101684768227E-2</v>
      </c>
      <c r="N28" s="22">
        <v>-0.19058693244739749</v>
      </c>
      <c r="O28" s="22">
        <v>0.10070368223990463</v>
      </c>
      <c r="P28" s="22">
        <v>0.10482449522929409</v>
      </c>
      <c r="Q28" s="17">
        <f t="shared" ref="Q28" si="27">(Q27-Q24)/Q24</f>
        <v>-3.7298349259847117E-3</v>
      </c>
    </row>
    <row r="29" spans="1:17" x14ac:dyDescent="0.25">
      <c r="A29" s="7" t="s">
        <v>31</v>
      </c>
      <c r="B29" s="21">
        <v>6.1402830424853061E-2</v>
      </c>
      <c r="C29" s="21">
        <v>5.3211670223607843E-2</v>
      </c>
      <c r="D29" s="21">
        <v>5.3813379225983615E-2</v>
      </c>
      <c r="E29" s="21">
        <v>0.11290756485779574</v>
      </c>
      <c r="F29" s="21">
        <v>8.9870416284937749E-2</v>
      </c>
      <c r="G29" s="21">
        <v>5.9498917082090985E-2</v>
      </c>
      <c r="H29" s="13">
        <f t="shared" ref="H29" si="28">(((H27/H6)^(1/7))-1)</f>
        <v>2.8665908679256891E-2</v>
      </c>
      <c r="I29" s="21">
        <v>2.7725699692307426E-2</v>
      </c>
      <c r="J29" s="21">
        <v>3.5948978166713497E-2</v>
      </c>
      <c r="K29" s="21">
        <v>2.790479410929847E-2</v>
      </c>
      <c r="L29" s="21">
        <v>8.9748171684766564E-2</v>
      </c>
      <c r="M29" s="21">
        <v>2.1547373163660399E-2</v>
      </c>
      <c r="N29" s="21">
        <v>-2.6535226649549659E-2</v>
      </c>
      <c r="O29" s="21">
        <v>7.4229944131729786E-2</v>
      </c>
      <c r="P29" s="21">
        <v>2.7139894153074495E-2</v>
      </c>
      <c r="Q29" s="13">
        <f t="shared" ref="Q29" si="29">(((Q27/Q6)^(1/7))-1)</f>
        <v>4.5845799824067335E-2</v>
      </c>
    </row>
    <row r="30" spans="1:17" x14ac:dyDescent="0.25">
      <c r="A30" s="6" t="s">
        <v>27</v>
      </c>
      <c r="B30" s="10">
        <v>201633</v>
      </c>
      <c r="C30" s="10">
        <v>464081</v>
      </c>
      <c r="D30" s="10">
        <v>263932</v>
      </c>
      <c r="E30" s="10">
        <v>24304966</v>
      </c>
      <c r="F30" s="10">
        <v>41062.542000000001</v>
      </c>
      <c r="G30" s="10">
        <v>50456.184999999998</v>
      </c>
      <c r="H30" s="14">
        <f t="shared" si="4"/>
        <v>81.382573811317684</v>
      </c>
      <c r="I30" s="9">
        <v>237889</v>
      </c>
      <c r="J30" s="9">
        <v>10945</v>
      </c>
      <c r="K30" s="9">
        <v>248834</v>
      </c>
      <c r="L30" s="9">
        <v>3411.1930000000002</v>
      </c>
      <c r="M30" s="9">
        <v>790.49900000000002</v>
      </c>
      <c r="N30" s="9">
        <v>13.935</v>
      </c>
      <c r="O30" s="9">
        <v>4215.6270000000004</v>
      </c>
      <c r="P30" s="9">
        <v>6071.49</v>
      </c>
      <c r="Q30" s="14">
        <f t="shared" si="5"/>
        <v>69.433153970442191</v>
      </c>
    </row>
    <row r="31" spans="1:17" x14ac:dyDescent="0.25">
      <c r="A31" s="4" t="s">
        <v>29</v>
      </c>
      <c r="B31" s="22">
        <v>-3.0260327820218051E-3</v>
      </c>
      <c r="C31" s="22">
        <v>1.762553092581182E-2</v>
      </c>
      <c r="D31" s="22">
        <v>2.1491684695737655E-2</v>
      </c>
      <c r="E31" s="22">
        <v>4.204669661945945E-2</v>
      </c>
      <c r="F31" s="22">
        <v>4.8283673224101459E-2</v>
      </c>
      <c r="G31" s="22">
        <v>6.3666990309252644E-2</v>
      </c>
      <c r="H31" s="17">
        <f t="shared" ref="H31" si="30">(H30-H27)/H27</f>
        <v>-1.4462531248317411E-2</v>
      </c>
      <c r="I31" s="22">
        <v>0.1070010935573187</v>
      </c>
      <c r="J31" s="22">
        <v>1.2161418875073822</v>
      </c>
      <c r="K31" s="22">
        <v>0.13191893901036572</v>
      </c>
      <c r="L31" s="22">
        <v>5.0266785306333689E-2</v>
      </c>
      <c r="M31" s="22">
        <v>0.10073438083090593</v>
      </c>
      <c r="N31" s="22">
        <v>0.90655356409905596</v>
      </c>
      <c r="O31" s="22">
        <v>6.0963483368756552E-2</v>
      </c>
      <c r="P31" s="22">
        <v>7.9603820397299782E-2</v>
      </c>
      <c r="Q31" s="17">
        <f t="shared" ref="Q31" si="31">(Q30-Q27)/Q27</f>
        <v>-1.7265905025867084E-2</v>
      </c>
    </row>
    <row r="32" spans="1:17" x14ac:dyDescent="0.25">
      <c r="A32" s="7" t="s">
        <v>31</v>
      </c>
      <c r="B32" s="21">
        <v>5.3126857416893936E-2</v>
      </c>
      <c r="C32" s="21">
        <v>4.8696223759830293E-2</v>
      </c>
      <c r="D32" s="21">
        <v>4.9717890539647813E-2</v>
      </c>
      <c r="E32" s="21">
        <v>0.10379292319816003</v>
      </c>
      <c r="F32" s="21">
        <v>8.4583164650974041E-2</v>
      </c>
      <c r="G32" s="21">
        <v>6.0019031711246118E-2</v>
      </c>
      <c r="H32" s="13">
        <f t="shared" ref="H32" si="32">(((H30/H6)^(1/8))-1)</f>
        <v>2.317329425687098E-2</v>
      </c>
      <c r="I32" s="21">
        <v>3.7315986249140787E-2</v>
      </c>
      <c r="J32" s="21">
        <v>0.13925453457347481</v>
      </c>
      <c r="K32" s="21">
        <v>4.0364910747834992E-2</v>
      </c>
      <c r="L32" s="21">
        <v>8.4732954419466155E-2</v>
      </c>
      <c r="M32" s="21">
        <v>3.1125468432507297E-2</v>
      </c>
      <c r="N32" s="21">
        <v>5.8793671270545023E-2</v>
      </c>
      <c r="O32" s="21">
        <v>7.2562606904367222E-2</v>
      </c>
      <c r="P32" s="21">
        <v>3.355584999266803E-2</v>
      </c>
      <c r="Q32" s="13">
        <f t="shared" ref="Q32" si="33">(((Q30/Q6)^(1/8))-1)</f>
        <v>3.7740347473216751E-2</v>
      </c>
    </row>
    <row r="33" spans="1:17" x14ac:dyDescent="0.25">
      <c r="A33" s="6" t="s">
        <v>28</v>
      </c>
      <c r="B33" s="10">
        <v>210818</v>
      </c>
      <c r="C33" s="10">
        <v>494026</v>
      </c>
      <c r="D33" s="10">
        <v>278959.7</v>
      </c>
      <c r="E33" s="10">
        <v>27034011</v>
      </c>
      <c r="F33" s="10">
        <v>46414.343399999998</v>
      </c>
      <c r="G33" s="10">
        <v>55590.747499999998</v>
      </c>
      <c r="H33" s="14">
        <f t="shared" si="4"/>
        <v>83.492929106592783</v>
      </c>
      <c r="I33" s="9">
        <v>320677.8</v>
      </c>
      <c r="J33" s="9">
        <v>11019.028119999999</v>
      </c>
      <c r="K33" s="9">
        <v>331696.82811999996</v>
      </c>
      <c r="L33" s="9">
        <v>3857.1958999999997</v>
      </c>
      <c r="M33" s="9">
        <v>1071.4378999999999</v>
      </c>
      <c r="N33" s="9">
        <v>19.721900000000002</v>
      </c>
      <c r="O33" s="9">
        <v>4948.3557000000001</v>
      </c>
      <c r="P33" s="9">
        <v>7001.2005999999992</v>
      </c>
      <c r="Q33" s="14">
        <f t="shared" si="5"/>
        <v>70.678673312117354</v>
      </c>
    </row>
    <row r="34" spans="1:17" x14ac:dyDescent="0.25">
      <c r="A34" s="4" t="s">
        <v>29</v>
      </c>
      <c r="B34" s="22">
        <v>4.5553059271051861E-2</v>
      </c>
      <c r="C34" s="22">
        <v>6.4525373803280037E-2</v>
      </c>
      <c r="D34" s="22">
        <v>5.6937771850325128E-2</v>
      </c>
      <c r="E34" s="22">
        <v>0.11228343211835803</v>
      </c>
      <c r="F34" s="22">
        <v>0.13033292970513116</v>
      </c>
      <c r="G34" s="22">
        <v>0.10176279677109952</v>
      </c>
      <c r="H34" s="17">
        <f t="shared" ref="H34" si="34">(H33-H30)/H30</f>
        <v>2.5931292123641543E-2</v>
      </c>
      <c r="I34" s="22">
        <v>0.348014410082013</v>
      </c>
      <c r="J34" s="22">
        <v>6.7636473275467365E-3</v>
      </c>
      <c r="K34" s="22">
        <v>0.3330044452124708</v>
      </c>
      <c r="L34" s="22">
        <v>0.13074689705331813</v>
      </c>
      <c r="M34" s="22">
        <v>0.35539437747549318</v>
      </c>
      <c r="N34" s="22">
        <v>0.41527807678507361</v>
      </c>
      <c r="O34" s="22">
        <v>0.17381250760563011</v>
      </c>
      <c r="P34" s="22">
        <v>0.15312725541835687</v>
      </c>
      <c r="Q34" s="17">
        <f t="shared" ref="Q34" si="35">(Q33-Q30)/Q30</f>
        <v>1.7938394995067952E-2</v>
      </c>
    </row>
    <row r="35" spans="1:17" x14ac:dyDescent="0.25">
      <c r="A35" s="7" t="s">
        <v>31</v>
      </c>
      <c r="B35" s="21">
        <v>5.2282622235344967E-2</v>
      </c>
      <c r="C35" s="21">
        <v>5.0443330262711861E-2</v>
      </c>
      <c r="D35" s="21">
        <v>5.0517657903946356E-2</v>
      </c>
      <c r="E35" s="21">
        <v>0.10473310342575881</v>
      </c>
      <c r="F35" s="21">
        <v>8.9573628938440342E-2</v>
      </c>
      <c r="G35" s="21">
        <v>6.4578005954663675E-2</v>
      </c>
      <c r="H35" s="13">
        <f t="shared" ref="H35" si="36">(((H33/H6)^(1/9))-1)</f>
        <v>2.3479371961439011E-2</v>
      </c>
      <c r="I35" s="21">
        <v>6.7956781939054078E-2</v>
      </c>
      <c r="J35" s="21">
        <v>0.12371156428675456</v>
      </c>
      <c r="K35" s="21">
        <v>6.9415197800599904E-2</v>
      </c>
      <c r="L35" s="21">
        <v>8.9751723006671558E-2</v>
      </c>
      <c r="M35" s="21">
        <v>6.2934299082773704E-2</v>
      </c>
      <c r="N35" s="21">
        <v>9.3489756986280037E-2</v>
      </c>
      <c r="O35" s="21">
        <v>8.3366868374919578E-2</v>
      </c>
      <c r="P35" s="21">
        <v>4.6204387460698992E-2</v>
      </c>
      <c r="Q35" s="13">
        <f t="shared" ref="Q35" si="37">(((Q33/Q6)^(1/9))-1)</f>
        <v>3.5521243611317255E-2</v>
      </c>
    </row>
    <row r="36" spans="1:17" x14ac:dyDescent="0.25">
      <c r="A36" s="6" t="s">
        <v>32</v>
      </c>
      <c r="B36" s="10">
        <v>188840</v>
      </c>
      <c r="C36" s="10">
        <v>469848</v>
      </c>
      <c r="D36" s="10">
        <v>271768.516</v>
      </c>
      <c r="E36" s="10">
        <v>25116331</v>
      </c>
      <c r="F36" s="10">
        <v>45671.344897000003</v>
      </c>
      <c r="G36" s="10">
        <v>54770.964025999987</v>
      </c>
      <c r="H36" s="14">
        <f t="shared" si="4"/>
        <v>83.386052645192876</v>
      </c>
      <c r="I36" s="9">
        <v>286843.98894000007</v>
      </c>
      <c r="J36" s="9">
        <v>9565.4922700000006</v>
      </c>
      <c r="K36" s="9">
        <v>296409.48121</v>
      </c>
      <c r="L36" s="9">
        <v>3799.3012680000006</v>
      </c>
      <c r="M36" s="9">
        <v>1068.7043959999999</v>
      </c>
      <c r="N36" s="9">
        <v>16.653944000000003</v>
      </c>
      <c r="O36" s="9">
        <v>4884.659607999999</v>
      </c>
      <c r="P36" s="9">
        <v>6892.559013</v>
      </c>
      <c r="Q36" s="14">
        <f t="shared" si="5"/>
        <v>70.868593200102922</v>
      </c>
    </row>
    <row r="37" spans="1:17" x14ac:dyDescent="0.25">
      <c r="A37" s="4" t="s">
        <v>29</v>
      </c>
      <c r="B37" s="22">
        <v>-0.10425106015615365</v>
      </c>
      <c r="C37" s="22">
        <v>-4.8940744009424608E-2</v>
      </c>
      <c r="D37" s="22">
        <v>-2.5778576618773277E-2</v>
      </c>
      <c r="E37" s="22">
        <v>-7.0935829685058571E-2</v>
      </c>
      <c r="F37" s="22">
        <v>-1.6007950313910835E-2</v>
      </c>
      <c r="G37" s="22">
        <v>-1.4746761122433383E-2</v>
      </c>
      <c r="H37" s="17">
        <f t="shared" ref="H37" si="38">(H36-H33)/H33</f>
        <v>-1.2800660192848268E-3</v>
      </c>
      <c r="I37" s="22">
        <v>-0.10550718216228228</v>
      </c>
      <c r="J37" s="22">
        <v>-0.13191143848356007</v>
      </c>
      <c r="K37" s="22">
        <v>-0.10638433629288083</v>
      </c>
      <c r="L37" s="22">
        <v>-1.5009512998808046E-2</v>
      </c>
      <c r="M37" s="22">
        <v>-2.5512481871324873E-3</v>
      </c>
      <c r="N37" s="22">
        <v>-0.15556087395230675</v>
      </c>
      <c r="O37" s="22">
        <v>-1.2872173275660245E-2</v>
      </c>
      <c r="P37" s="22">
        <v>-1.5517565230169119E-2</v>
      </c>
      <c r="Q37" s="17">
        <f t="shared" ref="Q37" si="39">(Q36-Q33)/Q33</f>
        <v>2.6870890338713681E-3</v>
      </c>
    </row>
    <row r="38" spans="1:17" x14ac:dyDescent="0.25">
      <c r="A38" s="7" t="s">
        <v>31</v>
      </c>
      <c r="B38" s="21">
        <v>3.5470638821661238E-2</v>
      </c>
      <c r="C38" s="21">
        <v>4.0054560709684273E-2</v>
      </c>
      <c r="D38" s="21">
        <v>4.2626571129976698E-2</v>
      </c>
      <c r="E38" s="21">
        <v>8.5765910874825879E-2</v>
      </c>
      <c r="F38" s="21">
        <v>7.8524671230289389E-2</v>
      </c>
      <c r="G38" s="21">
        <v>5.6366274854968035E-2</v>
      </c>
      <c r="H38" s="13">
        <f t="shared" ref="H38" si="40">(((H36/H6)^(1/10))-1)</f>
        <v>2.0976054331499405E-2</v>
      </c>
      <c r="I38" s="21">
        <v>4.9194477540975834E-2</v>
      </c>
      <c r="J38" s="21">
        <v>9.5079801626001936E-2</v>
      </c>
      <c r="K38" s="21">
        <v>5.0380846329759921E-2</v>
      </c>
      <c r="L38" s="21">
        <v>7.8792731132928173E-2</v>
      </c>
      <c r="M38" s="21">
        <v>5.6196777784608409E-2</v>
      </c>
      <c r="N38" s="21">
        <v>6.5589867148296177E-2</v>
      </c>
      <c r="O38" s="21">
        <v>7.3335106170133724E-2</v>
      </c>
      <c r="P38" s="21">
        <v>3.9861934245334352E-2</v>
      </c>
      <c r="Q38" s="13">
        <f t="shared" ref="Q38" si="41">(((Q36/Q6)^(1/10))-1)</f>
        <v>3.2190015638077885E-2</v>
      </c>
    </row>
    <row r="39" spans="1:17" x14ac:dyDescent="0.25">
      <c r="A39" s="26" t="s">
        <v>44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spans="1:17" ht="26.25" customHeight="1" x14ac:dyDescent="0.25">
      <c r="A40" s="28" t="s">
        <v>53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opLeftCell="A20" workbookViewId="0">
      <selection activeCell="B6" sqref="B6:Q6"/>
    </sheetView>
  </sheetViews>
  <sheetFormatPr defaultRowHeight="15" x14ac:dyDescent="0.25"/>
  <cols>
    <col min="1" max="1" width="7.5703125" customWidth="1"/>
    <col min="2" max="2" width="8.42578125" customWidth="1"/>
    <col min="3" max="3" width="8.5703125" customWidth="1"/>
    <col min="4" max="4" width="8.140625" customWidth="1"/>
    <col min="5" max="5" width="11" customWidth="1"/>
    <col min="6" max="6" width="7.85546875" customWidth="1"/>
    <col min="7" max="7" width="7.42578125" customWidth="1"/>
    <col min="8" max="8" width="5.7109375" customWidth="1"/>
    <col min="9" max="9" width="9.85546875" customWidth="1"/>
    <col min="10" max="10" width="5.7109375" customWidth="1"/>
    <col min="11" max="11" width="9.7109375" customWidth="1"/>
    <col min="12" max="12" width="8.85546875" customWidth="1"/>
    <col min="13" max="13" width="7.28515625" customWidth="1"/>
    <col min="14" max="14" width="5.7109375" customWidth="1"/>
    <col min="15" max="15" width="8.5703125" customWidth="1"/>
    <col min="16" max="16" width="8" customWidth="1"/>
    <col min="17" max="17" width="7.28515625" customWidth="1"/>
  </cols>
  <sheetData>
    <row r="1" spans="1:17" x14ac:dyDescent="0.25">
      <c r="A1" s="30" t="s">
        <v>48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x14ac:dyDescent="0.25">
      <c r="A2" s="32" t="s">
        <v>45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4" t="s">
        <v>46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1:17" x14ac:dyDescent="0.25">
      <c r="A4" s="34" t="s">
        <v>0</v>
      </c>
      <c r="B4" s="34" t="s">
        <v>1</v>
      </c>
      <c r="C4" s="34"/>
      <c r="D4" s="34"/>
      <c r="E4" s="34" t="s">
        <v>2</v>
      </c>
      <c r="F4" s="35"/>
      <c r="G4" s="24" t="s">
        <v>3</v>
      </c>
      <c r="H4" s="24" t="s">
        <v>4</v>
      </c>
      <c r="I4" s="34" t="s">
        <v>5</v>
      </c>
      <c r="J4" s="34"/>
      <c r="K4" s="34"/>
      <c r="L4" s="34" t="s">
        <v>6</v>
      </c>
      <c r="M4" s="34"/>
      <c r="N4" s="34"/>
      <c r="O4" s="34"/>
      <c r="P4" s="24" t="s">
        <v>7</v>
      </c>
      <c r="Q4" s="24" t="s">
        <v>8</v>
      </c>
    </row>
    <row r="5" spans="1:17" ht="117" customHeight="1" x14ac:dyDescent="0.25">
      <c r="A5" s="34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25"/>
      <c r="H5" s="25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25"/>
      <c r="Q5" s="25"/>
    </row>
    <row r="6" spans="1:17" x14ac:dyDescent="0.25">
      <c r="A6" s="6" t="s">
        <v>19</v>
      </c>
      <c r="B6" s="10">
        <v>36774</v>
      </c>
      <c r="C6" s="10">
        <v>58198</v>
      </c>
      <c r="D6" s="10">
        <v>37869</v>
      </c>
      <c r="E6" s="10">
        <v>4099458</v>
      </c>
      <c r="F6" s="10">
        <v>4761.1670000000004</v>
      </c>
      <c r="G6" s="10">
        <v>7208.4260000000004</v>
      </c>
      <c r="H6" s="9">
        <f>F6/G6*100</f>
        <v>66.05002257080811</v>
      </c>
      <c r="I6" s="9">
        <v>0</v>
      </c>
      <c r="J6" s="9">
        <v>0</v>
      </c>
      <c r="K6" s="9">
        <v>0</v>
      </c>
      <c r="L6" s="9">
        <v>452.31099999999998</v>
      </c>
      <c r="M6" s="9">
        <v>0</v>
      </c>
      <c r="N6" s="9">
        <v>0</v>
      </c>
      <c r="O6" s="9">
        <v>452.31099999999998</v>
      </c>
      <c r="P6" s="9">
        <v>719.88099999999997</v>
      </c>
      <c r="Q6" s="9">
        <f>O6/P6*100</f>
        <v>62.831356849257027</v>
      </c>
    </row>
    <row r="7" spans="1:17" x14ac:dyDescent="0.25">
      <c r="A7" s="4" t="s">
        <v>29</v>
      </c>
      <c r="B7" s="5" t="s">
        <v>30</v>
      </c>
      <c r="C7" s="5" t="s">
        <v>30</v>
      </c>
      <c r="D7" s="5" t="s">
        <v>30</v>
      </c>
      <c r="E7" s="5" t="s">
        <v>30</v>
      </c>
      <c r="F7" s="5" t="s">
        <v>30</v>
      </c>
      <c r="G7" s="5" t="s">
        <v>30</v>
      </c>
      <c r="H7" s="5" t="s">
        <v>30</v>
      </c>
      <c r="I7" s="5" t="s">
        <v>30</v>
      </c>
      <c r="J7" s="5" t="s">
        <v>30</v>
      </c>
      <c r="K7" s="5" t="s">
        <v>30</v>
      </c>
      <c r="L7" s="5" t="s">
        <v>30</v>
      </c>
      <c r="M7" s="5" t="s">
        <v>30</v>
      </c>
      <c r="N7" s="5" t="s">
        <v>30</v>
      </c>
      <c r="O7" s="5" t="s">
        <v>30</v>
      </c>
      <c r="P7" s="5" t="s">
        <v>30</v>
      </c>
      <c r="Q7" s="5" t="s">
        <v>30</v>
      </c>
    </row>
    <row r="8" spans="1:17" x14ac:dyDescent="0.25">
      <c r="A8" s="7" t="s">
        <v>31</v>
      </c>
      <c r="B8" s="12" t="s">
        <v>30</v>
      </c>
      <c r="C8" s="12" t="s">
        <v>30</v>
      </c>
      <c r="D8" s="12" t="s">
        <v>30</v>
      </c>
      <c r="E8" s="12" t="s">
        <v>30</v>
      </c>
      <c r="F8" s="12" t="s">
        <v>30</v>
      </c>
      <c r="G8" s="12" t="s">
        <v>30</v>
      </c>
      <c r="H8" s="12" t="s">
        <v>30</v>
      </c>
      <c r="I8" s="12" t="s">
        <v>30</v>
      </c>
      <c r="J8" s="12" t="s">
        <v>30</v>
      </c>
      <c r="K8" s="12" t="s">
        <v>30</v>
      </c>
      <c r="L8" s="12" t="s">
        <v>30</v>
      </c>
      <c r="M8" s="12" t="s">
        <v>30</v>
      </c>
      <c r="N8" s="12" t="s">
        <v>30</v>
      </c>
      <c r="O8" s="12" t="s">
        <v>30</v>
      </c>
      <c r="P8" s="12" t="s">
        <v>30</v>
      </c>
      <c r="Q8" s="12" t="s">
        <v>30</v>
      </c>
    </row>
    <row r="9" spans="1:17" x14ac:dyDescent="0.25">
      <c r="A9" s="6" t="s">
        <v>20</v>
      </c>
      <c r="B9" s="10">
        <v>44609</v>
      </c>
      <c r="C9" s="10">
        <v>74242</v>
      </c>
      <c r="D9" s="10">
        <v>44979.204000000005</v>
      </c>
      <c r="E9" s="10">
        <v>5692049</v>
      </c>
      <c r="F9" s="10">
        <v>6712.6885159999993</v>
      </c>
      <c r="G9" s="10">
        <v>8760.3131970000013</v>
      </c>
      <c r="H9" s="14">
        <f>F9/G9*100</f>
        <v>76.626124717764455</v>
      </c>
      <c r="I9" s="9">
        <v>25771</v>
      </c>
      <c r="J9" s="9">
        <v>0</v>
      </c>
      <c r="K9" s="9">
        <v>25771</v>
      </c>
      <c r="L9" s="9">
        <v>590.52082799999994</v>
      </c>
      <c r="M9" s="9">
        <v>33.714064</v>
      </c>
      <c r="N9" s="9">
        <v>0</v>
      </c>
      <c r="O9" s="9">
        <v>624.23489199999995</v>
      </c>
      <c r="P9" s="9">
        <v>827.63430199999993</v>
      </c>
      <c r="Q9" s="14">
        <f>O9/P9*100</f>
        <v>75.423999523886337</v>
      </c>
    </row>
    <row r="10" spans="1:17" x14ac:dyDescent="0.25">
      <c r="A10" s="4" t="s">
        <v>29</v>
      </c>
      <c r="B10" s="20">
        <v>0.21305813890248546</v>
      </c>
      <c r="C10" s="20">
        <v>0.27567957661775316</v>
      </c>
      <c r="D10" s="20">
        <v>0.18775790224193944</v>
      </c>
      <c r="E10" s="20">
        <v>0.38848818551135295</v>
      </c>
      <c r="F10" s="20">
        <v>0.40988302153652639</v>
      </c>
      <c r="G10" s="20">
        <v>0.21528794177813587</v>
      </c>
      <c r="H10" s="17">
        <f t="shared" ref="H10" si="0">(H9-H6)/H6</f>
        <v>0.16012261215533069</v>
      </c>
      <c r="I10" s="20" t="s">
        <v>30</v>
      </c>
      <c r="J10" s="20" t="s">
        <v>30</v>
      </c>
      <c r="K10" s="20" t="s">
        <v>30</v>
      </c>
      <c r="L10" s="20">
        <v>0.30556371169394503</v>
      </c>
      <c r="M10" s="20" t="s">
        <v>30</v>
      </c>
      <c r="N10" s="20" t="s">
        <v>30</v>
      </c>
      <c r="O10" s="20">
        <v>0.38010106320651049</v>
      </c>
      <c r="P10" s="20">
        <v>0.14968210301424814</v>
      </c>
      <c r="Q10" s="17">
        <f t="shared" ref="Q10" si="1">(Q9-Q6)/Q6</f>
        <v>0.20041971566587641</v>
      </c>
    </row>
    <row r="11" spans="1:17" x14ac:dyDescent="0.25">
      <c r="A11" s="7" t="s">
        <v>31</v>
      </c>
      <c r="B11" s="21">
        <v>0.21305813890248548</v>
      </c>
      <c r="C11" s="21">
        <v>0.27567957661775311</v>
      </c>
      <c r="D11" s="21">
        <v>0.18775790224193956</v>
      </c>
      <c r="E11" s="21">
        <v>0.38848818551135289</v>
      </c>
      <c r="F11" s="21">
        <v>0.40988302153652634</v>
      </c>
      <c r="G11" s="21">
        <v>0.21528794177813593</v>
      </c>
      <c r="H11" s="13">
        <f t="shared" ref="H11" si="2">(((H9/H6)^(1/1))-1)</f>
        <v>0.16012261215533075</v>
      </c>
      <c r="I11" s="21" t="s">
        <v>30</v>
      </c>
      <c r="J11" s="21" t="s">
        <v>30</v>
      </c>
      <c r="K11" s="21" t="s">
        <v>30</v>
      </c>
      <c r="L11" s="21">
        <v>0.30556371169394492</v>
      </c>
      <c r="M11" s="21" t="s">
        <v>30</v>
      </c>
      <c r="N11" s="21" t="s">
        <v>30</v>
      </c>
      <c r="O11" s="21">
        <v>0.38010106320651049</v>
      </c>
      <c r="P11" s="21">
        <v>0.14968210301424811</v>
      </c>
      <c r="Q11" s="13">
        <f t="shared" ref="Q11" si="3">(((Q9/Q6)^(1/1))-1)</f>
        <v>0.20041971566587646</v>
      </c>
    </row>
    <row r="12" spans="1:17" x14ac:dyDescent="0.25">
      <c r="A12" s="6" t="s">
        <v>21</v>
      </c>
      <c r="B12" s="10">
        <v>53937</v>
      </c>
      <c r="C12" s="10">
        <v>85216</v>
      </c>
      <c r="D12" s="10">
        <v>53666.788269851</v>
      </c>
      <c r="E12" s="10">
        <v>7384010</v>
      </c>
      <c r="F12" s="10">
        <v>8485.097237</v>
      </c>
      <c r="G12" s="10">
        <v>10434.448784</v>
      </c>
      <c r="H12" s="14">
        <f t="shared" ref="H12:H36" si="4">F12/G12*100</f>
        <v>81.318116679157015</v>
      </c>
      <c r="I12" s="9">
        <v>46599</v>
      </c>
      <c r="J12" s="9">
        <v>0</v>
      </c>
      <c r="K12" s="9">
        <v>46599</v>
      </c>
      <c r="L12" s="9">
        <v>636.42819059999999</v>
      </c>
      <c r="M12" s="9">
        <v>61.092424000000001</v>
      </c>
      <c r="N12" s="9">
        <v>0</v>
      </c>
      <c r="O12" s="9">
        <v>697.52061459999993</v>
      </c>
      <c r="P12" s="9">
        <v>895.72793100000001</v>
      </c>
      <c r="Q12" s="14">
        <f t="shared" ref="Q12:Q36" si="5">O12/P12*100</f>
        <v>77.871928568899335</v>
      </c>
    </row>
    <row r="13" spans="1:17" x14ac:dyDescent="0.25">
      <c r="A13" s="4" t="s">
        <v>29</v>
      </c>
      <c r="B13" s="20">
        <v>0.20910578582797193</v>
      </c>
      <c r="C13" s="20">
        <v>0.14781390587538051</v>
      </c>
      <c r="D13" s="20">
        <v>0.19314668774153926</v>
      </c>
      <c r="E13" s="20">
        <v>0.29724990069481133</v>
      </c>
      <c r="F13" s="20">
        <v>0.26403857661135083</v>
      </c>
      <c r="G13" s="20">
        <v>0.1911045358028195</v>
      </c>
      <c r="H13" s="17">
        <f t="shared" ref="H13" si="6">(H12-H9)/H9</f>
        <v>6.1232275267403706E-2</v>
      </c>
      <c r="I13" s="20">
        <v>0.80819525823600169</v>
      </c>
      <c r="J13" s="20" t="s">
        <v>30</v>
      </c>
      <c r="K13" s="20">
        <v>0.80819525823600169</v>
      </c>
      <c r="L13" s="20">
        <v>7.7740463034099899E-2</v>
      </c>
      <c r="M13" s="20">
        <v>0.8120753404276625</v>
      </c>
      <c r="N13" s="20" t="s">
        <v>30</v>
      </c>
      <c r="O13" s="20">
        <v>0.11740087511801565</v>
      </c>
      <c r="P13" s="20">
        <v>8.2275020302384816E-2</v>
      </c>
      <c r="Q13" s="17">
        <f t="shared" ref="Q13" si="7">(Q12-Q9)/Q9</f>
        <v>3.2455571972655112E-2</v>
      </c>
    </row>
    <row r="14" spans="1:17" x14ac:dyDescent="0.25">
      <c r="A14" s="7" t="s">
        <v>31</v>
      </c>
      <c r="B14" s="21">
        <v>0.21108035005638937</v>
      </c>
      <c r="C14" s="21">
        <v>0.21005898925757949</v>
      </c>
      <c r="D14" s="21">
        <v>0.19044924583066924</v>
      </c>
      <c r="E14" s="21">
        <v>0.34209394632809564</v>
      </c>
      <c r="F14" s="21">
        <v>0.33497060931375611</v>
      </c>
      <c r="G14" s="21">
        <v>0.20313547855526659</v>
      </c>
      <c r="H14" s="13">
        <f t="shared" ref="H14" si="8">(((H12/H6)^(1/2))-1)</f>
        <v>0.10957629719040285</v>
      </c>
      <c r="I14" s="21" t="s">
        <v>30</v>
      </c>
      <c r="J14" s="21" t="s">
        <v>30</v>
      </c>
      <c r="K14" s="21" t="s">
        <v>30</v>
      </c>
      <c r="L14" s="21">
        <v>0.18619511007319134</v>
      </c>
      <c r="M14" s="21" t="s">
        <v>30</v>
      </c>
      <c r="N14" s="21" t="s">
        <v>30</v>
      </c>
      <c r="O14" s="21">
        <v>0.2418237136478989</v>
      </c>
      <c r="P14" s="21">
        <v>0.1154695071498073</v>
      </c>
      <c r="Q14" s="13">
        <f t="shared" ref="Q14" si="9">(((Q12/Q6)^(1/2))-1)</f>
        <v>0.1132744603847986</v>
      </c>
    </row>
    <row r="15" spans="1:17" x14ac:dyDescent="0.25">
      <c r="A15" s="6" t="s">
        <v>22</v>
      </c>
      <c r="B15" s="10">
        <v>81034</v>
      </c>
      <c r="C15" s="10">
        <v>117173</v>
      </c>
      <c r="D15" s="10">
        <v>75409.953209999992</v>
      </c>
      <c r="E15" s="10">
        <v>9572842</v>
      </c>
      <c r="F15" s="10">
        <v>10223.659045</v>
      </c>
      <c r="G15" s="10">
        <v>13729.761013999998</v>
      </c>
      <c r="H15" s="14">
        <f t="shared" si="4"/>
        <v>74.46348872769974</v>
      </c>
      <c r="I15" s="9">
        <v>51863.199000000001</v>
      </c>
      <c r="J15" s="9">
        <v>0</v>
      </c>
      <c r="K15" s="9">
        <v>51863.199000000001</v>
      </c>
      <c r="L15" s="9">
        <v>766.77401099999997</v>
      </c>
      <c r="M15" s="9">
        <v>66.988570867999996</v>
      </c>
      <c r="N15" s="9">
        <v>0</v>
      </c>
      <c r="O15" s="9">
        <v>833.76258186799998</v>
      </c>
      <c r="P15" s="9">
        <v>1180.204097</v>
      </c>
      <c r="Q15" s="14">
        <f t="shared" si="5"/>
        <v>70.645626801954748</v>
      </c>
    </row>
    <row r="16" spans="1:17" x14ac:dyDescent="0.25">
      <c r="A16" s="4" t="s">
        <v>29</v>
      </c>
      <c r="B16" s="20">
        <v>0.502382409106921</v>
      </c>
      <c r="C16" s="20">
        <v>0.37501173488546752</v>
      </c>
      <c r="D16" s="20">
        <v>0.40515122371062207</v>
      </c>
      <c r="E16" s="20">
        <v>0.29642863430574984</v>
      </c>
      <c r="F16" s="20">
        <v>0.2048959203930924</v>
      </c>
      <c r="G16" s="20">
        <v>0.31581085864861125</v>
      </c>
      <c r="H16" s="17">
        <f t="shared" ref="H16" si="10">(H15-H12)/H12</f>
        <v>-8.4293983080085427E-2</v>
      </c>
      <c r="I16" s="20">
        <v>0.11296806798429151</v>
      </c>
      <c r="J16" s="20" t="s">
        <v>30</v>
      </c>
      <c r="K16" s="20">
        <v>0.11296806798429151</v>
      </c>
      <c r="L16" s="20">
        <v>0.20480837009610614</v>
      </c>
      <c r="M16" s="20">
        <v>9.6511915585474159E-2</v>
      </c>
      <c r="N16" s="20" t="s">
        <v>30</v>
      </c>
      <c r="O16" s="20">
        <v>0.19532321255641935</v>
      </c>
      <c r="P16" s="20">
        <v>0.31759215734448282</v>
      </c>
      <c r="Q16" s="17">
        <f t="shared" ref="Q16" si="11">(Q15-Q12)/Q12</f>
        <v>-9.2797262116744897E-2</v>
      </c>
    </row>
    <row r="17" spans="1:17" x14ac:dyDescent="0.25">
      <c r="A17" s="7" t="s">
        <v>31</v>
      </c>
      <c r="B17" s="21">
        <v>0.30129412314892501</v>
      </c>
      <c r="C17" s="21">
        <v>0.26271836353861078</v>
      </c>
      <c r="D17" s="21">
        <v>0.2580993697658438</v>
      </c>
      <c r="E17" s="21">
        <v>0.32669619388142057</v>
      </c>
      <c r="F17" s="21">
        <v>0.29012259332209633</v>
      </c>
      <c r="G17" s="21">
        <v>0.23957890762412992</v>
      </c>
      <c r="H17" s="13">
        <f t="shared" ref="H17" si="12">(((H15/H6)^(1/3))-1)</f>
        <v>4.0774883621440772E-2</v>
      </c>
      <c r="I17" s="21" t="s">
        <v>30</v>
      </c>
      <c r="J17" s="21" t="s">
        <v>30</v>
      </c>
      <c r="K17" s="21" t="s">
        <v>30</v>
      </c>
      <c r="L17" s="21">
        <v>0.19236735770225222</v>
      </c>
      <c r="M17" s="21" t="s">
        <v>30</v>
      </c>
      <c r="N17" s="21" t="s">
        <v>30</v>
      </c>
      <c r="O17" s="21">
        <v>0.22612594892941429</v>
      </c>
      <c r="P17" s="21">
        <v>0.17914026250666204</v>
      </c>
      <c r="Q17" s="13">
        <f t="shared" ref="Q17" si="13">(((Q15/Q6)^(1/3))-1)</f>
        <v>3.9847410793070637E-2</v>
      </c>
    </row>
    <row r="18" spans="1:17" x14ac:dyDescent="0.25">
      <c r="A18" s="6" t="s">
        <v>23</v>
      </c>
      <c r="B18" s="10">
        <v>109238</v>
      </c>
      <c r="C18" s="10">
        <v>150789</v>
      </c>
      <c r="D18" s="10">
        <v>94977.811000000002</v>
      </c>
      <c r="E18" s="10">
        <v>11681066</v>
      </c>
      <c r="F18" s="10">
        <v>12033.715024000001</v>
      </c>
      <c r="G18" s="10">
        <v>16105.504767</v>
      </c>
      <c r="H18" s="14">
        <f t="shared" si="4"/>
        <v>74.718024663573104</v>
      </c>
      <c r="I18" s="9">
        <v>67185.058999999994</v>
      </c>
      <c r="J18" s="9">
        <v>0</v>
      </c>
      <c r="K18" s="9">
        <v>67185.058999999994</v>
      </c>
      <c r="L18" s="9">
        <v>902.54224600000009</v>
      </c>
      <c r="M18" s="9">
        <v>79.945281402000006</v>
      </c>
      <c r="N18" s="9">
        <v>0</v>
      </c>
      <c r="O18" s="9">
        <v>982.48752740199996</v>
      </c>
      <c r="P18" s="9">
        <v>1391.8565600000004</v>
      </c>
      <c r="Q18" s="14">
        <f t="shared" si="5"/>
        <v>70.588274369450815</v>
      </c>
    </row>
    <row r="19" spans="1:17" x14ac:dyDescent="0.25">
      <c r="A19" s="4" t="s">
        <v>29</v>
      </c>
      <c r="B19" s="22">
        <v>0.34805143520003951</v>
      </c>
      <c r="C19" s="22">
        <v>0.28689203144069025</v>
      </c>
      <c r="D19" s="22">
        <v>0.25948640672813927</v>
      </c>
      <c r="E19" s="22">
        <v>0.22022968727573275</v>
      </c>
      <c r="F19" s="22">
        <v>0.17704580826032434</v>
      </c>
      <c r="G19" s="22">
        <v>0.1730360601744996</v>
      </c>
      <c r="H19" s="17">
        <f t="shared" ref="H19" si="14">(H18-H15)/H15</f>
        <v>3.4182649808976568E-3</v>
      </c>
      <c r="I19" s="22">
        <v>0.2954283633757338</v>
      </c>
      <c r="J19" s="22" t="s">
        <v>30</v>
      </c>
      <c r="K19" s="22">
        <v>0.2954283633757338</v>
      </c>
      <c r="L19" s="22">
        <v>0.17706421064393654</v>
      </c>
      <c r="M19" s="22">
        <v>0.19341673312498364</v>
      </c>
      <c r="N19" s="22" t="s">
        <v>30</v>
      </c>
      <c r="O19" s="22">
        <v>0.17837805241965857</v>
      </c>
      <c r="P19" s="22">
        <v>0.17933547556563037</v>
      </c>
      <c r="Q19" s="17">
        <f t="shared" ref="Q19" si="15">(Q18-Q15)/Q15</f>
        <v>-8.1183273615382558E-4</v>
      </c>
    </row>
    <row r="20" spans="1:17" x14ac:dyDescent="0.25">
      <c r="A20" s="7" t="s">
        <v>31</v>
      </c>
      <c r="B20" s="21">
        <v>0.31282916785819781</v>
      </c>
      <c r="C20" s="21">
        <v>0.2687188727103067</v>
      </c>
      <c r="D20" s="21">
        <v>0.25844598573709088</v>
      </c>
      <c r="E20" s="21">
        <v>0.29923888200261994</v>
      </c>
      <c r="F20" s="21">
        <v>0.26087367349098578</v>
      </c>
      <c r="G20" s="21">
        <v>0.222597417424508</v>
      </c>
      <c r="H20" s="13">
        <f t="shared" ref="H20" si="16">(((H18/H6)^(1/4))-1)</f>
        <v>3.1307326124661472E-2</v>
      </c>
      <c r="I20" s="21" t="s">
        <v>30</v>
      </c>
      <c r="J20" s="21" t="s">
        <v>30</v>
      </c>
      <c r="K20" s="21" t="s">
        <v>30</v>
      </c>
      <c r="L20" s="21">
        <v>0.18852301893693402</v>
      </c>
      <c r="M20" s="21" t="s">
        <v>30</v>
      </c>
      <c r="N20" s="21" t="s">
        <v>30</v>
      </c>
      <c r="O20" s="21">
        <v>0.21401058674160134</v>
      </c>
      <c r="P20" s="21">
        <v>0.17918906274182977</v>
      </c>
      <c r="Q20" s="13">
        <f t="shared" ref="Q20" si="17">(((Q18/Q6)^(1/4))-1)</f>
        <v>2.9530060191370167E-2</v>
      </c>
    </row>
    <row r="21" spans="1:17" x14ac:dyDescent="0.25">
      <c r="A21" s="6" t="s">
        <v>24</v>
      </c>
      <c r="B21" s="10">
        <v>121738</v>
      </c>
      <c r="C21" s="10">
        <v>174079</v>
      </c>
      <c r="D21" s="10">
        <v>107618.33799999999</v>
      </c>
      <c r="E21" s="10">
        <v>12610917</v>
      </c>
      <c r="F21" s="10">
        <v>13366.902354</v>
      </c>
      <c r="G21" s="10">
        <v>18494.116624000002</v>
      </c>
      <c r="H21" s="14">
        <f t="shared" si="4"/>
        <v>72.276511637509827</v>
      </c>
      <c r="I21" s="9">
        <v>80431.520600000003</v>
      </c>
      <c r="J21" s="9">
        <v>0</v>
      </c>
      <c r="K21" s="9">
        <v>80431.520600000003</v>
      </c>
      <c r="L21" s="9">
        <v>1001.3792419999999</v>
      </c>
      <c r="M21" s="9">
        <v>105.14817649499997</v>
      </c>
      <c r="N21" s="9">
        <v>0</v>
      </c>
      <c r="O21" s="9">
        <v>1106.5274184949999</v>
      </c>
      <c r="P21" s="9">
        <v>1582.6904880000002</v>
      </c>
      <c r="Q21" s="14">
        <f t="shared" si="5"/>
        <v>69.914327967768756</v>
      </c>
    </row>
    <row r="22" spans="1:17" x14ac:dyDescent="0.25">
      <c r="A22" s="4" t="s">
        <v>29</v>
      </c>
      <c r="B22" s="22">
        <v>0.11442904483787693</v>
      </c>
      <c r="C22" s="22">
        <v>0.15445423737805808</v>
      </c>
      <c r="D22" s="22">
        <v>0.13308926439671248</v>
      </c>
      <c r="E22" s="22">
        <v>7.960326566085664E-2</v>
      </c>
      <c r="F22" s="22">
        <v>0.11078767673499784</v>
      </c>
      <c r="G22" s="22">
        <v>0.14831027599297855</v>
      </c>
      <c r="H22" s="17">
        <f t="shared" ref="H22" si="18">(H21-H18)/H18</f>
        <v>-3.2676359379901737E-2</v>
      </c>
      <c r="I22" s="22">
        <v>0.19716380095759103</v>
      </c>
      <c r="J22" s="22" t="s">
        <v>30</v>
      </c>
      <c r="K22" s="22">
        <v>0.19716380095759103</v>
      </c>
      <c r="L22" s="22">
        <v>0.10950955086926729</v>
      </c>
      <c r="M22" s="22">
        <v>0.31525181537943103</v>
      </c>
      <c r="N22" s="22" t="s">
        <v>30</v>
      </c>
      <c r="O22" s="22">
        <v>0.1262508557447031</v>
      </c>
      <c r="P22" s="22">
        <v>0.13710746745339888</v>
      </c>
      <c r="Q22" s="17">
        <f t="shared" ref="Q22" si="19">(Q21-Q18)/Q18</f>
        <v>-9.5475687386080872E-3</v>
      </c>
    </row>
    <row r="23" spans="1:17" x14ac:dyDescent="0.25">
      <c r="A23" s="7" t="s">
        <v>31</v>
      </c>
      <c r="B23" s="21">
        <v>0.27050698824049535</v>
      </c>
      <c r="C23" s="21">
        <v>0.24499516435386193</v>
      </c>
      <c r="D23" s="21">
        <v>0.23231146425540294</v>
      </c>
      <c r="E23" s="21">
        <v>0.25199918223317863</v>
      </c>
      <c r="F23" s="21">
        <v>0.22931582444809262</v>
      </c>
      <c r="G23" s="21">
        <v>0.20736513193157857</v>
      </c>
      <c r="H23" s="13">
        <f t="shared" ref="H23" si="20">(((H21/H6)^(1/5))-1)</f>
        <v>1.8180657976594627E-2</v>
      </c>
      <c r="I23" s="21" t="s">
        <v>30</v>
      </c>
      <c r="J23" s="21" t="s">
        <v>30</v>
      </c>
      <c r="K23" s="21" t="s">
        <v>30</v>
      </c>
      <c r="L23" s="21">
        <v>0.17228251384424809</v>
      </c>
      <c r="M23" s="21" t="s">
        <v>30</v>
      </c>
      <c r="N23" s="21" t="s">
        <v>30</v>
      </c>
      <c r="O23" s="21">
        <v>0.19592792276645121</v>
      </c>
      <c r="P23" s="21">
        <v>0.17064996423874246</v>
      </c>
      <c r="Q23" s="13">
        <f t="shared" ref="Q23" si="21">(((Q21/Q6)^(1/5))-1)</f>
        <v>2.1593097253581384E-2</v>
      </c>
    </row>
    <row r="24" spans="1:17" x14ac:dyDescent="0.25">
      <c r="A24" s="6" t="s">
        <v>25</v>
      </c>
      <c r="B24" s="10">
        <v>102615</v>
      </c>
      <c r="C24" s="10">
        <v>139259</v>
      </c>
      <c r="D24" s="10">
        <v>86019.104999999996</v>
      </c>
      <c r="E24" s="10">
        <v>11700059</v>
      </c>
      <c r="F24" s="10">
        <v>11832.673454</v>
      </c>
      <c r="G24" s="10">
        <v>14540.973821</v>
      </c>
      <c r="H24" s="14">
        <f t="shared" si="4"/>
        <v>81.37469745603498</v>
      </c>
      <c r="I24" s="9">
        <v>71445.77622</v>
      </c>
      <c r="J24" s="9">
        <v>0</v>
      </c>
      <c r="K24" s="9">
        <v>71445.77622</v>
      </c>
      <c r="L24" s="9">
        <v>886.74105099999997</v>
      </c>
      <c r="M24" s="9">
        <v>90.370049386769992</v>
      </c>
      <c r="N24" s="9">
        <v>0</v>
      </c>
      <c r="O24" s="9">
        <v>977.11110038676998</v>
      </c>
      <c r="P24" s="9">
        <v>1264.218102</v>
      </c>
      <c r="Q24" s="14">
        <f t="shared" si="5"/>
        <v>77.289757110816154</v>
      </c>
    </row>
    <row r="25" spans="1:17" x14ac:dyDescent="0.25">
      <c r="A25" s="4" t="s">
        <v>29</v>
      </c>
      <c r="B25" s="22">
        <v>-0.15708324434441176</v>
      </c>
      <c r="C25" s="22">
        <v>-0.20002412697683236</v>
      </c>
      <c r="D25" s="22">
        <v>-0.2007021610015943</v>
      </c>
      <c r="E25" s="22">
        <v>-7.2227737285084026E-2</v>
      </c>
      <c r="F25" s="22">
        <v>-0.11477819313469342</v>
      </c>
      <c r="G25" s="22">
        <v>-0.21375137203741698</v>
      </c>
      <c r="H25" s="17">
        <f t="shared" ref="H25" si="22">(H24-H21)/H21</f>
        <v>0.12588025642625794</v>
      </c>
      <c r="I25" s="22">
        <v>-0.11171919059802039</v>
      </c>
      <c r="J25" s="22" t="s">
        <v>30</v>
      </c>
      <c r="K25" s="22">
        <v>-0.11171919059802039</v>
      </c>
      <c r="L25" s="22">
        <v>-0.11448029496900626</v>
      </c>
      <c r="M25" s="22">
        <v>-0.14054572890222888</v>
      </c>
      <c r="N25" s="22" t="s">
        <v>30</v>
      </c>
      <c r="O25" s="22">
        <v>-0.11695717245240111</v>
      </c>
      <c r="P25" s="22">
        <v>-0.20122215203456767</v>
      </c>
      <c r="Q25" s="17">
        <f t="shared" ref="Q25" si="23">(Q24-Q21)/Q21</f>
        <v>0.10549238414259735</v>
      </c>
    </row>
    <row r="26" spans="1:17" x14ac:dyDescent="0.25">
      <c r="A26" s="7" t="s">
        <v>31</v>
      </c>
      <c r="B26" s="21">
        <v>0.18652892441199831</v>
      </c>
      <c r="C26" s="21">
        <v>0.15651836973241973</v>
      </c>
      <c r="D26" s="21">
        <v>0.1465293598352988</v>
      </c>
      <c r="E26" s="21">
        <v>0.19099590543584144</v>
      </c>
      <c r="F26" s="21">
        <v>0.16384437190469137</v>
      </c>
      <c r="G26" s="21">
        <v>0.12406693933750601</v>
      </c>
      <c r="H26" s="13">
        <f t="shared" ref="H26" si="24">(((H24/H6)^(1/6))-1)</f>
        <v>3.5387067420227902E-2</v>
      </c>
      <c r="I26" s="21" t="s">
        <v>30</v>
      </c>
      <c r="J26" s="21" t="s">
        <v>30</v>
      </c>
      <c r="K26" s="21" t="s">
        <v>30</v>
      </c>
      <c r="L26" s="21">
        <v>0.11873341684001093</v>
      </c>
      <c r="M26" s="21" t="s">
        <v>30</v>
      </c>
      <c r="N26" s="21" t="s">
        <v>30</v>
      </c>
      <c r="O26" s="21">
        <v>0.13697556925714416</v>
      </c>
      <c r="P26" s="21">
        <v>9.8399219307052865E-2</v>
      </c>
      <c r="Q26" s="13">
        <f t="shared" ref="Q26" si="25">(((Q24/Q6)^(1/6))-1)</f>
        <v>3.5120518361646313E-2</v>
      </c>
    </row>
    <row r="27" spans="1:17" x14ac:dyDescent="0.25">
      <c r="A27" s="6" t="s">
        <v>26</v>
      </c>
      <c r="B27" s="10">
        <v>95755</v>
      </c>
      <c r="C27" s="10">
        <v>133905</v>
      </c>
      <c r="D27" s="10">
        <v>79635.166999999987</v>
      </c>
      <c r="E27" s="10">
        <v>11914456</v>
      </c>
      <c r="F27" s="10">
        <v>11699.948880999998</v>
      </c>
      <c r="G27" s="10">
        <v>12916.360223</v>
      </c>
      <c r="H27" s="14">
        <f t="shared" si="4"/>
        <v>90.582398438888745</v>
      </c>
      <c r="I27" s="9">
        <v>63209.987910000003</v>
      </c>
      <c r="J27" s="9">
        <v>0</v>
      </c>
      <c r="K27" s="9">
        <v>63209.987910000003</v>
      </c>
      <c r="L27" s="9">
        <v>877.56996242000025</v>
      </c>
      <c r="M27" s="9">
        <v>73.100768559999977</v>
      </c>
      <c r="N27" s="9">
        <v>0</v>
      </c>
      <c r="O27" s="9">
        <v>950.67073098000003</v>
      </c>
      <c r="P27" s="9">
        <v>1128.4691620000001</v>
      </c>
      <c r="Q27" s="14">
        <f t="shared" si="5"/>
        <v>84.244280924355465</v>
      </c>
    </row>
    <row r="28" spans="1:17" x14ac:dyDescent="0.25">
      <c r="A28" s="4" t="s">
        <v>29</v>
      </c>
      <c r="B28" s="22">
        <v>-6.6851824781951952E-2</v>
      </c>
      <c r="C28" s="22">
        <v>-3.844634817139287E-2</v>
      </c>
      <c r="D28" s="22">
        <v>-7.4215350182962367E-2</v>
      </c>
      <c r="E28" s="22">
        <v>1.8324437509246748E-2</v>
      </c>
      <c r="F28" s="22">
        <v>-1.1216786596534883E-2</v>
      </c>
      <c r="G28" s="22">
        <v>-0.11172660222066705</v>
      </c>
      <c r="H28" s="17">
        <f t="shared" ref="H28" si="26">(H27-H24)/H24</f>
        <v>0.11315189205868927</v>
      </c>
      <c r="I28" s="22">
        <v>-0.11527327080385938</v>
      </c>
      <c r="J28" s="22" t="s">
        <v>30</v>
      </c>
      <c r="K28" s="22">
        <v>-0.11527327080385938</v>
      </c>
      <c r="L28" s="22">
        <v>-1.0342465333771627E-2</v>
      </c>
      <c r="M28" s="22">
        <v>-0.1910951796967614</v>
      </c>
      <c r="N28" s="22" t="s">
        <v>30</v>
      </c>
      <c r="O28" s="22">
        <v>-2.7059737010769861E-2</v>
      </c>
      <c r="P28" s="22">
        <v>-0.10737778535621692</v>
      </c>
      <c r="Q28" s="17">
        <f t="shared" ref="Q28" si="27">(Q27-Q24)/Q24</f>
        <v>8.9979889619372005E-2</v>
      </c>
    </row>
    <row r="29" spans="1:17" x14ac:dyDescent="0.25">
      <c r="A29" s="7" t="s">
        <v>31</v>
      </c>
      <c r="B29" s="21">
        <v>0.14650082041540347</v>
      </c>
      <c r="C29" s="21">
        <v>0.12641491016894091</v>
      </c>
      <c r="D29" s="21">
        <v>0.11203202376273769</v>
      </c>
      <c r="E29" s="21">
        <v>0.16464224579557185</v>
      </c>
      <c r="F29" s="21">
        <v>0.13705509109754144</v>
      </c>
      <c r="G29" s="21">
        <v>8.68901976830323E-2</v>
      </c>
      <c r="H29" s="13">
        <f t="shared" ref="H29" si="28">(((H27/H6)^(1/7))-1)</f>
        <v>4.6154518203814554E-2</v>
      </c>
      <c r="I29" s="21" t="s">
        <v>30</v>
      </c>
      <c r="J29" s="21" t="s">
        <v>30</v>
      </c>
      <c r="K29" s="21" t="s">
        <v>30</v>
      </c>
      <c r="L29" s="21">
        <v>9.9311211325860738E-2</v>
      </c>
      <c r="M29" s="21" t="s">
        <v>30</v>
      </c>
      <c r="N29" s="21" t="s">
        <v>30</v>
      </c>
      <c r="O29" s="21">
        <v>0.11194859516816047</v>
      </c>
      <c r="P29" s="21">
        <v>6.6325647028864454E-2</v>
      </c>
      <c r="Q29" s="13">
        <f t="shared" ref="Q29" si="29">(((Q27/Q6)^(1/7))-1)</f>
        <v>4.2785192559530394E-2</v>
      </c>
    </row>
    <row r="30" spans="1:17" x14ac:dyDescent="0.25">
      <c r="A30" s="6" t="s">
        <v>27</v>
      </c>
      <c r="B30" s="10">
        <v>115207</v>
      </c>
      <c r="C30" s="10">
        <v>163596</v>
      </c>
      <c r="D30" s="10">
        <v>99039.251000000004</v>
      </c>
      <c r="E30" s="10">
        <v>14914804</v>
      </c>
      <c r="F30" s="10">
        <v>15056.481735999996</v>
      </c>
      <c r="G30" s="10">
        <v>16438.449419999997</v>
      </c>
      <c r="H30" s="14">
        <f t="shared" si="4"/>
        <v>91.59307761522436</v>
      </c>
      <c r="I30" s="9">
        <v>60481.887840000003</v>
      </c>
      <c r="J30" s="9">
        <v>0</v>
      </c>
      <c r="K30" s="9">
        <v>60481.887840000003</v>
      </c>
      <c r="L30" s="9">
        <v>1125.3011659999997</v>
      </c>
      <c r="M30" s="9">
        <v>72.234873530000002</v>
      </c>
      <c r="N30" s="9">
        <v>0</v>
      </c>
      <c r="O30" s="9">
        <v>1197.5360395299999</v>
      </c>
      <c r="P30" s="9">
        <v>1434.8214310000001</v>
      </c>
      <c r="Q30" s="14">
        <f t="shared" si="5"/>
        <v>83.462374735745072</v>
      </c>
    </row>
    <row r="31" spans="1:17" x14ac:dyDescent="0.25">
      <c r="A31" s="4" t="s">
        <v>29</v>
      </c>
      <c r="B31" s="22">
        <v>0.20314343898490941</v>
      </c>
      <c r="C31" s="22">
        <v>0.22173182480116502</v>
      </c>
      <c r="D31" s="22">
        <v>0.24366225037237657</v>
      </c>
      <c r="E31" s="22">
        <v>0.25182417057060769</v>
      </c>
      <c r="F31" s="22">
        <v>0.2868844034396425</v>
      </c>
      <c r="G31" s="22">
        <v>0.27268434266243657</v>
      </c>
      <c r="H31" s="17">
        <f t="shared" ref="H31" si="30">(H30-H27)/H27</f>
        <v>1.1157566963933585E-2</v>
      </c>
      <c r="I31" s="22">
        <v>-4.3159319598104325E-2</v>
      </c>
      <c r="J31" s="22" t="s">
        <v>30</v>
      </c>
      <c r="K31" s="22">
        <v>-4.3159319598104325E-2</v>
      </c>
      <c r="L31" s="22">
        <v>0.28229225496375487</v>
      </c>
      <c r="M31" s="22">
        <v>-1.1845224709084456E-2</v>
      </c>
      <c r="N31" s="22" t="s">
        <v>30</v>
      </c>
      <c r="O31" s="22">
        <v>0.25967488059248284</v>
      </c>
      <c r="P31" s="22">
        <v>0.27147597764838161</v>
      </c>
      <c r="Q31" s="17">
        <f t="shared" ref="Q31" si="31">(Q30-Q27)/Q27</f>
        <v>-9.2814156644352008E-3</v>
      </c>
    </row>
    <row r="32" spans="1:17" x14ac:dyDescent="0.25">
      <c r="A32" s="7" t="s">
        <v>31</v>
      </c>
      <c r="B32" s="21">
        <v>0.15343267325415222</v>
      </c>
      <c r="C32" s="21">
        <v>0.13791042848305524</v>
      </c>
      <c r="D32" s="21">
        <v>0.12769184236316056</v>
      </c>
      <c r="E32" s="21">
        <v>0.17519893348845472</v>
      </c>
      <c r="F32" s="21">
        <v>0.15478533729388944</v>
      </c>
      <c r="G32" s="21">
        <v>0.10854301721765602</v>
      </c>
      <c r="H32" s="13">
        <f t="shared" ref="H32" si="32">(((H30/H6)^(1/8))-1)</f>
        <v>4.1714502151028343E-2</v>
      </c>
      <c r="I32" s="21" t="s">
        <v>30</v>
      </c>
      <c r="J32" s="21" t="s">
        <v>30</v>
      </c>
      <c r="K32" s="21" t="s">
        <v>30</v>
      </c>
      <c r="L32" s="21">
        <v>0.12067311262643754</v>
      </c>
      <c r="M32" s="21" t="s">
        <v>30</v>
      </c>
      <c r="N32" s="21" t="s">
        <v>30</v>
      </c>
      <c r="O32" s="21">
        <v>0.12942248687302249</v>
      </c>
      <c r="P32" s="21">
        <v>9.0039266815798769E-2</v>
      </c>
      <c r="Q32" s="13">
        <f t="shared" ref="Q32" si="33">(((Q30/Q6)^(1/8))-1)</f>
        <v>3.6130092975704686E-2</v>
      </c>
    </row>
    <row r="33" spans="1:17" x14ac:dyDescent="0.25">
      <c r="A33" s="6" t="s">
        <v>28</v>
      </c>
      <c r="B33" s="10">
        <v>138311</v>
      </c>
      <c r="C33" s="10">
        <v>197708</v>
      </c>
      <c r="D33" s="10">
        <v>118614.7</v>
      </c>
      <c r="E33" s="10">
        <v>18090019</v>
      </c>
      <c r="F33" s="10">
        <v>18254.3001</v>
      </c>
      <c r="G33" s="10">
        <v>19510.000899999999</v>
      </c>
      <c r="H33" s="14">
        <f t="shared" si="4"/>
        <v>93.563809625452151</v>
      </c>
      <c r="I33" s="9">
        <v>74646.979319999999</v>
      </c>
      <c r="J33" s="9">
        <v>0</v>
      </c>
      <c r="K33" s="9">
        <v>74646.979319999999</v>
      </c>
      <c r="L33" s="9">
        <v>1369.0691999999999</v>
      </c>
      <c r="M33" s="9">
        <v>85.585700000000003</v>
      </c>
      <c r="N33" s="9">
        <v>0</v>
      </c>
      <c r="O33" s="9">
        <v>1454.6549</v>
      </c>
      <c r="P33" s="9">
        <v>1692.9860000000001</v>
      </c>
      <c r="Q33" s="14">
        <f t="shared" si="5"/>
        <v>85.922441177895152</v>
      </c>
    </row>
    <row r="34" spans="1:17" x14ac:dyDescent="0.25">
      <c r="A34" s="4" t="s">
        <v>29</v>
      </c>
      <c r="B34" s="22">
        <v>0.20054336976051804</v>
      </c>
      <c r="C34" s="22">
        <v>0.20851365559060123</v>
      </c>
      <c r="D34" s="22">
        <v>0.19765344348171607</v>
      </c>
      <c r="E34" s="22">
        <v>0.21289015933430971</v>
      </c>
      <c r="F34" s="22">
        <v>0.21238815415649404</v>
      </c>
      <c r="G34" s="22">
        <v>0.186851655014552</v>
      </c>
      <c r="H34" s="17">
        <f t="shared" ref="H34" si="34">(H33-H30)/H30</f>
        <v>2.1516167613743573E-2</v>
      </c>
      <c r="I34" s="22">
        <v>0.23420385814465006</v>
      </c>
      <c r="J34" s="22" t="s">
        <v>30</v>
      </c>
      <c r="K34" s="22">
        <v>0.23420385814465006</v>
      </c>
      <c r="L34" s="22">
        <v>0.21662470578120793</v>
      </c>
      <c r="M34" s="22">
        <v>0.18482522108182614</v>
      </c>
      <c r="N34" s="22" t="s">
        <v>30</v>
      </c>
      <c r="O34" s="22">
        <v>0.21470657415113134</v>
      </c>
      <c r="P34" s="22">
        <v>0.17992801293752073</v>
      </c>
      <c r="Q34" s="17">
        <f t="shared" ref="Q34" si="35">(Q33-Q30)/Q30</f>
        <v>2.9475155121562673E-2</v>
      </c>
    </row>
    <row r="35" spans="1:17" x14ac:dyDescent="0.25">
      <c r="A35" s="7" t="s">
        <v>31</v>
      </c>
      <c r="B35" s="21">
        <v>0.1585745473682918</v>
      </c>
      <c r="C35" s="21">
        <v>0.14554699174387409</v>
      </c>
      <c r="D35" s="21">
        <v>0.13525902786150157</v>
      </c>
      <c r="E35" s="21">
        <v>0.17932832985659308</v>
      </c>
      <c r="F35" s="21">
        <v>0.16104805910465103</v>
      </c>
      <c r="G35" s="21">
        <v>0.11698236400284934</v>
      </c>
      <c r="H35" s="13">
        <f t="shared" ref="H35" si="36">(((H33/H6)^(1/9))-1)</f>
        <v>3.9450663252986962E-2</v>
      </c>
      <c r="I35" s="21" t="s">
        <v>30</v>
      </c>
      <c r="J35" s="21" t="s">
        <v>30</v>
      </c>
      <c r="K35" s="21" t="s">
        <v>30</v>
      </c>
      <c r="L35" s="21">
        <v>0.13094930736871446</v>
      </c>
      <c r="M35" s="21" t="s">
        <v>30</v>
      </c>
      <c r="N35" s="21" t="s">
        <v>30</v>
      </c>
      <c r="O35" s="21">
        <v>0.13859481750939362</v>
      </c>
      <c r="P35" s="21">
        <v>9.9678794832233297E-2</v>
      </c>
      <c r="Q35" s="13">
        <f t="shared" ref="Q35" si="37">(((Q33/Q6)^(1/9))-1)</f>
        <v>3.5388536052563646E-2</v>
      </c>
    </row>
    <row r="36" spans="1:17" x14ac:dyDescent="0.25">
      <c r="A36" s="6" t="s">
        <v>32</v>
      </c>
      <c r="B36" s="10">
        <v>156182</v>
      </c>
      <c r="C36" s="10">
        <v>232545</v>
      </c>
      <c r="D36" s="10">
        <v>137048.258</v>
      </c>
      <c r="E36" s="10">
        <v>19895114</v>
      </c>
      <c r="F36" s="10">
        <v>20503.949322</v>
      </c>
      <c r="G36" s="10">
        <v>22316.526798999999</v>
      </c>
      <c r="H36" s="14">
        <f t="shared" si="4"/>
        <v>91.877869287969943</v>
      </c>
      <c r="I36" s="9">
        <v>107404.21004000001</v>
      </c>
      <c r="J36" s="9">
        <v>0</v>
      </c>
      <c r="K36" s="9">
        <v>107404.21004000001</v>
      </c>
      <c r="L36" s="9">
        <v>1537.7947525000002</v>
      </c>
      <c r="M36" s="9">
        <v>112.8786422</v>
      </c>
      <c r="N36" s="9">
        <v>0</v>
      </c>
      <c r="O36" s="9">
        <v>1650.6733947</v>
      </c>
      <c r="P36" s="9">
        <v>1936.391615</v>
      </c>
      <c r="Q36" s="14">
        <f t="shared" si="5"/>
        <v>85.244812150252997</v>
      </c>
    </row>
    <row r="37" spans="1:17" x14ac:dyDescent="0.25">
      <c r="A37" s="4" t="s">
        <v>29</v>
      </c>
      <c r="B37" s="22">
        <v>0.12920881202507392</v>
      </c>
      <c r="C37" s="22">
        <v>0.17620430129281567</v>
      </c>
      <c r="D37" s="22">
        <v>0.15540702796533654</v>
      </c>
      <c r="E37" s="22">
        <v>9.9784030077580355E-2</v>
      </c>
      <c r="F37" s="22">
        <v>0.12323941261379832</v>
      </c>
      <c r="G37" s="22">
        <v>0.14385062888438926</v>
      </c>
      <c r="H37" s="17">
        <f t="shared" ref="H37" si="38">(H36-H33)/H33</f>
        <v>-1.8019150184577157E-2</v>
      </c>
      <c r="I37" s="22">
        <v>0.43882861729173056</v>
      </c>
      <c r="J37" s="22" t="s">
        <v>30</v>
      </c>
      <c r="K37" s="22">
        <v>0.43882861729173056</v>
      </c>
      <c r="L37" s="22">
        <v>0.12324106955294903</v>
      </c>
      <c r="M37" s="22">
        <v>0.31889605623369321</v>
      </c>
      <c r="N37" s="22" t="s">
        <v>30</v>
      </c>
      <c r="O37" s="22">
        <v>0.13475257581712338</v>
      </c>
      <c r="P37" s="22">
        <v>0.14377296386384758</v>
      </c>
      <c r="Q37" s="17">
        <f t="shared" ref="Q37" si="39">(Q36-Q33)/Q33</f>
        <v>-7.8865197304995235E-3</v>
      </c>
    </row>
    <row r="38" spans="1:17" x14ac:dyDescent="0.25">
      <c r="A38" s="7" t="s">
        <v>31</v>
      </c>
      <c r="B38" s="21">
        <v>0.15560393182688048</v>
      </c>
      <c r="C38" s="21">
        <v>0.14857641607508976</v>
      </c>
      <c r="D38" s="21">
        <v>0.13725791549906208</v>
      </c>
      <c r="E38" s="21">
        <v>0.17112162145019227</v>
      </c>
      <c r="F38" s="21">
        <v>0.15721061967118599</v>
      </c>
      <c r="G38" s="21">
        <v>0.11964054255740941</v>
      </c>
      <c r="H38" s="13">
        <f t="shared" ref="H38" si="40">(((H36/H6)^(1/10))-1)</f>
        <v>3.3555481143940469E-2</v>
      </c>
      <c r="I38" s="21" t="s">
        <v>30</v>
      </c>
      <c r="J38" s="21" t="s">
        <v>30</v>
      </c>
      <c r="K38" s="21" t="s">
        <v>30</v>
      </c>
      <c r="L38" s="21">
        <v>0.13017610915637756</v>
      </c>
      <c r="M38" s="21" t="s">
        <v>30</v>
      </c>
      <c r="N38" s="21" t="s">
        <v>30</v>
      </c>
      <c r="O38" s="21">
        <v>0.13821000862799693</v>
      </c>
      <c r="P38" s="21">
        <v>0.10401061266327694</v>
      </c>
      <c r="Q38" s="13">
        <f t="shared" ref="Q38" si="41">(((Q36/Q6)^(1/10))-1)</f>
        <v>3.0977415952749388E-2</v>
      </c>
    </row>
    <row r="39" spans="1:17" x14ac:dyDescent="0.25">
      <c r="A39" s="36" t="s">
        <v>47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8"/>
    </row>
    <row r="40" spans="1:17" ht="31.5" customHeight="1" x14ac:dyDescent="0.25">
      <c r="A40" s="28" t="s">
        <v>53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AIR INDIA</vt:lpstr>
      <vt:lpstr>AIR INDIA EXPRESS</vt:lpstr>
      <vt:lpstr>GO AIR</vt:lpstr>
      <vt:lpstr>INDIGO</vt:lpstr>
      <vt:lpstr>JET AIRWAYS </vt:lpstr>
      <vt:lpstr>SPICEJET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2020-05-11T09:32:17Z</cp:lastPrinted>
  <dcterms:created xsi:type="dcterms:W3CDTF">2018-10-29T04:00:16Z</dcterms:created>
  <dcterms:modified xsi:type="dcterms:W3CDTF">2020-05-20T10:23:53Z</dcterms:modified>
</cp:coreProperties>
</file>