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 INDIA SCHEDULED CARRIERS\"/>
    </mc:Choice>
  </mc:AlternateContent>
  <bookViews>
    <workbookView showHorizontalScroll="0" showVerticalScroll="0" xWindow="-120" yWindow="-120" windowWidth="20736" windowHeight="11160"/>
  </bookViews>
  <sheets>
    <sheet name="2018-19" sheetId="1" r:id="rId1"/>
  </sheets>
  <definedNames>
    <definedName name="_xlnm.Print_Area" localSheetId="0">'2018-19'!$A$1:$Q$40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" l="1"/>
  <c r="K36" i="1" l="1"/>
  <c r="Q38" i="1" l="1"/>
  <c r="Q33" i="1"/>
  <c r="Q35" i="1" s="1"/>
  <c r="Q31" i="1"/>
  <c r="Q30" i="1"/>
  <c r="Q27" i="1"/>
  <c r="Q29" i="1" s="1"/>
  <c r="Q24" i="1"/>
  <c r="Q25" i="1" s="1"/>
  <c r="Q23" i="1"/>
  <c r="Q21" i="1"/>
  <c r="Q18" i="1"/>
  <c r="Q22" i="1" s="1"/>
  <c r="Q15" i="1"/>
  <c r="Q17" i="1" s="1"/>
  <c r="Q12" i="1"/>
  <c r="Q14" i="1" s="1"/>
  <c r="Q9" i="1"/>
  <c r="Q11" i="1" s="1"/>
  <c r="Q6" i="1"/>
  <c r="Q32" i="1" s="1"/>
  <c r="H38" i="1"/>
  <c r="H37" i="1"/>
  <c r="H36" i="1"/>
  <c r="H35" i="1"/>
  <c r="H33" i="1"/>
  <c r="H34" i="1" s="1"/>
  <c r="H30" i="1"/>
  <c r="H32" i="1" s="1"/>
  <c r="H27" i="1"/>
  <c r="H28" i="1" s="1"/>
  <c r="H24" i="1"/>
  <c r="H26" i="1" s="1"/>
  <c r="H21" i="1"/>
  <c r="H23" i="1" s="1"/>
  <c r="H20" i="1"/>
  <c r="H19" i="1"/>
  <c r="H18" i="1"/>
  <c r="H15" i="1"/>
  <c r="H17" i="1" s="1"/>
  <c r="H14" i="1"/>
  <c r="H13" i="1"/>
  <c r="H12" i="1"/>
  <c r="H11" i="1"/>
  <c r="H9" i="1"/>
  <c r="H10" i="1" s="1"/>
  <c r="H6" i="1"/>
  <c r="Q10" i="1" l="1"/>
  <c r="Q26" i="1"/>
  <c r="Q34" i="1"/>
  <c r="Q19" i="1"/>
  <c r="Q20" i="1"/>
  <c r="Q28" i="1"/>
  <c r="Q13" i="1"/>
  <c r="Q37" i="1"/>
  <c r="Q16" i="1"/>
  <c r="H29" i="1"/>
  <c r="H22" i="1"/>
  <c r="H31" i="1"/>
  <c r="H16" i="1"/>
  <c r="H25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C38" i="1" l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<sst xmlns="http://schemas.openxmlformats.org/spreadsheetml/2006/main" count="91" uniqueCount="38">
  <si>
    <t>YEAR-WISE DETAILS OF ANNUAL TRAFFIC AND OPERATING STATISTICS ON SCHEDULED (INTERNATIONAL+DOMESTIC)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</si>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</sst>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4" fillId="4" borderId="1" xfId="1" applyNumberForma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6" fontId="6" fillId="6" borderId="1" xfId="6" applyNumberFormat="1" applyFont="1" applyFill="1" applyBorder="1" applyAlignment="1" applyProtection="1">
      <alignment horizontal="center" vertical="center" wrapText="1"/>
    </xf>
    <xf numFmtId="3" fontId="7" fillId="4" borderId="1" xfId="3" applyNumberFormat="1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9" fillId="2" borderId="1" xfId="1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B35" zoomScale="110" zoomScaleSheetLayoutView="110" workbookViewId="0">
      <selection activeCell="A36" sqref="A36:Q38"/>
    </sheetView>
  </sheetViews>
  <sheetFormatPr defaultColWidth="9.109375" defaultRowHeight="14.4" x14ac:dyDescent="0.3"/>
  <cols>
    <col min="1" max="1" width="8.109375" style="1" customWidth="1"/>
    <col min="2" max="2" width="10.6640625" style="1" customWidth="1"/>
    <col min="3" max="3" width="9.6640625" style="1" customWidth="1"/>
    <col min="4" max="4" width="10.6640625" style="1" customWidth="1"/>
    <col min="5" max="5" width="12.44140625" style="1" customWidth="1"/>
    <col min="6" max="6" width="8.88671875" style="1" customWidth="1"/>
    <col min="7" max="7" width="8.6640625" style="1" customWidth="1"/>
    <col min="8" max="8" width="6.88671875" style="1" customWidth="1"/>
    <col min="9" max="9" width="11.5546875" style="1" customWidth="1"/>
    <col min="10" max="10" width="8.6640625" style="1" customWidth="1"/>
    <col min="11" max="11" width="11.33203125" style="1" customWidth="1"/>
    <col min="12" max="12" width="8.88671875" style="1" customWidth="1"/>
    <col min="13" max="13" width="8.33203125" style="1" customWidth="1"/>
    <col min="14" max="14" width="7.77734375" style="1" customWidth="1"/>
    <col min="15" max="15" width="9" style="1" customWidth="1"/>
    <col min="16" max="16" width="10" style="1" customWidth="1"/>
    <col min="17" max="17" width="7.44140625" style="1" customWidth="1"/>
    <col min="18" max="16384" width="9.109375" style="1"/>
  </cols>
  <sheetData>
    <row r="1" spans="1:17" ht="21" customHeight="1" x14ac:dyDescent="0.3">
      <c r="A1" s="27" t="s">
        <v>34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21" customHeight="1" x14ac:dyDescent="0.3">
      <c r="A2" s="29" t="s">
        <v>35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21" customHeight="1" x14ac:dyDescent="0.3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ht="15" customHeight="1" x14ac:dyDescent="0.3">
      <c r="A4" s="31" t="s">
        <v>1</v>
      </c>
      <c r="B4" s="31" t="s">
        <v>2</v>
      </c>
      <c r="C4" s="31"/>
      <c r="D4" s="31"/>
      <c r="E4" s="31" t="s">
        <v>3</v>
      </c>
      <c r="F4" s="32"/>
      <c r="G4" s="21" t="s">
        <v>4</v>
      </c>
      <c r="H4" s="21" t="s">
        <v>5</v>
      </c>
      <c r="I4" s="31" t="s">
        <v>6</v>
      </c>
      <c r="J4" s="31"/>
      <c r="K4" s="31"/>
      <c r="L4" s="31" t="s">
        <v>7</v>
      </c>
      <c r="M4" s="31"/>
      <c r="N4" s="31"/>
      <c r="O4" s="31"/>
      <c r="P4" s="21" t="s">
        <v>8</v>
      </c>
      <c r="Q4" s="21" t="s">
        <v>9</v>
      </c>
    </row>
    <row r="5" spans="1:17" ht="132" customHeight="1" x14ac:dyDescent="0.3">
      <c r="A5" s="31"/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22"/>
      <c r="H5" s="22"/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16</v>
      </c>
      <c r="O5" s="13" t="s">
        <v>17</v>
      </c>
      <c r="P5" s="22"/>
      <c r="Q5" s="22"/>
    </row>
    <row r="6" spans="1:17" ht="24.9" customHeight="1" x14ac:dyDescent="0.3">
      <c r="A6" s="6" t="s">
        <v>20</v>
      </c>
      <c r="B6" s="12">
        <v>596949</v>
      </c>
      <c r="C6" s="12">
        <v>1211765.3</v>
      </c>
      <c r="D6" s="12">
        <v>712681</v>
      </c>
      <c r="E6" s="12">
        <v>49516433</v>
      </c>
      <c r="F6" s="12">
        <v>78444.705999999962</v>
      </c>
      <c r="G6" s="12">
        <v>121331.97099999996</v>
      </c>
      <c r="H6" s="15">
        <f>F6/G6*100</f>
        <v>64.65295614459275</v>
      </c>
      <c r="I6" s="11">
        <v>423703</v>
      </c>
      <c r="J6" s="11">
        <v>27997</v>
      </c>
      <c r="K6" s="11">
        <v>451700</v>
      </c>
      <c r="L6" s="11">
        <v>7213.0243550000023</v>
      </c>
      <c r="M6" s="11">
        <v>1196.0349999999999</v>
      </c>
      <c r="N6" s="11">
        <v>48.713999999999999</v>
      </c>
      <c r="O6" s="11">
        <v>8457.7733550000012</v>
      </c>
      <c r="P6" s="11">
        <v>14720.277931000001</v>
      </c>
      <c r="Q6" s="15">
        <f>O6/P6*100</f>
        <v>57.45661457375374</v>
      </c>
    </row>
    <row r="7" spans="1:17" ht="24.9" customHeight="1" x14ac:dyDescent="0.3">
      <c r="A7" s="4" t="s">
        <v>31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16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16" t="s">
        <v>32</v>
      </c>
    </row>
    <row r="8" spans="1:17" ht="24.9" customHeight="1" x14ac:dyDescent="0.3">
      <c r="A8" s="7" t="s">
        <v>33</v>
      </c>
      <c r="B8" s="14" t="s">
        <v>32</v>
      </c>
      <c r="C8" s="14" t="s">
        <v>32</v>
      </c>
      <c r="D8" s="14" t="s">
        <v>32</v>
      </c>
      <c r="E8" s="14" t="s">
        <v>32</v>
      </c>
      <c r="F8" s="14" t="s">
        <v>32</v>
      </c>
      <c r="G8" s="14" t="s">
        <v>32</v>
      </c>
      <c r="H8" s="17" t="s">
        <v>32</v>
      </c>
      <c r="I8" s="14" t="s">
        <v>32</v>
      </c>
      <c r="J8" s="14" t="s">
        <v>32</v>
      </c>
      <c r="K8" s="14" t="s">
        <v>32</v>
      </c>
      <c r="L8" s="14" t="s">
        <v>32</v>
      </c>
      <c r="M8" s="14" t="s">
        <v>32</v>
      </c>
      <c r="N8" s="14" t="s">
        <v>32</v>
      </c>
      <c r="O8" s="14" t="s">
        <v>32</v>
      </c>
      <c r="P8" s="14" t="s">
        <v>32</v>
      </c>
      <c r="Q8" s="17" t="s">
        <v>32</v>
      </c>
    </row>
    <row r="9" spans="1:17" ht="24.9" customHeight="1" x14ac:dyDescent="0.3">
      <c r="A9" s="6" t="s">
        <v>21</v>
      </c>
      <c r="B9" s="12">
        <v>609297</v>
      </c>
      <c r="C9" s="12">
        <v>1253634.54</v>
      </c>
      <c r="D9" s="12">
        <v>716202.4040000001</v>
      </c>
      <c r="E9" s="12">
        <v>56948624</v>
      </c>
      <c r="F9" s="12">
        <v>89442.611130000034</v>
      </c>
      <c r="G9" s="12">
        <v>125078.28393800004</v>
      </c>
      <c r="H9" s="18">
        <f>F9/G9*100</f>
        <v>71.50930466421795</v>
      </c>
      <c r="I9" s="11">
        <v>513706</v>
      </c>
      <c r="J9" s="11">
        <v>33360.642</v>
      </c>
      <c r="K9" s="11">
        <v>547066.64199999999</v>
      </c>
      <c r="L9" s="11">
        <v>8002.6258279999965</v>
      </c>
      <c r="M9" s="11">
        <v>1427.097064</v>
      </c>
      <c r="N9" s="11">
        <v>57.587000000000003</v>
      </c>
      <c r="O9" s="11">
        <v>9487.3098919999957</v>
      </c>
      <c r="P9" s="11">
        <v>15095.270302000004</v>
      </c>
      <c r="Q9" s="18">
        <f>O9/P9*100</f>
        <v>62.849552887721401</v>
      </c>
    </row>
    <row r="10" spans="1:17" ht="24.9" customHeight="1" x14ac:dyDescent="0.3">
      <c r="A10" s="4" t="s">
        <v>31</v>
      </c>
      <c r="B10" s="9">
        <f>(B9-B6)/B6</f>
        <v>2.0685184161461031E-2</v>
      </c>
      <c r="C10" s="9">
        <f t="shared" ref="C10:P10" si="0">(C9-C6)/C6</f>
        <v>3.4552268496217863E-2</v>
      </c>
      <c r="D10" s="9">
        <f t="shared" si="0"/>
        <v>4.941066199323536E-3</v>
      </c>
      <c r="E10" s="9">
        <f t="shared" si="0"/>
        <v>0.15009544407207198</v>
      </c>
      <c r="F10" s="9">
        <f t="shared" si="0"/>
        <v>0.14019945628963257</v>
      </c>
      <c r="G10" s="9">
        <f t="shared" si="0"/>
        <v>3.0876552215574546E-2</v>
      </c>
      <c r="H10" s="19">
        <f t="shared" si="0"/>
        <v>0.10604849226524704</v>
      </c>
      <c r="I10" s="9">
        <f t="shared" si="0"/>
        <v>0.21242002062765664</v>
      </c>
      <c r="J10" s="9">
        <f t="shared" si="0"/>
        <v>0.19157916919669965</v>
      </c>
      <c r="K10" s="9">
        <f t="shared" si="0"/>
        <v>0.2111282754040292</v>
      </c>
      <c r="L10" s="9">
        <f t="shared" si="0"/>
        <v>0.10946884886817965</v>
      </c>
      <c r="M10" s="9">
        <f t="shared" si="0"/>
        <v>0.19319005213058166</v>
      </c>
      <c r="N10" s="9">
        <f t="shared" si="0"/>
        <v>0.1821447633123949</v>
      </c>
      <c r="O10" s="9">
        <f t="shared" si="0"/>
        <v>0.12172666419245688</v>
      </c>
      <c r="P10" s="9">
        <f t="shared" si="0"/>
        <v>2.5474544214297273E-2</v>
      </c>
      <c r="Q10" s="19">
        <f t="shared" ref="Q10" si="1">(Q9-Q6)/Q6</f>
        <v>9.3861052447582999E-2</v>
      </c>
    </row>
    <row r="11" spans="1:17" ht="24.9" customHeight="1" x14ac:dyDescent="0.3">
      <c r="A11" s="7" t="s">
        <v>33</v>
      </c>
      <c r="B11" s="8">
        <f>(((B9/B6)^(1/1))-1)</f>
        <v>2.0685184161461034E-2</v>
      </c>
      <c r="C11" s="8">
        <f t="shared" ref="C11:P11" si="2">(((C9/C6)^(1/1))-1)</f>
        <v>3.4552268496217842E-2</v>
      </c>
      <c r="D11" s="8">
        <f t="shared" si="2"/>
        <v>4.9410661993234406E-3</v>
      </c>
      <c r="E11" s="8">
        <f t="shared" si="2"/>
        <v>0.15009544407207209</v>
      </c>
      <c r="F11" s="8">
        <f t="shared" si="2"/>
        <v>0.14019945628963248</v>
      </c>
      <c r="G11" s="8">
        <f t="shared" si="2"/>
        <v>3.0876552215574504E-2</v>
      </c>
      <c r="H11" s="20">
        <f t="shared" si="2"/>
        <v>0.10604849226524693</v>
      </c>
      <c r="I11" s="8">
        <f t="shared" si="2"/>
        <v>0.21242002062765675</v>
      </c>
      <c r="J11" s="8">
        <f t="shared" si="2"/>
        <v>0.19157916919669971</v>
      </c>
      <c r="K11" s="8">
        <f t="shared" si="2"/>
        <v>0.21112827540402912</v>
      </c>
      <c r="L11" s="8">
        <f t="shared" si="2"/>
        <v>0.10946884886817965</v>
      </c>
      <c r="M11" s="8">
        <f t="shared" si="2"/>
        <v>0.1931900521305816</v>
      </c>
      <c r="N11" s="8">
        <f t="shared" si="2"/>
        <v>0.18214476331239493</v>
      </c>
      <c r="O11" s="8">
        <f t="shared" si="2"/>
        <v>0.12172666419245681</v>
      </c>
      <c r="P11" s="8">
        <f t="shared" si="2"/>
        <v>2.5474544214297179E-2</v>
      </c>
      <c r="Q11" s="20">
        <f t="shared" ref="Q11" si="3">(((Q9/Q6)^(1/1))-1)</f>
        <v>9.3861052447582916E-2</v>
      </c>
    </row>
    <row r="12" spans="1:17" ht="24.9" customHeight="1" x14ac:dyDescent="0.3">
      <c r="A12" s="6" t="s">
        <v>22</v>
      </c>
      <c r="B12" s="12">
        <v>632758</v>
      </c>
      <c r="C12" s="12">
        <v>1354727.5699999998</v>
      </c>
      <c r="D12" s="12">
        <v>761774.18826985103</v>
      </c>
      <c r="E12" s="12">
        <v>67000819</v>
      </c>
      <c r="F12" s="12">
        <v>103171.49127099999</v>
      </c>
      <c r="G12" s="12">
        <v>137490.86081300001</v>
      </c>
      <c r="H12" s="18">
        <f t="shared" ref="H12:H36" si="4">F12/G12*100</f>
        <v>75.038799423419519</v>
      </c>
      <c r="I12" s="11">
        <v>619784.80000000005</v>
      </c>
      <c r="J12" s="11">
        <v>24845.474000000002</v>
      </c>
      <c r="K12" s="11">
        <v>644630.27400000009</v>
      </c>
      <c r="L12" s="11">
        <v>9068.7457905999981</v>
      </c>
      <c r="M12" s="11">
        <v>1647.0854240000003</v>
      </c>
      <c r="N12" s="11">
        <v>48.435000000000002</v>
      </c>
      <c r="O12" s="11">
        <v>10764.266214599998</v>
      </c>
      <c r="P12" s="11">
        <v>16506.093430999998</v>
      </c>
      <c r="Q12" s="18">
        <f t="shared" ref="Q12:Q36" si="5">O12/P12*100</f>
        <v>65.213893642354478</v>
      </c>
    </row>
    <row r="13" spans="1:17" ht="24.9" customHeight="1" x14ac:dyDescent="0.3">
      <c r="A13" s="4" t="s">
        <v>31</v>
      </c>
      <c r="B13" s="9">
        <f>(B12-B9)/B9</f>
        <v>3.8505031208097201E-2</v>
      </c>
      <c r="C13" s="9">
        <f t="shared" ref="C13:P13" si="6">(C12-C9)/C9</f>
        <v>8.0639952693070976E-2</v>
      </c>
      <c r="D13" s="9">
        <f t="shared" si="6"/>
        <v>6.362975607919201E-2</v>
      </c>
      <c r="E13" s="9">
        <f t="shared" si="6"/>
        <v>0.17651339565289584</v>
      </c>
      <c r="F13" s="9">
        <f t="shared" si="6"/>
        <v>0.15349373153972179</v>
      </c>
      <c r="G13" s="9">
        <f t="shared" si="6"/>
        <v>9.9238464777408927E-2</v>
      </c>
      <c r="H13" s="19">
        <f t="shared" si="6"/>
        <v>4.9357139966257686E-2</v>
      </c>
      <c r="I13" s="9">
        <f t="shared" si="6"/>
        <v>0.2064971014549179</v>
      </c>
      <c r="J13" s="9">
        <f t="shared" si="6"/>
        <v>-0.25524592722166434</v>
      </c>
      <c r="K13" s="9">
        <f t="shared" si="6"/>
        <v>0.17833957421224031</v>
      </c>
      <c r="L13" s="9">
        <f t="shared" si="6"/>
        <v>0.13322126830793546</v>
      </c>
      <c r="M13" s="9">
        <f t="shared" si="6"/>
        <v>0.15415094428363302</v>
      </c>
      <c r="N13" s="9">
        <f t="shared" si="6"/>
        <v>-0.15892475732370154</v>
      </c>
      <c r="O13" s="9">
        <f t="shared" si="6"/>
        <v>0.13459624879300858</v>
      </c>
      <c r="P13" s="9">
        <f t="shared" si="6"/>
        <v>9.346126970731157E-2</v>
      </c>
      <c r="Q13" s="19">
        <f t="shared" ref="Q13" si="7">(Q12-Q9)/Q9</f>
        <v>3.7619054488054846E-2</v>
      </c>
    </row>
    <row r="14" spans="1:17" ht="24.9" customHeight="1" x14ac:dyDescent="0.3">
      <c r="A14" s="7" t="s">
        <v>33</v>
      </c>
      <c r="B14" s="8">
        <f>(((B12/B6)^(1/2))-1)</f>
        <v>2.9556554556980474E-2</v>
      </c>
      <c r="C14" s="8">
        <f t="shared" ref="C14:P14" si="8">(((C12/C6)^(1/2))-1)</f>
        <v>5.7345030955488152E-2</v>
      </c>
      <c r="D14" s="8">
        <f t="shared" si="8"/>
        <v>3.386905414348762E-2</v>
      </c>
      <c r="E14" s="8">
        <f t="shared" si="8"/>
        <v>0.16322942544889174</v>
      </c>
      <c r="F14" s="8">
        <f t="shared" si="8"/>
        <v>0.14682733030526007</v>
      </c>
      <c r="G14" s="8">
        <f t="shared" si="8"/>
        <v>6.4508881424892861E-2</v>
      </c>
      <c r="H14" s="20">
        <f t="shared" si="8"/>
        <v>7.7329978468737792E-2</v>
      </c>
      <c r="I14" s="8">
        <f t="shared" si="8"/>
        <v>0.20945493534615811</v>
      </c>
      <c r="J14" s="8">
        <f t="shared" si="8"/>
        <v>-5.7963143344663126E-2</v>
      </c>
      <c r="K14" s="8">
        <f t="shared" si="8"/>
        <v>0.19462143642075524</v>
      </c>
      <c r="L14" s="8">
        <f t="shared" si="8"/>
        <v>0.12128216612168763</v>
      </c>
      <c r="M14" s="8">
        <f t="shared" si="8"/>
        <v>0.17350817013617248</v>
      </c>
      <c r="N14" s="8">
        <f t="shared" si="8"/>
        <v>-2.8677651978711305E-3</v>
      </c>
      <c r="O14" s="8">
        <f t="shared" si="8"/>
        <v>0.12814310500213422</v>
      </c>
      <c r="P14" s="8">
        <f t="shared" si="8"/>
        <v>5.8922422639681393E-2</v>
      </c>
      <c r="Q14" s="20">
        <f t="shared" ref="Q14" si="9">(((Q12/Q6)^(1/2))-1)</f>
        <v>6.5368983489743737E-2</v>
      </c>
    </row>
    <row r="15" spans="1:17" ht="24.9" customHeight="1" x14ac:dyDescent="0.3">
      <c r="A15" s="6" t="s">
        <v>23</v>
      </c>
      <c r="B15" s="12">
        <v>704554</v>
      </c>
      <c r="C15" s="12">
        <v>1460502.11</v>
      </c>
      <c r="D15" s="12">
        <v>830288.65321000014</v>
      </c>
      <c r="E15" s="12">
        <v>75216631</v>
      </c>
      <c r="F15" s="12">
        <v>112794.15904500001</v>
      </c>
      <c r="G15" s="12">
        <v>150149.73236100009</v>
      </c>
      <c r="H15" s="18">
        <f t="shared" si="4"/>
        <v>75.121118946660985</v>
      </c>
      <c r="I15" s="11">
        <v>602252.23899999983</v>
      </c>
      <c r="J15" s="11">
        <v>18591.792000000001</v>
      </c>
      <c r="K15" s="11">
        <v>620844.03099999984</v>
      </c>
      <c r="L15" s="11">
        <v>10151.131010999999</v>
      </c>
      <c r="M15" s="11">
        <v>1749.8955708680005</v>
      </c>
      <c r="N15" s="11">
        <v>44.89</v>
      </c>
      <c r="O15" s="11">
        <v>11945.916581867999</v>
      </c>
      <c r="P15" s="11">
        <v>18533.285097</v>
      </c>
      <c r="Q15" s="18">
        <f t="shared" si="5"/>
        <v>64.456552194309552</v>
      </c>
    </row>
    <row r="16" spans="1:17" ht="24.9" customHeight="1" x14ac:dyDescent="0.3">
      <c r="A16" s="4" t="s">
        <v>31</v>
      </c>
      <c r="B16" s="9">
        <f>(B15-B12)/B12</f>
        <v>0.11346517942088445</v>
      </c>
      <c r="C16" s="9">
        <f t="shared" ref="C16:P16" si="10">(C15-C12)/C12</f>
        <v>7.8078089161498568E-2</v>
      </c>
      <c r="D16" s="9">
        <f t="shared" si="10"/>
        <v>8.9940649073132581E-2</v>
      </c>
      <c r="E16" s="9">
        <f t="shared" si="10"/>
        <v>0.12262256077795108</v>
      </c>
      <c r="F16" s="9">
        <f t="shared" si="10"/>
        <v>9.3268670011992044E-2</v>
      </c>
      <c r="G16" s="9">
        <f t="shared" si="10"/>
        <v>9.2070639991244888E-2</v>
      </c>
      <c r="H16" s="19">
        <f t="shared" si="10"/>
        <v>1.097026123471991E-3</v>
      </c>
      <c r="I16" s="9">
        <f t="shared" si="10"/>
        <v>-2.8288142916703053E-2</v>
      </c>
      <c r="J16" s="9">
        <f t="shared" si="10"/>
        <v>-0.25170306672354087</v>
      </c>
      <c r="K16" s="9">
        <f t="shared" si="10"/>
        <v>-3.6899047344463143E-2</v>
      </c>
      <c r="L16" s="9">
        <f t="shared" si="10"/>
        <v>0.11935335330734742</v>
      </c>
      <c r="M16" s="9">
        <f t="shared" si="10"/>
        <v>6.2419438220952986E-2</v>
      </c>
      <c r="N16" s="9">
        <f t="shared" si="10"/>
        <v>-7.3190874367709338E-2</v>
      </c>
      <c r="O16" s="9">
        <f t="shared" si="10"/>
        <v>0.1097752827466569</v>
      </c>
      <c r="P16" s="9">
        <f t="shared" si="10"/>
        <v>0.12281474562556066</v>
      </c>
      <c r="Q16" s="19">
        <f t="shared" ref="Q16" si="11">(Q15-Q12)/Q12</f>
        <v>-1.1613191694983463E-2</v>
      </c>
    </row>
    <row r="17" spans="1:17" s="2" customFormat="1" ht="24.9" customHeight="1" x14ac:dyDescent="0.3">
      <c r="A17" s="7" t="s">
        <v>33</v>
      </c>
      <c r="B17" s="8">
        <f>(((B15/B6)^(1/3))-1)</f>
        <v>5.6798898540900034E-2</v>
      </c>
      <c r="C17" s="8">
        <f t="shared" ref="C17:P17" si="12">(((C15/C6)^(1/3))-1)</f>
        <v>6.4211364292236617E-2</v>
      </c>
      <c r="D17" s="8">
        <f t="shared" si="12"/>
        <v>5.2231520655817043E-2</v>
      </c>
      <c r="E17" s="8">
        <f t="shared" si="12"/>
        <v>0.1495331725489697</v>
      </c>
      <c r="F17" s="8">
        <f t="shared" si="12"/>
        <v>0.12868908094877241</v>
      </c>
      <c r="G17" s="8">
        <f t="shared" si="12"/>
        <v>7.3617964828210924E-2</v>
      </c>
      <c r="H17" s="20">
        <f t="shared" si="12"/>
        <v>5.1294890663806436E-2</v>
      </c>
      <c r="I17" s="8">
        <f t="shared" si="12"/>
        <v>0.12436062456637709</v>
      </c>
      <c r="J17" s="8">
        <f t="shared" si="12"/>
        <v>-0.12755795937297398</v>
      </c>
      <c r="K17" s="8">
        <f t="shared" si="12"/>
        <v>0.11184472465029316</v>
      </c>
      <c r="L17" s="8">
        <f t="shared" si="12"/>
        <v>0.12063885950697495</v>
      </c>
      <c r="M17" s="8">
        <f t="shared" si="12"/>
        <v>0.13524452056376424</v>
      </c>
      <c r="N17" s="8">
        <f t="shared" si="12"/>
        <v>-2.6882525838383353E-2</v>
      </c>
      <c r="O17" s="8">
        <f t="shared" si="12"/>
        <v>0.12198696538386367</v>
      </c>
      <c r="P17" s="8">
        <f t="shared" si="12"/>
        <v>7.9805326736540838E-2</v>
      </c>
      <c r="Q17" s="20">
        <f t="shared" ref="Q17" si="13">(((Q15/Q6)^(1/3))-1)</f>
        <v>3.9064114246228909E-2</v>
      </c>
    </row>
    <row r="18" spans="1:17" ht="24.9" customHeight="1" x14ac:dyDescent="0.3">
      <c r="A18" s="6" t="s">
        <v>24</v>
      </c>
      <c r="B18" s="12">
        <v>653181</v>
      </c>
      <c r="C18" s="12">
        <v>1312388.1299999999</v>
      </c>
      <c r="D18" s="12">
        <v>757191.91099999985</v>
      </c>
      <c r="E18" s="12">
        <v>71594505</v>
      </c>
      <c r="F18" s="12">
        <v>105208.08073100002</v>
      </c>
      <c r="G18" s="12">
        <v>137936.72376700002</v>
      </c>
      <c r="H18" s="18">
        <f t="shared" si="4"/>
        <v>76.272712485701362</v>
      </c>
      <c r="I18" s="11">
        <v>593329.35899999994</v>
      </c>
      <c r="J18" s="11">
        <v>6987.58</v>
      </c>
      <c r="K18" s="11">
        <v>600316.9389999999</v>
      </c>
      <c r="L18" s="11">
        <v>9323.8382245552457</v>
      </c>
      <c r="M18" s="11">
        <v>1558.6663264019996</v>
      </c>
      <c r="N18" s="11">
        <v>48.459999999999994</v>
      </c>
      <c r="O18" s="11">
        <v>10930.964550957244</v>
      </c>
      <c r="P18" s="11">
        <v>16534.707429641181</v>
      </c>
      <c r="Q18" s="18">
        <f t="shared" si="5"/>
        <v>66.109210564933818</v>
      </c>
    </row>
    <row r="19" spans="1:17" ht="24.9" customHeight="1" x14ac:dyDescent="0.3">
      <c r="A19" s="4" t="s">
        <v>31</v>
      </c>
      <c r="B19" s="10">
        <f>(B18-B15)/B15</f>
        <v>-7.291563173298285E-2</v>
      </c>
      <c r="C19" s="10">
        <f t="shared" ref="C19:P19" si="14">(C18-C15)/C15</f>
        <v>-0.10141305444604952</v>
      </c>
      <c r="D19" s="10">
        <f t="shared" si="14"/>
        <v>-8.8037746785288598E-2</v>
      </c>
      <c r="E19" s="10">
        <f t="shared" si="14"/>
        <v>-4.8155919134426531E-2</v>
      </c>
      <c r="F19" s="10">
        <f t="shared" si="14"/>
        <v>-6.7255949937739826E-2</v>
      </c>
      <c r="G19" s="10">
        <f t="shared" si="14"/>
        <v>-8.1338863559455007E-2</v>
      </c>
      <c r="H19" s="19">
        <f t="shared" si="14"/>
        <v>1.5329824091918208E-2</v>
      </c>
      <c r="I19" s="10">
        <f t="shared" si="14"/>
        <v>-1.4815851934092836E-2</v>
      </c>
      <c r="J19" s="10">
        <f t="shared" si="14"/>
        <v>-0.62415780038847257</v>
      </c>
      <c r="K19" s="10">
        <f t="shared" si="14"/>
        <v>-3.3063202632288735E-2</v>
      </c>
      <c r="L19" s="10">
        <f t="shared" si="14"/>
        <v>-8.1497597218308016E-2</v>
      </c>
      <c r="M19" s="10">
        <f t="shared" si="14"/>
        <v>-0.10928037515469877</v>
      </c>
      <c r="N19" s="10">
        <f t="shared" si="14"/>
        <v>7.9527734462018107E-2</v>
      </c>
      <c r="O19" s="10">
        <f t="shared" si="14"/>
        <v>-8.4962256680353135E-2</v>
      </c>
      <c r="P19" s="10">
        <f t="shared" si="14"/>
        <v>-0.10783720516349962</v>
      </c>
      <c r="Q19" s="19">
        <f t="shared" ref="Q19" si="15">(Q18-Q15)/Q15</f>
        <v>2.5639881662335773E-2</v>
      </c>
    </row>
    <row r="20" spans="1:17" ht="24.9" customHeight="1" x14ac:dyDescent="0.3">
      <c r="A20" s="7" t="s">
        <v>33</v>
      </c>
      <c r="B20" s="8">
        <f>(((B18/B6)^(1/4))-1)</f>
        <v>2.2760810316774016E-2</v>
      </c>
      <c r="C20" s="8">
        <f t="shared" ref="C20:P20" si="16">(((C18/C6)^(1/4))-1)</f>
        <v>2.0142745306687804E-2</v>
      </c>
      <c r="D20" s="8">
        <f t="shared" si="16"/>
        <v>1.5260982829152336E-2</v>
      </c>
      <c r="E20" s="8">
        <f t="shared" si="16"/>
        <v>9.6560466906562503E-2</v>
      </c>
      <c r="F20" s="8">
        <f t="shared" si="16"/>
        <v>7.6146418321741072E-2</v>
      </c>
      <c r="G20" s="8">
        <f t="shared" si="16"/>
        <v>3.25858358812261E-2</v>
      </c>
      <c r="H20" s="20">
        <f t="shared" si="16"/>
        <v>4.2185919007245998E-2</v>
      </c>
      <c r="I20" s="8">
        <f t="shared" si="16"/>
        <v>8.7823846513992443E-2</v>
      </c>
      <c r="J20" s="8">
        <f t="shared" si="16"/>
        <v>-0.29318814686455763</v>
      </c>
      <c r="K20" s="8">
        <f t="shared" si="16"/>
        <v>7.3699193363101934E-2</v>
      </c>
      <c r="L20" s="8">
        <f t="shared" si="16"/>
        <v>6.627526009117779E-2</v>
      </c>
      <c r="M20" s="8">
        <f t="shared" si="16"/>
        <v>6.8445356761738685E-2</v>
      </c>
      <c r="N20" s="8">
        <f t="shared" si="16"/>
        <v>-1.3060832598649208E-3</v>
      </c>
      <c r="O20" s="8">
        <f t="shared" si="16"/>
        <v>6.6229294921947623E-2</v>
      </c>
      <c r="P20" s="8">
        <f t="shared" si="16"/>
        <v>2.9485244288855572E-2</v>
      </c>
      <c r="Q20" s="20">
        <f t="shared" ref="Q20" si="17">(((Q18/Q6)^(1/4))-1)</f>
        <v>3.5691672937453456E-2</v>
      </c>
    </row>
    <row r="21" spans="1:17" ht="24.9" customHeight="1" x14ac:dyDescent="0.3">
      <c r="A21" s="6" t="s">
        <v>25</v>
      </c>
      <c r="B21" s="12">
        <v>700076</v>
      </c>
      <c r="C21" s="12">
        <v>1433015.5</v>
      </c>
      <c r="D21" s="12">
        <v>819621.00899999996</v>
      </c>
      <c r="E21" s="12">
        <v>76433474</v>
      </c>
      <c r="F21" s="12">
        <v>114036.09724400003</v>
      </c>
      <c r="G21" s="12">
        <v>150899.08637199999</v>
      </c>
      <c r="H21" s="18">
        <f t="shared" si="4"/>
        <v>75.571098530626983</v>
      </c>
      <c r="I21" s="11">
        <v>747925.52059999993</v>
      </c>
      <c r="J21" s="11">
        <v>7193.3989000000001</v>
      </c>
      <c r="K21" s="11">
        <v>755118.91949999996</v>
      </c>
      <c r="L21" s="11">
        <v>10156.423807467247</v>
      </c>
      <c r="M21" s="11">
        <v>1749.0226564949999</v>
      </c>
      <c r="N21" s="11">
        <v>42.793000000000006</v>
      </c>
      <c r="O21" s="11">
        <v>11948.239463962245</v>
      </c>
      <c r="P21" s="11">
        <v>17724.245024960812</v>
      </c>
      <c r="Q21" s="18">
        <f t="shared" si="5"/>
        <v>67.411838682751807</v>
      </c>
    </row>
    <row r="22" spans="1:17" ht="24.9" customHeight="1" x14ac:dyDescent="0.3">
      <c r="A22" s="4" t="s">
        <v>31</v>
      </c>
      <c r="B22" s="10">
        <f>(B21-B18)/B18</f>
        <v>7.179480113475438E-2</v>
      </c>
      <c r="C22" s="10">
        <f t="shared" ref="C22:P22" si="18">(C21-C18)/C18</f>
        <v>9.1914401877438587E-2</v>
      </c>
      <c r="D22" s="10">
        <f t="shared" si="18"/>
        <v>8.2448183998098903E-2</v>
      </c>
      <c r="E22" s="10">
        <f t="shared" si="18"/>
        <v>6.75885530600428E-2</v>
      </c>
      <c r="F22" s="10">
        <f t="shared" si="18"/>
        <v>8.3910061391309035E-2</v>
      </c>
      <c r="G22" s="10">
        <f t="shared" si="18"/>
        <v>9.3973252742291749E-2</v>
      </c>
      <c r="H22" s="19">
        <f t="shared" si="18"/>
        <v>-9.198754472065071E-3</v>
      </c>
      <c r="I22" s="10">
        <f t="shared" si="18"/>
        <v>0.26055707383257942</v>
      </c>
      <c r="J22" s="10">
        <f t="shared" si="18"/>
        <v>2.9454961517435253E-2</v>
      </c>
      <c r="K22" s="10">
        <f t="shared" si="18"/>
        <v>0.25786708727204527</v>
      </c>
      <c r="L22" s="10">
        <f t="shared" si="18"/>
        <v>8.9296442394217537E-2</v>
      </c>
      <c r="M22" s="10">
        <f t="shared" si="18"/>
        <v>0.12212769780714755</v>
      </c>
      <c r="N22" s="10">
        <f t="shared" si="18"/>
        <v>-0.11694180767643393</v>
      </c>
      <c r="O22" s="10">
        <f t="shared" si="18"/>
        <v>9.3063600038472083E-2</v>
      </c>
      <c r="P22" s="10">
        <f t="shared" si="18"/>
        <v>7.194185929091125E-2</v>
      </c>
      <c r="Q22" s="19">
        <f t="shared" ref="Q22" si="19">(Q21-Q18)/Q18</f>
        <v>1.970418503997292E-2</v>
      </c>
    </row>
    <row r="23" spans="1:17" ht="24.9" customHeight="1" x14ac:dyDescent="0.3">
      <c r="A23" s="7" t="s">
        <v>33</v>
      </c>
      <c r="B23" s="8">
        <f>(((B21/B6)^(1/5))-1)</f>
        <v>3.2384777097363759E-2</v>
      </c>
      <c r="C23" s="8">
        <f t="shared" ref="C23:P23" si="20">(((C21/C6)^(1/5))-1)</f>
        <v>3.410937461028607E-2</v>
      </c>
      <c r="D23" s="8">
        <f t="shared" si="20"/>
        <v>2.835622240758684E-2</v>
      </c>
      <c r="E23" s="8">
        <f t="shared" si="20"/>
        <v>9.0703858365819956E-2</v>
      </c>
      <c r="F23" s="8">
        <f t="shared" si="20"/>
        <v>7.7694685493489013E-2</v>
      </c>
      <c r="G23" s="8">
        <f t="shared" si="20"/>
        <v>4.4581359330584824E-2</v>
      </c>
      <c r="H23" s="20">
        <f t="shared" si="20"/>
        <v>3.1700092929213719E-2</v>
      </c>
      <c r="I23" s="8">
        <f t="shared" si="20"/>
        <v>0.12036456040798482</v>
      </c>
      <c r="J23" s="8">
        <f t="shared" si="20"/>
        <v>-0.23798322957602447</v>
      </c>
      <c r="K23" s="8">
        <f t="shared" si="20"/>
        <v>0.1082380376676062</v>
      </c>
      <c r="L23" s="8">
        <f t="shared" si="20"/>
        <v>7.0840241282144945E-2</v>
      </c>
      <c r="M23" s="8">
        <f t="shared" si="20"/>
        <v>7.897233462831732E-2</v>
      </c>
      <c r="N23" s="8">
        <f t="shared" si="20"/>
        <v>-2.5585386845963898E-2</v>
      </c>
      <c r="O23" s="8">
        <f t="shared" si="20"/>
        <v>7.1542929544807787E-2</v>
      </c>
      <c r="P23" s="8">
        <f t="shared" si="20"/>
        <v>3.7839861346061987E-2</v>
      </c>
      <c r="Q23" s="20">
        <f t="shared" ref="Q23" si="21">(((Q21/Q6)^(1/5))-1)</f>
        <v>3.2474247187840088E-2</v>
      </c>
    </row>
    <row r="24" spans="1:17" ht="24.9" customHeight="1" x14ac:dyDescent="0.3">
      <c r="A24" s="6" t="s">
        <v>26</v>
      </c>
      <c r="B24" s="12">
        <v>734736</v>
      </c>
      <c r="C24" s="12">
        <v>1500004.6099999999</v>
      </c>
      <c r="D24" s="12">
        <v>897883.96900000004</v>
      </c>
      <c r="E24" s="12">
        <v>87412197</v>
      </c>
      <c r="F24" s="12">
        <v>126903.03977500004</v>
      </c>
      <c r="G24" s="12">
        <v>160953.15840099999</v>
      </c>
      <c r="H24" s="18">
        <f t="shared" si="4"/>
        <v>78.844703040143386</v>
      </c>
      <c r="I24" s="11">
        <v>815210.56822000002</v>
      </c>
      <c r="J24" s="11">
        <v>31816.010000000002</v>
      </c>
      <c r="K24" s="11">
        <v>847026.57822000002</v>
      </c>
      <c r="L24" s="11">
        <v>11205.620582000003</v>
      </c>
      <c r="M24" s="11">
        <v>1874.1585833867703</v>
      </c>
      <c r="N24" s="11">
        <v>57.143620000000013</v>
      </c>
      <c r="O24" s="11">
        <v>13136.922785386774</v>
      </c>
      <c r="P24" s="11">
        <v>18685.587016000005</v>
      </c>
      <c r="Q24" s="18">
        <f t="shared" si="5"/>
        <v>70.305111496566596</v>
      </c>
    </row>
    <row r="25" spans="1:17" ht="24.9" customHeight="1" x14ac:dyDescent="0.3">
      <c r="A25" s="4" t="s">
        <v>31</v>
      </c>
      <c r="B25" s="10">
        <f>(B24-B21)/B21</f>
        <v>4.9508910461149934E-2</v>
      </c>
      <c r="C25" s="10">
        <f t="shared" ref="C25:P25" si="22">(C24-C21)/C21</f>
        <v>4.674695423741046E-2</v>
      </c>
      <c r="D25" s="10">
        <f t="shared" si="22"/>
        <v>9.5486766616056915E-2</v>
      </c>
      <c r="E25" s="10">
        <f t="shared" si="22"/>
        <v>0.14363762924082191</v>
      </c>
      <c r="F25" s="10">
        <f t="shared" si="22"/>
        <v>0.11283218947303107</v>
      </c>
      <c r="G25" s="10">
        <f t="shared" si="22"/>
        <v>6.6627785964286534E-2</v>
      </c>
      <c r="H25" s="19">
        <f t="shared" si="22"/>
        <v>4.3318207266627162E-2</v>
      </c>
      <c r="I25" s="10">
        <f t="shared" si="22"/>
        <v>8.9962229883562145E-2</v>
      </c>
      <c r="J25" s="10">
        <f t="shared" si="22"/>
        <v>3.4229453200489135</v>
      </c>
      <c r="K25" s="10">
        <f t="shared" si="22"/>
        <v>0.12171282740585614</v>
      </c>
      <c r="L25" s="10">
        <f t="shared" si="22"/>
        <v>0.10330376069590183</v>
      </c>
      <c r="M25" s="10">
        <f t="shared" si="22"/>
        <v>7.1546201203899693E-2</v>
      </c>
      <c r="N25" s="10">
        <f t="shared" si="22"/>
        <v>0.33534970672773595</v>
      </c>
      <c r="O25" s="10">
        <f t="shared" si="22"/>
        <v>9.9486064454079898E-2</v>
      </c>
      <c r="P25" s="10">
        <f t="shared" si="22"/>
        <v>5.4238811847012292E-2</v>
      </c>
      <c r="Q25" s="19">
        <f t="shared" ref="Q25" si="23">(Q24-Q21)/Q21</f>
        <v>4.2919357643260228E-2</v>
      </c>
    </row>
    <row r="26" spans="1:17" ht="24.9" customHeight="1" x14ac:dyDescent="0.3">
      <c r="A26" s="7" t="s">
        <v>33</v>
      </c>
      <c r="B26" s="8">
        <f>(((B24/B6)^(1/6))-1)</f>
        <v>3.5219272122124723E-2</v>
      </c>
      <c r="C26" s="8">
        <f t="shared" ref="C26:P26" si="24">(((C24/C6)^(1/6))-1)</f>
        <v>3.620499225351792E-2</v>
      </c>
      <c r="D26" s="8">
        <f t="shared" si="24"/>
        <v>3.9251929475656588E-2</v>
      </c>
      <c r="E26" s="8">
        <f t="shared" si="24"/>
        <v>9.93528685879006E-2</v>
      </c>
      <c r="F26" s="8">
        <f t="shared" si="24"/>
        <v>8.3472927670688479E-2</v>
      </c>
      <c r="G26" s="8">
        <f t="shared" si="24"/>
        <v>4.8223861818694091E-2</v>
      </c>
      <c r="H26" s="20">
        <f t="shared" si="24"/>
        <v>3.3627421713942063E-2</v>
      </c>
      <c r="I26" s="8">
        <f t="shared" si="24"/>
        <v>0.1152392448667181</v>
      </c>
      <c r="J26" s="8">
        <f t="shared" si="24"/>
        <v>2.1540767002565353E-2</v>
      </c>
      <c r="K26" s="8">
        <f t="shared" si="24"/>
        <v>0.11047254223297021</v>
      </c>
      <c r="L26" s="8">
        <f t="shared" si="24"/>
        <v>7.6183722885784011E-2</v>
      </c>
      <c r="M26" s="8">
        <f t="shared" si="24"/>
        <v>7.7731081340660424E-2</v>
      </c>
      <c r="N26" s="8">
        <f t="shared" si="24"/>
        <v>2.6957157736033466E-2</v>
      </c>
      <c r="O26" s="8">
        <f t="shared" si="24"/>
        <v>7.6150307292923047E-2</v>
      </c>
      <c r="P26" s="8">
        <f t="shared" si="24"/>
        <v>4.0555197120771158E-2</v>
      </c>
      <c r="Q26" s="20">
        <f t="shared" ref="Q26" si="25">(((Q24/Q6)^(1/6))-1)</f>
        <v>3.4207805862335849E-2</v>
      </c>
    </row>
    <row r="27" spans="1:17" ht="24.9" customHeight="1" x14ac:dyDescent="0.3">
      <c r="A27" s="6" t="s">
        <v>27</v>
      </c>
      <c r="B27" s="12">
        <v>823732</v>
      </c>
      <c r="C27" s="12">
        <v>1685787.4160000002</v>
      </c>
      <c r="D27" s="12">
        <v>1077172.6250000002</v>
      </c>
      <c r="E27" s="12">
        <v>103822908</v>
      </c>
      <c r="F27" s="12">
        <v>145787.25543000002</v>
      </c>
      <c r="G27" s="12">
        <v>179448.71800300002</v>
      </c>
      <c r="H27" s="18">
        <f t="shared" si="4"/>
        <v>81.241736944346826</v>
      </c>
      <c r="I27" s="11">
        <v>839234.69550999999</v>
      </c>
      <c r="J27" s="11">
        <v>36399.646725000006</v>
      </c>
      <c r="K27" s="11">
        <v>875634.34223499999</v>
      </c>
      <c r="L27" s="11">
        <v>12930.720884154998</v>
      </c>
      <c r="M27" s="11">
        <v>1797.5325222250008</v>
      </c>
      <c r="N27" s="11">
        <v>58.969729999999984</v>
      </c>
      <c r="O27" s="11">
        <v>14787.22313638</v>
      </c>
      <c r="P27" s="11">
        <v>21040.456198585005</v>
      </c>
      <c r="Q27" s="18">
        <f t="shared" si="5"/>
        <v>70.279954944011422</v>
      </c>
    </row>
    <row r="28" spans="1:17" ht="24.9" customHeight="1" x14ac:dyDescent="0.3">
      <c r="A28" s="4" t="s">
        <v>31</v>
      </c>
      <c r="B28" s="10">
        <f>(B27-B24)/B24</f>
        <v>0.12112649985845256</v>
      </c>
      <c r="C28" s="10">
        <f t="shared" ref="C28:P28" si="26">(C27-C24)/C24</f>
        <v>0.12385482335284313</v>
      </c>
      <c r="D28" s="10">
        <f t="shared" si="26"/>
        <v>0.1996790923883843</v>
      </c>
      <c r="E28" s="10">
        <f t="shared" si="26"/>
        <v>0.18773937234411348</v>
      </c>
      <c r="F28" s="10">
        <f t="shared" si="26"/>
        <v>0.14880822152473117</v>
      </c>
      <c r="G28" s="10">
        <f t="shared" si="26"/>
        <v>0.11491268506778871</v>
      </c>
      <c r="H28" s="19">
        <f t="shared" si="26"/>
        <v>3.0401965024625711E-2</v>
      </c>
      <c r="I28" s="10">
        <f t="shared" si="26"/>
        <v>2.9469842794673646E-2</v>
      </c>
      <c r="J28" s="10">
        <f t="shared" si="26"/>
        <v>0.14406698781525412</v>
      </c>
      <c r="K28" s="10">
        <f t="shared" si="26"/>
        <v>3.3774340440554169E-2</v>
      </c>
      <c r="L28" s="10">
        <f t="shared" si="26"/>
        <v>0.15394955500510935</v>
      </c>
      <c r="M28" s="10">
        <f t="shared" si="26"/>
        <v>-4.0885580249724343E-2</v>
      </c>
      <c r="N28" s="10">
        <f t="shared" si="26"/>
        <v>3.1956498380746108E-2</v>
      </c>
      <c r="O28" s="10">
        <f t="shared" si="26"/>
        <v>0.12562305327918832</v>
      </c>
      <c r="P28" s="10">
        <f t="shared" si="26"/>
        <v>0.12602596753147674</v>
      </c>
      <c r="Q28" s="19">
        <f t="shared" ref="Q28" si="27">(Q27-Q24)/Q24</f>
        <v>-3.5781968081229136E-4</v>
      </c>
    </row>
    <row r="29" spans="1:17" ht="24.9" customHeight="1" x14ac:dyDescent="0.3">
      <c r="A29" s="7" t="s">
        <v>33</v>
      </c>
      <c r="B29" s="8">
        <f>(((B27/B6)^(1/7))-1)</f>
        <v>4.7076438047140901E-2</v>
      </c>
      <c r="C29" s="8">
        <f t="shared" ref="C29:P29" si="28">(((C27/C6)^(1/7))-1)</f>
        <v>4.8294894863764926E-2</v>
      </c>
      <c r="D29" s="8">
        <f t="shared" si="28"/>
        <v>6.0784489609699843E-2</v>
      </c>
      <c r="E29" s="8">
        <f t="shared" si="28"/>
        <v>0.11156492378375504</v>
      </c>
      <c r="F29" s="8">
        <f t="shared" si="28"/>
        <v>9.2573960710335967E-2</v>
      </c>
      <c r="G29" s="8">
        <f t="shared" si="28"/>
        <v>5.750086096878837E-2</v>
      </c>
      <c r="H29" s="20">
        <f t="shared" si="28"/>
        <v>3.3166024762775859E-2</v>
      </c>
      <c r="I29" s="8">
        <f t="shared" si="28"/>
        <v>0.10256227148142627</v>
      </c>
      <c r="J29" s="8">
        <f t="shared" si="28"/>
        <v>3.820631773076455E-2</v>
      </c>
      <c r="K29" s="8">
        <f t="shared" si="28"/>
        <v>9.9176735865258436E-2</v>
      </c>
      <c r="L29" s="8">
        <f t="shared" si="28"/>
        <v>8.6963719190439326E-2</v>
      </c>
      <c r="M29" s="8">
        <f t="shared" si="28"/>
        <v>5.9927411762258798E-2</v>
      </c>
      <c r="N29" s="8">
        <f t="shared" si="28"/>
        <v>2.766986369022173E-2</v>
      </c>
      <c r="O29" s="8">
        <f t="shared" si="28"/>
        <v>8.3082433054304294E-2</v>
      </c>
      <c r="P29" s="8">
        <f t="shared" si="28"/>
        <v>5.2356128536049873E-2</v>
      </c>
      <c r="Q29" s="20">
        <f t="shared" ref="Q29" si="29">(((Q27/Q6)^(1/7))-1)</f>
        <v>2.9197629666487757E-2</v>
      </c>
    </row>
    <row r="30" spans="1:17" ht="24.9" customHeight="1" x14ac:dyDescent="0.3">
      <c r="A30" s="6" t="s">
        <v>28</v>
      </c>
      <c r="B30" s="12">
        <v>946379</v>
      </c>
      <c r="C30" s="12">
        <v>1946015.264</v>
      </c>
      <c r="D30" s="12">
        <v>1214418.9890000003</v>
      </c>
      <c r="E30" s="12">
        <v>124562836</v>
      </c>
      <c r="F30" s="12">
        <v>170085.25055600004</v>
      </c>
      <c r="G30" s="12">
        <v>208190.41587000003</v>
      </c>
      <c r="H30" s="18">
        <f t="shared" si="4"/>
        <v>81.696964697071394</v>
      </c>
      <c r="I30" s="11">
        <v>891126.84184000001</v>
      </c>
      <c r="J30" s="11">
        <v>39954.805</v>
      </c>
      <c r="K30" s="11">
        <v>931081.64684000006</v>
      </c>
      <c r="L30" s="11">
        <v>15080.519955989999</v>
      </c>
      <c r="M30" s="11">
        <v>1999.5806925300001</v>
      </c>
      <c r="N30" s="11">
        <v>61.322286999999996</v>
      </c>
      <c r="O30" s="11">
        <v>17141.422935519997</v>
      </c>
      <c r="P30" s="11">
        <v>24312.008027229989</v>
      </c>
      <c r="Q30" s="18">
        <f t="shared" si="5"/>
        <v>70.505994059895102</v>
      </c>
    </row>
    <row r="31" spans="1:17" ht="24.9" customHeight="1" x14ac:dyDescent="0.3">
      <c r="A31" s="4" t="s">
        <v>31</v>
      </c>
      <c r="B31" s="10">
        <f>(B30-B27)/B27</f>
        <v>0.14889187259934056</v>
      </c>
      <c r="C31" s="10">
        <f t="shared" ref="C31:P31" si="30">(C30-C27)/C27</f>
        <v>0.15436575545062661</v>
      </c>
      <c r="D31" s="10">
        <f t="shared" si="30"/>
        <v>0.12741352761355221</v>
      </c>
      <c r="E31" s="10">
        <f t="shared" si="30"/>
        <v>0.19976254180821057</v>
      </c>
      <c r="F31" s="10">
        <f t="shared" si="30"/>
        <v>0.16666748444048146</v>
      </c>
      <c r="G31" s="10">
        <f t="shared" si="30"/>
        <v>0.16016663806157427</v>
      </c>
      <c r="H31" s="19">
        <f t="shared" si="30"/>
        <v>5.6033729687046613E-3</v>
      </c>
      <c r="I31" s="10">
        <f t="shared" si="30"/>
        <v>6.183269901450552E-2</v>
      </c>
      <c r="J31" s="10">
        <f t="shared" si="30"/>
        <v>9.7670131302627194E-2</v>
      </c>
      <c r="K31" s="10">
        <f t="shared" si="30"/>
        <v>6.332244172090648E-2</v>
      </c>
      <c r="L31" s="10">
        <f t="shared" si="30"/>
        <v>0.16625516017976341</v>
      </c>
      <c r="M31" s="10">
        <f t="shared" si="30"/>
        <v>0.11240306798727757</v>
      </c>
      <c r="N31" s="10">
        <f t="shared" si="30"/>
        <v>3.989431526988528E-2</v>
      </c>
      <c r="O31" s="10">
        <f t="shared" si="30"/>
        <v>0.15920499592300863</v>
      </c>
      <c r="P31" s="10">
        <f t="shared" si="30"/>
        <v>0.15548863569151128</v>
      </c>
      <c r="Q31" s="19">
        <f t="shared" ref="Q31" si="31">(Q30-Q27)/Q27</f>
        <v>3.2162672281698798E-3</v>
      </c>
    </row>
    <row r="32" spans="1:17" ht="24.9" customHeight="1" x14ac:dyDescent="0.3">
      <c r="A32" s="7" t="s">
        <v>33</v>
      </c>
      <c r="B32" s="8">
        <f>(((B30/B6)^(1/8))-1)</f>
        <v>5.9292709326441262E-2</v>
      </c>
      <c r="C32" s="8">
        <f t="shared" ref="C32:P32" si="32">(((C30/C6)^(1/8))-1)</f>
        <v>6.1001422858974585E-2</v>
      </c>
      <c r="D32" s="8">
        <f t="shared" si="32"/>
        <v>6.8892847706221172E-2</v>
      </c>
      <c r="E32" s="8">
        <f t="shared" si="32"/>
        <v>0.12222487754944278</v>
      </c>
      <c r="F32" s="8">
        <f t="shared" si="32"/>
        <v>0.10157197060252687</v>
      </c>
      <c r="G32" s="8">
        <f t="shared" si="32"/>
        <v>6.981993190124447E-2</v>
      </c>
      <c r="H32" s="20">
        <f t="shared" si="32"/>
        <v>2.9679797276588094E-2</v>
      </c>
      <c r="I32" s="8">
        <f t="shared" si="32"/>
        <v>9.7386841303005012E-2</v>
      </c>
      <c r="J32" s="8">
        <f t="shared" si="32"/>
        <v>4.545944318264894E-2</v>
      </c>
      <c r="K32" s="8">
        <f t="shared" si="32"/>
        <v>9.4629654614192926E-2</v>
      </c>
      <c r="L32" s="8">
        <f t="shared" si="32"/>
        <v>9.6572535978401319E-2</v>
      </c>
      <c r="M32" s="8">
        <f t="shared" si="32"/>
        <v>6.6349036158462882E-2</v>
      </c>
      <c r="N32" s="8">
        <f t="shared" si="32"/>
        <v>2.9190026450319095E-2</v>
      </c>
      <c r="O32" s="8">
        <f t="shared" si="32"/>
        <v>9.2317404167722827E-2</v>
      </c>
      <c r="P32" s="8">
        <f t="shared" si="32"/>
        <v>6.4726596109388579E-2</v>
      </c>
      <c r="Q32" s="20">
        <f t="shared" ref="Q32" si="33">(((Q30/Q6)^(1/8))-1)</f>
        <v>2.5913514473249188E-2</v>
      </c>
    </row>
    <row r="33" spans="1:17" ht="24.9" customHeight="1" x14ac:dyDescent="0.3">
      <c r="A33" s="6" t="s">
        <v>29</v>
      </c>
      <c r="B33" s="12">
        <v>1073127</v>
      </c>
      <c r="C33" s="12">
        <v>2215495.6658300003</v>
      </c>
      <c r="D33" s="12">
        <v>1366674.9050000003</v>
      </c>
      <c r="E33" s="12">
        <v>147120152</v>
      </c>
      <c r="F33" s="12">
        <v>199408.671974</v>
      </c>
      <c r="G33" s="12">
        <v>236210.76280200004</v>
      </c>
      <c r="H33" s="18">
        <f t="shared" si="4"/>
        <v>84.419807805773516</v>
      </c>
      <c r="I33" s="11">
        <v>1024286.0248199997</v>
      </c>
      <c r="J33" s="11">
        <v>42863.362219999995</v>
      </c>
      <c r="K33" s="11">
        <v>1067149.3870399997</v>
      </c>
      <c r="L33" s="11">
        <v>17690.940125500001</v>
      </c>
      <c r="M33" s="11">
        <v>2490.5569689999998</v>
      </c>
      <c r="N33" s="11">
        <v>77.276630100000006</v>
      </c>
      <c r="O33" s="11">
        <v>20258.773724600003</v>
      </c>
      <c r="P33" s="11">
        <v>27865.255075000001</v>
      </c>
      <c r="Q33" s="18">
        <f t="shared" si="5"/>
        <v>72.702631539072698</v>
      </c>
    </row>
    <row r="34" spans="1:17" ht="24.9" customHeight="1" x14ac:dyDescent="0.3">
      <c r="A34" s="4" t="s">
        <v>31</v>
      </c>
      <c r="B34" s="10">
        <f>(B33-B30)/B30</f>
        <v>0.13392942996410528</v>
      </c>
      <c r="C34" s="10">
        <f t="shared" ref="C34:P34" si="34">(C33-C30)/C30</f>
        <v>0.13847805143937469</v>
      </c>
      <c r="D34" s="10">
        <f t="shared" si="34"/>
        <v>0.12537346449545672</v>
      </c>
      <c r="E34" s="10">
        <f t="shared" si="34"/>
        <v>0.18109186274467931</v>
      </c>
      <c r="F34" s="10">
        <f t="shared" si="34"/>
        <v>0.17240425799499473</v>
      </c>
      <c r="G34" s="10">
        <f t="shared" si="34"/>
        <v>0.134589994524516</v>
      </c>
      <c r="H34" s="19">
        <f t="shared" si="34"/>
        <v>3.3328571248617371E-2</v>
      </c>
      <c r="I34" s="10">
        <f t="shared" si="34"/>
        <v>0.14942786675020631</v>
      </c>
      <c r="J34" s="10">
        <f t="shared" si="34"/>
        <v>7.2796181085103412E-2</v>
      </c>
      <c r="K34" s="10">
        <f t="shared" si="34"/>
        <v>0.14613942897682522</v>
      </c>
      <c r="L34" s="10">
        <f t="shared" si="34"/>
        <v>0.17309881735696653</v>
      </c>
      <c r="M34" s="10">
        <f t="shared" si="34"/>
        <v>0.24553961653269638</v>
      </c>
      <c r="N34" s="10">
        <f t="shared" si="34"/>
        <v>0.26017201706779153</v>
      </c>
      <c r="O34" s="10">
        <f t="shared" si="34"/>
        <v>0.18186067754155438</v>
      </c>
      <c r="P34" s="10">
        <f t="shared" si="34"/>
        <v>0.14615193626911838</v>
      </c>
      <c r="Q34" s="19">
        <f t="shared" ref="Q34" si="35">(Q33-Q30)/Q30</f>
        <v>3.1155329535692305E-2</v>
      </c>
    </row>
    <row r="35" spans="1:17" ht="24.9" customHeight="1" x14ac:dyDescent="0.3">
      <c r="A35" s="7" t="s">
        <v>33</v>
      </c>
      <c r="B35" s="8">
        <f>(((B33/B6)^(1/9))-1)</f>
        <v>6.7336947994268703E-2</v>
      </c>
      <c r="C35" s="8">
        <f t="shared" ref="C35:P35" si="36">(((C33/C6)^(1/9))-1)</f>
        <v>6.9342757921067033E-2</v>
      </c>
      <c r="D35" s="8">
        <f t="shared" si="36"/>
        <v>7.502581498599703E-2</v>
      </c>
      <c r="E35" s="8">
        <f t="shared" si="36"/>
        <v>0.12861801764216541</v>
      </c>
      <c r="F35" s="8">
        <f t="shared" si="36"/>
        <v>0.10922600977043162</v>
      </c>
      <c r="G35" s="8">
        <f t="shared" si="36"/>
        <v>7.683003107192099E-2</v>
      </c>
      <c r="H35" s="20">
        <f t="shared" si="36"/>
        <v>3.0084579519260135E-2</v>
      </c>
      <c r="I35" s="8">
        <f t="shared" si="36"/>
        <v>0.10305082338842997</v>
      </c>
      <c r="J35" s="8">
        <f t="shared" si="36"/>
        <v>4.8462129996586611E-2</v>
      </c>
      <c r="K35" s="8">
        <f t="shared" si="36"/>
        <v>0.10023669500873278</v>
      </c>
      <c r="L35" s="8">
        <f t="shared" si="36"/>
        <v>0.10482276072807628</v>
      </c>
      <c r="M35" s="8">
        <f t="shared" si="36"/>
        <v>8.4912548370974728E-2</v>
      </c>
      <c r="N35" s="8">
        <f t="shared" si="36"/>
        <v>5.260648801725365E-2</v>
      </c>
      <c r="O35" s="8">
        <f t="shared" si="36"/>
        <v>0.10192183807426658</v>
      </c>
      <c r="P35" s="8">
        <f t="shared" si="36"/>
        <v>7.3480383231241841E-2</v>
      </c>
      <c r="Q35" s="20">
        <f t="shared" ref="Q35" si="37">(((Q33/Q6)^(1/9))-1)</f>
        <v>2.6494620011046965E-2</v>
      </c>
    </row>
    <row r="36" spans="1:17" ht="24.9" customHeight="1" x14ac:dyDescent="0.3">
      <c r="A36" s="6" t="s">
        <v>36</v>
      </c>
      <c r="B36" s="12">
        <v>1218108</v>
      </c>
      <c r="C36" s="12">
        <v>2565278.2113900012</v>
      </c>
      <c r="D36" s="12">
        <v>1549746.6299999997</v>
      </c>
      <c r="E36" s="12">
        <v>166233287</v>
      </c>
      <c r="F36" s="12">
        <v>225340.61556900005</v>
      </c>
      <c r="G36" s="12">
        <v>268503.79648400011</v>
      </c>
      <c r="H36" s="18">
        <f t="shared" si="4"/>
        <v>83.924554706409111</v>
      </c>
      <c r="I36" s="11">
        <v>1099186.3980700003</v>
      </c>
      <c r="J36" s="11">
        <v>45933.591179999981</v>
      </c>
      <c r="K36" s="11">
        <f>I36+J36</f>
        <v>1145119.9892500003</v>
      </c>
      <c r="L36" s="11">
        <v>20024.797594036787</v>
      </c>
      <c r="M36" s="11">
        <v>2677.7250096553994</v>
      </c>
      <c r="N36" s="11">
        <v>77.778576074900016</v>
      </c>
      <c r="O36" s="11">
        <v>22780.305138497195</v>
      </c>
      <c r="P36" s="11">
        <v>31666.313940435997</v>
      </c>
      <c r="Q36" s="18">
        <f>O36/P36*100</f>
        <v>71.938607004739197</v>
      </c>
    </row>
    <row r="37" spans="1:17" ht="24.9" customHeight="1" x14ac:dyDescent="0.3">
      <c r="A37" s="4" t="s">
        <v>31</v>
      </c>
      <c r="B37" s="10">
        <f>(B36-B33)/B33</f>
        <v>0.13510143720174778</v>
      </c>
      <c r="C37" s="10">
        <f t="shared" ref="C37:P37" si="38">(C36-C33)/C33</f>
        <v>0.15788004055018562</v>
      </c>
      <c r="D37" s="10">
        <f t="shared" si="38"/>
        <v>0.13395411324977782</v>
      </c>
      <c r="E37" s="10">
        <f t="shared" si="38"/>
        <v>0.12991513902187921</v>
      </c>
      <c r="F37" s="10">
        <f t="shared" si="38"/>
        <v>0.13004421191060939</v>
      </c>
      <c r="G37" s="10">
        <f t="shared" si="38"/>
        <v>0.13671279538210201</v>
      </c>
      <c r="H37" s="19">
        <f t="shared" si="38"/>
        <v>-5.8665508988582889E-3</v>
      </c>
      <c r="I37" s="10">
        <f t="shared" si="38"/>
        <v>7.3124470543433476E-2</v>
      </c>
      <c r="J37" s="10">
        <f t="shared" si="38"/>
        <v>7.1628281147002981E-2</v>
      </c>
      <c r="K37" s="10">
        <f t="shared" si="38"/>
        <v>7.3064374263730025E-2</v>
      </c>
      <c r="L37" s="10">
        <f t="shared" si="38"/>
        <v>0.13192388035798769</v>
      </c>
      <c r="M37" s="10">
        <f t="shared" si="38"/>
        <v>7.5151077845270378E-2</v>
      </c>
      <c r="N37" s="10">
        <f t="shared" si="38"/>
        <v>6.4954433733777758E-3</v>
      </c>
      <c r="O37" s="10">
        <f t="shared" si="38"/>
        <v>0.12446614233295494</v>
      </c>
      <c r="P37" s="10">
        <f t="shared" si="38"/>
        <v>0.13640854372965025</v>
      </c>
      <c r="Q37" s="19">
        <f t="shared" ref="Q37" si="39">(Q36-Q33)/Q33</f>
        <v>-1.0508897933397226E-2</v>
      </c>
    </row>
    <row r="38" spans="1:17" ht="24.9" customHeight="1" x14ac:dyDescent="0.3">
      <c r="A38" s="7" t="s">
        <v>33</v>
      </c>
      <c r="B38" s="8">
        <f>(((B36/B6)^(1/10))-1)</f>
        <v>7.3927235830560489E-2</v>
      </c>
      <c r="C38" s="8">
        <f t="shared" ref="C38:P38" si="40">(((C36/C6)^(1/10))-1)</f>
        <v>7.788293451352879E-2</v>
      </c>
      <c r="D38" s="8">
        <f t="shared" si="40"/>
        <v>8.0778140006505517E-2</v>
      </c>
      <c r="E38" s="8">
        <f t="shared" si="40"/>
        <v>0.12874766274371896</v>
      </c>
      <c r="F38" s="8">
        <f t="shared" si="40"/>
        <v>0.11129045374538959</v>
      </c>
      <c r="G38" s="8">
        <f t="shared" si="40"/>
        <v>8.267352714186349E-2</v>
      </c>
      <c r="H38" s="20">
        <f t="shared" si="40"/>
        <v>2.6431722847303218E-2</v>
      </c>
      <c r="I38" s="8">
        <f t="shared" si="40"/>
        <v>0.10002101139624719</v>
      </c>
      <c r="J38" s="8">
        <f t="shared" si="40"/>
        <v>5.0756028462653147E-2</v>
      </c>
      <c r="K38" s="8">
        <f t="shared" si="40"/>
        <v>9.7488783856464867E-2</v>
      </c>
      <c r="L38" s="8">
        <f t="shared" si="40"/>
        <v>0.10750341396372298</v>
      </c>
      <c r="M38" s="8">
        <f t="shared" si="40"/>
        <v>8.3932426363555468E-2</v>
      </c>
      <c r="N38" s="8">
        <f t="shared" si="40"/>
        <v>4.7901880288341081E-2</v>
      </c>
      <c r="O38" s="8">
        <f t="shared" si="40"/>
        <v>0.10415577790758812</v>
      </c>
      <c r="P38" s="8">
        <f t="shared" si="40"/>
        <v>7.9613111630060018E-2</v>
      </c>
      <c r="Q38" s="20">
        <f t="shared" ref="Q38" si="41">(((Q36/Q6)^(1/10))-1)</f>
        <v>2.2732834580410088E-2</v>
      </c>
    </row>
    <row r="39" spans="1:17" ht="24.9" customHeight="1" x14ac:dyDescent="0.3">
      <c r="A39" s="23" t="s">
        <v>30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19.5" customHeight="1" x14ac:dyDescent="0.3">
      <c r="A40" s="25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3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2020-05-11T10:03:30Z</cp:lastPrinted>
  <dcterms:created xsi:type="dcterms:W3CDTF">2018-10-29T04:00:16Z</dcterms:created>
  <dcterms:modified xsi:type="dcterms:W3CDTF">2020-06-05T09:41:26Z</dcterms:modified>
</cp:coreProperties>
</file>