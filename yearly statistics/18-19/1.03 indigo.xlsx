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INDIGO\"/>
    </mc:Choice>
  </mc:AlternateContent>
  <bookViews>
    <workbookView xWindow="0" yWindow="0" windowWidth="19200" windowHeight="7224"/>
  </bookViews>
  <sheets>
    <sheet name="INDIGO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<sst xmlns="http://schemas.openxmlformats.org/spreadsheetml/2006/main" count="26" uniqueCount="24">
  <si>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 xml:space="preserve">तालिका 1.03(इंडिगो) </t>
  </si>
  <si>
    <t>Table 1.03 (INDIGO)</t>
  </si>
  <si>
    <t>MONTHLY TRAFFIC AND OPERATING STATISTICS OF INDIGO ON SCHEDULED (DOMESTIC + INTERNATIONAL) SERVICES DURING 2018-19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</si>
  <si>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</si>
  <si>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</si>
  <si>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</si>
  <si>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</si>
  <si>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</si>
  <si>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</si>
  <si>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</si>
  <si>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</si>
  <si>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</si>
  <si>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</si>
  <si>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</si>
  <si>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</si>
  <si>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</si>
  <si>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</si>
  <si>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</si>
  <si>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</si>
  <si>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</si>
  <si>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</si>
  <si>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</si>
  <si>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</si>
  <si>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>SOURCE:- 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</si>
</sst>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4">
    <xf numFmtId="0" fontId="0" fillId="0" borderId="0" xfId="0"/>
    <xf numFmtId="0" fontId="0" fillId="4" borderId="1" xfId="4" applyFont="1" applyBorder="1" applyAlignment="1">
      <alignment horizontal="center" vertical="center" wrapText="1"/>
    </xf>
    <xf numFmtId="0" fontId="1" fillId="4" borderId="1" xfId="4" applyBorder="1" applyAlignment="1">
      <alignment horizontal="center" vertical="center" wrapText="1"/>
    </xf>
    <xf numFmtId="0" fontId="0" fillId="4" borderId="1" xfId="4" quotePrefix="1" applyFont="1" applyBorder="1" applyAlignment="1" applyProtection="1">
      <alignment horizontal="center" vertical="center" wrapText="1"/>
    </xf>
    <xf numFmtId="0" fontId="1" fillId="4" borderId="1" xfId="4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17" fontId="1" fillId="4" borderId="1" xfId="4" applyNumberFormat="1" applyBorder="1" applyAlignment="1" applyProtection="1">
      <alignment horizontal="center" vertical="center" wrapText="1"/>
    </xf>
    <xf numFmtId="164" fontId="1" fillId="4" borderId="1" xfId="4" applyNumberFormat="1" applyBorder="1" applyAlignment="1">
      <alignment horizontal="right" vertical="center"/>
    </xf>
    <xf numFmtId="165" fontId="1" fillId="3" borderId="1" xfId="3" applyNumberFormat="1" applyBorder="1" applyAlignment="1" applyProtection="1">
      <alignment horizontal="center" vertical="center" wrapText="1"/>
    </xf>
    <xf numFmtId="166" fontId="1" fillId="4" borderId="1" xfId="4" applyNumberFormat="1" applyBorder="1" applyAlignment="1">
      <alignment horizontal="right" vertical="center"/>
    </xf>
    <xf numFmtId="17" fontId="4" fillId="5" borderId="1" xfId="0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0" fontId="2" fillId="4" borderId="1" xfId="4" applyFont="1" applyBorder="1" applyAlignment="1" applyProtection="1">
      <alignment horizontal="center" vertical="center" wrapText="1"/>
    </xf>
    <xf numFmtId="3" fontId="2" fillId="4" borderId="1" xfId="4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horizontal="center" vertical="center" wrapText="1"/>
    </xf>
    <xf numFmtId="167" fontId="2" fillId="4" borderId="1" xfId="4" applyNumberFormat="1" applyFont="1" applyBorder="1" applyAlignment="1" applyProtection="1">
      <alignment horizontal="right" vertical="center" wrapText="1"/>
    </xf>
    <xf numFmtId="0" fontId="5" fillId="5" borderId="2" xfId="0" applyFont="1" applyFill="1" applyBorder="1" applyAlignment="1" applyProtection="1">
      <alignment horizontal="left" vertical="center" wrapText="1"/>
    </xf>
    <xf numFmtId="0" fontId="5" fillId="5" borderId="3" xfId="0" applyFont="1" applyFill="1" applyBorder="1" applyAlignment="1" applyProtection="1">
      <alignment horizontal="left" vertical="center" wrapText="1"/>
    </xf>
    <xf numFmtId="0" fontId="5" fillId="5" borderId="4" xfId="0" applyFont="1" applyFill="1" applyBorder="1" applyAlignment="1" applyProtection="1">
      <alignment horizontal="left" vertical="center" wrapText="1"/>
    </xf>
  </cellXfs>
  <cellStyles count="5">
    <cellStyle name="20% - Accent1" xfId="3" builtinId="30"/>
    <cellStyle name="40% - Accent1" xfId="4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sqref="A1:Q1"/>
    </sheetView>
  </sheetViews>
  <sheetFormatPr defaultRowHeight="14.4" x14ac:dyDescent="0.3"/>
  <cols>
    <col min="1" max="1" width="8.109375" customWidth="1"/>
    <col min="2" max="2" width="9.5546875" customWidth="1"/>
    <col min="3" max="3" width="9.33203125" customWidth="1"/>
    <col min="4" max="4" width="9.88671875" customWidth="1"/>
    <col min="5" max="5" width="11.5546875" customWidth="1"/>
    <col min="6" max="7" width="8.33203125" customWidth="1"/>
    <col min="8" max="8" width="7.33203125" customWidth="1"/>
    <col min="9" max="9" width="9.109375" bestFit="1" customWidth="1"/>
    <col min="10" max="10" width="8.109375" bestFit="1" customWidth="1"/>
    <col min="11" max="11" width="9.109375" bestFit="1" customWidth="1"/>
    <col min="12" max="12" width="8.6640625" customWidth="1"/>
    <col min="13" max="13" width="7.33203125" customWidth="1"/>
    <col min="14" max="14" width="7.109375" customWidth="1"/>
    <col min="15" max="15" width="8.5546875" customWidth="1"/>
    <col min="16" max="16" width="8.6640625" customWidth="1"/>
    <col min="17" max="17" width="7" customWidth="1"/>
  </cols>
  <sheetData>
    <row r="1" spans="1:17" ht="19.8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9.8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9.8" customHeigh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9.8" customHeight="1" x14ac:dyDescent="0.3">
      <c r="A4" s="5" t="s">
        <v>3</v>
      </c>
      <c r="B4" s="5" t="s">
        <v>4</v>
      </c>
      <c r="C4" s="5"/>
      <c r="D4" s="5"/>
      <c r="E4" s="5" t="s">
        <v>5</v>
      </c>
      <c r="F4" s="6"/>
      <c r="G4" s="7" t="s">
        <v>6</v>
      </c>
      <c r="H4" s="7" t="s">
        <v>7</v>
      </c>
      <c r="I4" s="5" t="s">
        <v>8</v>
      </c>
      <c r="J4" s="5"/>
      <c r="K4" s="5"/>
      <c r="L4" s="5" t="s">
        <v>9</v>
      </c>
      <c r="M4" s="5"/>
      <c r="N4" s="5"/>
      <c r="O4" s="5"/>
      <c r="P4" s="7" t="s">
        <v>10</v>
      </c>
      <c r="Q4" s="7" t="s">
        <v>11</v>
      </c>
    </row>
    <row r="5" spans="1:17" ht="116.25" customHeight="1" x14ac:dyDescent="0.3">
      <c r="A5" s="5"/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9"/>
      <c r="H5" s="9"/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18</v>
      </c>
      <c r="O5" s="8" t="s">
        <v>19</v>
      </c>
      <c r="P5" s="9"/>
      <c r="Q5" s="9"/>
    </row>
    <row r="6" spans="1:17" ht="24" customHeight="1" x14ac:dyDescent="0.3">
      <c r="A6" s="10">
        <v>43191</v>
      </c>
      <c r="B6" s="11">
        <v>31922</v>
      </c>
      <c r="C6" s="11">
        <v>60354.733</v>
      </c>
      <c r="D6" s="11">
        <v>31999.300000000003</v>
      </c>
      <c r="E6" s="11">
        <v>4898744</v>
      </c>
      <c r="F6" s="11">
        <v>5170.9449999999997</v>
      </c>
      <c r="G6" s="11">
        <v>5690.3739999999998</v>
      </c>
      <c r="H6" s="12">
        <f>F6/G6*100</f>
        <v>90.871795070060429</v>
      </c>
      <c r="I6" s="13">
        <v>12729.2</v>
      </c>
      <c r="J6" s="13">
        <v>1347.5</v>
      </c>
      <c r="K6" s="13">
        <v>14076.7</v>
      </c>
      <c r="L6" s="13">
        <v>465.3827</v>
      </c>
      <c r="M6" s="13">
        <v>17.737099999999998</v>
      </c>
      <c r="N6" s="13">
        <v>1.4661</v>
      </c>
      <c r="O6" s="13">
        <v>484.58589999999998</v>
      </c>
      <c r="P6" s="13">
        <v>625.26619999999991</v>
      </c>
      <c r="Q6" s="12">
        <f>O6/P6*100</f>
        <v>77.500734886996938</v>
      </c>
    </row>
    <row r="7" spans="1:17" ht="24" customHeight="1" x14ac:dyDescent="0.3">
      <c r="A7" s="14">
        <v>43221</v>
      </c>
      <c r="B7" s="15">
        <v>34342</v>
      </c>
      <c r="C7" s="15">
        <v>65176.799599999998</v>
      </c>
      <c r="D7" s="15">
        <v>34226.199999999997</v>
      </c>
      <c r="E7" s="15">
        <v>5186951</v>
      </c>
      <c r="F7" s="15">
        <v>5459.5209999999997</v>
      </c>
      <c r="G7" s="15">
        <v>6079.9589999999998</v>
      </c>
      <c r="H7" s="12">
        <f t="shared" ref="H7:H18" si="0">F7/G7*100</f>
        <v>89.795358817386756</v>
      </c>
      <c r="I7" s="16">
        <v>14493.5</v>
      </c>
      <c r="J7" s="16">
        <v>1418.25217</v>
      </c>
      <c r="K7" s="16">
        <v>15911.75217</v>
      </c>
      <c r="L7" s="16">
        <v>491.35480000000001</v>
      </c>
      <c r="M7" s="16">
        <v>20.147099999999998</v>
      </c>
      <c r="N7" s="16">
        <v>1.5218</v>
      </c>
      <c r="O7" s="16">
        <v>513.02369999999996</v>
      </c>
      <c r="P7" s="16">
        <v>668.69620000000009</v>
      </c>
      <c r="Q7" s="12">
        <f t="shared" ref="Q7:Q18" si="1">O7/P7*100</f>
        <v>76.719996315217571</v>
      </c>
    </row>
    <row r="8" spans="1:17" ht="24" customHeight="1" x14ac:dyDescent="0.3">
      <c r="A8" s="10">
        <v>43252</v>
      </c>
      <c r="B8" s="11">
        <v>34137</v>
      </c>
      <c r="C8" s="11">
        <v>64502.183299999997</v>
      </c>
      <c r="D8" s="11">
        <v>34186.700000000004</v>
      </c>
      <c r="E8" s="11">
        <v>4991013</v>
      </c>
      <c r="F8" s="11">
        <v>5309.08</v>
      </c>
      <c r="G8" s="11">
        <v>6075.4579999999996</v>
      </c>
      <c r="H8" s="12">
        <f t="shared" si="0"/>
        <v>87.385675285715095</v>
      </c>
      <c r="I8" s="13">
        <v>14130.21</v>
      </c>
      <c r="J8" s="13">
        <v>1607.5</v>
      </c>
      <c r="K8" s="13">
        <v>15737.71</v>
      </c>
      <c r="L8" s="13">
        <v>477.81549999999999</v>
      </c>
      <c r="M8" s="13">
        <v>18.774900000000002</v>
      </c>
      <c r="N8" s="13">
        <v>1.6491</v>
      </c>
      <c r="O8" s="13">
        <v>498.23950000000002</v>
      </c>
      <c r="P8" s="13">
        <v>669.02840000000003</v>
      </c>
      <c r="Q8" s="12">
        <f t="shared" si="1"/>
        <v>74.472100138050948</v>
      </c>
    </row>
    <row r="9" spans="1:17" ht="24" customHeight="1" x14ac:dyDescent="0.3">
      <c r="A9" s="14">
        <v>43282</v>
      </c>
      <c r="B9" s="15">
        <v>35999</v>
      </c>
      <c r="C9" s="15">
        <v>67484.45</v>
      </c>
      <c r="D9" s="15">
        <v>35916.660000000003</v>
      </c>
      <c r="E9" s="15">
        <v>5345678</v>
      </c>
      <c r="F9" s="15">
        <v>5608.3670000000002</v>
      </c>
      <c r="G9" s="15">
        <v>6374.3370000000004</v>
      </c>
      <c r="H9" s="12">
        <f t="shared" si="0"/>
        <v>87.983534601324024</v>
      </c>
      <c r="I9" s="16">
        <v>16310.743</v>
      </c>
      <c r="J9" s="16">
        <v>1745.9</v>
      </c>
      <c r="K9" s="16">
        <v>18056.643</v>
      </c>
      <c r="L9" s="16">
        <v>504.74841100000003</v>
      </c>
      <c r="M9" s="16">
        <v>22.040472999999999</v>
      </c>
      <c r="N9" s="16">
        <v>1.8608450000000001</v>
      </c>
      <c r="O9" s="16">
        <v>528.64972900000009</v>
      </c>
      <c r="P9" s="16">
        <v>698.98549300000002</v>
      </c>
      <c r="Q9" s="12">
        <f t="shared" si="1"/>
        <v>75.631001543547072</v>
      </c>
    </row>
    <row r="10" spans="1:17" ht="24" customHeight="1" x14ac:dyDescent="0.3">
      <c r="A10" s="10">
        <v>43313</v>
      </c>
      <c r="B10" s="11">
        <v>36562</v>
      </c>
      <c r="C10" s="11">
        <v>68124.100000000006</v>
      </c>
      <c r="D10" s="11">
        <v>36292.089999999997</v>
      </c>
      <c r="E10" s="11">
        <v>5092158</v>
      </c>
      <c r="F10" s="11">
        <v>5364.9549999999999</v>
      </c>
      <c r="G10" s="11">
        <v>6434.8559999999998</v>
      </c>
      <c r="H10" s="12">
        <f t="shared" si="0"/>
        <v>83.373349768821555</v>
      </c>
      <c r="I10" s="13">
        <v>15826.0975</v>
      </c>
      <c r="J10" s="13">
        <v>1856.7014999999999</v>
      </c>
      <c r="K10" s="13">
        <v>17682.798999999999</v>
      </c>
      <c r="L10" s="13">
        <v>482.84697999999997</v>
      </c>
      <c r="M10" s="13">
        <v>21.834129999999998</v>
      </c>
      <c r="N10" s="13">
        <v>1.9954100000000001</v>
      </c>
      <c r="O10" s="13">
        <v>506.67651999999993</v>
      </c>
      <c r="P10" s="13">
        <v>706.11918999999989</v>
      </c>
      <c r="Q10" s="12">
        <f t="shared" si="1"/>
        <v>71.755098455828687</v>
      </c>
    </row>
    <row r="11" spans="1:17" ht="24" customHeight="1" x14ac:dyDescent="0.3">
      <c r="A11" s="14">
        <v>43344</v>
      </c>
      <c r="B11" s="15">
        <v>37825</v>
      </c>
      <c r="C11" s="15">
        <v>70073.45</v>
      </c>
      <c r="D11" s="15">
        <v>37586.457999999999</v>
      </c>
      <c r="E11" s="15">
        <v>5239228</v>
      </c>
      <c r="F11" s="15">
        <v>5473.683</v>
      </c>
      <c r="G11" s="15">
        <v>6660.6710000000003</v>
      </c>
      <c r="H11" s="12">
        <f t="shared" si="0"/>
        <v>82.179152821089644</v>
      </c>
      <c r="I11" s="16">
        <v>16162.446</v>
      </c>
      <c r="J11" s="16">
        <v>1695.5</v>
      </c>
      <c r="K11" s="16">
        <v>17857.946</v>
      </c>
      <c r="L11" s="16">
        <v>492.62832449999996</v>
      </c>
      <c r="M11" s="16">
        <v>22.265888400000001</v>
      </c>
      <c r="N11" s="16">
        <v>1.8049937</v>
      </c>
      <c r="O11" s="16">
        <v>516.69920660000002</v>
      </c>
      <c r="P11" s="16">
        <v>732.65974519999997</v>
      </c>
      <c r="Q11" s="12">
        <f t="shared" si="1"/>
        <v>70.523760856951753</v>
      </c>
    </row>
    <row r="12" spans="1:17" ht="24" customHeight="1" x14ac:dyDescent="0.3">
      <c r="A12" s="10">
        <v>43374</v>
      </c>
      <c r="B12" s="11">
        <v>39989</v>
      </c>
      <c r="C12" s="11">
        <v>74150.216</v>
      </c>
      <c r="D12" s="11">
        <v>40139.822</v>
      </c>
      <c r="E12" s="11">
        <v>5450145</v>
      </c>
      <c r="F12" s="11">
        <v>5881.4449999999997</v>
      </c>
      <c r="G12" s="11">
        <v>7108.1989999999996</v>
      </c>
      <c r="H12" s="12">
        <f t="shared" si="0"/>
        <v>82.741704333263598</v>
      </c>
      <c r="I12" s="13">
        <v>16834.754000000001</v>
      </c>
      <c r="J12" s="13">
        <v>1754.6</v>
      </c>
      <c r="K12" s="13">
        <v>18589.353999999999</v>
      </c>
      <c r="L12" s="13">
        <v>529.33058000000005</v>
      </c>
      <c r="M12" s="13">
        <v>23.171969999999998</v>
      </c>
      <c r="N12" s="13">
        <v>1.84606</v>
      </c>
      <c r="O12" s="13">
        <v>554.34861000000001</v>
      </c>
      <c r="P12" s="13">
        <v>784.31206000000009</v>
      </c>
      <c r="Q12" s="12">
        <f t="shared" si="1"/>
        <v>70.679597863126048</v>
      </c>
    </row>
    <row r="13" spans="1:17" ht="24" customHeight="1" x14ac:dyDescent="0.3">
      <c r="A13" s="14">
        <v>43405</v>
      </c>
      <c r="B13" s="15">
        <v>38860</v>
      </c>
      <c r="C13" s="15">
        <v>73986.583299999998</v>
      </c>
      <c r="D13" s="15">
        <v>39541.961000000003</v>
      </c>
      <c r="E13" s="15">
        <v>5429333</v>
      </c>
      <c r="F13" s="15">
        <v>5927.4269999999997</v>
      </c>
      <c r="G13" s="15">
        <v>7013.2889999999998</v>
      </c>
      <c r="H13" s="12">
        <f t="shared" si="0"/>
        <v>84.517078934006577</v>
      </c>
      <c r="I13" s="16">
        <v>13493.805339999999</v>
      </c>
      <c r="J13" s="16">
        <v>1805.88165</v>
      </c>
      <c r="K13" s="16">
        <v>15299.686989999998</v>
      </c>
      <c r="L13" s="16">
        <v>533.46728199999995</v>
      </c>
      <c r="M13" s="16">
        <v>18.477778999999998</v>
      </c>
      <c r="N13" s="16">
        <v>1.865591</v>
      </c>
      <c r="O13" s="16">
        <v>553.810652</v>
      </c>
      <c r="P13" s="16">
        <v>791.90731400000004</v>
      </c>
      <c r="Q13" s="12">
        <f t="shared" si="1"/>
        <v>69.933771567615537</v>
      </c>
    </row>
    <row r="14" spans="1:17" ht="24" customHeight="1" x14ac:dyDescent="0.3">
      <c r="A14" s="10">
        <v>43435</v>
      </c>
      <c r="B14" s="11">
        <v>40525</v>
      </c>
      <c r="C14" s="11">
        <v>78274.283330000006</v>
      </c>
      <c r="D14" s="11">
        <v>42146.171000000002</v>
      </c>
      <c r="E14" s="11">
        <v>5971655</v>
      </c>
      <c r="F14" s="11">
        <v>6618.4489999999996</v>
      </c>
      <c r="G14" s="11">
        <v>7491.9440000000004</v>
      </c>
      <c r="H14" s="12">
        <f t="shared" si="0"/>
        <v>88.340876546861523</v>
      </c>
      <c r="I14" s="13">
        <v>14911.65511</v>
      </c>
      <c r="J14" s="13">
        <v>2099.5070900000001</v>
      </c>
      <c r="K14" s="13">
        <v>17011.162199999999</v>
      </c>
      <c r="L14" s="13">
        <v>595.6595595</v>
      </c>
      <c r="M14" s="13">
        <v>20.832663200000002</v>
      </c>
      <c r="N14" s="13">
        <v>2.1126329999999998</v>
      </c>
      <c r="O14" s="13">
        <v>618.60485570000003</v>
      </c>
      <c r="P14" s="13">
        <v>844.65737309999997</v>
      </c>
      <c r="Q14" s="12">
        <f t="shared" si="1"/>
        <v>73.237371199358805</v>
      </c>
    </row>
    <row r="15" spans="1:17" ht="24" customHeight="1" x14ac:dyDescent="0.3">
      <c r="A15" s="14">
        <v>43466</v>
      </c>
      <c r="B15" s="15">
        <v>40525</v>
      </c>
      <c r="C15" s="15">
        <v>79281.999000000011</v>
      </c>
      <c r="D15" s="15">
        <v>42486.894</v>
      </c>
      <c r="E15" s="15">
        <v>5820002</v>
      </c>
      <c r="F15" s="15">
        <v>6482.5950000000003</v>
      </c>
      <c r="G15" s="15">
        <v>7549.4660000000003</v>
      </c>
      <c r="H15" s="12">
        <f t="shared" si="0"/>
        <v>85.868258761613063</v>
      </c>
      <c r="I15" s="16">
        <v>15531.63</v>
      </c>
      <c r="J15" s="16">
        <v>2078.0169999999998</v>
      </c>
      <c r="K15" s="16">
        <v>17609.646999999997</v>
      </c>
      <c r="L15" s="16">
        <v>583.43516999999997</v>
      </c>
      <c r="M15" s="16">
        <v>21.712070000000001</v>
      </c>
      <c r="N15" s="16">
        <v>2.0765700000000002</v>
      </c>
      <c r="O15" s="16">
        <v>607.22381000000007</v>
      </c>
      <c r="P15" s="16">
        <v>834.65816999999993</v>
      </c>
      <c r="Q15" s="12">
        <f t="shared" si="1"/>
        <v>72.751197055915725</v>
      </c>
    </row>
    <row r="16" spans="1:17" ht="24" customHeight="1" x14ac:dyDescent="0.3">
      <c r="A16" s="10">
        <v>43497</v>
      </c>
      <c r="B16" s="11">
        <v>36583</v>
      </c>
      <c r="C16" s="11">
        <v>71356.383300000001</v>
      </c>
      <c r="D16" s="11">
        <v>38130.281999999999</v>
      </c>
      <c r="E16" s="11">
        <v>5368707</v>
      </c>
      <c r="F16" s="11">
        <v>5889.4740000000002</v>
      </c>
      <c r="G16" s="11">
        <v>6769.5870000000004</v>
      </c>
      <c r="H16" s="12">
        <f t="shared" si="0"/>
        <v>86.999014858661241</v>
      </c>
      <c r="I16" s="13">
        <v>16480.703999999998</v>
      </c>
      <c r="J16" s="13">
        <v>1811.2670000000001</v>
      </c>
      <c r="K16" s="13">
        <v>18291.970999999998</v>
      </c>
      <c r="L16" s="13">
        <v>530.05377699999997</v>
      </c>
      <c r="M16" s="13">
        <v>22.532819</v>
      </c>
      <c r="N16" s="13">
        <v>1.768362</v>
      </c>
      <c r="O16" s="13">
        <v>554.35495800000001</v>
      </c>
      <c r="P16" s="13">
        <v>747.78305599999999</v>
      </c>
      <c r="Q16" s="12">
        <f t="shared" si="1"/>
        <v>74.133126386324548</v>
      </c>
    </row>
    <row r="17" spans="1:17" ht="24" customHeight="1" x14ac:dyDescent="0.3">
      <c r="A17" s="14">
        <v>43525</v>
      </c>
      <c r="B17" s="15">
        <v>41635</v>
      </c>
      <c r="C17" s="15">
        <v>80787.150000000009</v>
      </c>
      <c r="D17" s="15">
        <v>43693.488000000005</v>
      </c>
      <c r="E17" s="15">
        <v>5949330</v>
      </c>
      <c r="F17" s="15">
        <v>6625.4756390000002</v>
      </c>
      <c r="G17" s="15">
        <v>7780.2324879999996</v>
      </c>
      <c r="H17" s="12">
        <f t="shared" si="0"/>
        <v>85.157810505263669</v>
      </c>
      <c r="I17" s="16">
        <v>21279.963</v>
      </c>
      <c r="J17" s="16">
        <v>1942.7719999999999</v>
      </c>
      <c r="K17" s="16">
        <v>23222.735000000001</v>
      </c>
      <c r="L17" s="16">
        <v>595.88215500000001</v>
      </c>
      <c r="M17" s="16">
        <v>28.238213000000002</v>
      </c>
      <c r="N17" s="16">
        <v>1.8584400000000001</v>
      </c>
      <c r="O17" s="16">
        <v>625.97880799999996</v>
      </c>
      <c r="P17" s="16">
        <v>855.85740400000009</v>
      </c>
      <c r="Q17" s="12">
        <f t="shared" si="1"/>
        <v>73.140549474057011</v>
      </c>
    </row>
    <row r="18" spans="1:17" ht="24" customHeight="1" x14ac:dyDescent="0.3">
      <c r="A18" s="17" t="s">
        <v>22</v>
      </c>
      <c r="B18" s="18">
        <f>SUM(B6:B17)</f>
        <v>448904</v>
      </c>
      <c r="C18" s="18">
        <f t="shared" ref="C18:P18" si="2">SUM(C6:C17)</f>
        <v>853552.33083000011</v>
      </c>
      <c r="D18" s="18">
        <f t="shared" si="2"/>
        <v>456346.02599999995</v>
      </c>
      <c r="E18" s="18">
        <f t="shared" si="2"/>
        <v>64742944</v>
      </c>
      <c r="F18" s="18">
        <f t="shared" si="2"/>
        <v>69811.416639000003</v>
      </c>
      <c r="G18" s="18">
        <f t="shared" si="2"/>
        <v>81028.372487999994</v>
      </c>
      <c r="H18" s="19">
        <f t="shared" si="0"/>
        <v>86.156755338185803</v>
      </c>
      <c r="I18" s="20">
        <f t="shared" si="2"/>
        <v>188184.70794999998</v>
      </c>
      <c r="J18" s="20">
        <f t="shared" si="2"/>
        <v>21163.398410000002</v>
      </c>
      <c r="K18" s="20">
        <f t="shared" si="2"/>
        <v>209348.10635999998</v>
      </c>
      <c r="L18" s="20">
        <f t="shared" si="2"/>
        <v>6282.6052390000004</v>
      </c>
      <c r="M18" s="20">
        <f t="shared" si="2"/>
        <v>257.76510559999997</v>
      </c>
      <c r="N18" s="20">
        <f t="shared" si="2"/>
        <v>21.825904700000002</v>
      </c>
      <c r="O18" s="20">
        <f t="shared" si="2"/>
        <v>6562.196249300001</v>
      </c>
      <c r="P18" s="20">
        <f t="shared" si="2"/>
        <v>8959.9306053</v>
      </c>
      <c r="Q18" s="19">
        <f t="shared" si="1"/>
        <v>73.239364660015497</v>
      </c>
    </row>
    <row r="19" spans="1:17" ht="24" customHeight="1" x14ac:dyDescent="0.3">
      <c r="A19" s="21" t="s">
        <v>23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2020-06-03T10:36:30Z</dcterms:created>
  <dcterms:modified xsi:type="dcterms:W3CDTF">2020-06-03T10:36:52Z</dcterms:modified>
</cp:coreProperties>
</file>