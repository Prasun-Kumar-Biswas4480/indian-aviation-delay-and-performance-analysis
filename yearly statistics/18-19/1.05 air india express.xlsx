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AIR INDIA EXPRESS\"/>
    </mc:Choice>
  </mc:AlternateContent>
  <bookViews>
    <workbookView xWindow="0" yWindow="0" windowWidth="19200" windowHeight="8484"/>
  </bookViews>
  <sheets>
    <sheet name="AIR INDIA EXPRES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7" i="1" l="1"/>
  <c r="H37" i="1"/>
  <c r="Q36" i="1"/>
  <c r="Q38" i="1" s="1"/>
  <c r="K36" i="1"/>
  <c r="H36" i="1"/>
  <c r="H38" i="1" s="1"/>
  <c r="Q35" i="1"/>
  <c r="Q33" i="1"/>
  <c r="Q34" i="1" s="1"/>
  <c r="H33" i="1"/>
  <c r="H35" i="1" s="1"/>
  <c r="Q30" i="1"/>
  <c r="H30" i="1"/>
  <c r="H31" i="1" s="1"/>
  <c r="Q27" i="1"/>
  <c r="Q29" i="1" s="1"/>
  <c r="H27" i="1"/>
  <c r="Q25" i="1"/>
  <c r="Q24" i="1"/>
  <c r="Q26" i="1" s="1"/>
  <c r="H24" i="1"/>
  <c r="H26" i="1" s="1"/>
  <c r="Q23" i="1"/>
  <c r="Q21" i="1"/>
  <c r="Q22" i="1" s="1"/>
  <c r="H21" i="1"/>
  <c r="H23" i="1" s="1"/>
  <c r="Q18" i="1"/>
  <c r="H18" i="1"/>
  <c r="H19" i="1" s="1"/>
  <c r="Q15" i="1"/>
  <c r="Q17" i="1" s="1"/>
  <c r="H15" i="1"/>
  <c r="Q12" i="1"/>
  <c r="Q14" i="1" s="1"/>
  <c r="H12" i="1"/>
  <c r="H14" i="1" s="1"/>
  <c r="Q11" i="1"/>
  <c r="Q9" i="1"/>
  <c r="Q13" i="1" s="1"/>
  <c r="H9" i="1"/>
  <c r="H11" i="1" s="1"/>
  <c r="Q6" i="1"/>
  <c r="Q32" i="1" s="1"/>
  <c r="H6" i="1"/>
  <c r="H10" i="1" s="1"/>
  <c r="Q31" i="1" l="1"/>
  <c r="H16" i="1"/>
  <c r="H32" i="1"/>
  <c r="Q16" i="1"/>
  <c r="Q20" i="1"/>
  <c r="Q28" i="1"/>
  <c r="H20" i="1"/>
  <c r="H28" i="1"/>
  <c r="H13" i="1"/>
  <c r="H17" i="1"/>
  <c r="H25" i="1"/>
  <c r="H29" i="1"/>
  <c r="Q19" i="1"/>
  <c r="Q10" i="1"/>
  <c r="H22" i="1"/>
  <c r="H34" i="1"/>
</calcChain>
</file>

<file path=xl/sharedStrings.xml><?xml version="1.0" encoding="utf-8"?>
<sst xmlns="http://schemas.openxmlformats.org/spreadsheetml/2006/main" count="174" uniqueCount="38">
  <si>
    <t xml:space="preserve">तालिका - 1.05 (एयर इंडिया एक्सप्रेस) </t>
  </si>
  <si>
    <t>TABLE - 1.05 (AIR INDIA EXPRESS)</t>
  </si>
  <si>
    <t>YEAR-WISE DETAILS OF ANNUAL TRAFFIC AND OPERATING STATISTICS ON INTERNATIONAL SCHEDULED SERVICES OF AIR INDIA EXPRESS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</si>
  <si>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</si>
  <si>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</si>
  <si>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</si>
  <si>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</si>
  <si>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</si>
  <si>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</si>
  <si>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</si>
  <si>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</si>
  <si>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</si>
  <si>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</si>
  <si>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</si>
  <si>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</si>
  <si>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</si>
  <si>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</si>
  <si>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</si>
  <si>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</si>
  <si>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</si>
  <si>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</si>
  <si>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</si>
  <si>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</si>
  <si>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 xml:space="preserve">Growth </t>
  </si>
  <si>
    <t>-</t>
  </si>
  <si>
    <t xml:space="preserve">CAGR 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</si>
  <si>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</si>
  <si>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</si>
  <si>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</si>
  <si>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</si>
  <si>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</si>
  <si>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</si>
  <si>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</si>
  <si>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</si>
  <si>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</si>
  <si>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</si>
  <si>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SOURCE: ICAO ATR FORM 'A' FURNISHED BY AIR INDIA EXPRESS</t>
  </si>
  <si>
    <t>Note: Growth has been calculated with respect to preceeding year while Compound Annual Growth Rate (CAGR) has been calculating taking 2008-09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</si>
</sst>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,##0.0"/>
    <numFmt numFmtId="166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8">
    <xf numFmtId="0" fontId="0" fillId="0" borderId="0" xfId="0"/>
    <xf numFmtId="0" fontId="0" fillId="4" borderId="1" xfId="4" applyFont="1" applyBorder="1" applyAlignment="1">
      <alignment horizontal="center" vertical="center" wrapText="1"/>
    </xf>
    <xf numFmtId="0" fontId="1" fillId="4" borderId="1" xfId="4" applyBorder="1" applyAlignment="1">
      <alignment horizontal="center" vertical="center" wrapText="1"/>
    </xf>
    <xf numFmtId="0" fontId="0" fillId="4" borderId="1" xfId="4" quotePrefix="1" applyFont="1" applyBorder="1" applyAlignment="1" applyProtection="1">
      <alignment horizontal="center" vertical="center" wrapText="1"/>
    </xf>
    <xf numFmtId="0" fontId="1" fillId="4" borderId="1" xfId="4" applyBorder="1"/>
    <xf numFmtId="0" fontId="3" fillId="2" borderId="1" xfId="2" applyBorder="1" applyAlignment="1" applyProtection="1">
      <alignment horizontal="center" vertical="center" wrapText="1"/>
    </xf>
    <xf numFmtId="0" fontId="3" fillId="2" borderId="1" xfId="2" applyBorder="1"/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 applyAlignment="1">
      <alignment textRotation="90"/>
    </xf>
    <xf numFmtId="0" fontId="1" fillId="4" borderId="1" xfId="4" applyBorder="1" applyAlignment="1" applyProtection="1">
      <alignment horizontal="center" vertical="center" wrapText="1"/>
    </xf>
    <xf numFmtId="3" fontId="1" fillId="4" borderId="1" xfId="4" applyNumberFormat="1" applyBorder="1" applyAlignment="1" applyProtection="1">
      <alignment horizontal="center" vertical="center" wrapText="1"/>
    </xf>
    <xf numFmtId="164" fontId="0" fillId="4" borderId="1" xfId="1" applyNumberFormat="1" applyFont="1" applyFill="1" applyBorder="1" applyAlignment="1" applyProtection="1">
      <alignment horizontal="center" vertical="center" wrapText="1"/>
    </xf>
    <xf numFmtId="165" fontId="1" fillId="4" borderId="1" xfId="4" applyNumberFormat="1" applyBorder="1" applyAlignment="1" applyProtection="1">
      <alignment horizontal="center" vertical="center" wrapText="1"/>
    </xf>
    <xf numFmtId="0" fontId="0" fillId="3" borderId="1" xfId="3" applyFont="1" applyBorder="1" applyAlignment="1" applyProtection="1">
      <alignment horizontal="center" vertical="center" wrapText="1"/>
    </xf>
    <xf numFmtId="3" fontId="0" fillId="3" borderId="1" xfId="3" applyNumberFormat="1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6" fontId="1" fillId="3" borderId="1" xfId="1" applyNumberFormat="1" applyFill="1" applyBorder="1" applyAlignment="1" applyProtection="1">
      <alignment horizontal="center" vertical="center" wrapText="1"/>
    </xf>
    <xf numFmtId="166" fontId="4" fillId="5" borderId="1" xfId="1" applyNumberFormat="1" applyFont="1" applyFill="1" applyBorder="1" applyAlignment="1" applyProtection="1">
      <alignment horizontal="center" vertical="center" wrapText="1"/>
    </xf>
    <xf numFmtId="166" fontId="0" fillId="0" borderId="1" xfId="1" applyNumberFormat="1" applyFont="1" applyBorder="1" applyAlignment="1">
      <alignment horizontal="center" vertical="center"/>
    </xf>
    <xf numFmtId="166" fontId="5" fillId="6" borderId="1" xfId="1" applyNumberFormat="1" applyFont="1" applyFill="1" applyBorder="1" applyAlignment="1" applyProtection="1">
      <alignment horizontal="center" vertical="center" wrapText="1"/>
    </xf>
    <xf numFmtId="4" fontId="1" fillId="4" borderId="1" xfId="4" applyNumberFormat="1" applyBorder="1" applyAlignment="1" applyProtection="1">
      <alignment horizontal="center" vertical="center" wrapText="1"/>
    </xf>
    <xf numFmtId="0" fontId="0" fillId="4" borderId="1" xfId="4" applyFont="1" applyBorder="1" applyAlignment="1" applyProtection="1">
      <alignment horizontal="center" vertical="center" wrapText="1"/>
    </xf>
    <xf numFmtId="0" fontId="6" fillId="6" borderId="1" xfId="0" applyFont="1" applyFill="1" applyBorder="1" applyAlignment="1" applyProtection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165" fontId="0" fillId="0" borderId="0" xfId="0" applyNumberFormat="1"/>
  </cellXfs>
  <cellStyles count="5">
    <cellStyle name="20% - Accent6" xfId="3" builtinId="50"/>
    <cellStyle name="40% - Accent6" xfId="4" builtinId="51"/>
    <cellStyle name="Accent6" xfId="2" builtinId="4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abSelected="1" workbookViewId="0">
      <selection activeCell="N42" sqref="N42"/>
    </sheetView>
  </sheetViews>
  <sheetFormatPr defaultRowHeight="14.4" x14ac:dyDescent="0.3"/>
  <cols>
    <col min="1" max="1" width="8" customWidth="1"/>
    <col min="2" max="3" width="7.6640625" customWidth="1"/>
    <col min="4" max="4" width="7.88671875" customWidth="1"/>
    <col min="5" max="5" width="9.6640625" customWidth="1"/>
    <col min="6" max="6" width="7.109375" customWidth="1"/>
    <col min="7" max="7" width="7.5546875" customWidth="1"/>
    <col min="8" max="8" width="6.44140625" customWidth="1"/>
    <col min="9" max="9" width="8" customWidth="1"/>
    <col min="10" max="10" width="7.33203125" customWidth="1"/>
    <col min="11" max="11" width="9.109375" customWidth="1"/>
    <col min="12" max="12" width="6.88671875" customWidth="1"/>
    <col min="13" max="13" width="6" customWidth="1"/>
    <col min="14" max="14" width="9.109375" customWidth="1"/>
    <col min="15" max="15" width="8.33203125" customWidth="1"/>
    <col min="16" max="16" width="7.109375" customWidth="1"/>
    <col min="17" max="17" width="6.88671875" customWidth="1"/>
  </cols>
  <sheetData>
    <row r="1" spans="1:17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3">
      <c r="A4" s="5" t="s">
        <v>3</v>
      </c>
      <c r="B4" s="5" t="s">
        <v>4</v>
      </c>
      <c r="C4" s="5"/>
      <c r="D4" s="5"/>
      <c r="E4" s="5" t="s">
        <v>5</v>
      </c>
      <c r="F4" s="6"/>
      <c r="G4" s="7" t="s">
        <v>6</v>
      </c>
      <c r="H4" s="7" t="s">
        <v>7</v>
      </c>
      <c r="I4" s="5" t="s">
        <v>8</v>
      </c>
      <c r="J4" s="5"/>
      <c r="K4" s="5"/>
      <c r="L4" s="5" t="s">
        <v>9</v>
      </c>
      <c r="M4" s="5"/>
      <c r="N4" s="5"/>
      <c r="O4" s="5"/>
      <c r="P4" s="7" t="s">
        <v>10</v>
      </c>
      <c r="Q4" s="7" t="s">
        <v>11</v>
      </c>
    </row>
    <row r="5" spans="1:17" ht="117" customHeight="1" x14ac:dyDescent="0.3">
      <c r="A5" s="5"/>
      <c r="B5" s="8" t="s">
        <v>12</v>
      </c>
      <c r="C5" s="8" t="s">
        <v>13</v>
      </c>
      <c r="D5" s="8" t="s">
        <v>14</v>
      </c>
      <c r="E5" s="8" t="s">
        <v>15</v>
      </c>
      <c r="F5" s="8" t="s">
        <v>16</v>
      </c>
      <c r="G5" s="9"/>
      <c r="H5" s="9"/>
      <c r="I5" s="8" t="s">
        <v>17</v>
      </c>
      <c r="J5" s="8" t="s">
        <v>18</v>
      </c>
      <c r="K5" s="8" t="s">
        <v>19</v>
      </c>
      <c r="L5" s="8" t="s">
        <v>20</v>
      </c>
      <c r="M5" s="8" t="s">
        <v>21</v>
      </c>
      <c r="N5" s="8" t="s">
        <v>18</v>
      </c>
      <c r="O5" s="8" t="s">
        <v>19</v>
      </c>
      <c r="P5" s="9"/>
      <c r="Q5" s="9"/>
    </row>
    <row r="6" spans="1:17" ht="17.100000000000001" customHeight="1" x14ac:dyDescent="0.3">
      <c r="A6" s="10" t="s">
        <v>22</v>
      </c>
      <c r="B6" s="11">
        <v>17111</v>
      </c>
      <c r="C6" s="11">
        <v>59929</v>
      </c>
      <c r="D6" s="11">
        <v>40668</v>
      </c>
      <c r="E6" s="11">
        <v>2064325</v>
      </c>
      <c r="F6" s="11">
        <v>5403.6379999999999</v>
      </c>
      <c r="G6" s="11">
        <v>7141.13</v>
      </c>
      <c r="H6" s="12">
        <f>F6/G6*100</f>
        <v>75.669228819528556</v>
      </c>
      <c r="I6" s="13">
        <v>0</v>
      </c>
      <c r="J6" s="13">
        <v>0</v>
      </c>
      <c r="K6" s="13">
        <v>0</v>
      </c>
      <c r="L6" s="13">
        <v>536.71</v>
      </c>
      <c r="M6" s="13">
        <v>0</v>
      </c>
      <c r="N6" s="13">
        <v>0</v>
      </c>
      <c r="O6" s="13">
        <v>536.71</v>
      </c>
      <c r="P6" s="13">
        <v>754.64400000000001</v>
      </c>
      <c r="Q6" s="12">
        <f>O6/P6*100</f>
        <v>71.120952396096698</v>
      </c>
    </row>
    <row r="7" spans="1:17" ht="17.100000000000001" customHeight="1" x14ac:dyDescent="0.3">
      <c r="A7" s="14" t="s">
        <v>23</v>
      </c>
      <c r="B7" s="15" t="s">
        <v>24</v>
      </c>
      <c r="C7" s="15" t="s">
        <v>24</v>
      </c>
      <c r="D7" s="15" t="s">
        <v>24</v>
      </c>
      <c r="E7" s="15" t="s">
        <v>24</v>
      </c>
      <c r="F7" s="15" t="s">
        <v>24</v>
      </c>
      <c r="G7" s="15" t="s">
        <v>24</v>
      </c>
      <c r="H7" s="15" t="s">
        <v>24</v>
      </c>
      <c r="I7" s="15" t="s">
        <v>24</v>
      </c>
      <c r="J7" s="15" t="s">
        <v>24</v>
      </c>
      <c r="K7" s="15" t="s">
        <v>24</v>
      </c>
      <c r="L7" s="15" t="s">
        <v>24</v>
      </c>
      <c r="M7" s="15" t="s">
        <v>24</v>
      </c>
      <c r="N7" s="15" t="s">
        <v>24</v>
      </c>
      <c r="O7" s="15" t="s">
        <v>24</v>
      </c>
      <c r="P7" s="15" t="s">
        <v>24</v>
      </c>
      <c r="Q7" s="15" t="s">
        <v>24</v>
      </c>
    </row>
    <row r="8" spans="1:17" ht="17.100000000000001" customHeight="1" x14ac:dyDescent="0.3">
      <c r="A8" s="16" t="s">
        <v>25</v>
      </c>
      <c r="B8" s="16" t="s">
        <v>24</v>
      </c>
      <c r="C8" s="16" t="s">
        <v>24</v>
      </c>
      <c r="D8" s="16" t="s">
        <v>24</v>
      </c>
      <c r="E8" s="16" t="s">
        <v>24</v>
      </c>
      <c r="F8" s="16" t="s">
        <v>24</v>
      </c>
      <c r="G8" s="16" t="s">
        <v>24</v>
      </c>
      <c r="H8" s="16" t="s">
        <v>24</v>
      </c>
      <c r="I8" s="16" t="s">
        <v>24</v>
      </c>
      <c r="J8" s="16" t="s">
        <v>24</v>
      </c>
      <c r="K8" s="16" t="s">
        <v>24</v>
      </c>
      <c r="L8" s="16" t="s">
        <v>24</v>
      </c>
      <c r="M8" s="16" t="s">
        <v>24</v>
      </c>
      <c r="N8" s="16" t="s">
        <v>24</v>
      </c>
      <c r="O8" s="16" t="s">
        <v>24</v>
      </c>
      <c r="P8" s="16" t="s">
        <v>24</v>
      </c>
      <c r="Q8" s="16" t="s">
        <v>24</v>
      </c>
    </row>
    <row r="9" spans="1:17" ht="17.100000000000001" customHeight="1" x14ac:dyDescent="0.3">
      <c r="A9" s="10" t="s">
        <v>26</v>
      </c>
      <c r="B9" s="11">
        <v>20867</v>
      </c>
      <c r="C9" s="11">
        <v>71450.47</v>
      </c>
      <c r="D9" s="11">
        <v>47911</v>
      </c>
      <c r="E9" s="11">
        <v>2230282</v>
      </c>
      <c r="F9" s="11">
        <v>5715.1170000000002</v>
      </c>
      <c r="G9" s="11">
        <v>8371.4380000000001</v>
      </c>
      <c r="H9" s="12">
        <f t="shared" ref="H9:H36" si="0">F9/G9*100</f>
        <v>68.269238809389748</v>
      </c>
      <c r="I9" s="13">
        <v>0</v>
      </c>
      <c r="J9" s="13">
        <v>0</v>
      </c>
      <c r="K9" s="13">
        <v>0</v>
      </c>
      <c r="L9" s="13">
        <v>554.31899999999996</v>
      </c>
      <c r="M9" s="13">
        <v>0</v>
      </c>
      <c r="N9" s="13">
        <v>0</v>
      </c>
      <c r="O9" s="13">
        <v>554.31899999999996</v>
      </c>
      <c r="P9" s="13">
        <v>862.65</v>
      </c>
      <c r="Q9" s="12">
        <f t="shared" ref="Q9:Q36" si="1">O9/P9*100</f>
        <v>64.257694314032349</v>
      </c>
    </row>
    <row r="10" spans="1:17" ht="17.100000000000001" customHeight="1" x14ac:dyDescent="0.3">
      <c r="A10" s="14" t="s">
        <v>23</v>
      </c>
      <c r="B10" s="17">
        <v>0.21950791888259014</v>
      </c>
      <c r="C10" s="17">
        <v>0.19225199819786751</v>
      </c>
      <c r="D10" s="17">
        <v>0.1781007180092456</v>
      </c>
      <c r="E10" s="17">
        <v>8.0392864495658384E-2</v>
      </c>
      <c r="F10" s="17">
        <v>5.7642462355916566E-2</v>
      </c>
      <c r="G10" s="17">
        <v>0.17228477845943149</v>
      </c>
      <c r="H10" s="18">
        <f t="shared" ref="H10" si="2">(H9-H6)/H6</f>
        <v>-9.7793913398903753E-2</v>
      </c>
      <c r="I10" s="15" t="s">
        <v>24</v>
      </c>
      <c r="J10" s="15" t="s">
        <v>24</v>
      </c>
      <c r="K10" s="15" t="s">
        <v>24</v>
      </c>
      <c r="L10" s="17">
        <v>3.2809152056045017E-2</v>
      </c>
      <c r="M10" s="15" t="s">
        <v>24</v>
      </c>
      <c r="N10" s="15" t="s">
        <v>24</v>
      </c>
      <c r="O10" s="17">
        <v>3.2809152056045017E-2</v>
      </c>
      <c r="P10" s="17">
        <v>0.14312178987708107</v>
      </c>
      <c r="Q10" s="18">
        <f t="shared" ref="Q10" si="3">(Q9-Q6)/Q6</f>
        <v>-9.6501211680076179E-2</v>
      </c>
    </row>
    <row r="11" spans="1:17" ht="17.100000000000001" customHeight="1" x14ac:dyDescent="0.3">
      <c r="A11" s="16" t="s">
        <v>25</v>
      </c>
      <c r="B11" s="19">
        <v>0.21950791888259014</v>
      </c>
      <c r="C11" s="19">
        <v>0.19225199819786742</v>
      </c>
      <c r="D11" s="19">
        <v>0.17810071800924554</v>
      </c>
      <c r="E11" s="19">
        <v>8.0392864495658412E-2</v>
      </c>
      <c r="F11" s="19">
        <v>5.7642462355916635E-2</v>
      </c>
      <c r="G11" s="19">
        <v>0.17228477845943146</v>
      </c>
      <c r="H11" s="20">
        <f t="shared" ref="H11" si="4">(((H9/H6)^(1/1))-1)</f>
        <v>-9.7793913398903753E-2</v>
      </c>
      <c r="I11" s="16" t="s">
        <v>24</v>
      </c>
      <c r="J11" s="16" t="s">
        <v>24</v>
      </c>
      <c r="K11" s="16" t="s">
        <v>24</v>
      </c>
      <c r="L11" s="19">
        <v>3.2809152056044955E-2</v>
      </c>
      <c r="M11" s="16" t="s">
        <v>24</v>
      </c>
      <c r="N11" s="16" t="s">
        <v>24</v>
      </c>
      <c r="O11" s="19">
        <v>3.2809152056044955E-2</v>
      </c>
      <c r="P11" s="19">
        <v>0.14312178987708113</v>
      </c>
      <c r="Q11" s="20">
        <f t="shared" ref="Q11" si="5">(((Q9/Q6)^(1/1))-1)</f>
        <v>-9.6501211680076193E-2</v>
      </c>
    </row>
    <row r="12" spans="1:17" ht="17.100000000000001" customHeight="1" x14ac:dyDescent="0.3">
      <c r="A12" s="10" t="s">
        <v>27</v>
      </c>
      <c r="B12" s="11">
        <v>19356</v>
      </c>
      <c r="C12" s="11">
        <v>66657</v>
      </c>
      <c r="D12" s="11">
        <v>44100</v>
      </c>
      <c r="E12" s="11">
        <v>2124035</v>
      </c>
      <c r="F12" s="11">
        <v>5415.817</v>
      </c>
      <c r="G12" s="11">
        <v>7727.3119999999999</v>
      </c>
      <c r="H12" s="12">
        <f t="shared" si="0"/>
        <v>70.08668732413031</v>
      </c>
      <c r="I12" s="13">
        <v>0</v>
      </c>
      <c r="J12" s="13">
        <v>0</v>
      </c>
      <c r="K12" s="13">
        <v>0</v>
      </c>
      <c r="L12" s="13">
        <v>525.33699999999999</v>
      </c>
      <c r="M12" s="13">
        <v>0</v>
      </c>
      <c r="N12" s="13">
        <v>0</v>
      </c>
      <c r="O12" s="13">
        <v>525.33699999999999</v>
      </c>
      <c r="P12" s="13">
        <v>797.48800000000006</v>
      </c>
      <c r="Q12" s="12">
        <f t="shared" si="1"/>
        <v>65.873969263487339</v>
      </c>
    </row>
    <row r="13" spans="1:17" ht="17.100000000000001" customHeight="1" x14ac:dyDescent="0.3">
      <c r="A13" s="14" t="s">
        <v>23</v>
      </c>
      <c r="B13" s="17">
        <v>-7.241098385009824E-2</v>
      </c>
      <c r="C13" s="17">
        <v>-6.7088012157232854E-2</v>
      </c>
      <c r="D13" s="17">
        <v>-7.9543319905658411E-2</v>
      </c>
      <c r="E13" s="17">
        <v>-4.7638370394416492E-2</v>
      </c>
      <c r="F13" s="17">
        <v>-5.2369881491490057E-2</v>
      </c>
      <c r="G13" s="17">
        <v>-7.6943292179909861E-2</v>
      </c>
      <c r="H13" s="18">
        <f t="shared" ref="H13" si="6">(H12-H9)/H9</f>
        <v>2.662177792570598E-2</v>
      </c>
      <c r="I13" s="15" t="s">
        <v>24</v>
      </c>
      <c r="J13" s="15" t="s">
        <v>24</v>
      </c>
      <c r="K13" s="15" t="s">
        <v>24</v>
      </c>
      <c r="L13" s="17">
        <v>-5.2283973668591499E-2</v>
      </c>
      <c r="M13" s="15" t="s">
        <v>24</v>
      </c>
      <c r="N13" s="15" t="s">
        <v>24</v>
      </c>
      <c r="O13" s="17">
        <v>-5.2283973668591499E-2</v>
      </c>
      <c r="P13" s="17">
        <v>-7.5537008056569779E-2</v>
      </c>
      <c r="Q13" s="18">
        <f t="shared" ref="Q13" si="7">(Q12-Q9)/Q9</f>
        <v>2.5153018120384597E-2</v>
      </c>
    </row>
    <row r="14" spans="1:17" ht="17.100000000000001" customHeight="1" x14ac:dyDescent="0.3">
      <c r="A14" s="16" t="s">
        <v>25</v>
      </c>
      <c r="B14" s="19">
        <v>6.3579875074418757E-2</v>
      </c>
      <c r="C14" s="19">
        <v>5.4640309133063392E-2</v>
      </c>
      <c r="D14" s="19">
        <v>4.1340806708135558E-2</v>
      </c>
      <c r="E14" s="19">
        <v>1.4359260343853375E-2</v>
      </c>
      <c r="F14" s="19">
        <v>1.1262917044829734E-3</v>
      </c>
      <c r="G14" s="19">
        <v>4.0233304712152806E-2</v>
      </c>
      <c r="H14" s="20">
        <f t="shared" ref="H14" si="8">(((H12/H6)^(1/2))-1)</f>
        <v>-3.759446350209994E-2</v>
      </c>
      <c r="I14" s="16" t="s">
        <v>24</v>
      </c>
      <c r="J14" s="16" t="s">
        <v>24</v>
      </c>
      <c r="K14" s="16" t="s">
        <v>24</v>
      </c>
      <c r="L14" s="19">
        <v>-1.0651838054334672E-2</v>
      </c>
      <c r="M14" s="16" t="s">
        <v>24</v>
      </c>
      <c r="N14" s="16" t="s">
        <v>24</v>
      </c>
      <c r="O14" s="19">
        <v>-1.0651838054334672E-2</v>
      </c>
      <c r="P14" s="19">
        <v>2.7995034047098688E-2</v>
      </c>
      <c r="Q14" s="20">
        <f t="shared" ref="Q14" si="9">(((Q12/Q6)^(1/2))-1)</f>
        <v>-3.7594415168801909E-2</v>
      </c>
    </row>
    <row r="15" spans="1:17" ht="17.100000000000001" customHeight="1" x14ac:dyDescent="0.3">
      <c r="A15" s="10" t="s">
        <v>28</v>
      </c>
      <c r="B15" s="11">
        <v>17688</v>
      </c>
      <c r="C15" s="11">
        <v>61862.69</v>
      </c>
      <c r="D15" s="11">
        <v>41441</v>
      </c>
      <c r="E15" s="11">
        <v>2079857</v>
      </c>
      <c r="F15" s="11">
        <v>5318.4120000000003</v>
      </c>
      <c r="G15" s="11">
        <v>7302.9390000000003</v>
      </c>
      <c r="H15" s="12">
        <f t="shared" si="0"/>
        <v>72.825639102284711</v>
      </c>
      <c r="I15" s="13">
        <v>0</v>
      </c>
      <c r="J15" s="13">
        <v>0</v>
      </c>
      <c r="K15" s="13">
        <v>0</v>
      </c>
      <c r="L15" s="13">
        <v>515.88900000000001</v>
      </c>
      <c r="M15" s="13">
        <v>0</v>
      </c>
      <c r="N15" s="13">
        <v>0</v>
      </c>
      <c r="O15" s="13">
        <v>515.88900000000001</v>
      </c>
      <c r="P15" s="13">
        <v>759.34500000000003</v>
      </c>
      <c r="Q15" s="12">
        <f t="shared" si="1"/>
        <v>67.938683997392488</v>
      </c>
    </row>
    <row r="16" spans="1:17" ht="17.100000000000001" customHeight="1" x14ac:dyDescent="0.3">
      <c r="A16" s="14" t="s">
        <v>23</v>
      </c>
      <c r="B16" s="17">
        <v>-8.6174829510229381E-2</v>
      </c>
      <c r="C16" s="17">
        <v>-7.1925079136474751E-2</v>
      </c>
      <c r="D16" s="17">
        <v>-6.0294784580498868E-2</v>
      </c>
      <c r="E16" s="17">
        <v>-2.0799092293676893E-2</v>
      </c>
      <c r="F16" s="17">
        <v>-1.7985282737581373E-2</v>
      </c>
      <c r="G16" s="17">
        <v>-5.4918579707924256E-2</v>
      </c>
      <c r="H16" s="18">
        <f t="shared" ref="H16" si="10">(H15-H12)/H12</f>
        <v>3.9079486885826908E-2</v>
      </c>
      <c r="I16" s="15" t="s">
        <v>24</v>
      </c>
      <c r="J16" s="15" t="s">
        <v>24</v>
      </c>
      <c r="K16" s="15" t="s">
        <v>24</v>
      </c>
      <c r="L16" s="17">
        <v>-1.7984646046252176E-2</v>
      </c>
      <c r="M16" s="15" t="s">
        <v>24</v>
      </c>
      <c r="N16" s="15" t="s">
        <v>24</v>
      </c>
      <c r="O16" s="17">
        <v>-1.7984646046252176E-2</v>
      </c>
      <c r="P16" s="17">
        <v>-4.7828932849146355E-2</v>
      </c>
      <c r="Q16" s="18">
        <f t="shared" ref="Q16" si="11">(Q15-Q12)/Q12</f>
        <v>3.1343408587488589E-2</v>
      </c>
    </row>
    <row r="17" spans="1:17" ht="17.100000000000001" customHeight="1" x14ac:dyDescent="0.3">
      <c r="A17" s="16" t="s">
        <v>25</v>
      </c>
      <c r="B17" s="19">
        <v>1.1116302656089649E-2</v>
      </c>
      <c r="C17" s="19">
        <v>1.0641799878958969E-2</v>
      </c>
      <c r="D17" s="19">
        <v>6.2961333499393923E-3</v>
      </c>
      <c r="E17" s="19">
        <v>2.5017391018065105E-3</v>
      </c>
      <c r="F17" s="19">
        <v>-5.2852065166595352E-3</v>
      </c>
      <c r="G17" s="19">
        <v>7.4965739082879512E-3</v>
      </c>
      <c r="H17" s="20">
        <f t="shared" ref="H17" si="12">(((H15/H6)^(1/3))-1)</f>
        <v>-1.2686673836878826E-2</v>
      </c>
      <c r="I17" s="16" t="s">
        <v>24</v>
      </c>
      <c r="J17" s="16" t="s">
        <v>24</v>
      </c>
      <c r="K17" s="16" t="s">
        <v>24</v>
      </c>
      <c r="L17" s="19">
        <v>-1.3102171150666142E-2</v>
      </c>
      <c r="M17" s="16" t="s">
        <v>24</v>
      </c>
      <c r="N17" s="16" t="s">
        <v>24</v>
      </c>
      <c r="O17" s="19">
        <v>-1.3102171150666142E-2</v>
      </c>
      <c r="P17" s="19">
        <v>2.072178903872457E-3</v>
      </c>
      <c r="Q17" s="20">
        <f t="shared" ref="Q17" si="13">(((Q15/Q6)^(1/3))-1)</f>
        <v>-1.5142971109264103E-2</v>
      </c>
    </row>
    <row r="18" spans="1:17" ht="17.100000000000001" customHeight="1" x14ac:dyDescent="0.3">
      <c r="A18" s="10" t="s">
        <v>29</v>
      </c>
      <c r="B18" s="11">
        <v>16657</v>
      </c>
      <c r="C18" s="11">
        <v>55091</v>
      </c>
      <c r="D18" s="11">
        <v>35715</v>
      </c>
      <c r="E18" s="11">
        <v>1944351</v>
      </c>
      <c r="F18" s="11">
        <v>5050.45</v>
      </c>
      <c r="G18" s="11">
        <v>6643.0190000000002</v>
      </c>
      <c r="H18" s="12">
        <f t="shared" si="0"/>
        <v>76.026427141033309</v>
      </c>
      <c r="I18" s="13">
        <v>0</v>
      </c>
      <c r="J18" s="13">
        <v>0</v>
      </c>
      <c r="K18" s="13">
        <v>0</v>
      </c>
      <c r="L18" s="13">
        <v>489.89679170033196</v>
      </c>
      <c r="M18" s="13">
        <v>0</v>
      </c>
      <c r="N18" s="13">
        <v>0</v>
      </c>
      <c r="O18" s="13">
        <v>489.89679170033196</v>
      </c>
      <c r="P18" s="13">
        <v>688.60878273669709</v>
      </c>
      <c r="Q18" s="12">
        <f t="shared" si="1"/>
        <v>71.142977548640047</v>
      </c>
    </row>
    <row r="19" spans="1:17" ht="17.100000000000001" customHeight="1" x14ac:dyDescent="0.3">
      <c r="A19" s="14" t="s">
        <v>23</v>
      </c>
      <c r="B19" s="17">
        <v>-5.8288104929895973E-2</v>
      </c>
      <c r="C19" s="17">
        <v>-0.10946323220021635</v>
      </c>
      <c r="D19" s="17">
        <v>-0.13817234140102796</v>
      </c>
      <c r="E19" s="17">
        <v>-6.515159455674116E-2</v>
      </c>
      <c r="F19" s="17">
        <v>-5.0383836378227263E-2</v>
      </c>
      <c r="G19" s="17">
        <v>-9.0363619359274408E-2</v>
      </c>
      <c r="H19" s="18">
        <f t="shared" ref="H19" si="14">(H18-H15)/H15</f>
        <v>4.3951389623275987E-2</v>
      </c>
      <c r="I19" s="15" t="s">
        <v>24</v>
      </c>
      <c r="J19" s="15" t="s">
        <v>24</v>
      </c>
      <c r="K19" s="15" t="s">
        <v>24</v>
      </c>
      <c r="L19" s="17">
        <v>-5.0383334980331138E-2</v>
      </c>
      <c r="M19" s="15" t="s">
        <v>24</v>
      </c>
      <c r="N19" s="15" t="s">
        <v>24</v>
      </c>
      <c r="O19" s="17">
        <v>-5.0383334980331138E-2</v>
      </c>
      <c r="P19" s="17">
        <v>-9.3154254341969639E-2</v>
      </c>
      <c r="Q19" s="18">
        <f t="shared" ref="Q19" si="15">(Q18-Q15)/Q15</f>
        <v>4.7164492491060639E-2</v>
      </c>
    </row>
    <row r="20" spans="1:17" ht="17.100000000000001" customHeight="1" x14ac:dyDescent="0.3">
      <c r="A20" s="16" t="s">
        <v>25</v>
      </c>
      <c r="B20" s="19">
        <v>-6.7001986628496546E-3</v>
      </c>
      <c r="C20" s="19">
        <v>-2.0823670861924382E-2</v>
      </c>
      <c r="D20" s="19">
        <v>-3.1946276199290025E-2</v>
      </c>
      <c r="E20" s="19">
        <v>-1.4857287769826644E-2</v>
      </c>
      <c r="F20" s="19">
        <v>-1.6756787235398529E-2</v>
      </c>
      <c r="G20" s="19">
        <v>-1.7913731387630305E-2</v>
      </c>
      <c r="H20" s="20">
        <f t="shared" ref="H20" si="16">(((H18/H6)^(1/4))-1)</f>
        <v>1.178047376496183E-3</v>
      </c>
      <c r="I20" s="16" t="s">
        <v>24</v>
      </c>
      <c r="J20" s="16" t="s">
        <v>24</v>
      </c>
      <c r="K20" s="16" t="s">
        <v>24</v>
      </c>
      <c r="L20" s="19">
        <v>-2.2557480970966215E-2</v>
      </c>
      <c r="M20" s="16" t="s">
        <v>24</v>
      </c>
      <c r="N20" s="16" t="s">
        <v>24</v>
      </c>
      <c r="O20" s="19">
        <v>-2.2557480970966215E-2</v>
      </c>
      <c r="P20" s="19">
        <v>-2.2633141356342201E-2</v>
      </c>
      <c r="Q20" s="20">
        <f t="shared" ref="Q20" si="17">(((Q18/Q6)^(1/4))-1)</f>
        <v>7.7412472816007494E-5</v>
      </c>
    </row>
    <row r="21" spans="1:17" ht="17.100000000000001" customHeight="1" x14ac:dyDescent="0.3">
      <c r="A21" s="10" t="s">
        <v>30</v>
      </c>
      <c r="B21" s="11">
        <v>18351</v>
      </c>
      <c r="C21" s="11">
        <v>62969</v>
      </c>
      <c r="D21" s="11">
        <v>41546.472000000002</v>
      </c>
      <c r="E21" s="11">
        <v>2313553</v>
      </c>
      <c r="F21" s="11">
        <v>6104.0542660000001</v>
      </c>
      <c r="G21" s="11">
        <v>7727.6587679999993</v>
      </c>
      <c r="H21" s="12">
        <f t="shared" si="0"/>
        <v>78.989697258330082</v>
      </c>
      <c r="I21" s="13">
        <v>0</v>
      </c>
      <c r="J21" s="13">
        <v>0</v>
      </c>
      <c r="K21" s="13">
        <v>0</v>
      </c>
      <c r="L21" s="13">
        <v>592.09699046139201</v>
      </c>
      <c r="M21" s="13">
        <v>0</v>
      </c>
      <c r="N21" s="13">
        <v>0</v>
      </c>
      <c r="O21" s="13">
        <v>592.09699046139201</v>
      </c>
      <c r="P21" s="13">
        <v>802.65461942018783</v>
      </c>
      <c r="Q21" s="12">
        <f t="shared" si="1"/>
        <v>73.767343529288354</v>
      </c>
    </row>
    <row r="22" spans="1:17" ht="17.100000000000001" customHeight="1" x14ac:dyDescent="0.3">
      <c r="A22" s="14" t="s">
        <v>23</v>
      </c>
      <c r="B22" s="17">
        <v>0.1016989854115387</v>
      </c>
      <c r="C22" s="17">
        <v>0.14299976402679204</v>
      </c>
      <c r="D22" s="17">
        <v>0.16327795044099122</v>
      </c>
      <c r="E22" s="17">
        <v>0.18988443958935397</v>
      </c>
      <c r="F22" s="17">
        <v>0.2086159185815126</v>
      </c>
      <c r="G22" s="17">
        <v>0.16327512656519561</v>
      </c>
      <c r="H22" s="18">
        <f t="shared" ref="H22" si="18">(H21-H18)/H18</f>
        <v>3.8976843036431785E-2</v>
      </c>
      <c r="I22" s="15" t="s">
        <v>24</v>
      </c>
      <c r="J22" s="15" t="s">
        <v>24</v>
      </c>
      <c r="K22" s="15" t="s">
        <v>24</v>
      </c>
      <c r="L22" s="17">
        <v>0.20861577477644624</v>
      </c>
      <c r="M22" s="15" t="s">
        <v>24</v>
      </c>
      <c r="N22" s="15" t="s">
        <v>24</v>
      </c>
      <c r="O22" s="17">
        <v>0.20861577477644624</v>
      </c>
      <c r="P22" s="17">
        <v>0.16561774921058242</v>
      </c>
      <c r="Q22" s="18">
        <f t="shared" ref="Q22" si="19">(Q21-Q18)/Q18</f>
        <v>3.6888616010681344E-2</v>
      </c>
    </row>
    <row r="23" spans="1:17" ht="17.100000000000001" customHeight="1" x14ac:dyDescent="0.3">
      <c r="A23" s="16" t="s">
        <v>25</v>
      </c>
      <c r="B23" s="19">
        <v>1.4090860809652161E-2</v>
      </c>
      <c r="C23" s="19">
        <v>9.9455340540246517E-3</v>
      </c>
      <c r="D23" s="19">
        <v>4.2833605841976485E-3</v>
      </c>
      <c r="E23" s="19">
        <v>2.3058048058838265E-2</v>
      </c>
      <c r="F23" s="19">
        <v>2.4675677932277207E-2</v>
      </c>
      <c r="G23" s="19">
        <v>1.5912255473891967E-2</v>
      </c>
      <c r="H23" s="20">
        <f t="shared" ref="H23" si="20">(((H21/H6)^(1/5))-1)</f>
        <v>8.6261607842277321E-3</v>
      </c>
      <c r="I23" s="16" t="s">
        <v>24</v>
      </c>
      <c r="J23" s="16" t="s">
        <v>24</v>
      </c>
      <c r="K23" s="16" t="s">
        <v>24</v>
      </c>
      <c r="L23" s="19">
        <v>1.9836692475952322E-2</v>
      </c>
      <c r="M23" s="16" t="s">
        <v>24</v>
      </c>
      <c r="N23" s="16" t="s">
        <v>24</v>
      </c>
      <c r="O23" s="19">
        <v>1.9836692475952322E-2</v>
      </c>
      <c r="P23" s="19">
        <v>1.2412077053915782E-2</v>
      </c>
      <c r="Q23" s="20">
        <f t="shared" ref="Q23" si="21">(((Q21/Q6)^(1/5))-1)</f>
        <v>7.333590333732376E-3</v>
      </c>
    </row>
    <row r="24" spans="1:17" ht="17.100000000000001" customHeight="1" x14ac:dyDescent="0.3">
      <c r="A24" s="10" t="s">
        <v>31</v>
      </c>
      <c r="B24" s="11">
        <v>18307</v>
      </c>
      <c r="C24" s="11">
        <v>64931</v>
      </c>
      <c r="D24" s="11">
        <v>43033</v>
      </c>
      <c r="E24" s="11">
        <v>2392160</v>
      </c>
      <c r="F24" s="11">
        <v>6525.4009999999998</v>
      </c>
      <c r="G24" s="11">
        <v>8005.9049999999997</v>
      </c>
      <c r="H24" s="12">
        <f t="shared" si="0"/>
        <v>81.507349887364384</v>
      </c>
      <c r="I24" s="13">
        <v>0</v>
      </c>
      <c r="J24" s="13">
        <v>0</v>
      </c>
      <c r="K24" s="13">
        <v>0</v>
      </c>
      <c r="L24" s="13">
        <v>515.32898999999998</v>
      </c>
      <c r="M24" s="13">
        <v>11.435270000000001</v>
      </c>
      <c r="N24" s="21">
        <v>2.4619999999999996E-2</v>
      </c>
      <c r="O24" s="13">
        <v>526.78888000000018</v>
      </c>
      <c r="P24" s="13">
        <v>635.13477999999998</v>
      </c>
      <c r="Q24" s="12">
        <f t="shared" si="1"/>
        <v>82.941274291418935</v>
      </c>
    </row>
    <row r="25" spans="1:17" ht="17.100000000000001" customHeight="1" x14ac:dyDescent="0.3">
      <c r="A25" s="14" t="s">
        <v>23</v>
      </c>
      <c r="B25" s="17">
        <v>-2.3976894992098524E-3</v>
      </c>
      <c r="C25" s="17">
        <v>3.1158188950118314E-2</v>
      </c>
      <c r="D25" s="17">
        <v>3.5779885233095082E-2</v>
      </c>
      <c r="E25" s="17">
        <v>3.3976744859529909E-2</v>
      </c>
      <c r="F25" s="17">
        <v>6.9027357169304651E-2</v>
      </c>
      <c r="G25" s="17">
        <v>3.6006537083677868E-2</v>
      </c>
      <c r="H25" s="18">
        <f t="shared" ref="H25" si="22">(H24-H21)/H21</f>
        <v>3.1873177343628774E-2</v>
      </c>
      <c r="I25" s="15" t="s">
        <v>24</v>
      </c>
      <c r="J25" s="15" t="s">
        <v>24</v>
      </c>
      <c r="K25" s="15" t="s">
        <v>24</v>
      </c>
      <c r="L25" s="17">
        <v>-0.12965443448981309</v>
      </c>
      <c r="M25" s="15" t="s">
        <v>24</v>
      </c>
      <c r="N25" s="15" t="s">
        <v>24</v>
      </c>
      <c r="O25" s="17">
        <v>-0.11029968318281848</v>
      </c>
      <c r="P25" s="17">
        <v>-0.20870725137195231</v>
      </c>
      <c r="Q25" s="18">
        <f t="shared" ref="Q25" si="23">(Q24-Q21)/Q21</f>
        <v>0.12436303550077268</v>
      </c>
    </row>
    <row r="26" spans="1:17" ht="17.100000000000001" customHeight="1" x14ac:dyDescent="0.3">
      <c r="A26" s="16" t="s">
        <v>25</v>
      </c>
      <c r="B26" s="19">
        <v>1.1323964261628516E-2</v>
      </c>
      <c r="C26" s="19">
        <v>1.3450427202205129E-2</v>
      </c>
      <c r="D26" s="19">
        <v>9.4654703374523752E-3</v>
      </c>
      <c r="E26" s="19">
        <v>2.4869790815201576E-2</v>
      </c>
      <c r="F26" s="19">
        <v>3.1937733486577358E-2</v>
      </c>
      <c r="G26" s="19">
        <v>1.9234030339726926E-2</v>
      </c>
      <c r="H26" s="20">
        <f t="shared" ref="H26" si="24">(((H24/H6)^(1/6))-1)</f>
        <v>1.2463970755191456E-2</v>
      </c>
      <c r="I26" s="16" t="s">
        <v>24</v>
      </c>
      <c r="J26" s="16" t="s">
        <v>24</v>
      </c>
      <c r="K26" s="16" t="s">
        <v>24</v>
      </c>
      <c r="L26" s="19">
        <v>-6.7524985877170929E-3</v>
      </c>
      <c r="M26" s="16" t="s">
        <v>24</v>
      </c>
      <c r="N26" s="16" t="s">
        <v>24</v>
      </c>
      <c r="O26" s="19">
        <v>-3.1048450227771918E-3</v>
      </c>
      <c r="P26" s="19">
        <v>-2.8325895736675766E-2</v>
      </c>
      <c r="Q26" s="20">
        <f t="shared" ref="Q26" si="25">(((Q24/Q6)^(1/6))-1)</f>
        <v>2.5956285757990916E-2</v>
      </c>
    </row>
    <row r="27" spans="1:17" ht="17.100000000000001" customHeight="1" x14ac:dyDescent="0.3">
      <c r="A27" s="10" t="s">
        <v>32</v>
      </c>
      <c r="B27" s="11">
        <v>19167</v>
      </c>
      <c r="C27" s="11">
        <v>69039.75</v>
      </c>
      <c r="D27" s="11">
        <v>46353</v>
      </c>
      <c r="E27" s="11">
        <v>2634791</v>
      </c>
      <c r="F27" s="11">
        <v>7106.5690000000004</v>
      </c>
      <c r="G27" s="11">
        <v>8621.16</v>
      </c>
      <c r="H27" s="12">
        <f t="shared" si="0"/>
        <v>82.431702926288352</v>
      </c>
      <c r="I27" s="13">
        <v>3793.7699999999995</v>
      </c>
      <c r="J27" s="13">
        <v>2.2960000000000003</v>
      </c>
      <c r="K27" s="13">
        <v>3796.0659999999993</v>
      </c>
      <c r="L27" s="13">
        <v>649.40377999999998</v>
      </c>
      <c r="M27" s="13">
        <v>13.848400000000002</v>
      </c>
      <c r="N27" s="21">
        <v>2.462E-2</v>
      </c>
      <c r="O27" s="13">
        <v>663.27679999999998</v>
      </c>
      <c r="P27" s="13">
        <v>803.52521000000002</v>
      </c>
      <c r="Q27" s="12">
        <f t="shared" si="1"/>
        <v>82.545860633296115</v>
      </c>
    </row>
    <row r="28" spans="1:17" ht="17.100000000000001" customHeight="1" x14ac:dyDescent="0.3">
      <c r="A28" s="14" t="s">
        <v>23</v>
      </c>
      <c r="B28" s="17">
        <v>4.6976566340743979E-2</v>
      </c>
      <c r="C28" s="17">
        <v>6.3278711247324079E-2</v>
      </c>
      <c r="D28" s="17">
        <v>7.7150094113819623E-2</v>
      </c>
      <c r="E28" s="17">
        <v>0.10142758009497692</v>
      </c>
      <c r="F28" s="17">
        <v>8.9062419305725518E-2</v>
      </c>
      <c r="G28" s="17">
        <v>7.6850149983043778E-2</v>
      </c>
      <c r="H28" s="18">
        <f t="shared" ref="H28" si="26">(H27-H24)/H24</f>
        <v>1.1340732341332878E-2</v>
      </c>
      <c r="I28" s="15" t="s">
        <v>24</v>
      </c>
      <c r="J28" s="15" t="s">
        <v>24</v>
      </c>
      <c r="K28" s="15" t="s">
        <v>24</v>
      </c>
      <c r="L28" s="17">
        <v>0.26017319537951866</v>
      </c>
      <c r="M28" s="17">
        <v>0.21102518786176455</v>
      </c>
      <c r="N28" s="17">
        <v>1.4091985994937508E-16</v>
      </c>
      <c r="O28" s="17">
        <v>0.25909415551824055</v>
      </c>
      <c r="P28" s="17">
        <v>0.26512550611698521</v>
      </c>
      <c r="Q28" s="18">
        <f t="shared" ref="Q28" si="27">(Q27-Q24)/Q24</f>
        <v>-4.7673930922921583E-3</v>
      </c>
    </row>
    <row r="29" spans="1:17" ht="17.100000000000001" customHeight="1" x14ac:dyDescent="0.3">
      <c r="A29" s="16" t="s">
        <v>25</v>
      </c>
      <c r="B29" s="19">
        <v>1.6341879770339851E-2</v>
      </c>
      <c r="C29" s="19">
        <v>2.0423170119052481E-2</v>
      </c>
      <c r="D29" s="19">
        <v>1.8867857768934959E-2</v>
      </c>
      <c r="E29" s="19">
        <v>3.5471857344665292E-2</v>
      </c>
      <c r="F29" s="19">
        <v>3.9911179630564009E-2</v>
      </c>
      <c r="G29" s="19">
        <v>2.7272206124704823E-2</v>
      </c>
      <c r="H29" s="20">
        <f t="shared" ref="H29" si="28">(((H27/H6)^(1/7))-1)</f>
        <v>1.2303431778358576E-2</v>
      </c>
      <c r="I29" s="16" t="s">
        <v>24</v>
      </c>
      <c r="J29" s="16" t="s">
        <v>24</v>
      </c>
      <c r="K29" s="16" t="s">
        <v>24</v>
      </c>
      <c r="L29" s="19">
        <v>2.7602182219843119E-2</v>
      </c>
      <c r="M29" s="16" t="s">
        <v>24</v>
      </c>
      <c r="N29" s="16" t="s">
        <v>24</v>
      </c>
      <c r="O29" s="19">
        <v>3.0709895720351987E-2</v>
      </c>
      <c r="P29" s="19">
        <v>9.0063791272039229E-3</v>
      </c>
      <c r="Q29" s="20">
        <f t="shared" ref="Q29" si="29">(((Q27/Q6)^(1/7))-1)</f>
        <v>2.1509791258130129E-2</v>
      </c>
    </row>
    <row r="30" spans="1:17" ht="17.100000000000001" customHeight="1" x14ac:dyDescent="0.3">
      <c r="A30" s="10" t="s">
        <v>33</v>
      </c>
      <c r="B30" s="11">
        <v>23958</v>
      </c>
      <c r="C30" s="11">
        <v>92216</v>
      </c>
      <c r="D30" s="11">
        <v>61671.490000000005</v>
      </c>
      <c r="E30" s="11">
        <v>3309882</v>
      </c>
      <c r="F30" s="11">
        <v>8725.2091900000014</v>
      </c>
      <c r="G30" s="11">
        <v>11470.829589999999</v>
      </c>
      <c r="H30" s="12">
        <f t="shared" si="0"/>
        <v>76.064325788663396</v>
      </c>
      <c r="I30" s="13">
        <v>9988.67</v>
      </c>
      <c r="J30" s="13">
        <v>9.625</v>
      </c>
      <c r="K30" s="13">
        <v>9998.2949999999983</v>
      </c>
      <c r="L30" s="13">
        <v>804.18450199000006</v>
      </c>
      <c r="M30" s="13">
        <v>26.825370000000003</v>
      </c>
      <c r="N30" s="21">
        <v>2.2540000000000001E-2</v>
      </c>
      <c r="O30" s="13">
        <v>831.0324119899999</v>
      </c>
      <c r="P30" s="13">
        <v>1070.15211045</v>
      </c>
      <c r="Q30" s="12">
        <f t="shared" si="1"/>
        <v>77.655541102521397</v>
      </c>
    </row>
    <row r="31" spans="1:17" ht="17.100000000000001" customHeight="1" x14ac:dyDescent="0.3">
      <c r="A31" s="14" t="s">
        <v>23</v>
      </c>
      <c r="B31" s="17">
        <v>0.24996087024573485</v>
      </c>
      <c r="C31" s="17">
        <v>0.33569429205638779</v>
      </c>
      <c r="D31" s="17">
        <v>0.33047461868703226</v>
      </c>
      <c r="E31" s="17">
        <v>0.25622184074562271</v>
      </c>
      <c r="F31" s="17">
        <v>0.22776675917731903</v>
      </c>
      <c r="G31" s="17">
        <v>0.33054363797911179</v>
      </c>
      <c r="H31" s="18">
        <f t="shared" ref="H31" si="30">(H30-H27)/H27</f>
        <v>-7.7244275097880233E-2</v>
      </c>
      <c r="I31" s="17">
        <v>1.6329139615738437</v>
      </c>
      <c r="J31" s="17">
        <v>3.1920731707317067</v>
      </c>
      <c r="K31" s="17">
        <v>1.6338569982713684</v>
      </c>
      <c r="L31" s="17">
        <v>0.23834281036984428</v>
      </c>
      <c r="M31" s="17">
        <v>0.93707359694982817</v>
      </c>
      <c r="N31" s="17">
        <v>-8.4484159220146168E-2</v>
      </c>
      <c r="O31" s="17">
        <v>0.25291946286980027</v>
      </c>
      <c r="P31" s="17">
        <v>0.33182145019445003</v>
      </c>
      <c r="Q31" s="18">
        <f t="shared" ref="Q31" si="31">(Q30-Q27)/Q27</f>
        <v>-5.9243667620107583E-2</v>
      </c>
    </row>
    <row r="32" spans="1:17" ht="17.100000000000001" customHeight="1" x14ac:dyDescent="0.3">
      <c r="A32" s="16" t="s">
        <v>25</v>
      </c>
      <c r="B32" s="19">
        <v>4.2970191174407368E-2</v>
      </c>
      <c r="C32" s="19">
        <v>5.5349129255576557E-2</v>
      </c>
      <c r="D32" s="19">
        <v>5.3425806327267011E-2</v>
      </c>
      <c r="E32" s="19">
        <v>6.0789726088656071E-2</v>
      </c>
      <c r="F32" s="19">
        <v>6.1722937877575212E-2</v>
      </c>
      <c r="G32" s="19">
        <v>6.1032009695877187E-2</v>
      </c>
      <c r="H32" s="20">
        <f t="shared" ref="H32" si="32">(((H30/H6)^(1/8))-1)</f>
        <v>6.5118504944616795E-4</v>
      </c>
      <c r="I32" s="16" t="s">
        <v>24</v>
      </c>
      <c r="J32" s="16" t="s">
        <v>24</v>
      </c>
      <c r="K32" s="16" t="s">
        <v>24</v>
      </c>
      <c r="L32" s="19">
        <v>5.1845616787673077E-2</v>
      </c>
      <c r="M32" s="16" t="s">
        <v>24</v>
      </c>
      <c r="N32" s="16" t="s">
        <v>24</v>
      </c>
      <c r="O32" s="19">
        <v>5.6172327391125876E-2</v>
      </c>
      <c r="P32" s="19">
        <v>4.4631033649651597E-2</v>
      </c>
      <c r="Q32" s="20">
        <f t="shared" ref="Q32" si="33">(((Q30/Q6)^(1/8))-1)</f>
        <v>1.1048201106138134E-2</v>
      </c>
    </row>
    <row r="33" spans="1:17" ht="17.100000000000001" customHeight="1" x14ac:dyDescent="0.3">
      <c r="A33" s="10" t="s">
        <v>34</v>
      </c>
      <c r="B33" s="11">
        <v>26610</v>
      </c>
      <c r="C33" s="11">
        <v>102793.3</v>
      </c>
      <c r="D33" s="11">
        <v>69679.31</v>
      </c>
      <c r="E33" s="11">
        <v>3758856</v>
      </c>
      <c r="F33" s="11">
        <v>9911.4933829999991</v>
      </c>
      <c r="G33" s="11">
        <v>12960.353590000002</v>
      </c>
      <c r="H33" s="12">
        <f t="shared" si="0"/>
        <v>76.475485905319331</v>
      </c>
      <c r="I33" s="13">
        <v>13988.957999999999</v>
      </c>
      <c r="J33" s="13">
        <v>8.4489999999999998</v>
      </c>
      <c r="K33" s="13">
        <v>13997.407000000001</v>
      </c>
      <c r="L33" s="13">
        <v>947.22081999999978</v>
      </c>
      <c r="M33" s="13">
        <v>38.218789999999998</v>
      </c>
      <c r="N33" s="21">
        <v>2.0570000000000001E-2</v>
      </c>
      <c r="O33" s="13">
        <v>985.46018000000004</v>
      </c>
      <c r="P33" s="13">
        <v>1251.0795600000001</v>
      </c>
      <c r="Q33" s="12">
        <f t="shared" si="1"/>
        <v>78.768785895598839</v>
      </c>
    </row>
    <row r="34" spans="1:17" ht="17.100000000000001" customHeight="1" x14ac:dyDescent="0.3">
      <c r="A34" s="14" t="s">
        <v>23</v>
      </c>
      <c r="B34" s="17">
        <v>0.11069371399949912</v>
      </c>
      <c r="C34" s="17">
        <v>0.11470135334432206</v>
      </c>
      <c r="D34" s="17">
        <v>0.12984638444765956</v>
      </c>
      <c r="E34" s="17">
        <v>0.13564652758013729</v>
      </c>
      <c r="F34" s="17">
        <v>0.13596054457463358</v>
      </c>
      <c r="G34" s="17">
        <v>0.12985320619692017</v>
      </c>
      <c r="H34" s="18">
        <f t="shared" ref="H34" si="34">(H33-H30)/H30</f>
        <v>5.4054264255006977E-3</v>
      </c>
      <c r="I34" s="17">
        <v>0.40048254672543976</v>
      </c>
      <c r="J34" s="17">
        <v>-0.1221818181818182</v>
      </c>
      <c r="K34" s="17">
        <v>0.3999793964871014</v>
      </c>
      <c r="L34" s="17">
        <v>0.17786505168409519</v>
      </c>
      <c r="M34" s="17">
        <v>0.42472554898590381</v>
      </c>
      <c r="N34" s="17">
        <v>-8.7400177462289244E-2</v>
      </c>
      <c r="O34" s="17">
        <v>0.18582640794984831</v>
      </c>
      <c r="P34" s="17">
        <v>0.16906703989390812</v>
      </c>
      <c r="Q34" s="18">
        <f t="shared" ref="Q34" si="35">(Q33-Q30)/Q30</f>
        <v>1.4335677496699535E-2</v>
      </c>
    </row>
    <row r="35" spans="1:17" ht="17.100000000000001" customHeight="1" x14ac:dyDescent="0.3">
      <c r="A35" s="16" t="s">
        <v>25</v>
      </c>
      <c r="B35" s="19">
        <v>5.0286347894932026E-2</v>
      </c>
      <c r="C35" s="19">
        <v>6.1784594230914092E-2</v>
      </c>
      <c r="D35" s="19">
        <v>6.1655092730784622E-2</v>
      </c>
      <c r="E35" s="19">
        <v>6.8857318326438932E-2</v>
      </c>
      <c r="F35" s="19">
        <v>6.972596824930144E-2</v>
      </c>
      <c r="G35" s="19">
        <v>6.8466970160322216E-2</v>
      </c>
      <c r="H35" s="20">
        <f t="shared" ref="H35" si="36">(((H33/H6)^(1/9))-1)</f>
        <v>1.1783219548566759E-3</v>
      </c>
      <c r="I35" s="16" t="s">
        <v>24</v>
      </c>
      <c r="J35" s="16" t="s">
        <v>24</v>
      </c>
      <c r="K35" s="16" t="s">
        <v>24</v>
      </c>
      <c r="L35" s="19">
        <v>6.5153979436656018E-2</v>
      </c>
      <c r="M35" s="16" t="s">
        <v>24</v>
      </c>
      <c r="N35" s="16" t="s">
        <v>24</v>
      </c>
      <c r="O35" s="19">
        <v>6.9848186358700382E-2</v>
      </c>
      <c r="P35" s="19">
        <v>5.7775844102450291E-2</v>
      </c>
      <c r="Q35" s="20">
        <f t="shared" ref="Q35" si="37">(((Q33/Q6)^(1/9))-1)</f>
        <v>1.1412949467090261E-2</v>
      </c>
    </row>
    <row r="36" spans="1:17" ht="17.100000000000001" customHeight="1" x14ac:dyDescent="0.3">
      <c r="A36" s="22" t="s">
        <v>35</v>
      </c>
      <c r="B36" s="11">
        <v>27759</v>
      </c>
      <c r="C36" s="11">
        <v>110513.03</v>
      </c>
      <c r="D36" s="11">
        <v>73950.574999999997</v>
      </c>
      <c r="E36" s="11">
        <v>4148427</v>
      </c>
      <c r="F36" s="11">
        <v>11026.258781</v>
      </c>
      <c r="G36" s="11">
        <v>13754.803464000002</v>
      </c>
      <c r="H36" s="12">
        <f t="shared" si="0"/>
        <v>80.162968593907337</v>
      </c>
      <c r="I36" s="13">
        <v>16193.879999999997</v>
      </c>
      <c r="J36" s="13">
        <v>11.837</v>
      </c>
      <c r="K36" s="13">
        <f>I36+J36</f>
        <v>16205.716999999997</v>
      </c>
      <c r="L36" s="13">
        <v>965.83051083700002</v>
      </c>
      <c r="M36" s="13">
        <v>44.302828012999996</v>
      </c>
      <c r="N36" s="21">
        <v>2.0812008900000002E-2</v>
      </c>
      <c r="O36" s="13">
        <v>1010.1585201890001</v>
      </c>
      <c r="P36" s="13">
        <v>1260.0275541240001</v>
      </c>
      <c r="Q36" s="12">
        <f t="shared" si="1"/>
        <v>80.16955794996764</v>
      </c>
    </row>
    <row r="37" spans="1:17" ht="17.100000000000001" customHeight="1" x14ac:dyDescent="0.3">
      <c r="A37" s="14" t="s">
        <v>23</v>
      </c>
      <c r="B37" s="17">
        <v>4.3179255918827507E-2</v>
      </c>
      <c r="C37" s="17">
        <v>7.5099544425560771E-2</v>
      </c>
      <c r="D37" s="17">
        <v>6.1298899199776803E-2</v>
      </c>
      <c r="E37" s="17">
        <v>0.10364084178803339</v>
      </c>
      <c r="F37" s="17">
        <v>0.11247199134613008</v>
      </c>
      <c r="G37" s="17">
        <v>6.1298472181575699E-2</v>
      </c>
      <c r="H37" s="18">
        <f t="shared" ref="H37" si="38">(H36-H33)/H33</f>
        <v>4.8217839284516645E-2</v>
      </c>
      <c r="I37" s="17">
        <v>0.15761874472709109</v>
      </c>
      <c r="J37" s="17">
        <v>0.40099420049710022</v>
      </c>
      <c r="K37" s="17">
        <v>0.158</v>
      </c>
      <c r="L37" s="17">
        <v>1.9646623515940292E-2</v>
      </c>
      <c r="M37" s="17">
        <v>0.1591897078112624</v>
      </c>
      <c r="N37" s="17">
        <v>1.18E-2</v>
      </c>
      <c r="O37" s="17">
        <v>2.5062748034121559E-2</v>
      </c>
      <c r="P37" s="17">
        <v>7.1522183001694415E-3</v>
      </c>
      <c r="Q37" s="18">
        <f t="shared" ref="Q37" si="39">(Q36-Q33)/Q33</f>
        <v>1.7783339408397155E-2</v>
      </c>
    </row>
    <row r="38" spans="1:17" ht="17.100000000000001" customHeight="1" x14ac:dyDescent="0.3">
      <c r="A38" s="16" t="s">
        <v>25</v>
      </c>
      <c r="B38" s="19">
        <v>4.9573465220255075E-2</v>
      </c>
      <c r="C38" s="19">
        <v>6.310863466474137E-2</v>
      </c>
      <c r="D38" s="19">
        <v>6.1619467998784483E-2</v>
      </c>
      <c r="E38" s="19">
        <v>7.2285758593269467E-2</v>
      </c>
      <c r="F38" s="19">
        <v>7.3925595713334902E-2</v>
      </c>
      <c r="G38" s="19">
        <v>6.7747946869709752E-2</v>
      </c>
      <c r="H38" s="20">
        <f t="shared" ref="H38" si="40">(((H36/H6)^(1/10))-1)</f>
        <v>5.7856808451246522E-3</v>
      </c>
      <c r="I38" s="16" t="s">
        <v>24</v>
      </c>
      <c r="J38" s="16" t="s">
        <v>24</v>
      </c>
      <c r="K38" s="16" t="s">
        <v>24</v>
      </c>
      <c r="L38" s="19">
        <v>6.0513309632148404E-2</v>
      </c>
      <c r="M38" s="16" t="s">
        <v>24</v>
      </c>
      <c r="N38" s="16" t="s">
        <v>24</v>
      </c>
      <c r="O38" s="19">
        <v>6.5282970299277432E-2</v>
      </c>
      <c r="P38" s="19">
        <v>5.2601033002692255E-2</v>
      </c>
      <c r="Q38" s="20">
        <f t="shared" ref="Q38" si="41">(((Q36/Q6)^(1/10))-1)</f>
        <v>1.2048190053935537E-2</v>
      </c>
    </row>
    <row r="39" spans="1:17" x14ac:dyDescent="0.3">
      <c r="A39" s="23" t="s">
        <v>36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</row>
    <row r="40" spans="1:17" ht="29.25" customHeight="1" x14ac:dyDescent="0.3">
      <c r="A40" s="25" t="s">
        <v>37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</row>
    <row r="42" spans="1:17" x14ac:dyDescent="0.3">
      <c r="J42" s="27"/>
      <c r="K42" s="27"/>
      <c r="L42" s="27"/>
    </row>
  </sheetData>
  <mergeCells count="14">
    <mergeCell ref="P4:P5"/>
    <mergeCell ref="Q4:Q5"/>
    <mergeCell ref="A39:Q39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2020-06-05T08:00:46Z</dcterms:created>
  <dcterms:modified xsi:type="dcterms:W3CDTF">2020-06-05T08:01:19Z</dcterms:modified>
</cp:coreProperties>
</file>