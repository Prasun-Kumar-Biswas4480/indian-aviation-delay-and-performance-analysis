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AIRLINE WISE\"/>
    </mc:Choice>
  </mc:AlternateContent>
  <bookViews>
    <workbookView xWindow="-120" yWindow="-120" windowWidth="20736" windowHeight="11160"/>
  </bookViews>
  <sheets>
    <sheet name="inter indian" sheetId="1" r:id="rId1"/>
  </sheets>
  <definedNames>
    <definedName name="_xlnm.Print_Area" localSheetId="0">'inter indian'!$A$1:$Q$13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12" i="1" l="1"/>
  <c r="K12" i="1" l="1"/>
  <c r="K7" i="1"/>
  <c r="Q12" i="1" l="1"/>
  <c r="Q11" i="1"/>
  <c r="Q10" i="1"/>
  <c r="Q9" i="1"/>
  <c r="Q8" i="1"/>
  <c r="Q7" i="1"/>
  <c r="Q6" i="1"/>
  <c r="H7" i="1"/>
  <c r="H8" i="1"/>
  <c r="H9" i="1"/>
  <c r="H10" i="1"/>
  <c r="H11" i="1"/>
  <c r="H12" i="1"/>
  <c r="H6" i="1"/>
</calcChain>
</file>

<file path=xl/sharedStrings.xml><?xml version="1.0" encoding="utf-8"?>
<sst xmlns="http://schemas.openxmlformats.org/spreadsheetml/2006/main" count="32" uniqueCount="30">
  <si>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</si>
  <si>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</si>
  <si>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</si>
  <si>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</si>
  <si>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</si>
  <si>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</si>
  <si>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</si>
  <si>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</si>
  <si>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</si>
  <si>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</si>
  <si>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</si>
  <si>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</si>
  <si>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</si>
  <si>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</si>
  <si>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</si>
  <si>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</si>
  <si>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</si>
  <si>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</si>
  <si>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INDIAN AIRLINES</t>
  </si>
  <si>
    <t>AIRLINE</t>
  </si>
  <si>
    <t>AIR INDIA</t>
  </si>
  <si>
    <t>AIR INDIA EXPRESS</t>
  </si>
  <si>
    <t>GO AIR</t>
  </si>
  <si>
    <t>INDIGO</t>
  </si>
  <si>
    <t>JET AIRWAYS</t>
  </si>
  <si>
    <t>SPICEJET</t>
  </si>
  <si>
    <t>YEAR TOTAL</t>
  </si>
  <si>
    <t>Table 1.02 ( SCHEDULED INDIAN AIRLINES)</t>
  </si>
  <si>
    <t xml:space="preserve">तालिका  1.02 ( अनुसूचित भारतीय एयरलाइन्स) </t>
  </si>
  <si>
    <t>AIRLINE-WISE TRAFFIC AND OPERATING STATISTICS OF SCHEDULED INDIAN AIRLINES ON SCHEDULED INTERNATIONAL SERVICES DURING 2018-19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</si>
</sst>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3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</cellStyleXfs>
  <cellXfs count="31">
    <xf numFmtId="0" fontId="0" fillId="0" borderId="0" xfId="0"/>
    <xf numFmtId="0" fontId="0" fillId="0" borderId="0" xfId="0" applyFont="1"/>
    <xf numFmtId="0" fontId="0" fillId="0" borderId="1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right" vertical="center"/>
    </xf>
    <xf numFmtId="0" fontId="3" fillId="3" borderId="1" xfId="2" applyBorder="1" applyAlignment="1" applyProtection="1">
      <alignment horizontal="center" vertical="center" textRotation="90" wrapText="1"/>
    </xf>
    <xf numFmtId="0" fontId="2" fillId="5" borderId="1" xfId="4" applyBorder="1" applyAlignment="1">
      <alignment horizontal="center" vertical="center"/>
    </xf>
    <xf numFmtId="165" fontId="2" fillId="5" borderId="1" xfId="4" applyNumberFormat="1" applyBorder="1" applyAlignment="1">
      <alignment horizontal="right" vertical="center"/>
    </xf>
    <xf numFmtId="164" fontId="2" fillId="5" borderId="1" xfId="4" applyNumberFormat="1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164" fontId="4" fillId="5" borderId="1" xfId="4" applyNumberFormat="1" applyFont="1" applyBorder="1" applyAlignment="1">
      <alignment horizontal="center" vertical="center"/>
    </xf>
    <xf numFmtId="164" fontId="4" fillId="5" borderId="1" xfId="4" applyNumberFormat="1" applyFont="1" applyBorder="1" applyAlignment="1">
      <alignment vertical="center"/>
    </xf>
    <xf numFmtId="165" fontId="4" fillId="5" borderId="1" xfId="4" applyNumberFormat="1" applyFont="1" applyBorder="1" applyAlignment="1">
      <alignment horizontal="right" vertical="center"/>
    </xf>
    <xf numFmtId="166" fontId="2" fillId="4" borderId="1" xfId="3" applyNumberFormat="1" applyBorder="1" applyAlignment="1">
      <alignment horizontal="center" vertical="center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3" fillId="3" borderId="5" xfId="2" applyBorder="1" applyAlignment="1" applyProtection="1">
      <alignment horizontal="center" vertical="center" textRotation="90" wrapText="1"/>
    </xf>
    <xf numFmtId="0" fontId="3" fillId="3" borderId="6" xfId="2" applyBorder="1" applyAlignment="1">
      <alignment textRotation="90"/>
    </xf>
    <xf numFmtId="0" fontId="0" fillId="5" borderId="2" xfId="4" applyFont="1" applyBorder="1" applyAlignment="1">
      <alignment horizontal="center" vertical="center" wrapText="1"/>
    </xf>
    <xf numFmtId="0" fontId="2" fillId="5" borderId="3" xfId="4" applyBorder="1" applyAlignment="1">
      <alignment horizontal="center" vertical="center" wrapText="1"/>
    </xf>
    <xf numFmtId="0" fontId="2" fillId="5" borderId="4" xfId="4" applyBorder="1" applyAlignment="1">
      <alignment horizontal="center" vertical="center" wrapText="1"/>
    </xf>
    <xf numFmtId="0" fontId="0" fillId="5" borderId="2" xfId="4" quotePrefix="1" applyFont="1" applyBorder="1" applyAlignment="1" applyProtection="1">
      <alignment horizontal="center" vertical="center" wrapText="1"/>
    </xf>
    <xf numFmtId="0" fontId="2" fillId="5" borderId="3" xfId="4" applyBorder="1"/>
    <xf numFmtId="0" fontId="2" fillId="5" borderId="4" xfId="4" applyBorder="1"/>
    <xf numFmtId="0" fontId="3" fillId="3" borderId="2" xfId="2" applyBorder="1" applyAlignment="1" applyProtection="1">
      <alignment horizontal="center" vertical="center" wrapText="1"/>
    </xf>
    <xf numFmtId="0" fontId="3" fillId="3" borderId="3" xfId="2" applyBorder="1"/>
    <xf numFmtId="0" fontId="3" fillId="3" borderId="4" xfId="2" applyBorder="1"/>
    <xf numFmtId="0" fontId="3" fillId="3" borderId="5" xfId="2" applyBorder="1" applyAlignment="1" applyProtection="1">
      <alignment horizontal="center" vertical="center" wrapText="1"/>
    </xf>
    <xf numFmtId="0" fontId="3" fillId="3" borderId="6" xfId="2" applyBorder="1" applyAlignment="1" applyProtection="1">
      <alignment horizontal="center" vertical="center" wrapText="1"/>
    </xf>
    <xf numFmtId="0" fontId="3" fillId="3" borderId="3" xfId="2" applyBorder="1" applyAlignment="1" applyProtection="1">
      <alignment horizontal="center" vertical="center" wrapText="1"/>
    </xf>
    <xf numFmtId="0" fontId="3" fillId="3" borderId="4" xfId="2" applyBorder="1" applyAlignment="1" applyProtection="1">
      <alignment horizontal="center" vertical="center" wrapText="1"/>
    </xf>
  </cellXfs>
  <cellStyles count="5">
    <cellStyle name="20% - Accent6" xfId="3" builtinId="50"/>
    <cellStyle name="40% - Accent6" xfId="4" builtinId="51"/>
    <cellStyle name="Accent6" xfId="2" builtinId="49"/>
    <cellStyle name="Comma" xfId="1" builtinId="3"/>
    <cellStyle name="Normal" xfId="0" builtinId="0"/>
  </cellStyles>
  <dxfs count="0"/>
  <tableStyles count="1" defaultTableStyle="TableStyleMedium2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39997558519241921"/>
    <pageSetUpPr fitToPage="1"/>
  </sheetPr>
  <dimension ref="A1:Q13"/>
  <sheetViews>
    <sheetView tabSelected="1" zoomScale="110" zoomScaleNormal="110" zoomScaleSheetLayoutView="100" workbookViewId="0">
      <selection activeCell="A4" sqref="A4:A5"/>
    </sheetView>
  </sheetViews>
  <sheetFormatPr defaultColWidth="9.109375" defaultRowHeight="14.4" x14ac:dyDescent="0.3"/>
  <cols>
    <col min="1" max="1" width="17" style="1" customWidth="1"/>
    <col min="2" max="4" width="8.88671875" style="1" bestFit="1" customWidth="1"/>
    <col min="5" max="5" width="11.44140625" style="1" bestFit="1" customWidth="1"/>
    <col min="6" max="6" width="7.88671875" style="1" bestFit="1" customWidth="1"/>
    <col min="7" max="7" width="8.6640625" style="1" customWidth="1"/>
    <col min="8" max="8" width="6.33203125" style="1" customWidth="1"/>
    <col min="9" max="9" width="10.44140625" style="1" bestFit="1" customWidth="1"/>
    <col min="10" max="10" width="8.44140625" style="1" bestFit="1" customWidth="1"/>
    <col min="11" max="11" width="10.44140625" style="1" bestFit="1" customWidth="1"/>
    <col min="12" max="12" width="8.44140625" style="1" bestFit="1" customWidth="1"/>
    <col min="13" max="13" width="8.44140625" style="1" customWidth="1"/>
    <col min="14" max="14" width="5.88671875" style="1" bestFit="1" customWidth="1"/>
    <col min="15" max="15" width="9.44140625" style="1" bestFit="1" customWidth="1"/>
    <col min="16" max="16" width="9" style="1" customWidth="1"/>
    <col min="17" max="17" width="6.33203125" style="1" customWidth="1"/>
    <col min="18" max="16384" width="9.109375" style="1"/>
  </cols>
  <sheetData>
    <row r="1" spans="1:17" ht="18.75" customHeight="1" x14ac:dyDescent="0.3">
      <c r="A1" s="18" t="s">
        <v>28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20"/>
    </row>
    <row r="2" spans="1:17" ht="18.75" customHeight="1" x14ac:dyDescent="0.3">
      <c r="A2" s="21" t="s">
        <v>27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3"/>
    </row>
    <row r="3" spans="1:17" ht="18.75" customHeight="1" x14ac:dyDescent="0.3">
      <c r="A3" s="24" t="s">
        <v>29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6"/>
    </row>
    <row r="4" spans="1:17" ht="21" customHeight="1" x14ac:dyDescent="0.3">
      <c r="A4" s="27" t="s">
        <v>19</v>
      </c>
      <c r="B4" s="24" t="s">
        <v>0</v>
      </c>
      <c r="C4" s="29"/>
      <c r="D4" s="30"/>
      <c r="E4" s="24" t="s">
        <v>1</v>
      </c>
      <c r="F4" s="26"/>
      <c r="G4" s="16" t="s">
        <v>2</v>
      </c>
      <c r="H4" s="16" t="s">
        <v>3</v>
      </c>
      <c r="I4" s="24" t="s">
        <v>4</v>
      </c>
      <c r="J4" s="29"/>
      <c r="K4" s="30"/>
      <c r="L4" s="24" t="s">
        <v>5</v>
      </c>
      <c r="M4" s="29"/>
      <c r="N4" s="29"/>
      <c r="O4" s="30"/>
      <c r="P4" s="16" t="s">
        <v>6</v>
      </c>
      <c r="Q4" s="16" t="s">
        <v>7</v>
      </c>
    </row>
    <row r="5" spans="1:17" ht="139.5" customHeight="1" x14ac:dyDescent="0.3">
      <c r="A5" s="28"/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17"/>
      <c r="H5" s="17"/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14</v>
      </c>
      <c r="O5" s="4" t="s">
        <v>15</v>
      </c>
      <c r="P5" s="17"/>
      <c r="Q5" s="17"/>
    </row>
    <row r="6" spans="1:17" ht="30" customHeight="1" x14ac:dyDescent="0.3">
      <c r="A6" s="5" t="s">
        <v>20</v>
      </c>
      <c r="B6" s="7">
        <v>40495</v>
      </c>
      <c r="C6" s="7">
        <v>242179.60299999997</v>
      </c>
      <c r="D6" s="7">
        <v>257758.03599999999</v>
      </c>
      <c r="E6" s="7">
        <v>6803568</v>
      </c>
      <c r="F6" s="7">
        <v>34101.547025999993</v>
      </c>
      <c r="G6" s="7">
        <v>43621.319530999994</v>
      </c>
      <c r="H6" s="12">
        <f>F6/G6*100</f>
        <v>78.176330731502361</v>
      </c>
      <c r="I6" s="6">
        <v>142299.19584999999</v>
      </c>
      <c r="J6" s="6">
        <v>4917.4400000000005</v>
      </c>
      <c r="K6" s="6">
        <v>147216.63585000002</v>
      </c>
      <c r="L6" s="6">
        <v>3392.1562839999997</v>
      </c>
      <c r="M6" s="6">
        <v>791.89041525240009</v>
      </c>
      <c r="N6" s="6">
        <v>29.152007000000001</v>
      </c>
      <c r="O6" s="6">
        <v>4213.1987062523995</v>
      </c>
      <c r="P6" s="6">
        <v>6294.1163060360004</v>
      </c>
      <c r="Q6" s="12">
        <f>O6/P6*100</f>
        <v>66.938685295852892</v>
      </c>
    </row>
    <row r="7" spans="1:17" ht="30" customHeight="1" x14ac:dyDescent="0.3">
      <c r="A7" s="2" t="s">
        <v>21</v>
      </c>
      <c r="B7" s="8">
        <v>27759</v>
      </c>
      <c r="C7" s="8">
        <v>110513.03</v>
      </c>
      <c r="D7" s="8">
        <v>73950.574999999997</v>
      </c>
      <c r="E7" s="8">
        <v>4148427</v>
      </c>
      <c r="F7" s="8">
        <v>11026.258781</v>
      </c>
      <c r="G7" s="8">
        <v>13754.803464000002</v>
      </c>
      <c r="H7" s="12">
        <f t="shared" ref="H7:H12" si="0">F7/G7*100</f>
        <v>80.162968593907337</v>
      </c>
      <c r="I7" s="3">
        <v>16193.879999999997</v>
      </c>
      <c r="J7" s="3">
        <v>11.837</v>
      </c>
      <c r="K7" s="3">
        <f>I7+J7</f>
        <v>16205.716999999997</v>
      </c>
      <c r="L7" s="3">
        <v>965.83051083700002</v>
      </c>
      <c r="M7" s="3">
        <v>44.302828012999996</v>
      </c>
      <c r="N7" s="3">
        <v>2.0799999999999999E-2</v>
      </c>
      <c r="O7" s="3">
        <v>1010.1585201890001</v>
      </c>
      <c r="P7" s="3">
        <v>1260.0275541240001</v>
      </c>
      <c r="Q7" s="12">
        <f t="shared" ref="Q7:Q12" si="1">O7/P7*100</f>
        <v>80.16955794996764</v>
      </c>
    </row>
    <row r="8" spans="1:17" ht="30" customHeight="1" x14ac:dyDescent="0.3">
      <c r="A8" s="5" t="s">
        <v>22</v>
      </c>
      <c r="B8" s="7">
        <v>1169</v>
      </c>
      <c r="C8" s="7">
        <v>4457.3158300000005</v>
      </c>
      <c r="D8" s="7">
        <v>3004.9380000000001</v>
      </c>
      <c r="E8" s="7">
        <v>132483</v>
      </c>
      <c r="F8" s="7">
        <v>348.58096900000004</v>
      </c>
      <c r="G8" s="7">
        <v>556.64474399999995</v>
      </c>
      <c r="H8" s="12">
        <f t="shared" si="0"/>
        <v>62.621801922556209</v>
      </c>
      <c r="I8" s="6">
        <v>0</v>
      </c>
      <c r="J8" s="6">
        <v>0</v>
      </c>
      <c r="K8" s="6">
        <v>0</v>
      </c>
      <c r="L8" s="6">
        <v>31.371797999999998</v>
      </c>
      <c r="M8" s="6">
        <v>0</v>
      </c>
      <c r="N8" s="6">
        <v>0</v>
      </c>
      <c r="O8" s="6">
        <v>31.371797999999998</v>
      </c>
      <c r="P8" s="6">
        <v>56.953819000000003</v>
      </c>
      <c r="Q8" s="12">
        <f t="shared" si="1"/>
        <v>55.082869859877171</v>
      </c>
    </row>
    <row r="9" spans="1:17" ht="30" customHeight="1" x14ac:dyDescent="0.3">
      <c r="A9" s="2" t="s">
        <v>23</v>
      </c>
      <c r="B9" s="8">
        <v>31485</v>
      </c>
      <c r="C9" s="8">
        <v>113001.13222999999</v>
      </c>
      <c r="D9" s="8">
        <v>74224.200000000012</v>
      </c>
      <c r="E9" s="8">
        <v>4704773</v>
      </c>
      <c r="F9" s="8">
        <v>11122.737639000001</v>
      </c>
      <c r="G9" s="8">
        <v>13384.865487999999</v>
      </c>
      <c r="H9" s="12">
        <f t="shared" si="0"/>
        <v>83.099360609726887</v>
      </c>
      <c r="I9" s="3">
        <v>24928.402999999998</v>
      </c>
      <c r="J9" s="3">
        <v>0</v>
      </c>
      <c r="K9" s="3">
        <v>24928.402999999998</v>
      </c>
      <c r="L9" s="3">
        <v>1000.637525</v>
      </c>
      <c r="M9" s="3">
        <v>62.215654300000004</v>
      </c>
      <c r="N9" s="3">
        <v>0</v>
      </c>
      <c r="O9" s="3">
        <v>1062.8531793000002</v>
      </c>
      <c r="P9" s="3">
        <v>1507.5712666999998</v>
      </c>
      <c r="Q9" s="12">
        <f t="shared" si="1"/>
        <v>70.501023916868235</v>
      </c>
    </row>
    <row r="10" spans="1:17" ht="30" customHeight="1" x14ac:dyDescent="0.3">
      <c r="A10" s="5" t="s">
        <v>24</v>
      </c>
      <c r="B10" s="7">
        <v>47513</v>
      </c>
      <c r="C10" s="7">
        <v>218546</v>
      </c>
      <c r="D10" s="7">
        <v>151329.516</v>
      </c>
      <c r="E10" s="7">
        <v>7871182</v>
      </c>
      <c r="F10" s="7">
        <v>29390.708099999996</v>
      </c>
      <c r="G10" s="7">
        <v>35326.995078</v>
      </c>
      <c r="H10" s="12">
        <f t="shared" si="0"/>
        <v>83.196173450662812</v>
      </c>
      <c r="I10" s="6">
        <v>175759.56964999999</v>
      </c>
      <c r="J10" s="6">
        <v>1635.2828699999998</v>
      </c>
      <c r="K10" s="6">
        <v>177394.85251999999</v>
      </c>
      <c r="L10" s="6">
        <v>2436.231659</v>
      </c>
      <c r="M10" s="6">
        <v>938.42635800000005</v>
      </c>
      <c r="N10" s="6">
        <v>8.7182959999999987</v>
      </c>
      <c r="O10" s="6">
        <v>3383.3763130000002</v>
      </c>
      <c r="P10" s="6">
        <v>4866.8950990000003</v>
      </c>
      <c r="Q10" s="12">
        <f t="shared" si="1"/>
        <v>69.518168034794542</v>
      </c>
    </row>
    <row r="11" spans="1:17" ht="30" customHeight="1" x14ac:dyDescent="0.3">
      <c r="A11" s="2" t="s">
        <v>25</v>
      </c>
      <c r="B11" s="8">
        <v>14866</v>
      </c>
      <c r="C11" s="8">
        <v>38572</v>
      </c>
      <c r="D11" s="8">
        <v>27315.667000000001</v>
      </c>
      <c r="E11" s="8">
        <v>2239282</v>
      </c>
      <c r="F11" s="8">
        <v>4469.7458039999992</v>
      </c>
      <c r="G11" s="8">
        <v>5075.3610420000005</v>
      </c>
      <c r="H11" s="12">
        <f t="shared" si="0"/>
        <v>88.067543707957526</v>
      </c>
      <c r="I11" s="3">
        <v>18429.919999999998</v>
      </c>
      <c r="J11" s="3">
        <v>0</v>
      </c>
      <c r="K11" s="3">
        <v>18429.919999999998</v>
      </c>
      <c r="L11" s="3">
        <v>335.23090599999995</v>
      </c>
      <c r="M11" s="3">
        <v>22.786607</v>
      </c>
      <c r="N11" s="3">
        <v>0</v>
      </c>
      <c r="O11" s="3">
        <v>358.01751300000001</v>
      </c>
      <c r="P11" s="3">
        <v>431.50635900000003</v>
      </c>
      <c r="Q11" s="12">
        <f t="shared" si="1"/>
        <v>82.969232210086616</v>
      </c>
    </row>
    <row r="12" spans="1:17" ht="30" customHeight="1" x14ac:dyDescent="0.3">
      <c r="A12" s="9" t="s">
        <v>26</v>
      </c>
      <c r="B12" s="10">
        <v>163287</v>
      </c>
      <c r="C12" s="10">
        <v>727269.08106</v>
      </c>
      <c r="D12" s="10">
        <v>587582.93200000003</v>
      </c>
      <c r="E12" s="10">
        <v>25899715</v>
      </c>
      <c r="F12" s="10">
        <v>90459.578318999993</v>
      </c>
      <c r="G12" s="10">
        <v>111719.98934700001</v>
      </c>
      <c r="H12" s="12">
        <f t="shared" si="0"/>
        <v>80.969913126320108</v>
      </c>
      <c r="I12" s="11">
        <v>377610.96849999996</v>
      </c>
      <c r="J12" s="11">
        <v>6564.559870000001</v>
      </c>
      <c r="K12" s="11">
        <f>SUM(K6:K11)</f>
        <v>384175.52837000001</v>
      </c>
      <c r="L12" s="11">
        <v>8161.4586828370002</v>
      </c>
      <c r="M12" s="11">
        <v>1859.6218625654003</v>
      </c>
      <c r="N12" s="11">
        <f>SUM(N6:N11)</f>
        <v>37.891103000000001</v>
      </c>
      <c r="O12" s="11">
        <v>10058.976029741401</v>
      </c>
      <c r="P12" s="11">
        <v>14417.070403860002</v>
      </c>
      <c r="Q12" s="12">
        <f t="shared" si="1"/>
        <v>69.771290199486216</v>
      </c>
    </row>
    <row r="13" spans="1:17" ht="19.5" customHeight="1" x14ac:dyDescent="0.3">
      <c r="A13" s="13" t="s">
        <v>18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5"/>
    </row>
  </sheetData>
  <mergeCells count="13">
    <mergeCell ref="A13:Q13"/>
    <mergeCell ref="P4:P5"/>
    <mergeCell ref="Q4:Q5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inter indian</vt:lpstr>
      <vt:lpstr>'inter indian'!Print_Area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2020-06-15T09:43:22Z</cp:lastPrinted>
  <dcterms:created xsi:type="dcterms:W3CDTF">2018-10-29T04:00:07Z</dcterms:created>
  <dcterms:modified xsi:type="dcterms:W3CDTF">2020-06-15T09:43:33Z</dcterms:modified>
</cp:coreProperties>
</file>