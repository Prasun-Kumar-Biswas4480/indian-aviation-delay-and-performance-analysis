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STAR AIR\"/>
    </mc:Choice>
  </mc:AlternateContent>
  <bookViews>
    <workbookView xWindow="-120" yWindow="-120" windowWidth="20736" windowHeight="11160"/>
  </bookViews>
  <sheets>
    <sheet name="STAR AIR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14" l="1"/>
  <c r="Q17" i="14"/>
  <c r="Q18" i="14"/>
  <c r="Q15" i="14"/>
  <c r="H16" i="14"/>
  <c r="H17" i="14"/>
  <c r="H18" i="14"/>
  <c r="H15" i="14"/>
  <c r="J18" i="14" l="1"/>
  <c r="I18" i="14"/>
  <c r="E18" i="14"/>
  <c r="D18" i="14"/>
  <c r="B18" i="14"/>
  <c r="P18" i="14"/>
  <c r="N18" i="14"/>
  <c r="K18" i="14"/>
  <c r="F18" i="14"/>
  <c r="M18" i="14"/>
  <c r="L18" i="14"/>
  <c r="G18" i="14"/>
  <c r="C18" i="14"/>
  <c r="O18" i="14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<sst xmlns="http://schemas.openxmlformats.org/spreadsheetml/2006/main" count="26" uniqueCount="24">
  <si>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</si>
  <si>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</si>
  <si>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</si>
  <si>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</si>
  <si>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</si>
  <si>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</si>
  <si>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</si>
  <si>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</si>
  <si>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</si>
  <si>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</si>
  <si>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</si>
  <si>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</si>
  <si>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</si>
  <si>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</si>
  <si>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</si>
  <si>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</si>
  <si>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</si>
  <si>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</si>
  <si>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</si>
  <si>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</si>
  <si>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(स्टार एयर) </t>
  </si>
  <si>
    <t>Table 1.01 (STAR AIR)</t>
  </si>
  <si>
    <t>MONTHLY TRAFFIC AND OPERATING STATISTICS OF STAR AIR ON SCHEDULED DOMESTIC SERVICES DURING 2018-19</t>
  </si>
  <si>
    <t>SOURCE:-  ICAO ATR FORM 'A' FURNISHED BY STAR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</si>
</sst>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164" fontId="3" fillId="4" borderId="1" xfId="3" applyNumberFormat="1" applyBorder="1" applyAlignment="1" applyProtection="1">
      <alignment horizontal="center" vertical="center" wrapText="1"/>
    </xf>
    <xf numFmtId="0" fontId="4" fillId="5" borderId="1" xfId="4" applyFont="1" applyBorder="1" applyAlignment="1" applyProtection="1">
      <alignment horizontal="center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6" fontId="3" fillId="5" borderId="1" xfId="4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8" fontId="3" fillId="4" borderId="1" xfId="3" applyNumberFormat="1" applyBorder="1" applyAlignment="1" applyProtection="1">
      <alignment horizontal="center" vertical="center" wrapText="1"/>
    </xf>
    <xf numFmtId="168" fontId="4" fillId="4" borderId="1" xfId="3" applyNumberFormat="1" applyFon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M5" sqref="M5"/>
    </sheetView>
  </sheetViews>
  <sheetFormatPr defaultRowHeight="14.4" x14ac:dyDescent="0.3"/>
  <cols>
    <col min="2" max="4" width="5.88671875" customWidth="1"/>
    <col min="5" max="5" width="7.44140625" customWidth="1"/>
    <col min="6" max="6" width="7.33203125" customWidth="1"/>
    <col min="7" max="7" width="8" customWidth="1"/>
    <col min="8" max="8" width="7.88671875" customWidth="1"/>
    <col min="9" max="10" width="6" customWidth="1"/>
    <col min="11" max="11" width="6.88671875" customWidth="1"/>
    <col min="12" max="13" width="7.109375" customWidth="1"/>
    <col min="14" max="14" width="6.44140625" customWidth="1"/>
    <col min="15" max="15" width="7.44140625" customWidth="1"/>
    <col min="16" max="16" width="8.109375" customWidth="1"/>
    <col min="17" max="17" width="7.33203125" customWidth="1"/>
  </cols>
  <sheetData>
    <row r="1" spans="1:17" x14ac:dyDescent="0.3">
      <c r="A1" s="19" t="s">
        <v>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">
      <c r="A2" s="21" t="s">
        <v>21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3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2" customHeight="1" x14ac:dyDescent="0.3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16.25" customHeight="1" x14ac:dyDescent="0.3">
      <c r="A5" s="23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5"/>
      <c r="H5" s="15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5"/>
      <c r="Q5" s="15"/>
    </row>
    <row r="6" spans="1:17" x14ac:dyDescent="0.3">
      <c r="A6" s="9">
        <v>43191</v>
      </c>
      <c r="B6" s="3"/>
      <c r="C6" s="3"/>
      <c r="D6" s="3"/>
      <c r="E6" s="3"/>
      <c r="F6" s="3"/>
      <c r="G6" s="3"/>
      <c r="H6" s="1"/>
      <c r="I6" s="6"/>
      <c r="J6" s="6"/>
      <c r="K6" s="6"/>
      <c r="L6" s="6"/>
      <c r="M6" s="6"/>
      <c r="N6" s="6"/>
      <c r="O6" s="6"/>
      <c r="P6" s="6"/>
      <c r="Q6" s="1"/>
    </row>
    <row r="7" spans="1:17" x14ac:dyDescent="0.3">
      <c r="A7" s="10">
        <v>43221</v>
      </c>
      <c r="B7" s="4"/>
      <c r="C7" s="4"/>
      <c r="D7" s="4"/>
      <c r="E7" s="4"/>
      <c r="F7" s="4"/>
      <c r="G7" s="4"/>
      <c r="H7" s="1"/>
      <c r="I7" s="7"/>
      <c r="J7" s="7"/>
      <c r="K7" s="7"/>
      <c r="L7" s="7"/>
      <c r="M7" s="7"/>
      <c r="N7" s="7"/>
      <c r="O7" s="7"/>
      <c r="P7" s="7"/>
      <c r="Q7" s="1"/>
    </row>
    <row r="8" spans="1:17" x14ac:dyDescent="0.3">
      <c r="A8" s="9">
        <v>43252</v>
      </c>
      <c r="B8" s="3"/>
      <c r="C8" s="3"/>
      <c r="D8" s="3"/>
      <c r="E8" s="3"/>
      <c r="F8" s="3"/>
      <c r="G8" s="3"/>
      <c r="H8" s="1"/>
      <c r="I8" s="6"/>
      <c r="J8" s="6"/>
      <c r="K8" s="6"/>
      <c r="L8" s="6"/>
      <c r="M8" s="6"/>
      <c r="N8" s="6"/>
      <c r="O8" s="6"/>
      <c r="P8" s="6"/>
      <c r="Q8" s="1"/>
    </row>
    <row r="9" spans="1:17" x14ac:dyDescent="0.3">
      <c r="A9" s="10">
        <v>43282</v>
      </c>
      <c r="B9" s="4"/>
      <c r="C9" s="4"/>
      <c r="D9" s="4"/>
      <c r="E9" s="4"/>
      <c r="F9" s="4"/>
      <c r="G9" s="4"/>
      <c r="H9" s="1"/>
      <c r="I9" s="7"/>
      <c r="J9" s="7"/>
      <c r="K9" s="7"/>
      <c r="L9" s="7"/>
      <c r="M9" s="7"/>
      <c r="N9" s="7"/>
      <c r="O9" s="7"/>
      <c r="P9" s="7"/>
      <c r="Q9" s="1"/>
    </row>
    <row r="10" spans="1:17" x14ac:dyDescent="0.3">
      <c r="A10" s="9">
        <v>43313</v>
      </c>
      <c r="B10" s="3"/>
      <c r="C10" s="3"/>
      <c r="D10" s="3"/>
      <c r="E10" s="3"/>
      <c r="F10" s="3"/>
      <c r="G10" s="3"/>
      <c r="H10" s="1"/>
      <c r="I10" s="6"/>
      <c r="J10" s="6"/>
      <c r="K10" s="6"/>
      <c r="L10" s="6"/>
      <c r="M10" s="6"/>
      <c r="N10" s="6"/>
      <c r="O10" s="6"/>
      <c r="P10" s="6"/>
      <c r="Q10" s="1"/>
    </row>
    <row r="11" spans="1:17" x14ac:dyDescent="0.3">
      <c r="A11" s="10">
        <v>43344</v>
      </c>
      <c r="B11" s="4"/>
      <c r="C11" s="4"/>
      <c r="D11" s="4"/>
      <c r="E11" s="4"/>
      <c r="F11" s="4"/>
      <c r="G11" s="4"/>
      <c r="H11" s="1"/>
      <c r="I11" s="7"/>
      <c r="J11" s="7"/>
      <c r="K11" s="7"/>
      <c r="L11" s="7"/>
      <c r="M11" s="7"/>
      <c r="N11" s="7"/>
      <c r="O11" s="7"/>
      <c r="P11" s="7"/>
      <c r="Q11" s="1"/>
    </row>
    <row r="12" spans="1:17" x14ac:dyDescent="0.3">
      <c r="A12" s="9">
        <v>43374</v>
      </c>
      <c r="B12" s="3"/>
      <c r="C12" s="3"/>
      <c r="D12" s="3"/>
      <c r="E12" s="3"/>
      <c r="F12" s="3"/>
      <c r="G12" s="3"/>
      <c r="H12" s="1"/>
      <c r="I12" s="6"/>
      <c r="J12" s="6"/>
      <c r="K12" s="6"/>
      <c r="L12" s="6"/>
      <c r="M12" s="6"/>
      <c r="N12" s="6"/>
      <c r="O12" s="6"/>
      <c r="P12" s="6"/>
      <c r="Q12" s="1"/>
    </row>
    <row r="13" spans="1:17" x14ac:dyDescent="0.3">
      <c r="A13" s="10">
        <v>43405</v>
      </c>
      <c r="B13" s="4"/>
      <c r="C13" s="4"/>
      <c r="D13" s="4"/>
      <c r="E13" s="4"/>
      <c r="F13" s="4"/>
      <c r="G13" s="4"/>
      <c r="H13" s="1"/>
      <c r="I13" s="7"/>
      <c r="J13" s="7"/>
      <c r="K13" s="7"/>
      <c r="L13" s="7"/>
      <c r="M13" s="7"/>
      <c r="N13" s="7"/>
      <c r="O13" s="7"/>
      <c r="P13" s="7"/>
      <c r="Q13" s="1"/>
    </row>
    <row r="14" spans="1:17" x14ac:dyDescent="0.3">
      <c r="A14" s="9">
        <v>43435</v>
      </c>
      <c r="B14" s="3"/>
      <c r="C14" s="3"/>
      <c r="D14" s="3"/>
      <c r="E14" s="3"/>
      <c r="F14" s="3"/>
      <c r="G14" s="3"/>
      <c r="H14" s="1"/>
      <c r="I14" s="6"/>
      <c r="J14" s="6"/>
      <c r="K14" s="6"/>
      <c r="L14" s="6"/>
      <c r="M14" s="6"/>
      <c r="N14" s="6"/>
      <c r="O14" s="6"/>
      <c r="P14" s="6"/>
      <c r="Q14" s="1"/>
    </row>
    <row r="15" spans="1:17" x14ac:dyDescent="0.3">
      <c r="A15" s="10">
        <v>43466</v>
      </c>
      <c r="B15" s="4">
        <v>24</v>
      </c>
      <c r="C15" s="4">
        <v>25</v>
      </c>
      <c r="D15" s="4">
        <v>10.938000000000001</v>
      </c>
      <c r="E15" s="4">
        <v>637</v>
      </c>
      <c r="F15" s="4">
        <v>1.780278</v>
      </c>
      <c r="G15" s="4">
        <v>3.2814000000000001</v>
      </c>
      <c r="H15" s="12">
        <f>F15/G15*100</f>
        <v>54.253611263485105</v>
      </c>
      <c r="I15" s="7">
        <v>0</v>
      </c>
      <c r="J15" s="7">
        <v>0</v>
      </c>
      <c r="K15" s="7">
        <v>0</v>
      </c>
      <c r="L15" s="7">
        <v>0.522563</v>
      </c>
      <c r="M15" s="7">
        <v>0</v>
      </c>
      <c r="N15" s="7">
        <v>0</v>
      </c>
      <c r="O15" s="7">
        <v>0.522563</v>
      </c>
      <c r="P15" s="7">
        <v>3.2814000000000001</v>
      </c>
      <c r="Q15" s="12">
        <f>O15/P15*100</f>
        <v>15.925001523739867</v>
      </c>
    </row>
    <row r="16" spans="1:17" x14ac:dyDescent="0.3">
      <c r="A16" s="9">
        <v>43497</v>
      </c>
      <c r="B16" s="3">
        <v>100</v>
      </c>
      <c r="C16" s="3">
        <v>104</v>
      </c>
      <c r="D16" s="3">
        <v>45.496000000000002</v>
      </c>
      <c r="E16" s="3">
        <v>2603</v>
      </c>
      <c r="F16" s="3">
        <v>1.1943969999999999</v>
      </c>
      <c r="G16" s="3">
        <v>2.2748000000000004</v>
      </c>
      <c r="H16" s="12">
        <f t="shared" ref="H16:H18" si="0">F16/G16*100</f>
        <v>52.505582908387538</v>
      </c>
      <c r="I16" s="6">
        <v>0</v>
      </c>
      <c r="J16" s="6">
        <v>0</v>
      </c>
      <c r="K16" s="6">
        <v>0</v>
      </c>
      <c r="L16" s="6">
        <v>0.10749599999999999</v>
      </c>
      <c r="M16" s="6">
        <v>0</v>
      </c>
      <c r="N16" s="6">
        <v>0</v>
      </c>
      <c r="O16" s="6">
        <v>0.10749599999999999</v>
      </c>
      <c r="P16" s="6">
        <v>1.0009011999999999</v>
      </c>
      <c r="Q16" s="12">
        <f t="shared" ref="Q16:Q18" si="1">O16/P16*100</f>
        <v>10.739921183029853</v>
      </c>
    </row>
    <row r="17" spans="1:17" x14ac:dyDescent="0.3">
      <c r="A17" s="10">
        <v>43525</v>
      </c>
      <c r="B17" s="4">
        <v>154</v>
      </c>
      <c r="C17" s="4">
        <v>161.19999999999999</v>
      </c>
      <c r="D17" s="4">
        <v>70.486000000000004</v>
      </c>
      <c r="E17" s="4">
        <v>4145</v>
      </c>
      <c r="F17" s="4">
        <v>1.9064510000000001</v>
      </c>
      <c r="G17" s="4">
        <v>3.4799000000000002</v>
      </c>
      <c r="H17" s="12">
        <f t="shared" si="0"/>
        <v>54.784648984166203</v>
      </c>
      <c r="I17" s="7">
        <v>0</v>
      </c>
      <c r="J17" s="7">
        <v>0</v>
      </c>
      <c r="K17" s="7">
        <v>0</v>
      </c>
      <c r="L17" s="7">
        <v>0.17158099999999998</v>
      </c>
      <c r="M17" s="7">
        <v>0</v>
      </c>
      <c r="N17" s="7">
        <v>0</v>
      </c>
      <c r="O17" s="7">
        <v>0.17158099999999998</v>
      </c>
      <c r="P17" s="7">
        <v>1.531156</v>
      </c>
      <c r="Q17" s="12">
        <f t="shared" si="1"/>
        <v>11.205977705733446</v>
      </c>
    </row>
    <row r="18" spans="1:17" x14ac:dyDescent="0.3">
      <c r="A18" s="2" t="s">
        <v>19</v>
      </c>
      <c r="B18" s="5">
        <f>SUM(B6:B17)</f>
        <v>278</v>
      </c>
      <c r="C18" s="5">
        <f t="shared" ref="C18:G18" si="2">SUM(C6:C17)</f>
        <v>290.2</v>
      </c>
      <c r="D18" s="5">
        <f t="shared" si="2"/>
        <v>126.92000000000002</v>
      </c>
      <c r="E18" s="5">
        <f t="shared" si="2"/>
        <v>7385</v>
      </c>
      <c r="F18" s="5">
        <f t="shared" si="2"/>
        <v>4.8811260000000001</v>
      </c>
      <c r="G18" s="5">
        <f t="shared" si="2"/>
        <v>9.0361000000000011</v>
      </c>
      <c r="H18" s="13">
        <f t="shared" si="0"/>
        <v>54.018060889100383</v>
      </c>
      <c r="I18" s="8">
        <f t="shared" ref="I18:P18" si="3">SUM(I6:I17)</f>
        <v>0</v>
      </c>
      <c r="J18" s="8">
        <f t="shared" si="3"/>
        <v>0</v>
      </c>
      <c r="K18" s="8">
        <f t="shared" si="3"/>
        <v>0</v>
      </c>
      <c r="L18" s="8">
        <f t="shared" si="3"/>
        <v>0.80164000000000002</v>
      </c>
      <c r="M18" s="8">
        <f t="shared" si="3"/>
        <v>0</v>
      </c>
      <c r="N18" s="8">
        <f t="shared" si="3"/>
        <v>0</v>
      </c>
      <c r="O18" s="8">
        <f t="shared" si="3"/>
        <v>0.80164000000000002</v>
      </c>
      <c r="P18" s="8">
        <f t="shared" si="3"/>
        <v>5.8134572000000002</v>
      </c>
      <c r="Q18" s="13">
        <f t="shared" si="1"/>
        <v>13.789385083973785</v>
      </c>
    </row>
    <row r="19" spans="1:17" x14ac:dyDescent="0.3">
      <c r="A19" s="16" t="s">
        <v>23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2020-06-03T11:00:03Z</dcterms:modified>
</cp:coreProperties>
</file>