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 codeName="ThisWorkbook"/>
  <mc:AlternateContent xmlns:mc="http://schemas.openxmlformats.org/markup-compatibility/2006">
    <mc:Choice Requires="x15">
      <x15ac:absPath xmlns:x15ac="http://schemas.microsoft.com/office/spreadsheetml/2010/11/ac" url="D:\Anindya\ANNUAL PUBLICATION 2018-19\domestic\"/>
    </mc:Choice>
  </mc:AlternateContent>
  <xr:revisionPtr revIDLastSave="0" documentId="13_ncr:1_{DCA033AC-A458-4FEA-BBBF-A9A713C85D01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1.01" sheetId="1" r:id="rId1"/>
  </sheets>
  <definedNames>
    <definedName name="_xlnm.Print_Area" localSheetId="0">'1.01'!$A$1:$Q$19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7" i="1" l="1"/>
  <c r="Q8" i="1"/>
  <c r="Q9" i="1"/>
  <c r="Q10" i="1"/>
  <c r="Q11" i="1"/>
  <c r="Q12" i="1"/>
  <c r="Q13" i="1"/>
  <c r="Q14" i="1"/>
  <c r="Q15" i="1"/>
  <c r="Q16" i="1"/>
  <c r="Q17" i="1"/>
  <c r="Q18" i="1"/>
  <c r="Q6" i="1"/>
  <c r="H7" i="1"/>
  <c r="H8" i="1"/>
  <c r="H9" i="1"/>
  <c r="H10" i="1"/>
  <c r="H11" i="1"/>
  <c r="H12" i="1"/>
  <c r="H13" i="1"/>
  <c r="H14" i="1"/>
  <c r="H15" i="1"/>
  <c r="H16" i="1"/>
  <c r="H17" i="1"/>
  <c r="H18" i="1"/>
  <c r="H6" i="1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<sst xmlns="http://schemas.openxmlformats.org/spreadsheetml/2006/main" count="26" uniqueCount="24">
  <si>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</si>
  <si>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</si>
  <si>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</si>
  <si>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</si>
  <si>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</si>
  <si>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</si>
  <si>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</si>
  <si>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</si>
  <si>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</si>
  <si>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</si>
  <si>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</si>
  <si>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</si>
  <si>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</si>
  <si>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</si>
  <si>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</si>
  <si>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</si>
  <si>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</si>
  <si>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</si>
  <si>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</si>
  <si>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2018-19</t>
  </si>
  <si>
    <t>Table 1.01 (ALL SCHEDULED NATIONAL AIRLINES)</t>
  </si>
  <si>
    <t xml:space="preserve">तालिका 1.01 (सभी अनुसूचित  राष्ट्रीय एयरलाइन्स) </t>
  </si>
  <si>
    <t>MONTHLY TRAFFIC AND OPERATING STATISTICS OF ALL SCHEDULED NATIONAL AIRLINES ON SCHEDULED DOMESTIC SERVICES DURING 2018-19</t>
  </si>
  <si>
    <t>SOURCE:-  ICAO ATR FORM 'A' FURNISHED BY ALL SCHEDULED NATIONAL AIRLINES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</si>
</sst>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5" formatCode="_(* #,##0_);_(* \(#,##0\);_(* &quot;-&quot;??_);_(@_)"/>
    <numFmt numFmtId="166" formatCode="_(* #,##0.0_);_(* \(#,##0.0\);_(* &quot;-&quot;??_);_(@_)"/>
    <numFmt numFmtId="167" formatCode="#,##0.0"/>
    <numFmt numFmtId="171" formatCode="0.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0" fontId="5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</cellStyleXfs>
  <cellXfs count="25">
    <xf numFmtId="0" fontId="0" fillId="0" borderId="0" xfId="0"/>
    <xf numFmtId="0" fontId="0" fillId="0" borderId="0" xfId="0" applyFont="1"/>
    <xf numFmtId="0" fontId="5" fillId="3" borderId="1" xfId="2" applyBorder="1" applyAlignment="1" applyProtection="1">
      <alignment horizontal="center" vertical="center" textRotation="90" wrapText="1"/>
    </xf>
    <xf numFmtId="0" fontId="4" fillId="5" borderId="1" xfId="4" applyFont="1" applyBorder="1" applyAlignment="1" applyProtection="1">
      <alignment horizontal="center" vertical="center" wrapText="1"/>
    </xf>
    <xf numFmtId="165" fontId="3" fillId="5" borderId="1" xfId="4" applyNumberFormat="1" applyBorder="1" applyAlignment="1">
      <alignment horizontal="right" vertical="center"/>
    </xf>
    <xf numFmtId="165" fontId="0" fillId="0" borderId="1" xfId="1" applyNumberFormat="1" applyFont="1" applyBorder="1" applyAlignment="1">
      <alignment horizontal="right" vertical="center"/>
    </xf>
    <xf numFmtId="3" fontId="4" fillId="5" borderId="1" xfId="4" applyNumberFormat="1" applyFont="1" applyBorder="1" applyAlignment="1" applyProtection="1">
      <alignment horizontal="right" vertical="center" wrapText="1"/>
    </xf>
    <xf numFmtId="166" fontId="3" fillId="5" borderId="1" xfId="4" applyNumberFormat="1" applyBorder="1" applyAlignment="1">
      <alignment horizontal="right" vertical="center"/>
    </xf>
    <xf numFmtId="166" fontId="0" fillId="0" borderId="1" xfId="1" applyNumberFormat="1" applyFont="1" applyBorder="1" applyAlignment="1">
      <alignment horizontal="right" vertical="center"/>
    </xf>
    <xf numFmtId="167" fontId="4" fillId="5" borderId="1" xfId="4" applyNumberFormat="1" applyFont="1" applyBorder="1" applyAlignment="1" applyProtection="1">
      <alignment horizontal="right" vertical="center" wrapText="1"/>
    </xf>
    <xf numFmtId="17" fontId="3" fillId="5" borderId="1" xfId="4" applyNumberFormat="1" applyFont="1" applyBorder="1" applyAlignment="1" applyProtection="1">
      <alignment horizontal="center" vertical="center" wrapText="1"/>
    </xf>
    <xf numFmtId="17" fontId="2" fillId="2" borderId="1" xfId="0" applyNumberFormat="1" applyFont="1" applyFill="1" applyBorder="1" applyAlignment="1" applyProtection="1">
      <alignment horizontal="center" vertical="center" wrapText="1"/>
    </xf>
    <xf numFmtId="0" fontId="1" fillId="2" borderId="2" xfId="0" applyFont="1" applyFill="1" applyBorder="1" applyAlignment="1" applyProtection="1">
      <alignment horizontal="left" vertical="center" wrapText="1"/>
    </xf>
    <xf numFmtId="0" fontId="1" fillId="2" borderId="3" xfId="0" applyFont="1" applyFill="1" applyBorder="1" applyAlignment="1" applyProtection="1">
      <alignment horizontal="left" vertical="center" wrapText="1"/>
    </xf>
    <xf numFmtId="0" fontId="1" fillId="2" borderId="4" xfId="0" applyFont="1" applyFill="1" applyBorder="1" applyAlignment="1" applyProtection="1">
      <alignment horizontal="left" vertical="center" wrapText="1"/>
    </xf>
    <xf numFmtId="0" fontId="5" fillId="3" borderId="1" xfId="2" applyBorder="1" applyAlignment="1" applyProtection="1">
      <alignment horizontal="center" vertical="center" textRotation="90" wrapText="1"/>
    </xf>
    <xf numFmtId="0" fontId="5" fillId="3" borderId="1" xfId="2" applyBorder="1" applyAlignment="1">
      <alignment textRotation="90"/>
    </xf>
    <xf numFmtId="0" fontId="0" fillId="5" borderId="1" xfId="4" applyFont="1" applyBorder="1" applyAlignment="1">
      <alignment horizontal="center" vertical="center" wrapText="1"/>
    </xf>
    <xf numFmtId="0" fontId="3" fillId="5" borderId="1" xfId="4" applyBorder="1" applyAlignment="1">
      <alignment horizontal="center" vertical="center" wrapText="1"/>
    </xf>
    <xf numFmtId="0" fontId="0" fillId="5" borderId="1" xfId="4" quotePrefix="1" applyFont="1" applyBorder="1" applyAlignment="1" applyProtection="1">
      <alignment horizontal="center" vertical="center" wrapText="1"/>
    </xf>
    <xf numFmtId="0" fontId="3" fillId="5" borderId="1" xfId="4" applyBorder="1"/>
    <xf numFmtId="0" fontId="5" fillId="3" borderId="1" xfId="2" applyBorder="1" applyAlignment="1" applyProtection="1">
      <alignment horizontal="center" vertical="center" wrapText="1"/>
    </xf>
    <xf numFmtId="0" fontId="5" fillId="3" borderId="1" xfId="2" applyBorder="1"/>
    <xf numFmtId="171" fontId="3" fillId="4" borderId="1" xfId="3" applyNumberFormat="1" applyBorder="1" applyAlignment="1" applyProtection="1">
      <alignment horizontal="center" vertical="center" wrapText="1"/>
    </xf>
    <xf numFmtId="171" fontId="4" fillId="4" borderId="1" xfId="3" applyNumberFormat="1" applyFont="1" applyBorder="1" applyAlignment="1" applyProtection="1">
      <alignment horizontal="center" vertical="center" wrapText="1"/>
    </xf>
  </cellXfs>
  <cellStyles count="5">
    <cellStyle name="20% - Accent2" xfId="3" builtinId="34"/>
    <cellStyle name="40% - Accent2" xfId="4" builtinId="35"/>
    <cellStyle name="Accent2" xfId="2" builtinId="33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5" tint="0.39997558519241921"/>
  </sheetPr>
  <dimension ref="A1:Q19"/>
  <sheetViews>
    <sheetView tabSelected="1" view="pageBreakPreview" zoomScaleSheetLayoutView="100" workbookViewId="0">
      <selection activeCell="Q18" sqref="Q18"/>
    </sheetView>
  </sheetViews>
  <sheetFormatPr defaultRowHeight="15" x14ac:dyDescent="0.25"/>
  <cols>
    <col min="1" max="1" width="8.140625" style="1" customWidth="1"/>
    <col min="2" max="2" width="10.140625" style="1" customWidth="1"/>
    <col min="3" max="3" width="10" style="1" customWidth="1"/>
    <col min="4" max="4" width="9.85546875" style="1" customWidth="1"/>
    <col min="5" max="5" width="11" style="1" customWidth="1"/>
    <col min="6" max="6" width="8.42578125" style="1" customWidth="1"/>
    <col min="7" max="7" width="8.7109375" style="1" customWidth="1"/>
    <col min="8" max="8" width="7.28515625" style="1" customWidth="1"/>
    <col min="9" max="9" width="9.5703125" style="1" customWidth="1"/>
    <col min="10" max="10" width="8.7109375" style="1" customWidth="1"/>
    <col min="11" max="11" width="9.5703125" style="1" customWidth="1"/>
    <col min="12" max="12" width="11" style="1" customWidth="1"/>
    <col min="13" max="13" width="9.28515625" style="1" customWidth="1"/>
    <col min="14" max="14" width="8.5703125" style="1" customWidth="1"/>
    <col min="15" max="15" width="10.140625" style="1" customWidth="1"/>
    <col min="16" max="16" width="11" style="1" customWidth="1"/>
    <col min="17" max="17" width="8.7109375" style="1" customWidth="1"/>
    <col min="18" max="16384" width="9.140625" style="1"/>
  </cols>
  <sheetData>
    <row r="1" spans="1:17" ht="18.75" customHeight="1" x14ac:dyDescent="0.25">
      <c r="A1" s="17" t="s">
        <v>21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17" ht="18.75" customHeight="1" x14ac:dyDescent="0.25">
      <c r="A2" s="19" t="s">
        <v>20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spans="1:17" ht="18.75" customHeight="1" x14ac:dyDescent="0.25">
      <c r="A3" s="21" t="s">
        <v>22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</row>
    <row r="4" spans="1:17" ht="21" customHeight="1" x14ac:dyDescent="0.25">
      <c r="A4" s="21" t="s">
        <v>0</v>
      </c>
      <c r="B4" s="21" t="s">
        <v>1</v>
      </c>
      <c r="C4" s="21"/>
      <c r="D4" s="21"/>
      <c r="E4" s="21" t="s">
        <v>2</v>
      </c>
      <c r="F4" s="22"/>
      <c r="G4" s="15" t="s">
        <v>3</v>
      </c>
      <c r="H4" s="15" t="s">
        <v>4</v>
      </c>
      <c r="I4" s="21" t="s">
        <v>5</v>
      </c>
      <c r="J4" s="21"/>
      <c r="K4" s="21"/>
      <c r="L4" s="21" t="s">
        <v>6</v>
      </c>
      <c r="M4" s="21"/>
      <c r="N4" s="21"/>
      <c r="O4" s="21"/>
      <c r="P4" s="15" t="s">
        <v>7</v>
      </c>
      <c r="Q4" s="15" t="s">
        <v>8</v>
      </c>
    </row>
    <row r="5" spans="1:17" ht="139.5" customHeight="1" x14ac:dyDescent="0.25">
      <c r="A5" s="21"/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16"/>
      <c r="H5" s="16"/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15</v>
      </c>
      <c r="O5" s="2" t="s">
        <v>16</v>
      </c>
      <c r="P5" s="16"/>
      <c r="Q5" s="16"/>
    </row>
    <row r="6" spans="1:17" ht="30" customHeight="1" x14ac:dyDescent="0.25">
      <c r="A6" s="10">
        <v>43191</v>
      </c>
      <c r="B6" s="4">
        <v>12419</v>
      </c>
      <c r="C6" s="4">
        <v>23704.91</v>
      </c>
      <c r="D6" s="4">
        <v>12830.51</v>
      </c>
      <c r="E6" s="4">
        <v>1503837</v>
      </c>
      <c r="F6" s="4">
        <v>1402.3774639999999</v>
      </c>
      <c r="G6" s="4">
        <v>1676.9830160000001</v>
      </c>
      <c r="H6" s="23">
        <f>F6/G6*100</f>
        <v>83.625024858331656</v>
      </c>
      <c r="I6" s="7">
        <v>6282.8389999999999</v>
      </c>
      <c r="J6" s="7">
        <v>694.85199999999998</v>
      </c>
      <c r="K6" s="7">
        <v>6977.6910000000007</v>
      </c>
      <c r="L6" s="7">
        <v>137.75443965899998</v>
      </c>
      <c r="M6" s="7">
        <v>7.5858066820000003</v>
      </c>
      <c r="N6" s="7">
        <v>0.68985631800000002</v>
      </c>
      <c r="O6" s="7">
        <v>146.03010265899997</v>
      </c>
      <c r="P6" s="7">
        <v>187.76698599800002</v>
      </c>
      <c r="Q6" s="23">
        <f>O6/P6*100</f>
        <v>77.771979926522008</v>
      </c>
    </row>
    <row r="7" spans="1:17" ht="30" customHeight="1" x14ac:dyDescent="0.25">
      <c r="A7" s="11">
        <v>43221</v>
      </c>
      <c r="B7" s="5">
        <v>12858</v>
      </c>
      <c r="C7" s="5">
        <v>24776.68</v>
      </c>
      <c r="D7" s="5">
        <v>13577</v>
      </c>
      <c r="E7" s="5">
        <v>1489358</v>
      </c>
      <c r="F7" s="5">
        <v>1404.0584000000001</v>
      </c>
      <c r="G7" s="5">
        <v>1730.9908</v>
      </c>
      <c r="H7" s="23">
        <f t="shared" ref="H7:H18" si="0">F7/G7*100</f>
        <v>81.112990317452883</v>
      </c>
      <c r="I7" s="8">
        <v>6216.9</v>
      </c>
      <c r="J7" s="8">
        <v>775.00300000000004</v>
      </c>
      <c r="K7" s="8">
        <v>6991.9029999999993</v>
      </c>
      <c r="L7" s="8">
        <v>142.03829999999999</v>
      </c>
      <c r="M7" s="8">
        <v>7.3445</v>
      </c>
      <c r="N7" s="8">
        <v>0.79431099999999988</v>
      </c>
      <c r="O7" s="8">
        <v>150.17670040000002</v>
      </c>
      <c r="P7" s="8">
        <v>193.32050000000001</v>
      </c>
      <c r="Q7" s="23">
        <f t="shared" ref="Q7:Q18" si="1">O7/P7*100</f>
        <v>77.68276018321906</v>
      </c>
    </row>
    <row r="8" spans="1:17" ht="30" customHeight="1" x14ac:dyDescent="0.25">
      <c r="A8" s="10">
        <v>43252</v>
      </c>
      <c r="B8" s="4">
        <v>12320</v>
      </c>
      <c r="C8" s="4">
        <v>23585.06</v>
      </c>
      <c r="D8" s="4">
        <v>12720.1</v>
      </c>
      <c r="E8" s="4">
        <v>1383126</v>
      </c>
      <c r="F8" s="4">
        <v>1306.3696</v>
      </c>
      <c r="G8" s="4">
        <v>1620.2686000000001</v>
      </c>
      <c r="H8" s="23">
        <f t="shared" si="0"/>
        <v>80.626730654411247</v>
      </c>
      <c r="I8" s="7">
        <v>6115.6</v>
      </c>
      <c r="J8" s="7">
        <v>693.4</v>
      </c>
      <c r="K8" s="7">
        <v>6809</v>
      </c>
      <c r="L8" s="7">
        <v>133.09621999999999</v>
      </c>
      <c r="M8" s="7">
        <v>7.1695799999999998</v>
      </c>
      <c r="N8" s="7">
        <v>0.70179999999999998</v>
      </c>
      <c r="O8" s="7">
        <v>140.96759999999998</v>
      </c>
      <c r="P8" s="7">
        <v>177.62378000000001</v>
      </c>
      <c r="Q8" s="23">
        <f t="shared" si="1"/>
        <v>79.363022225965452</v>
      </c>
    </row>
    <row r="9" spans="1:17" ht="30" customHeight="1" x14ac:dyDescent="0.25">
      <c r="A9" s="11">
        <v>43282</v>
      </c>
      <c r="B9" s="5">
        <v>12140</v>
      </c>
      <c r="C9" s="5">
        <v>22954.17</v>
      </c>
      <c r="D9" s="5">
        <v>12543.94</v>
      </c>
      <c r="E9" s="5">
        <v>1403909</v>
      </c>
      <c r="F9" s="5">
        <v>1301.3691529999999</v>
      </c>
      <c r="G9" s="5">
        <v>1589.1421</v>
      </c>
      <c r="H9" s="23">
        <f t="shared" si="0"/>
        <v>81.891301791073303</v>
      </c>
      <c r="I9" s="8">
        <v>6130.4829999999993</v>
      </c>
      <c r="J9" s="8">
        <v>717.7</v>
      </c>
      <c r="K9" s="8">
        <v>6848.1829999999991</v>
      </c>
      <c r="L9" s="8">
        <v>130.76278137399999</v>
      </c>
      <c r="M9" s="8">
        <v>7.1511365859999998</v>
      </c>
      <c r="N9" s="8">
        <v>0.73160799999999993</v>
      </c>
      <c r="O9" s="8">
        <v>138.64552595999999</v>
      </c>
      <c r="P9" s="8">
        <v>174.354030908</v>
      </c>
      <c r="Q9" s="23">
        <f t="shared" si="1"/>
        <v>79.519541497241306</v>
      </c>
    </row>
    <row r="10" spans="1:17" ht="30" customHeight="1" x14ac:dyDescent="0.25">
      <c r="A10" s="10">
        <v>43313</v>
      </c>
      <c r="B10" s="4">
        <v>12195</v>
      </c>
      <c r="C10" s="4">
        <v>22984.49</v>
      </c>
      <c r="D10" s="4">
        <v>12633.93</v>
      </c>
      <c r="E10" s="4">
        <v>1414887</v>
      </c>
      <c r="F10" s="4">
        <v>1318.3864699999999</v>
      </c>
      <c r="G10" s="4">
        <v>1606.40887</v>
      </c>
      <c r="H10" s="23">
        <f t="shared" si="0"/>
        <v>82.07041772621686</v>
      </c>
      <c r="I10" s="7">
        <v>6360.0205999999998</v>
      </c>
      <c r="J10" s="7">
        <v>790.423</v>
      </c>
      <c r="K10" s="7">
        <v>7150.4435999999996</v>
      </c>
      <c r="L10" s="7">
        <v>131.84302000000002</v>
      </c>
      <c r="M10" s="7">
        <v>7.2592000000000008</v>
      </c>
      <c r="N10" s="7">
        <v>0.81655</v>
      </c>
      <c r="O10" s="7">
        <v>139.91877000000002</v>
      </c>
      <c r="P10" s="7">
        <v>175.21350000000001</v>
      </c>
      <c r="Q10" s="23">
        <f t="shared" si="1"/>
        <v>79.85615834396323</v>
      </c>
    </row>
    <row r="11" spans="1:17" ht="30" customHeight="1" x14ac:dyDescent="0.25">
      <c r="A11" s="11">
        <v>43344</v>
      </c>
      <c r="B11" s="5">
        <v>11799</v>
      </c>
      <c r="C11" s="5">
        <v>21870.346700000002</v>
      </c>
      <c r="D11" s="5">
        <v>12214.182999999999</v>
      </c>
      <c r="E11" s="5">
        <v>1319045</v>
      </c>
      <c r="F11" s="5">
        <v>1227.5573569999999</v>
      </c>
      <c r="G11" s="5">
        <v>1518.902257</v>
      </c>
      <c r="H11" s="23">
        <f t="shared" si="0"/>
        <v>80.818719660379031</v>
      </c>
      <c r="I11" s="8">
        <v>6548.1257000000005</v>
      </c>
      <c r="J11" s="8">
        <v>707.67600000000004</v>
      </c>
      <c r="K11" s="8">
        <v>7255.8017000000009</v>
      </c>
      <c r="L11" s="8">
        <v>121.32415209999999</v>
      </c>
      <c r="M11" s="8">
        <v>7.5062978750000005</v>
      </c>
      <c r="N11" s="8">
        <v>0.71690999999999994</v>
      </c>
      <c r="O11" s="8">
        <v>129.54735997500001</v>
      </c>
      <c r="P11" s="8">
        <v>165.23636192000001</v>
      </c>
      <c r="Q11" s="23">
        <f t="shared" si="1"/>
        <v>78.401241996432361</v>
      </c>
    </row>
    <row r="12" spans="1:17" ht="30" customHeight="1" x14ac:dyDescent="0.25">
      <c r="A12" s="10">
        <v>43374</v>
      </c>
      <c r="B12" s="4">
        <v>12860</v>
      </c>
      <c r="C12" s="4">
        <v>23593.1</v>
      </c>
      <c r="D12" s="4">
        <v>13308.828000000001</v>
      </c>
      <c r="E12" s="4">
        <v>1415207</v>
      </c>
      <c r="F12" s="4">
        <v>1324.066143</v>
      </c>
      <c r="G12" s="4">
        <v>1689.8099510000002</v>
      </c>
      <c r="H12" s="23">
        <f t="shared" si="0"/>
        <v>78.355920570620412</v>
      </c>
      <c r="I12" s="7">
        <v>6729.5252</v>
      </c>
      <c r="J12" s="7">
        <v>729.495</v>
      </c>
      <c r="K12" s="7">
        <v>7459.0201999999999</v>
      </c>
      <c r="L12" s="7">
        <v>132.39527000000001</v>
      </c>
      <c r="M12" s="7">
        <v>7.7349189999999997</v>
      </c>
      <c r="N12" s="7">
        <v>0.73006504700000008</v>
      </c>
      <c r="O12" s="7">
        <v>140.86025404699998</v>
      </c>
      <c r="P12" s="7">
        <v>184.34464700000001</v>
      </c>
      <c r="Q12" s="23">
        <f t="shared" si="1"/>
        <v>76.41136118641947</v>
      </c>
    </row>
    <row r="13" spans="1:17" ht="30" customHeight="1" x14ac:dyDescent="0.25">
      <c r="A13" s="11">
        <v>43405</v>
      </c>
      <c r="B13" s="5">
        <v>12553</v>
      </c>
      <c r="C13" s="5">
        <v>18809.82</v>
      </c>
      <c r="D13" s="5">
        <v>13050.128999999999</v>
      </c>
      <c r="E13" s="5">
        <v>1388600</v>
      </c>
      <c r="F13" s="5">
        <v>1254.3020359999998</v>
      </c>
      <c r="G13" s="5">
        <v>1648.9075019999998</v>
      </c>
      <c r="H13" s="23">
        <f t="shared" si="0"/>
        <v>76.068671801094141</v>
      </c>
      <c r="I13" s="8">
        <v>5820.4587999999994</v>
      </c>
      <c r="J13" s="8">
        <v>694.27300000000002</v>
      </c>
      <c r="K13" s="8">
        <v>6514.7317999999996</v>
      </c>
      <c r="L13" s="8">
        <v>130.17850999999999</v>
      </c>
      <c r="M13" s="8">
        <v>6.5790579999999999</v>
      </c>
      <c r="N13" s="8">
        <v>0.68594000100000008</v>
      </c>
      <c r="O13" s="8">
        <v>137.443508001</v>
      </c>
      <c r="P13" s="8">
        <v>180.00959499999999</v>
      </c>
      <c r="Q13" s="23">
        <f t="shared" si="1"/>
        <v>76.353434382761648</v>
      </c>
    </row>
    <row r="14" spans="1:17" ht="30" customHeight="1" x14ac:dyDescent="0.25">
      <c r="A14" s="10">
        <v>43435</v>
      </c>
      <c r="B14" s="4">
        <v>14016</v>
      </c>
      <c r="C14" s="4">
        <v>25031.48</v>
      </c>
      <c r="D14" s="4">
        <v>13501.02</v>
      </c>
      <c r="E14" s="4">
        <v>1535656</v>
      </c>
      <c r="F14" s="4">
        <v>1400.4680000000001</v>
      </c>
      <c r="G14" s="4">
        <v>1776.8589999999999</v>
      </c>
      <c r="H14" s="23">
        <f t="shared" si="0"/>
        <v>78.817058641118976</v>
      </c>
      <c r="I14" s="7">
        <v>5773.2242000000006</v>
      </c>
      <c r="J14" s="7">
        <v>742.37699999999995</v>
      </c>
      <c r="K14" s="7">
        <v>6515.6012000000001</v>
      </c>
      <c r="L14" s="7">
        <v>128.80543</v>
      </c>
      <c r="M14" s="7">
        <v>6.6067200000000001</v>
      </c>
      <c r="N14" s="7">
        <v>0.72700199999999993</v>
      </c>
      <c r="O14" s="7">
        <v>136.139152</v>
      </c>
      <c r="P14" s="7">
        <v>192.94505999999998</v>
      </c>
      <c r="Q14" s="23">
        <f t="shared" si="1"/>
        <v>70.558506136410031</v>
      </c>
    </row>
    <row r="15" spans="1:17" ht="30" customHeight="1" x14ac:dyDescent="0.25">
      <c r="A15" s="11">
        <v>43466</v>
      </c>
      <c r="B15" s="5">
        <v>13278</v>
      </c>
      <c r="C15" s="5">
        <v>24974.053</v>
      </c>
      <c r="D15" s="5">
        <v>13404.922</v>
      </c>
      <c r="E15" s="5">
        <v>1500780</v>
      </c>
      <c r="F15" s="5">
        <v>1362.3717040000001</v>
      </c>
      <c r="G15" s="5">
        <v>1757.2404239999998</v>
      </c>
      <c r="H15" s="23">
        <f t="shared" si="0"/>
        <v>77.529044141770797</v>
      </c>
      <c r="I15" s="8">
        <v>5728.3980000000001</v>
      </c>
      <c r="J15" s="8">
        <v>750.61</v>
      </c>
      <c r="K15" s="8">
        <v>6479.0079999999998</v>
      </c>
      <c r="L15" s="8">
        <v>125.23936599999999</v>
      </c>
      <c r="M15" s="8">
        <v>6.7877679999999998</v>
      </c>
      <c r="N15" s="8">
        <v>0.79983500000000007</v>
      </c>
      <c r="O15" s="8">
        <v>132.82696900000002</v>
      </c>
      <c r="P15" s="8">
        <v>190.38738500000002</v>
      </c>
      <c r="Q15" s="23">
        <f t="shared" si="1"/>
        <v>69.766685959786685</v>
      </c>
    </row>
    <row r="16" spans="1:17" ht="30" customHeight="1" x14ac:dyDescent="0.25">
      <c r="A16" s="10">
        <v>43497</v>
      </c>
      <c r="B16" s="4">
        <v>11790</v>
      </c>
      <c r="C16" s="4">
        <v>22170.87</v>
      </c>
      <c r="D16" s="4">
        <v>12000.76</v>
      </c>
      <c r="E16" s="4">
        <v>1428500</v>
      </c>
      <c r="F16" s="4">
        <v>1308.806</v>
      </c>
      <c r="G16" s="4">
        <v>1580.0139999999999</v>
      </c>
      <c r="H16" s="23">
        <f t="shared" si="0"/>
        <v>82.83508880301062</v>
      </c>
      <c r="I16" s="7">
        <v>5355.1762000000008</v>
      </c>
      <c r="J16" s="7">
        <v>750.44299999999998</v>
      </c>
      <c r="K16" s="7">
        <v>6105.619200000001</v>
      </c>
      <c r="L16" s="7">
        <v>120.54512</v>
      </c>
      <c r="M16" s="7">
        <v>6.1274700000000006</v>
      </c>
      <c r="N16" s="7">
        <v>0.7598339999999999</v>
      </c>
      <c r="O16" s="7">
        <v>127.432424</v>
      </c>
      <c r="P16" s="7">
        <v>171.28826999999998</v>
      </c>
      <c r="Q16" s="23">
        <f t="shared" si="1"/>
        <v>74.396468596477746</v>
      </c>
    </row>
    <row r="17" spans="1:17" ht="30" customHeight="1" x14ac:dyDescent="0.25">
      <c r="A17" s="11">
        <v>43525</v>
      </c>
      <c r="B17" s="5">
        <v>12938</v>
      </c>
      <c r="C17" s="5">
        <v>23698.04</v>
      </c>
      <c r="D17" s="5">
        <v>13206.655000000001</v>
      </c>
      <c r="E17" s="5">
        <v>1487888</v>
      </c>
      <c r="F17" s="5">
        <v>1349.1748</v>
      </c>
      <c r="G17" s="5">
        <v>1721.1909369999998</v>
      </c>
      <c r="H17" s="23">
        <f t="shared" si="0"/>
        <v>78.386120388920006</v>
      </c>
      <c r="I17" s="8">
        <v>6493.3289999999997</v>
      </c>
      <c r="J17" s="8">
        <v>731.08299999999997</v>
      </c>
      <c r="K17" s="8">
        <v>7224.4119999999994</v>
      </c>
      <c r="L17" s="8">
        <v>124.060591</v>
      </c>
      <c r="M17" s="8">
        <v>7.3702930000000002</v>
      </c>
      <c r="N17" s="8">
        <v>0.69918000000000002</v>
      </c>
      <c r="O17" s="8">
        <v>132.130064</v>
      </c>
      <c r="P17" s="8">
        <v>184.82318900000001</v>
      </c>
      <c r="Q17" s="23">
        <f t="shared" si="1"/>
        <v>71.489981703540451</v>
      </c>
    </row>
    <row r="18" spans="1:17" ht="30" customHeight="1" x14ac:dyDescent="0.25">
      <c r="A18" s="3" t="s">
        <v>19</v>
      </c>
      <c r="B18" s="6">
        <v>151166</v>
      </c>
      <c r="C18" s="6">
        <v>278153.0197</v>
      </c>
      <c r="D18" s="6">
        <v>154991.97699999998</v>
      </c>
      <c r="E18" s="6">
        <v>17270793</v>
      </c>
      <c r="F18" s="6">
        <v>15959.307127000002</v>
      </c>
      <c r="G18" s="6">
        <v>19916.717456999999</v>
      </c>
      <c r="H18" s="24">
        <f t="shared" si="0"/>
        <v>80.130208009708397</v>
      </c>
      <c r="I18" s="9">
        <v>73554.079699999987</v>
      </c>
      <c r="J18" s="9">
        <v>8777.3349999999991</v>
      </c>
      <c r="K18" s="9">
        <v>82331.414700000008</v>
      </c>
      <c r="L18" s="9">
        <v>1558.043200133</v>
      </c>
      <c r="M18" s="9">
        <v>85.222749142999987</v>
      </c>
      <c r="N18" s="9">
        <v>8.8528913659999997</v>
      </c>
      <c r="O18" s="9">
        <v>1652.1184300419998</v>
      </c>
      <c r="P18" s="9">
        <v>2177.3133048259997</v>
      </c>
      <c r="Q18" s="24">
        <f t="shared" si="1"/>
        <v>75.878764272467862</v>
      </c>
    </row>
    <row r="19" spans="1:17" ht="19.5" customHeight="1" x14ac:dyDescent="0.25">
      <c r="A19" s="12" t="s">
        <v>23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4"/>
    </row>
  </sheetData>
  <mergeCells count="13">
    <mergeCell ref="A19:Q19"/>
    <mergeCell ref="P4:P5"/>
    <mergeCell ref="Q4:Q5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1.01</vt:lpstr>
      <vt:lpstr>'1.01'!Print_Area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2020-05-06T11:06:29Z</cp:lastPrinted>
  <dcterms:created xsi:type="dcterms:W3CDTF">2018-10-29T04:00:07Z</dcterms:created>
  <dcterms:modified xsi:type="dcterms:W3CDTF">2020-05-06T11:06:38Z</dcterms:modified>
</cp:coreProperties>
</file>