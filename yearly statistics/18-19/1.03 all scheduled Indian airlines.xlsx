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LL INDIA SCHEDULED CARRIERS\"/>
    </mc:Choice>
  </mc:AlternateContent>
  <bookViews>
    <workbookView showHorizontalScroll="0" showVerticalScroll="0" showSheetTabs="0" xWindow="-120" yWindow="-120" windowWidth="20736" windowHeight="11160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7" i="1" l="1"/>
  <c r="Q18" i="1" l="1"/>
  <c r="Q17" i="1"/>
  <c r="Q16" i="1"/>
  <c r="Q15" i="1"/>
  <c r="Q14" i="1"/>
  <c r="Q13" i="1"/>
  <c r="Q12" i="1"/>
  <c r="Q11" i="1"/>
  <c r="Q10" i="1"/>
  <c r="Q9" i="1"/>
  <c r="Q8" i="1"/>
  <c r="Q7" i="1"/>
  <c r="Q6" i="1"/>
  <c r="H7" i="1"/>
  <c r="H8" i="1"/>
  <c r="H9" i="1"/>
  <c r="H10" i="1"/>
  <c r="H11" i="1"/>
  <c r="H12" i="1"/>
  <c r="H13" i="1"/>
  <c r="H14" i="1"/>
  <c r="H15" i="1"/>
  <c r="H16" i="1"/>
  <c r="H17" i="1"/>
  <c r="H18" i="1"/>
  <c r="H6" i="1"/>
  <c r="I18" i="1" l="1"/>
  <c r="J18" i="1"/>
  <c r="K18" i="1"/>
  <c r="L18" i="1"/>
  <c r="M18" i="1"/>
  <c r="N18" i="1"/>
  <c r="O18" i="1"/>
  <c r="P18" i="1"/>
  <c r="C18" i="1"/>
  <c r="D18" i="1"/>
  <c r="E18" i="1"/>
  <c r="F18" i="1"/>
  <c r="G18" i="1"/>
  <c r="B18" i="1"/>
</calcChain>
</file>

<file path=xl/sharedStrings.xml><?xml version="1.0" encoding="utf-8"?>
<sst xmlns="http://schemas.openxmlformats.org/spreadsheetml/2006/main" count="26" uniqueCount="24">
  <si>
    <t>Table 1.03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</si>
  <si>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</si>
  <si>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</si>
  <si>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</si>
  <si>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</si>
  <si>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</si>
  <si>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</si>
  <si>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</si>
  <si>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</si>
  <si>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</si>
  <si>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</si>
  <si>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</si>
  <si>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</si>
  <si>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</si>
  <si>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</si>
  <si>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</si>
  <si>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</si>
  <si>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</si>
  <si>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</si>
  <si>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</si>
  <si>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</si>
  <si>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2018-19</t>
  </si>
  <si>
    <t xml:space="preserve"> तालिका- 1.03 (सभी अनुसूचित भारतीय एयरलाइन्स) </t>
  </si>
  <si>
    <t xml:space="preserve"> MONTHLY TRAFFIC AND OPERATING STATISTICS OF ALL SCHEDULED INDIAN AIRLINES ON TOTAL SCHEDULED (INTERNATIONAL+DOMESTIC) SERVICES DURING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</si>
</sst>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3" fontId="0" fillId="0" borderId="0" xfId="0" applyNumberFormat="1" applyFont="1"/>
    <xf numFmtId="0" fontId="5" fillId="3" borderId="1" xfId="2" applyBorder="1" applyAlignment="1" applyProtection="1">
      <alignment horizontal="center" vertical="center" textRotation="90" wrapText="1"/>
    </xf>
    <xf numFmtId="17" fontId="1" fillId="2" borderId="1" xfId="0" applyNumberFormat="1" applyFont="1" applyFill="1" applyBorder="1" applyAlignment="1" applyProtection="1">
      <alignment horizontal="center" vertical="center" wrapText="1"/>
    </xf>
    <xf numFmtId="17" fontId="3" fillId="5" borderId="1" xfId="4" applyNumberFormat="1" applyBorder="1" applyAlignment="1" applyProtection="1">
      <alignment horizontal="center" vertical="center" wrapText="1"/>
    </xf>
    <xf numFmtId="0" fontId="4" fillId="5" borderId="1" xfId="4" applyFont="1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right" vertical="center" wrapText="1"/>
    </xf>
    <xf numFmtId="3" fontId="2" fillId="2" borderId="1" xfId="0" applyNumberFormat="1" applyFont="1" applyFill="1" applyBorder="1" applyAlignment="1" applyProtection="1">
      <alignment horizontal="right" vertical="center" wrapText="1"/>
    </xf>
    <xf numFmtId="3" fontId="4" fillId="6" borderId="1" xfId="0" applyNumberFormat="1" applyFont="1" applyFill="1" applyBorder="1" applyAlignment="1">
      <alignment horizontal="right" vertical="center"/>
    </xf>
    <xf numFmtId="164" fontId="3" fillId="4" borderId="1" xfId="3" applyNumberFormat="1" applyBorder="1" applyAlignment="1" applyProtection="1">
      <alignment horizontal="right" vertical="center" wrapText="1"/>
    </xf>
    <xf numFmtId="164" fontId="3" fillId="5" borderId="1" xfId="4" applyNumberFormat="1" applyBorder="1" applyAlignment="1" applyProtection="1">
      <alignment horizontal="right" vertical="center" wrapText="1"/>
    </xf>
    <xf numFmtId="164" fontId="2" fillId="2" borderId="1" xfId="0" applyNumberFormat="1" applyFont="1" applyFill="1" applyBorder="1" applyAlignment="1" applyProtection="1">
      <alignment horizontal="right" vertical="center" wrapText="1"/>
    </xf>
    <xf numFmtId="165" fontId="0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3" fillId="5" borderId="1" xfId="4" applyBorder="1" applyAlignment="1">
      <alignment horizontal="center" vertical="center" wrapText="1"/>
    </xf>
    <xf numFmtId="0" fontId="3" fillId="5" borderId="1" xfId="4" quotePrefix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5">
    <cellStyle name="20% - Accent1" xfId="3" builtinId="30"/>
    <cellStyle name="40% - Accent1" xfId="4" builtinId="31"/>
    <cellStyle name="Accent1" xfId="2" builtinId="2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R19"/>
  <sheetViews>
    <sheetView tabSelected="1" zoomScaleNormal="100" zoomScaleSheetLayoutView="100" workbookViewId="0">
      <selection activeCell="N18" sqref="N18"/>
    </sheetView>
  </sheetViews>
  <sheetFormatPr defaultColWidth="9.109375" defaultRowHeight="14.4" x14ac:dyDescent="0.3"/>
  <cols>
    <col min="1" max="1" width="8.88671875" style="1" customWidth="1"/>
    <col min="2" max="2" width="10.33203125" style="1" customWidth="1"/>
    <col min="3" max="3" width="10.44140625" style="1" customWidth="1"/>
    <col min="4" max="4" width="10.33203125" style="1" customWidth="1"/>
    <col min="5" max="5" width="12.109375" style="1" customWidth="1"/>
    <col min="6" max="6" width="8.109375" style="1" customWidth="1"/>
    <col min="7" max="7" width="9.109375" style="1" customWidth="1"/>
    <col min="8" max="8" width="6.5546875" style="1" customWidth="1"/>
    <col min="9" max="9" width="11.109375" style="1" customWidth="1"/>
    <col min="10" max="10" width="10.109375" style="1" customWidth="1"/>
    <col min="11" max="11" width="11.33203125" style="1" customWidth="1"/>
    <col min="12" max="13" width="8" style="1" customWidth="1"/>
    <col min="14" max="14" width="6" style="1" customWidth="1"/>
    <col min="15" max="15" width="9.5546875" style="1" customWidth="1"/>
    <col min="16" max="16" width="9.109375" style="1" customWidth="1"/>
    <col min="17" max="17" width="6.6640625" style="1" customWidth="1"/>
    <col min="18" max="16384" width="9.109375" style="1"/>
  </cols>
  <sheetData>
    <row r="1" spans="1:18" ht="18.75" customHeight="1" x14ac:dyDescent="0.3">
      <c r="A1" s="18" t="s">
        <v>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8" ht="18.75" customHeight="1" x14ac:dyDescent="0.3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8" ht="18.75" customHeight="1" x14ac:dyDescent="0.3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8" ht="19.5" customHeight="1" x14ac:dyDescent="0.3">
      <c r="A4" s="21" t="s">
        <v>1</v>
      </c>
      <c r="B4" s="21" t="s">
        <v>2</v>
      </c>
      <c r="C4" s="21"/>
      <c r="D4" s="21"/>
      <c r="E4" s="21" t="s">
        <v>3</v>
      </c>
      <c r="F4" s="22"/>
      <c r="G4" s="15" t="s">
        <v>4</v>
      </c>
      <c r="H4" s="15" t="s">
        <v>5</v>
      </c>
      <c r="I4" s="21" t="s">
        <v>6</v>
      </c>
      <c r="J4" s="21"/>
      <c r="K4" s="21"/>
      <c r="L4" s="21" t="s">
        <v>7</v>
      </c>
      <c r="M4" s="21"/>
      <c r="N4" s="21"/>
      <c r="O4" s="21"/>
      <c r="P4" s="15" t="s">
        <v>8</v>
      </c>
      <c r="Q4" s="15" t="s">
        <v>9</v>
      </c>
    </row>
    <row r="5" spans="1:18" ht="115.5" customHeight="1" x14ac:dyDescent="0.3">
      <c r="A5" s="21"/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16"/>
      <c r="H5" s="16"/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16</v>
      </c>
      <c r="O5" s="3" t="s">
        <v>17</v>
      </c>
      <c r="P5" s="16"/>
      <c r="Q5" s="16"/>
    </row>
    <row r="6" spans="1:18" ht="30" customHeight="1" x14ac:dyDescent="0.3">
      <c r="A6" s="5">
        <v>43191</v>
      </c>
      <c r="B6" s="7">
        <v>96640</v>
      </c>
      <c r="C6" s="7">
        <v>202563.5963</v>
      </c>
      <c r="D6" s="7">
        <v>122421.799</v>
      </c>
      <c r="E6" s="7">
        <v>13551526</v>
      </c>
      <c r="F6" s="7">
        <v>18038.565101999997</v>
      </c>
      <c r="G6" s="7">
        <v>21110.211168000002</v>
      </c>
      <c r="H6" s="13">
        <f>F6/G6*100</f>
        <v>85.449477309558262</v>
      </c>
      <c r="I6" s="10">
        <v>87876.132000000012</v>
      </c>
      <c r="J6" s="11">
        <v>3348.1304999999998</v>
      </c>
      <c r="K6" s="11">
        <v>91224.262499999997</v>
      </c>
      <c r="L6" s="11">
        <v>1563.2745126830002</v>
      </c>
      <c r="M6" s="11">
        <v>222.87660625499998</v>
      </c>
      <c r="N6" s="11">
        <v>5.6237849759999987</v>
      </c>
      <c r="O6" s="11">
        <v>1791.7749039139999</v>
      </c>
      <c r="P6" s="11">
        <v>2456.111566951</v>
      </c>
      <c r="Q6" s="13">
        <f>O6/P6*100</f>
        <v>72.951690306898271</v>
      </c>
    </row>
    <row r="7" spans="1:18" ht="30" customHeight="1" x14ac:dyDescent="0.3">
      <c r="A7" s="4">
        <v>43221</v>
      </c>
      <c r="B7" s="8">
        <v>101761</v>
      </c>
      <c r="C7" s="8">
        <v>213954.00260000001</v>
      </c>
      <c r="D7" s="8">
        <v>128646.77100000001</v>
      </c>
      <c r="E7" s="8">
        <v>13922320</v>
      </c>
      <c r="F7" s="8">
        <v>18556.57719</v>
      </c>
      <c r="G7" s="8">
        <v>22079.036973000002</v>
      </c>
      <c r="H7" s="13">
        <f t="shared" ref="H7:H18" si="0">F7/G7*100</f>
        <v>84.046134859470783</v>
      </c>
      <c r="I7" s="10">
        <v>94328.799999999988</v>
      </c>
      <c r="J7" s="12">
        <v>3542.77297</v>
      </c>
      <c r="K7" s="12">
        <v>97871.572969999994</v>
      </c>
      <c r="L7" s="12">
        <v>1638.576203586</v>
      </c>
      <c r="M7" s="12">
        <v>229.75874200000001</v>
      </c>
      <c r="N7" s="12">
        <v>6.0934068378999999</v>
      </c>
      <c r="O7" s="12">
        <v>1874.4297496499998</v>
      </c>
      <c r="P7" s="12">
        <v>2609.8681835999996</v>
      </c>
      <c r="Q7" s="13">
        <f t="shared" ref="Q7:Q18" si="1">O7/P7*100</f>
        <v>71.820859054438884</v>
      </c>
      <c r="R7" s="2"/>
    </row>
    <row r="8" spans="1:18" ht="30" customHeight="1" x14ac:dyDescent="0.3">
      <c r="A8" s="5">
        <v>43252</v>
      </c>
      <c r="B8" s="7">
        <v>99284</v>
      </c>
      <c r="C8" s="7">
        <v>213832.27960000004</v>
      </c>
      <c r="D8" s="7">
        <v>125856.58200000001</v>
      </c>
      <c r="E8" s="7">
        <v>13318370</v>
      </c>
      <c r="F8" s="7">
        <v>18108.121638999997</v>
      </c>
      <c r="G8" s="7">
        <v>21806.208502000001</v>
      </c>
      <c r="H8" s="13">
        <f t="shared" si="0"/>
        <v>83.041128572806102</v>
      </c>
      <c r="I8" s="10">
        <v>92999.890000000014</v>
      </c>
      <c r="J8" s="11">
        <v>3623.0796</v>
      </c>
      <c r="K8" s="11">
        <v>96622.969600000011</v>
      </c>
      <c r="L8" s="11">
        <v>1611.8424443280001</v>
      </c>
      <c r="M8" s="11">
        <v>222.21066100000002</v>
      </c>
      <c r="N8" s="11">
        <v>5.9297200000000005</v>
      </c>
      <c r="O8" s="11">
        <v>1839.982817462</v>
      </c>
      <c r="P8" s="11">
        <v>2571.2642735939999</v>
      </c>
      <c r="Q8" s="13">
        <f t="shared" si="1"/>
        <v>71.559459537395327</v>
      </c>
    </row>
    <row r="9" spans="1:18" ht="30" customHeight="1" x14ac:dyDescent="0.3">
      <c r="A9" s="4">
        <v>43282</v>
      </c>
      <c r="B9" s="8">
        <v>100297</v>
      </c>
      <c r="C9" s="8">
        <v>215668.36919999999</v>
      </c>
      <c r="D9" s="8">
        <v>127930.34699999999</v>
      </c>
      <c r="E9" s="8">
        <v>13802661</v>
      </c>
      <c r="F9" s="8">
        <v>18668.277659000003</v>
      </c>
      <c r="G9" s="8">
        <v>22048.310314000002</v>
      </c>
      <c r="H9" s="13">
        <f t="shared" si="0"/>
        <v>84.669878975470596</v>
      </c>
      <c r="I9" s="10">
        <v>96662.331999999995</v>
      </c>
      <c r="J9" s="12">
        <v>3989.2503999999999</v>
      </c>
      <c r="K9" s="12">
        <v>100651.5824</v>
      </c>
      <c r="L9" s="12">
        <v>1658.9611192638001</v>
      </c>
      <c r="M9" s="12">
        <v>232.51532402599997</v>
      </c>
      <c r="N9" s="12">
        <v>6.4444038629999998</v>
      </c>
      <c r="O9" s="12">
        <v>1897.9208471528002</v>
      </c>
      <c r="P9" s="12">
        <v>2604.5810435009998</v>
      </c>
      <c r="Q9" s="13">
        <f t="shared" si="1"/>
        <v>72.86856563317653</v>
      </c>
    </row>
    <row r="10" spans="1:18" ht="30" customHeight="1" x14ac:dyDescent="0.3">
      <c r="A10" s="5">
        <v>43313</v>
      </c>
      <c r="B10" s="7">
        <v>101189</v>
      </c>
      <c r="C10" s="7">
        <v>210102.78600000002</v>
      </c>
      <c r="D10" s="7">
        <v>128090.43400000002</v>
      </c>
      <c r="E10" s="7">
        <v>13470595</v>
      </c>
      <c r="F10" s="7">
        <v>18373.789787000002</v>
      </c>
      <c r="G10" s="7">
        <v>22106.021897999999</v>
      </c>
      <c r="H10" s="13">
        <f t="shared" si="0"/>
        <v>83.116672333805724</v>
      </c>
      <c r="I10" s="10">
        <v>95317.981639999998</v>
      </c>
      <c r="J10" s="11">
        <v>4008.1181999999999</v>
      </c>
      <c r="K10" s="11">
        <v>99326.099839999981</v>
      </c>
      <c r="L10" s="11">
        <v>1637.8633709569999</v>
      </c>
      <c r="M10" s="11">
        <v>232.97473583000001</v>
      </c>
      <c r="N10" s="11">
        <v>6.9061400000000006</v>
      </c>
      <c r="O10" s="11">
        <v>1877.7442379439999</v>
      </c>
      <c r="P10" s="11">
        <v>2643.537755327</v>
      </c>
      <c r="Q10" s="13">
        <f t="shared" si="1"/>
        <v>71.031489304820866</v>
      </c>
    </row>
    <row r="11" spans="1:18" ht="30" customHeight="1" x14ac:dyDescent="0.3">
      <c r="A11" s="4">
        <v>43344</v>
      </c>
      <c r="B11" s="8">
        <v>100275</v>
      </c>
      <c r="C11" s="8">
        <v>213146.56632999994</v>
      </c>
      <c r="D11" s="8">
        <v>124454.25300000001</v>
      </c>
      <c r="E11" s="8">
        <v>13345523</v>
      </c>
      <c r="F11" s="8">
        <v>17675.361344999998</v>
      </c>
      <c r="G11" s="8">
        <v>21727.466403000002</v>
      </c>
      <c r="H11" s="13">
        <f t="shared" si="0"/>
        <v>81.350310326838141</v>
      </c>
      <c r="I11" s="10">
        <v>95573.687049999993</v>
      </c>
      <c r="J11" s="12">
        <v>3730.6806000000001</v>
      </c>
      <c r="K11" s="12">
        <v>99304.367649999986</v>
      </c>
      <c r="L11" s="12">
        <v>1580.0248177839999</v>
      </c>
      <c r="M11" s="12">
        <v>232.34961614440004</v>
      </c>
      <c r="N11" s="12">
        <v>6.7023276999999997</v>
      </c>
      <c r="O11" s="12">
        <v>1819.0793398413998</v>
      </c>
      <c r="P11" s="12">
        <v>2597.6046283629998</v>
      </c>
      <c r="Q11" s="13">
        <f t="shared" si="1"/>
        <v>70.029107585467159</v>
      </c>
    </row>
    <row r="12" spans="1:18" ht="30" customHeight="1" x14ac:dyDescent="0.3">
      <c r="A12" s="5">
        <v>43374</v>
      </c>
      <c r="B12" s="7">
        <v>106088</v>
      </c>
      <c r="C12" s="7">
        <v>220660.00700000001</v>
      </c>
      <c r="D12" s="7">
        <v>132941.45000000001</v>
      </c>
      <c r="E12" s="7">
        <v>13850223</v>
      </c>
      <c r="F12" s="7">
        <v>18476.802079000005</v>
      </c>
      <c r="G12" s="7">
        <v>22898.544618</v>
      </c>
      <c r="H12" s="13">
        <f t="shared" si="0"/>
        <v>80.689853382541315</v>
      </c>
      <c r="I12" s="10">
        <v>101216.7971</v>
      </c>
      <c r="J12" s="11">
        <v>3862.8703</v>
      </c>
      <c r="K12" s="11">
        <v>105079.66739999999</v>
      </c>
      <c r="L12" s="11">
        <v>1651.14980378</v>
      </c>
      <c r="M12" s="11">
        <v>246.10081299999999</v>
      </c>
      <c r="N12" s="11">
        <v>6.9080746469999994</v>
      </c>
      <c r="O12" s="11">
        <v>1904.1586914270003</v>
      </c>
      <c r="P12" s="11">
        <v>2715.3411698</v>
      </c>
      <c r="Q12" s="13">
        <f t="shared" si="1"/>
        <v>70.125946330613488</v>
      </c>
    </row>
    <row r="13" spans="1:18" ht="30" customHeight="1" x14ac:dyDescent="0.3">
      <c r="A13" s="4">
        <v>43405</v>
      </c>
      <c r="B13" s="8">
        <v>102844</v>
      </c>
      <c r="C13" s="8">
        <v>211379.12583</v>
      </c>
      <c r="D13" s="8">
        <v>131091.77600000001</v>
      </c>
      <c r="E13" s="8">
        <v>13786200</v>
      </c>
      <c r="F13" s="8">
        <v>18792.047171999999</v>
      </c>
      <c r="G13" s="8">
        <v>22650.462210000002</v>
      </c>
      <c r="H13" s="13">
        <f t="shared" si="0"/>
        <v>82.965402638465619</v>
      </c>
      <c r="I13" s="10">
        <v>87785.495670000004</v>
      </c>
      <c r="J13" s="12">
        <v>3933.6324500000001</v>
      </c>
      <c r="K13" s="12">
        <v>91719.128120000008</v>
      </c>
      <c r="L13" s="12">
        <v>1673.4352999</v>
      </c>
      <c r="M13" s="12">
        <v>223.73219100000006</v>
      </c>
      <c r="N13" s="12">
        <v>6.9034180510000009</v>
      </c>
      <c r="O13" s="12">
        <v>1904.0709089510001</v>
      </c>
      <c r="P13" s="12">
        <v>2673.2577865999997</v>
      </c>
      <c r="Q13" s="13">
        <f t="shared" si="1"/>
        <v>71.226610411287908</v>
      </c>
    </row>
    <row r="14" spans="1:18" ht="30" customHeight="1" x14ac:dyDescent="0.3">
      <c r="A14" s="5">
        <v>43435</v>
      </c>
      <c r="B14" s="7">
        <v>108250</v>
      </c>
      <c r="C14" s="7">
        <v>228294.24312999999</v>
      </c>
      <c r="D14" s="7">
        <v>138228.76799999998</v>
      </c>
      <c r="E14" s="7">
        <v>15112591</v>
      </c>
      <c r="F14" s="7">
        <v>20753.793453000002</v>
      </c>
      <c r="G14" s="7">
        <v>24143.058530999999</v>
      </c>
      <c r="H14" s="13">
        <f t="shared" si="0"/>
        <v>85.961741037705991</v>
      </c>
      <c r="I14" s="10">
        <v>91187.45504000003</v>
      </c>
      <c r="J14" s="11">
        <v>4342.58547</v>
      </c>
      <c r="K14" s="11">
        <v>95530.040510000021</v>
      </c>
      <c r="L14" s="11">
        <v>1845.42351132</v>
      </c>
      <c r="M14" s="11">
        <v>227.35707239999999</v>
      </c>
      <c r="N14" s="11">
        <v>7.5171869999999998</v>
      </c>
      <c r="O14" s="11">
        <v>2080.2977707199998</v>
      </c>
      <c r="P14" s="11">
        <v>2837.4775339000003</v>
      </c>
      <c r="Q14" s="13">
        <f t="shared" si="1"/>
        <v>73.315039356830198</v>
      </c>
    </row>
    <row r="15" spans="1:18" ht="30" customHeight="1" x14ac:dyDescent="0.3">
      <c r="A15" s="4">
        <v>43466</v>
      </c>
      <c r="B15" s="8">
        <v>107989</v>
      </c>
      <c r="C15" s="8">
        <v>229646.60100000002</v>
      </c>
      <c r="D15" s="8">
        <v>138365.489</v>
      </c>
      <c r="E15" s="8">
        <v>14964334</v>
      </c>
      <c r="F15" s="8">
        <v>20894.648092999996</v>
      </c>
      <c r="G15" s="8">
        <v>24362.728972999994</v>
      </c>
      <c r="H15" s="13">
        <f t="shared" si="0"/>
        <v>85.764809501252913</v>
      </c>
      <c r="I15" s="10">
        <v>83945.680000000008</v>
      </c>
      <c r="J15" s="12">
        <v>4310.01</v>
      </c>
      <c r="K15" s="12">
        <v>88255.690000000017</v>
      </c>
      <c r="L15" s="12">
        <v>1860.1973523049999</v>
      </c>
      <c r="M15" s="12">
        <v>199.07952500000002</v>
      </c>
      <c r="N15" s="12">
        <v>7.2186300000000001</v>
      </c>
      <c r="O15" s="12">
        <v>2066.4955073049996</v>
      </c>
      <c r="P15" s="12">
        <v>2840.9344406000005</v>
      </c>
      <c r="Q15" s="13">
        <f t="shared" si="1"/>
        <v>72.739992791546399</v>
      </c>
    </row>
    <row r="16" spans="1:18" ht="30" customHeight="1" x14ac:dyDescent="0.3">
      <c r="A16" s="5">
        <v>43497</v>
      </c>
      <c r="B16" s="7">
        <v>94403</v>
      </c>
      <c r="C16" s="7">
        <v>199372.9045</v>
      </c>
      <c r="D16" s="7">
        <v>122571.87800000001</v>
      </c>
      <c r="E16" s="7">
        <v>13449765</v>
      </c>
      <c r="F16" s="7">
        <v>18429.941363999998</v>
      </c>
      <c r="G16" s="7">
        <v>21378.991254</v>
      </c>
      <c r="H16" s="13">
        <f t="shared" si="0"/>
        <v>86.20585108547516</v>
      </c>
      <c r="I16" s="10">
        <v>82229.389070000019</v>
      </c>
      <c r="J16" s="11">
        <v>3661.1358900000005</v>
      </c>
      <c r="K16" s="11">
        <v>85890.52496000001</v>
      </c>
      <c r="L16" s="11">
        <v>1644.0788329999998</v>
      </c>
      <c r="M16" s="11">
        <v>196.72745999999998</v>
      </c>
      <c r="N16" s="11">
        <v>5.9468540000000001</v>
      </c>
      <c r="O16" s="11">
        <v>1846.7531470000004</v>
      </c>
      <c r="P16" s="11">
        <v>2511.7066187999999</v>
      </c>
      <c r="Q16" s="13">
        <f t="shared" si="1"/>
        <v>73.525830332935556</v>
      </c>
    </row>
    <row r="17" spans="1:17" ht="30" customHeight="1" x14ac:dyDescent="0.3">
      <c r="A17" s="4">
        <v>43525</v>
      </c>
      <c r="B17" s="8">
        <v>99088</v>
      </c>
      <c r="C17" s="8">
        <v>206657.72990000001</v>
      </c>
      <c r="D17" s="8">
        <v>129147.08300000001</v>
      </c>
      <c r="E17" s="8">
        <v>13659179</v>
      </c>
      <c r="F17" s="8">
        <v>18572.690685999998</v>
      </c>
      <c r="G17" s="8">
        <v>22192.755639999996</v>
      </c>
      <c r="H17" s="13">
        <f t="shared" si="0"/>
        <v>83.688078160626304</v>
      </c>
      <c r="I17" s="10">
        <v>90062.758500000011</v>
      </c>
      <c r="J17" s="12">
        <v>3581.3248000000003</v>
      </c>
      <c r="K17" s="12">
        <f>I17+J17</f>
        <v>93644.083300000013</v>
      </c>
      <c r="L17" s="12">
        <v>1659.97032513</v>
      </c>
      <c r="M17" s="12">
        <v>212.04226300000005</v>
      </c>
      <c r="N17" s="12">
        <v>5.5846290000000005</v>
      </c>
      <c r="O17" s="12">
        <v>1877.59721713</v>
      </c>
      <c r="P17" s="12">
        <v>2604.6289394</v>
      </c>
      <c r="Q17" s="13">
        <f t="shared" si="1"/>
        <v>72.086936788874098</v>
      </c>
    </row>
    <row r="18" spans="1:17" ht="30" customHeight="1" x14ac:dyDescent="0.3">
      <c r="A18" s="6" t="s">
        <v>21</v>
      </c>
      <c r="B18" s="9">
        <f>SUM(B6:B17)</f>
        <v>1218108</v>
      </c>
      <c r="C18" s="9">
        <f t="shared" ref="C18:G18" si="2">SUM(C6:C17)</f>
        <v>2565278.2113900003</v>
      </c>
      <c r="D18" s="9">
        <f t="shared" si="2"/>
        <v>1549746.6300000004</v>
      </c>
      <c r="E18" s="9">
        <f t="shared" si="2"/>
        <v>166233287</v>
      </c>
      <c r="F18" s="9">
        <f t="shared" si="2"/>
        <v>225340.61556899996</v>
      </c>
      <c r="G18" s="9">
        <f t="shared" si="2"/>
        <v>268503.79648399999</v>
      </c>
      <c r="H18" s="14">
        <f t="shared" si="0"/>
        <v>83.924554706409111</v>
      </c>
      <c r="I18" s="9">
        <f t="shared" ref="I18" si="3">SUM(I6:I17)</f>
        <v>1099186.3980700001</v>
      </c>
      <c r="J18" s="9">
        <f t="shared" ref="J18" si="4">SUM(J6:J17)</f>
        <v>45933.591180000003</v>
      </c>
      <c r="K18" s="9">
        <f t="shared" ref="K18" si="5">SUM(K6:K17)</f>
        <v>1145119.9892500001</v>
      </c>
      <c r="L18" s="9">
        <f t="shared" ref="L18" si="6">SUM(L6:L17)</f>
        <v>20024.797594036801</v>
      </c>
      <c r="M18" s="9">
        <f t="shared" ref="M18:N18" si="7">SUM(M6:M17)</f>
        <v>2677.7250096554008</v>
      </c>
      <c r="N18" s="9">
        <f t="shared" si="7"/>
        <v>77.778576074900002</v>
      </c>
      <c r="O18" s="9">
        <f t="shared" ref="O18" si="8">SUM(O6:O17)</f>
        <v>22780.305138497199</v>
      </c>
      <c r="P18" s="9">
        <f t="shared" ref="P18" si="9">SUM(P6:P17)</f>
        <v>31666.313940436001</v>
      </c>
      <c r="Q18" s="14">
        <f t="shared" si="1"/>
        <v>71.938607004739197</v>
      </c>
    </row>
    <row r="19" spans="1:17" x14ac:dyDescent="0.3">
      <c r="A19" s="17" t="s">
        <v>20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2020-06-11T07:28:47Z</cp:lastPrinted>
  <dcterms:created xsi:type="dcterms:W3CDTF">2018-10-29T04:00:10Z</dcterms:created>
  <dcterms:modified xsi:type="dcterms:W3CDTF">2020-06-11T07:29:25Z</dcterms:modified>
</cp:coreProperties>
</file>