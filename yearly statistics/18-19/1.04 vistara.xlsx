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omestic final\EXCELs\VISTARA\"/>
    </mc:Choice>
  </mc:AlternateContent>
  <bookViews>
    <workbookView xWindow="0" yWindow="0" windowWidth="24000" windowHeight="9135"/>
  </bookViews>
  <sheets>
    <sheet name="VISTARA" sheetId="17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6" i="17" l="1"/>
  <c r="Q33" i="17"/>
  <c r="Q31" i="17"/>
  <c r="Q30" i="17"/>
  <c r="Q27" i="17"/>
  <c r="Q24" i="17"/>
  <c r="Q28" i="17" s="1"/>
  <c r="H37" i="17"/>
  <c r="H36" i="17"/>
  <c r="H33" i="17"/>
  <c r="H31" i="17"/>
  <c r="H30" i="17"/>
  <c r="H27" i="17"/>
  <c r="H28" i="17" s="1"/>
  <c r="H24" i="17"/>
  <c r="Q34" i="17" l="1"/>
  <c r="Q37" i="17"/>
  <c r="H34" i="17"/>
</calcChain>
</file>

<file path=xl/sharedStrings.xml><?xml version="1.0" encoding="utf-8"?>
<sst xmlns="http://schemas.openxmlformats.org/spreadsheetml/2006/main" count="163" uniqueCount="39">
  <si>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</si>
  <si>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</si>
  <si>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</si>
  <si>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</si>
  <si>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</si>
  <si>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</si>
  <si>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</si>
  <si>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</si>
  <si>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</si>
  <si>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</si>
  <si>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</si>
  <si>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</si>
  <si>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</si>
  <si>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</si>
  <si>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</si>
  <si>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</si>
  <si>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</si>
  <si>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</si>
  <si>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</si>
  <si>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</si>
  <si>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</si>
  <si>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</si>
  <si>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</si>
  <si>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</si>
  <si>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</si>
  <si>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</si>
  <si>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</si>
  <si>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</si>
  <si>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</si>
  <si>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</si>
  <si>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</si>
  <si>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</si>
  <si>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</si>
  <si>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</si>
  <si>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तालिका - 1.04 (विस्तारा)</t>
  </si>
  <si>
    <t>TABLE - 1.04 (VISTARA)</t>
  </si>
  <si>
    <t>YEAR-WISE DETAILS OF ANNUAL TRAFFIC AND OPERATING STATISTICS ON DOMESTIC SCHEDULED SERVICES OF VISTARA</t>
  </si>
  <si>
    <t>SOURCE: ICAO ATR FORM 'A' FURNISHED BY VISTARA</t>
  </si>
  <si>
    <t>Note: Growth has been calculated with respect to preceeding year while Compound Annual Growth Rate (CAGR) has been calculating taking 2008-09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</si>
</sst>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3" fontId="5" fillId="3" borderId="2" xfId="1" applyNumberFormat="1" applyAlignment="1" applyProtection="1">
      <alignment horizontal="center" vertical="center" wrapText="1"/>
    </xf>
    <xf numFmtId="164" fontId="5" fillId="3" borderId="2" xfId="1" applyNumberFormat="1" applyAlignment="1" applyProtection="1">
      <alignment horizontal="center" vertical="center" wrapText="1"/>
    </xf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0" fillId="0" borderId="0" xfId="0" applyAlignment="1">
      <alignment horizontal="center" vertical="center"/>
    </xf>
    <xf numFmtId="0" fontId="5" fillId="3" borderId="2" xfId="1" applyFont="1" applyAlignment="1" applyProtection="1">
      <alignment horizontal="center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3" borderId="2" xfId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6" fontId="5" fillId="3" borderId="2" xfId="4" applyNumberFormat="1" applyFont="1" applyFill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center" vertical="center" wrapText="1"/>
    </xf>
    <xf numFmtId="166" fontId="5" fillId="3" borderId="2" xfId="1" applyNumberFormat="1" applyAlignment="1">
      <alignment horizontal="center" vertical="center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2" xfId="1" applyAlignment="1">
      <alignment horizontal="center" vertical="center" wrapText="1"/>
    </xf>
    <xf numFmtId="0" fontId="5" fillId="3" borderId="2" xfId="1" quotePrefix="1" applyAlignment="1" applyProtection="1">
      <alignment horizontal="center" vertical="center" wrapText="1"/>
    </xf>
    <xf numFmtId="0" fontId="5" fillId="3" borderId="2" xfId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workbookViewId="0">
      <selection activeCell="K14" sqref="K14"/>
    </sheetView>
  </sheetViews>
  <sheetFormatPr defaultRowHeight="15" x14ac:dyDescent="0.25"/>
  <cols>
    <col min="1" max="1" width="8.140625" customWidth="1"/>
    <col min="2" max="2" width="7.42578125" customWidth="1"/>
    <col min="3" max="3" width="7.85546875" customWidth="1"/>
    <col min="4" max="4" width="8.28515625" customWidth="1"/>
    <col min="6" max="6" width="8.28515625" customWidth="1"/>
    <col min="7" max="7" width="7.140625" customWidth="1"/>
    <col min="8" max="8" width="6" customWidth="1"/>
    <col min="9" max="9" width="8.42578125" customWidth="1"/>
    <col min="10" max="10" width="6.42578125" customWidth="1"/>
    <col min="11" max="11" width="8.42578125" customWidth="1"/>
    <col min="12" max="12" width="8.140625" customWidth="1"/>
    <col min="13" max="13" width="8.28515625" customWidth="1"/>
    <col min="14" max="14" width="6.140625" customWidth="1"/>
    <col min="15" max="15" width="8.28515625" customWidth="1"/>
    <col min="16" max="16" width="7.85546875" customWidth="1"/>
    <col min="17" max="17" width="5.85546875" customWidth="1"/>
  </cols>
  <sheetData>
    <row r="1" spans="1:17" x14ac:dyDescent="0.25">
      <c r="A1" s="19" t="s">
        <v>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35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36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7.75" customHeight="1" x14ac:dyDescent="0.25">
      <c r="A5" s="22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6"/>
      <c r="H5" s="16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6"/>
      <c r="Q5" s="16"/>
    </row>
    <row r="6" spans="1:17" ht="17.100000000000001" customHeight="1" x14ac:dyDescent="0.25">
      <c r="A6" s="7" t="s">
        <v>19</v>
      </c>
      <c r="B6" s="1"/>
      <c r="C6" s="1"/>
      <c r="D6" s="1"/>
      <c r="E6" s="1"/>
      <c r="F6" s="1"/>
      <c r="G6" s="1"/>
      <c r="H6" s="12"/>
      <c r="I6" s="2"/>
      <c r="J6" s="2"/>
      <c r="K6" s="2"/>
      <c r="L6" s="2"/>
      <c r="M6" s="2"/>
      <c r="N6" s="2"/>
      <c r="O6" s="2"/>
      <c r="P6" s="2"/>
      <c r="Q6" s="12"/>
    </row>
    <row r="7" spans="1:17" ht="17.100000000000001" customHeight="1" x14ac:dyDescent="0.25">
      <c r="A7" s="8" t="s">
        <v>32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7.100000000000001" customHeight="1" x14ac:dyDescent="0.25">
      <c r="A8" s="9" t="s">
        <v>30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7.100000000000001" customHeight="1" x14ac:dyDescent="0.25">
      <c r="A9" s="7" t="s">
        <v>20</v>
      </c>
      <c r="B9" s="1"/>
      <c r="C9" s="1"/>
      <c r="D9" s="1"/>
      <c r="E9" s="1"/>
      <c r="F9" s="1"/>
      <c r="G9" s="1"/>
      <c r="H9" s="12"/>
      <c r="I9" s="2"/>
      <c r="J9" s="2"/>
      <c r="K9" s="2"/>
      <c r="L9" s="2"/>
      <c r="M9" s="2"/>
      <c r="N9" s="2"/>
      <c r="O9" s="2"/>
      <c r="P9" s="2"/>
      <c r="Q9" s="12"/>
    </row>
    <row r="10" spans="1:17" ht="17.100000000000001" customHeight="1" x14ac:dyDescent="0.25">
      <c r="A10" s="8" t="s">
        <v>32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7.100000000000001" customHeight="1" x14ac:dyDescent="0.25">
      <c r="A11" s="9" t="s">
        <v>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17.100000000000001" customHeight="1" x14ac:dyDescent="0.25">
      <c r="A12" s="7" t="s">
        <v>21</v>
      </c>
      <c r="B12" s="1"/>
      <c r="C12" s="1"/>
      <c r="D12" s="1"/>
      <c r="E12" s="1"/>
      <c r="F12" s="1"/>
      <c r="G12" s="1"/>
      <c r="H12" s="12"/>
      <c r="I12" s="2"/>
      <c r="J12" s="2"/>
      <c r="K12" s="2"/>
      <c r="L12" s="2"/>
      <c r="M12" s="2"/>
      <c r="N12" s="2"/>
      <c r="O12" s="2"/>
      <c r="P12" s="2"/>
      <c r="Q12" s="12"/>
    </row>
    <row r="13" spans="1:17" ht="17.100000000000001" customHeight="1" x14ac:dyDescent="0.25">
      <c r="A13" s="8" t="s">
        <v>32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7.100000000000001" customHeight="1" x14ac:dyDescent="0.25">
      <c r="A14" s="9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7.100000000000001" customHeight="1" x14ac:dyDescent="0.25">
      <c r="A15" s="7" t="s">
        <v>22</v>
      </c>
      <c r="B15" s="1"/>
      <c r="C15" s="1"/>
      <c r="D15" s="1"/>
      <c r="E15" s="1"/>
      <c r="F15" s="1"/>
      <c r="G15" s="1"/>
      <c r="H15" s="12"/>
      <c r="I15" s="2"/>
      <c r="J15" s="2"/>
      <c r="K15" s="2"/>
      <c r="L15" s="2"/>
      <c r="M15" s="2"/>
      <c r="N15" s="2"/>
      <c r="O15" s="2"/>
      <c r="P15" s="2"/>
      <c r="Q15" s="12"/>
    </row>
    <row r="16" spans="1:17" ht="17.100000000000001" customHeight="1" x14ac:dyDescent="0.25">
      <c r="A16" s="8" t="s">
        <v>32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7.100000000000001" customHeight="1" x14ac:dyDescent="0.25">
      <c r="A17" s="9" t="s">
        <v>30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7.100000000000001" customHeight="1" x14ac:dyDescent="0.25">
      <c r="A18" s="7" t="s">
        <v>23</v>
      </c>
      <c r="B18" s="1"/>
      <c r="C18" s="1"/>
      <c r="D18" s="1"/>
      <c r="E18" s="1"/>
      <c r="F18" s="1"/>
      <c r="G18" s="1"/>
      <c r="H18" s="12"/>
      <c r="I18" s="2"/>
      <c r="J18" s="2"/>
      <c r="K18" s="2"/>
      <c r="L18" s="2"/>
      <c r="M18" s="2"/>
      <c r="N18" s="2"/>
      <c r="O18" s="2"/>
      <c r="P18" s="2"/>
      <c r="Q18" s="12"/>
    </row>
    <row r="19" spans="1:17" ht="17.100000000000001" customHeight="1" x14ac:dyDescent="0.25">
      <c r="A19" s="8" t="s">
        <v>32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7.100000000000001" customHeight="1" x14ac:dyDescent="0.25">
      <c r="A20" s="9" t="s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17.100000000000001" customHeight="1" x14ac:dyDescent="0.25">
      <c r="A21" s="7" t="s">
        <v>24</v>
      </c>
      <c r="B21" s="1"/>
      <c r="C21" s="1"/>
      <c r="D21" s="1"/>
      <c r="E21" s="1"/>
      <c r="F21" s="1"/>
      <c r="G21" s="1"/>
      <c r="H21" s="12"/>
      <c r="I21" s="2"/>
      <c r="J21" s="2"/>
      <c r="K21" s="2"/>
      <c r="L21" s="2"/>
      <c r="M21" s="2"/>
      <c r="N21" s="2"/>
      <c r="O21" s="2"/>
      <c r="P21" s="2"/>
      <c r="Q21" s="12"/>
    </row>
    <row r="22" spans="1:17" ht="17.100000000000001" customHeight="1" x14ac:dyDescent="0.25">
      <c r="A22" s="8" t="s">
        <v>32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7.100000000000001" customHeight="1" x14ac:dyDescent="0.25">
      <c r="A23" s="9" t="s">
        <v>30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17.100000000000001" customHeight="1" x14ac:dyDescent="0.25">
      <c r="A24" s="7" t="s">
        <v>25</v>
      </c>
      <c r="B24" s="1">
        <v>1304</v>
      </c>
      <c r="C24" s="1">
        <v>1980.64</v>
      </c>
      <c r="D24" s="1">
        <v>1311</v>
      </c>
      <c r="E24" s="1">
        <v>100919</v>
      </c>
      <c r="F24" s="1">
        <v>104.248</v>
      </c>
      <c r="G24" s="1">
        <v>193.96</v>
      </c>
      <c r="H24" s="12">
        <f t="shared" ref="H24:H36" si="0">F24/G24*100</f>
        <v>53.747164363786347</v>
      </c>
      <c r="I24" s="2">
        <v>1957</v>
      </c>
      <c r="J24" s="2">
        <v>0</v>
      </c>
      <c r="K24" s="2">
        <v>1957</v>
      </c>
      <c r="L24" s="2">
        <v>7.8183809999999996</v>
      </c>
      <c r="M24" s="2">
        <v>2.1248180000000003</v>
      </c>
      <c r="N24" s="2">
        <v>0</v>
      </c>
      <c r="O24" s="2">
        <v>9.9431989999999999</v>
      </c>
      <c r="P24" s="2">
        <v>19.540830000000003</v>
      </c>
      <c r="Q24" s="12">
        <f t="shared" ref="Q24:Q36" si="1">O24/P24*100</f>
        <v>50.884220373443704</v>
      </c>
    </row>
    <row r="25" spans="1:17" ht="17.100000000000001" customHeight="1" x14ac:dyDescent="0.25">
      <c r="A25" s="8" t="s">
        <v>32</v>
      </c>
      <c r="B25" s="3" t="s">
        <v>31</v>
      </c>
      <c r="C25" s="3" t="s">
        <v>31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</row>
    <row r="26" spans="1:17" ht="17.100000000000001" customHeight="1" x14ac:dyDescent="0.25">
      <c r="A26" s="9" t="s">
        <v>30</v>
      </c>
      <c r="B26" s="6" t="s">
        <v>31</v>
      </c>
      <c r="C26" s="6" t="s">
        <v>31</v>
      </c>
      <c r="D26" s="6" t="s">
        <v>31</v>
      </c>
      <c r="E26" s="6" t="s">
        <v>31</v>
      </c>
      <c r="F26" s="6" t="s">
        <v>31</v>
      </c>
      <c r="G26" s="6" t="s">
        <v>31</v>
      </c>
      <c r="H26" s="6" t="s">
        <v>31</v>
      </c>
      <c r="I26" s="6" t="s">
        <v>31</v>
      </c>
      <c r="J26" s="6" t="s">
        <v>31</v>
      </c>
      <c r="K26" s="6" t="s">
        <v>31</v>
      </c>
      <c r="L26" s="6" t="s">
        <v>31</v>
      </c>
      <c r="M26" s="6" t="s">
        <v>31</v>
      </c>
      <c r="N26" s="6" t="s">
        <v>31</v>
      </c>
      <c r="O26" s="6" t="s">
        <v>31</v>
      </c>
      <c r="P26" s="6" t="s">
        <v>31</v>
      </c>
      <c r="Q26" s="6" t="s">
        <v>31</v>
      </c>
    </row>
    <row r="27" spans="1:17" ht="17.100000000000001" customHeight="1" x14ac:dyDescent="0.25">
      <c r="A27" s="7" t="s">
        <v>26</v>
      </c>
      <c r="B27" s="1">
        <v>13920</v>
      </c>
      <c r="C27" s="1">
        <v>20665.93</v>
      </c>
      <c r="D27" s="1">
        <v>14235</v>
      </c>
      <c r="E27" s="1">
        <v>1422611</v>
      </c>
      <c r="F27" s="1">
        <v>1462.2139999999999</v>
      </c>
      <c r="G27" s="1">
        <v>2107.0390000000002</v>
      </c>
      <c r="H27" s="12">
        <f t="shared" si="0"/>
        <v>69.396627210032648</v>
      </c>
      <c r="I27" s="2">
        <v>20414.741699999999</v>
      </c>
      <c r="J27" s="2">
        <v>0</v>
      </c>
      <c r="K27" s="2">
        <v>20414.741699999999</v>
      </c>
      <c r="L27" s="2">
        <v>109.66699999999999</v>
      </c>
      <c r="M27" s="2">
        <v>23.181415000000001</v>
      </c>
      <c r="N27" s="2">
        <v>0</v>
      </c>
      <c r="O27" s="2">
        <v>132.84841499999999</v>
      </c>
      <c r="P27" s="2">
        <v>213.54567000000003</v>
      </c>
      <c r="Q27" s="12">
        <f t="shared" si="1"/>
        <v>62.210774397813815</v>
      </c>
    </row>
    <row r="28" spans="1:17" ht="17.100000000000001" customHeight="1" x14ac:dyDescent="0.25">
      <c r="A28" s="8" t="s">
        <v>32</v>
      </c>
      <c r="B28" s="13">
        <v>9.6748466257668717</v>
      </c>
      <c r="C28" s="13">
        <v>9.4339657888359323</v>
      </c>
      <c r="D28" s="13">
        <v>9.858123569794051</v>
      </c>
      <c r="E28" s="13">
        <v>13.09656258979974</v>
      </c>
      <c r="F28" s="13">
        <v>13.026302662880822</v>
      </c>
      <c r="G28" s="13">
        <v>9.8632656217776873</v>
      </c>
      <c r="H28" s="13">
        <f t="shared" ref="H28" si="2">(H27-H24)/H24</f>
        <v>0.29116815801338469</v>
      </c>
      <c r="I28" s="13">
        <v>9.4316513541134377</v>
      </c>
      <c r="J28" s="3" t="s">
        <v>31</v>
      </c>
      <c r="K28" s="13">
        <v>9.4316513541134377</v>
      </c>
      <c r="L28" s="13">
        <v>13.026817060974643</v>
      </c>
      <c r="M28" s="13">
        <v>9.9098355717995599</v>
      </c>
      <c r="N28" s="3" t="s">
        <v>31</v>
      </c>
      <c r="O28" s="13">
        <v>12.360731792655463</v>
      </c>
      <c r="P28" s="13">
        <v>9.9281780763662546</v>
      </c>
      <c r="Q28" s="13">
        <f t="shared" ref="Q28" si="3">(Q27-Q24)/Q24</f>
        <v>0.22259462641352368</v>
      </c>
    </row>
    <row r="29" spans="1:17" ht="17.100000000000001" customHeight="1" x14ac:dyDescent="0.25">
      <c r="A29" s="9" t="s">
        <v>30</v>
      </c>
      <c r="B29" s="6" t="s">
        <v>31</v>
      </c>
      <c r="C29" s="6" t="s">
        <v>31</v>
      </c>
      <c r="D29" s="6" t="s">
        <v>31</v>
      </c>
      <c r="E29" s="6" t="s">
        <v>31</v>
      </c>
      <c r="F29" s="6" t="s">
        <v>31</v>
      </c>
      <c r="G29" s="6" t="s">
        <v>31</v>
      </c>
      <c r="H29" s="6" t="s">
        <v>31</v>
      </c>
      <c r="I29" s="6" t="s">
        <v>31</v>
      </c>
      <c r="J29" s="6" t="s">
        <v>31</v>
      </c>
      <c r="K29" s="6" t="s">
        <v>31</v>
      </c>
      <c r="L29" s="6" t="s">
        <v>31</v>
      </c>
      <c r="M29" s="6" t="s">
        <v>31</v>
      </c>
      <c r="N29" s="6" t="s">
        <v>31</v>
      </c>
      <c r="O29" s="6" t="s">
        <v>31</v>
      </c>
      <c r="P29" s="6" t="s">
        <v>31</v>
      </c>
      <c r="Q29" s="6" t="s">
        <v>31</v>
      </c>
    </row>
    <row r="30" spans="1:17" ht="17.100000000000001" customHeight="1" x14ac:dyDescent="0.25">
      <c r="A30" s="7" t="s">
        <v>27</v>
      </c>
      <c r="B30" s="1">
        <v>23982</v>
      </c>
      <c r="C30" s="1">
        <v>40723.776000000005</v>
      </c>
      <c r="D30" s="1">
        <v>26343</v>
      </c>
      <c r="E30" s="1">
        <v>2926586</v>
      </c>
      <c r="F30" s="1">
        <v>3175.2959999999998</v>
      </c>
      <c r="G30" s="1">
        <v>4071.1559999999999</v>
      </c>
      <c r="H30" s="12">
        <f t="shared" si="0"/>
        <v>77.994947872299662</v>
      </c>
      <c r="I30" s="2">
        <v>31381</v>
      </c>
      <c r="J30" s="2">
        <v>0</v>
      </c>
      <c r="K30" s="2">
        <v>31381</v>
      </c>
      <c r="L30" s="2">
        <v>242.20099999999999</v>
      </c>
      <c r="M30" s="2">
        <v>33.417999999999999</v>
      </c>
      <c r="N30" s="2">
        <v>0</v>
      </c>
      <c r="O30" s="2">
        <v>275.61900000000003</v>
      </c>
      <c r="P30" s="2">
        <v>395.17099999999999</v>
      </c>
      <c r="Q30" s="12">
        <f t="shared" si="1"/>
        <v>69.746767854928635</v>
      </c>
    </row>
    <row r="31" spans="1:17" ht="17.100000000000001" customHeight="1" x14ac:dyDescent="0.25">
      <c r="A31" s="8" t="s">
        <v>32</v>
      </c>
      <c r="B31" s="13">
        <v>0.72284482758620694</v>
      </c>
      <c r="C31" s="13">
        <v>0.97057553180524681</v>
      </c>
      <c r="D31" s="13">
        <v>0.85057955742887248</v>
      </c>
      <c r="E31" s="13">
        <v>1.0571934281402295</v>
      </c>
      <c r="F31" s="13">
        <v>1.1715672261378978</v>
      </c>
      <c r="G31" s="13">
        <v>0.93216926691912183</v>
      </c>
      <c r="H31" s="13">
        <f t="shared" ref="H31" si="4">(H30-H27)/H27</f>
        <v>0.12390113191299242</v>
      </c>
      <c r="I31" s="13">
        <v>0.53717350242055728</v>
      </c>
      <c r="J31" s="3" t="s">
        <v>31</v>
      </c>
      <c r="K31" s="13">
        <v>0.53717350242055728</v>
      </c>
      <c r="L31" s="13">
        <v>1.208513044033301</v>
      </c>
      <c r="M31" s="13">
        <v>0.44158585660107452</v>
      </c>
      <c r="N31" s="3" t="s">
        <v>31</v>
      </c>
      <c r="O31" s="13">
        <v>1.0746879065136008</v>
      </c>
      <c r="P31" s="13">
        <v>0.85052218572261351</v>
      </c>
      <c r="Q31" s="13">
        <f t="shared" ref="Q31" si="5">(Q30-Q27)/Q27</f>
        <v>0.121136467598443</v>
      </c>
    </row>
    <row r="32" spans="1:17" ht="17.100000000000001" customHeight="1" x14ac:dyDescent="0.25">
      <c r="A32" s="9" t="s">
        <v>30</v>
      </c>
      <c r="B32" s="6" t="s">
        <v>31</v>
      </c>
      <c r="C32" s="6" t="s">
        <v>31</v>
      </c>
      <c r="D32" s="6" t="s">
        <v>31</v>
      </c>
      <c r="E32" s="6" t="s">
        <v>31</v>
      </c>
      <c r="F32" s="6" t="s">
        <v>31</v>
      </c>
      <c r="G32" s="6" t="s">
        <v>31</v>
      </c>
      <c r="H32" s="6" t="s">
        <v>31</v>
      </c>
      <c r="I32" s="6" t="s">
        <v>31</v>
      </c>
      <c r="J32" s="6" t="s">
        <v>31</v>
      </c>
      <c r="K32" s="6" t="s">
        <v>31</v>
      </c>
      <c r="L32" s="6" t="s">
        <v>31</v>
      </c>
      <c r="M32" s="6" t="s">
        <v>31</v>
      </c>
      <c r="N32" s="6" t="s">
        <v>31</v>
      </c>
      <c r="O32" s="6" t="s">
        <v>31</v>
      </c>
      <c r="P32" s="6" t="s">
        <v>31</v>
      </c>
      <c r="Q32" s="6" t="s">
        <v>31</v>
      </c>
    </row>
    <row r="33" spans="1:17" ht="17.100000000000001" customHeight="1" x14ac:dyDescent="0.25">
      <c r="A33" s="7" t="s">
        <v>28</v>
      </c>
      <c r="B33" s="1">
        <v>32823</v>
      </c>
      <c r="C33" s="1">
        <v>57063.286600000007</v>
      </c>
      <c r="D33" s="1">
        <v>37197</v>
      </c>
      <c r="E33" s="1">
        <v>4434987</v>
      </c>
      <c r="F33" s="1">
        <v>5048.6270000000004</v>
      </c>
      <c r="G33" s="1">
        <v>5877.7309999999998</v>
      </c>
      <c r="H33" s="12">
        <f t="shared" si="0"/>
        <v>85.89414860938686</v>
      </c>
      <c r="I33" s="2">
        <v>41388.8655</v>
      </c>
      <c r="J33" s="2">
        <v>0</v>
      </c>
      <c r="K33" s="2">
        <v>41388.8655</v>
      </c>
      <c r="L33" s="2">
        <v>378.64299999999997</v>
      </c>
      <c r="M33" s="2">
        <v>51.070999999999998</v>
      </c>
      <c r="N33" s="2">
        <v>0</v>
      </c>
      <c r="O33" s="2">
        <v>429.714</v>
      </c>
      <c r="P33" s="2">
        <v>558.01</v>
      </c>
      <c r="Q33" s="12">
        <f t="shared" si="1"/>
        <v>77.008297342341535</v>
      </c>
    </row>
    <row r="34" spans="1:17" ht="17.100000000000001" customHeight="1" x14ac:dyDescent="0.25">
      <c r="A34" s="8" t="s">
        <v>32</v>
      </c>
      <c r="B34" s="13">
        <v>0.36865148861646235</v>
      </c>
      <c r="C34" s="13">
        <v>0.40122778889658955</v>
      </c>
      <c r="D34" s="13">
        <v>0.41202596515203282</v>
      </c>
      <c r="E34" s="13">
        <v>0.51541318109223511</v>
      </c>
      <c r="F34" s="13">
        <v>0.58997050983593358</v>
      </c>
      <c r="G34" s="13">
        <v>0.44374988332552223</v>
      </c>
      <c r="H34" s="13">
        <f t="shared" ref="H34" si="6">(H33-H30)/H30</f>
        <v>0.10127836420918544</v>
      </c>
      <c r="I34" s="13">
        <v>0.31891480513686626</v>
      </c>
      <c r="J34" s="3" t="s">
        <v>31</v>
      </c>
      <c r="K34" s="13">
        <v>0.31891480513686626</v>
      </c>
      <c r="L34" s="13">
        <v>0.56334201758043934</v>
      </c>
      <c r="M34" s="13">
        <v>0.52824824944640614</v>
      </c>
      <c r="N34" s="3" t="s">
        <v>31</v>
      </c>
      <c r="O34" s="13">
        <v>0.55908700053334481</v>
      </c>
      <c r="P34" s="13">
        <v>0.4120722421432747</v>
      </c>
      <c r="Q34" s="13">
        <f t="shared" ref="Q34" si="7">(Q33-Q30)/Q30</f>
        <v>0.10411277412190172</v>
      </c>
    </row>
    <row r="35" spans="1:17" ht="17.100000000000001" customHeight="1" x14ac:dyDescent="0.25">
      <c r="A35" s="9" t="s">
        <v>30</v>
      </c>
      <c r="B35" s="6" t="s">
        <v>31</v>
      </c>
      <c r="C35" s="6" t="s">
        <v>31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  <c r="I35" s="6" t="s">
        <v>31</v>
      </c>
      <c r="J35" s="6" t="s">
        <v>31</v>
      </c>
      <c r="K35" s="6" t="s">
        <v>31</v>
      </c>
      <c r="L35" s="6" t="s">
        <v>31</v>
      </c>
      <c r="M35" s="6" t="s">
        <v>31</v>
      </c>
      <c r="N35" s="6" t="s">
        <v>31</v>
      </c>
      <c r="O35" s="6" t="s">
        <v>31</v>
      </c>
      <c r="P35" s="6" t="s">
        <v>31</v>
      </c>
      <c r="Q35" s="6" t="s">
        <v>31</v>
      </c>
    </row>
    <row r="36" spans="1:17" ht="17.100000000000001" customHeight="1" x14ac:dyDescent="0.25">
      <c r="A36" s="10" t="s">
        <v>33</v>
      </c>
      <c r="B36" s="1">
        <v>40645</v>
      </c>
      <c r="C36" s="1">
        <v>72019.224999999991</v>
      </c>
      <c r="D36" s="1">
        <v>47251.866000000002</v>
      </c>
      <c r="E36" s="1">
        <v>5438275</v>
      </c>
      <c r="F36" s="1">
        <v>6371.8714829999999</v>
      </c>
      <c r="G36" s="1">
        <v>7563.5130140000001</v>
      </c>
      <c r="H36" s="12">
        <f t="shared" si="0"/>
        <v>84.244867050611518</v>
      </c>
      <c r="I36" s="14">
        <v>53703.477399999996</v>
      </c>
      <c r="J36" s="2">
        <v>0</v>
      </c>
      <c r="K36" s="2">
        <v>53703.477399999996</v>
      </c>
      <c r="L36" s="2">
        <v>557.06781009999997</v>
      </c>
      <c r="M36" s="2">
        <v>69.627595499999998</v>
      </c>
      <c r="N36" s="2">
        <v>0</v>
      </c>
      <c r="O36" s="2">
        <v>626.69540559999996</v>
      </c>
      <c r="P36" s="2">
        <v>795.26014060000011</v>
      </c>
      <c r="Q36" s="12">
        <f t="shared" si="1"/>
        <v>78.803824510452259</v>
      </c>
    </row>
    <row r="37" spans="1:17" ht="17.100000000000001" customHeight="1" x14ac:dyDescent="0.25">
      <c r="A37" s="8" t="s">
        <v>29</v>
      </c>
      <c r="B37" s="13">
        <v>0.23830850318374311</v>
      </c>
      <c r="C37" s="13">
        <v>0.26209388367055575</v>
      </c>
      <c r="D37" s="13">
        <v>0.27031389628195829</v>
      </c>
      <c r="E37" s="13">
        <v>0.22622118170808617</v>
      </c>
      <c r="F37" s="13">
        <v>0.26209987051925193</v>
      </c>
      <c r="G37" s="13">
        <v>0.2868082962626225</v>
      </c>
      <c r="H37" s="13">
        <f t="shared" ref="H37" si="8">(H36-H33)/H33</f>
        <v>-1.9201326114490439E-2</v>
      </c>
      <c r="I37" s="13">
        <v>0.29753441538521985</v>
      </c>
      <c r="J37" s="3" t="s">
        <v>31</v>
      </c>
      <c r="K37" s="13">
        <v>0.29753441538521985</v>
      </c>
      <c r="L37" s="13">
        <v>0.47122173155188402</v>
      </c>
      <c r="M37" s="13">
        <v>0.3633489749564332</v>
      </c>
      <c r="N37" s="3" t="s">
        <v>31</v>
      </c>
      <c r="O37" s="13">
        <v>0.458401182181637</v>
      </c>
      <c r="P37" s="13">
        <v>0.42517184387376594</v>
      </c>
      <c r="Q37" s="13">
        <f t="shared" ref="Q37" si="9">(Q36-Q33)/Q33</f>
        <v>2.331602217003553E-2</v>
      </c>
    </row>
    <row r="38" spans="1:17" ht="17.100000000000001" customHeight="1" x14ac:dyDescent="0.25">
      <c r="A38" s="9" t="s">
        <v>30</v>
      </c>
      <c r="B38" s="6" t="s">
        <v>31</v>
      </c>
      <c r="C38" s="6" t="s">
        <v>31</v>
      </c>
      <c r="D38" s="6" t="s">
        <v>31</v>
      </c>
      <c r="E38" s="6" t="s">
        <v>31</v>
      </c>
      <c r="F38" s="6" t="s">
        <v>31</v>
      </c>
      <c r="G38" s="6" t="s">
        <v>31</v>
      </c>
      <c r="H38" s="6" t="s">
        <v>31</v>
      </c>
      <c r="I38" s="6" t="s">
        <v>31</v>
      </c>
      <c r="J38" s="6" t="s">
        <v>31</v>
      </c>
      <c r="K38" s="6" t="s">
        <v>31</v>
      </c>
      <c r="L38" s="6" t="s">
        <v>31</v>
      </c>
      <c r="M38" s="6" t="s">
        <v>31</v>
      </c>
      <c r="N38" s="6" t="s">
        <v>31</v>
      </c>
      <c r="O38" s="6" t="s">
        <v>31</v>
      </c>
      <c r="P38" s="6" t="s">
        <v>31</v>
      </c>
      <c r="Q38" s="6" t="s">
        <v>31</v>
      </c>
    </row>
    <row r="39" spans="1:17" x14ac:dyDescent="0.25">
      <c r="A39" s="24" t="s">
        <v>37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ht="29.25" customHeight="1" x14ac:dyDescent="0.25">
      <c r="A40" s="17" t="s">
        <v>38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2020-05-20T09:44:30Z</dcterms:modified>
</cp:coreProperties>
</file>