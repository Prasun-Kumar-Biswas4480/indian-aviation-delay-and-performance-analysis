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PICEJET\"/>
    </mc:Choice>
  </mc:AlternateContent>
  <bookViews>
    <workbookView xWindow="0" yWindow="0" windowWidth="24000" windowHeight="9132"/>
  </bookViews>
  <sheets>
    <sheet name="SPICE JET" sheetId="1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5" l="1"/>
  <c r="Q33" i="15"/>
  <c r="Q37" i="15" s="1"/>
  <c r="Q31" i="15"/>
  <c r="Q30" i="15"/>
  <c r="Q32" i="15" s="1"/>
  <c r="Q29" i="15"/>
  <c r="Q27" i="15"/>
  <c r="Q28" i="15" s="1"/>
  <c r="Q26" i="15"/>
  <c r="Q24" i="15"/>
  <c r="Q23" i="15"/>
  <c r="Q21" i="15"/>
  <c r="Q22" i="15" s="1"/>
  <c r="Q18" i="15"/>
  <c r="Q20" i="15" s="1"/>
  <c r="Q15" i="15"/>
  <c r="Q17" i="15" s="1"/>
  <c r="Q14" i="15"/>
  <c r="Q13" i="15"/>
  <c r="Q12" i="15"/>
  <c r="Q9" i="15"/>
  <c r="Q11" i="15" s="1"/>
  <c r="Q6" i="15"/>
  <c r="Q38" i="15" s="1"/>
  <c r="H36" i="15"/>
  <c r="H37" i="15" s="1"/>
  <c r="H33" i="15"/>
  <c r="H35" i="15" s="1"/>
  <c r="H31" i="15"/>
  <c r="H30" i="15"/>
  <c r="H34" i="15" s="1"/>
  <c r="H27" i="15"/>
  <c r="H29" i="15" s="1"/>
  <c r="H24" i="15"/>
  <c r="H26" i="15" s="1"/>
  <c r="H23" i="15"/>
  <c r="H22" i="15"/>
  <c r="H21" i="15"/>
  <c r="H18" i="15"/>
  <c r="H20" i="15" s="1"/>
  <c r="H15" i="15"/>
  <c r="H16" i="15" s="1"/>
  <c r="H12" i="15"/>
  <c r="H14" i="15" s="1"/>
  <c r="H9" i="15"/>
  <c r="H6" i="15"/>
  <c r="H38" i="15" s="1"/>
  <c r="Q16" i="15" l="1"/>
  <c r="Q25" i="15"/>
  <c r="Q10" i="15"/>
  <c r="Q34" i="15"/>
  <c r="Q19" i="15"/>
  <c r="Q35" i="15"/>
  <c r="H32" i="15"/>
  <c r="H17" i="15"/>
  <c r="H25" i="15"/>
  <c r="H10" i="15"/>
  <c r="H11" i="15"/>
  <c r="H19" i="15"/>
  <c r="H28" i="15"/>
  <c r="H13" i="15"/>
</calcChain>
</file>

<file path=xl/sharedStrings.xml><?xml version="1.0" encoding="utf-8"?>
<sst xmlns="http://schemas.openxmlformats.org/spreadsheetml/2006/main" count="164" uniqueCount="39">
  <si>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</si>
  <si>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</si>
  <si>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</si>
  <si>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</si>
  <si>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</si>
  <si>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</si>
  <si>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</si>
  <si>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</si>
  <si>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</si>
  <si>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</si>
  <si>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</si>
  <si>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</si>
  <si>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</si>
  <si>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</si>
  <si>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</si>
  <si>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</si>
  <si>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</si>
  <si>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</si>
  <si>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</si>
  <si>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</si>
  <si>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</si>
  <si>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</si>
  <si>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</si>
  <si>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</si>
  <si>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</si>
  <si>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</si>
  <si>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</si>
  <si>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</si>
  <si>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</si>
  <si>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</si>
  <si>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</si>
  <si>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</si>
  <si>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</si>
  <si>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</si>
  <si>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(स्पाइसजेट) </t>
  </si>
  <si>
    <t>TABLE - 1.04 (SPICEJET)</t>
  </si>
  <si>
    <t>YEAR-WISE DETAILS OF ANNUAL TRAFFIC AND OPERATING STATISTICS ON DOMESTIC SCHEDULED SERVICES OF SPICEJET</t>
  </si>
  <si>
    <t>SOURCE: ICAO ATR FORM 'A' FURNISHED BY SPICEJET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</si>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</sst>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F12" sqref="F12"/>
    </sheetView>
  </sheetViews>
  <sheetFormatPr defaultRowHeight="14.4" x14ac:dyDescent="0.3"/>
  <cols>
    <col min="1" max="1" width="7.6640625" customWidth="1"/>
    <col min="2" max="2" width="7.5546875" customWidth="1"/>
    <col min="3" max="3" width="8" customWidth="1"/>
    <col min="4" max="4" width="7.44140625" customWidth="1"/>
    <col min="5" max="5" width="10" customWidth="1"/>
    <col min="6" max="6" width="8" customWidth="1"/>
    <col min="7" max="7" width="7.88671875" customWidth="1"/>
    <col min="8" max="8" width="7.33203125" customWidth="1"/>
    <col min="9" max="9" width="7.88671875" customWidth="1"/>
    <col min="10" max="10" width="6.6640625" customWidth="1"/>
    <col min="11" max="11" width="8.5546875" customWidth="1"/>
    <col min="12" max="12" width="7.6640625" customWidth="1"/>
    <col min="13" max="13" width="7.33203125" customWidth="1"/>
    <col min="14" max="14" width="6.33203125" customWidth="1"/>
    <col min="15" max="15" width="7.44140625" customWidth="1"/>
    <col min="16" max="16" width="8" customWidth="1"/>
    <col min="17" max="17" width="6.6640625" customWidth="1"/>
  </cols>
  <sheetData>
    <row r="1" spans="1:17" x14ac:dyDescent="0.3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3">
      <c r="A2" s="19" t="s">
        <v>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3">
      <c r="A3" s="21" t="s">
        <v>36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4.799999999999997" customHeight="1" x14ac:dyDescent="0.3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13.25" customHeight="1" x14ac:dyDescent="0.3">
      <c r="A5" s="21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4"/>
      <c r="H5" s="24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4"/>
      <c r="Q5" s="24"/>
    </row>
    <row r="6" spans="1:17" ht="17.100000000000001" customHeight="1" x14ac:dyDescent="0.3">
      <c r="A6" s="7" t="s">
        <v>19</v>
      </c>
      <c r="B6" s="8">
        <v>36774</v>
      </c>
      <c r="C6" s="8">
        <v>58198</v>
      </c>
      <c r="D6" s="8">
        <v>37869</v>
      </c>
      <c r="E6" s="8">
        <v>4099458</v>
      </c>
      <c r="F6" s="8">
        <v>4761.1670000000004</v>
      </c>
      <c r="G6" s="8">
        <v>7208.4260000000004</v>
      </c>
      <c r="H6" s="9">
        <f>F6/G6*100</f>
        <v>66.05002257080811</v>
      </c>
      <c r="I6" s="10">
        <v>0</v>
      </c>
      <c r="J6" s="10">
        <v>0</v>
      </c>
      <c r="K6" s="10">
        <v>0</v>
      </c>
      <c r="L6" s="10">
        <v>452.31099999999998</v>
      </c>
      <c r="M6" s="10">
        <v>0</v>
      </c>
      <c r="N6" s="10">
        <v>0</v>
      </c>
      <c r="O6" s="10">
        <v>452.31099999999998</v>
      </c>
      <c r="P6" s="10">
        <v>719.88099999999997</v>
      </c>
      <c r="Q6" s="9">
        <f>O6/P6*100</f>
        <v>62.831356849257027</v>
      </c>
    </row>
    <row r="7" spans="1:17" ht="17.100000000000001" customHeight="1" x14ac:dyDescent="0.3">
      <c r="A7" s="2" t="s">
        <v>32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ht="17.100000000000001" customHeight="1" x14ac:dyDescent="0.3">
      <c r="A8" s="3" t="s">
        <v>30</v>
      </c>
      <c r="B8" s="11" t="s">
        <v>31</v>
      </c>
      <c r="C8" s="11" t="s">
        <v>31</v>
      </c>
      <c r="D8" s="11" t="s">
        <v>31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31</v>
      </c>
      <c r="J8" s="11" t="s">
        <v>31</v>
      </c>
      <c r="K8" s="11" t="s">
        <v>31</v>
      </c>
      <c r="L8" s="11" t="s">
        <v>31</v>
      </c>
      <c r="M8" s="11" t="s">
        <v>31</v>
      </c>
      <c r="N8" s="11" t="s">
        <v>31</v>
      </c>
      <c r="O8" s="11" t="s">
        <v>31</v>
      </c>
      <c r="P8" s="11" t="s">
        <v>31</v>
      </c>
      <c r="Q8" s="11" t="s">
        <v>31</v>
      </c>
    </row>
    <row r="9" spans="1:17" ht="17.100000000000001" customHeight="1" x14ac:dyDescent="0.3">
      <c r="A9" s="7" t="s">
        <v>20</v>
      </c>
      <c r="B9" s="8">
        <v>44609</v>
      </c>
      <c r="C9" s="8">
        <v>74242</v>
      </c>
      <c r="D9" s="8">
        <v>44979.204000000005</v>
      </c>
      <c r="E9" s="8">
        <v>5692049</v>
      </c>
      <c r="F9" s="8">
        <v>6712.6885159999993</v>
      </c>
      <c r="G9" s="8">
        <v>8760.3131970000013</v>
      </c>
      <c r="H9" s="9">
        <f t="shared" ref="H9:H36" si="0">F9/G9*100</f>
        <v>76.626124717764455</v>
      </c>
      <c r="I9" s="10">
        <v>25771</v>
      </c>
      <c r="J9" s="10">
        <v>0</v>
      </c>
      <c r="K9" s="10">
        <v>25771</v>
      </c>
      <c r="L9" s="10">
        <v>590.52082799999994</v>
      </c>
      <c r="M9" s="10">
        <v>33.714064</v>
      </c>
      <c r="N9" s="10">
        <v>0</v>
      </c>
      <c r="O9" s="10">
        <v>624.23489199999995</v>
      </c>
      <c r="P9" s="10">
        <v>827.63430199999993</v>
      </c>
      <c r="Q9" s="9">
        <f t="shared" ref="Q9:Q36" si="1">O9/P9*100</f>
        <v>75.423999523886337</v>
      </c>
    </row>
    <row r="10" spans="1:17" ht="17.100000000000001" customHeight="1" x14ac:dyDescent="0.3">
      <c r="A10" s="2" t="s">
        <v>32</v>
      </c>
      <c r="B10" s="6">
        <v>0.21305813890248546</v>
      </c>
      <c r="C10" s="6">
        <v>0.27567957661775316</v>
      </c>
      <c r="D10" s="6">
        <v>0.18775790224193944</v>
      </c>
      <c r="E10" s="6">
        <v>0.38848818551135295</v>
      </c>
      <c r="F10" s="6">
        <v>0.40988302153652639</v>
      </c>
      <c r="G10" s="6">
        <v>0.21528794177813587</v>
      </c>
      <c r="H10" s="6">
        <f t="shared" ref="H10" si="2">(H9-H6)/H6</f>
        <v>0.16012261215533069</v>
      </c>
      <c r="I10" s="1" t="s">
        <v>31</v>
      </c>
      <c r="J10" s="1" t="s">
        <v>31</v>
      </c>
      <c r="K10" s="1" t="s">
        <v>31</v>
      </c>
      <c r="L10" s="6">
        <v>0.30556371169394503</v>
      </c>
      <c r="M10" s="1" t="s">
        <v>31</v>
      </c>
      <c r="N10" s="1" t="s">
        <v>31</v>
      </c>
      <c r="O10" s="6">
        <v>0.38010106320651049</v>
      </c>
      <c r="P10" s="6">
        <v>0.14968210301424814</v>
      </c>
      <c r="Q10" s="6">
        <f t="shared" ref="Q10" si="3">(Q9-Q6)/Q6</f>
        <v>0.20041971566587641</v>
      </c>
    </row>
    <row r="11" spans="1:17" ht="17.100000000000001" customHeight="1" x14ac:dyDescent="0.3">
      <c r="A11" s="3" t="s">
        <v>30</v>
      </c>
      <c r="B11" s="5">
        <v>0.21305813890248548</v>
      </c>
      <c r="C11" s="5">
        <v>0.27567957661775311</v>
      </c>
      <c r="D11" s="5">
        <v>0.18775790224193956</v>
      </c>
      <c r="E11" s="5">
        <v>0.38848818551135289</v>
      </c>
      <c r="F11" s="5">
        <v>0.40988302153652634</v>
      </c>
      <c r="G11" s="5">
        <v>0.21528794177813593</v>
      </c>
      <c r="H11" s="5">
        <f t="shared" ref="H11" si="4">(((H9/H6)^(1/1))-1)</f>
        <v>0.16012261215533075</v>
      </c>
      <c r="I11" s="11" t="s">
        <v>31</v>
      </c>
      <c r="J11" s="11" t="s">
        <v>31</v>
      </c>
      <c r="K11" s="11" t="s">
        <v>31</v>
      </c>
      <c r="L11" s="5">
        <v>0.30556371169394492</v>
      </c>
      <c r="M11" s="11" t="s">
        <v>31</v>
      </c>
      <c r="N11" s="11" t="s">
        <v>31</v>
      </c>
      <c r="O11" s="5">
        <v>0.38010106320651049</v>
      </c>
      <c r="P11" s="5">
        <v>0.14968210301424811</v>
      </c>
      <c r="Q11" s="5">
        <f t="shared" ref="Q11" si="5">(((Q9/Q6)^(1/1))-1)</f>
        <v>0.20041971566587646</v>
      </c>
    </row>
    <row r="12" spans="1:17" ht="17.100000000000001" customHeight="1" x14ac:dyDescent="0.3">
      <c r="A12" s="7" t="s">
        <v>21</v>
      </c>
      <c r="B12" s="8">
        <v>53263</v>
      </c>
      <c r="C12" s="8">
        <v>84339</v>
      </c>
      <c r="D12" s="8">
        <v>53294.406999999999</v>
      </c>
      <c r="E12" s="8">
        <v>7281571</v>
      </c>
      <c r="F12" s="8">
        <v>8430.7223620000004</v>
      </c>
      <c r="G12" s="8">
        <v>10364.068723999999</v>
      </c>
      <c r="H12" s="9">
        <f t="shared" si="0"/>
        <v>81.34568176373665</v>
      </c>
      <c r="I12" s="10">
        <v>46599</v>
      </c>
      <c r="J12" s="10">
        <v>0</v>
      </c>
      <c r="K12" s="10">
        <v>46599</v>
      </c>
      <c r="L12" s="10">
        <v>632.35007499999995</v>
      </c>
      <c r="M12" s="10">
        <v>61.092424000000001</v>
      </c>
      <c r="N12" s="10">
        <v>0</v>
      </c>
      <c r="O12" s="10">
        <v>693.442499</v>
      </c>
      <c r="P12" s="10">
        <v>889.66330099999993</v>
      </c>
      <c r="Q12" s="9">
        <f t="shared" si="1"/>
        <v>77.944374936063596</v>
      </c>
    </row>
    <row r="13" spans="1:17" ht="17.100000000000001" customHeight="1" x14ac:dyDescent="0.3">
      <c r="A13" s="2" t="s">
        <v>32</v>
      </c>
      <c r="B13" s="6">
        <v>0.19399672711784618</v>
      </c>
      <c r="C13" s="6">
        <v>0.13600118531289568</v>
      </c>
      <c r="D13" s="6">
        <v>0.18486772242567906</v>
      </c>
      <c r="E13" s="6">
        <v>0.27925304227001557</v>
      </c>
      <c r="F13" s="6">
        <v>0.255938264065879</v>
      </c>
      <c r="G13" s="6">
        <v>0.18307056961721516</v>
      </c>
      <c r="H13" s="6">
        <f t="shared" ref="H13" si="6">(H12-H9)/H9</f>
        <v>6.1592010079534222E-2</v>
      </c>
      <c r="I13" s="6">
        <v>0.80819525823600169</v>
      </c>
      <c r="J13" s="1" t="s">
        <v>31</v>
      </c>
      <c r="K13" s="6">
        <v>0.80819525823600169</v>
      </c>
      <c r="L13" s="6">
        <v>7.0834498999246154E-2</v>
      </c>
      <c r="M13" s="6">
        <v>0.8120753404276625</v>
      </c>
      <c r="N13" s="1" t="s">
        <v>31</v>
      </c>
      <c r="O13" s="6">
        <v>0.11086789265858606</v>
      </c>
      <c r="P13" s="6">
        <v>7.494735156590937E-2</v>
      </c>
      <c r="Q13" s="6">
        <f t="shared" ref="Q13" si="7">(Q12-Q9)/Q9</f>
        <v>3.3416093393178796E-2</v>
      </c>
    </row>
    <row r="14" spans="1:17" ht="17.100000000000001" customHeight="1" x14ac:dyDescent="0.3">
      <c r="A14" s="3" t="s">
        <v>30</v>
      </c>
      <c r="B14" s="5">
        <v>0.20348969569881792</v>
      </c>
      <c r="C14" s="5">
        <v>0.2038162281333562</v>
      </c>
      <c r="D14" s="5">
        <v>0.18631193217572806</v>
      </c>
      <c r="E14" s="5">
        <v>0.3327519407119135</v>
      </c>
      <c r="F14" s="5">
        <v>0.33068630210299421</v>
      </c>
      <c r="G14" s="5">
        <v>0.19907105607982722</v>
      </c>
      <c r="H14" s="5">
        <f t="shared" ref="H14" si="8">(((H12/H6)^(1/2))-1)</f>
        <v>0.10976434245144917</v>
      </c>
      <c r="I14" s="11" t="s">
        <v>31</v>
      </c>
      <c r="J14" s="11" t="s">
        <v>31</v>
      </c>
      <c r="K14" s="11" t="s">
        <v>31</v>
      </c>
      <c r="L14" s="5">
        <v>0.18238854152236339</v>
      </c>
      <c r="M14" s="11" t="s">
        <v>31</v>
      </c>
      <c r="N14" s="11" t="s">
        <v>31</v>
      </c>
      <c r="O14" s="5">
        <v>0.23818817622366684</v>
      </c>
      <c r="P14" s="5">
        <v>0.11168688567325069</v>
      </c>
      <c r="Q14" s="5">
        <f t="shared" ref="Q14" si="9">(((Q12/Q6)^(1/2))-1)</f>
        <v>0.11379219470939939</v>
      </c>
    </row>
    <row r="15" spans="1:17" ht="17.100000000000001" customHeight="1" x14ac:dyDescent="0.3">
      <c r="A15" s="7" t="s">
        <v>22</v>
      </c>
      <c r="B15" s="8">
        <v>78942</v>
      </c>
      <c r="C15" s="8">
        <v>114472</v>
      </c>
      <c r="D15" s="8">
        <v>74096.228999999992</v>
      </c>
      <c r="E15" s="8">
        <v>9274872</v>
      </c>
      <c r="F15" s="8">
        <v>10030.506873</v>
      </c>
      <c r="G15" s="8">
        <v>13473.585491999998</v>
      </c>
      <c r="H15" s="9">
        <f t="shared" si="0"/>
        <v>74.445713644342547</v>
      </c>
      <c r="I15" s="10">
        <v>51849</v>
      </c>
      <c r="J15" s="10">
        <v>0</v>
      </c>
      <c r="K15" s="10">
        <v>51849</v>
      </c>
      <c r="L15" s="10">
        <v>752.28759899999989</v>
      </c>
      <c r="M15" s="10">
        <v>66.979427999999999</v>
      </c>
      <c r="N15" s="10">
        <v>0</v>
      </c>
      <c r="O15" s="10">
        <v>819.26702699999987</v>
      </c>
      <c r="P15" s="10">
        <v>1158.426361</v>
      </c>
      <c r="Q15" s="9">
        <f t="shared" si="1"/>
        <v>70.722408828194801</v>
      </c>
    </row>
    <row r="16" spans="1:17" ht="17.100000000000001" customHeight="1" x14ac:dyDescent="0.3">
      <c r="A16" s="2" t="s">
        <v>32</v>
      </c>
      <c r="B16" s="6">
        <v>0.48211704184893828</v>
      </c>
      <c r="C16" s="6">
        <v>0.35728429315026261</v>
      </c>
      <c r="D16" s="6">
        <v>0.3903190441728715</v>
      </c>
      <c r="E16" s="6">
        <v>0.2737460089313144</v>
      </c>
      <c r="F16" s="6">
        <v>0.18975651697543111</v>
      </c>
      <c r="G16" s="6">
        <v>0.30002857476227596</v>
      </c>
      <c r="H16" s="6">
        <f t="shared" ref="H16" si="10">(H15-H12)/H12</f>
        <v>-8.4822795381254784E-2</v>
      </c>
      <c r="I16" s="6">
        <v>0.11266336187471834</v>
      </c>
      <c r="J16" s="1" t="s">
        <v>31</v>
      </c>
      <c r="K16" s="6">
        <v>0.11266336187471834</v>
      </c>
      <c r="L16" s="6">
        <v>0.18966950229269752</v>
      </c>
      <c r="M16" s="6">
        <v>9.6362259254928195E-2</v>
      </c>
      <c r="N16" s="1" t="s">
        <v>31</v>
      </c>
      <c r="O16" s="6">
        <v>0.18144911536493508</v>
      </c>
      <c r="P16" s="6">
        <v>0.3020952529995391</v>
      </c>
      <c r="Q16" s="6">
        <f t="shared" ref="Q16" si="11">(Q15-Q12)/Q12</f>
        <v>-9.265538550784258E-2</v>
      </c>
    </row>
    <row r="17" spans="1:17" ht="17.100000000000001" customHeight="1" x14ac:dyDescent="0.3">
      <c r="A17" s="3" t="s">
        <v>30</v>
      </c>
      <c r="B17" s="5">
        <v>0.28999814100786603</v>
      </c>
      <c r="C17" s="5">
        <v>0.25294037280981141</v>
      </c>
      <c r="D17" s="5">
        <v>0.25075070489014584</v>
      </c>
      <c r="E17" s="5">
        <v>0.3127856711410939</v>
      </c>
      <c r="F17" s="5">
        <v>0.28194626593917005</v>
      </c>
      <c r="G17" s="5">
        <v>0.23182093098489931</v>
      </c>
      <c r="H17" s="5">
        <f t="shared" ref="H17" si="12">(((H15/H6)^(1/3))-1)</f>
        <v>4.0692063021037672E-2</v>
      </c>
      <c r="I17" s="11" t="s">
        <v>31</v>
      </c>
      <c r="J17" s="11" t="s">
        <v>31</v>
      </c>
      <c r="K17" s="11" t="s">
        <v>31</v>
      </c>
      <c r="L17" s="5">
        <v>0.18481056375193705</v>
      </c>
      <c r="M17" s="11" t="s">
        <v>31</v>
      </c>
      <c r="N17" s="11" t="s">
        <v>31</v>
      </c>
      <c r="O17" s="5">
        <v>0.21897867710511876</v>
      </c>
      <c r="P17" s="5">
        <v>0.17184248742691777</v>
      </c>
      <c r="Q17" s="5">
        <f t="shared" ref="Q17" si="13">(((Q15/Q6)^(1/3))-1)</f>
        <v>4.0223997835835856E-2</v>
      </c>
    </row>
    <row r="18" spans="1:17" ht="17.100000000000001" customHeight="1" x14ac:dyDescent="0.3">
      <c r="A18" s="7" t="s">
        <v>23</v>
      </c>
      <c r="B18" s="8">
        <v>104735</v>
      </c>
      <c r="C18" s="8">
        <v>141788</v>
      </c>
      <c r="D18" s="8">
        <v>89468.712</v>
      </c>
      <c r="E18" s="8">
        <v>11105152</v>
      </c>
      <c r="F18" s="8">
        <v>11186.471603</v>
      </c>
      <c r="G18" s="8">
        <v>15030.876635999999</v>
      </c>
      <c r="H18" s="9">
        <f t="shared" si="0"/>
        <v>74.423281315526339</v>
      </c>
      <c r="I18" s="10">
        <v>65689.259999999995</v>
      </c>
      <c r="J18" s="10">
        <v>0</v>
      </c>
      <c r="K18" s="10">
        <v>65689.259999999995</v>
      </c>
      <c r="L18" s="10">
        <v>839.00021800000002</v>
      </c>
      <c r="M18" s="10">
        <v>79.512844999999999</v>
      </c>
      <c r="N18" s="10">
        <v>0</v>
      </c>
      <c r="O18" s="10">
        <v>918.51306299999999</v>
      </c>
      <c r="P18" s="10">
        <v>1300.2403660000002</v>
      </c>
      <c r="Q18" s="9">
        <f t="shared" si="1"/>
        <v>70.641789550471458</v>
      </c>
    </row>
    <row r="19" spans="1:17" ht="17.100000000000001" customHeight="1" x14ac:dyDescent="0.3">
      <c r="A19" s="2" t="s">
        <v>32</v>
      </c>
      <c r="B19" s="6">
        <v>0.32673355121481595</v>
      </c>
      <c r="C19" s="6">
        <v>0.2386260395555245</v>
      </c>
      <c r="D19" s="6">
        <v>0.20746646904257449</v>
      </c>
      <c r="E19" s="6">
        <v>0.19733749425328997</v>
      </c>
      <c r="F19" s="6">
        <v>0.11524489685676921</v>
      </c>
      <c r="G19" s="6">
        <v>0.11558104892900627</v>
      </c>
      <c r="H19" s="6">
        <f t="shared" ref="H19" si="14">(H18-H15)/H15</f>
        <v>-3.0132465279836832E-4</v>
      </c>
      <c r="I19" s="6">
        <v>0.26693398136897517</v>
      </c>
      <c r="J19" s="1" t="s">
        <v>31</v>
      </c>
      <c r="K19" s="6">
        <v>0.26693398136897517</v>
      </c>
      <c r="L19" s="6">
        <v>0.11526525110245789</v>
      </c>
      <c r="M19" s="6">
        <v>0.18712338062964648</v>
      </c>
      <c r="N19" s="1" t="s">
        <v>31</v>
      </c>
      <c r="O19" s="6">
        <v>0.12114003460315037</v>
      </c>
      <c r="P19" s="6">
        <v>0.12241952511990546</v>
      </c>
      <c r="Q19" s="6">
        <f t="shared" ref="Q19" si="15">(Q18-Q15)/Q15</f>
        <v>-1.1399396465580094E-3</v>
      </c>
    </row>
    <row r="20" spans="1:17" ht="17.100000000000001" customHeight="1" x14ac:dyDescent="0.3">
      <c r="A20" s="3" t="s">
        <v>30</v>
      </c>
      <c r="B20" s="5">
        <v>0.29908551792433702</v>
      </c>
      <c r="C20" s="5">
        <v>0.24934635506662284</v>
      </c>
      <c r="D20" s="5">
        <v>0.23978631174981868</v>
      </c>
      <c r="E20" s="5">
        <v>0.28291982539652594</v>
      </c>
      <c r="F20" s="5">
        <v>0.2380692223251879</v>
      </c>
      <c r="G20" s="5">
        <v>0.20167206816409333</v>
      </c>
      <c r="H20" s="5">
        <f t="shared" ref="H20" si="16">(((H18/H6)^(1/4))-1)</f>
        <v>3.0288757744616479E-2</v>
      </c>
      <c r="I20" s="11" t="s">
        <v>31</v>
      </c>
      <c r="J20" s="11" t="s">
        <v>31</v>
      </c>
      <c r="K20" s="11" t="s">
        <v>31</v>
      </c>
      <c r="L20" s="5">
        <v>0.16702787901570892</v>
      </c>
      <c r="M20" s="11" t="s">
        <v>31</v>
      </c>
      <c r="N20" s="11" t="s">
        <v>31</v>
      </c>
      <c r="O20" s="5">
        <v>0.19374632297946537</v>
      </c>
      <c r="P20" s="5">
        <v>0.15928637944462198</v>
      </c>
      <c r="Q20" s="5">
        <f t="shared" ref="Q20" si="17">(((Q18/Q6)^(1/4))-1)</f>
        <v>2.9725134484329896E-2</v>
      </c>
    </row>
    <row r="21" spans="1:17" ht="17.100000000000001" customHeight="1" x14ac:dyDescent="0.3">
      <c r="A21" s="7" t="s">
        <v>24</v>
      </c>
      <c r="B21" s="8">
        <v>112426</v>
      </c>
      <c r="C21" s="8">
        <v>150116</v>
      </c>
      <c r="D21" s="8">
        <v>92282.463000000018</v>
      </c>
      <c r="E21" s="8">
        <v>11473350</v>
      </c>
      <c r="F21" s="8">
        <v>11188.453740000001</v>
      </c>
      <c r="G21" s="8">
        <v>15503.596772999999</v>
      </c>
      <c r="H21" s="9">
        <f t="shared" si="0"/>
        <v>72.166826213418062</v>
      </c>
      <c r="I21" s="10">
        <v>77067</v>
      </c>
      <c r="J21" s="10">
        <v>0</v>
      </c>
      <c r="K21" s="10">
        <v>77067</v>
      </c>
      <c r="L21" s="10">
        <v>838.98345900000004</v>
      </c>
      <c r="M21" s="10">
        <v>98.427074999999988</v>
      </c>
      <c r="N21" s="10">
        <v>0</v>
      </c>
      <c r="O21" s="10">
        <v>937.41053399999998</v>
      </c>
      <c r="P21" s="10">
        <v>1330.3648260000002</v>
      </c>
      <c r="Q21" s="9">
        <f t="shared" si="1"/>
        <v>70.462666757246311</v>
      </c>
    </row>
    <row r="22" spans="1:17" ht="17.100000000000001" customHeight="1" x14ac:dyDescent="0.3">
      <c r="A22" s="2" t="s">
        <v>32</v>
      </c>
      <c r="B22" s="6">
        <v>7.3432949825750701E-2</v>
      </c>
      <c r="C22" s="6">
        <v>5.8735577058707363E-2</v>
      </c>
      <c r="D22" s="6">
        <v>3.1449553001277344E-2</v>
      </c>
      <c r="E22" s="6">
        <v>3.3155602012471329E-2</v>
      </c>
      <c r="F22" s="6">
        <v>1.7719054500342217E-4</v>
      </c>
      <c r="G22" s="6">
        <v>3.1449937914319818E-2</v>
      </c>
      <c r="H22" s="6">
        <f t="shared" ref="H22" si="18">(H21-H18)/H18</f>
        <v>-3.0319210094241437E-2</v>
      </c>
      <c r="I22" s="6">
        <v>0.17320548290542481</v>
      </c>
      <c r="J22" s="1" t="s">
        <v>31</v>
      </c>
      <c r="K22" s="6">
        <v>0.17320548290542481</v>
      </c>
      <c r="L22" s="6">
        <v>-1.997496501243948E-5</v>
      </c>
      <c r="M22" s="6">
        <v>0.23787640852242162</v>
      </c>
      <c r="N22" s="1" t="s">
        <v>31</v>
      </c>
      <c r="O22" s="6">
        <v>2.0573981755118487E-2</v>
      </c>
      <c r="P22" s="6">
        <v>2.3168377776697939E-2</v>
      </c>
      <c r="Q22" s="6">
        <f t="shared" ref="Q22" si="19">(Q21-Q18)/Q18</f>
        <v>-2.5356491442953813E-3</v>
      </c>
    </row>
    <row r="23" spans="1:17" ht="17.100000000000001" customHeight="1" x14ac:dyDescent="0.3">
      <c r="A23" s="3" t="s">
        <v>30</v>
      </c>
      <c r="B23" s="5">
        <v>0.25044667907319051</v>
      </c>
      <c r="C23" s="5">
        <v>0.20865898449106268</v>
      </c>
      <c r="D23" s="5">
        <v>0.19499769630519603</v>
      </c>
      <c r="E23" s="5">
        <v>0.2285497847458744</v>
      </c>
      <c r="F23" s="5">
        <v>0.1863458930891424</v>
      </c>
      <c r="G23" s="5">
        <v>0.16551644062395665</v>
      </c>
      <c r="H23" s="5">
        <f t="shared" ref="H23" si="20">(((H21/H6)^(1/5))-1)</f>
        <v>1.787143599109986E-2</v>
      </c>
      <c r="I23" s="11" t="s">
        <v>31</v>
      </c>
      <c r="J23" s="11" t="s">
        <v>31</v>
      </c>
      <c r="K23" s="11" t="s">
        <v>31</v>
      </c>
      <c r="L23" s="5">
        <v>0.13152264478876052</v>
      </c>
      <c r="M23" s="11" t="s">
        <v>31</v>
      </c>
      <c r="N23" s="11" t="s">
        <v>31</v>
      </c>
      <c r="O23" s="5">
        <v>0.1569072321047662</v>
      </c>
      <c r="P23" s="5">
        <v>0.13068598358964945</v>
      </c>
      <c r="Q23" s="5">
        <f t="shared" ref="Q23" si="21">(((Q21/Q6)^(1/5))-1)</f>
        <v>2.3190566519513123E-2</v>
      </c>
    </row>
    <row r="24" spans="1:17" ht="17.100000000000001" customHeight="1" x14ac:dyDescent="0.3">
      <c r="A24" s="7" t="s">
        <v>25</v>
      </c>
      <c r="B24" s="8">
        <v>94754</v>
      </c>
      <c r="C24" s="8">
        <v>122055</v>
      </c>
      <c r="D24" s="8">
        <v>75051.286999999997</v>
      </c>
      <c r="E24" s="8">
        <v>10716089</v>
      </c>
      <c r="F24" s="8">
        <v>10191.412585</v>
      </c>
      <c r="G24" s="8">
        <v>12464.116246</v>
      </c>
      <c r="H24" s="9">
        <f t="shared" si="0"/>
        <v>81.766026438261449</v>
      </c>
      <c r="I24" s="10">
        <v>68571</v>
      </c>
      <c r="J24" s="10">
        <v>0</v>
      </c>
      <c r="K24" s="10">
        <v>68571</v>
      </c>
      <c r="L24" s="10">
        <v>763.89556300000004</v>
      </c>
      <c r="M24" s="10">
        <v>84.743220000000008</v>
      </c>
      <c r="N24" s="10">
        <v>0</v>
      </c>
      <c r="O24" s="10">
        <v>848.6387830000001</v>
      </c>
      <c r="P24" s="10">
        <v>1086.1130660000001</v>
      </c>
      <c r="Q24" s="9">
        <f t="shared" si="1"/>
        <v>78.135399487036466</v>
      </c>
    </row>
    <row r="25" spans="1:17" ht="17.100000000000001" customHeight="1" x14ac:dyDescent="0.3">
      <c r="A25" s="2" t="s">
        <v>32</v>
      </c>
      <c r="B25" s="6">
        <v>-0.1571878391119492</v>
      </c>
      <c r="C25" s="6">
        <v>-0.18692877508060432</v>
      </c>
      <c r="D25" s="6">
        <v>-0.18672210775301931</v>
      </c>
      <c r="E25" s="6">
        <v>-6.6001734454191677E-2</v>
      </c>
      <c r="F25" s="6">
        <v>-8.9113400132805193E-2</v>
      </c>
      <c r="G25" s="6">
        <v>-0.19605002448808204</v>
      </c>
      <c r="H25" s="6">
        <f t="shared" ref="H25" si="22">(H24-H21)/H21</f>
        <v>0.13301402775363558</v>
      </c>
      <c r="I25" s="6">
        <v>-0.11024173770874693</v>
      </c>
      <c r="J25" s="1" t="s">
        <v>31</v>
      </c>
      <c r="K25" s="6">
        <v>-0.11024173770874693</v>
      </c>
      <c r="L25" s="6">
        <v>-8.9498660783489892E-2</v>
      </c>
      <c r="M25" s="6">
        <v>-0.13902531391895961</v>
      </c>
      <c r="N25" s="1" t="s">
        <v>31</v>
      </c>
      <c r="O25" s="6">
        <v>-9.4698904887706201E-2</v>
      </c>
      <c r="P25" s="6">
        <v>-0.18359757806765711</v>
      </c>
      <c r="Q25" s="6">
        <f t="shared" ref="Q25" si="23">(Q24-Q21)/Q21</f>
        <v>0.10889075141342276</v>
      </c>
    </row>
    <row r="26" spans="1:17" ht="17.100000000000001" customHeight="1" x14ac:dyDescent="0.3">
      <c r="A26" s="3" t="s">
        <v>30</v>
      </c>
      <c r="B26" s="5">
        <v>0.17087207094582624</v>
      </c>
      <c r="C26" s="5">
        <v>0.13137849405716606</v>
      </c>
      <c r="D26" s="5">
        <v>0.12075938571174971</v>
      </c>
      <c r="E26" s="5">
        <v>0.17368524558677367</v>
      </c>
      <c r="F26" s="5">
        <v>0.1352377601830248</v>
      </c>
      <c r="G26" s="5">
        <v>9.5561699520802179E-2</v>
      </c>
      <c r="H26" s="5">
        <f t="shared" ref="H26" si="24">(((H24/H6)^(1/6))-1)</f>
        <v>3.6215268094509812E-2</v>
      </c>
      <c r="I26" s="11" t="s">
        <v>31</v>
      </c>
      <c r="J26" s="11" t="s">
        <v>31</v>
      </c>
      <c r="K26" s="11" t="s">
        <v>31</v>
      </c>
      <c r="L26" s="5">
        <v>9.1271482707901752E-2</v>
      </c>
      <c r="M26" s="11" t="s">
        <v>31</v>
      </c>
      <c r="N26" s="11" t="s">
        <v>31</v>
      </c>
      <c r="O26" s="5">
        <v>0.11057430448857986</v>
      </c>
      <c r="P26" s="5">
        <v>7.0949653124865453E-2</v>
      </c>
      <c r="Q26" s="5">
        <f t="shared" ref="Q26" si="25">(((Q24/Q6)^(1/6))-1)</f>
        <v>3.6999546382125326E-2</v>
      </c>
    </row>
    <row r="27" spans="1:17" ht="17.100000000000001" customHeight="1" x14ac:dyDescent="0.3">
      <c r="A27" s="7" t="s">
        <v>26</v>
      </c>
      <c r="B27" s="8">
        <v>86707</v>
      </c>
      <c r="C27" s="8">
        <v>111610</v>
      </c>
      <c r="D27" s="8">
        <v>64126.817999999999</v>
      </c>
      <c r="E27" s="8">
        <v>10670866</v>
      </c>
      <c r="F27" s="8">
        <v>9327.0007880000012</v>
      </c>
      <c r="G27" s="8">
        <v>10139.353436000003</v>
      </c>
      <c r="H27" s="9">
        <f t="shared" si="0"/>
        <v>91.988121795658827</v>
      </c>
      <c r="I27" s="10">
        <v>58952</v>
      </c>
      <c r="J27" s="10">
        <v>0</v>
      </c>
      <c r="K27" s="10">
        <v>58952</v>
      </c>
      <c r="L27" s="10">
        <v>699.59894000000008</v>
      </c>
      <c r="M27" s="10">
        <v>64.847374000000002</v>
      </c>
      <c r="N27" s="10">
        <v>0</v>
      </c>
      <c r="O27" s="10">
        <v>764.44631400000003</v>
      </c>
      <c r="P27" s="10">
        <v>888.47056399999997</v>
      </c>
      <c r="Q27" s="9">
        <f t="shared" si="1"/>
        <v>86.040702413186537</v>
      </c>
    </row>
    <row r="28" spans="1:17" ht="17.100000000000001" customHeight="1" x14ac:dyDescent="0.3">
      <c r="A28" s="2" t="s">
        <v>32</v>
      </c>
      <c r="B28" s="6">
        <v>-8.4925174662811062E-2</v>
      </c>
      <c r="C28" s="6">
        <v>-8.557617467535128E-2</v>
      </c>
      <c r="D28" s="6">
        <v>-0.14556004882367971</v>
      </c>
      <c r="E28" s="6">
        <v>-4.220103061854003E-3</v>
      </c>
      <c r="F28" s="6">
        <v>-8.4817662889270506E-2</v>
      </c>
      <c r="G28" s="6">
        <v>-0.18651645765467426</v>
      </c>
      <c r="H28" s="6">
        <f t="shared" ref="H28" si="26">(H27-H24)/H24</f>
        <v>0.12501641332804292</v>
      </c>
      <c r="I28" s="6">
        <v>-0.14027796007058377</v>
      </c>
      <c r="J28" s="1" t="s">
        <v>31</v>
      </c>
      <c r="K28" s="6">
        <v>-0.14027796007058377</v>
      </c>
      <c r="L28" s="6">
        <v>-8.4169389265061026E-2</v>
      </c>
      <c r="M28" s="6">
        <v>-0.23477802707992457</v>
      </c>
      <c r="N28" s="1" t="s">
        <v>31</v>
      </c>
      <c r="O28" s="6">
        <v>-9.9208839716673741E-2</v>
      </c>
      <c r="P28" s="6">
        <v>-0.18197230858099273</v>
      </c>
      <c r="Q28" s="6">
        <f t="shared" ref="Q28" si="27">(Q27-Q24)/Q24</f>
        <v>0.1011744097815952</v>
      </c>
    </row>
    <row r="29" spans="1:17" ht="17.100000000000001" customHeight="1" x14ac:dyDescent="0.3">
      <c r="A29" s="3" t="s">
        <v>30</v>
      </c>
      <c r="B29" s="5">
        <v>0.13035844697813204</v>
      </c>
      <c r="C29" s="5">
        <v>9.7486767367297444E-2</v>
      </c>
      <c r="D29" s="5">
        <v>7.8150547223742706E-2</v>
      </c>
      <c r="E29" s="5">
        <v>0.14644524628493483</v>
      </c>
      <c r="F29" s="5">
        <v>0.10082522128232063</v>
      </c>
      <c r="G29" s="5">
        <v>4.9946370921218008E-2</v>
      </c>
      <c r="H29" s="5">
        <f t="shared" ref="H29" si="28">(((H27/H6)^(1/7))-1)</f>
        <v>4.8458522997190556E-2</v>
      </c>
      <c r="I29" s="11" t="s">
        <v>31</v>
      </c>
      <c r="J29" s="11" t="s">
        <v>31</v>
      </c>
      <c r="K29" s="11" t="s">
        <v>31</v>
      </c>
      <c r="L29" s="5">
        <v>6.4287242039934078E-2</v>
      </c>
      <c r="M29" s="11" t="s">
        <v>31</v>
      </c>
      <c r="N29" s="11" t="s">
        <v>31</v>
      </c>
      <c r="O29" s="5">
        <v>7.7850552665728712E-2</v>
      </c>
      <c r="P29" s="5">
        <v>3.0515714809132399E-2</v>
      </c>
      <c r="Q29" s="5">
        <f t="shared" ref="Q29" si="29">(((Q27/Q6)^(1/7))-1)</f>
        <v>4.5933154804304488E-2</v>
      </c>
    </row>
    <row r="30" spans="1:17" ht="17.100000000000001" customHeight="1" x14ac:dyDescent="0.3">
      <c r="A30" s="7" t="s">
        <v>27</v>
      </c>
      <c r="B30" s="8">
        <v>103769</v>
      </c>
      <c r="C30" s="8">
        <v>133842</v>
      </c>
      <c r="D30" s="8">
        <v>77943.888000000006</v>
      </c>
      <c r="E30" s="8">
        <v>13236143</v>
      </c>
      <c r="F30" s="8">
        <v>11687.869246</v>
      </c>
      <c r="G30" s="8">
        <v>12575.172293999998</v>
      </c>
      <c r="H30" s="9">
        <f t="shared" si="0"/>
        <v>92.944008819478697</v>
      </c>
      <c r="I30" s="10">
        <v>53975</v>
      </c>
      <c r="J30" s="10">
        <v>0</v>
      </c>
      <c r="K30" s="10">
        <v>53975</v>
      </c>
      <c r="L30" s="10">
        <v>872.65429999999992</v>
      </c>
      <c r="M30" s="10">
        <v>58.85808500000001</v>
      </c>
      <c r="N30" s="10">
        <v>0</v>
      </c>
      <c r="O30" s="10">
        <v>931.51238499999988</v>
      </c>
      <c r="P30" s="10">
        <v>1103.6345900000001</v>
      </c>
      <c r="Q30" s="9">
        <f t="shared" si="1"/>
        <v>84.404058502733207</v>
      </c>
    </row>
    <row r="31" spans="1:17" ht="17.100000000000001" customHeight="1" x14ac:dyDescent="0.3">
      <c r="A31" s="2" t="s">
        <v>32</v>
      </c>
      <c r="B31" s="6">
        <v>0.19677765347665124</v>
      </c>
      <c r="C31" s="6">
        <v>0.19919362064331153</v>
      </c>
      <c r="D31" s="6">
        <v>0.21546476857778921</v>
      </c>
      <c r="E31" s="6">
        <v>0.2404000762449833</v>
      </c>
      <c r="F31" s="6">
        <v>0.25312193186875914</v>
      </c>
      <c r="G31" s="6">
        <v>0.24023414050757569</v>
      </c>
      <c r="H31" s="6">
        <f t="shared" ref="H31" si="30">(H30-H27)/H27</f>
        <v>1.0391417991371363E-2</v>
      </c>
      <c r="I31" s="6">
        <v>-8.4424616637264221E-2</v>
      </c>
      <c r="J31" s="1" t="s">
        <v>31</v>
      </c>
      <c r="K31" s="6">
        <v>-8.4424616637264221E-2</v>
      </c>
      <c r="L31" s="6">
        <v>0.24736366810389937</v>
      </c>
      <c r="M31" s="6">
        <v>-9.235977697416077E-2</v>
      </c>
      <c r="N31" s="1" t="s">
        <v>31</v>
      </c>
      <c r="O31" s="6">
        <v>0.21854519793001428</v>
      </c>
      <c r="P31" s="6">
        <v>0.2421734998527201</v>
      </c>
      <c r="Q31" s="6">
        <f t="shared" ref="Q31" si="31">(Q30-Q27)/Q27</f>
        <v>-1.9021740461785199E-2</v>
      </c>
    </row>
    <row r="32" spans="1:17" ht="17.100000000000001" customHeight="1" x14ac:dyDescent="0.3">
      <c r="A32" s="3" t="s">
        <v>30</v>
      </c>
      <c r="B32" s="5">
        <v>0.13845493749201832</v>
      </c>
      <c r="C32" s="5">
        <v>0.10971267030815679</v>
      </c>
      <c r="D32" s="5">
        <v>9.4428209161711241E-2</v>
      </c>
      <c r="E32" s="5">
        <v>0.15778888556661452</v>
      </c>
      <c r="F32" s="5">
        <v>0.11880073034298744</v>
      </c>
      <c r="G32" s="5">
        <v>7.2035550314649255E-2</v>
      </c>
      <c r="H32" s="5">
        <f t="shared" ref="H32" si="32">(((H30/H6)^(1/8))-1)</f>
        <v>4.3622788455674133E-2</v>
      </c>
      <c r="I32" s="11" t="s">
        <v>31</v>
      </c>
      <c r="J32" s="11" t="s">
        <v>31</v>
      </c>
      <c r="K32" s="11" t="s">
        <v>31</v>
      </c>
      <c r="L32" s="5">
        <v>8.5614500176574682E-2</v>
      </c>
      <c r="M32" s="11" t="s">
        <v>31</v>
      </c>
      <c r="N32" s="11" t="s">
        <v>31</v>
      </c>
      <c r="O32" s="5">
        <v>9.4507987900425583E-2</v>
      </c>
      <c r="P32" s="5">
        <v>5.4861821026489066E-2</v>
      </c>
      <c r="Q32" s="5">
        <f t="shared" ref="Q32" si="33">(((Q30/Q6)^(1/8))-1)</f>
        <v>3.758422770041725E-2</v>
      </c>
    </row>
    <row r="33" spans="1:17" ht="17.100000000000001" customHeight="1" x14ac:dyDescent="0.3">
      <c r="A33" s="7" t="s">
        <v>28</v>
      </c>
      <c r="B33" s="8">
        <v>124380</v>
      </c>
      <c r="C33" s="8">
        <v>164328</v>
      </c>
      <c r="D33" s="8">
        <v>95149</v>
      </c>
      <c r="E33" s="8">
        <v>16130815</v>
      </c>
      <c r="F33" s="8">
        <v>14447.7345</v>
      </c>
      <c r="G33" s="8">
        <v>15254.328599999999</v>
      </c>
      <c r="H33" s="9">
        <f t="shared" si="0"/>
        <v>94.712359218484394</v>
      </c>
      <c r="I33" s="10">
        <v>66133.97</v>
      </c>
      <c r="J33" s="10">
        <v>0</v>
      </c>
      <c r="K33" s="10">
        <v>66133.97</v>
      </c>
      <c r="L33" s="10">
        <v>1083.5771000000002</v>
      </c>
      <c r="M33" s="10">
        <v>68.503299999999996</v>
      </c>
      <c r="N33" s="10">
        <v>0</v>
      </c>
      <c r="O33" s="10">
        <v>1152.0803999999998</v>
      </c>
      <c r="P33" s="10">
        <v>1329.2952</v>
      </c>
      <c r="Q33" s="9">
        <f t="shared" si="1"/>
        <v>86.668514262294778</v>
      </c>
    </row>
    <row r="34" spans="1:17" ht="17.100000000000001" customHeight="1" x14ac:dyDescent="0.3">
      <c r="A34" s="2" t="s">
        <v>32</v>
      </c>
      <c r="B34" s="6">
        <v>0.19862386647264596</v>
      </c>
      <c r="C34" s="6">
        <v>0.22777603442865468</v>
      </c>
      <c r="D34" s="6">
        <v>0.2207371538869089</v>
      </c>
      <c r="E34" s="6">
        <v>0.21869452453029556</v>
      </c>
      <c r="F34" s="6">
        <v>0.23613074341540252</v>
      </c>
      <c r="G34" s="6">
        <v>0.21305126032176186</v>
      </c>
      <c r="H34" s="6">
        <f t="shared" ref="H34" si="34">(H33-H30)/H30</f>
        <v>1.9025975116269103E-2</v>
      </c>
      <c r="I34" s="6">
        <v>0.22527040296433537</v>
      </c>
      <c r="J34" s="1" t="s">
        <v>31</v>
      </c>
      <c r="K34" s="6">
        <v>0.22527040296433537</v>
      </c>
      <c r="L34" s="6">
        <v>0.24170258486092408</v>
      </c>
      <c r="M34" s="6">
        <v>0.16387238898445278</v>
      </c>
      <c r="N34" s="1" t="s">
        <v>31</v>
      </c>
      <c r="O34" s="6">
        <v>0.23678484425088989</v>
      </c>
      <c r="P34" s="6">
        <v>0.20447040355993182</v>
      </c>
      <c r="Q34" s="6">
        <f t="shared" ref="Q34" si="35">(Q33-Q30)/Q30</f>
        <v>2.6828754442989756E-2</v>
      </c>
    </row>
    <row r="35" spans="1:17" ht="17.100000000000001" customHeight="1" x14ac:dyDescent="0.3">
      <c r="A35" s="3" t="s">
        <v>30</v>
      </c>
      <c r="B35" s="5">
        <v>0.14498837053428848</v>
      </c>
      <c r="C35" s="5">
        <v>0.12224913368343371</v>
      </c>
      <c r="D35" s="5">
        <v>0.10779097134060245</v>
      </c>
      <c r="E35" s="5">
        <v>0.16440300829278054</v>
      </c>
      <c r="F35" s="5">
        <v>0.13126707819664807</v>
      </c>
      <c r="G35" s="5">
        <v>8.6857275713621451E-2</v>
      </c>
      <c r="H35" s="5">
        <f t="shared" ref="H35" si="36">(((H33/H6)^(1/9))-1)</f>
        <v>4.0860749129979057E-2</v>
      </c>
      <c r="I35" s="11" t="s">
        <v>31</v>
      </c>
      <c r="J35" s="11" t="s">
        <v>31</v>
      </c>
      <c r="K35" s="11" t="s">
        <v>31</v>
      </c>
      <c r="L35" s="5">
        <v>0.1019403202129423</v>
      </c>
      <c r="M35" s="11" t="s">
        <v>31</v>
      </c>
      <c r="N35" s="11" t="s">
        <v>31</v>
      </c>
      <c r="O35" s="5">
        <v>0.10947158035420124</v>
      </c>
      <c r="P35" s="5">
        <v>7.0522097006516793E-2</v>
      </c>
      <c r="Q35" s="5">
        <f t="shared" ref="Q35" si="37">(((Q33/Q6)^(1/9))-1)</f>
        <v>3.6383633235220758E-2</v>
      </c>
    </row>
    <row r="36" spans="1:17" ht="17.100000000000001" customHeight="1" x14ac:dyDescent="0.3">
      <c r="A36" s="12" t="s">
        <v>33</v>
      </c>
      <c r="B36" s="8">
        <v>141316</v>
      </c>
      <c r="C36" s="8">
        <v>193973</v>
      </c>
      <c r="D36" s="8">
        <v>109732.59099999999</v>
      </c>
      <c r="E36" s="8">
        <v>17655832</v>
      </c>
      <c r="F36" s="8">
        <v>16034.203518</v>
      </c>
      <c r="G36" s="8">
        <v>17241.165756999999</v>
      </c>
      <c r="H36" s="9">
        <f t="shared" si="0"/>
        <v>92.999532305349092</v>
      </c>
      <c r="I36" s="13">
        <v>88974.290040000007</v>
      </c>
      <c r="J36" s="10">
        <v>0</v>
      </c>
      <c r="K36" s="10">
        <v>88974.290040000007</v>
      </c>
      <c r="L36" s="10">
        <v>1202.5638465</v>
      </c>
      <c r="M36" s="10">
        <v>90.092035199999998</v>
      </c>
      <c r="N36" s="10">
        <v>0</v>
      </c>
      <c r="O36" s="10">
        <v>1292.6558817000002</v>
      </c>
      <c r="P36" s="10">
        <v>1504.885256</v>
      </c>
      <c r="Q36" s="9">
        <f t="shared" si="1"/>
        <v>85.897305229495871</v>
      </c>
    </row>
    <row r="37" spans="1:17" ht="17.100000000000001" customHeight="1" x14ac:dyDescent="0.3">
      <c r="A37" s="2" t="s">
        <v>29</v>
      </c>
      <c r="B37" s="6">
        <v>0.1361633703167712</v>
      </c>
      <c r="C37" s="6">
        <v>0.18040139233727667</v>
      </c>
      <c r="D37" s="6">
        <v>0.15327109060526106</v>
      </c>
      <c r="E37" s="6">
        <v>9.4540604426992678E-2</v>
      </c>
      <c r="F37" s="6">
        <v>0.10980745929405054</v>
      </c>
      <c r="G37" s="6">
        <v>0.13024743396441585</v>
      </c>
      <c r="H37" s="6">
        <f t="shared" ref="H37" si="38">(H36-H33)/H33</f>
        <v>-1.8084513227931726E-2</v>
      </c>
      <c r="I37" s="6">
        <v>0.34536441771150295</v>
      </c>
      <c r="J37" s="1" t="s">
        <v>31</v>
      </c>
      <c r="K37" s="6">
        <v>0.34536441771150295</v>
      </c>
      <c r="L37" s="6">
        <v>0.10980921108428715</v>
      </c>
      <c r="M37" s="6">
        <v>0.31514883516560521</v>
      </c>
      <c r="N37" s="1" t="s">
        <v>31</v>
      </c>
      <c r="O37" s="6">
        <v>0.12201881196833175</v>
      </c>
      <c r="P37" s="6">
        <v>0.1320925976412162</v>
      </c>
      <c r="Q37" s="6">
        <f t="shared" ref="Q37" si="39">(Q36-Q33)/Q33</f>
        <v>-8.898376063825323E-3</v>
      </c>
    </row>
    <row r="38" spans="1:17" ht="17.100000000000001" customHeight="1" x14ac:dyDescent="0.3">
      <c r="A38" s="3" t="s">
        <v>30</v>
      </c>
      <c r="B38" s="5">
        <v>0.14410279464546405</v>
      </c>
      <c r="C38" s="5">
        <v>0.12793304993894261</v>
      </c>
      <c r="D38" s="5">
        <v>0.11225708202398499</v>
      </c>
      <c r="E38" s="5">
        <v>0.15722064957139814</v>
      </c>
      <c r="F38" s="5">
        <v>0.12910257459229357</v>
      </c>
      <c r="G38" s="5">
        <v>9.1120256014060264E-2</v>
      </c>
      <c r="H38" s="5">
        <f t="shared" ref="H38" si="40">(((H36/H6)^(1/10))-1)</f>
        <v>3.4810387185905123E-2</v>
      </c>
      <c r="I38" s="11" t="s">
        <v>31</v>
      </c>
      <c r="J38" s="11" t="s">
        <v>31</v>
      </c>
      <c r="K38" s="11" t="s">
        <v>31</v>
      </c>
      <c r="L38" s="5">
        <v>0.10272469206920665</v>
      </c>
      <c r="M38" s="11" t="s">
        <v>31</v>
      </c>
      <c r="N38" s="11" t="s">
        <v>31</v>
      </c>
      <c r="O38" s="5">
        <v>0.11071996342009305</v>
      </c>
      <c r="P38" s="5">
        <v>7.6525366258124228E-2</v>
      </c>
      <c r="Q38" s="5">
        <f t="shared" ref="Q38" si="41">(((Q36/Q6)^(1/10))-1)</f>
        <v>3.1763856415966352E-2</v>
      </c>
    </row>
    <row r="39" spans="1:17" x14ac:dyDescent="0.3">
      <c r="A39" s="16" t="s">
        <v>37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ht="30.75" customHeight="1" x14ac:dyDescent="0.3">
      <c r="A40" s="14" t="s">
        <v>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 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2020-06-11T11:39:30Z</dcterms:modified>
</cp:coreProperties>
</file>