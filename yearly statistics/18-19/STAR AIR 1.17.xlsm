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4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'1.24'!$A$1:$D$19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<sst xmlns="http://schemas.openxmlformats.org/spreadsheetml/2006/main" count="879" uniqueCount="190">
  <si>
    <t>2010-11</t>
  </si>
  <si>
    <t>2009-10</t>
  </si>
  <si>
    <t>2008-09</t>
  </si>
  <si>
    <t>2007-08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</si>
  <si>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</si>
  <si>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</si>
  <si>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</si>
  <si>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</si>
  <si>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</si>
  <si>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</si>
  <si>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</si>
  <si>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</si>
  <si>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</si>
  <si>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</si>
  <si>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</si>
  <si>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</si>
  <si>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</si>
  <si>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</si>
  <si>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</si>
  <si>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</si>
  <si>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</si>
  <si>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</si>
  <si>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</si>
  <si>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</si>
  <si>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</si>
  <si>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</si>
  <si>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</si>
  <si>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</si>
  <si>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</si>
  <si>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</si>
  <si>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</si>
  <si>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</si>
  <si>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</si>
  <si>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</si>
  <si>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</si>
  <si>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</si>
  <si>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</si>
  <si>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</si>
  <si>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</si>
  <si>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</si>
  <si>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</si>
  <si>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</si>
  <si>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</si>
  <si>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</si>
  <si>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</si>
  <si>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</si>
  <si>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</si>
  <si>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</si>
  <si>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</si>
  <si>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</si>
  <si>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</si>
  <si>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</si>
  <si>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</si>
  <si>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</si>
  <si>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</si>
  <si>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</si>
  <si>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</si>
  <si>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</si>
  <si>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</si>
  <si>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</si>
  <si>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</si>
  <si>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</si>
  <si>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</si>
  <si>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</si>
  <si>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</si>
  <si>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</si>
  <si>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</si>
  <si>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</si>
  <si>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</si>
  <si>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</si>
  <si>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</si>
  <si>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</si>
  <si>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</si>
  <si>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</si>
  <si>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</si>
  <si>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</si>
  <si>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</si>
  <si>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</si>
  <si>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</si>
  <si>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</si>
  <si>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</si>
  <si>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</si>
  <si>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</si>
  <si>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</si>
  <si>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</si>
  <si>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</si>
  <si>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</si>
  <si>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</si>
  <si>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</si>
  <si>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</si>
  <si>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</si>
  <si>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</si>
  <si>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</si>
  <si>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</si>
  <si>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</si>
  <si>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</si>
  <si>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</si>
  <si>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</si>
  <si>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</si>
  <si>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</si>
  <si>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</si>
  <si>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</si>
  <si>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</si>
  <si>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</si>
  <si>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</si>
  <si>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</si>
  <si>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</si>
  <si>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</si>
  <si>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</si>
  <si>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</si>
  <si>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</si>
  <si>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</si>
  <si>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</si>
  <si>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</si>
  <si>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</si>
  <si>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</si>
  <si>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</si>
  <si>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</si>
  <si>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</si>
  <si>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</si>
  <si>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</si>
  <si>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</si>
  <si>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</si>
  <si>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</si>
  <si>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</si>
  <si>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</si>
  <si>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</si>
  <si>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</si>
  <si>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</si>
  <si>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</si>
  <si>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</si>
  <si>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</si>
  <si>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</si>
  <si>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</si>
  <si>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</si>
  <si>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</si>
  <si>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</si>
  <si>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</si>
  <si>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</si>
  <si>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</si>
  <si>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</si>
  <si>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</si>
  <si>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</si>
  <si>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</si>
  <si>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</si>
  <si>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</si>
  <si>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</si>
  <si>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</si>
  <si>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</si>
  <si>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</si>
  <si>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</si>
  <si>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</si>
  <si>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</si>
  <si>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</si>
  <si>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</si>
  <si>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</si>
  <si>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</si>
  <si>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</si>
  <si>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</si>
  <si>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</si>
  <si>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</si>
  <si>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</si>
  <si>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</si>
  <si>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</si>
  <si>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</si>
  <si>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</si>
  <si>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</si>
  <si>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</si>
  <si>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</si>
  <si>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</si>
  <si>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</si>
  <si>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</si>
  <si>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</si>
  <si>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</si>
  <si>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</si>
  <si>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</si>
  <si>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</si>
  <si>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</si>
  <si>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</si>
  <si>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</si>
  <si>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</si>
  <si>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</si>
  <si>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</si>
  <si>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</si>
  <si>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</si>
  <si>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</si>
  <si>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(स्टार एयर) </t>
  </si>
  <si>
    <t>TABLE - 1.17 (STAR AIR)</t>
  </si>
  <si>
    <t>TIME SERIES DATA OF OPERATING REVENUE AND OPERATING EXPENSES PER REVENUE PASSENGER KILOMETRE PERFORMED OF STAR AIR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</si>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</sst>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ial"/>
      <family val="2"/>
    </font>
    <font>
      <b/>
      <sz val="11"/>
      <name val="Aryan2"/>
    </font>
    <font>
      <b/>
      <sz val="11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3">
    <xf numFmtId="0" fontId="0" fillId="0" borderId="0" xfId="0"/>
    <xf numFmtId="0" fontId="7" fillId="0" borderId="1" xfId="5" quotePrefix="1" applyFont="1" applyBorder="1" applyAlignment="1">
      <alignment horizontal="center" vertical="center" wrapText="1"/>
    </xf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 wrapText="1"/>
    </xf>
    <xf numFmtId="4" fontId="7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9" xfId="7" applyNumberFormat="1" applyFont="1" applyFill="1" applyBorder="1" applyAlignment="1" applyProtection="1">
      <alignment horizontal="left" vertical="center"/>
    </xf>
    <xf numFmtId="166" fontId="10" fillId="3" borderId="9" xfId="7" applyNumberFormat="1" applyFont="1" applyFill="1" applyBorder="1" applyAlignment="1" applyProtection="1">
      <alignment vertical="center"/>
    </xf>
    <xf numFmtId="166" fontId="11" fillId="3" borderId="8" xfId="7" applyNumberFormat="1" applyFont="1" applyFill="1" applyBorder="1" applyAlignment="1" applyProtection="1">
      <alignment vertical="center"/>
    </xf>
    <xf numFmtId="166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8" fillId="0" borderId="1" xfId="5" applyFont="1" applyBorder="1" applyAlignment="1">
      <alignment horizontal="center" vertical="center" wrapText="1"/>
    </xf>
    <xf numFmtId="0" fontId="17" fillId="0" borderId="1" xfId="5" applyFont="1" applyBorder="1" applyAlignment="1">
      <alignment horizontal="center" vertical="center"/>
    </xf>
    <xf numFmtId="0" fontId="5" fillId="0" borderId="1" xfId="5" applyFont="1" applyBorder="1" applyAlignment="1">
      <alignment horizontal="center" vertical="center"/>
    </xf>
    <xf numFmtId="0" fontId="18" fillId="0" borderId="4" xfId="5" applyFont="1" applyBorder="1" applyAlignment="1">
      <alignment horizontal="center"/>
    </xf>
    <xf numFmtId="0" fontId="18" fillId="0" borderId="5" xfId="5" applyFont="1" applyBorder="1" applyAlignment="1">
      <alignment horizontal="center"/>
    </xf>
    <xf numFmtId="0" fontId="18" fillId="0" borderId="6" xfId="5" applyFont="1" applyBorder="1" applyAlignment="1">
      <alignment horizontal="center"/>
    </xf>
    <xf numFmtId="0" fontId="19" fillId="0" borderId="2" xfId="5" quotePrefix="1" applyFont="1" applyBorder="1" applyAlignment="1">
      <alignment horizontal="center" vertical="center" wrapText="1"/>
    </xf>
    <xf numFmtId="0" fontId="19" fillId="0" borderId="3" xfId="5" quotePrefix="1" applyFont="1" applyBorder="1" applyAlignment="1">
      <alignment horizontal="center" vertical="center" wrapText="1"/>
    </xf>
    <xf numFmtId="0" fontId="19" fillId="0" borderId="7" xfId="5" quotePrefix="1" applyFont="1" applyBorder="1" applyAlignment="1">
      <alignment horizontal="center" vertical="center" wrapText="1"/>
    </xf>
    <xf numFmtId="0" fontId="19" fillId="0" borderId="1" xfId="5" applyFont="1" applyBorder="1" applyAlignment="1">
      <alignment horizontal="center" vertical="center" wrapText="1"/>
    </xf>
    <xf numFmtId="0" fontId="8" fillId="0" borderId="1" xfId="5" applyFont="1" applyBorder="1" applyAlignment="1">
      <alignment horizontal="center" vertical="center" wrapText="1"/>
    </xf>
    <xf numFmtId="0" fontId="8" fillId="0" borderId="1" xfId="5" applyFont="1" applyBorder="1" applyAlignment="1">
      <alignment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100</v>
      </c>
      <c r="B1" s="12" t="s">
        <v>100</v>
      </c>
      <c r="C1" s="12" t="s">
        <v>100</v>
      </c>
      <c r="D1" s="12" t="s">
        <v>100</v>
      </c>
      <c r="E1" s="12" t="s">
        <v>100</v>
      </c>
      <c r="F1" s="12" t="s">
        <v>100</v>
      </c>
      <c r="G1" s="12" t="s">
        <v>100</v>
      </c>
      <c r="H1" s="12" t="s">
        <v>100</v>
      </c>
      <c r="I1" s="12" t="s">
        <v>100</v>
      </c>
      <c r="J1" s="12" t="s">
        <v>100</v>
      </c>
      <c r="K1" s="12" t="s">
        <v>100</v>
      </c>
      <c r="L1" s="12" t="s">
        <v>100</v>
      </c>
      <c r="M1" s="12" t="s">
        <v>100</v>
      </c>
      <c r="N1" s="12" t="s">
        <v>100</v>
      </c>
      <c r="O1" s="12" t="s">
        <v>100</v>
      </c>
      <c r="P1" s="12" t="s">
        <v>100</v>
      </c>
      <c r="Q1" s="12" t="s">
        <v>100</v>
      </c>
      <c r="R1" s="12" t="s">
        <v>100</v>
      </c>
      <c r="S1" s="12" t="s">
        <v>100</v>
      </c>
      <c r="T1" s="12" t="s">
        <v>100</v>
      </c>
      <c r="U1" s="12" t="s">
        <v>100</v>
      </c>
      <c r="V1" s="12" t="s">
        <v>100</v>
      </c>
      <c r="W1" s="12" t="s">
        <v>100</v>
      </c>
      <c r="X1" s="12" t="s">
        <v>100</v>
      </c>
      <c r="Y1" s="12" t="s">
        <v>100</v>
      </c>
      <c r="Z1" s="12" t="s">
        <v>100</v>
      </c>
      <c r="AA1" s="12" t="s">
        <v>100</v>
      </c>
      <c r="AB1" s="12" t="s">
        <v>100</v>
      </c>
      <c r="AC1" s="12" t="s">
        <v>100</v>
      </c>
      <c r="AD1" s="12" t="s">
        <v>100</v>
      </c>
      <c r="AE1" s="12" t="s">
        <v>100</v>
      </c>
      <c r="AF1" s="12" t="s">
        <v>100</v>
      </c>
      <c r="AG1" s="12" t="s">
        <v>100</v>
      </c>
      <c r="AH1" s="12" t="s">
        <v>100</v>
      </c>
      <c r="AI1" s="12" t="s">
        <v>100</v>
      </c>
      <c r="AJ1" s="12" t="s">
        <v>100</v>
      </c>
      <c r="AK1" s="12" t="s">
        <v>100</v>
      </c>
      <c r="AQ1" s="7" t="s">
        <v>35</v>
      </c>
      <c r="AR1" t="s">
        <v>25</v>
      </c>
    </row>
    <row r="2" spans="1:57">
      <c r="A2" s="12" t="s">
        <v>100</v>
      </c>
      <c r="B2" s="30" t="e">
        <f>#REF!</f>
        <v>#REF!</v>
      </c>
      <c r="C2" s="12" t="s">
        <v>100</v>
      </c>
      <c r="D2" s="12" t="s">
        <v>100</v>
      </c>
      <c r="E2" s="12" t="s">
        <v>100</v>
      </c>
      <c r="F2" s="12" t="s">
        <v>100</v>
      </c>
      <c r="G2" s="12" t="s">
        <v>100</v>
      </c>
      <c r="H2" s="12" t="s">
        <v>100</v>
      </c>
      <c r="I2" s="12" t="s">
        <v>100</v>
      </c>
      <c r="J2" s="12" t="s">
        <v>100</v>
      </c>
      <c r="K2" s="12" t="s">
        <v>100</v>
      </c>
      <c r="L2" s="12" t="s">
        <v>100</v>
      </c>
      <c r="M2" s="12" t="s">
        <v>100</v>
      </c>
      <c r="N2" s="12" t="s">
        <v>100</v>
      </c>
      <c r="O2" s="12" t="s">
        <v>100</v>
      </c>
      <c r="P2" s="12" t="s">
        <v>100</v>
      </c>
      <c r="Q2" s="12" t="s">
        <v>100</v>
      </c>
      <c r="R2" s="12" t="s">
        <v>100</v>
      </c>
      <c r="S2" s="12" t="s">
        <v>100</v>
      </c>
      <c r="T2" s="12" t="s">
        <v>100</v>
      </c>
      <c r="U2" s="12" t="s">
        <v>100</v>
      </c>
      <c r="V2" s="12" t="s">
        <v>100</v>
      </c>
      <c r="W2" s="12" t="s">
        <v>100</v>
      </c>
      <c r="X2" s="12" t="s">
        <v>100</v>
      </c>
      <c r="Y2" s="12" t="s">
        <v>100</v>
      </c>
      <c r="Z2" s="12" t="s">
        <v>100</v>
      </c>
      <c r="AA2" s="12" t="s">
        <v>100</v>
      </c>
      <c r="AB2" s="12" t="s">
        <v>100</v>
      </c>
      <c r="AC2" s="12" t="s">
        <v>100</v>
      </c>
      <c r="AD2" s="12" t="s">
        <v>100</v>
      </c>
      <c r="AE2" s="12" t="s">
        <v>100</v>
      </c>
      <c r="AF2" s="12" t="s">
        <v>100</v>
      </c>
      <c r="AG2" s="12" t="s">
        <v>100</v>
      </c>
      <c r="AH2" s="12" t="s">
        <v>100</v>
      </c>
      <c r="AI2" s="12" t="s">
        <v>100</v>
      </c>
      <c r="AJ2" s="12" t="s">
        <v>100</v>
      </c>
      <c r="AK2" s="12" t="s">
        <v>100</v>
      </c>
    </row>
    <row r="3" spans="1:57" ht="15.75" customHeight="1">
      <c r="A3" s="7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2" t="s">
        <v>100</v>
      </c>
      <c r="L3" s="12" t="s">
        <v>100</v>
      </c>
      <c r="M3" s="12" t="s">
        <v>100</v>
      </c>
      <c r="N3" s="12" t="s">
        <v>100</v>
      </c>
      <c r="O3" s="12" t="s">
        <v>100</v>
      </c>
      <c r="P3" s="12" t="s">
        <v>100</v>
      </c>
      <c r="Q3" s="12" t="s">
        <v>100</v>
      </c>
      <c r="R3" s="12" t="s">
        <v>100</v>
      </c>
      <c r="S3" s="12" t="s">
        <v>100</v>
      </c>
      <c r="T3" s="25" t="s">
        <v>100</v>
      </c>
      <c r="U3" s="7" t="s">
        <v>35</v>
      </c>
      <c r="V3" s="7" t="s">
        <v>36</v>
      </c>
      <c r="W3" s="7" t="s">
        <v>50</v>
      </c>
      <c r="X3" s="7" t="s">
        <v>51</v>
      </c>
      <c r="Y3" s="7" t="s">
        <v>52</v>
      </c>
      <c r="Z3" s="7" t="s">
        <v>53</v>
      </c>
      <c r="AA3" s="7" t="s">
        <v>37</v>
      </c>
      <c r="AB3" s="7" t="s">
        <v>38</v>
      </c>
      <c r="AC3" s="7" t="s">
        <v>39</v>
      </c>
      <c r="AD3" s="7" t="s">
        <v>54</v>
      </c>
      <c r="AE3" s="7" t="s">
        <v>55</v>
      </c>
      <c r="AF3" s="7" t="s">
        <v>56</v>
      </c>
      <c r="AG3" s="7" t="s">
        <v>57</v>
      </c>
      <c r="AH3" s="7" t="s">
        <v>58</v>
      </c>
      <c r="AI3" s="7" t="s">
        <v>59</v>
      </c>
      <c r="AJ3" s="7" t="s">
        <v>60</v>
      </c>
      <c r="AK3" s="7" t="s">
        <v>61</v>
      </c>
      <c r="AQ3" s="7" t="s">
        <v>36</v>
      </c>
      <c r="AR3" s="7" t="s">
        <v>50</v>
      </c>
      <c r="AS3" s="7" t="s">
        <v>51</v>
      </c>
      <c r="AT3" s="7" t="s">
        <v>52</v>
      </c>
      <c r="AU3" s="7" t="s">
        <v>53</v>
      </c>
      <c r="AV3" s="7" t="s">
        <v>37</v>
      </c>
      <c r="AW3" s="7" t="s">
        <v>38</v>
      </c>
      <c r="AX3" s="7" t="s">
        <v>39</v>
      </c>
      <c r="AY3" s="7" t="s">
        <v>54</v>
      </c>
      <c r="AZ3" s="7" t="s">
        <v>55</v>
      </c>
      <c r="BA3" s="7" t="s">
        <v>57</v>
      </c>
      <c r="BB3" s="7" t="s">
        <v>58</v>
      </c>
      <c r="BC3" s="7" t="s">
        <v>59</v>
      </c>
      <c r="BD3" s="7" t="s">
        <v>61</v>
      </c>
    </row>
    <row r="4" spans="1:57" ht="15.75" customHeight="1">
      <c r="A4" s="8" t="s">
        <v>18</v>
      </c>
      <c r="B4" s="9">
        <v>217</v>
      </c>
      <c r="C4" s="9">
        <v>448904</v>
      </c>
      <c r="D4" s="9">
        <v>0</v>
      </c>
      <c r="E4" s="9"/>
      <c r="F4" s="9">
        <v>448904</v>
      </c>
      <c r="G4" s="9">
        <v>853552</v>
      </c>
      <c r="H4" s="9">
        <v>0</v>
      </c>
      <c r="I4" s="9"/>
      <c r="J4" s="9">
        <v>853552</v>
      </c>
      <c r="T4" s="26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8" t="s">
        <v>47</v>
      </c>
      <c r="B5" s="9"/>
      <c r="C5" s="9"/>
      <c r="D5" s="9"/>
      <c r="E5" s="9"/>
      <c r="F5" s="9"/>
      <c r="G5" s="9"/>
      <c r="H5" s="9"/>
      <c r="I5" s="9"/>
      <c r="J5" s="9"/>
      <c r="T5" s="26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8"/>
    </row>
    <row r="6" spans="1:57">
      <c r="A6" s="8" t="s">
        <v>25</v>
      </c>
      <c r="B6" s="9">
        <v>49</v>
      </c>
      <c r="C6" s="9">
        <v>80002</v>
      </c>
      <c r="D6" s="9">
        <v>3</v>
      </c>
      <c r="E6" s="9"/>
      <c r="F6" s="9">
        <v>80005</v>
      </c>
      <c r="G6" s="9">
        <v>13925</v>
      </c>
      <c r="H6" s="9">
        <v>5</v>
      </c>
      <c r="I6" s="9"/>
      <c r="J6" s="9">
        <v>13930</v>
      </c>
      <c r="T6" s="26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8"/>
    </row>
    <row r="7" spans="1:57">
      <c r="A7" s="8" t="s">
        <v>22</v>
      </c>
      <c r="B7" s="9">
        <v>128</v>
      </c>
      <c r="C7" s="9">
        <v>242899</v>
      </c>
      <c r="D7" s="9">
        <v>5156</v>
      </c>
      <c r="E7" s="9"/>
      <c r="F7" s="9">
        <v>248055</v>
      </c>
      <c r="G7" s="9">
        <v>705286</v>
      </c>
      <c r="H7" s="9">
        <v>7418</v>
      </c>
      <c r="I7" s="9"/>
      <c r="J7" s="9">
        <v>712704</v>
      </c>
      <c r="T7" s="26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8" t="s">
        <v>23</v>
      </c>
      <c r="B8" s="9">
        <v>25</v>
      </c>
      <c r="C8" s="9">
        <v>30864</v>
      </c>
      <c r="D8" s="9">
        <v>0</v>
      </c>
      <c r="E8" s="9"/>
      <c r="F8" s="9">
        <v>30864</v>
      </c>
      <c r="G8" s="9">
        <v>102412</v>
      </c>
      <c r="H8" s="9">
        <v>0</v>
      </c>
      <c r="I8" s="9"/>
      <c r="J8" s="9">
        <v>102412</v>
      </c>
      <c r="T8" s="26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8" t="s">
        <v>24</v>
      </c>
      <c r="B9" s="9">
        <v>19</v>
      </c>
      <c r="C9" s="9">
        <v>28981</v>
      </c>
      <c r="D9" s="9"/>
      <c r="E9" s="9"/>
      <c r="F9" s="9">
        <v>28981</v>
      </c>
      <c r="G9" s="9">
        <v>51693</v>
      </c>
      <c r="H9" s="9"/>
      <c r="I9" s="9"/>
      <c r="J9" s="9">
        <v>51693</v>
      </c>
      <c r="T9" s="26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8" t="s">
        <v>28</v>
      </c>
      <c r="B10" s="9">
        <v>78</v>
      </c>
      <c r="C10" s="9">
        <v>156576</v>
      </c>
      <c r="D10" s="9">
        <v>41</v>
      </c>
      <c r="E10" s="9"/>
      <c r="F10" s="9">
        <v>156617</v>
      </c>
      <c r="G10" s="9">
        <v>230512</v>
      </c>
      <c r="H10" s="9">
        <v>56</v>
      </c>
      <c r="I10" s="9"/>
      <c r="J10" s="9">
        <v>230568</v>
      </c>
      <c r="T10" s="26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8" t="s">
        <v>30</v>
      </c>
      <c r="B11" s="9">
        <v>20</v>
      </c>
      <c r="C11" s="9">
        <v>47899</v>
      </c>
      <c r="D11" s="9">
        <v>270</v>
      </c>
      <c r="E11" s="9"/>
      <c r="F11" s="9">
        <v>48169</v>
      </c>
      <c r="G11" s="9">
        <v>71340</v>
      </c>
      <c r="H11" s="9">
        <v>174</v>
      </c>
      <c r="I11" s="9"/>
      <c r="J11" s="9">
        <v>71514</v>
      </c>
      <c r="T11" s="26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8" t="s">
        <v>31</v>
      </c>
      <c r="B12" s="9">
        <v>22</v>
      </c>
      <c r="C12" s="9">
        <v>40645</v>
      </c>
      <c r="D12" s="9">
        <v>14</v>
      </c>
      <c r="E12" s="9"/>
      <c r="F12" s="9">
        <v>40659</v>
      </c>
      <c r="G12" s="9">
        <v>39537</v>
      </c>
      <c r="H12" s="9">
        <v>90</v>
      </c>
      <c r="I12" s="9"/>
      <c r="J12" s="9">
        <v>39627</v>
      </c>
      <c r="T12" s="26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8" t="s">
        <v>174</v>
      </c>
      <c r="B13" s="9">
        <v>6</v>
      </c>
      <c r="C13" s="9">
        <v>5806</v>
      </c>
      <c r="D13" s="9">
        <v>0</v>
      </c>
      <c r="E13" s="9"/>
      <c r="F13" s="9">
        <v>5806</v>
      </c>
      <c r="G13" s="9">
        <v>10550</v>
      </c>
      <c r="H13" s="9">
        <v>0</v>
      </c>
      <c r="I13" s="9"/>
      <c r="J13" s="9">
        <v>10550</v>
      </c>
      <c r="T13" s="26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8" t="s">
        <v>34</v>
      </c>
      <c r="B14" s="9">
        <v>5</v>
      </c>
      <c r="C14" s="9">
        <v>11785</v>
      </c>
      <c r="D14" s="9">
        <v>5</v>
      </c>
      <c r="E14" s="9"/>
      <c r="F14" s="9">
        <v>11790</v>
      </c>
      <c r="G14" s="9">
        <v>14792</v>
      </c>
      <c r="H14" s="9">
        <v>10</v>
      </c>
      <c r="I14" s="9"/>
      <c r="J14" s="9">
        <v>14802</v>
      </c>
      <c r="T14" s="26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8" t="s">
        <v>43</v>
      </c>
      <c r="B15" s="9">
        <v>172</v>
      </c>
      <c r="C15" s="9">
        <v>302744</v>
      </c>
      <c r="D15" s="9">
        <v>5156</v>
      </c>
      <c r="E15" s="9">
        <v>0</v>
      </c>
      <c r="F15" s="9">
        <v>307900</v>
      </c>
      <c r="G15" s="9">
        <v>859391</v>
      </c>
      <c r="H15" s="9">
        <v>7418</v>
      </c>
      <c r="I15" s="9">
        <v>0</v>
      </c>
      <c r="J15" s="9">
        <v>866809</v>
      </c>
      <c r="T15" s="26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8" t="s">
        <v>44</v>
      </c>
      <c r="B16" s="9">
        <v>272</v>
      </c>
      <c r="C16" s="9">
        <v>534712</v>
      </c>
      <c r="D16" s="9">
        <v>3</v>
      </c>
      <c r="E16" s="9">
        <v>0</v>
      </c>
      <c r="F16" s="9">
        <v>534715</v>
      </c>
      <c r="G16" s="9">
        <v>878027</v>
      </c>
      <c r="H16" s="9">
        <v>5</v>
      </c>
      <c r="I16" s="9">
        <v>0</v>
      </c>
      <c r="J16" s="9">
        <v>878032</v>
      </c>
      <c r="T16" s="26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8" t="s">
        <v>45</v>
      </c>
      <c r="B17" s="9">
        <v>572</v>
      </c>
      <c r="C17" s="9">
        <v>1095757</v>
      </c>
      <c r="D17" s="9">
        <v>5523</v>
      </c>
      <c r="E17" s="9">
        <v>0</v>
      </c>
      <c r="F17" s="9">
        <v>1101280</v>
      </c>
      <c r="G17" s="9">
        <v>2094936</v>
      </c>
      <c r="H17" s="9">
        <v>7769</v>
      </c>
      <c r="I17" s="9">
        <v>0</v>
      </c>
      <c r="J17" s="9">
        <v>2102705</v>
      </c>
      <c r="T17" s="26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8" t="s">
        <v>182</v>
      </c>
      <c r="B18" s="9">
        <v>2</v>
      </c>
      <c r="C18" s="9">
        <v>1370</v>
      </c>
      <c r="D18" s="9">
        <v>34</v>
      </c>
      <c r="E18" s="9"/>
      <c r="F18" s="9">
        <v>1404</v>
      </c>
      <c r="G18" s="9">
        <v>1289</v>
      </c>
      <c r="H18" s="9">
        <v>16</v>
      </c>
      <c r="I18" s="9"/>
      <c r="J18" s="9">
        <v>1305</v>
      </c>
      <c r="T18" s="26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8" t="s">
        <v>183</v>
      </c>
      <c r="B19" s="9">
        <v>1</v>
      </c>
      <c r="C19" s="9">
        <v>26</v>
      </c>
      <c r="D19" s="9"/>
      <c r="E19" s="9"/>
      <c r="F19" s="9">
        <v>26</v>
      </c>
      <c r="G19" s="9">
        <v>48</v>
      </c>
      <c r="H19" s="9"/>
      <c r="I19" s="9"/>
      <c r="J19" s="9">
        <v>48</v>
      </c>
      <c r="T19" s="26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8" t="s">
        <v>48</v>
      </c>
      <c r="B20" s="9">
        <v>1588</v>
      </c>
      <c r="C20" s="9">
        <v>3028970</v>
      </c>
      <c r="D20" s="9">
        <v>16205</v>
      </c>
      <c r="E20" s="9">
        <v>0</v>
      </c>
      <c r="F20" s="9">
        <v>3045175</v>
      </c>
      <c r="G20" s="9">
        <v>5927290</v>
      </c>
      <c r="H20" s="9">
        <v>22961</v>
      </c>
      <c r="I20" s="9">
        <v>0</v>
      </c>
      <c r="J20" s="9">
        <v>5950251</v>
      </c>
      <c r="T20" s="26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6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6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6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6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6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6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6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6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6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6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6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6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6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6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6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6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6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6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6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6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6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6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6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6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6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6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6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6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6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6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6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6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6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7" t="s">
        <v>46</v>
      </c>
      <c r="B3" t="s">
        <v>64</v>
      </c>
      <c r="C3" t="s">
        <v>74</v>
      </c>
      <c r="V3" s="10" t="s">
        <v>75</v>
      </c>
      <c r="W3" s="7" t="s">
        <v>40</v>
      </c>
      <c r="X3" s="7" t="s">
        <v>62</v>
      </c>
      <c r="Y3" t="s">
        <v>73</v>
      </c>
      <c r="Z3" t="s">
        <v>64</v>
      </c>
      <c r="AA3" t="s">
        <v>74</v>
      </c>
    </row>
    <row r="4" spans="1:27">
      <c r="A4" s="8" t="s">
        <v>30</v>
      </c>
      <c r="B4" s="9">
        <v>2467</v>
      </c>
      <c r="C4" s="9">
        <v>3806.1423290000002</v>
      </c>
      <c r="V4" t="str">
        <f>W4&amp;X4</f>
        <v>AIR ASIAP1</v>
      </c>
      <c r="W4" t="s">
        <v>30</v>
      </c>
      <c r="X4" t="s">
        <v>9</v>
      </c>
      <c r="Y4" s="9">
        <v>263</v>
      </c>
      <c r="Z4" s="9">
        <v>311</v>
      </c>
      <c r="AA4" s="9">
        <v>1997.191354</v>
      </c>
    </row>
    <row r="5" spans="1:27">
      <c r="A5" s="8" t="s">
        <v>22</v>
      </c>
      <c r="B5" s="9">
        <v>9992</v>
      </c>
      <c r="C5" s="9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9"/>
      <c r="Z5" s="9"/>
      <c r="AA5" s="9"/>
    </row>
    <row r="6" spans="1:27">
      <c r="A6" s="8" t="s">
        <v>23</v>
      </c>
      <c r="B6" s="9">
        <v>1472</v>
      </c>
      <c r="C6" s="9">
        <v>2956.1</v>
      </c>
      <c r="V6" t="str">
        <f t="shared" si="0"/>
        <v>AIR ASIAP3</v>
      </c>
      <c r="W6" t="s">
        <v>30</v>
      </c>
      <c r="X6" t="s">
        <v>11</v>
      </c>
      <c r="Y6" s="9">
        <v>476</v>
      </c>
      <c r="Z6" s="9">
        <v>488</v>
      </c>
      <c r="AA6" s="9">
        <v>399.74493799999999</v>
      </c>
    </row>
    <row r="7" spans="1:27">
      <c r="A7" s="8" t="s">
        <v>45</v>
      </c>
      <c r="B7" s="9">
        <v>61052</v>
      </c>
      <c r="C7" s="9">
        <v>93775.981349000009</v>
      </c>
      <c r="V7" t="str">
        <f t="shared" si="0"/>
        <v>AIR ASIAP4</v>
      </c>
      <c r="W7" t="s">
        <v>30</v>
      </c>
      <c r="X7" t="s">
        <v>12</v>
      </c>
      <c r="Y7" s="9">
        <v>180</v>
      </c>
      <c r="Z7" s="9">
        <v>199</v>
      </c>
      <c r="AA7" s="9">
        <v>337.623289</v>
      </c>
    </row>
    <row r="8" spans="1:27">
      <c r="A8" s="8" t="s">
        <v>24</v>
      </c>
      <c r="B8" s="9">
        <v>648</v>
      </c>
      <c r="C8" s="9">
        <v>1392.7165519999999</v>
      </c>
      <c r="V8" t="str">
        <f t="shared" si="0"/>
        <v>AIR ASIAP4.1</v>
      </c>
      <c r="W8" t="s">
        <v>30</v>
      </c>
      <c r="X8" t="s">
        <v>41</v>
      </c>
      <c r="Y8" s="9">
        <v>180</v>
      </c>
      <c r="Z8" s="9">
        <v>199</v>
      </c>
      <c r="AA8" s="9">
        <v>337.623289</v>
      </c>
    </row>
    <row r="9" spans="1:27">
      <c r="A9" s="8" t="s">
        <v>32</v>
      </c>
      <c r="B9" s="9">
        <v>1389</v>
      </c>
      <c r="C9" s="9">
        <v>1617.18</v>
      </c>
      <c r="V9" t="str">
        <f t="shared" si="0"/>
        <v>AIR ASIAP4.2</v>
      </c>
      <c r="W9" t="s">
        <v>30</v>
      </c>
      <c r="X9" t="s">
        <v>42</v>
      </c>
      <c r="Y9" s="9"/>
      <c r="Z9" s="9"/>
      <c r="AA9" s="9"/>
    </row>
    <row r="10" spans="1:27">
      <c r="A10" s="8" t="s">
        <v>25</v>
      </c>
      <c r="B10" s="9">
        <v>4140</v>
      </c>
      <c r="C10" s="9">
        <v>6380</v>
      </c>
      <c r="V10" t="str">
        <f t="shared" si="0"/>
        <v>AIR ASIAP5</v>
      </c>
      <c r="W10" t="s">
        <v>30</v>
      </c>
      <c r="X10" t="s">
        <v>13</v>
      </c>
      <c r="Y10" s="9"/>
      <c r="Z10" s="9"/>
      <c r="AA10" s="9"/>
    </row>
    <row r="11" spans="1:27">
      <c r="A11" s="8" t="s">
        <v>18</v>
      </c>
      <c r="B11" s="9">
        <v>25201</v>
      </c>
      <c r="C11" s="9">
        <v>33290.79</v>
      </c>
      <c r="V11" t="str">
        <f t="shared" si="0"/>
        <v>AIR ASIAP6</v>
      </c>
      <c r="W11" t="s">
        <v>30</v>
      </c>
      <c r="X11" t="s">
        <v>14</v>
      </c>
      <c r="Y11" s="9">
        <v>1253</v>
      </c>
      <c r="Z11" s="9">
        <v>1270</v>
      </c>
      <c r="AA11" s="9">
        <v>733.95945900000004</v>
      </c>
    </row>
    <row r="12" spans="1:27">
      <c r="A12" s="8" t="s">
        <v>43</v>
      </c>
      <c r="B12" s="9">
        <v>12112</v>
      </c>
      <c r="C12" s="9">
        <v>34401.086552000001</v>
      </c>
      <c r="V12" t="str">
        <f t="shared" si="0"/>
        <v>AIR INDIAP1</v>
      </c>
      <c r="W12" t="s">
        <v>22</v>
      </c>
      <c r="X12" t="s">
        <v>9</v>
      </c>
      <c r="Y12" s="9">
        <v>1329</v>
      </c>
      <c r="Z12" s="9">
        <v>1318</v>
      </c>
      <c r="AA12" s="9">
        <v>12079.48</v>
      </c>
    </row>
    <row r="13" spans="1:27">
      <c r="A13" s="8" t="s">
        <v>44</v>
      </c>
      <c r="B13" s="9">
        <v>48940</v>
      </c>
      <c r="C13" s="9">
        <v>59374.894797000001</v>
      </c>
      <c r="V13" t="str">
        <f t="shared" si="0"/>
        <v>AIR INDIAP2</v>
      </c>
      <c r="W13" t="s">
        <v>22</v>
      </c>
      <c r="X13" t="s">
        <v>10</v>
      </c>
      <c r="Y13" s="9"/>
      <c r="Z13" s="9"/>
      <c r="AA13" s="9"/>
    </row>
    <row r="14" spans="1:27">
      <c r="A14" s="8" t="s">
        <v>28</v>
      </c>
      <c r="B14" s="9">
        <v>12094</v>
      </c>
      <c r="C14" s="9">
        <v>9401.4900000000016</v>
      </c>
      <c r="V14" t="str">
        <f t="shared" si="0"/>
        <v>AIR INDIAP3</v>
      </c>
      <c r="W14" t="s">
        <v>22</v>
      </c>
      <c r="X14" t="s">
        <v>11</v>
      </c>
      <c r="Y14" s="9">
        <v>1766</v>
      </c>
      <c r="Z14" s="9">
        <v>1703</v>
      </c>
      <c r="AA14" s="9">
        <v>5986.11</v>
      </c>
    </row>
    <row r="15" spans="1:27">
      <c r="A15" s="8" t="s">
        <v>34</v>
      </c>
      <c r="B15" s="9">
        <v>895</v>
      </c>
      <c r="C15" s="9">
        <v>801.87858399999982</v>
      </c>
      <c r="V15" t="str">
        <f t="shared" si="0"/>
        <v>AIR INDIAP4</v>
      </c>
      <c r="W15" t="s">
        <v>22</v>
      </c>
      <c r="X15" t="s">
        <v>12</v>
      </c>
      <c r="Y15" s="9">
        <v>577</v>
      </c>
      <c r="Z15" s="9">
        <v>543</v>
      </c>
      <c r="AA15" s="9">
        <v>69.31</v>
      </c>
    </row>
    <row r="16" spans="1:27">
      <c r="A16" s="8" t="s">
        <v>31</v>
      </c>
      <c r="B16" s="9">
        <v>2721</v>
      </c>
      <c r="C16" s="9">
        <v>4070.3999999999996</v>
      </c>
      <c r="V16" t="str">
        <f t="shared" si="0"/>
        <v>AIR INDIAP4.1</v>
      </c>
      <c r="W16" t="s">
        <v>22</v>
      </c>
      <c r="X16" t="s">
        <v>41</v>
      </c>
      <c r="Y16" s="9"/>
      <c r="Z16" s="9"/>
      <c r="AA16" s="9"/>
    </row>
    <row r="17" spans="1:27">
      <c r="A17" s="8" t="s">
        <v>47</v>
      </c>
      <c r="B17" s="9"/>
      <c r="C17" s="9"/>
      <c r="V17" t="str">
        <f t="shared" si="0"/>
        <v>AIR INDIAP4.2</v>
      </c>
      <c r="W17" t="s">
        <v>22</v>
      </c>
      <c r="X17" t="s">
        <v>42</v>
      </c>
      <c r="Y17" s="9"/>
      <c r="Z17" s="9"/>
      <c r="AA17" s="9"/>
    </row>
    <row r="18" spans="1:27">
      <c r="A18" s="8" t="s">
        <v>182</v>
      </c>
      <c r="B18" s="9"/>
      <c r="C18" s="9"/>
      <c r="V18" t="str">
        <f t="shared" si="0"/>
        <v>AIR INDIAP5</v>
      </c>
      <c r="W18" t="s">
        <v>22</v>
      </c>
      <c r="X18" t="s">
        <v>13</v>
      </c>
      <c r="Y18" s="9">
        <v>2113</v>
      </c>
      <c r="Z18" s="9">
        <v>1989</v>
      </c>
      <c r="AA18" s="9">
        <v>3208.24</v>
      </c>
    </row>
    <row r="19" spans="1:27">
      <c r="A19" s="8" t="s">
        <v>184</v>
      </c>
      <c r="B19" s="9">
        <v>33</v>
      </c>
      <c r="C19" s="9">
        <v>7.0138840000000009</v>
      </c>
      <c r="V19" t="str">
        <f t="shared" si="0"/>
        <v>AIR INDIAP6</v>
      </c>
      <c r="W19" t="s">
        <v>22</v>
      </c>
      <c r="X19" t="s">
        <v>14</v>
      </c>
      <c r="Y19" s="9">
        <v>4964</v>
      </c>
      <c r="Z19" s="9">
        <v>4439</v>
      </c>
      <c r="AA19" s="9">
        <v>8709.1299999999992</v>
      </c>
    </row>
    <row r="20" spans="1:27">
      <c r="A20" s="8" t="s">
        <v>48</v>
      </c>
      <c r="B20" s="9">
        <v>183156</v>
      </c>
      <c r="C20" s="9">
        <v>281327.94404700003</v>
      </c>
      <c r="V20" t="str">
        <f t="shared" si="0"/>
        <v>AIR INDIA EXPRESSP1</v>
      </c>
      <c r="W20" t="s">
        <v>23</v>
      </c>
      <c r="X20" t="s">
        <v>9</v>
      </c>
      <c r="Y20" s="9">
        <v>346</v>
      </c>
      <c r="Z20" s="9">
        <v>335</v>
      </c>
      <c r="AA20" s="9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9"/>
      <c r="Z21" s="9"/>
      <c r="AA21" s="9"/>
    </row>
    <row r="22" spans="1:27">
      <c r="V22" t="str">
        <f t="shared" si="0"/>
        <v>AIR INDIA EXPRESSP3</v>
      </c>
      <c r="W22" t="s">
        <v>23</v>
      </c>
      <c r="X22" t="s">
        <v>11</v>
      </c>
      <c r="Y22" s="9">
        <v>610</v>
      </c>
      <c r="Z22" s="9">
        <v>621</v>
      </c>
      <c r="AA22" s="9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9">
        <v>78</v>
      </c>
      <c r="Z23" s="9">
        <v>80</v>
      </c>
      <c r="AA23" s="9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9">
        <v>16</v>
      </c>
      <c r="Z24" s="9">
        <v>16</v>
      </c>
      <c r="AA24" s="9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9">
        <v>62</v>
      </c>
      <c r="Z25" s="9">
        <v>64</v>
      </c>
      <c r="AA25" s="9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9"/>
      <c r="Z26" s="9"/>
      <c r="AA26" s="9"/>
    </row>
    <row r="27" spans="1:27">
      <c r="V27" t="str">
        <f t="shared" si="0"/>
        <v>AIR INDIA EXPRESSP6</v>
      </c>
      <c r="W27" t="s">
        <v>23</v>
      </c>
      <c r="X27" t="s">
        <v>14</v>
      </c>
      <c r="Y27" s="9">
        <v>358</v>
      </c>
      <c r="Z27" s="9">
        <v>356</v>
      </c>
      <c r="AA27" s="9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9">
        <v>6615</v>
      </c>
      <c r="Z28" s="9">
        <v>7199</v>
      </c>
      <c r="AA28" s="9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9">
        <v>259</v>
      </c>
      <c r="Z29" s="9">
        <v>280</v>
      </c>
      <c r="AA29" s="9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9">
        <v>11454</v>
      </c>
      <c r="Z30" s="9">
        <v>12610</v>
      </c>
      <c r="AA30" s="9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9">
        <v>3825</v>
      </c>
      <c r="Z31" s="9">
        <v>4194</v>
      </c>
      <c r="AA31" s="9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9">
        <v>1531</v>
      </c>
      <c r="Z32" s="9">
        <v>1701</v>
      </c>
      <c r="AA32" s="9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9">
        <v>1717</v>
      </c>
      <c r="Z33" s="9">
        <v>1950</v>
      </c>
      <c r="AA33" s="9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9">
        <v>3353</v>
      </c>
      <c r="Z34" s="9">
        <v>3322</v>
      </c>
      <c r="AA34" s="9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9">
        <v>26982</v>
      </c>
      <c r="Z35" s="9">
        <v>29796</v>
      </c>
      <c r="AA35" s="9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9">
        <v>202</v>
      </c>
      <c r="Z36" s="9">
        <v>184</v>
      </c>
      <c r="AA36" s="9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9"/>
      <c r="Z37" s="9"/>
      <c r="AA37" s="9"/>
    </row>
    <row r="38" spans="22:27">
      <c r="V38" t="str">
        <f t="shared" si="0"/>
        <v>ALLIANCE AIRP3</v>
      </c>
      <c r="W38" t="s">
        <v>24</v>
      </c>
      <c r="X38" t="s">
        <v>11</v>
      </c>
      <c r="Y38" s="9">
        <v>144</v>
      </c>
      <c r="Z38" s="9">
        <v>140</v>
      </c>
      <c r="AA38" s="9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9"/>
      <c r="Z39" s="9"/>
      <c r="AA39" s="9"/>
    </row>
    <row r="40" spans="22:27">
      <c r="V40" t="str">
        <f t="shared" si="0"/>
        <v>ALLIANCE AIRP4.1</v>
      </c>
      <c r="W40" t="s">
        <v>24</v>
      </c>
      <c r="X40" t="s">
        <v>41</v>
      </c>
      <c r="Y40" s="9"/>
      <c r="Z40" s="9"/>
      <c r="AA40" s="9"/>
    </row>
    <row r="41" spans="22:27">
      <c r="V41" t="str">
        <f t="shared" si="0"/>
        <v>ALLIANCE AIRP4.2</v>
      </c>
      <c r="W41" t="s">
        <v>24</v>
      </c>
      <c r="X41" t="s">
        <v>42</v>
      </c>
      <c r="Y41" s="9"/>
      <c r="Z41" s="9"/>
      <c r="AA41" s="9"/>
    </row>
    <row r="42" spans="22:27">
      <c r="V42" t="str">
        <f t="shared" si="0"/>
        <v>ALLIANCE AIRP5</v>
      </c>
      <c r="W42" t="s">
        <v>24</v>
      </c>
      <c r="X42" t="s">
        <v>13</v>
      </c>
      <c r="Y42" s="9"/>
      <c r="Z42" s="9"/>
      <c r="AA42" s="9"/>
    </row>
    <row r="43" spans="22:27">
      <c r="V43" t="str">
        <f t="shared" si="0"/>
        <v>ALLIANCE AIRP6</v>
      </c>
      <c r="W43" t="s">
        <v>24</v>
      </c>
      <c r="X43" t="s">
        <v>14</v>
      </c>
      <c r="Y43" s="9">
        <v>346</v>
      </c>
      <c r="Z43" s="9">
        <v>324</v>
      </c>
      <c r="AA43" s="9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9">
        <v>58</v>
      </c>
      <c r="Z44" s="9">
        <v>60</v>
      </c>
      <c r="AA44" s="9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9"/>
      <c r="Z45" s="9"/>
      <c r="AA45" s="9"/>
    </row>
    <row r="46" spans="22:27">
      <c r="V46" t="str">
        <f t="shared" si="0"/>
        <v>Blue Dart P3</v>
      </c>
      <c r="W46" t="s">
        <v>32</v>
      </c>
      <c r="X46" t="s">
        <v>11</v>
      </c>
      <c r="Y46" s="9"/>
      <c r="Z46" s="9"/>
      <c r="AA46" s="9"/>
    </row>
    <row r="47" spans="22:27">
      <c r="V47" t="str">
        <f t="shared" si="0"/>
        <v>Blue Dart P4</v>
      </c>
      <c r="W47" t="s">
        <v>32</v>
      </c>
      <c r="X47" t="s">
        <v>12</v>
      </c>
      <c r="Y47" s="9">
        <v>156</v>
      </c>
      <c r="Z47" s="9">
        <v>152</v>
      </c>
      <c r="AA47" s="9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9">
        <v>56</v>
      </c>
      <c r="Z48" s="9">
        <v>56</v>
      </c>
      <c r="AA48" s="9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9">
        <v>100</v>
      </c>
      <c r="Z49" s="9">
        <v>96</v>
      </c>
      <c r="AA49" s="9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9"/>
      <c r="Z50" s="9"/>
      <c r="AA50" s="9"/>
    </row>
    <row r="51" spans="22:27">
      <c r="V51" t="str">
        <f t="shared" si="0"/>
        <v>Blue Dart P6</v>
      </c>
      <c r="W51" t="s">
        <v>32</v>
      </c>
      <c r="X51" t="s">
        <v>14</v>
      </c>
      <c r="Y51" s="9">
        <v>937</v>
      </c>
      <c r="Z51" s="9">
        <v>1025</v>
      </c>
      <c r="AA51" s="9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9">
        <v>444</v>
      </c>
      <c r="Z52" s="9">
        <v>513</v>
      </c>
      <c r="AA52" s="9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9"/>
      <c r="Z53" s="9"/>
      <c r="AA53" s="9"/>
    </row>
    <row r="54" spans="22:27">
      <c r="V54" t="str">
        <f t="shared" si="0"/>
        <v>GO AIRP3</v>
      </c>
      <c r="W54" t="s">
        <v>25</v>
      </c>
      <c r="X54" t="s">
        <v>11</v>
      </c>
      <c r="Y54" s="9">
        <v>753</v>
      </c>
      <c r="Z54" s="9">
        <v>812</v>
      </c>
      <c r="AA54" s="9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9">
        <v>474</v>
      </c>
      <c r="Z55" s="9">
        <v>522</v>
      </c>
      <c r="AA55" s="9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9">
        <v>143</v>
      </c>
      <c r="Z56" s="9">
        <v>151</v>
      </c>
      <c r="AA56" s="9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9">
        <v>331</v>
      </c>
      <c r="Z57" s="9">
        <v>371</v>
      </c>
      <c r="AA57" s="9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9">
        <v>476</v>
      </c>
      <c r="Z58" s="9">
        <v>522</v>
      </c>
      <c r="AA58" s="9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9">
        <v>1107</v>
      </c>
      <c r="Z59" s="9">
        <v>1249</v>
      </c>
      <c r="AA59" s="9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9">
        <v>2747</v>
      </c>
      <c r="Z60" s="9">
        <v>3187</v>
      </c>
      <c r="AA60" s="9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9">
        <v>195</v>
      </c>
      <c r="Z61" s="9">
        <v>210</v>
      </c>
      <c r="AA61" s="9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9">
        <v>5623</v>
      </c>
      <c r="Z62" s="9">
        <v>6248</v>
      </c>
      <c r="AA62" s="9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9">
        <v>1466</v>
      </c>
      <c r="Z63" s="9">
        <v>1718</v>
      </c>
      <c r="AA63" s="9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9">
        <v>723</v>
      </c>
      <c r="Z64" s="9">
        <v>829</v>
      </c>
      <c r="AA64" s="9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9">
        <v>743</v>
      </c>
      <c r="Z65" s="9">
        <v>889</v>
      </c>
      <c r="AA65" s="9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9">
        <v>275</v>
      </c>
      <c r="Z66" s="9">
        <v>305</v>
      </c>
      <c r="AA66" s="9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9">
        <v>10000</v>
      </c>
      <c r="Z67" s="9">
        <v>11815</v>
      </c>
      <c r="AA67" s="9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9">
        <v>1877</v>
      </c>
      <c r="Z68" s="9">
        <v>1837</v>
      </c>
      <c r="AA68" s="9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9">
        <v>0</v>
      </c>
      <c r="Z69" s="9">
        <v>0</v>
      </c>
      <c r="AA69" s="9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9">
        <v>2520</v>
      </c>
      <c r="Z70" s="9">
        <v>2464</v>
      </c>
      <c r="AA70" s="9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9">
        <v>655</v>
      </c>
      <c r="Z71" s="9">
        <v>623</v>
      </c>
      <c r="AA71" s="9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9">
        <v>16</v>
      </c>
      <c r="Z72" s="9">
        <v>16</v>
      </c>
      <c r="AA72" s="9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9">
        <v>62</v>
      </c>
      <c r="Z73" s="9">
        <v>64</v>
      </c>
      <c r="AA73" s="9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9">
        <v>2113</v>
      </c>
      <c r="Z74" s="9">
        <v>1989</v>
      </c>
      <c r="AA74" s="9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9">
        <v>5668</v>
      </c>
      <c r="Z75" s="9">
        <v>5119</v>
      </c>
      <c r="AA75" s="9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9">
        <v>4738</v>
      </c>
      <c r="Z76" s="9">
        <v>5362</v>
      </c>
      <c r="AA76" s="9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9">
        <v>259</v>
      </c>
      <c r="Z77" s="9">
        <v>280</v>
      </c>
      <c r="AA77" s="9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9">
        <v>8934</v>
      </c>
      <c r="Z78" s="9">
        <v>10146</v>
      </c>
      <c r="AA78" s="9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9">
        <v>3170</v>
      </c>
      <c r="Z79" s="9">
        <v>3571</v>
      </c>
      <c r="AA79" s="9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9">
        <v>1515</v>
      </c>
      <c r="Z80" s="9">
        <v>1685</v>
      </c>
      <c r="AA80" s="9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9">
        <v>1655</v>
      </c>
      <c r="Z81" s="9">
        <v>1886</v>
      </c>
      <c r="AA81" s="9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9">
        <v>1240</v>
      </c>
      <c r="Z82" s="9">
        <v>1333</v>
      </c>
      <c r="AA82" s="9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9">
        <v>21314</v>
      </c>
      <c r="Z83" s="9">
        <v>24677</v>
      </c>
      <c r="AA83" s="9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9">
        <v>779</v>
      </c>
      <c r="Z84" s="9">
        <v>813</v>
      </c>
      <c r="AA84" s="9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9">
        <v>64</v>
      </c>
      <c r="Z85" s="9">
        <v>70</v>
      </c>
      <c r="AA85" s="9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9">
        <v>1341</v>
      </c>
      <c r="Z86" s="9">
        <v>1798</v>
      </c>
      <c r="AA86" s="9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9">
        <v>683</v>
      </c>
      <c r="Z87" s="9">
        <v>694</v>
      </c>
      <c r="AA87" s="9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9">
        <v>307</v>
      </c>
      <c r="Z88" s="9">
        <v>306</v>
      </c>
      <c r="AA88" s="9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9">
        <v>376</v>
      </c>
      <c r="Z89" s="9">
        <v>388</v>
      </c>
      <c r="AA89" s="9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9">
        <v>420</v>
      </c>
      <c r="Z90" s="9">
        <v>443</v>
      </c>
      <c r="AA90" s="9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9">
        <v>6467</v>
      </c>
      <c r="Z91" s="9">
        <v>7582</v>
      </c>
      <c r="AA91" s="9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9">
        <v>88</v>
      </c>
      <c r="Z92" s="9">
        <v>89</v>
      </c>
      <c r="AA92" s="9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9"/>
      <c r="Z93" s="9"/>
      <c r="AA93" s="9"/>
    </row>
    <row r="94" spans="22:27">
      <c r="V94" t="str">
        <f t="shared" si="1"/>
        <v>TRUEJETP3</v>
      </c>
      <c r="W94" t="s">
        <v>34</v>
      </c>
      <c r="X94" t="s">
        <v>11</v>
      </c>
      <c r="Y94" s="9">
        <v>68</v>
      </c>
      <c r="Z94" s="9">
        <v>78</v>
      </c>
      <c r="AA94" s="9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9">
        <v>36</v>
      </c>
      <c r="Z95" s="9">
        <v>83</v>
      </c>
      <c r="AA95" s="9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9">
        <v>3</v>
      </c>
      <c r="Z96" s="9">
        <v>22</v>
      </c>
      <c r="AA96" s="9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9">
        <v>33</v>
      </c>
      <c r="Z97" s="9">
        <v>61</v>
      </c>
      <c r="AA97" s="9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9">
        <v>25</v>
      </c>
      <c r="Z98" s="9">
        <v>24</v>
      </c>
      <c r="AA98" s="9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9">
        <v>438</v>
      </c>
      <c r="Z99" s="9">
        <v>538</v>
      </c>
      <c r="AA99" s="9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9">
        <v>355</v>
      </c>
      <c r="Z100" s="9">
        <v>385</v>
      </c>
      <c r="AA100" s="9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9"/>
      <c r="Z101" s="9"/>
      <c r="AA101" s="9"/>
    </row>
    <row r="102" spans="22:27">
      <c r="V102" t="str">
        <f t="shared" si="1"/>
        <v>VISTARAP3</v>
      </c>
      <c r="W102" t="s">
        <v>31</v>
      </c>
      <c r="X102" t="s">
        <v>11</v>
      </c>
      <c r="Y102" s="9">
        <v>673</v>
      </c>
      <c r="Z102" s="9">
        <v>722</v>
      </c>
      <c r="AA102" s="9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9">
        <v>175</v>
      </c>
      <c r="Z103" s="9">
        <v>203</v>
      </c>
      <c r="AA103" s="9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9">
        <v>103</v>
      </c>
      <c r="Z104" s="9">
        <v>122</v>
      </c>
      <c r="AA104" s="9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9">
        <v>72</v>
      </c>
      <c r="Z105" s="9">
        <v>81</v>
      </c>
      <c r="AA105" s="9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9">
        <v>42</v>
      </c>
      <c r="Z106" s="9">
        <v>37</v>
      </c>
      <c r="AA106" s="9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9">
        <v>1085</v>
      </c>
      <c r="Z107" s="9">
        <v>1171</v>
      </c>
      <c r="AA107" s="9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9"/>
      <c r="Z108" s="9"/>
      <c r="AA108" s="9"/>
    </row>
    <row r="109" spans="22:27">
      <c r="V109" t="str">
        <f t="shared" si="1"/>
        <v>STAR AIRP1</v>
      </c>
      <c r="W109" t="s">
        <v>182</v>
      </c>
      <c r="X109" t="s">
        <v>9</v>
      </c>
      <c r="Y109" s="9"/>
      <c r="Z109" s="9"/>
      <c r="AA109" s="9"/>
    </row>
    <row r="110" spans="22:27">
      <c r="V110" t="str">
        <f t="shared" si="1"/>
        <v>STAR AIRP2</v>
      </c>
      <c r="W110" t="s">
        <v>182</v>
      </c>
      <c r="X110" t="s">
        <v>10</v>
      </c>
      <c r="Y110" s="9"/>
      <c r="Z110" s="9"/>
      <c r="AA110" s="9"/>
    </row>
    <row r="111" spans="22:27">
      <c r="V111" t="str">
        <f t="shared" si="1"/>
        <v>STAR AIRP3</v>
      </c>
      <c r="W111" t="s">
        <v>182</v>
      </c>
      <c r="X111" t="s">
        <v>11</v>
      </c>
      <c r="Y111" s="9"/>
      <c r="Z111" s="9"/>
      <c r="AA111" s="9"/>
    </row>
    <row r="112" spans="22:27">
      <c r="V112" t="str">
        <f t="shared" si="1"/>
        <v>STAR AIRP4</v>
      </c>
      <c r="W112" t="s">
        <v>182</v>
      </c>
      <c r="X112" t="s">
        <v>12</v>
      </c>
      <c r="Y112" s="9"/>
      <c r="Z112" s="9"/>
      <c r="AA112" s="9"/>
    </row>
    <row r="113" spans="22:27">
      <c r="V113" t="str">
        <f t="shared" si="1"/>
        <v>STAR AIRP4.1</v>
      </c>
      <c r="W113" t="s">
        <v>182</v>
      </c>
      <c r="X113" t="s">
        <v>41</v>
      </c>
      <c r="Y113" s="9"/>
      <c r="Z113" s="9"/>
      <c r="AA113" s="9"/>
    </row>
    <row r="114" spans="22:27">
      <c r="V114" t="str">
        <f t="shared" si="1"/>
        <v>STAR AIRP4.2</v>
      </c>
      <c r="W114" t="s">
        <v>182</v>
      </c>
      <c r="X114" t="s">
        <v>42</v>
      </c>
      <c r="Y114" s="9"/>
      <c r="Z114" s="9"/>
      <c r="AA114" s="9"/>
    </row>
    <row r="115" spans="22:27">
      <c r="V115" t="str">
        <f t="shared" si="1"/>
        <v>STAR AIRP5</v>
      </c>
      <c r="W115" t="s">
        <v>182</v>
      </c>
      <c r="X115" t="s">
        <v>13</v>
      </c>
      <c r="Y115" s="9"/>
      <c r="Z115" s="9"/>
      <c r="AA115" s="9"/>
    </row>
    <row r="116" spans="22:27">
      <c r="V116" t="str">
        <f t="shared" si="1"/>
        <v>STAR AIRP6</v>
      </c>
      <c r="W116" t="s">
        <v>182</v>
      </c>
      <c r="X116" t="s">
        <v>14</v>
      </c>
      <c r="Y116" s="9"/>
      <c r="Z116" s="9"/>
      <c r="AA116" s="9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9">
        <v>4</v>
      </c>
      <c r="Z117" s="9">
        <v>4</v>
      </c>
      <c r="AA117" s="9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9"/>
      <c r="Z118" s="9"/>
      <c r="AA118" s="9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9"/>
      <c r="Z119" s="9"/>
      <c r="AA119" s="9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9"/>
      <c r="Z120" s="9"/>
      <c r="AA120" s="9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9"/>
      <c r="Z121" s="9"/>
      <c r="AA121" s="9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9"/>
      <c r="Z122" s="9"/>
      <c r="AA122" s="9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9">
        <v>2</v>
      </c>
      <c r="Z123" s="9">
        <v>2</v>
      </c>
      <c r="AA123" s="9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9">
        <v>27</v>
      </c>
      <c r="Z124" s="9">
        <v>27</v>
      </c>
      <c r="AA124" s="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16</v>
      </c>
      <c r="C2" s="14" t="s">
        <v>102</v>
      </c>
      <c r="D2" s="14" t="s">
        <v>103</v>
      </c>
      <c r="E2" s="14" t="s">
        <v>17</v>
      </c>
      <c r="F2" s="14" t="s">
        <v>104</v>
      </c>
      <c r="G2" s="15" t="s">
        <v>105</v>
      </c>
      <c r="H2" s="15" t="s">
        <v>106</v>
      </c>
      <c r="I2" s="16" t="s">
        <v>107</v>
      </c>
      <c r="J2" s="15" t="s">
        <v>108</v>
      </c>
      <c r="K2" s="15" t="s">
        <v>109</v>
      </c>
      <c r="L2" s="15" t="s">
        <v>110</v>
      </c>
      <c r="M2" s="15" t="s">
        <v>111</v>
      </c>
      <c r="N2" s="15" t="s">
        <v>112</v>
      </c>
      <c r="O2" s="15" t="s">
        <v>113</v>
      </c>
      <c r="P2" s="15" t="s">
        <v>114</v>
      </c>
      <c r="Q2" s="15" t="s">
        <v>115</v>
      </c>
      <c r="R2" s="15" t="s">
        <v>116</v>
      </c>
      <c r="S2" s="17" t="s">
        <v>117</v>
      </c>
      <c r="T2" s="15" t="s">
        <v>118</v>
      </c>
      <c r="U2" s="15" t="s">
        <v>119</v>
      </c>
      <c r="V2" s="14" t="s">
        <v>120</v>
      </c>
      <c r="W2" s="15" t="s">
        <v>121</v>
      </c>
      <c r="X2" s="14" t="s">
        <v>122</v>
      </c>
      <c r="Y2" s="14" t="s">
        <v>123</v>
      </c>
    </row>
    <row r="3" spans="1:25">
      <c r="A3" s="7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22" customFormat="1">
      <c r="A4" s="24" t="s">
        <v>30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22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23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24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32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25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18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26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27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28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34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31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47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43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44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45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182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183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181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48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M19"/>
  <sheetViews>
    <sheetView tabSelected="1" view="pageBreakPreview" zoomScaleNormal="100" zoomScaleSheetLayoutView="100" workbookViewId="0">
      <selection activeCell="I8" sqref="I8"/>
    </sheetView>
  </sheetViews>
  <sheetFormatPr defaultRowHeight="35.1" customHeight="1"/>
  <cols>
    <col min="1" max="1" width="6.140625" style="3" customWidth="1"/>
    <col min="2" max="2" width="9.85546875" style="3" customWidth="1"/>
    <col min="3" max="3" width="29.85546875" style="3" customWidth="1"/>
    <col min="4" max="4" width="30.7109375" style="3" customWidth="1"/>
    <col min="5" max="16384" width="9.140625" style="3"/>
  </cols>
  <sheetData>
    <row r="1" spans="1:13" ht="29.25" customHeight="1">
      <c r="A1" s="34" t="s">
        <v>186</v>
      </c>
      <c r="B1" s="35"/>
      <c r="C1" s="35"/>
      <c r="D1" s="36"/>
    </row>
    <row r="2" spans="1:13" ht="29.25" customHeight="1">
      <c r="A2" s="37" t="s">
        <v>187</v>
      </c>
      <c r="B2" s="38"/>
      <c r="C2" s="38"/>
      <c r="D2" s="39"/>
    </row>
    <row r="3" spans="1:13" ht="39" customHeight="1">
      <c r="A3" s="40" t="s">
        <v>188</v>
      </c>
      <c r="B3" s="40"/>
      <c r="C3" s="40"/>
      <c r="D3" s="40"/>
    </row>
    <row r="4" spans="1:13" ht="30" customHeight="1">
      <c r="A4" s="33" t="s">
        <v>189</v>
      </c>
      <c r="B4" s="41" t="s">
        <v>4</v>
      </c>
      <c r="C4" s="42" t="s">
        <v>7</v>
      </c>
      <c r="D4" s="42" t="s">
        <v>8</v>
      </c>
    </row>
    <row r="5" spans="1:13" ht="30" customHeight="1">
      <c r="A5" s="33"/>
      <c r="B5" s="41"/>
      <c r="C5" s="42"/>
      <c r="D5" s="42"/>
    </row>
    <row r="6" spans="1:13" ht="14.25" customHeight="1">
      <c r="A6" s="33"/>
      <c r="B6" s="41"/>
      <c r="C6" s="42"/>
      <c r="D6" s="42"/>
    </row>
    <row r="7" spans="1:13" ht="24" customHeight="1">
      <c r="A7" s="32">
        <v>1</v>
      </c>
      <c r="B7" s="31">
        <v>2</v>
      </c>
      <c r="C7" s="31">
        <v>3</v>
      </c>
      <c r="D7" s="31">
        <v>4</v>
      </c>
    </row>
    <row r="8" spans="1:13" ht="30" customHeight="1">
      <c r="A8" s="32">
        <v>1</v>
      </c>
      <c r="B8" s="1" t="s">
        <v>3</v>
      </c>
      <c r="C8" s="5"/>
      <c r="D8" s="5"/>
    </row>
    <row r="9" spans="1:13" ht="30" customHeight="1">
      <c r="A9" s="32">
        <v>2</v>
      </c>
      <c r="B9" s="1" t="s">
        <v>2</v>
      </c>
      <c r="C9" s="5"/>
      <c r="D9" s="5"/>
    </row>
    <row r="10" spans="1:13" ht="30" customHeight="1">
      <c r="A10" s="32">
        <v>3</v>
      </c>
      <c r="B10" s="1" t="s">
        <v>1</v>
      </c>
      <c r="C10" s="5"/>
      <c r="D10" s="5"/>
    </row>
    <row r="11" spans="1:13" ht="30" customHeight="1">
      <c r="A11" s="32">
        <v>4</v>
      </c>
      <c r="B11" s="1" t="s">
        <v>0</v>
      </c>
      <c r="C11" s="5"/>
      <c r="D11" s="5"/>
    </row>
    <row r="12" spans="1:13" ht="30" customHeight="1">
      <c r="A12" s="32">
        <v>5</v>
      </c>
      <c r="B12" s="2" t="s">
        <v>6</v>
      </c>
      <c r="C12" s="6"/>
      <c r="D12" s="6"/>
    </row>
    <row r="13" spans="1:13" s="4" customFormat="1" ht="30" customHeight="1">
      <c r="A13" s="32">
        <v>6</v>
      </c>
      <c r="B13" s="2" t="s">
        <v>5</v>
      </c>
      <c r="C13" s="6"/>
      <c r="D13" s="6"/>
      <c r="L13" s="3"/>
      <c r="M13" s="3"/>
    </row>
    <row r="14" spans="1:13" ht="30" customHeight="1">
      <c r="A14" s="32">
        <v>7</v>
      </c>
      <c r="B14" s="2" t="s">
        <v>15</v>
      </c>
      <c r="C14" s="27"/>
      <c r="D14" s="27"/>
    </row>
    <row r="15" spans="1:13" ht="30" customHeight="1">
      <c r="A15" s="32">
        <v>8</v>
      </c>
      <c r="B15" s="2" t="s">
        <v>20</v>
      </c>
      <c r="C15" s="27"/>
      <c r="D15" s="27"/>
    </row>
    <row r="16" spans="1:13" ht="30" customHeight="1">
      <c r="A16" s="32">
        <v>9</v>
      </c>
      <c r="B16" s="2" t="s">
        <v>21</v>
      </c>
      <c r="C16" s="27"/>
      <c r="D16" s="27"/>
    </row>
    <row r="17" spans="1:5" ht="30" customHeight="1">
      <c r="A17" s="32">
        <v>10</v>
      </c>
      <c r="B17" s="2" t="s">
        <v>76</v>
      </c>
      <c r="C17" s="27"/>
      <c r="D17" s="27"/>
      <c r="E17" s="11"/>
    </row>
    <row r="18" spans="1:5" ht="30" customHeight="1">
      <c r="A18" s="32">
        <v>11</v>
      </c>
      <c r="B18" s="2" t="s">
        <v>180</v>
      </c>
      <c r="C18" s="27"/>
      <c r="D18" s="27"/>
      <c r="E18" s="11"/>
    </row>
    <row r="19" spans="1:5" ht="30" customHeight="1">
      <c r="A19" s="32">
        <v>12</v>
      </c>
      <c r="B19" s="2" t="s">
        <v>185</v>
      </c>
      <c r="C19" s="27">
        <v>10.319954862873853</v>
      </c>
      <c r="D19" s="27">
        <v>43.454932325041398</v>
      </c>
    </row>
  </sheetData>
  <mergeCells count="7">
    <mergeCell ref="A4:A6"/>
    <mergeCell ref="A1:D1"/>
    <mergeCell ref="A2:D2"/>
    <mergeCell ref="A3:D3"/>
    <mergeCell ref="B4:B6"/>
    <mergeCell ref="C4:C6"/>
    <mergeCell ref="D4:D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1.24</vt:lpstr>
      <vt:lpstr>'1.24'!Print_Area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2020-12-10T01:09:56Z</cp:lastPrinted>
  <dcterms:created xsi:type="dcterms:W3CDTF">2002-12-26T09:18:20Z</dcterms:created>
  <dcterms:modified xsi:type="dcterms:W3CDTF">2020-12-10T23:59:37Z</dcterms:modified>
</cp:coreProperties>
</file>