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Yearly Report (2018-19)\INTERNATIONAL OPERATIONS\"/>
    </mc:Choice>
  </mc:AlternateContent>
  <bookViews>
    <workbookView showHorizontalScroll="0" showVerticalScroll="0" showSheetTabs="0" xWindow="0" yWindow="0" windowWidth="19200" windowHeight="7224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K14" i="1" l="1"/>
  <c r="J14" i="1"/>
  <c r="J9" i="1" l="1"/>
  <c r="J10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3" i="1"/>
  <c r="J34" i="1"/>
  <c r="J35" i="1"/>
  <c r="J36" i="1"/>
  <c r="J37" i="1"/>
  <c r="J38" i="1"/>
  <c r="J39" i="1"/>
  <c r="J40" i="1"/>
  <c r="J41" i="1"/>
  <c r="J42" i="1"/>
  <c r="J43" i="1"/>
  <c r="J44" i="1"/>
  <c r="J46" i="1"/>
  <c r="J47" i="1"/>
  <c r="J48" i="1"/>
  <c r="J49" i="1"/>
  <c r="J50" i="1"/>
  <c r="J51" i="1"/>
  <c r="J52" i="1"/>
  <c r="J53" i="1"/>
  <c r="J55" i="1"/>
  <c r="J56" i="1"/>
  <c r="J57" i="1"/>
  <c r="J58" i="1"/>
  <c r="J59" i="1"/>
  <c r="J60" i="1"/>
  <c r="J61" i="1"/>
  <c r="J62" i="1"/>
  <c r="J63" i="1"/>
  <c r="J65" i="1"/>
  <c r="J66" i="1"/>
  <c r="J67" i="1"/>
  <c r="J69" i="1"/>
  <c r="J8" i="1"/>
  <c r="C71" i="1"/>
  <c r="J71" i="1" s="1"/>
</calcChain>
</file>

<file path=xl/sharedStrings.xml><?xml version="1.0" encoding="utf-8"?>
<sst xmlns="http://schemas.openxmlformats.org/spreadsheetml/2006/main" count="154" uniqueCount="91">
  <si>
    <t>TABLE - 1.03 (INTERNATIONAL OPERATIONS)</t>
  </si>
  <si>
    <t>COUNTRY-WISE SCHEDULED INTERNATIONAL PASSENGERS CARRIED BY ALL SCHEDULED DOMESTIC AND FOREIGN AIRLINES FOR THE LAST SEVEN YEARS</t>
  </si>
  <si>
    <t>(PASSENGERS IN NUMBER)</t>
  </si>
  <si>
    <t>COUNTRY</t>
  </si>
  <si>
    <t>PASSENGERS</t>
  </si>
  <si>
    <t>PERCENTAGE VARIATION</t>
  </si>
  <si>
    <t>2017-18</t>
  </si>
  <si>
    <t>2016-17</t>
  </si>
  <si>
    <t>2015-16</t>
  </si>
  <si>
    <t>2014-15</t>
  </si>
  <si>
    <t>2013-14</t>
  </si>
  <si>
    <t>2012-13</t>
  </si>
  <si>
    <t>AFGHANISTAN</t>
  </si>
  <si>
    <t>AUSTRALIA</t>
  </si>
  <si>
    <t>-</t>
  </si>
  <si>
    <t>AUSTRIA</t>
  </si>
  <si>
    <t>AZERBAIJAN</t>
  </si>
  <si>
    <t>BAHRAIN</t>
  </si>
  <si>
    <t>BANGLADESH</t>
  </si>
  <si>
    <t>BELGIUM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</si>
  <si>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</si>
  <si>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</si>
  <si>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</si>
  <si>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</si>
  <si>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</si>
  <si>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</si>
  <si>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</si>
  <si>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</si>
  <si>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</si>
  <si>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GERMANY</t>
  </si>
  <si>
    <t>HONG KONG</t>
  </si>
  <si>
    <t>INDONESIA</t>
  </si>
  <si>
    <t>IRAN</t>
  </si>
  <si>
    <t>IRAQ</t>
  </si>
  <si>
    <t>ISRAEL</t>
  </si>
  <si>
    <t>ITALY</t>
  </si>
  <si>
    <t>JAPAN</t>
  </si>
  <si>
    <t>JORDAN</t>
  </si>
  <si>
    <t>KAZAKHSTAN</t>
  </si>
  <si>
    <t>KENYA</t>
  </si>
  <si>
    <t>KOREA</t>
  </si>
  <si>
    <t>KUWAIT</t>
  </si>
  <si>
    <t>KYRGYZSTAN</t>
  </si>
  <si>
    <t>MALAYSIA</t>
  </si>
  <si>
    <t>MALDIVES</t>
  </si>
  <si>
    <t>MAURITIUS</t>
  </si>
  <si>
    <t>NEPAL</t>
  </si>
  <si>
    <t>NETHERLANDS</t>
  </si>
  <si>
    <t>OMAN</t>
  </si>
  <si>
    <t>PAKISTAN</t>
  </si>
  <si>
    <t>PHILIPPINES</t>
  </si>
  <si>
    <t>QATAR</t>
  </si>
  <si>
    <t>REUNION</t>
  </si>
  <si>
    <t>RUSSIA</t>
  </si>
  <si>
    <t>RWANDA</t>
  </si>
  <si>
    <t>SAUDI ARABIA</t>
  </si>
  <si>
    <t>SEYCHELLES</t>
  </si>
  <si>
    <t>SINGAPORE</t>
  </si>
  <si>
    <t>SPAIN</t>
  </si>
  <si>
    <t>SOUTH AFRICA</t>
  </si>
  <si>
    <t>SRI LANKA</t>
  </si>
  <si>
    <t>SWEDEN</t>
  </si>
  <si>
    <t>SWITZERLAND</t>
  </si>
  <si>
    <t>TAIWAN</t>
  </si>
  <si>
    <t>TAJIKISTAN</t>
  </si>
  <si>
    <t>THAILAND</t>
  </si>
  <si>
    <t>TURKEY</t>
  </si>
  <si>
    <t>TURKMENISTAN</t>
  </si>
  <si>
    <t>UNITED ARAB EMIRATES*</t>
  </si>
  <si>
    <t>UKRAINE</t>
  </si>
  <si>
    <t>UNITED KINGDOM</t>
  </si>
  <si>
    <t>UNITED STATES</t>
  </si>
  <si>
    <t>UZBEKISTAN</t>
  </si>
  <si>
    <t>VIETNAM</t>
  </si>
  <si>
    <t>YEMEN</t>
  </si>
  <si>
    <t>OTHERS**</t>
  </si>
  <si>
    <t>TOTAL</t>
  </si>
  <si>
    <t>*UNITED ARAB EMIRATES includes Ajman, Dubai, Fujairah, Ras al-Khaimah, Sharjah, Umm al-Quwain.</t>
  </si>
  <si>
    <t>** Others include Indonesia in the year 2011-12.</t>
  </si>
  <si>
    <t>SOURCE :- MONTHLY TRAFFIC STATISTICS FURNISHED BY ALL SCHEDULED DOMESTIC AND FOREIGN  AIRLINES.</t>
  </si>
  <si>
    <t>Page 1 of 1</t>
  </si>
  <si>
    <r>
      <rPr>
        <b/>
        <sz val="11"/>
        <rFont val="Calibri"/>
        <family val="2"/>
        <scheme val="minor"/>
      </rPr>
      <t>SL.
No.</t>
    </r>
  </si>
  <si>
    <r>
      <rPr>
        <b/>
        <sz val="11"/>
        <rFont val="Calibri"/>
        <family val="2"/>
        <scheme val="minor"/>
      </rPr>
      <t>2017-18
OVER 2016-17</t>
    </r>
  </si>
  <si>
    <r>
      <rPr>
        <b/>
        <sz val="11"/>
        <rFont val="Calibri"/>
        <family val="2"/>
        <scheme val="minor"/>
      </rPr>
      <t>2016-17
OVER 2015-16</t>
    </r>
  </si>
  <si>
    <r>
      <rPr>
        <b/>
        <sz val="11"/>
        <rFont val="Calibri"/>
        <family val="2"/>
        <scheme val="minor"/>
      </rPr>
      <t>2015-16
OVER 2014-15</t>
    </r>
  </si>
  <si>
    <r>
      <rPr>
        <b/>
        <sz val="11"/>
        <rFont val="Calibri"/>
        <family val="2"/>
        <scheme val="minor"/>
      </rPr>
      <t>2014-15
OVER 2013-14</t>
    </r>
  </si>
  <si>
    <r>
      <rPr>
        <b/>
        <sz val="11"/>
        <rFont val="Calibri"/>
        <family val="2"/>
        <scheme val="minor"/>
      </rPr>
      <t>2013-14
OVER 2012-13</t>
    </r>
  </si>
  <si>
    <t>2018-19</t>
  </si>
  <si>
    <t>2018-19
OVER 2017-18</t>
  </si>
  <si>
    <t>सारणी 1.03 (अन्तर्राष्ट्रीय प्रचालन)</t>
  </si>
  <si>
    <t xml:space="preserve">NOTE: 1. THIS TABLE DOES NOT INCLUDE PASSENGERS AND FREIGHT CARRIED BY ALL SCHEDULED DOMESTIC AIRLINES ENTIRELY OUTSIDE THE INDIAN TERRITORY.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</si>
</sst>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6" x14ac:knownFonts="1">
    <font>
      <sz val="10"/>
      <color rgb="FF000000"/>
      <name val="Times New Roman"/>
      <charset val="204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3" fontId="1" fillId="0" borderId="1" xfId="0" applyNumberFormat="1" applyFont="1" applyFill="1" applyBorder="1" applyAlignment="1">
      <alignment horizontal="right" vertical="top" shrinkToFit="1"/>
    </xf>
    <xf numFmtId="164" fontId="1" fillId="0" borderId="1" xfId="0" applyNumberFormat="1" applyFont="1" applyFill="1" applyBorder="1" applyAlignment="1">
      <alignment horizontal="right" vertical="top" shrinkToFit="1"/>
    </xf>
    <xf numFmtId="1" fontId="1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left" vertical="top" wrapText="1" indent="2"/>
    </xf>
    <xf numFmtId="165" fontId="1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center" wrapText="1"/>
    </xf>
    <xf numFmtId="3" fontId="5" fillId="4" borderId="1" xfId="0" applyNumberFormat="1" applyFont="1" applyFill="1" applyBorder="1" applyAlignment="1">
      <alignment horizontal="center" vertical="center" shrinkToFit="1"/>
    </xf>
    <xf numFmtId="164" fontId="5" fillId="4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right" vertical="top" wrapText="1"/>
    </xf>
    <xf numFmtId="0" fontId="3" fillId="0" borderId="6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right" vertical="top" wrapText="1"/>
    </xf>
    <xf numFmtId="0" fontId="3" fillId="0" borderId="13" xfId="0" applyFont="1" applyFill="1" applyBorder="1" applyAlignment="1">
      <alignment horizontal="right" vertical="top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1" fontId="1" fillId="0" borderId="17" xfId="0" applyNumberFormat="1" applyFont="1" applyFill="1" applyBorder="1" applyAlignment="1">
      <alignment horizontal="left" vertical="top" indent="1" shrinkToFit="1"/>
    </xf>
    <xf numFmtId="164" fontId="1" fillId="0" borderId="18" xfId="0" applyNumberFormat="1" applyFont="1" applyFill="1" applyBorder="1" applyAlignment="1">
      <alignment horizontal="right" vertical="top" shrinkToFit="1"/>
    </xf>
    <xf numFmtId="0" fontId="4" fillId="0" borderId="18" xfId="0" applyFont="1" applyFill="1" applyBorder="1" applyAlignment="1">
      <alignment horizontal="left" vertical="top" wrapText="1" indent="2"/>
    </xf>
    <xf numFmtId="0" fontId="2" fillId="4" borderId="11" xfId="0" applyFont="1" applyFill="1" applyBorder="1" applyAlignment="1">
      <alignment horizontal="center" vertical="center" wrapText="1"/>
    </xf>
    <xf numFmtId="164" fontId="5" fillId="4" borderId="18" xfId="0" applyNumberFormat="1" applyFont="1" applyFill="1" applyBorder="1" applyAlignment="1">
      <alignment horizontal="center" vertical="center" shrinkToFi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2" fillId="0" borderId="19" xfId="0" applyFont="1" applyFill="1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 wrapText="1"/>
    </xf>
    <xf numFmtId="0" fontId="2" fillId="0" borderId="2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5"/>
  <sheetViews>
    <sheetView tabSelected="1" topLeftCell="C57" workbookViewId="0">
      <selection activeCell="A2" sqref="A2:O75"/>
    </sheetView>
  </sheetViews>
  <sheetFormatPr defaultRowHeight="14.4" x14ac:dyDescent="0.25"/>
  <cols>
    <col min="1" max="1" width="8.109375" style="9" customWidth="1"/>
    <col min="2" max="2" width="22.44140625" bestFit="1" customWidth="1"/>
    <col min="3" max="15" width="12.21875" customWidth="1"/>
  </cols>
  <sheetData>
    <row r="1" spans="1:15" ht="15.75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5" customHeight="1" x14ac:dyDescent="0.25">
      <c r="A2" s="26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1:15" ht="23.25" customHeight="1" x14ac:dyDescent="0.25">
      <c r="A3" s="29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30"/>
    </row>
    <row r="4" spans="1:15" ht="33.75" customHeight="1" x14ac:dyDescent="0.25">
      <c r="A4" s="31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32"/>
    </row>
    <row r="5" spans="1:15" ht="20.25" customHeight="1" x14ac:dyDescent="0.25">
      <c r="A5" s="33" t="s">
        <v>2</v>
      </c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34"/>
    </row>
    <row r="6" spans="1:15" ht="19.5" customHeight="1" x14ac:dyDescent="0.25">
      <c r="A6" s="35" t="s">
        <v>81</v>
      </c>
      <c r="B6" s="49" t="s">
        <v>3</v>
      </c>
      <c r="C6" s="22" t="s">
        <v>4</v>
      </c>
      <c r="D6" s="22"/>
      <c r="E6" s="22"/>
      <c r="F6" s="22"/>
      <c r="G6" s="22"/>
      <c r="H6" s="22"/>
      <c r="I6" s="22"/>
      <c r="J6" s="22" t="s">
        <v>5</v>
      </c>
      <c r="K6" s="22"/>
      <c r="L6" s="22"/>
      <c r="M6" s="22"/>
      <c r="N6" s="22"/>
      <c r="O6" s="22"/>
    </row>
    <row r="7" spans="1:15" ht="57" customHeight="1" x14ac:dyDescent="0.25">
      <c r="A7" s="36"/>
      <c r="B7" s="50"/>
      <c r="C7" s="14" t="s">
        <v>87</v>
      </c>
      <c r="D7" s="14" t="s">
        <v>6</v>
      </c>
      <c r="E7" s="14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88</v>
      </c>
      <c r="K7" s="15" t="s">
        <v>82</v>
      </c>
      <c r="L7" s="15" t="s">
        <v>83</v>
      </c>
      <c r="M7" s="15" t="s">
        <v>84</v>
      </c>
      <c r="N7" s="15" t="s">
        <v>85</v>
      </c>
      <c r="O7" s="37" t="s">
        <v>86</v>
      </c>
    </row>
    <row r="8" spans="1:15" ht="18" customHeight="1" x14ac:dyDescent="0.25">
      <c r="A8" s="38">
        <v>1</v>
      </c>
      <c r="B8" s="1" t="s">
        <v>12</v>
      </c>
      <c r="C8" s="2">
        <v>297529</v>
      </c>
      <c r="D8" s="2">
        <v>301075</v>
      </c>
      <c r="E8" s="2">
        <v>262423</v>
      </c>
      <c r="F8" s="2">
        <v>225914</v>
      </c>
      <c r="G8" s="2">
        <v>241143</v>
      </c>
      <c r="H8" s="2">
        <v>234636</v>
      </c>
      <c r="I8" s="2">
        <v>159673</v>
      </c>
      <c r="J8" s="6">
        <f>(C8-D8)/D8*100</f>
        <v>-1.1777796230175206</v>
      </c>
      <c r="K8" s="3">
        <v>14.7</v>
      </c>
      <c r="L8" s="3">
        <v>16.2</v>
      </c>
      <c r="M8" s="3">
        <v>-6.3</v>
      </c>
      <c r="N8" s="3">
        <v>2.8</v>
      </c>
      <c r="O8" s="39">
        <v>46.9</v>
      </c>
    </row>
    <row r="9" spans="1:15" ht="18" customHeight="1" x14ac:dyDescent="0.25">
      <c r="A9" s="38">
        <v>2</v>
      </c>
      <c r="B9" s="1" t="s">
        <v>13</v>
      </c>
      <c r="C9" s="2">
        <v>171580</v>
      </c>
      <c r="D9" s="2">
        <v>154954</v>
      </c>
      <c r="E9" s="2">
        <v>147661</v>
      </c>
      <c r="F9" s="2">
        <v>139754</v>
      </c>
      <c r="G9" s="2">
        <v>125761</v>
      </c>
      <c r="H9" s="2">
        <v>80124</v>
      </c>
      <c r="I9" s="4">
        <v>0</v>
      </c>
      <c r="J9" s="6">
        <f t="shared" ref="J9:J71" si="0">(C9-D9)/D9*100</f>
        <v>10.729635891942124</v>
      </c>
      <c r="K9" s="3">
        <v>4.9000000000000004</v>
      </c>
      <c r="L9" s="3">
        <v>5.7</v>
      </c>
      <c r="M9" s="3">
        <v>11.1</v>
      </c>
      <c r="N9" s="3">
        <v>57</v>
      </c>
      <c r="O9" s="40" t="s">
        <v>14</v>
      </c>
    </row>
    <row r="10" spans="1:15" ht="18" customHeight="1" x14ac:dyDescent="0.25">
      <c r="A10" s="38">
        <v>3</v>
      </c>
      <c r="B10" s="1" t="s">
        <v>15</v>
      </c>
      <c r="C10" s="2">
        <v>75276</v>
      </c>
      <c r="D10" s="2">
        <v>56810</v>
      </c>
      <c r="E10" s="2">
        <v>58896</v>
      </c>
      <c r="F10" s="2">
        <v>109917</v>
      </c>
      <c r="G10" s="2">
        <v>118520</v>
      </c>
      <c r="H10" s="2">
        <v>97014</v>
      </c>
      <c r="I10" s="2">
        <v>110719</v>
      </c>
      <c r="J10" s="6">
        <f t="shared" si="0"/>
        <v>32.504840697060381</v>
      </c>
      <c r="K10" s="3">
        <v>-3.5</v>
      </c>
      <c r="L10" s="3">
        <v>-46.4</v>
      </c>
      <c r="M10" s="3">
        <v>-7.3</v>
      </c>
      <c r="N10" s="3">
        <v>22.2</v>
      </c>
      <c r="O10" s="39">
        <v>-12.4</v>
      </c>
    </row>
    <row r="11" spans="1:15" ht="18" customHeight="1" x14ac:dyDescent="0.25">
      <c r="A11" s="38">
        <v>4</v>
      </c>
      <c r="B11" s="1" t="s">
        <v>16</v>
      </c>
      <c r="C11" s="2">
        <v>0</v>
      </c>
      <c r="D11" s="4">
        <v>0</v>
      </c>
      <c r="E11" s="2">
        <v>17014</v>
      </c>
      <c r="F11" s="4">
        <v>0</v>
      </c>
      <c r="G11" s="4">
        <v>0</v>
      </c>
      <c r="H11" s="4">
        <v>0</v>
      </c>
      <c r="I11" s="4">
        <v>0</v>
      </c>
      <c r="J11" s="6">
        <v>0</v>
      </c>
      <c r="K11" s="5" t="s">
        <v>14</v>
      </c>
      <c r="L11" s="5" t="s">
        <v>14</v>
      </c>
      <c r="M11" s="5" t="s">
        <v>14</v>
      </c>
      <c r="N11" s="5" t="s">
        <v>14</v>
      </c>
      <c r="O11" s="40" t="s">
        <v>14</v>
      </c>
    </row>
    <row r="12" spans="1:15" ht="18" customHeight="1" x14ac:dyDescent="0.25">
      <c r="A12" s="38">
        <v>5</v>
      </c>
      <c r="B12" s="1" t="s">
        <v>17</v>
      </c>
      <c r="C12" s="2">
        <v>1278802</v>
      </c>
      <c r="D12" s="2">
        <v>1063182</v>
      </c>
      <c r="E12" s="2">
        <v>1089028</v>
      </c>
      <c r="F12" s="2">
        <v>1046016</v>
      </c>
      <c r="G12" s="2">
        <v>970807</v>
      </c>
      <c r="H12" s="2">
        <v>842909</v>
      </c>
      <c r="I12" s="2">
        <v>927375</v>
      </c>
      <c r="J12" s="6">
        <f t="shared" si="0"/>
        <v>20.280629280781653</v>
      </c>
      <c r="K12" s="3">
        <v>-2.4</v>
      </c>
      <c r="L12" s="3">
        <v>4.0999999999999996</v>
      </c>
      <c r="M12" s="3">
        <v>7.7</v>
      </c>
      <c r="N12" s="3">
        <v>15.2</v>
      </c>
      <c r="O12" s="39">
        <v>-9.1</v>
      </c>
    </row>
    <row r="13" spans="1:15" ht="18" customHeight="1" x14ac:dyDescent="0.25">
      <c r="A13" s="38">
        <v>6</v>
      </c>
      <c r="B13" s="1" t="s">
        <v>18</v>
      </c>
      <c r="C13" s="2">
        <v>1220968</v>
      </c>
      <c r="D13" s="4">
        <v>1044884</v>
      </c>
      <c r="E13" s="4">
        <v>744315</v>
      </c>
      <c r="F13" s="2">
        <v>631139</v>
      </c>
      <c r="G13" s="2">
        <v>579673</v>
      </c>
      <c r="H13" s="2">
        <v>423315</v>
      </c>
      <c r="I13" s="2">
        <v>442179</v>
      </c>
      <c r="J13" s="6">
        <f t="shared" si="0"/>
        <v>16.852014194877135</v>
      </c>
      <c r="K13" s="3">
        <v>40.4</v>
      </c>
      <c r="L13" s="3">
        <v>17.899999999999999</v>
      </c>
      <c r="M13" s="3">
        <v>8.9</v>
      </c>
      <c r="N13" s="3">
        <v>36.9</v>
      </c>
      <c r="O13" s="39">
        <v>-4.3</v>
      </c>
    </row>
    <row r="14" spans="1:15" ht="18" customHeight="1" x14ac:dyDescent="0.25">
      <c r="A14" s="38">
        <v>7</v>
      </c>
      <c r="B14" s="1" t="s">
        <v>19</v>
      </c>
      <c r="C14" s="2">
        <v>79233</v>
      </c>
      <c r="D14" s="2">
        <v>107269</v>
      </c>
      <c r="E14" s="4">
        <v>702</v>
      </c>
      <c r="F14" s="2">
        <v>171301</v>
      </c>
      <c r="G14" s="2">
        <v>198190</v>
      </c>
      <c r="H14" s="2">
        <v>184031</v>
      </c>
      <c r="I14" s="2">
        <v>255305</v>
      </c>
      <c r="J14" s="6">
        <f>(C14-D14)/D14*100</f>
        <v>-26.136162358183633</v>
      </c>
      <c r="K14" s="2">
        <f>(D14-E14)/E14*100</f>
        <v>15180.484330484331</v>
      </c>
      <c r="L14" s="3">
        <v>-99.6</v>
      </c>
      <c r="M14" s="3">
        <v>-13.6</v>
      </c>
      <c r="N14" s="3">
        <v>7.7</v>
      </c>
      <c r="O14" s="39">
        <v>-27.9</v>
      </c>
    </row>
    <row r="15" spans="1:15" ht="18" customHeight="1" x14ac:dyDescent="0.25">
      <c r="A15" s="38">
        <v>8</v>
      </c>
      <c r="B15" s="1" t="s">
        <v>20</v>
      </c>
      <c r="C15" s="2">
        <v>123337</v>
      </c>
      <c r="D15" s="2">
        <v>108248</v>
      </c>
      <c r="E15" s="2">
        <v>98228</v>
      </c>
      <c r="F15" s="2">
        <v>81437</v>
      </c>
      <c r="G15" s="2">
        <v>54655</v>
      </c>
      <c r="H15" s="2">
        <v>59660</v>
      </c>
      <c r="I15" s="2">
        <v>59233</v>
      </c>
      <c r="J15" s="6">
        <f t="shared" si="0"/>
        <v>13.939287561894908</v>
      </c>
      <c r="K15" s="3">
        <v>10.199999999999999</v>
      </c>
      <c r="L15" s="3">
        <v>20.6</v>
      </c>
      <c r="M15" s="3">
        <v>49</v>
      </c>
      <c r="N15" s="3">
        <v>-8.4</v>
      </c>
      <c r="O15" s="39">
        <v>0.7</v>
      </c>
    </row>
    <row r="16" spans="1:15" ht="18" customHeight="1" x14ac:dyDescent="0.25">
      <c r="A16" s="38">
        <v>9</v>
      </c>
      <c r="B16" s="1" t="s">
        <v>21</v>
      </c>
      <c r="C16" s="2">
        <v>68579</v>
      </c>
      <c r="D16" s="2">
        <v>66077</v>
      </c>
      <c r="E16" s="2">
        <v>62892</v>
      </c>
      <c r="F16" s="2">
        <v>44553</v>
      </c>
      <c r="G16" s="2">
        <v>46442</v>
      </c>
      <c r="H16" s="2">
        <v>35842</v>
      </c>
      <c r="I16" s="2">
        <v>60589</v>
      </c>
      <c r="J16" s="6">
        <f t="shared" si="0"/>
        <v>3.7864915174720402</v>
      </c>
      <c r="K16" s="3">
        <v>5.0999999999999996</v>
      </c>
      <c r="L16" s="3">
        <v>41.2</v>
      </c>
      <c r="M16" s="3">
        <v>-4.0999999999999996</v>
      </c>
      <c r="N16" s="3">
        <v>29.6</v>
      </c>
      <c r="O16" s="39">
        <v>-40.799999999999997</v>
      </c>
    </row>
    <row r="17" spans="1:15" ht="18" customHeight="1" x14ac:dyDescent="0.25">
      <c r="A17" s="38">
        <v>10</v>
      </c>
      <c r="B17" s="1" t="s">
        <v>22</v>
      </c>
      <c r="C17" s="2">
        <v>478290</v>
      </c>
      <c r="D17" s="2">
        <v>392968</v>
      </c>
      <c r="E17" s="2">
        <v>266295</v>
      </c>
      <c r="F17" s="2">
        <v>148964</v>
      </c>
      <c r="G17" s="2">
        <v>92652</v>
      </c>
      <c r="H17" s="2">
        <v>91752</v>
      </c>
      <c r="I17" s="2">
        <v>85447</v>
      </c>
      <c r="J17" s="6">
        <f t="shared" si="0"/>
        <v>21.712200484517822</v>
      </c>
      <c r="K17" s="3">
        <v>47.6</v>
      </c>
      <c r="L17" s="3">
        <v>78.8</v>
      </c>
      <c r="M17" s="3">
        <v>60.8</v>
      </c>
      <c r="N17" s="3">
        <v>1</v>
      </c>
      <c r="O17" s="39">
        <v>7.4</v>
      </c>
    </row>
    <row r="18" spans="1:15" ht="18" customHeight="1" x14ac:dyDescent="0.25">
      <c r="A18" s="38">
        <v>11</v>
      </c>
      <c r="B18" s="1" t="s">
        <v>23</v>
      </c>
      <c r="C18" s="2">
        <v>816908</v>
      </c>
      <c r="D18" s="2">
        <v>648847</v>
      </c>
      <c r="E18" s="2">
        <v>658636</v>
      </c>
      <c r="F18" s="2">
        <v>538963</v>
      </c>
      <c r="G18" s="2">
        <v>449538</v>
      </c>
      <c r="H18" s="2">
        <v>591015</v>
      </c>
      <c r="I18" s="2">
        <v>480186</v>
      </c>
      <c r="J18" s="6">
        <f t="shared" si="0"/>
        <v>25.901483708794217</v>
      </c>
      <c r="K18" s="3">
        <v>-1.5</v>
      </c>
      <c r="L18" s="3">
        <v>22.2</v>
      </c>
      <c r="M18" s="3">
        <v>19.899999999999999</v>
      </c>
      <c r="N18" s="3">
        <v>-23.9</v>
      </c>
      <c r="O18" s="39">
        <v>23.1</v>
      </c>
    </row>
    <row r="19" spans="1:15" ht="18" customHeight="1" x14ac:dyDescent="0.25">
      <c r="A19" s="38">
        <v>12</v>
      </c>
      <c r="B19" s="1" t="s">
        <v>24</v>
      </c>
      <c r="C19" s="2">
        <v>75742</v>
      </c>
      <c r="D19" s="2">
        <v>33270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6">
        <f t="shared" si="0"/>
        <v>127.65855124737</v>
      </c>
      <c r="K19" s="5" t="s">
        <v>14</v>
      </c>
      <c r="L19" s="5" t="s">
        <v>14</v>
      </c>
      <c r="M19" s="5" t="s">
        <v>14</v>
      </c>
      <c r="N19" s="5" t="s">
        <v>14</v>
      </c>
      <c r="O19" s="40" t="s">
        <v>14</v>
      </c>
    </row>
    <row r="20" spans="1:15" ht="18" customHeight="1" x14ac:dyDescent="0.25">
      <c r="A20" s="38">
        <v>13</v>
      </c>
      <c r="B20" s="1" t="s">
        <v>25</v>
      </c>
      <c r="C20" s="2">
        <v>61866</v>
      </c>
      <c r="D20" s="2">
        <v>44023</v>
      </c>
      <c r="E20" s="2">
        <v>32980</v>
      </c>
      <c r="F20" s="2">
        <v>30654</v>
      </c>
      <c r="G20" s="2">
        <v>26691</v>
      </c>
      <c r="H20" s="2">
        <v>34471</v>
      </c>
      <c r="I20" s="2">
        <v>34817</v>
      </c>
      <c r="J20" s="6">
        <f t="shared" si="0"/>
        <v>40.531086023215138</v>
      </c>
      <c r="K20" s="3">
        <v>33.5</v>
      </c>
      <c r="L20" s="3">
        <v>7.6</v>
      </c>
      <c r="M20" s="3">
        <v>14.8</v>
      </c>
      <c r="N20" s="3">
        <v>-22.6</v>
      </c>
      <c r="O20" s="39">
        <v>-1</v>
      </c>
    </row>
    <row r="21" spans="1:15" ht="18" customHeight="1" x14ac:dyDescent="0.25">
      <c r="A21" s="38">
        <v>14</v>
      </c>
      <c r="B21" s="1" t="s">
        <v>26</v>
      </c>
      <c r="C21" s="2">
        <v>494400</v>
      </c>
      <c r="D21" s="2">
        <v>417184</v>
      </c>
      <c r="E21" s="2">
        <v>289682</v>
      </c>
      <c r="F21" s="2">
        <v>106692</v>
      </c>
      <c r="G21" s="2">
        <v>236379</v>
      </c>
      <c r="H21" s="2">
        <v>213009</v>
      </c>
      <c r="I21" s="2">
        <v>63733</v>
      </c>
      <c r="J21" s="6">
        <f t="shared" si="0"/>
        <v>18.508859400168749</v>
      </c>
      <c r="K21" s="3">
        <v>44</v>
      </c>
      <c r="L21" s="3">
        <v>171.5</v>
      </c>
      <c r="M21" s="3">
        <v>-54.9</v>
      </c>
      <c r="N21" s="3">
        <v>11</v>
      </c>
      <c r="O21" s="39">
        <v>234.2</v>
      </c>
    </row>
    <row r="22" spans="1:15" ht="18" customHeight="1" x14ac:dyDescent="0.25">
      <c r="A22" s="38">
        <v>15</v>
      </c>
      <c r="B22" s="1" t="s">
        <v>27</v>
      </c>
      <c r="C22" s="2">
        <v>121679</v>
      </c>
      <c r="D22" s="2">
        <v>106428</v>
      </c>
      <c r="E22" s="2">
        <v>86297</v>
      </c>
      <c r="F22" s="2">
        <v>84524</v>
      </c>
      <c r="G22" s="2">
        <v>84472</v>
      </c>
      <c r="H22" s="2">
        <v>105910</v>
      </c>
      <c r="I22" s="2">
        <v>129972</v>
      </c>
      <c r="J22" s="6">
        <f t="shared" si="0"/>
        <v>14.329875596647499</v>
      </c>
      <c r="K22" s="3">
        <v>23.3</v>
      </c>
      <c r="L22" s="3">
        <v>2.1</v>
      </c>
      <c r="M22" s="3">
        <v>0.1</v>
      </c>
      <c r="N22" s="3">
        <v>-20.2</v>
      </c>
      <c r="O22" s="39">
        <v>-18.5</v>
      </c>
    </row>
    <row r="23" spans="1:15" ht="18" customHeight="1" x14ac:dyDescent="0.25">
      <c r="A23" s="38">
        <v>16</v>
      </c>
      <c r="B23" s="1" t="s">
        <v>28</v>
      </c>
      <c r="C23" s="2">
        <v>936332</v>
      </c>
      <c r="D23" s="2">
        <v>846433</v>
      </c>
      <c r="E23" s="2">
        <v>727452</v>
      </c>
      <c r="F23" s="2">
        <v>708691</v>
      </c>
      <c r="G23" s="2">
        <v>631592</v>
      </c>
      <c r="H23" s="2">
        <v>536680</v>
      </c>
      <c r="I23" s="2">
        <v>533324</v>
      </c>
      <c r="J23" s="6">
        <f t="shared" si="0"/>
        <v>10.620923333565681</v>
      </c>
      <c r="K23" s="3">
        <v>16.399999999999999</v>
      </c>
      <c r="L23" s="3">
        <v>2.6</v>
      </c>
      <c r="M23" s="3">
        <v>12.2</v>
      </c>
      <c r="N23" s="3">
        <v>17.7</v>
      </c>
      <c r="O23" s="39">
        <v>0.6</v>
      </c>
    </row>
    <row r="24" spans="1:15" ht="18" customHeight="1" x14ac:dyDescent="0.25">
      <c r="A24" s="38">
        <v>17</v>
      </c>
      <c r="B24" s="1" t="s">
        <v>29</v>
      </c>
      <c r="C24" s="2">
        <v>1463417</v>
      </c>
      <c r="D24" s="2">
        <v>1438477</v>
      </c>
      <c r="E24" s="2">
        <v>1335281</v>
      </c>
      <c r="F24" s="2">
        <v>1268562</v>
      </c>
      <c r="G24" s="2">
        <v>1266338</v>
      </c>
      <c r="H24" s="2">
        <v>1273129</v>
      </c>
      <c r="I24" s="2">
        <v>1226681</v>
      </c>
      <c r="J24" s="6">
        <f t="shared" si="0"/>
        <v>1.7337781556465623</v>
      </c>
      <c r="K24" s="3">
        <v>7.7</v>
      </c>
      <c r="L24" s="3">
        <v>5.3</v>
      </c>
      <c r="M24" s="3">
        <v>0.2</v>
      </c>
      <c r="N24" s="3">
        <v>-0.5</v>
      </c>
      <c r="O24" s="39">
        <v>3.8</v>
      </c>
    </row>
    <row r="25" spans="1:15" ht="18" customHeight="1" x14ac:dyDescent="0.25">
      <c r="A25" s="38">
        <v>18</v>
      </c>
      <c r="B25" s="1" t="s">
        <v>30</v>
      </c>
      <c r="C25" s="2">
        <v>1569243</v>
      </c>
      <c r="D25" s="2">
        <v>1473954</v>
      </c>
      <c r="E25" s="2">
        <v>1412943</v>
      </c>
      <c r="F25" s="2">
        <v>1390543</v>
      </c>
      <c r="G25" s="2">
        <v>1309571</v>
      </c>
      <c r="H25" s="2">
        <v>1211981</v>
      </c>
      <c r="I25" s="2">
        <v>1044709</v>
      </c>
      <c r="J25" s="6">
        <f t="shared" si="0"/>
        <v>6.4648557553356483</v>
      </c>
      <c r="K25" s="3">
        <v>4.3</v>
      </c>
      <c r="L25" s="3">
        <v>1.6</v>
      </c>
      <c r="M25" s="3">
        <v>6.2</v>
      </c>
      <c r="N25" s="3">
        <v>8.1</v>
      </c>
      <c r="O25" s="39">
        <v>16</v>
      </c>
    </row>
    <row r="26" spans="1:15" ht="18" customHeight="1" x14ac:dyDescent="0.25">
      <c r="A26" s="38">
        <v>19</v>
      </c>
      <c r="B26" s="1" t="s">
        <v>31</v>
      </c>
      <c r="C26" s="2">
        <v>39280</v>
      </c>
      <c r="D26" s="2">
        <v>76248</v>
      </c>
      <c r="E26" s="2">
        <v>10544</v>
      </c>
      <c r="F26" s="4">
        <v>0</v>
      </c>
      <c r="G26" s="4">
        <v>0</v>
      </c>
      <c r="H26" s="4">
        <v>0</v>
      </c>
      <c r="I26" s="4">
        <v>0</v>
      </c>
      <c r="J26" s="6">
        <f t="shared" si="0"/>
        <v>-48.483894659532048</v>
      </c>
      <c r="K26" s="3">
        <v>623.1</v>
      </c>
      <c r="L26" s="5" t="s">
        <v>14</v>
      </c>
      <c r="M26" s="5" t="s">
        <v>14</v>
      </c>
      <c r="N26" s="5" t="s">
        <v>14</v>
      </c>
      <c r="O26" s="40" t="s">
        <v>14</v>
      </c>
    </row>
    <row r="27" spans="1:15" ht="18" customHeight="1" x14ac:dyDescent="0.25">
      <c r="A27" s="38">
        <v>20</v>
      </c>
      <c r="B27" s="1" t="s">
        <v>32</v>
      </c>
      <c r="C27" s="2">
        <v>79921</v>
      </c>
      <c r="D27" s="2">
        <v>66572</v>
      </c>
      <c r="E27" s="2">
        <v>73815</v>
      </c>
      <c r="F27" s="2">
        <v>68522</v>
      </c>
      <c r="G27" s="2">
        <v>64307</v>
      </c>
      <c r="H27" s="2">
        <v>80159</v>
      </c>
      <c r="I27" s="2">
        <v>78435</v>
      </c>
      <c r="J27" s="6">
        <f t="shared" si="0"/>
        <v>20.051973802799978</v>
      </c>
      <c r="K27" s="3">
        <v>-9.8000000000000007</v>
      </c>
      <c r="L27" s="3">
        <v>7.7</v>
      </c>
      <c r="M27" s="3">
        <v>6.6</v>
      </c>
      <c r="N27" s="3">
        <v>-19.8</v>
      </c>
      <c r="O27" s="39">
        <v>2.2000000000000002</v>
      </c>
    </row>
    <row r="28" spans="1:15" ht="18" customHeight="1" x14ac:dyDescent="0.25">
      <c r="A28" s="38">
        <v>21</v>
      </c>
      <c r="B28" s="1" t="s">
        <v>33</v>
      </c>
      <c r="C28" s="2">
        <v>73577</v>
      </c>
      <c r="D28" s="2">
        <v>53615</v>
      </c>
      <c r="E28" s="2">
        <v>10742</v>
      </c>
      <c r="F28" s="2">
        <v>8206</v>
      </c>
      <c r="G28" s="4">
        <v>0</v>
      </c>
      <c r="H28" s="4">
        <v>0</v>
      </c>
      <c r="I28" s="4">
        <v>0</v>
      </c>
      <c r="J28" s="6">
        <f t="shared" si="0"/>
        <v>37.232117877459665</v>
      </c>
      <c r="K28" s="3">
        <v>399.1</v>
      </c>
      <c r="L28" s="3">
        <v>30.9</v>
      </c>
      <c r="M28" s="5" t="s">
        <v>14</v>
      </c>
      <c r="N28" s="5" t="s">
        <v>14</v>
      </c>
      <c r="O28" s="40" t="s">
        <v>14</v>
      </c>
    </row>
    <row r="29" spans="1:15" ht="18" customHeight="1" x14ac:dyDescent="0.25">
      <c r="A29" s="38">
        <v>22</v>
      </c>
      <c r="B29" s="1" t="s">
        <v>34</v>
      </c>
      <c r="C29" s="2">
        <v>138551</v>
      </c>
      <c r="D29" s="2">
        <v>57823</v>
      </c>
      <c r="E29" s="2">
        <v>50803</v>
      </c>
      <c r="F29" s="2">
        <v>58323</v>
      </c>
      <c r="G29" s="2">
        <v>56545</v>
      </c>
      <c r="H29" s="2">
        <v>53963</v>
      </c>
      <c r="I29" s="2">
        <v>56213</v>
      </c>
      <c r="J29" s="6">
        <f t="shared" si="0"/>
        <v>139.61226501565122</v>
      </c>
      <c r="K29" s="3">
        <v>13.8</v>
      </c>
      <c r="L29" s="3">
        <v>-12.9</v>
      </c>
      <c r="M29" s="3">
        <v>3.1</v>
      </c>
      <c r="N29" s="3">
        <v>4.8</v>
      </c>
      <c r="O29" s="39">
        <v>-4</v>
      </c>
    </row>
    <row r="30" spans="1:15" ht="18" customHeight="1" x14ac:dyDescent="0.25">
      <c r="A30" s="38">
        <v>23</v>
      </c>
      <c r="B30" s="1" t="s">
        <v>35</v>
      </c>
      <c r="C30" s="2">
        <v>152955</v>
      </c>
      <c r="D30" s="2">
        <v>147154</v>
      </c>
      <c r="E30" s="2">
        <v>149426</v>
      </c>
      <c r="F30" s="2">
        <v>143287</v>
      </c>
      <c r="G30" s="2">
        <v>127792</v>
      </c>
      <c r="H30" s="2">
        <v>36377</v>
      </c>
      <c r="I30" s="2">
        <v>141021</v>
      </c>
      <c r="J30" s="6">
        <f t="shared" si="0"/>
        <v>3.9421286543349146</v>
      </c>
      <c r="K30" s="3">
        <v>-1.5</v>
      </c>
      <c r="L30" s="3">
        <v>4.3</v>
      </c>
      <c r="M30" s="3">
        <v>12.1</v>
      </c>
      <c r="N30" s="3">
        <v>251.3</v>
      </c>
      <c r="O30" s="39">
        <v>-74.2</v>
      </c>
    </row>
    <row r="31" spans="1:15" ht="18" customHeight="1" x14ac:dyDescent="0.25">
      <c r="A31" s="38">
        <v>24</v>
      </c>
      <c r="B31" s="1" t="s">
        <v>36</v>
      </c>
      <c r="C31" s="2">
        <v>404843</v>
      </c>
      <c r="D31" s="2">
        <v>373747</v>
      </c>
      <c r="E31" s="2">
        <v>350618</v>
      </c>
      <c r="F31" s="2">
        <v>278472</v>
      </c>
      <c r="G31" s="2">
        <v>233316</v>
      </c>
      <c r="H31" s="2">
        <v>285309</v>
      </c>
      <c r="I31" s="2">
        <v>155461</v>
      </c>
      <c r="J31" s="6">
        <f t="shared" si="0"/>
        <v>8.3200667831447479</v>
      </c>
      <c r="K31" s="3">
        <v>6.6</v>
      </c>
      <c r="L31" s="3">
        <v>25.9</v>
      </c>
      <c r="M31" s="3">
        <v>19.399999999999999</v>
      </c>
      <c r="N31" s="3">
        <v>-18.2</v>
      </c>
      <c r="O31" s="39">
        <v>83.5</v>
      </c>
    </row>
    <row r="32" spans="1:15" ht="18" customHeight="1" x14ac:dyDescent="0.25">
      <c r="A32" s="38">
        <v>25</v>
      </c>
      <c r="B32" s="1" t="s">
        <v>37</v>
      </c>
      <c r="C32" s="2">
        <v>0</v>
      </c>
      <c r="D32" s="4">
        <v>0</v>
      </c>
      <c r="E32" s="4">
        <v>0</v>
      </c>
      <c r="F32" s="4">
        <v>0</v>
      </c>
      <c r="G32" s="2">
        <v>36643</v>
      </c>
      <c r="H32" s="2">
        <v>74934</v>
      </c>
      <c r="I32" s="2">
        <v>75482</v>
      </c>
      <c r="J32" s="6">
        <v>0</v>
      </c>
      <c r="K32" s="5" t="s">
        <v>14</v>
      </c>
      <c r="L32" s="5" t="s">
        <v>14</v>
      </c>
      <c r="M32" s="5" t="s">
        <v>14</v>
      </c>
      <c r="N32" s="3">
        <v>-51.1</v>
      </c>
      <c r="O32" s="39">
        <v>-0.7</v>
      </c>
    </row>
    <row r="33" spans="1:15" ht="18" customHeight="1" x14ac:dyDescent="0.25">
      <c r="A33" s="38">
        <v>26</v>
      </c>
      <c r="B33" s="1" t="s">
        <v>38</v>
      </c>
      <c r="C33" s="2">
        <v>136309</v>
      </c>
      <c r="D33" s="2">
        <v>112583</v>
      </c>
      <c r="E33" s="2">
        <v>85803</v>
      </c>
      <c r="F33" s="2">
        <v>60552</v>
      </c>
      <c r="G33" s="2">
        <v>56540</v>
      </c>
      <c r="H33" s="2">
        <v>56316</v>
      </c>
      <c r="I33" s="2">
        <v>43594</v>
      </c>
      <c r="J33" s="6">
        <f t="shared" si="0"/>
        <v>21.074229679436502</v>
      </c>
      <c r="K33" s="3">
        <v>31.2</v>
      </c>
      <c r="L33" s="3">
        <v>41.7</v>
      </c>
      <c r="M33" s="3">
        <v>7.1</v>
      </c>
      <c r="N33" s="3">
        <v>0.4</v>
      </c>
      <c r="O33" s="39">
        <v>29.2</v>
      </c>
    </row>
    <row r="34" spans="1:15" ht="18" customHeight="1" x14ac:dyDescent="0.25">
      <c r="A34" s="38">
        <v>27</v>
      </c>
      <c r="B34" s="1" t="s">
        <v>39</v>
      </c>
      <c r="C34" s="2">
        <v>196541</v>
      </c>
      <c r="D34" s="2">
        <v>186546</v>
      </c>
      <c r="E34" s="2">
        <v>145230</v>
      </c>
      <c r="F34" s="2">
        <v>187727</v>
      </c>
      <c r="G34" s="2">
        <v>193530</v>
      </c>
      <c r="H34" s="2">
        <v>169944</v>
      </c>
      <c r="I34" s="2">
        <v>140320</v>
      </c>
      <c r="J34" s="6">
        <f t="shared" si="0"/>
        <v>5.3579278033300097</v>
      </c>
      <c r="K34" s="3">
        <v>28.4</v>
      </c>
      <c r="L34" s="3">
        <v>-22.6</v>
      </c>
      <c r="M34" s="3">
        <v>-3</v>
      </c>
      <c r="N34" s="3">
        <v>13.9</v>
      </c>
      <c r="O34" s="39">
        <v>21.1</v>
      </c>
    </row>
    <row r="35" spans="1:15" ht="18" customHeight="1" x14ac:dyDescent="0.25">
      <c r="A35" s="38">
        <v>28</v>
      </c>
      <c r="B35" s="1" t="s">
        <v>40</v>
      </c>
      <c r="C35" s="2">
        <v>275120</v>
      </c>
      <c r="D35" s="2">
        <v>272607</v>
      </c>
      <c r="E35" s="2">
        <v>201597</v>
      </c>
      <c r="F35" s="2">
        <v>147690</v>
      </c>
      <c r="G35" s="2">
        <v>165812</v>
      </c>
      <c r="H35" s="2">
        <v>160176</v>
      </c>
      <c r="I35" s="2">
        <v>156999</v>
      </c>
      <c r="J35" s="6">
        <f t="shared" si="0"/>
        <v>0.92183986471367196</v>
      </c>
      <c r="K35" s="3">
        <v>35.200000000000003</v>
      </c>
      <c r="L35" s="3">
        <v>36.5</v>
      </c>
      <c r="M35" s="3">
        <v>-10.9</v>
      </c>
      <c r="N35" s="3">
        <v>3.5</v>
      </c>
      <c r="O35" s="39">
        <v>2</v>
      </c>
    </row>
    <row r="36" spans="1:15" ht="18" customHeight="1" x14ac:dyDescent="0.25">
      <c r="A36" s="38">
        <v>29</v>
      </c>
      <c r="B36" s="1" t="s">
        <v>41</v>
      </c>
      <c r="C36" s="2">
        <v>1137922</v>
      </c>
      <c r="D36" s="2">
        <v>1164966</v>
      </c>
      <c r="E36" s="2">
        <v>1073248</v>
      </c>
      <c r="F36" s="2">
        <v>936169</v>
      </c>
      <c r="G36" s="2">
        <v>866625</v>
      </c>
      <c r="H36" s="2">
        <v>830066</v>
      </c>
      <c r="I36" s="2">
        <v>761457</v>
      </c>
      <c r="J36" s="6">
        <f t="shared" si="0"/>
        <v>-2.3214411407714906</v>
      </c>
      <c r="K36" s="3">
        <v>8.5</v>
      </c>
      <c r="L36" s="3">
        <v>14.6</v>
      </c>
      <c r="M36" s="3">
        <v>8</v>
      </c>
      <c r="N36" s="3">
        <v>4.4000000000000004</v>
      </c>
      <c r="O36" s="39">
        <v>9</v>
      </c>
    </row>
    <row r="37" spans="1:15" ht="18" customHeight="1" x14ac:dyDescent="0.25">
      <c r="A37" s="38">
        <v>30</v>
      </c>
      <c r="B37" s="1" t="s">
        <v>42</v>
      </c>
      <c r="C37" s="2">
        <v>23915</v>
      </c>
      <c r="D37" s="2">
        <v>36224</v>
      </c>
      <c r="E37" s="2">
        <v>26200</v>
      </c>
      <c r="F37" s="2">
        <v>15470</v>
      </c>
      <c r="G37" s="2">
        <v>1427</v>
      </c>
      <c r="H37" s="4">
        <v>370</v>
      </c>
      <c r="I37" s="4">
        <v>0</v>
      </c>
      <c r="J37" s="6">
        <f t="shared" si="0"/>
        <v>-33.980234098939931</v>
      </c>
      <c r="K37" s="3">
        <v>38.299999999999997</v>
      </c>
      <c r="L37" s="3">
        <v>69.400000000000006</v>
      </c>
      <c r="M37" s="3">
        <v>984.1</v>
      </c>
      <c r="N37" s="3">
        <v>285.7</v>
      </c>
      <c r="O37" s="40" t="s">
        <v>14</v>
      </c>
    </row>
    <row r="38" spans="1:15" ht="18" customHeight="1" x14ac:dyDescent="0.25">
      <c r="A38" s="38">
        <v>31</v>
      </c>
      <c r="B38" s="1" t="s">
        <v>43</v>
      </c>
      <c r="C38" s="2">
        <v>2945505</v>
      </c>
      <c r="D38" s="2">
        <v>2779016</v>
      </c>
      <c r="E38" s="2">
        <v>2286290</v>
      </c>
      <c r="F38" s="2">
        <v>2084363</v>
      </c>
      <c r="G38" s="2">
        <v>1746494</v>
      </c>
      <c r="H38" s="2">
        <v>1768174</v>
      </c>
      <c r="I38" s="2">
        <v>1226917</v>
      </c>
      <c r="J38" s="6">
        <f t="shared" si="0"/>
        <v>5.9909334814912905</v>
      </c>
      <c r="K38" s="3">
        <v>21.6</v>
      </c>
      <c r="L38" s="3">
        <v>9.6999999999999993</v>
      </c>
      <c r="M38" s="3">
        <v>19.3</v>
      </c>
      <c r="N38" s="3">
        <v>-1.2</v>
      </c>
      <c r="O38" s="39">
        <v>44.1</v>
      </c>
    </row>
    <row r="39" spans="1:15" ht="18" customHeight="1" x14ac:dyDescent="0.25">
      <c r="A39" s="38">
        <v>32</v>
      </c>
      <c r="B39" s="1" t="s">
        <v>44</v>
      </c>
      <c r="C39" s="2">
        <v>319827</v>
      </c>
      <c r="D39" s="2">
        <v>263853</v>
      </c>
      <c r="E39" s="2">
        <v>241828</v>
      </c>
      <c r="F39" s="2">
        <v>231641</v>
      </c>
      <c r="G39" s="2">
        <v>209668</v>
      </c>
      <c r="H39" s="2">
        <v>134394</v>
      </c>
      <c r="I39" s="2">
        <v>118138</v>
      </c>
      <c r="J39" s="6">
        <f t="shared" si="0"/>
        <v>21.214085115575717</v>
      </c>
      <c r="K39" s="3">
        <v>9.1</v>
      </c>
      <c r="L39" s="3">
        <v>4.4000000000000004</v>
      </c>
      <c r="M39" s="3">
        <v>10.5</v>
      </c>
      <c r="N39" s="3">
        <v>56</v>
      </c>
      <c r="O39" s="39">
        <v>13.8</v>
      </c>
    </row>
    <row r="40" spans="1:15" ht="18" customHeight="1" x14ac:dyDescent="0.25">
      <c r="A40" s="38">
        <v>33</v>
      </c>
      <c r="B40" s="1" t="s">
        <v>45</v>
      </c>
      <c r="C40" s="2">
        <v>223412</v>
      </c>
      <c r="D40" s="2">
        <v>211087</v>
      </c>
      <c r="E40" s="2">
        <v>199238</v>
      </c>
      <c r="F40" s="2">
        <v>174352</v>
      </c>
      <c r="G40" s="2">
        <v>154557</v>
      </c>
      <c r="H40" s="2">
        <v>191050</v>
      </c>
      <c r="I40" s="2">
        <v>162832</v>
      </c>
      <c r="J40" s="6">
        <f t="shared" si="0"/>
        <v>5.838824749984604</v>
      </c>
      <c r="K40" s="3">
        <v>5.9</v>
      </c>
      <c r="L40" s="3">
        <v>14.3</v>
      </c>
      <c r="M40" s="3">
        <v>12.8</v>
      </c>
      <c r="N40" s="3">
        <v>-19.100000000000001</v>
      </c>
      <c r="O40" s="39">
        <v>17.3</v>
      </c>
    </row>
    <row r="41" spans="1:15" ht="18" customHeight="1" x14ac:dyDescent="0.25">
      <c r="A41" s="38">
        <v>34</v>
      </c>
      <c r="B41" s="1" t="s">
        <v>46</v>
      </c>
      <c r="C41" s="2">
        <v>967512</v>
      </c>
      <c r="D41" s="2">
        <v>1003435</v>
      </c>
      <c r="E41" s="2">
        <v>860489</v>
      </c>
      <c r="F41" s="2">
        <v>715198</v>
      </c>
      <c r="G41" s="2">
        <v>1010173</v>
      </c>
      <c r="H41" s="2">
        <v>880634</v>
      </c>
      <c r="I41" s="2">
        <v>864678</v>
      </c>
      <c r="J41" s="6">
        <f t="shared" si="0"/>
        <v>-3.5800026907572486</v>
      </c>
      <c r="K41" s="3">
        <v>16.600000000000001</v>
      </c>
      <c r="L41" s="3">
        <v>20.3</v>
      </c>
      <c r="M41" s="3">
        <v>-29.2</v>
      </c>
      <c r="N41" s="3">
        <v>14.7</v>
      </c>
      <c r="O41" s="39">
        <v>1.8</v>
      </c>
    </row>
    <row r="42" spans="1:15" ht="18" customHeight="1" x14ac:dyDescent="0.25">
      <c r="A42" s="38">
        <v>35</v>
      </c>
      <c r="B42" s="1" t="s">
        <v>47</v>
      </c>
      <c r="C42" s="2">
        <v>835671</v>
      </c>
      <c r="D42" s="2">
        <v>670257</v>
      </c>
      <c r="E42" s="2">
        <v>516069</v>
      </c>
      <c r="F42" s="2">
        <v>203058</v>
      </c>
      <c r="G42" s="2">
        <v>393526</v>
      </c>
      <c r="H42" s="2">
        <v>375575</v>
      </c>
      <c r="I42" s="2">
        <v>354499</v>
      </c>
      <c r="J42" s="6">
        <f t="shared" si="0"/>
        <v>24.679190221064456</v>
      </c>
      <c r="K42" s="3">
        <v>29.9</v>
      </c>
      <c r="L42" s="3">
        <v>154.1</v>
      </c>
      <c r="M42" s="3">
        <v>-48.4</v>
      </c>
      <c r="N42" s="3">
        <v>4.8</v>
      </c>
      <c r="O42" s="39">
        <v>5.9</v>
      </c>
    </row>
    <row r="43" spans="1:15" ht="18" customHeight="1" x14ac:dyDescent="0.25">
      <c r="A43" s="38">
        <v>36</v>
      </c>
      <c r="B43" s="1" t="s">
        <v>48</v>
      </c>
      <c r="C43" s="2">
        <v>3519475</v>
      </c>
      <c r="D43" s="2">
        <v>3394940</v>
      </c>
      <c r="E43" s="2">
        <v>2948834</v>
      </c>
      <c r="F43" s="2">
        <v>2579891</v>
      </c>
      <c r="G43" s="2">
        <v>2242538</v>
      </c>
      <c r="H43" s="2">
        <v>2131491</v>
      </c>
      <c r="I43" s="2">
        <v>1843995</v>
      </c>
      <c r="J43" s="6">
        <f t="shared" si="0"/>
        <v>3.6682533417379979</v>
      </c>
      <c r="K43" s="3">
        <v>15.1</v>
      </c>
      <c r="L43" s="3">
        <v>14.3</v>
      </c>
      <c r="M43" s="3">
        <v>15</v>
      </c>
      <c r="N43" s="3">
        <v>5.2</v>
      </c>
      <c r="O43" s="39">
        <v>15.6</v>
      </c>
    </row>
    <row r="44" spans="1:15" ht="18" customHeight="1" x14ac:dyDescent="0.25">
      <c r="A44" s="38">
        <v>37</v>
      </c>
      <c r="B44" s="1" t="s">
        <v>49</v>
      </c>
      <c r="C44" s="2">
        <v>5533</v>
      </c>
      <c r="D44" s="2">
        <v>8079</v>
      </c>
      <c r="E44" s="2">
        <v>24547</v>
      </c>
      <c r="F44" s="2">
        <v>36903</v>
      </c>
      <c r="G44" s="2">
        <v>35148</v>
      </c>
      <c r="H44" s="2">
        <v>34099</v>
      </c>
      <c r="I44" s="2">
        <v>42136</v>
      </c>
      <c r="J44" s="6">
        <f t="shared" si="0"/>
        <v>-31.513801213021413</v>
      </c>
      <c r="K44" s="3">
        <v>-67.099999999999994</v>
      </c>
      <c r="L44" s="3">
        <v>-33.5</v>
      </c>
      <c r="M44" s="3">
        <v>5</v>
      </c>
      <c r="N44" s="3">
        <v>3.1</v>
      </c>
      <c r="O44" s="39">
        <v>-19.100000000000001</v>
      </c>
    </row>
    <row r="45" spans="1:15" ht="18" customHeight="1" x14ac:dyDescent="0.25">
      <c r="A45" s="38">
        <v>38</v>
      </c>
      <c r="B45" s="1" t="s">
        <v>50</v>
      </c>
      <c r="C45" s="2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2">
        <v>39085</v>
      </c>
      <c r="J45" s="6">
        <v>0</v>
      </c>
      <c r="K45" s="5" t="s">
        <v>14</v>
      </c>
      <c r="L45" s="5" t="s">
        <v>14</v>
      </c>
      <c r="M45" s="5" t="s">
        <v>14</v>
      </c>
      <c r="N45" s="5" t="s">
        <v>14</v>
      </c>
      <c r="O45" s="40" t="s">
        <v>14</v>
      </c>
    </row>
    <row r="46" spans="1:15" ht="18" customHeight="1" x14ac:dyDescent="0.25">
      <c r="A46" s="38">
        <v>39</v>
      </c>
      <c r="B46" s="1" t="s">
        <v>51</v>
      </c>
      <c r="C46" s="2">
        <v>3470229</v>
      </c>
      <c r="D46" s="2">
        <v>3223922</v>
      </c>
      <c r="E46" s="2">
        <v>2882850</v>
      </c>
      <c r="F46" s="2">
        <v>2668656</v>
      </c>
      <c r="G46" s="2">
        <v>2340627</v>
      </c>
      <c r="H46" s="2">
        <v>2290388</v>
      </c>
      <c r="I46" s="2">
        <v>2125653</v>
      </c>
      <c r="J46" s="6">
        <f t="shared" si="0"/>
        <v>7.6399801235885985</v>
      </c>
      <c r="K46" s="3">
        <v>11.8</v>
      </c>
      <c r="L46" s="3">
        <v>8</v>
      </c>
      <c r="M46" s="3">
        <v>14</v>
      </c>
      <c r="N46" s="3">
        <v>2.2000000000000002</v>
      </c>
      <c r="O46" s="39">
        <v>7.7</v>
      </c>
    </row>
    <row r="47" spans="1:15" ht="18" customHeight="1" x14ac:dyDescent="0.25">
      <c r="A47" s="38">
        <v>40</v>
      </c>
      <c r="B47" s="1" t="s">
        <v>52</v>
      </c>
      <c r="C47" s="2">
        <v>11685</v>
      </c>
      <c r="D47" s="2">
        <v>11341</v>
      </c>
      <c r="E47" s="2">
        <v>8493</v>
      </c>
      <c r="F47" s="2">
        <v>3501</v>
      </c>
      <c r="G47" s="4">
        <v>0</v>
      </c>
      <c r="H47" s="4">
        <v>0</v>
      </c>
      <c r="I47" s="4">
        <v>0</v>
      </c>
      <c r="J47" s="6">
        <f t="shared" si="0"/>
        <v>3.0332422184992507</v>
      </c>
      <c r="K47" s="3">
        <v>33.5</v>
      </c>
      <c r="L47" s="3">
        <v>142.6</v>
      </c>
      <c r="M47" s="5" t="s">
        <v>14</v>
      </c>
      <c r="N47" s="5" t="s">
        <v>14</v>
      </c>
      <c r="O47" s="40" t="s">
        <v>14</v>
      </c>
    </row>
    <row r="48" spans="1:15" ht="18" customHeight="1" x14ac:dyDescent="0.25">
      <c r="A48" s="38">
        <v>41</v>
      </c>
      <c r="B48" s="1" t="s">
        <v>53</v>
      </c>
      <c r="C48" s="2">
        <v>412234</v>
      </c>
      <c r="D48" s="2">
        <v>423696</v>
      </c>
      <c r="E48" s="2">
        <v>335441</v>
      </c>
      <c r="F48" s="2">
        <v>221885</v>
      </c>
      <c r="G48" s="2">
        <v>232314</v>
      </c>
      <c r="H48" s="2">
        <v>197954</v>
      </c>
      <c r="I48" s="2">
        <v>306099</v>
      </c>
      <c r="J48" s="6">
        <f t="shared" si="0"/>
        <v>-2.7052414939012879</v>
      </c>
      <c r="K48" s="3">
        <v>26.3</v>
      </c>
      <c r="L48" s="3">
        <v>51.2</v>
      </c>
      <c r="M48" s="3">
        <v>-4.5</v>
      </c>
      <c r="N48" s="3">
        <v>17.399999999999999</v>
      </c>
      <c r="O48" s="39">
        <v>-35.299999999999997</v>
      </c>
    </row>
    <row r="49" spans="1:15" ht="18" customHeight="1" x14ac:dyDescent="0.25">
      <c r="A49" s="38">
        <v>42</v>
      </c>
      <c r="B49" s="1" t="s">
        <v>54</v>
      </c>
      <c r="C49" s="2">
        <v>28110</v>
      </c>
      <c r="D49" s="2">
        <v>27028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6">
        <f t="shared" si="0"/>
        <v>4.0032558827882196</v>
      </c>
      <c r="K49" s="5" t="s">
        <v>14</v>
      </c>
      <c r="L49" s="5" t="s">
        <v>14</v>
      </c>
      <c r="M49" s="5" t="s">
        <v>14</v>
      </c>
      <c r="N49" s="5" t="s">
        <v>14</v>
      </c>
      <c r="O49" s="40" t="s">
        <v>14</v>
      </c>
    </row>
    <row r="50" spans="1:15" ht="18" customHeight="1" x14ac:dyDescent="0.25">
      <c r="A50" s="38">
        <v>43</v>
      </c>
      <c r="B50" s="1" t="s">
        <v>55</v>
      </c>
      <c r="C50" s="2">
        <v>3165596</v>
      </c>
      <c r="D50" s="2">
        <v>3296344</v>
      </c>
      <c r="E50" s="2">
        <v>3250101</v>
      </c>
      <c r="F50" s="2">
        <v>3092334</v>
      </c>
      <c r="G50" s="2">
        <v>3108432</v>
      </c>
      <c r="H50" s="2">
        <v>3126461</v>
      </c>
      <c r="I50" s="2">
        <v>2753832</v>
      </c>
      <c r="J50" s="6">
        <f t="shared" si="0"/>
        <v>-3.9664549573709538</v>
      </c>
      <c r="K50" s="3">
        <v>1.4</v>
      </c>
      <c r="L50" s="3">
        <v>5.0999999999999996</v>
      </c>
      <c r="M50" s="3">
        <v>-0.5</v>
      </c>
      <c r="N50" s="3">
        <v>-0.6</v>
      </c>
      <c r="O50" s="39">
        <v>13.5</v>
      </c>
    </row>
    <row r="51" spans="1:15" ht="18" customHeight="1" x14ac:dyDescent="0.25">
      <c r="A51" s="38">
        <v>44</v>
      </c>
      <c r="B51" s="1" t="s">
        <v>56</v>
      </c>
      <c r="C51" s="2">
        <v>50798</v>
      </c>
      <c r="D51" s="2">
        <v>58545</v>
      </c>
      <c r="E51" s="2">
        <v>57597</v>
      </c>
      <c r="F51" s="2">
        <v>42325</v>
      </c>
      <c r="G51" s="2">
        <v>7064</v>
      </c>
      <c r="H51" s="4">
        <v>0</v>
      </c>
      <c r="I51" s="4">
        <v>0</v>
      </c>
      <c r="J51" s="6">
        <f t="shared" si="0"/>
        <v>-13.232556153386286</v>
      </c>
      <c r="K51" s="3">
        <v>1.6</v>
      </c>
      <c r="L51" s="3">
        <v>36.1</v>
      </c>
      <c r="M51" s="3">
        <v>499.2</v>
      </c>
      <c r="N51" s="5" t="s">
        <v>14</v>
      </c>
      <c r="O51" s="40" t="s">
        <v>14</v>
      </c>
    </row>
    <row r="52" spans="1:15" ht="18" customHeight="1" x14ac:dyDescent="0.25">
      <c r="A52" s="38">
        <v>45</v>
      </c>
      <c r="B52" s="1" t="s">
        <v>57</v>
      </c>
      <c r="C52" s="2">
        <v>4833124</v>
      </c>
      <c r="D52" s="2">
        <v>4255170</v>
      </c>
      <c r="E52" s="2">
        <v>3591649</v>
      </c>
      <c r="F52" s="2">
        <v>3357684</v>
      </c>
      <c r="G52" s="2">
        <v>3370710</v>
      </c>
      <c r="H52" s="2">
        <v>3211329</v>
      </c>
      <c r="I52" s="2">
        <v>3096810</v>
      </c>
      <c r="J52" s="6">
        <f t="shared" si="0"/>
        <v>13.582395062946956</v>
      </c>
      <c r="K52" s="3">
        <v>18.5</v>
      </c>
      <c r="L52" s="3">
        <v>7</v>
      </c>
      <c r="M52" s="3">
        <v>-0.4</v>
      </c>
      <c r="N52" s="3">
        <v>5</v>
      </c>
      <c r="O52" s="39">
        <v>3.7</v>
      </c>
    </row>
    <row r="53" spans="1:15" ht="18" customHeight="1" x14ac:dyDescent="0.25">
      <c r="A53" s="38">
        <v>46</v>
      </c>
      <c r="B53" s="1" t="s">
        <v>58</v>
      </c>
      <c r="C53" s="2">
        <v>54998</v>
      </c>
      <c r="D53" s="2">
        <v>56827</v>
      </c>
      <c r="E53" s="2">
        <v>16691</v>
      </c>
      <c r="F53" s="4">
        <v>0</v>
      </c>
      <c r="G53" s="4">
        <v>0</v>
      </c>
      <c r="H53" s="4">
        <v>0</v>
      </c>
      <c r="I53" s="4">
        <v>0</v>
      </c>
      <c r="J53" s="6">
        <f t="shared" si="0"/>
        <v>-3.2185404825171133</v>
      </c>
      <c r="K53" s="3">
        <v>240.5</v>
      </c>
      <c r="L53" s="5" t="s">
        <v>14</v>
      </c>
      <c r="M53" s="5" t="s">
        <v>14</v>
      </c>
      <c r="N53" s="5" t="s">
        <v>14</v>
      </c>
      <c r="O53" s="40" t="s">
        <v>14</v>
      </c>
    </row>
    <row r="54" spans="1:15" ht="18" customHeight="1" x14ac:dyDescent="0.25">
      <c r="A54" s="38">
        <v>47</v>
      </c>
      <c r="B54" s="1" t="s">
        <v>59</v>
      </c>
      <c r="C54" s="2">
        <v>0</v>
      </c>
      <c r="D54" s="4">
        <v>0</v>
      </c>
      <c r="E54" s="4">
        <v>0</v>
      </c>
      <c r="F54" s="4">
        <v>0</v>
      </c>
      <c r="G54" s="2">
        <v>111269</v>
      </c>
      <c r="H54" s="2">
        <v>121891</v>
      </c>
      <c r="I54" s="2">
        <v>125220</v>
      </c>
      <c r="J54" s="6">
        <v>0</v>
      </c>
      <c r="K54" s="5" t="s">
        <v>14</v>
      </c>
      <c r="L54" s="5" t="s">
        <v>14</v>
      </c>
      <c r="M54" s="5" t="s">
        <v>14</v>
      </c>
      <c r="N54" s="3">
        <v>-8.6999999999999993</v>
      </c>
      <c r="O54" s="39">
        <v>-2.7</v>
      </c>
    </row>
    <row r="55" spans="1:15" ht="18" customHeight="1" x14ac:dyDescent="0.25">
      <c r="A55" s="38">
        <v>48</v>
      </c>
      <c r="B55" s="1" t="s">
        <v>60</v>
      </c>
      <c r="C55" s="2">
        <v>2797386</v>
      </c>
      <c r="D55" s="2">
        <v>2545682</v>
      </c>
      <c r="E55" s="2">
        <v>2082838</v>
      </c>
      <c r="F55" s="2">
        <v>1963116</v>
      </c>
      <c r="G55" s="2">
        <v>1650657</v>
      </c>
      <c r="H55" s="2">
        <v>1593881</v>
      </c>
      <c r="I55" s="2">
        <v>1709135</v>
      </c>
      <c r="J55" s="6">
        <f t="shared" si="0"/>
        <v>9.887487910901676</v>
      </c>
      <c r="K55" s="3">
        <v>22.2</v>
      </c>
      <c r="L55" s="3">
        <v>6.1</v>
      </c>
      <c r="M55" s="3">
        <v>18.899999999999999</v>
      </c>
      <c r="N55" s="3">
        <v>3.6</v>
      </c>
      <c r="O55" s="39">
        <v>-6.7</v>
      </c>
    </row>
    <row r="56" spans="1:15" ht="18" customHeight="1" x14ac:dyDescent="0.25">
      <c r="A56" s="38">
        <v>49</v>
      </c>
      <c r="B56" s="1" t="s">
        <v>61</v>
      </c>
      <c r="C56" s="2">
        <v>62731</v>
      </c>
      <c r="D56" s="2">
        <v>36369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6">
        <f t="shared" si="0"/>
        <v>72.484808490747611</v>
      </c>
      <c r="K56" s="5" t="s">
        <v>14</v>
      </c>
      <c r="L56" s="5" t="s">
        <v>14</v>
      </c>
      <c r="M56" s="5" t="s">
        <v>14</v>
      </c>
      <c r="N56" s="5" t="s">
        <v>14</v>
      </c>
      <c r="O56" s="40" t="s">
        <v>14</v>
      </c>
    </row>
    <row r="57" spans="1:15" ht="18" customHeight="1" x14ac:dyDescent="0.25">
      <c r="A57" s="38">
        <v>50</v>
      </c>
      <c r="B57" s="1" t="s">
        <v>62</v>
      </c>
      <c r="C57" s="2">
        <v>281734</v>
      </c>
      <c r="D57" s="2">
        <v>286179</v>
      </c>
      <c r="E57" s="2">
        <v>286421</v>
      </c>
      <c r="F57" s="2">
        <v>287635</v>
      </c>
      <c r="G57" s="2">
        <v>290011</v>
      </c>
      <c r="H57" s="2">
        <v>285103</v>
      </c>
      <c r="I57" s="2">
        <v>282979</v>
      </c>
      <c r="J57" s="6">
        <f t="shared" si="0"/>
        <v>-1.5532236816817446</v>
      </c>
      <c r="K57" s="3">
        <v>-0.1</v>
      </c>
      <c r="L57" s="3">
        <v>-0.4</v>
      </c>
      <c r="M57" s="3">
        <v>-0.8</v>
      </c>
      <c r="N57" s="3">
        <v>1.7</v>
      </c>
      <c r="O57" s="39">
        <v>0.8</v>
      </c>
    </row>
    <row r="58" spans="1:15" ht="18" customHeight="1" x14ac:dyDescent="0.25">
      <c r="A58" s="38">
        <v>51</v>
      </c>
      <c r="B58" s="1" t="s">
        <v>63</v>
      </c>
      <c r="C58" s="2">
        <v>59880</v>
      </c>
      <c r="D58" s="2">
        <v>56868</v>
      </c>
      <c r="E58" s="2">
        <v>55451</v>
      </c>
      <c r="F58" s="2">
        <v>43380</v>
      </c>
      <c r="G58" s="2">
        <v>38084</v>
      </c>
      <c r="H58" s="2">
        <v>79309</v>
      </c>
      <c r="I58" s="2">
        <v>67393</v>
      </c>
      <c r="J58" s="6">
        <f t="shared" si="0"/>
        <v>5.2964760497995362</v>
      </c>
      <c r="K58" s="3">
        <v>2.6</v>
      </c>
      <c r="L58" s="3">
        <v>27.8</v>
      </c>
      <c r="M58" s="3">
        <v>13.9</v>
      </c>
      <c r="N58" s="3">
        <v>-52</v>
      </c>
      <c r="O58" s="39">
        <v>17.7</v>
      </c>
    </row>
    <row r="59" spans="1:15" ht="18" customHeight="1" x14ac:dyDescent="0.25">
      <c r="A59" s="38">
        <v>52</v>
      </c>
      <c r="B59" s="1" t="s">
        <v>64</v>
      </c>
      <c r="C59" s="2">
        <v>8885</v>
      </c>
      <c r="D59" s="2">
        <v>12176</v>
      </c>
      <c r="E59" s="2">
        <v>8565</v>
      </c>
      <c r="F59" s="2">
        <v>5150</v>
      </c>
      <c r="G59" s="2">
        <v>5482</v>
      </c>
      <c r="H59" s="2">
        <v>4298</v>
      </c>
      <c r="I59" s="4">
        <v>0</v>
      </c>
      <c r="J59" s="6">
        <f t="shared" si="0"/>
        <v>-27.028580814717479</v>
      </c>
      <c r="K59" s="3">
        <v>42.2</v>
      </c>
      <c r="L59" s="3">
        <v>66.3</v>
      </c>
      <c r="M59" s="3">
        <v>-6.1</v>
      </c>
      <c r="N59" s="3">
        <v>27.5</v>
      </c>
      <c r="O59" s="40" t="s">
        <v>14</v>
      </c>
    </row>
    <row r="60" spans="1:15" ht="18" customHeight="1" x14ac:dyDescent="0.25">
      <c r="A60" s="38">
        <v>53</v>
      </c>
      <c r="B60" s="1" t="s">
        <v>65</v>
      </c>
      <c r="C60" s="2">
        <v>4090732</v>
      </c>
      <c r="D60" s="2">
        <v>3452829</v>
      </c>
      <c r="E60" s="2">
        <v>2979458</v>
      </c>
      <c r="F60" s="2">
        <v>2571769</v>
      </c>
      <c r="G60" s="2">
        <v>2187031</v>
      </c>
      <c r="H60" s="2">
        <v>2213960</v>
      </c>
      <c r="I60" s="2">
        <v>2702829</v>
      </c>
      <c r="J60" s="6">
        <f t="shared" si="0"/>
        <v>18.474792698972351</v>
      </c>
      <c r="K60" s="3">
        <v>15.9</v>
      </c>
      <c r="L60" s="3">
        <v>15.9</v>
      </c>
      <c r="M60" s="3">
        <v>17.600000000000001</v>
      </c>
      <c r="N60" s="3">
        <v>-1.2</v>
      </c>
      <c r="O60" s="39">
        <v>-18.100000000000001</v>
      </c>
    </row>
    <row r="61" spans="1:15" ht="18" customHeight="1" x14ac:dyDescent="0.25">
      <c r="A61" s="38">
        <v>54</v>
      </c>
      <c r="B61" s="1" t="s">
        <v>66</v>
      </c>
      <c r="C61" s="2">
        <v>503231</v>
      </c>
      <c r="D61" s="2">
        <v>496730</v>
      </c>
      <c r="E61" s="2">
        <v>468160</v>
      </c>
      <c r="F61" s="2">
        <v>409790</v>
      </c>
      <c r="G61" s="2">
        <v>370134</v>
      </c>
      <c r="H61" s="2">
        <v>370018</v>
      </c>
      <c r="I61" s="2">
        <v>350136</v>
      </c>
      <c r="J61" s="6">
        <f t="shared" si="0"/>
        <v>1.3087592857286656</v>
      </c>
      <c r="K61" s="3">
        <v>6.1</v>
      </c>
      <c r="L61" s="3">
        <v>14.2</v>
      </c>
      <c r="M61" s="3">
        <v>10.7</v>
      </c>
      <c r="N61" s="3">
        <v>0</v>
      </c>
      <c r="O61" s="39">
        <v>5.7</v>
      </c>
    </row>
    <row r="62" spans="1:15" ht="18" customHeight="1" x14ac:dyDescent="0.25">
      <c r="A62" s="38">
        <v>55</v>
      </c>
      <c r="B62" s="1" t="s">
        <v>67</v>
      </c>
      <c r="C62" s="2">
        <v>109492</v>
      </c>
      <c r="D62" s="2">
        <v>104774</v>
      </c>
      <c r="E62" s="2">
        <v>78179</v>
      </c>
      <c r="F62" s="2">
        <v>81712</v>
      </c>
      <c r="G62" s="2">
        <v>101237</v>
      </c>
      <c r="H62" s="2">
        <v>91516</v>
      </c>
      <c r="I62" s="2">
        <v>96531</v>
      </c>
      <c r="J62" s="6">
        <f t="shared" si="0"/>
        <v>4.5030255597762805</v>
      </c>
      <c r="K62" s="3">
        <v>34</v>
      </c>
      <c r="L62" s="3">
        <v>-4.3</v>
      </c>
      <c r="M62" s="3">
        <v>-19.3</v>
      </c>
      <c r="N62" s="3">
        <v>10.6</v>
      </c>
      <c r="O62" s="39">
        <v>-5.2</v>
      </c>
    </row>
    <row r="63" spans="1:15" ht="18" customHeight="1" x14ac:dyDescent="0.25">
      <c r="A63" s="38">
        <v>56</v>
      </c>
      <c r="B63" s="1" t="s">
        <v>68</v>
      </c>
      <c r="C63" s="2">
        <v>18880319</v>
      </c>
      <c r="D63" s="2">
        <v>19094500</v>
      </c>
      <c r="E63" s="2">
        <v>18416727</v>
      </c>
      <c r="F63" s="2">
        <v>16741920</v>
      </c>
      <c r="G63" s="2">
        <v>14507432</v>
      </c>
      <c r="H63" s="2">
        <v>12597371</v>
      </c>
      <c r="I63" s="2">
        <v>11560482</v>
      </c>
      <c r="J63" s="6">
        <f t="shared" si="0"/>
        <v>-1.1216894917384586</v>
      </c>
      <c r="K63" s="3">
        <v>3.7</v>
      </c>
      <c r="L63" s="3">
        <v>10</v>
      </c>
      <c r="M63" s="3">
        <v>15.4</v>
      </c>
      <c r="N63" s="3">
        <v>15.2</v>
      </c>
      <c r="O63" s="39">
        <v>9</v>
      </c>
    </row>
    <row r="64" spans="1:15" ht="18" customHeight="1" x14ac:dyDescent="0.25">
      <c r="A64" s="38">
        <v>57</v>
      </c>
      <c r="B64" s="1" t="s">
        <v>69</v>
      </c>
      <c r="C64" s="2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2">
        <v>21831</v>
      </c>
      <c r="J64" s="6">
        <v>0</v>
      </c>
      <c r="K64" s="5" t="s">
        <v>14</v>
      </c>
      <c r="L64" s="5" t="s">
        <v>14</v>
      </c>
      <c r="M64" s="5" t="s">
        <v>14</v>
      </c>
      <c r="N64" s="5" t="s">
        <v>14</v>
      </c>
      <c r="O64" s="40" t="s">
        <v>14</v>
      </c>
    </row>
    <row r="65" spans="1:15" ht="18" customHeight="1" x14ac:dyDescent="0.25">
      <c r="A65" s="38">
        <v>58</v>
      </c>
      <c r="B65" s="1" t="s">
        <v>70</v>
      </c>
      <c r="C65" s="2">
        <v>2863509</v>
      </c>
      <c r="D65" s="2">
        <v>2697258</v>
      </c>
      <c r="E65" s="2">
        <v>2486391</v>
      </c>
      <c r="F65" s="2">
        <v>2528131</v>
      </c>
      <c r="G65" s="2">
        <v>2307622</v>
      </c>
      <c r="H65" s="2">
        <v>2516456</v>
      </c>
      <c r="I65" s="2">
        <v>2211831</v>
      </c>
      <c r="J65" s="6">
        <f t="shared" si="0"/>
        <v>6.1637040283131981</v>
      </c>
      <c r="K65" s="3">
        <v>8.5</v>
      </c>
      <c r="L65" s="3">
        <v>-1.7</v>
      </c>
      <c r="M65" s="3">
        <v>9.6</v>
      </c>
      <c r="N65" s="3">
        <v>-8.3000000000000007</v>
      </c>
      <c r="O65" s="39">
        <v>13.8</v>
      </c>
    </row>
    <row r="66" spans="1:15" ht="18" customHeight="1" x14ac:dyDescent="0.25">
      <c r="A66" s="38">
        <v>59</v>
      </c>
      <c r="B66" s="1" t="s">
        <v>71</v>
      </c>
      <c r="C66" s="2">
        <v>1243548</v>
      </c>
      <c r="D66" s="2">
        <v>1152250</v>
      </c>
      <c r="E66" s="2">
        <v>1013059</v>
      </c>
      <c r="F66" s="2">
        <v>992283</v>
      </c>
      <c r="G66" s="2">
        <v>931606</v>
      </c>
      <c r="H66" s="2">
        <v>970973</v>
      </c>
      <c r="I66" s="2">
        <v>879193</v>
      </c>
      <c r="J66" s="6">
        <f t="shared" si="0"/>
        <v>7.9234541115209378</v>
      </c>
      <c r="K66" s="3">
        <v>13.7</v>
      </c>
      <c r="L66" s="3">
        <v>2.1</v>
      </c>
      <c r="M66" s="3">
        <v>6.5</v>
      </c>
      <c r="N66" s="3">
        <v>-4.0999999999999996</v>
      </c>
      <c r="O66" s="39">
        <v>10.4</v>
      </c>
    </row>
    <row r="67" spans="1:15" ht="18" customHeight="1" x14ac:dyDescent="0.25">
      <c r="A67" s="38">
        <v>60</v>
      </c>
      <c r="B67" s="1" t="s">
        <v>72</v>
      </c>
      <c r="C67" s="2">
        <v>122732</v>
      </c>
      <c r="D67" s="2">
        <v>103669</v>
      </c>
      <c r="E67" s="2">
        <v>104395</v>
      </c>
      <c r="F67" s="2">
        <v>102117</v>
      </c>
      <c r="G67" s="2">
        <v>97870</v>
      </c>
      <c r="H67" s="2">
        <v>97400</v>
      </c>
      <c r="I67" s="2">
        <v>102944</v>
      </c>
      <c r="J67" s="6">
        <f t="shared" si="0"/>
        <v>18.388332095419074</v>
      </c>
      <c r="K67" s="3">
        <v>-0.7</v>
      </c>
      <c r="L67" s="3">
        <v>2.2000000000000002</v>
      </c>
      <c r="M67" s="3">
        <v>4.3</v>
      </c>
      <c r="N67" s="3">
        <v>0.5</v>
      </c>
      <c r="O67" s="39">
        <v>-5.4</v>
      </c>
    </row>
    <row r="68" spans="1:15" ht="18" customHeight="1" x14ac:dyDescent="0.25">
      <c r="A68" s="38">
        <v>61</v>
      </c>
      <c r="B68" s="1" t="s">
        <v>73</v>
      </c>
      <c r="C68" s="2">
        <v>0</v>
      </c>
      <c r="D68" s="4">
        <v>0</v>
      </c>
      <c r="E68" s="4">
        <v>0</v>
      </c>
      <c r="F68" s="2">
        <v>12849</v>
      </c>
      <c r="G68" s="2">
        <v>3335</v>
      </c>
      <c r="H68" s="4">
        <v>0</v>
      </c>
      <c r="I68" s="4">
        <v>0</v>
      </c>
      <c r="J68" s="6">
        <v>0</v>
      </c>
      <c r="K68" s="5" t="s">
        <v>14</v>
      </c>
      <c r="L68" s="3">
        <v>-100</v>
      </c>
      <c r="M68" s="3">
        <v>285.3</v>
      </c>
      <c r="N68" s="5" t="s">
        <v>14</v>
      </c>
      <c r="O68" s="40" t="s">
        <v>14</v>
      </c>
    </row>
    <row r="69" spans="1:15" ht="18" customHeight="1" x14ac:dyDescent="0.25">
      <c r="A69" s="38">
        <v>62</v>
      </c>
      <c r="B69" s="1" t="s">
        <v>74</v>
      </c>
      <c r="C69" s="2">
        <v>17634</v>
      </c>
      <c r="D69" s="2">
        <v>15784</v>
      </c>
      <c r="E69" s="2">
        <v>7955</v>
      </c>
      <c r="F69" s="2">
        <v>1758</v>
      </c>
      <c r="G69" s="2">
        <v>48645</v>
      </c>
      <c r="H69" s="2">
        <v>37960</v>
      </c>
      <c r="I69" s="2">
        <v>36121</v>
      </c>
      <c r="J69" s="6">
        <f t="shared" si="0"/>
        <v>11.720729853015714</v>
      </c>
      <c r="K69" s="3">
        <v>98.4</v>
      </c>
      <c r="L69" s="3">
        <v>352.5</v>
      </c>
      <c r="M69" s="3">
        <v>-96.4</v>
      </c>
      <c r="N69" s="3">
        <v>28.1</v>
      </c>
      <c r="O69" s="39">
        <v>5.0999999999999996</v>
      </c>
    </row>
    <row r="70" spans="1:15" ht="18" customHeight="1" x14ac:dyDescent="0.25">
      <c r="A70" s="38">
        <v>63</v>
      </c>
      <c r="B70" s="1" t="s">
        <v>75</v>
      </c>
      <c r="C70" s="2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6">
        <v>0</v>
      </c>
      <c r="K70" s="5" t="s">
        <v>14</v>
      </c>
      <c r="L70" s="7" t="s">
        <v>14</v>
      </c>
      <c r="M70" s="5" t="s">
        <v>14</v>
      </c>
      <c r="N70" s="5" t="s">
        <v>14</v>
      </c>
      <c r="O70" s="40" t="s">
        <v>14</v>
      </c>
    </row>
    <row r="71" spans="1:15" s="13" customFormat="1" ht="18" customHeight="1" x14ac:dyDescent="0.25">
      <c r="A71" s="41" t="s">
        <v>76</v>
      </c>
      <c r="B71" s="23"/>
      <c r="C71" s="11">
        <f>SUM(C8:C70)</f>
        <v>63877637</v>
      </c>
      <c r="D71" s="11">
        <v>60590776</v>
      </c>
      <c r="E71" s="11">
        <v>54676467</v>
      </c>
      <c r="F71" s="11">
        <v>49785443</v>
      </c>
      <c r="G71" s="11">
        <v>45736627</v>
      </c>
      <c r="H71" s="11">
        <v>43084777</v>
      </c>
      <c r="I71" s="11">
        <v>40304223</v>
      </c>
      <c r="J71" s="12">
        <f t="shared" si="0"/>
        <v>5.4246887348001618</v>
      </c>
      <c r="K71" s="12">
        <v>10.8</v>
      </c>
      <c r="L71" s="12">
        <v>9.8000000000000007</v>
      </c>
      <c r="M71" s="12">
        <v>8.9</v>
      </c>
      <c r="N71" s="12">
        <v>6.2</v>
      </c>
      <c r="O71" s="42">
        <v>6.9</v>
      </c>
    </row>
    <row r="72" spans="1:15" ht="18" customHeight="1" x14ac:dyDescent="0.25">
      <c r="A72" s="43" t="s">
        <v>77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44"/>
    </row>
    <row r="73" spans="1:15" ht="18" customHeight="1" x14ac:dyDescent="0.25">
      <c r="A73" s="43" t="s">
        <v>78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44"/>
    </row>
    <row r="74" spans="1:15" ht="21" customHeight="1" x14ac:dyDescent="0.25">
      <c r="A74" s="43" t="s">
        <v>90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45"/>
    </row>
    <row r="75" spans="1:15" ht="18" customHeight="1" x14ac:dyDescent="0.25">
      <c r="A75" s="46" t="s">
        <v>79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8"/>
    </row>
  </sheetData>
  <mergeCells count="14">
    <mergeCell ref="A72:O72"/>
    <mergeCell ref="A73:O73"/>
    <mergeCell ref="A74:O74"/>
    <mergeCell ref="A75:O75"/>
    <mergeCell ref="C6:I6"/>
    <mergeCell ref="J6:O6"/>
    <mergeCell ref="A6:A7"/>
    <mergeCell ref="B6:B7"/>
    <mergeCell ref="A71:B71"/>
    <mergeCell ref="A1:O1"/>
    <mergeCell ref="A2:O2"/>
    <mergeCell ref="A3:O3"/>
    <mergeCell ref="A4:O4"/>
    <mergeCell ref="A5:O5"/>
  </mergeCells>
  <pageMargins left="0.7" right="0.7" top="0.75" bottom="0.75" header="0.3" footer="0.3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selection activeCell="F13" sqref="F13"/>
    </sheetView>
  </sheetViews>
  <sheetFormatPr defaultRowHeight="14.4" x14ac:dyDescent="0.25"/>
  <cols>
    <col min="1" max="1" width="8.109375" style="9" customWidth="1"/>
    <col min="2" max="2" width="17.6640625" customWidth="1"/>
    <col min="3" max="3" width="11" customWidth="1"/>
    <col min="4" max="4" width="10.77734375" customWidth="1"/>
    <col min="5" max="5" width="10.33203125" customWidth="1"/>
    <col min="6" max="6" width="11.44140625" customWidth="1"/>
    <col min="7" max="7" width="12.44140625" customWidth="1"/>
    <col min="8" max="8" width="11" customWidth="1"/>
    <col min="9" max="9" width="12.109375" customWidth="1"/>
    <col min="10" max="10" width="12" customWidth="1"/>
    <col min="11" max="12" width="9.109375" customWidth="1"/>
    <col min="13" max="13" width="10.44140625" customWidth="1"/>
    <col min="14" max="14" width="10.109375" customWidth="1"/>
    <col min="15" max="15" width="11.33203125" customWidth="1"/>
    <col min="16" max="16" width="10.44140625" customWidth="1"/>
  </cols>
  <sheetData>
    <row r="1" spans="1:16" ht="15.75" customHeight="1" x14ac:dyDescent="0.25">
      <c r="A1" s="8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3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33.75" customHeight="1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0.25" customHeight="1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9.5" customHeight="1" x14ac:dyDescent="0.25">
      <c r="B6" s="9"/>
      <c r="C6" s="24"/>
      <c r="D6" s="24"/>
      <c r="E6" s="24"/>
      <c r="F6" s="24"/>
      <c r="G6" s="24"/>
      <c r="H6" s="24"/>
      <c r="I6" s="24"/>
      <c r="J6" s="24"/>
      <c r="K6" s="9"/>
      <c r="L6" s="9"/>
      <c r="M6" s="9"/>
      <c r="N6" s="9"/>
      <c r="O6" s="9"/>
      <c r="P6" s="9"/>
    </row>
    <row r="7" spans="1:16" ht="57" customHeight="1" x14ac:dyDescent="0.25">
      <c r="B7" s="9"/>
      <c r="C7" s="10" t="s">
        <v>87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8" customHeight="1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18" customHeight="1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18" customHeight="1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18" customHeight="1" x14ac:dyDescent="0.2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18" customHeight="1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8" customHeight="1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18" customHeight="1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18" customHeight="1" x14ac:dyDescent="0.2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18" customHeight="1" x14ac:dyDescent="0.2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2:16" ht="18" customHeight="1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2:16" ht="18" customHeight="1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2:16" ht="18" customHeight="1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2:16" ht="18" customHeight="1" x14ac:dyDescent="0.2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2:16" ht="18" customHeight="1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2:16" ht="18" customHeight="1" x14ac:dyDescent="0.2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2:16" ht="18" customHeight="1" x14ac:dyDescent="0.2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 ht="18" customHeight="1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 ht="18" customHeight="1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2:16" ht="18" customHeight="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2:16" ht="18" customHeight="1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2:16" ht="18" customHeight="1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2:16" ht="18" customHeight="1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2:16" ht="18" customHeight="1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2:16" ht="18" customHeight="1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2:16" ht="18" customHeight="1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2:16" ht="18" customHeight="1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2:16" ht="18" customHeight="1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2:16" ht="18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2:16" ht="18" customHeight="1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2:16" ht="18" customHeight="1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2:16" ht="18" customHeight="1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2:16" ht="18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2:16" ht="18" customHeight="1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2:16" ht="18" customHeight="1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2:16" ht="18" customHeight="1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2:16" ht="18" customHeight="1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2:16" ht="18" customHeight="1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2:16" ht="18" customHeight="1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2:16" ht="18" customHeight="1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2:16" ht="18" customHeight="1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2:16" ht="18" customHeight="1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2:16" ht="18" customHeight="1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2:16" ht="18" customHeight="1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2:16" ht="18" customHeight="1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2:16" ht="18" customHeight="1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2:16" ht="18" customHeight="1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2:16" ht="18" customHeight="1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2:16" ht="18" customHeight="1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2:16" ht="18" customHeight="1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2:16" ht="18" customHeight="1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2:16" ht="18" customHeight="1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18" customHeight="1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2:16" ht="18" customHeight="1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2:16" ht="18" customHeight="1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2:16" ht="18" customHeight="1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2:16" ht="18" customHeight="1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2:16" ht="18" customHeight="1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2:16" ht="18" customHeight="1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2:16" ht="18" customHeight="1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2:16" ht="18" customHeight="1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2:16" ht="18" customHeight="1" x14ac:dyDescent="0.25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2:16" ht="18" customHeight="1" x14ac:dyDescent="0.25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2:16" ht="18" customHeight="1" x14ac:dyDescent="0.25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2:16" ht="18" customHeight="1" x14ac:dyDescent="0.25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2:16" ht="18" customHeight="1" x14ac:dyDescent="0.25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2:16" ht="18" customHeight="1" x14ac:dyDescent="0.25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2:16" ht="18" customHeight="1" x14ac:dyDescent="0.25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2:16" ht="18" customHeight="1" x14ac:dyDescent="0.25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</sheetData>
  <mergeCells count="1">
    <mergeCell ref="C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acer</cp:lastModifiedBy>
  <cp:lastPrinted>2020-05-15T06:40:58Z</cp:lastPrinted>
  <dcterms:created xsi:type="dcterms:W3CDTF">2020-03-23T05:48:30Z</dcterms:created>
  <dcterms:modified xsi:type="dcterms:W3CDTF">2020-05-15T06:41:41Z</dcterms:modified>
</cp:coreProperties>
</file>