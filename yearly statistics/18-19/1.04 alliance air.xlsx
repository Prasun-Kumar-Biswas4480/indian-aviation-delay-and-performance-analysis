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LLIANCE AIR\"/>
    </mc:Choice>
  </mc:AlternateContent>
  <bookViews>
    <workbookView xWindow="0" yWindow="0" windowWidth="24000" windowHeight="913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4" l="1"/>
  <c r="Q36" i="4"/>
  <c r="Q33" i="4"/>
  <c r="Q37" i="4" s="1"/>
  <c r="Q31" i="4"/>
  <c r="Q30" i="4"/>
  <c r="Q32" i="4" s="1"/>
  <c r="Q29" i="4"/>
  <c r="Q27" i="4"/>
  <c r="Q28" i="4" s="1"/>
  <c r="Q26" i="4"/>
  <c r="Q24" i="4"/>
  <c r="Q23" i="4"/>
  <c r="Q21" i="4"/>
  <c r="Q22" i="4" s="1"/>
  <c r="Q18" i="4"/>
  <c r="Q20" i="4" s="1"/>
  <c r="Q15" i="4"/>
  <c r="Q17" i="4" s="1"/>
  <c r="Q14" i="4"/>
  <c r="Q13" i="4"/>
  <c r="Q12" i="4"/>
  <c r="Q9" i="4"/>
  <c r="Q11" i="4" s="1"/>
  <c r="Q6" i="4"/>
  <c r="H36" i="4"/>
  <c r="H37" i="4" s="1"/>
  <c r="H33" i="4"/>
  <c r="H35" i="4" s="1"/>
  <c r="H31" i="4"/>
  <c r="H30" i="4"/>
  <c r="H34" i="4" s="1"/>
  <c r="H27" i="4"/>
  <c r="H29" i="4" s="1"/>
  <c r="H24" i="4"/>
  <c r="H28" i="4" s="1"/>
  <c r="H23" i="4"/>
  <c r="H22" i="4"/>
  <c r="H21" i="4"/>
  <c r="H18" i="4"/>
  <c r="H20" i="4" s="1"/>
  <c r="H15" i="4"/>
  <c r="H17" i="4" s="1"/>
  <c r="H12" i="4"/>
  <c r="H13" i="4" s="1"/>
  <c r="H9" i="4"/>
  <c r="H11" i="4" s="1"/>
  <c r="H6" i="4"/>
  <c r="H38" i="4" s="1"/>
  <c r="Q16" i="4" l="1"/>
  <c r="Q25" i="4"/>
  <c r="Q10" i="4"/>
  <c r="Q34" i="4"/>
  <c r="Q19" i="4"/>
  <c r="Q35" i="4"/>
  <c r="H16" i="4"/>
  <c r="H32" i="4"/>
  <c r="H25" i="4"/>
  <c r="H26" i="4"/>
  <c r="H10" i="4"/>
  <c r="H19" i="4"/>
  <c r="H14" i="4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<sst xmlns="http://schemas.openxmlformats.org/spreadsheetml/2006/main" count="91" uniqueCount="39">
  <si>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</si>
  <si>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</si>
  <si>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</si>
  <si>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</si>
  <si>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</si>
  <si>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</si>
  <si>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</si>
  <si>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</si>
  <si>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</si>
  <si>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</si>
  <si>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</si>
  <si>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</si>
  <si>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</si>
  <si>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</si>
  <si>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</si>
  <si>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</si>
  <si>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</si>
  <si>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</si>
  <si>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</si>
  <si>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</si>
  <si>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</si>
  <si>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</si>
  <si>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</si>
  <si>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</si>
  <si>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</si>
  <si>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</si>
  <si>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</si>
  <si>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</si>
  <si>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</si>
  <si>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</si>
  <si>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</si>
  <si>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</si>
  <si>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</si>
  <si>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</si>
  <si>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(एलाइंस एयर) </t>
  </si>
  <si>
    <t>Table 1.04 (ALLIANCE AIR)</t>
  </si>
  <si>
    <t>YEAR-WISE DETAILS OF ANNUAL TRAFFIC AND OPERATING STATISTICS ON DOMESTIC SCHEDULED SERVICES OF ALLIANCE AIR</t>
  </si>
  <si>
    <t>SOURCE: ICAO ATR FORM 'A' FURNISHED BY ALLIANCE AIR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</si>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</sst>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2" xfId="1" applyAlignment="1">
      <alignment horizontal="center" vertical="center" wrapText="1"/>
    </xf>
    <xf numFmtId="0" fontId="5" fillId="3" borderId="2" xfId="1" quotePrefix="1" applyAlignment="1" applyProtection="1">
      <alignment horizontal="center" vertical="center" wrapText="1"/>
    </xf>
    <xf numFmtId="0" fontId="5" fillId="3" borderId="2" xfId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sqref="A1:Q1"/>
    </sheetView>
  </sheetViews>
  <sheetFormatPr defaultRowHeight="15" x14ac:dyDescent="0.25"/>
  <cols>
    <col min="1" max="1" width="8" customWidth="1"/>
    <col min="2" max="2" width="7" customWidth="1"/>
    <col min="3" max="3" width="7.28515625" customWidth="1"/>
    <col min="4" max="4" width="6.5703125" customWidth="1"/>
    <col min="5" max="5" width="9.28515625" customWidth="1"/>
    <col min="6" max="7" width="7.7109375" customWidth="1"/>
    <col min="8" max="8" width="7.140625" customWidth="1"/>
    <col min="9" max="9" width="7.7109375" customWidth="1"/>
    <col min="10" max="11" width="8.140625" customWidth="1"/>
    <col min="12" max="12" width="7.7109375" customWidth="1"/>
    <col min="13" max="13" width="7.5703125" customWidth="1"/>
    <col min="14" max="14" width="8" customWidth="1"/>
    <col min="15" max="15" width="6.7109375" customWidth="1"/>
    <col min="16" max="16" width="7.7109375" customWidth="1"/>
    <col min="17" max="17" width="7" customWidth="1"/>
  </cols>
  <sheetData>
    <row r="1" spans="1:17" ht="15" customHeight="1" x14ac:dyDescent="0.25">
      <c r="A1" s="20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7" customHeight="1" x14ac:dyDescent="0.25">
      <c r="A5" s="23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7"/>
      <c r="H5" s="17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7"/>
      <c r="Q5" s="17"/>
    </row>
    <row r="6" spans="1:17" ht="16.5" customHeight="1" x14ac:dyDescent="0.25">
      <c r="A6" s="5" t="s">
        <v>19</v>
      </c>
      <c r="B6" s="1">
        <v>15057</v>
      </c>
      <c r="C6" s="1">
        <v>18355</v>
      </c>
      <c r="D6" s="1">
        <v>7618</v>
      </c>
      <c r="E6" s="1">
        <v>318289</v>
      </c>
      <c r="F6" s="1">
        <v>206.827</v>
      </c>
      <c r="G6" s="1">
        <v>362.245</v>
      </c>
      <c r="H6" s="11">
        <f>F6/G6*100</f>
        <v>57.095888142003339</v>
      </c>
      <c r="I6" s="2">
        <v>5627</v>
      </c>
      <c r="J6" s="2">
        <v>6336</v>
      </c>
      <c r="K6" s="2">
        <v>11963</v>
      </c>
      <c r="L6" s="2">
        <v>17.558</v>
      </c>
      <c r="M6" s="2">
        <v>7.3879999999999999</v>
      </c>
      <c r="N6" s="2">
        <v>4.008</v>
      </c>
      <c r="O6" s="2">
        <v>28.954000000000001</v>
      </c>
      <c r="P6" s="2">
        <v>48.246000000000002</v>
      </c>
      <c r="Q6" s="11">
        <f>O6/P6*100</f>
        <v>60.013265348422664</v>
      </c>
    </row>
    <row r="7" spans="1:17" ht="16.5" customHeight="1" x14ac:dyDescent="0.25">
      <c r="A7" s="6" t="s">
        <v>32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</row>
    <row r="8" spans="1:17" ht="16.5" customHeight="1" x14ac:dyDescent="0.25">
      <c r="A8" s="7" t="s">
        <v>30</v>
      </c>
      <c r="B8" s="4" t="s">
        <v>31</v>
      </c>
      <c r="C8" s="4" t="s">
        <v>31</v>
      </c>
      <c r="D8" s="4" t="s">
        <v>31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</row>
    <row r="9" spans="1:17" ht="16.5" customHeight="1" x14ac:dyDescent="0.25">
      <c r="A9" s="5" t="s">
        <v>20</v>
      </c>
      <c r="B9" s="1">
        <v>16957</v>
      </c>
      <c r="C9" s="1">
        <v>21541</v>
      </c>
      <c r="D9" s="1">
        <v>9206</v>
      </c>
      <c r="E9" s="1">
        <v>455180</v>
      </c>
      <c r="F9" s="1">
        <v>305.05399999999997</v>
      </c>
      <c r="G9" s="1">
        <v>460.09399999999999</v>
      </c>
      <c r="H9" s="11">
        <f t="shared" ref="H9:H36" si="0">F9/G9*100</f>
        <v>66.302538176981216</v>
      </c>
      <c r="I9" s="2">
        <v>2254</v>
      </c>
      <c r="J9" s="2">
        <v>11842</v>
      </c>
      <c r="K9" s="2">
        <v>14096</v>
      </c>
      <c r="L9" s="2">
        <v>25.792000000000002</v>
      </c>
      <c r="M9" s="2">
        <v>1.778</v>
      </c>
      <c r="N9" s="2">
        <v>10.512</v>
      </c>
      <c r="O9" s="2">
        <v>38.082000000000001</v>
      </c>
      <c r="P9" s="2">
        <v>60.353999999999999</v>
      </c>
      <c r="Q9" s="11">
        <f t="shared" ref="Q9:Q36" si="1">O9/P9*100</f>
        <v>63.097723431752662</v>
      </c>
    </row>
    <row r="10" spans="1:17" ht="16.5" customHeight="1" x14ac:dyDescent="0.25">
      <c r="A10" s="6" t="s">
        <v>32</v>
      </c>
      <c r="B10" s="12">
        <v>0.1261871554758584</v>
      </c>
      <c r="C10" s="12">
        <v>0.17357668210296923</v>
      </c>
      <c r="D10" s="12">
        <v>0.20845366237857704</v>
      </c>
      <c r="E10" s="12">
        <v>0.43008398028207068</v>
      </c>
      <c r="F10" s="12">
        <v>0.47492348677880536</v>
      </c>
      <c r="G10" s="12">
        <v>0.27011829010752386</v>
      </c>
      <c r="H10" s="12">
        <f t="shared" ref="H10" si="2">(H9-H6)/H6</f>
        <v>0.16124891536987729</v>
      </c>
      <c r="I10" s="12">
        <v>-0.59943131331082278</v>
      </c>
      <c r="J10" s="12">
        <v>0.8690025252525253</v>
      </c>
      <c r="K10" s="12">
        <v>0.17829975758588984</v>
      </c>
      <c r="L10" s="12">
        <v>0.46896001822531053</v>
      </c>
      <c r="M10" s="12">
        <v>-0.75933946940985375</v>
      </c>
      <c r="N10" s="12">
        <v>1.6227544910179641</v>
      </c>
      <c r="O10" s="12">
        <v>0.31525868619189057</v>
      </c>
      <c r="P10" s="12">
        <v>0.25096381047133431</v>
      </c>
      <c r="Q10" s="12">
        <f t="shared" ref="Q10" si="3">(Q9-Q6)/Q6</f>
        <v>5.1396271564667792E-2</v>
      </c>
    </row>
    <row r="11" spans="1:17" ht="16.5" customHeight="1" x14ac:dyDescent="0.25">
      <c r="A11" s="7" t="s">
        <v>30</v>
      </c>
      <c r="B11" s="10">
        <v>0.12618715547585846</v>
      </c>
      <c r="C11" s="10">
        <v>0.17357668210296917</v>
      </c>
      <c r="D11" s="10">
        <v>0.2084536623785771</v>
      </c>
      <c r="E11" s="10">
        <v>0.43008398028207062</v>
      </c>
      <c r="F11" s="10">
        <v>0.47492348677880547</v>
      </c>
      <c r="G11" s="10">
        <v>0.27011829010752386</v>
      </c>
      <c r="H11" s="10">
        <f t="shared" ref="H11" si="4">(((H9/H6)^(1/1))-1)</f>
        <v>0.16124891536987729</v>
      </c>
      <c r="I11" s="10">
        <v>-0.59943131331082289</v>
      </c>
      <c r="J11" s="10">
        <v>0.8690025252525253</v>
      </c>
      <c r="K11" s="10">
        <v>0.17829975758588978</v>
      </c>
      <c r="L11" s="10">
        <v>0.46896001822531042</v>
      </c>
      <c r="M11" s="10">
        <v>-0.75933946940985386</v>
      </c>
      <c r="N11" s="10">
        <v>1.6227544910179641</v>
      </c>
      <c r="O11" s="10">
        <v>0.31525868619189068</v>
      </c>
      <c r="P11" s="10">
        <v>0.25096381047133431</v>
      </c>
      <c r="Q11" s="10">
        <f t="shared" ref="Q11" si="5">(((Q9/Q6)^(1/1))-1)</f>
        <v>5.1396271564667861E-2</v>
      </c>
    </row>
    <row r="12" spans="1:17" ht="16.5" customHeight="1" x14ac:dyDescent="0.25">
      <c r="A12" s="5" t="s">
        <v>21</v>
      </c>
      <c r="B12" s="1">
        <v>16230</v>
      </c>
      <c r="C12" s="1">
        <v>22276</v>
      </c>
      <c r="D12" s="1">
        <v>9320</v>
      </c>
      <c r="E12" s="1">
        <v>503801</v>
      </c>
      <c r="F12" s="1">
        <v>365.733</v>
      </c>
      <c r="G12" s="1">
        <v>538.50900000000001</v>
      </c>
      <c r="H12" s="11">
        <f t="shared" si="0"/>
        <v>67.915856559500398</v>
      </c>
      <c r="I12" s="2">
        <v>1427</v>
      </c>
      <c r="J12" s="2">
        <v>6040</v>
      </c>
      <c r="K12" s="2">
        <v>7467</v>
      </c>
      <c r="L12" s="2">
        <v>30.959</v>
      </c>
      <c r="M12" s="2">
        <v>1.373</v>
      </c>
      <c r="N12" s="2">
        <v>3.911</v>
      </c>
      <c r="O12" s="2">
        <v>36.243000000000002</v>
      </c>
      <c r="P12" s="2">
        <v>53.125999999999998</v>
      </c>
      <c r="Q12" s="11">
        <f t="shared" si="1"/>
        <v>68.220833490193129</v>
      </c>
    </row>
    <row r="13" spans="1:17" ht="16.5" customHeight="1" x14ac:dyDescent="0.25">
      <c r="A13" s="6" t="s">
        <v>32</v>
      </c>
      <c r="B13" s="12">
        <v>-4.2873149731674234E-2</v>
      </c>
      <c r="C13" s="12">
        <v>3.4120978598950837E-2</v>
      </c>
      <c r="D13" s="12">
        <v>1.2383228329350423E-2</v>
      </c>
      <c r="E13" s="12">
        <v>0.10681708335164111</v>
      </c>
      <c r="F13" s="12">
        <v>0.198912323719735</v>
      </c>
      <c r="G13" s="12">
        <v>0.17043256378044491</v>
      </c>
      <c r="H13" s="12">
        <f t="shared" ref="H13" si="6">(H12-H9)/H9</f>
        <v>2.43326790629456E-2</v>
      </c>
      <c r="I13" s="12">
        <v>-0.36690328305235137</v>
      </c>
      <c r="J13" s="12">
        <v>-0.48995102178686034</v>
      </c>
      <c r="K13" s="12">
        <v>-0.47027525539160048</v>
      </c>
      <c r="L13" s="12">
        <v>0.20033343672456566</v>
      </c>
      <c r="M13" s="12">
        <v>-0.22778402699662542</v>
      </c>
      <c r="N13" s="12">
        <v>-0.62794901065449016</v>
      </c>
      <c r="O13" s="12">
        <v>-4.8290530959508395E-2</v>
      </c>
      <c r="P13" s="12">
        <v>-0.11976008218179411</v>
      </c>
      <c r="Q13" s="12">
        <f t="shared" ref="Q13" si="7">(Q12-Q9)/Q9</f>
        <v>8.1193263081538763E-2</v>
      </c>
    </row>
    <row r="14" spans="1:17" ht="16.5" customHeight="1" x14ac:dyDescent="0.25">
      <c r="A14" s="7" t="s">
        <v>30</v>
      </c>
      <c r="B14" s="10">
        <v>3.8221539428485274E-2</v>
      </c>
      <c r="C14" s="10">
        <v>0.10164434685484247</v>
      </c>
      <c r="D14" s="10">
        <v>0.1060823748732509</v>
      </c>
      <c r="E14" s="10">
        <v>0.25811024159399776</v>
      </c>
      <c r="F14" s="10">
        <v>0.32977590023386694</v>
      </c>
      <c r="G14" s="10">
        <v>0.21925707157883001</v>
      </c>
      <c r="H14" s="10">
        <f t="shared" ref="H14" si="8">(((H12/H6)^(1/2))-1)</f>
        <v>9.0644402424441051E-2</v>
      </c>
      <c r="I14" s="10">
        <v>-0.49641413795168021</v>
      </c>
      <c r="J14" s="10">
        <v>-2.363796249402017E-2</v>
      </c>
      <c r="K14" s="10">
        <v>-0.20995282535830528</v>
      </c>
      <c r="L14" s="10">
        <v>0.32787116358755508</v>
      </c>
      <c r="M14" s="10">
        <v>-0.56890615198871353</v>
      </c>
      <c r="N14" s="10">
        <v>-1.2174912652238468E-2</v>
      </c>
      <c r="O14" s="10">
        <v>0.11881372260380263</v>
      </c>
      <c r="P14" s="10">
        <v>4.935612721460636E-2</v>
      </c>
      <c r="Q14" s="10">
        <f t="shared" ref="Q14" si="9">(((Q12/Q6)^(1/2))-1)</f>
        <v>6.6190679777668571E-2</v>
      </c>
    </row>
    <row r="15" spans="1:17" ht="16.5" customHeight="1" x14ac:dyDescent="0.25">
      <c r="A15" s="5" t="s">
        <v>22</v>
      </c>
      <c r="B15" s="1">
        <v>14359</v>
      </c>
      <c r="C15" s="1">
        <v>19951</v>
      </c>
      <c r="D15" s="1">
        <v>8511</v>
      </c>
      <c r="E15" s="1">
        <v>467257</v>
      </c>
      <c r="F15" s="1">
        <v>347.791</v>
      </c>
      <c r="G15" s="1">
        <v>518.10199999999998</v>
      </c>
      <c r="H15" s="11">
        <f t="shared" si="0"/>
        <v>67.127901455697909</v>
      </c>
      <c r="I15" s="2">
        <v>457.34000000000003</v>
      </c>
      <c r="J15" s="2">
        <v>452</v>
      </c>
      <c r="K15" s="2">
        <v>909.34</v>
      </c>
      <c r="L15" s="2">
        <v>29.594999999999999</v>
      </c>
      <c r="M15" s="2">
        <v>0.28999999999999998</v>
      </c>
      <c r="N15" s="2">
        <v>0.34100000000000003</v>
      </c>
      <c r="O15" s="2">
        <v>30.225999999999999</v>
      </c>
      <c r="P15" s="2">
        <v>46.677999999999997</v>
      </c>
      <c r="Q15" s="11">
        <f t="shared" si="1"/>
        <v>64.754273962037786</v>
      </c>
    </row>
    <row r="16" spans="1:17" ht="16.5" customHeight="1" x14ac:dyDescent="0.25">
      <c r="A16" s="6" t="s">
        <v>32</v>
      </c>
      <c r="B16" s="12">
        <v>-0.11528034504004929</v>
      </c>
      <c r="C16" s="12">
        <v>-0.10437241874663315</v>
      </c>
      <c r="D16" s="12">
        <v>-8.6802575107296137E-2</v>
      </c>
      <c r="E16" s="12">
        <v>-7.2536576942086262E-2</v>
      </c>
      <c r="F16" s="12">
        <v>-4.9057645878277344E-2</v>
      </c>
      <c r="G16" s="12">
        <v>-3.789537407917052E-2</v>
      </c>
      <c r="H16" s="12">
        <f t="shared" ref="H16" si="10">(H15-H12)/H12</f>
        <v>-1.1601931326775936E-2</v>
      </c>
      <c r="I16" s="12">
        <v>-0.67950946040644711</v>
      </c>
      <c r="J16" s="12">
        <v>-0.92516556291390728</v>
      </c>
      <c r="K16" s="12">
        <v>-0.8782188295165394</v>
      </c>
      <c r="L16" s="12">
        <v>-4.4058270615975996E-2</v>
      </c>
      <c r="M16" s="12">
        <v>-0.78878368536052434</v>
      </c>
      <c r="N16" s="12">
        <v>-0.9128100230120173</v>
      </c>
      <c r="O16" s="12">
        <v>-0.16601826559611518</v>
      </c>
      <c r="P16" s="12">
        <v>-0.12137183300079059</v>
      </c>
      <c r="Q16" s="12">
        <f t="shared" ref="Q16" si="11">(Q15-Q12)/Q12</f>
        <v>-5.0813796179339669E-2</v>
      </c>
    </row>
    <row r="17" spans="1:17" ht="16.5" customHeight="1" x14ac:dyDescent="0.25">
      <c r="A17" s="7" t="s">
        <v>30</v>
      </c>
      <c r="B17" s="10">
        <v>-1.5697514635343746E-2</v>
      </c>
      <c r="C17" s="10">
        <v>2.8182228925165642E-2</v>
      </c>
      <c r="D17" s="10">
        <v>3.7639607462178537E-2</v>
      </c>
      <c r="E17" s="10">
        <v>0.13652256333543566</v>
      </c>
      <c r="F17" s="10">
        <v>0.18915108254221202</v>
      </c>
      <c r="G17" s="10">
        <v>0.12668961075656737</v>
      </c>
      <c r="H17" s="10">
        <f t="shared" ref="H17" si="12">(((H15/H6)^(1/3))-1)</f>
        <v>5.5438047168733462E-2</v>
      </c>
      <c r="I17" s="10">
        <v>-0.56683426925477942</v>
      </c>
      <c r="J17" s="10">
        <v>-0.58526143366034444</v>
      </c>
      <c r="K17" s="10">
        <v>-0.57639403775409315</v>
      </c>
      <c r="L17" s="10">
        <v>0.19009354571639614</v>
      </c>
      <c r="M17" s="10">
        <v>-0.66014757717467454</v>
      </c>
      <c r="N17" s="10">
        <v>-0.56017941143876837</v>
      </c>
      <c r="O17" s="10">
        <v>1.4434558935776165E-2</v>
      </c>
      <c r="P17" s="10">
        <v>-1.0952895813787111E-2</v>
      </c>
      <c r="Q17" s="10">
        <f t="shared" ref="Q17" si="13">(((Q15/Q6)^(1/3))-1)</f>
        <v>2.566860025382911E-2</v>
      </c>
    </row>
    <row r="18" spans="1:17" ht="16.5" customHeight="1" x14ac:dyDescent="0.25">
      <c r="A18" s="5" t="s">
        <v>23</v>
      </c>
      <c r="B18" s="1">
        <v>10171</v>
      </c>
      <c r="C18" s="1">
        <v>16645</v>
      </c>
      <c r="D18" s="1">
        <v>9393</v>
      </c>
      <c r="E18" s="1">
        <v>392947</v>
      </c>
      <c r="F18" s="1">
        <v>286.26499999999999</v>
      </c>
      <c r="G18" s="1">
        <v>404.65499999999997</v>
      </c>
      <c r="H18" s="11">
        <f t="shared" si="0"/>
        <v>70.742978586697319</v>
      </c>
      <c r="I18" s="2">
        <v>243</v>
      </c>
      <c r="J18" s="2">
        <v>102</v>
      </c>
      <c r="K18" s="2">
        <v>345</v>
      </c>
      <c r="L18" s="2">
        <v>26.34</v>
      </c>
      <c r="M18" s="2">
        <v>0.193</v>
      </c>
      <c r="N18" s="2">
        <v>7.4999999999999997E-2</v>
      </c>
      <c r="O18" s="2">
        <v>26.608000000000001</v>
      </c>
      <c r="P18" s="2">
        <v>43.325000000000003</v>
      </c>
      <c r="Q18" s="11">
        <f t="shared" si="1"/>
        <v>61.414887478361223</v>
      </c>
    </row>
    <row r="19" spans="1:17" ht="16.5" customHeight="1" x14ac:dyDescent="0.25">
      <c r="A19" s="6" t="s">
        <v>32</v>
      </c>
      <c r="B19" s="12">
        <v>-0.29166376488613416</v>
      </c>
      <c r="C19" s="12">
        <v>-0.16570597965014286</v>
      </c>
      <c r="D19" s="12">
        <v>0.10363059569968276</v>
      </c>
      <c r="E19" s="12">
        <v>-0.15903453559818259</v>
      </c>
      <c r="F19" s="12">
        <v>-0.17690509530148857</v>
      </c>
      <c r="G19" s="12">
        <v>-0.21896653554705445</v>
      </c>
      <c r="H19" s="12">
        <f t="shared" ref="H19" si="14">(H18-H15)/H15</f>
        <v>5.3853569865955596E-2</v>
      </c>
      <c r="I19" s="12">
        <v>-0.46866663751257276</v>
      </c>
      <c r="J19" s="12">
        <v>-0.77433628318584069</v>
      </c>
      <c r="K19" s="12">
        <v>-0.62060395451646255</v>
      </c>
      <c r="L19" s="12">
        <v>-0.10998479472883931</v>
      </c>
      <c r="M19" s="12">
        <v>-0.3344827586206896</v>
      </c>
      <c r="N19" s="12">
        <v>-0.78005865102639294</v>
      </c>
      <c r="O19" s="12">
        <v>-0.11969827300999135</v>
      </c>
      <c r="P19" s="12">
        <v>-7.1832554950940375E-2</v>
      </c>
      <c r="Q19" s="12">
        <f t="shared" ref="Q19" si="15">(Q18-Q15)/Q15</f>
        <v>-5.1570132430706885E-2</v>
      </c>
    </row>
    <row r="20" spans="1:17" ht="16.5" customHeight="1" x14ac:dyDescent="0.25">
      <c r="A20" s="7" t="s">
        <v>30</v>
      </c>
      <c r="B20" s="10">
        <v>-9.341965120235951E-2</v>
      </c>
      <c r="C20" s="10">
        <v>-2.4151603881859107E-2</v>
      </c>
      <c r="D20" s="10">
        <v>5.3757887775107038E-2</v>
      </c>
      <c r="E20" s="10">
        <v>5.4090955468031332E-2</v>
      </c>
      <c r="F20" s="10">
        <v>8.4651584396634005E-2</v>
      </c>
      <c r="G20" s="10">
        <v>2.8065127304132576E-2</v>
      </c>
      <c r="H20" s="10">
        <f t="shared" ref="H20" si="16">(((H18/H6)^(1/4))-1)</f>
        <v>5.5041704644613887E-2</v>
      </c>
      <c r="I20" s="10">
        <v>-0.54413910417588673</v>
      </c>
      <c r="J20" s="10">
        <v>-0.64379808432486207</v>
      </c>
      <c r="K20" s="10">
        <v>-0.58790746436049157</v>
      </c>
      <c r="L20" s="10">
        <v>0.1067134333878228</v>
      </c>
      <c r="M20" s="10">
        <v>-0.59797079273068476</v>
      </c>
      <c r="N20" s="10">
        <v>-0.63014338752545507</v>
      </c>
      <c r="O20" s="10">
        <v>-2.0902559068571747E-2</v>
      </c>
      <c r="P20" s="10">
        <v>-2.6537301496411869E-2</v>
      </c>
      <c r="Q20" s="10">
        <f t="shared" ref="Q20" si="17">(((Q18/Q6)^(1/4))-1)</f>
        <v>5.7883496065149753E-3</v>
      </c>
    </row>
    <row r="21" spans="1:17" ht="16.5" customHeight="1" x14ac:dyDescent="0.25">
      <c r="A21" s="5" t="s">
        <v>24</v>
      </c>
      <c r="B21" s="1">
        <v>9097</v>
      </c>
      <c r="C21" s="1">
        <v>14119</v>
      </c>
      <c r="D21" s="1">
        <v>6446</v>
      </c>
      <c r="E21" s="1">
        <v>363801</v>
      </c>
      <c r="F21" s="1">
        <v>249.57599999999999</v>
      </c>
      <c r="G21" s="1">
        <v>340.892</v>
      </c>
      <c r="H21" s="11">
        <f t="shared" si="0"/>
        <v>73.21263039320371</v>
      </c>
      <c r="I21" s="2">
        <v>161</v>
      </c>
      <c r="J21" s="2">
        <v>52</v>
      </c>
      <c r="K21" s="2">
        <v>213</v>
      </c>
      <c r="L21" s="2">
        <v>22.593</v>
      </c>
      <c r="M21" s="2">
        <v>0.104</v>
      </c>
      <c r="N21" s="2">
        <v>0.03</v>
      </c>
      <c r="O21" s="2">
        <v>22.727</v>
      </c>
      <c r="P21" s="2">
        <v>36.814999999999998</v>
      </c>
      <c r="Q21" s="11">
        <f t="shared" si="1"/>
        <v>61.73298927067772</v>
      </c>
    </row>
    <row r="22" spans="1:17" ht="16.5" customHeight="1" x14ac:dyDescent="0.25">
      <c r="A22" s="6" t="s">
        <v>32</v>
      </c>
      <c r="B22" s="12">
        <v>-0.1055943368400354</v>
      </c>
      <c r="C22" s="12">
        <v>-0.15175728446981077</v>
      </c>
      <c r="D22" s="12">
        <v>-0.31374427765357182</v>
      </c>
      <c r="E22" s="12">
        <v>-7.4172852827480554E-2</v>
      </c>
      <c r="F22" s="12">
        <v>-0.12816446299757217</v>
      </c>
      <c r="G22" s="12">
        <v>-0.15757373565135729</v>
      </c>
      <c r="H22" s="12">
        <f t="shared" ref="H22" si="18">(H21-H18)/H18</f>
        <v>3.4910203893659501E-2</v>
      </c>
      <c r="I22" s="12">
        <v>-0.33744855967078191</v>
      </c>
      <c r="J22" s="12">
        <v>-0.49019607843137253</v>
      </c>
      <c r="K22" s="12">
        <v>-0.38260869565217392</v>
      </c>
      <c r="L22" s="12">
        <v>-0.14225512528473805</v>
      </c>
      <c r="M22" s="12">
        <v>-0.46113989637305702</v>
      </c>
      <c r="N22" s="12">
        <v>-0.6</v>
      </c>
      <c r="O22" s="12">
        <v>-0.14585838845460011</v>
      </c>
      <c r="P22" s="12">
        <v>-0.150259665320254</v>
      </c>
      <c r="Q22" s="12">
        <f t="shared" ref="Q22" si="19">(Q21-Q18)/Q18</f>
        <v>5.1795550782141623E-3</v>
      </c>
    </row>
    <row r="23" spans="1:17" ht="16.5" customHeight="1" x14ac:dyDescent="0.25">
      <c r="A23" s="7" t="s">
        <v>30</v>
      </c>
      <c r="B23" s="10">
        <v>-9.5867774464067468E-2</v>
      </c>
      <c r="C23" s="10">
        <v>-5.1123021725529627E-2</v>
      </c>
      <c r="D23" s="10">
        <v>-3.2858839999393652E-2</v>
      </c>
      <c r="E23" s="10">
        <v>2.7089883894762856E-2</v>
      </c>
      <c r="F23" s="10">
        <v>3.8291066785428152E-2</v>
      </c>
      <c r="G23" s="10">
        <v>-1.2077487922553698E-2</v>
      </c>
      <c r="H23" s="10">
        <f t="shared" ref="H23" si="20">(((H21/H6)^(1/5))-1)</f>
        <v>5.0984317182999117E-2</v>
      </c>
      <c r="I23" s="10">
        <v>-0.50874182312044991</v>
      </c>
      <c r="J23" s="10">
        <v>-0.61731835248649602</v>
      </c>
      <c r="K23" s="10">
        <v>-0.55320541585570115</v>
      </c>
      <c r="L23" s="10">
        <v>5.1719125246703301E-2</v>
      </c>
      <c r="M23" s="10">
        <v>-0.57371378343080548</v>
      </c>
      <c r="N23" s="10">
        <v>-0.62430215118377497</v>
      </c>
      <c r="O23" s="10">
        <v>-4.727687147731563E-2</v>
      </c>
      <c r="P23" s="10">
        <v>-5.2645115915875063E-2</v>
      </c>
      <c r="Q23" s="10">
        <f t="shared" ref="Q23" si="21">(((Q21/Q6)^(1/5))-1)</f>
        <v>5.6665612103212748E-3</v>
      </c>
    </row>
    <row r="24" spans="1:17" ht="16.5" customHeight="1" x14ac:dyDescent="0.25">
      <c r="A24" s="5" t="s">
        <v>25</v>
      </c>
      <c r="B24" s="1">
        <v>9059</v>
      </c>
      <c r="C24" s="1">
        <v>13164</v>
      </c>
      <c r="D24" s="1">
        <v>5519</v>
      </c>
      <c r="E24" s="1">
        <v>310492</v>
      </c>
      <c r="F24" s="1">
        <v>197.91499999999999</v>
      </c>
      <c r="G24" s="1">
        <v>289.61399999999998</v>
      </c>
      <c r="H24" s="11">
        <f t="shared" si="0"/>
        <v>68.337511308155001</v>
      </c>
      <c r="I24" s="2">
        <v>168</v>
      </c>
      <c r="J24" s="2">
        <v>52</v>
      </c>
      <c r="K24" s="2">
        <v>220</v>
      </c>
      <c r="L24" s="2">
        <v>17.876000000000001</v>
      </c>
      <c r="M24" s="2">
        <v>0.108</v>
      </c>
      <c r="N24" s="2">
        <v>2.8000000000000001E-2</v>
      </c>
      <c r="O24" s="2">
        <v>18.012</v>
      </c>
      <c r="P24" s="2">
        <v>30.779</v>
      </c>
      <c r="Q24" s="11">
        <f t="shared" si="1"/>
        <v>58.520419766724061</v>
      </c>
    </row>
    <row r="25" spans="1:17" ht="16.5" customHeight="1" x14ac:dyDescent="0.25">
      <c r="A25" s="6" t="s">
        <v>32</v>
      </c>
      <c r="B25" s="12">
        <v>-4.1772012751456521E-3</v>
      </c>
      <c r="C25" s="12">
        <v>-6.7639351228840572E-2</v>
      </c>
      <c r="D25" s="12">
        <v>-0.1438101147998759</v>
      </c>
      <c r="E25" s="12">
        <v>-0.14653340699998077</v>
      </c>
      <c r="F25" s="12">
        <v>-0.20699506362791295</v>
      </c>
      <c r="G25" s="12">
        <v>-0.15042300787346144</v>
      </c>
      <c r="H25" s="12">
        <f t="shared" ref="H25" si="22">(H24-H21)/H21</f>
        <v>-6.6588497898052088E-2</v>
      </c>
      <c r="I25" s="12">
        <v>4.3478260869565216E-2</v>
      </c>
      <c r="J25" s="12">
        <v>0</v>
      </c>
      <c r="K25" s="12">
        <v>3.2863849765258218E-2</v>
      </c>
      <c r="L25" s="12">
        <v>-0.20878148098968702</v>
      </c>
      <c r="M25" s="12">
        <v>3.8461538461538498E-2</v>
      </c>
      <c r="N25" s="12">
        <v>-6.666666666666661E-2</v>
      </c>
      <c r="O25" s="12">
        <v>-0.20746248954987459</v>
      </c>
      <c r="P25" s="12">
        <v>-0.16395490968355286</v>
      </c>
      <c r="Q25" s="12">
        <f t="shared" ref="Q25" si="23">(Q24-Q21)/Q21</f>
        <v>-5.2039752843777869E-2</v>
      </c>
    </row>
    <row r="26" spans="1:17" ht="16.5" customHeight="1" x14ac:dyDescent="0.25">
      <c r="A26" s="7" t="s">
        <v>30</v>
      </c>
      <c r="B26" s="10">
        <v>-8.1194397087010595E-2</v>
      </c>
      <c r="C26" s="10">
        <v>-5.389592265299481E-2</v>
      </c>
      <c r="D26" s="10">
        <v>-5.230213051615018E-2</v>
      </c>
      <c r="E26" s="10">
        <v>-4.1250749001605636E-3</v>
      </c>
      <c r="F26" s="10">
        <v>-7.3139634067791448E-3</v>
      </c>
      <c r="G26" s="10">
        <v>-3.6608392443096327E-2</v>
      </c>
      <c r="H26" s="10">
        <f t="shared" ref="H26" si="24">(((H24/H6)^(1/6))-1)</f>
        <v>3.0407602481202778E-2</v>
      </c>
      <c r="I26" s="10">
        <v>-0.44302111971215996</v>
      </c>
      <c r="J26" s="10">
        <v>-0.55087762090785763</v>
      </c>
      <c r="K26" s="10">
        <v>-0.48623588938747864</v>
      </c>
      <c r="L26" s="10">
        <v>2.9960366012411477E-3</v>
      </c>
      <c r="M26" s="10">
        <v>-0.50551914886800153</v>
      </c>
      <c r="N26" s="10">
        <v>-0.56277493289384228</v>
      </c>
      <c r="O26" s="10">
        <v>-7.6063279089573443E-2</v>
      </c>
      <c r="P26" s="10">
        <v>-7.2176149597548367E-2</v>
      </c>
      <c r="Q26" s="10">
        <f t="shared" ref="Q26" si="25">(((Q24/Q6)^(1/6))-1)</f>
        <v>-4.1895123630837361E-3</v>
      </c>
    </row>
    <row r="27" spans="1:17" ht="16.5" customHeight="1" x14ac:dyDescent="0.25">
      <c r="A27" s="5" t="s">
        <v>26</v>
      </c>
      <c r="B27" s="1">
        <v>10796</v>
      </c>
      <c r="C27" s="1">
        <v>16133</v>
      </c>
      <c r="D27" s="1">
        <v>7318</v>
      </c>
      <c r="E27" s="1">
        <v>400340</v>
      </c>
      <c r="F27" s="1">
        <v>227.98400000000001</v>
      </c>
      <c r="G27" s="1">
        <v>342.601</v>
      </c>
      <c r="H27" s="11">
        <f t="shared" si="0"/>
        <v>66.545048029632142</v>
      </c>
      <c r="I27" s="2">
        <v>127</v>
      </c>
      <c r="J27" s="2">
        <v>45</v>
      </c>
      <c r="K27" s="2">
        <v>172</v>
      </c>
      <c r="L27" s="2">
        <v>20.065000000000001</v>
      </c>
      <c r="M27" s="2">
        <v>7.2999999999999995E-2</v>
      </c>
      <c r="N27" s="2">
        <v>2.4E-2</v>
      </c>
      <c r="O27" s="2">
        <v>20.161999999999999</v>
      </c>
      <c r="P27" s="2">
        <v>32.779000000000003</v>
      </c>
      <c r="Q27" s="11">
        <f t="shared" si="1"/>
        <v>61.50889288873973</v>
      </c>
    </row>
    <row r="28" spans="1:17" ht="16.5" customHeight="1" x14ac:dyDescent="0.25">
      <c r="A28" s="6" t="s">
        <v>32</v>
      </c>
      <c r="B28" s="12">
        <v>0.19174301799315599</v>
      </c>
      <c r="C28" s="12">
        <v>0.22553934974171985</v>
      </c>
      <c r="D28" s="12">
        <v>0.32596484870447545</v>
      </c>
      <c r="E28" s="12">
        <v>0.28937299511742653</v>
      </c>
      <c r="F28" s="12">
        <v>0.15192885834828093</v>
      </c>
      <c r="G28" s="12">
        <v>0.18295731559938411</v>
      </c>
      <c r="H28" s="12">
        <f t="shared" ref="H28" si="26">(H27-H24)/H24</f>
        <v>-2.622956622520372E-2</v>
      </c>
      <c r="I28" s="12">
        <v>-0.24404761904761904</v>
      </c>
      <c r="J28" s="12">
        <v>-0.13461538461538461</v>
      </c>
      <c r="K28" s="12">
        <v>-0.21818181818181817</v>
      </c>
      <c r="L28" s="12">
        <v>0.12245468784963079</v>
      </c>
      <c r="M28" s="12">
        <v>-0.32407407407407413</v>
      </c>
      <c r="N28" s="12">
        <v>-0.14285714285714285</v>
      </c>
      <c r="O28" s="12">
        <v>0.11936486786586711</v>
      </c>
      <c r="P28" s="12">
        <v>6.4979369050326641E-2</v>
      </c>
      <c r="Q28" s="12">
        <f t="shared" ref="Q28" si="27">(Q27-Q24)/Q24</f>
        <v>5.1067185333400121E-2</v>
      </c>
    </row>
    <row r="29" spans="1:17" ht="16.5" customHeight="1" x14ac:dyDescent="0.25">
      <c r="A29" s="7" t="s">
        <v>30</v>
      </c>
      <c r="B29" s="10">
        <v>-4.6412318455457235E-2</v>
      </c>
      <c r="C29" s="10">
        <v>-1.8264733796620969E-2</v>
      </c>
      <c r="D29" s="10">
        <v>-5.7231033555060762E-3</v>
      </c>
      <c r="E29" s="10">
        <v>3.3307596450520505E-2</v>
      </c>
      <c r="F29" s="10">
        <v>1.4010490583943769E-2</v>
      </c>
      <c r="G29" s="10">
        <v>-7.9332605101654075E-3</v>
      </c>
      <c r="H29" s="10">
        <f t="shared" ref="H29" si="28">(((H27/H6)^(1/7))-1)</f>
        <v>2.2119228697651483E-2</v>
      </c>
      <c r="I29" s="10">
        <v>-0.41817879736944441</v>
      </c>
      <c r="J29" s="10">
        <v>-0.50676173252819656</v>
      </c>
      <c r="K29" s="10">
        <v>-0.45447755917980215</v>
      </c>
      <c r="L29" s="10">
        <v>1.9249691049978646E-2</v>
      </c>
      <c r="M29" s="10">
        <v>-0.48293840455932213</v>
      </c>
      <c r="N29" s="10">
        <v>-0.51864102295262238</v>
      </c>
      <c r="O29" s="10">
        <v>-5.0387474597532456E-2</v>
      </c>
      <c r="P29" s="10">
        <v>-5.3721008718334851E-2</v>
      </c>
      <c r="Q29" s="10">
        <f t="shared" ref="Q29" si="29">(((Q27/Q6)^(1/7))-1)</f>
        <v>3.5227814962766058E-3</v>
      </c>
    </row>
    <row r="30" spans="1:17" ht="16.5" customHeight="1" x14ac:dyDescent="0.25">
      <c r="A30" s="5" t="s">
        <v>27</v>
      </c>
      <c r="B30" s="1">
        <v>12686</v>
      </c>
      <c r="C30" s="1">
        <v>22938</v>
      </c>
      <c r="D30" s="1">
        <v>9324</v>
      </c>
      <c r="E30" s="1">
        <v>625411</v>
      </c>
      <c r="F30" s="1">
        <v>323.77</v>
      </c>
      <c r="G30" s="1">
        <v>470.59300000000002</v>
      </c>
      <c r="H30" s="11">
        <f t="shared" si="0"/>
        <v>68.800428395662479</v>
      </c>
      <c r="I30" s="2">
        <v>64</v>
      </c>
      <c r="J30" s="2">
        <v>33</v>
      </c>
      <c r="K30" s="2">
        <v>97</v>
      </c>
      <c r="L30" s="2">
        <v>29.280999999999999</v>
      </c>
      <c r="M30" s="2">
        <v>5.6000000000000001E-2</v>
      </c>
      <c r="N30" s="2">
        <v>2.4E-2</v>
      </c>
      <c r="O30" s="2">
        <v>29.361000000000001</v>
      </c>
      <c r="P30" s="2">
        <v>45.115000000000002</v>
      </c>
      <c r="Q30" s="11">
        <f t="shared" si="1"/>
        <v>65.080350216114368</v>
      </c>
    </row>
    <row r="31" spans="1:17" ht="16.5" customHeight="1" x14ac:dyDescent="0.25">
      <c r="A31" s="6" t="s">
        <v>32</v>
      </c>
      <c r="B31" s="12">
        <v>0.17506483882919599</v>
      </c>
      <c r="C31" s="12">
        <v>0.42180623566602615</v>
      </c>
      <c r="D31" s="12">
        <v>0.27411861164252527</v>
      </c>
      <c r="E31" s="12">
        <v>0.56219963031423292</v>
      </c>
      <c r="F31" s="12">
        <v>0.42014351884342749</v>
      </c>
      <c r="G31" s="12">
        <v>0.3735891021917625</v>
      </c>
      <c r="H31" s="12">
        <f t="shared" ref="H31" si="30">(H30-H27)/H27</f>
        <v>3.389253494904728E-2</v>
      </c>
      <c r="I31" s="12">
        <v>-0.49606299212598426</v>
      </c>
      <c r="J31" s="12">
        <v>-0.26666666666666666</v>
      </c>
      <c r="K31" s="12">
        <v>-0.43604651162790697</v>
      </c>
      <c r="L31" s="12">
        <v>0.45930725143284312</v>
      </c>
      <c r="M31" s="12">
        <v>-0.23287671232876705</v>
      </c>
      <c r="N31" s="12">
        <v>0</v>
      </c>
      <c r="O31" s="12">
        <v>0.45625433984723746</v>
      </c>
      <c r="P31" s="12">
        <v>0.37633850941151337</v>
      </c>
      <c r="Q31" s="12">
        <f t="shared" ref="Q31" si="31">(Q30-Q27)/Q27</f>
        <v>5.8064080812425992E-2</v>
      </c>
    </row>
    <row r="32" spans="1:17" ht="16.5" customHeight="1" x14ac:dyDescent="0.25">
      <c r="A32" s="7" t="s">
        <v>30</v>
      </c>
      <c r="B32" s="10">
        <v>-2.1190260502500169E-2</v>
      </c>
      <c r="C32" s="10">
        <v>2.8253378059537759E-2</v>
      </c>
      <c r="D32" s="10">
        <v>2.5581461888969814E-2</v>
      </c>
      <c r="E32" s="10">
        <v>8.8097934069371719E-2</v>
      </c>
      <c r="F32" s="10">
        <v>5.7617605379808756E-2</v>
      </c>
      <c r="G32" s="10">
        <v>3.3249926095998861E-2</v>
      </c>
      <c r="H32" s="10">
        <f t="shared" ref="H32" si="32">(((H30/H6)^(1/8))-1)</f>
        <v>2.3583528697534106E-2</v>
      </c>
      <c r="I32" s="10">
        <v>-0.42853730845211124</v>
      </c>
      <c r="J32" s="10">
        <v>-0.48169267518596126</v>
      </c>
      <c r="K32" s="10">
        <v>-0.45220703072426471</v>
      </c>
      <c r="L32" s="10">
        <v>6.6016329787604189E-2</v>
      </c>
      <c r="M32" s="10">
        <v>-0.45680265004109621</v>
      </c>
      <c r="N32" s="10">
        <v>-0.47257532843632932</v>
      </c>
      <c r="O32" s="10">
        <v>1.7463855807009487E-3</v>
      </c>
      <c r="P32" s="10">
        <v>-8.3521921727931492E-3</v>
      </c>
      <c r="Q32" s="10">
        <f t="shared" ref="Q32" si="33">(((Q30/Q6)^(1/8))-1)</f>
        <v>1.0183633416808613E-2</v>
      </c>
    </row>
    <row r="33" spans="1:17" ht="16.5" customHeight="1" x14ac:dyDescent="0.25">
      <c r="A33" s="5" t="s">
        <v>28</v>
      </c>
      <c r="B33" s="1">
        <v>20828</v>
      </c>
      <c r="C33" s="1">
        <v>38202</v>
      </c>
      <c r="D33" s="1">
        <v>17564</v>
      </c>
      <c r="E33" s="1">
        <v>1281251</v>
      </c>
      <c r="F33" s="1">
        <v>570.33299999999997</v>
      </c>
      <c r="G33" s="1">
        <v>729.71299999999997</v>
      </c>
      <c r="H33" s="11">
        <f t="shared" si="0"/>
        <v>78.158536301258167</v>
      </c>
      <c r="I33" s="2">
        <v>76</v>
      </c>
      <c r="J33" s="2">
        <v>38</v>
      </c>
      <c r="K33" s="2">
        <v>114</v>
      </c>
      <c r="L33" s="2">
        <v>51.292999999999999</v>
      </c>
      <c r="M33" s="2">
        <v>5.1999999999999998E-2</v>
      </c>
      <c r="N33" s="2">
        <v>2.4E-2</v>
      </c>
      <c r="O33" s="2">
        <v>51.369</v>
      </c>
      <c r="P33" s="2">
        <v>67.221999999999994</v>
      </c>
      <c r="Q33" s="11">
        <f t="shared" si="1"/>
        <v>76.41694683288209</v>
      </c>
    </row>
    <row r="34" spans="1:17" ht="16.5" customHeight="1" x14ac:dyDescent="0.25">
      <c r="A34" s="6" t="s">
        <v>32</v>
      </c>
      <c r="B34" s="12">
        <v>0.64180986914709126</v>
      </c>
      <c r="C34" s="12">
        <v>0.66544598482866857</v>
      </c>
      <c r="D34" s="12">
        <v>0.88374088374088378</v>
      </c>
      <c r="E34" s="12">
        <v>1.0486544048633619</v>
      </c>
      <c r="F34" s="12">
        <v>0.7615375111962196</v>
      </c>
      <c r="G34" s="12">
        <v>0.55062442492769748</v>
      </c>
      <c r="H34" s="12">
        <f t="shared" ref="H34" si="34">(H33-H30)/H30</f>
        <v>0.13601816331401897</v>
      </c>
      <c r="I34" s="12">
        <v>0.1875</v>
      </c>
      <c r="J34" s="12">
        <v>0.15151515151515152</v>
      </c>
      <c r="K34" s="12">
        <v>0.17525773195876287</v>
      </c>
      <c r="L34" s="12">
        <v>0.75175028175267244</v>
      </c>
      <c r="M34" s="12">
        <v>-7.1428571428571494E-2</v>
      </c>
      <c r="N34" s="12">
        <v>0</v>
      </c>
      <c r="O34" s="12">
        <v>0.74956575048533769</v>
      </c>
      <c r="P34" s="12">
        <v>0.49001440762495824</v>
      </c>
      <c r="Q34" s="12">
        <f t="shared" ref="Q34" si="35">(Q33-Q30)/Q30</f>
        <v>0.17419384774547045</v>
      </c>
    </row>
    <row r="35" spans="1:17" ht="16.5" customHeight="1" x14ac:dyDescent="0.25">
      <c r="A35" s="7" t="s">
        <v>30</v>
      </c>
      <c r="B35" s="10">
        <v>3.6708283708118961E-2</v>
      </c>
      <c r="C35" s="10">
        <v>8.485124107259967E-2</v>
      </c>
      <c r="D35" s="10">
        <v>9.7259026548063066E-2</v>
      </c>
      <c r="E35" s="10">
        <v>0.16735083587894106</v>
      </c>
      <c r="F35" s="10">
        <v>0.11930078307651315</v>
      </c>
      <c r="G35" s="10">
        <v>8.0922132339892539E-2</v>
      </c>
      <c r="H35" s="10">
        <f t="shared" ref="H35" si="36">(((H33/H6)^(1/9))-1)</f>
        <v>3.5505472215229483E-2</v>
      </c>
      <c r="I35" s="10">
        <v>-0.38015678304101874</v>
      </c>
      <c r="J35" s="10">
        <v>-0.43362039911671379</v>
      </c>
      <c r="K35" s="10">
        <v>-0.40371808339115878</v>
      </c>
      <c r="L35" s="10">
        <v>0.12650066039317998</v>
      </c>
      <c r="M35" s="10">
        <v>-0.42345830916928118</v>
      </c>
      <c r="N35" s="10">
        <v>-0.4337196351465713</v>
      </c>
      <c r="O35" s="10">
        <v>6.5775758775259208E-2</v>
      </c>
      <c r="P35" s="10">
        <v>3.7541719175515187E-2</v>
      </c>
      <c r="Q35" s="10">
        <f t="shared" ref="Q35" si="37">(((Q33/Q6)^(1/9))-1)</f>
        <v>2.721243789809269E-2</v>
      </c>
    </row>
    <row r="36" spans="1:17" ht="16.5" customHeight="1" x14ac:dyDescent="0.25">
      <c r="A36" s="8" t="s">
        <v>33</v>
      </c>
      <c r="B36" s="1">
        <v>28983</v>
      </c>
      <c r="C36" s="1">
        <v>51698</v>
      </c>
      <c r="D36" s="1">
        <v>23821</v>
      </c>
      <c r="E36" s="1">
        <v>1597382</v>
      </c>
      <c r="F36" s="1">
        <v>679.84728900000005</v>
      </c>
      <c r="G36" s="1">
        <v>984.52216399999998</v>
      </c>
      <c r="H36" s="11">
        <f t="shared" si="0"/>
        <v>69.053528082888349</v>
      </c>
      <c r="I36" s="13">
        <v>83.3</v>
      </c>
      <c r="J36" s="2">
        <v>15</v>
      </c>
      <c r="K36" s="2">
        <v>98.3</v>
      </c>
      <c r="L36" s="2">
        <v>61.920999999999999</v>
      </c>
      <c r="M36" s="2">
        <v>5.1799999999999999E-2</v>
      </c>
      <c r="N36" s="2">
        <v>8.9999999999999993E-3</v>
      </c>
      <c r="O36" s="2">
        <v>61.9818</v>
      </c>
      <c r="P36" s="2">
        <v>91.338999999999999</v>
      </c>
      <c r="Q36" s="11">
        <f t="shared" si="1"/>
        <v>67.859074436987484</v>
      </c>
    </row>
    <row r="37" spans="1:17" ht="16.5" customHeight="1" x14ac:dyDescent="0.25">
      <c r="A37" s="6" t="s">
        <v>29</v>
      </c>
      <c r="B37" s="12">
        <v>0.3915402342999808</v>
      </c>
      <c r="C37" s="12">
        <v>0.35327993298780169</v>
      </c>
      <c r="D37" s="12">
        <v>0.35624003643816898</v>
      </c>
      <c r="E37" s="12">
        <v>0.24673619766930913</v>
      </c>
      <c r="F37" s="12">
        <v>0.19201815255298235</v>
      </c>
      <c r="G37" s="12">
        <v>0.34919093396993067</v>
      </c>
      <c r="H37" s="12">
        <f t="shared" ref="H37" si="38">(H36-H33)/H33</f>
        <v>-0.11649409839604748</v>
      </c>
      <c r="I37" s="12">
        <v>9.6052631578947334E-2</v>
      </c>
      <c r="J37" s="12">
        <v>-0.60526315789473684</v>
      </c>
      <c r="K37" s="12">
        <v>-0.13771929824561405</v>
      </c>
      <c r="L37" s="12">
        <v>0.20720176242372254</v>
      </c>
      <c r="M37" s="12">
        <v>-3.8461538461538229E-3</v>
      </c>
      <c r="N37" s="12">
        <v>-0.625</v>
      </c>
      <c r="O37" s="12">
        <v>0.20659931086842259</v>
      </c>
      <c r="P37" s="12">
        <v>0.35876647526107536</v>
      </c>
      <c r="Q37" s="12">
        <f t="shared" ref="Q37" si="39">(Q36-Q33)/Q33</f>
        <v>-0.11198919546746622</v>
      </c>
    </row>
    <row r="38" spans="1:17" ht="16.5" customHeight="1" x14ac:dyDescent="0.25">
      <c r="A38" s="7" t="s">
        <v>30</v>
      </c>
      <c r="B38" s="10">
        <v>6.7678478571068679E-2</v>
      </c>
      <c r="C38" s="10">
        <v>0.10910314128754828</v>
      </c>
      <c r="D38" s="10">
        <v>0.12075814070742186</v>
      </c>
      <c r="E38" s="10">
        <v>0.17505640923228194</v>
      </c>
      <c r="F38" s="10">
        <v>0.12636828538082057</v>
      </c>
      <c r="G38" s="10">
        <v>0.10515275278402436</v>
      </c>
      <c r="H38" s="10">
        <f t="shared" ref="H38" si="40">(((H36/H6)^(1/10))-1)</f>
        <v>1.9196923269974686E-2</v>
      </c>
      <c r="I38" s="10">
        <v>-0.3437991197536423</v>
      </c>
      <c r="J38" s="10">
        <v>-0.45370451769588982</v>
      </c>
      <c r="K38" s="10">
        <v>-0.38131250012353179</v>
      </c>
      <c r="L38" s="10">
        <v>0.13432183397529851</v>
      </c>
      <c r="M38" s="10">
        <v>-0.39105188942054925</v>
      </c>
      <c r="N38" s="10">
        <v>-0.45658517831994461</v>
      </c>
      <c r="O38" s="10">
        <v>7.9084766016538577E-2</v>
      </c>
      <c r="P38" s="10">
        <v>6.5907441038414172E-2</v>
      </c>
      <c r="Q38" s="10">
        <f t="shared" ref="Q38" si="41">(((Q36/Q6)^(1/10))-1)</f>
        <v>1.2362541502934699E-2</v>
      </c>
    </row>
    <row r="39" spans="1:17" ht="16.5" customHeight="1" x14ac:dyDescent="0.25">
      <c r="A39" s="18" t="s">
        <v>37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7.75" customHeight="1" x14ac:dyDescent="0.25">
      <c r="A40" s="14" t="s">
        <v>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2020-05-20T10:25:16Z</dcterms:modified>
</cp:coreProperties>
</file>