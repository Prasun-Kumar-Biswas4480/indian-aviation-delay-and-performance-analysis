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NATIONAL AIRLINES\"/>
    </mc:Choice>
  </mc:AlternateContent>
  <bookViews>
    <workbookView showHorizontalScroll="0" showVerticalScroll="0" xWindow="-120" yWindow="-120" windowWidth="20736" windowHeight="11160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2" l="1"/>
  <c r="Q37" i="2"/>
  <c r="Q35" i="2"/>
  <c r="Q34" i="2"/>
  <c r="Q29" i="2"/>
  <c r="Q26" i="2"/>
  <c r="Q23" i="2"/>
  <c r="Q22" i="2"/>
  <c r="Q20" i="2"/>
  <c r="Q17" i="2"/>
  <c r="Q14" i="2"/>
  <c r="Q13" i="2"/>
  <c r="Q10" i="2"/>
  <c r="Q11" i="2"/>
  <c r="H37" i="2"/>
  <c r="H34" i="2"/>
  <c r="H31" i="2"/>
  <c r="H29" i="2"/>
  <c r="H26" i="2"/>
  <c r="H22" i="2"/>
  <c r="H20" i="2"/>
  <c r="H19" i="2"/>
  <c r="H14" i="2"/>
  <c r="H13" i="2"/>
  <c r="H38" i="2"/>
  <c r="Q31" i="2" l="1"/>
  <c r="Q32" i="2"/>
  <c r="Q16" i="2"/>
  <c r="Q25" i="2"/>
  <c r="Q19" i="2"/>
  <c r="Q28" i="2"/>
  <c r="H23" i="2"/>
  <c r="H32" i="2"/>
  <c r="H17" i="2"/>
  <c r="H25" i="2"/>
  <c r="H10" i="2"/>
  <c r="H11" i="2"/>
  <c r="H35" i="2"/>
  <c r="H28" i="2"/>
  <c r="H16" i="2"/>
  <c r="P38" i="2" l="1"/>
  <c r="O38" i="2"/>
  <c r="N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N37" i="2"/>
  <c r="M37" i="2"/>
  <c r="L37" i="2"/>
  <c r="K37" i="2"/>
  <c r="J37" i="2"/>
  <c r="I37" i="2"/>
  <c r="G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<sst xmlns="http://schemas.openxmlformats.org/spreadsheetml/2006/main" count="91" uniqueCount="39">
  <si>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</si>
  <si>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</si>
  <si>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</si>
  <si>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</si>
  <si>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</si>
  <si>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</si>
  <si>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</si>
  <si>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</si>
  <si>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</si>
  <si>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</si>
  <si>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</si>
  <si>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</si>
  <si>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</si>
  <si>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</si>
  <si>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</si>
  <si>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</si>
  <si>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</si>
  <si>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</si>
  <si>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</si>
  <si>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</si>
  <si>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</si>
  <si>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</si>
  <si>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</si>
  <si>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</si>
  <si>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</si>
  <si>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</si>
  <si>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</si>
  <si>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</si>
  <si>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</si>
  <si>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</si>
  <si>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</si>
  <si>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</si>
  <si>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</si>
  <si>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</si>
  <si>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Note: Growth has been calculated with respect to preceeding year while Compound Annual Growth Rate (CAGR) has been calculating taking 2008-09 as a Base Year</t>
  </si>
  <si>
    <t xml:space="preserve">तालिका - 1.04 (सभी अनुसूचित राष्ट्रीय एयरलाइन्स) </t>
  </si>
  <si>
    <t>TABLE - 1.04 (ALL SCHEDULED NATIONAL AIRLINES)</t>
  </si>
  <si>
    <t>YEAR-WISE DETAILS OF ANNUAL TRAFFIC AND OPERATING STATISTICS ON DOMESTIC SCHEDULED SERVICES OF ALL SCHEDULED NATIONAL AIRLINES</t>
  </si>
  <si>
    <t>SOURCE: ICAO ATR FORM 'A' FURNISHED BY ALL SCHEDULED NATIONAL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</si>
</sst>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5" fillId="3" borderId="2" xfId="1" applyAlignment="1" applyProtection="1">
      <alignment horizontal="center" vertical="center" wrapText="1"/>
    </xf>
    <xf numFmtId="166" fontId="7" fillId="3" borderId="2" xfId="4" applyNumberFormat="1" applyFont="1" applyFill="1" applyBorder="1" applyAlignment="1" applyProtection="1">
      <alignment horizontal="center" vertical="center" wrapText="1"/>
    </xf>
    <xf numFmtId="166" fontId="8" fillId="5" borderId="1" xfId="3" applyNumberFormat="1" applyFont="1" applyBorder="1" applyAlignment="1" applyProtection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 applyAlignment="1">
      <alignment horizontal="center" vertical="center"/>
    </xf>
    <xf numFmtId="0" fontId="6" fillId="4" borderId="1" xfId="2" applyBorder="1" applyAlignment="1">
      <alignment horizontal="center"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topLeftCell="A28" zoomScale="110" zoomScaleNormal="110" zoomScaleSheetLayoutView="98" workbookViewId="0">
      <selection activeCell="I44" sqref="I44"/>
    </sheetView>
  </sheetViews>
  <sheetFormatPr defaultRowHeight="14.4" x14ac:dyDescent="0.3"/>
  <cols>
    <col min="1" max="1" width="7.88671875" customWidth="1"/>
    <col min="2" max="2" width="9.5546875" customWidth="1"/>
    <col min="3" max="3" width="9" customWidth="1"/>
    <col min="4" max="4" width="7.88671875" customWidth="1"/>
    <col min="5" max="5" width="11.33203125" customWidth="1"/>
    <col min="6" max="6" width="8.33203125" customWidth="1"/>
    <col min="7" max="7" width="8.109375" customWidth="1"/>
    <col min="8" max="8" width="6.44140625" customWidth="1"/>
    <col min="9" max="9" width="9.44140625" customWidth="1"/>
    <col min="10" max="10" width="9.21875" customWidth="1"/>
    <col min="11" max="11" width="9.5546875" customWidth="1"/>
    <col min="12" max="12" width="9" customWidth="1"/>
    <col min="13" max="13" width="7" customWidth="1"/>
    <col min="14" max="14" width="7.88671875" customWidth="1"/>
    <col min="15" max="15" width="8" customWidth="1"/>
    <col min="16" max="16" width="8.44140625" customWidth="1"/>
    <col min="17" max="17" width="6" customWidth="1"/>
  </cols>
  <sheetData>
    <row r="1" spans="1:17" ht="14.4" customHeight="1" x14ac:dyDescent="0.3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4.4" customHeight="1" x14ac:dyDescent="0.3">
      <c r="A2" s="27" t="s">
        <v>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1.75" customHeight="1" x14ac:dyDescent="0.3">
      <c r="A3" s="24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25.5" customHeight="1" x14ac:dyDescent="0.3">
      <c r="A4" s="24" t="s">
        <v>0</v>
      </c>
      <c r="B4" s="24" t="s">
        <v>1</v>
      </c>
      <c r="C4" s="24"/>
      <c r="D4" s="24"/>
      <c r="E4" s="24" t="s">
        <v>2</v>
      </c>
      <c r="F4" s="25"/>
      <c r="G4" s="20" t="s">
        <v>3</v>
      </c>
      <c r="H4" s="20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20" t="s">
        <v>7</v>
      </c>
      <c r="Q4" s="20" t="s">
        <v>8</v>
      </c>
    </row>
    <row r="5" spans="1:17" ht="104.25" customHeight="1" x14ac:dyDescent="0.3">
      <c r="A5" s="24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1"/>
      <c r="H5" s="21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1"/>
      <c r="Q5" s="21"/>
    </row>
    <row r="6" spans="1:17" s="4" customFormat="1" ht="20.100000000000001" customHeight="1" x14ac:dyDescent="0.3">
      <c r="A6" s="5" t="s">
        <v>19</v>
      </c>
      <c r="B6" s="1">
        <v>104631</v>
      </c>
      <c r="C6" s="1">
        <v>166125</v>
      </c>
      <c r="D6" s="1">
        <v>83072</v>
      </c>
      <c r="E6" s="1">
        <v>6291685</v>
      </c>
      <c r="F6" s="1">
        <v>6271.2160000000003</v>
      </c>
      <c r="G6" s="1">
        <v>11962.316999999999</v>
      </c>
      <c r="H6" s="10">
        <v>52.424760186509026</v>
      </c>
      <c r="I6" s="2">
        <v>73511</v>
      </c>
      <c r="J6" s="2">
        <v>20437</v>
      </c>
      <c r="K6" s="2">
        <v>93948</v>
      </c>
      <c r="L6" s="2">
        <v>539.97799999999995</v>
      </c>
      <c r="M6" s="2">
        <v>80.87</v>
      </c>
      <c r="N6" s="2">
        <v>19.789000000000001</v>
      </c>
      <c r="O6" s="2">
        <v>640.63699999999994</v>
      </c>
      <c r="P6" s="2">
        <v>1296.587</v>
      </c>
      <c r="Q6" s="10">
        <v>49.409488140788078</v>
      </c>
    </row>
    <row r="7" spans="1:17" s="4" customFormat="1" ht="20.100000000000001" customHeight="1" x14ac:dyDescent="0.3">
      <c r="A7" s="6" t="s">
        <v>32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11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11" t="s">
        <v>31</v>
      </c>
    </row>
    <row r="8" spans="1:17" s="4" customFormat="1" ht="20.100000000000001" customHeight="1" x14ac:dyDescent="0.3">
      <c r="A8" s="7" t="s">
        <v>30</v>
      </c>
      <c r="B8" s="4" t="s">
        <v>31</v>
      </c>
      <c r="C8" s="4" t="s">
        <v>31</v>
      </c>
      <c r="D8" s="4" t="s">
        <v>31</v>
      </c>
      <c r="E8" s="4" t="s">
        <v>31</v>
      </c>
      <c r="F8" s="4" t="s">
        <v>31</v>
      </c>
      <c r="G8" s="4" t="s">
        <v>31</v>
      </c>
      <c r="H8" s="12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12" t="s">
        <v>31</v>
      </c>
    </row>
    <row r="9" spans="1:17" s="4" customFormat="1" ht="20.100000000000001" customHeight="1" x14ac:dyDescent="0.3">
      <c r="A9" s="5" t="s">
        <v>20</v>
      </c>
      <c r="B9" s="1">
        <v>110265</v>
      </c>
      <c r="C9" s="1">
        <v>175627.87</v>
      </c>
      <c r="D9" s="1">
        <v>87017</v>
      </c>
      <c r="E9" s="1">
        <v>7597440</v>
      </c>
      <c r="F9" s="1">
        <v>7488.44</v>
      </c>
      <c r="G9" s="1">
        <v>12678.439</v>
      </c>
      <c r="H9" s="10">
        <v>59.064369044170178</v>
      </c>
      <c r="I9" s="2">
        <v>74341</v>
      </c>
      <c r="J9" s="2">
        <v>27126.502</v>
      </c>
      <c r="K9" s="2">
        <v>101467.50200000001</v>
      </c>
      <c r="L9" s="2">
        <v>642.54</v>
      </c>
      <c r="M9" s="2">
        <v>82.197000000000003</v>
      </c>
      <c r="N9" s="2">
        <v>26.405000000000001</v>
      </c>
      <c r="O9" s="2">
        <v>751.14200000000005</v>
      </c>
      <c r="P9" s="2">
        <v>1456.0129999999999</v>
      </c>
      <c r="Q9" s="10">
        <v>51.588962461186824</v>
      </c>
    </row>
    <row r="10" spans="1:17" s="4" customFormat="1" ht="20.100000000000001" customHeight="1" x14ac:dyDescent="0.3">
      <c r="A10" s="6" t="s">
        <v>32</v>
      </c>
      <c r="B10" s="15">
        <f t="shared" ref="B10:Q10" si="0">(B9-B6)/B6</f>
        <v>5.3846374401468014E-2</v>
      </c>
      <c r="C10" s="15">
        <f t="shared" si="0"/>
        <v>5.7203130173062423E-2</v>
      </c>
      <c r="D10" s="15">
        <f t="shared" si="0"/>
        <v>4.7488925269645606E-2</v>
      </c>
      <c r="E10" s="15">
        <f t="shared" si="0"/>
        <v>0.20753661380059554</v>
      </c>
      <c r="F10" s="15">
        <f t="shared" si="0"/>
        <v>0.19409696620240782</v>
      </c>
      <c r="G10" s="15">
        <f t="shared" si="0"/>
        <v>5.9864823846417149E-2</v>
      </c>
      <c r="H10" s="13">
        <f t="shared" si="0"/>
        <v>0.12665024759368926</v>
      </c>
      <c r="I10" s="15">
        <f t="shared" si="0"/>
        <v>1.1290827223136674E-2</v>
      </c>
      <c r="J10" s="15">
        <f t="shared" si="0"/>
        <v>0.32732309047316144</v>
      </c>
      <c r="K10" s="15">
        <f t="shared" si="0"/>
        <v>8.0038979009665001E-2</v>
      </c>
      <c r="L10" s="15">
        <f t="shared" si="0"/>
        <v>0.18993736781868895</v>
      </c>
      <c r="M10" s="15">
        <f t="shared" si="0"/>
        <v>1.6409051564238879E-2</v>
      </c>
      <c r="N10" s="15">
        <f t="shared" si="0"/>
        <v>0.33432715144777397</v>
      </c>
      <c r="O10" s="15">
        <f t="shared" si="0"/>
        <v>0.17249237867934589</v>
      </c>
      <c r="P10" s="15">
        <f t="shared" si="0"/>
        <v>0.12295819717458215</v>
      </c>
      <c r="Q10" s="13">
        <f t="shared" si="0"/>
        <v>4.4110441180619443E-2</v>
      </c>
    </row>
    <row r="11" spans="1:17" s="4" customFormat="1" ht="20.100000000000001" customHeight="1" x14ac:dyDescent="0.3">
      <c r="A11" s="7" t="s">
        <v>30</v>
      </c>
      <c r="B11" s="16">
        <f t="shared" ref="B11:Q11" si="1">(((B9/B6)^(1/1))-1)</f>
        <v>5.3846374401468111E-2</v>
      </c>
      <c r="C11" s="16">
        <f t="shared" si="1"/>
        <v>5.7203130173062444E-2</v>
      </c>
      <c r="D11" s="16">
        <f t="shared" si="1"/>
        <v>4.7488925269645543E-2</v>
      </c>
      <c r="E11" s="16">
        <f t="shared" si="1"/>
        <v>0.20753661380059563</v>
      </c>
      <c r="F11" s="16">
        <f t="shared" si="1"/>
        <v>0.19409696620240791</v>
      </c>
      <c r="G11" s="16">
        <f t="shared" si="1"/>
        <v>5.9864823846417226E-2</v>
      </c>
      <c r="H11" s="14">
        <f t="shared" si="1"/>
        <v>0.12665024759368926</v>
      </c>
      <c r="I11" s="16">
        <f t="shared" si="1"/>
        <v>1.1290827223136679E-2</v>
      </c>
      <c r="J11" s="16">
        <f t="shared" si="1"/>
        <v>0.32732309047316144</v>
      </c>
      <c r="K11" s="16">
        <f t="shared" si="1"/>
        <v>8.0038979009664946E-2</v>
      </c>
      <c r="L11" s="16">
        <f t="shared" si="1"/>
        <v>0.18993736781868886</v>
      </c>
      <c r="M11" s="16">
        <f t="shared" si="1"/>
        <v>1.6409051564238775E-2</v>
      </c>
      <c r="N11" s="16">
        <f t="shared" si="1"/>
        <v>0.33432715144777392</v>
      </c>
      <c r="O11" s="16">
        <f t="shared" si="1"/>
        <v>0.17249237867934597</v>
      </c>
      <c r="P11" s="16">
        <f t="shared" si="1"/>
        <v>0.12295819717458212</v>
      </c>
      <c r="Q11" s="14">
        <f t="shared" si="1"/>
        <v>4.4110441180619464E-2</v>
      </c>
    </row>
    <row r="12" spans="1:17" s="4" customFormat="1" ht="20.100000000000001" customHeight="1" x14ac:dyDescent="0.3">
      <c r="A12" s="5" t="s">
        <v>21</v>
      </c>
      <c r="B12" s="1">
        <v>113604</v>
      </c>
      <c r="C12" s="1">
        <v>186125</v>
      </c>
      <c r="D12" s="1">
        <v>92605</v>
      </c>
      <c r="E12" s="1">
        <v>8697464</v>
      </c>
      <c r="F12" s="1">
        <v>8468.7389999999996</v>
      </c>
      <c r="G12" s="1">
        <v>13580.691000000001</v>
      </c>
      <c r="H12" s="10">
        <v>62.358675269174434</v>
      </c>
      <c r="I12" s="2">
        <v>86768</v>
      </c>
      <c r="J12" s="2">
        <v>18693.800000000003</v>
      </c>
      <c r="K12" s="2">
        <v>105461.80000000002</v>
      </c>
      <c r="L12" s="2">
        <v>724.45899999999995</v>
      </c>
      <c r="M12" s="2">
        <v>100.93300000000001</v>
      </c>
      <c r="N12" s="2">
        <v>17.853999999999999</v>
      </c>
      <c r="O12" s="2">
        <v>843.24599999999998</v>
      </c>
      <c r="P12" s="2">
        <v>1549.3579999999999</v>
      </c>
      <c r="Q12" s="10">
        <v>54.425510437226258</v>
      </c>
    </row>
    <row r="13" spans="1:17" s="4" customFormat="1" ht="20.100000000000001" customHeight="1" x14ac:dyDescent="0.3">
      <c r="A13" s="6" t="s">
        <v>32</v>
      </c>
      <c r="B13" s="15">
        <f t="shared" ref="B13:Q13" si="2">(B12-B9)/B9</f>
        <v>3.0281594340906E-2</v>
      </c>
      <c r="C13" s="15">
        <f t="shared" si="2"/>
        <v>5.9769158505424025E-2</v>
      </c>
      <c r="D13" s="15">
        <f t="shared" si="2"/>
        <v>6.4217336842226233E-2</v>
      </c>
      <c r="E13" s="15">
        <f t="shared" si="2"/>
        <v>0.14478877095442674</v>
      </c>
      <c r="F13" s="15">
        <f t="shared" si="2"/>
        <v>0.13090830667001405</v>
      </c>
      <c r="G13" s="15">
        <f t="shared" si="2"/>
        <v>7.1164281344099259E-2</v>
      </c>
      <c r="H13" s="13">
        <f t="shared" si="2"/>
        <v>5.5774848327604598E-2</v>
      </c>
      <c r="I13" s="15">
        <f t="shared" si="2"/>
        <v>0.16716213126000457</v>
      </c>
      <c r="J13" s="15">
        <f t="shared" si="2"/>
        <v>-0.31086580938449038</v>
      </c>
      <c r="K13" s="15">
        <f t="shared" si="2"/>
        <v>3.9365293530139428E-2</v>
      </c>
      <c r="L13" s="15">
        <f t="shared" si="2"/>
        <v>0.12749245183179256</v>
      </c>
      <c r="M13" s="15">
        <f t="shared" si="2"/>
        <v>0.22794019246444522</v>
      </c>
      <c r="N13" s="15">
        <f t="shared" si="2"/>
        <v>-0.32384018178375312</v>
      </c>
      <c r="O13" s="15">
        <f t="shared" si="2"/>
        <v>0.12261862603875155</v>
      </c>
      <c r="P13" s="15">
        <f t="shared" si="2"/>
        <v>6.4110004512322377E-2</v>
      </c>
      <c r="Q13" s="13">
        <f t="shared" si="2"/>
        <v>5.4983621315771232E-2</v>
      </c>
    </row>
    <row r="14" spans="1:17" s="4" customFormat="1" ht="20.100000000000001" customHeight="1" x14ac:dyDescent="0.3">
      <c r="A14" s="7" t="s">
        <v>30</v>
      </c>
      <c r="B14" s="16">
        <f t="shared" ref="B14:Q14" si="3">(((B12/B6)^(1/2))-1)</f>
        <v>4.1997371785902349E-2</v>
      </c>
      <c r="C14" s="16">
        <f t="shared" si="3"/>
        <v>5.8485366754215784E-2</v>
      </c>
      <c r="D14" s="16">
        <f t="shared" si="3"/>
        <v>5.5820000957638616E-2</v>
      </c>
      <c r="E14" s="16">
        <f t="shared" si="3"/>
        <v>0.17574417115087337</v>
      </c>
      <c r="F14" s="16">
        <f t="shared" si="3"/>
        <v>0.16207322404733437</v>
      </c>
      <c r="G14" s="16">
        <f t="shared" si="3"/>
        <v>6.5499574076563372E-2</v>
      </c>
      <c r="H14" s="14">
        <f t="shared" si="3"/>
        <v>9.0636967222130105E-2</v>
      </c>
      <c r="I14" s="16">
        <f t="shared" si="3"/>
        <v>8.6434699936194681E-2</v>
      </c>
      <c r="J14" s="16">
        <f t="shared" si="3"/>
        <v>-4.3598555187990606E-2</v>
      </c>
      <c r="K14" s="16">
        <f t="shared" si="3"/>
        <v>5.9506975174006493E-2</v>
      </c>
      <c r="L14" s="16">
        <f t="shared" si="3"/>
        <v>0.15829417695513048</v>
      </c>
      <c r="M14" s="16">
        <f t="shared" si="3"/>
        <v>0.11717927227477487</v>
      </c>
      <c r="N14" s="16">
        <f t="shared" si="3"/>
        <v>-5.0148219897478197E-2</v>
      </c>
      <c r="O14" s="16">
        <f t="shared" si="3"/>
        <v>0.14728452582343965</v>
      </c>
      <c r="P14" s="16">
        <f t="shared" si="3"/>
        <v>9.3138167050530685E-2</v>
      </c>
      <c r="Q14" s="14">
        <f t="shared" si="3"/>
        <v>4.9532950550070787E-2</v>
      </c>
    </row>
    <row r="15" spans="1:17" s="4" customFormat="1" ht="20.100000000000001" customHeight="1" x14ac:dyDescent="0.3">
      <c r="A15" s="5" t="s">
        <v>22</v>
      </c>
      <c r="B15" s="1">
        <v>116466</v>
      </c>
      <c r="C15" s="1">
        <v>188010</v>
      </c>
      <c r="D15" s="1">
        <v>98454</v>
      </c>
      <c r="E15" s="1">
        <v>9400431</v>
      </c>
      <c r="F15" s="1">
        <v>9323.1710000000003</v>
      </c>
      <c r="G15" s="1">
        <v>14724.17</v>
      </c>
      <c r="H15" s="10">
        <v>63.318822045656901</v>
      </c>
      <c r="I15" s="2">
        <v>71113.34</v>
      </c>
      <c r="J15" s="2">
        <v>11387</v>
      </c>
      <c r="K15" s="2">
        <v>82500.34</v>
      </c>
      <c r="L15" s="2">
        <v>802.54</v>
      </c>
      <c r="M15" s="2">
        <v>80.376999999999995</v>
      </c>
      <c r="N15" s="2">
        <v>12.329000000000001</v>
      </c>
      <c r="O15" s="2">
        <v>895.24599999999998</v>
      </c>
      <c r="P15" s="2">
        <v>1700.097</v>
      </c>
      <c r="Q15" s="10">
        <v>52.658524778292062</v>
      </c>
    </row>
    <row r="16" spans="1:17" s="4" customFormat="1" ht="20.100000000000001" customHeight="1" x14ac:dyDescent="0.3">
      <c r="A16" s="6" t="s">
        <v>32</v>
      </c>
      <c r="B16" s="15">
        <f t="shared" ref="B16:Q16" si="4">(B15-B12)/B12</f>
        <v>2.5192774902292173E-2</v>
      </c>
      <c r="C16" s="15">
        <f t="shared" si="4"/>
        <v>1.012760241773002E-2</v>
      </c>
      <c r="D16" s="15">
        <f t="shared" si="4"/>
        <v>6.316073646131419E-2</v>
      </c>
      <c r="E16" s="15">
        <f t="shared" si="4"/>
        <v>8.0824364435426233E-2</v>
      </c>
      <c r="F16" s="15">
        <f t="shared" si="4"/>
        <v>0.10089247053191754</v>
      </c>
      <c r="G16" s="15">
        <f t="shared" si="4"/>
        <v>8.4198882074557127E-2</v>
      </c>
      <c r="H16" s="13">
        <f t="shared" si="4"/>
        <v>1.5397164425606295E-2</v>
      </c>
      <c r="I16" s="15">
        <f t="shared" si="4"/>
        <v>-0.18041973999631206</v>
      </c>
      <c r="J16" s="15">
        <f t="shared" si="4"/>
        <v>-0.39086756036760861</v>
      </c>
      <c r="K16" s="15">
        <f t="shared" si="4"/>
        <v>-0.2177230049174205</v>
      </c>
      <c r="L16" s="15">
        <f t="shared" si="4"/>
        <v>0.10777835598701931</v>
      </c>
      <c r="M16" s="15">
        <f t="shared" si="4"/>
        <v>-0.20365985356622721</v>
      </c>
      <c r="N16" s="15">
        <f t="shared" si="4"/>
        <v>-0.3094544639856614</v>
      </c>
      <c r="O16" s="15">
        <f t="shared" si="4"/>
        <v>6.1666465064761651E-2</v>
      </c>
      <c r="P16" s="15">
        <f t="shared" si="4"/>
        <v>9.7291265156277659E-2</v>
      </c>
      <c r="Q16" s="13">
        <f t="shared" si="4"/>
        <v>-3.24661292974407E-2</v>
      </c>
    </row>
    <row r="17" spans="1:17" s="4" customFormat="1" ht="20.100000000000001" customHeight="1" x14ac:dyDescent="0.3">
      <c r="A17" s="7" t="s">
        <v>30</v>
      </c>
      <c r="B17" s="16">
        <f t="shared" ref="B17:Q17" si="5">(((B15/B6)^(1/3))-1)</f>
        <v>3.6365454242116568E-2</v>
      </c>
      <c r="C17" s="16">
        <f t="shared" si="5"/>
        <v>4.2114211500329457E-2</v>
      </c>
      <c r="D17" s="16">
        <f t="shared" si="5"/>
        <v>5.826126376351537E-2</v>
      </c>
      <c r="E17" s="16">
        <f t="shared" si="5"/>
        <v>0.1432124137020212</v>
      </c>
      <c r="F17" s="16">
        <f t="shared" si="5"/>
        <v>0.14131089601063596</v>
      </c>
      <c r="G17" s="16">
        <f t="shared" si="5"/>
        <v>7.1696564906524429E-2</v>
      </c>
      <c r="H17" s="14">
        <f t="shared" si="5"/>
        <v>6.4957128149592647E-2</v>
      </c>
      <c r="I17" s="16">
        <f t="shared" si="5"/>
        <v>-1.0992506823085946E-2</v>
      </c>
      <c r="J17" s="16">
        <f t="shared" si="5"/>
        <v>-0.17713095488225616</v>
      </c>
      <c r="K17" s="16">
        <f t="shared" si="5"/>
        <v>-4.2388396675943296E-2</v>
      </c>
      <c r="L17" s="16">
        <f t="shared" si="5"/>
        <v>0.14120467091813405</v>
      </c>
      <c r="M17" s="16">
        <f t="shared" si="5"/>
        <v>-2.0362112701367563E-3</v>
      </c>
      <c r="N17" s="16">
        <f t="shared" si="5"/>
        <v>-0.14591452777302638</v>
      </c>
      <c r="O17" s="16">
        <f t="shared" si="5"/>
        <v>0.11800425689949812</v>
      </c>
      <c r="P17" s="16">
        <f t="shared" si="5"/>
        <v>9.4520783595623881E-2</v>
      </c>
      <c r="Q17" s="14">
        <f t="shared" si="5"/>
        <v>2.1455484131355229E-2</v>
      </c>
    </row>
    <row r="18" spans="1:17" s="4" customFormat="1" ht="20.100000000000001" customHeight="1" x14ac:dyDescent="0.3">
      <c r="A18" s="5" t="s">
        <v>23</v>
      </c>
      <c r="B18" s="1">
        <v>105101</v>
      </c>
      <c r="C18" s="1">
        <v>176003</v>
      </c>
      <c r="D18" s="1">
        <v>100871</v>
      </c>
      <c r="E18" s="1">
        <v>10296331</v>
      </c>
      <c r="F18" s="1">
        <v>10241.436</v>
      </c>
      <c r="G18" s="1">
        <v>14989.709000000001</v>
      </c>
      <c r="H18" s="10">
        <v>68.323114211223171</v>
      </c>
      <c r="I18" s="2">
        <v>67652</v>
      </c>
      <c r="J18" s="2">
        <v>102</v>
      </c>
      <c r="K18" s="2">
        <v>67754</v>
      </c>
      <c r="L18" s="2">
        <v>941.54618685491459</v>
      </c>
      <c r="M18" s="2">
        <v>77.447000000000003</v>
      </c>
      <c r="N18" s="2">
        <v>13.558</v>
      </c>
      <c r="O18" s="2">
        <v>1032.5511868549147</v>
      </c>
      <c r="P18" s="2">
        <v>1749.303193904482</v>
      </c>
      <c r="Q18" s="10">
        <v>59.026427805818983</v>
      </c>
    </row>
    <row r="19" spans="1:17" s="4" customFormat="1" ht="20.100000000000001" customHeight="1" x14ac:dyDescent="0.3">
      <c r="A19" s="6" t="s">
        <v>32</v>
      </c>
      <c r="B19" s="15">
        <f t="shared" ref="B19:Q19" si="6">(B18-B15)/B15</f>
        <v>-9.758212697267872E-2</v>
      </c>
      <c r="C19" s="15">
        <f t="shared" si="6"/>
        <v>-6.3863624275304509E-2</v>
      </c>
      <c r="D19" s="15">
        <f t="shared" si="6"/>
        <v>2.4549535823836514E-2</v>
      </c>
      <c r="E19" s="15">
        <f t="shared" si="6"/>
        <v>9.5304140842052881E-2</v>
      </c>
      <c r="F19" s="15">
        <f t="shared" si="6"/>
        <v>9.849277676018163E-2</v>
      </c>
      <c r="G19" s="15">
        <f t="shared" si="6"/>
        <v>1.8034225358712963E-2</v>
      </c>
      <c r="H19" s="13">
        <f t="shared" si="6"/>
        <v>7.9033247996272829E-2</v>
      </c>
      <c r="I19" s="15">
        <f t="shared" si="6"/>
        <v>-4.8673568137848636E-2</v>
      </c>
      <c r="J19" s="15">
        <f t="shared" si="6"/>
        <v>-0.99104241679107752</v>
      </c>
      <c r="K19" s="15">
        <f t="shared" si="6"/>
        <v>-0.17874277851460973</v>
      </c>
      <c r="L19" s="15">
        <f t="shared" si="6"/>
        <v>0.1732077988074297</v>
      </c>
      <c r="M19" s="15">
        <f t="shared" si="6"/>
        <v>-3.6453214227950691E-2</v>
      </c>
      <c r="N19" s="15">
        <f t="shared" si="6"/>
        <v>9.9683672641738913E-2</v>
      </c>
      <c r="O19" s="15">
        <f t="shared" si="6"/>
        <v>0.15337146086652689</v>
      </c>
      <c r="P19" s="15">
        <f t="shared" si="6"/>
        <v>2.8943168480670224E-2</v>
      </c>
      <c r="Q19" s="13">
        <f t="shared" si="6"/>
        <v>0.12092824579377552</v>
      </c>
    </row>
    <row r="20" spans="1:17" s="4" customFormat="1" ht="20.100000000000001" customHeight="1" x14ac:dyDescent="0.3">
      <c r="A20" s="7" t="s">
        <v>30</v>
      </c>
      <c r="B20" s="16">
        <f t="shared" ref="B20:Q20" si="7">(((B18/B6)^(1/4))-1)</f>
        <v>1.1211074090871076E-3</v>
      </c>
      <c r="C20" s="16">
        <f t="shared" si="7"/>
        <v>1.4544893170937101E-2</v>
      </c>
      <c r="D20" s="16">
        <f t="shared" si="7"/>
        <v>4.9730739573051297E-2</v>
      </c>
      <c r="E20" s="16">
        <f t="shared" si="7"/>
        <v>0.13104238764271448</v>
      </c>
      <c r="F20" s="16">
        <f t="shared" si="7"/>
        <v>0.13045238377076562</v>
      </c>
      <c r="G20" s="16">
        <f t="shared" si="7"/>
        <v>5.8021452855868016E-2</v>
      </c>
      <c r="H20" s="14">
        <f t="shared" si="7"/>
        <v>6.8458849033153468E-2</v>
      </c>
      <c r="I20" s="16">
        <f t="shared" si="7"/>
        <v>-2.0550435698957759E-2</v>
      </c>
      <c r="J20" s="16">
        <f t="shared" si="7"/>
        <v>-0.73420564276860001</v>
      </c>
      <c r="K20" s="16">
        <f t="shared" si="7"/>
        <v>-7.8464966580417239E-2</v>
      </c>
      <c r="L20" s="16">
        <f t="shared" si="7"/>
        <v>0.14912266520137885</v>
      </c>
      <c r="M20" s="16">
        <f t="shared" si="7"/>
        <v>-1.0754031382439355E-2</v>
      </c>
      <c r="N20" s="16">
        <f t="shared" si="7"/>
        <v>-9.0206257895180331E-2</v>
      </c>
      <c r="O20" s="16">
        <f t="shared" si="7"/>
        <v>0.12674306347782616</v>
      </c>
      <c r="P20" s="16">
        <f t="shared" si="7"/>
        <v>7.7744602551125475E-2</v>
      </c>
      <c r="Q20" s="14">
        <f t="shared" si="7"/>
        <v>4.5463888949864861E-2</v>
      </c>
    </row>
    <row r="21" spans="1:17" s="4" customFormat="1" ht="20.100000000000001" customHeight="1" x14ac:dyDescent="0.3">
      <c r="A21" s="5" t="s">
        <v>24</v>
      </c>
      <c r="B21" s="1">
        <v>113905</v>
      </c>
      <c r="C21" s="1">
        <v>194726</v>
      </c>
      <c r="D21" s="1">
        <v>100576.19899999999</v>
      </c>
      <c r="E21" s="1">
        <v>11073667</v>
      </c>
      <c r="F21" s="1">
        <v>10960.354624000001</v>
      </c>
      <c r="G21" s="1">
        <v>15430.798979999998</v>
      </c>
      <c r="H21" s="10">
        <v>71.02908046567012</v>
      </c>
      <c r="I21" s="2">
        <v>81290</v>
      </c>
      <c r="J21" s="2">
        <v>52</v>
      </c>
      <c r="K21" s="2">
        <v>81342</v>
      </c>
      <c r="L21" s="2">
        <v>1008.7345750058503</v>
      </c>
      <c r="M21" s="2">
        <v>92.013999999999996</v>
      </c>
      <c r="N21" s="2">
        <v>15.818</v>
      </c>
      <c r="O21" s="2">
        <v>1116.5665750058508</v>
      </c>
      <c r="P21" s="2">
        <v>1778.6453125406265</v>
      </c>
      <c r="Q21" s="10">
        <v>62.776235775245219</v>
      </c>
    </row>
    <row r="22" spans="1:17" s="4" customFormat="1" ht="20.100000000000001" customHeight="1" x14ac:dyDescent="0.3">
      <c r="A22" s="6" t="s">
        <v>32</v>
      </c>
      <c r="B22" s="15">
        <f t="shared" ref="B22:Q22" si="8">(B21-B18)/B18</f>
        <v>8.3767043129941682E-2</v>
      </c>
      <c r="C22" s="15">
        <f t="shared" si="8"/>
        <v>0.10637886854201349</v>
      </c>
      <c r="D22" s="15">
        <f t="shared" si="8"/>
        <v>-2.9225545498706936E-3</v>
      </c>
      <c r="E22" s="15">
        <f t="shared" si="8"/>
        <v>7.5496407409590849E-2</v>
      </c>
      <c r="F22" s="15">
        <f t="shared" si="8"/>
        <v>7.0197052835168985E-2</v>
      </c>
      <c r="G22" s="15">
        <f t="shared" si="8"/>
        <v>2.942618699268925E-2</v>
      </c>
      <c r="H22" s="13">
        <f t="shared" si="8"/>
        <v>3.9605429080433373E-2</v>
      </c>
      <c r="I22" s="15">
        <f t="shared" si="8"/>
        <v>0.20159049252054634</v>
      </c>
      <c r="J22" s="15">
        <f t="shared" si="8"/>
        <v>-0.49019607843137253</v>
      </c>
      <c r="K22" s="15">
        <f t="shared" si="8"/>
        <v>0.20054904507482954</v>
      </c>
      <c r="L22" s="15">
        <f t="shared" si="8"/>
        <v>7.1359630668111795E-2</v>
      </c>
      <c r="M22" s="15">
        <f t="shared" si="8"/>
        <v>0.18808991955789112</v>
      </c>
      <c r="N22" s="15">
        <f t="shared" si="8"/>
        <v>0.16669125239710869</v>
      </c>
      <c r="O22" s="15">
        <f t="shared" si="8"/>
        <v>8.1366802169722613E-2</v>
      </c>
      <c r="P22" s="15">
        <f t="shared" si="8"/>
        <v>1.6773603763137409E-2</v>
      </c>
      <c r="Q22" s="13">
        <f t="shared" si="8"/>
        <v>6.3527611424531602E-2</v>
      </c>
    </row>
    <row r="23" spans="1:17" s="4" customFormat="1" ht="20.100000000000001" customHeight="1" x14ac:dyDescent="0.3">
      <c r="A23" s="7" t="s">
        <v>30</v>
      </c>
      <c r="B23" s="16">
        <f t="shared" ref="B23:Q23" si="9">(((B21/B6)^(1/5))-1)</f>
        <v>1.713004345466973E-2</v>
      </c>
      <c r="C23" s="16">
        <f t="shared" si="9"/>
        <v>3.2280657513604538E-2</v>
      </c>
      <c r="D23" s="16">
        <f t="shared" si="9"/>
        <v>3.8982207690745563E-2</v>
      </c>
      <c r="E23" s="16">
        <f t="shared" si="9"/>
        <v>0.11970830052884396</v>
      </c>
      <c r="F23" s="16">
        <f t="shared" si="9"/>
        <v>0.11813584263628618</v>
      </c>
      <c r="G23" s="16">
        <f t="shared" si="9"/>
        <v>5.2239549900720439E-2</v>
      </c>
      <c r="H23" s="14">
        <f t="shared" si="9"/>
        <v>6.2624801302881172E-2</v>
      </c>
      <c r="I23" s="16">
        <f t="shared" si="9"/>
        <v>2.0321313142388497E-2</v>
      </c>
      <c r="J23" s="16">
        <f t="shared" si="9"/>
        <v>-0.69722693327590635</v>
      </c>
      <c r="K23" s="16">
        <f t="shared" si="9"/>
        <v>-2.8404574304936925E-2</v>
      </c>
      <c r="L23" s="16">
        <f t="shared" si="9"/>
        <v>0.13313112289113826</v>
      </c>
      <c r="M23" s="16">
        <f t="shared" si="9"/>
        <v>2.6155774739442306E-2</v>
      </c>
      <c r="N23" s="16">
        <f t="shared" si="9"/>
        <v>-4.3807034110044163E-2</v>
      </c>
      <c r="O23" s="16">
        <f t="shared" si="9"/>
        <v>0.11751798439045524</v>
      </c>
      <c r="P23" s="16">
        <f t="shared" si="9"/>
        <v>6.5264704749557367E-2</v>
      </c>
      <c r="Q23" s="14">
        <f t="shared" si="9"/>
        <v>4.90519205301021E-2</v>
      </c>
    </row>
    <row r="24" spans="1:17" s="4" customFormat="1" ht="20.100000000000001" customHeight="1" x14ac:dyDescent="0.3">
      <c r="A24" s="5" t="s">
        <v>25</v>
      </c>
      <c r="B24" s="1">
        <v>113084</v>
      </c>
      <c r="C24" s="1">
        <v>195167</v>
      </c>
      <c r="D24" s="1">
        <v>107098</v>
      </c>
      <c r="E24" s="1">
        <v>12228758</v>
      </c>
      <c r="F24" s="1">
        <v>11839.589</v>
      </c>
      <c r="G24" s="1">
        <v>15383.927</v>
      </c>
      <c r="H24" s="10">
        <v>76.960772109748049</v>
      </c>
      <c r="I24" s="2">
        <v>100889</v>
      </c>
      <c r="J24" s="2">
        <v>16455</v>
      </c>
      <c r="K24" s="2">
        <v>117344</v>
      </c>
      <c r="L24" s="2">
        <v>1092.1498600000004</v>
      </c>
      <c r="M24" s="2">
        <v>118.66161000000001</v>
      </c>
      <c r="N24" s="2">
        <v>15.794</v>
      </c>
      <c r="O24" s="2">
        <v>1226.1359399999994</v>
      </c>
      <c r="P24" s="2">
        <v>1757.28649</v>
      </c>
      <c r="Q24" s="10">
        <v>69.774390628815425</v>
      </c>
    </row>
    <row r="25" spans="1:17" s="4" customFormat="1" ht="20.100000000000001" customHeight="1" x14ac:dyDescent="0.3">
      <c r="A25" s="6" t="s">
        <v>32</v>
      </c>
      <c r="B25" s="15">
        <f t="shared" ref="B25:Q25" si="10">(B24-B21)/B21</f>
        <v>-7.2077608533426983E-3</v>
      </c>
      <c r="C25" s="15">
        <f t="shared" si="10"/>
        <v>2.2647206844489181E-3</v>
      </c>
      <c r="D25" s="15">
        <f t="shared" si="10"/>
        <v>6.484437734617518E-2</v>
      </c>
      <c r="E25" s="15">
        <f t="shared" si="10"/>
        <v>0.10430971059541523</v>
      </c>
      <c r="F25" s="15">
        <f t="shared" si="10"/>
        <v>8.021951899938802E-2</v>
      </c>
      <c r="G25" s="15">
        <f t="shared" si="10"/>
        <v>-3.0375601458323244E-3</v>
      </c>
      <c r="H25" s="13">
        <f t="shared" si="10"/>
        <v>8.3510748065291976E-2</v>
      </c>
      <c r="I25" s="15">
        <f t="shared" si="10"/>
        <v>0.24109976626891377</v>
      </c>
      <c r="J25" s="15">
        <f t="shared" si="10"/>
        <v>315.44230769230768</v>
      </c>
      <c r="K25" s="15">
        <f t="shared" si="10"/>
        <v>0.44260037864817681</v>
      </c>
      <c r="L25" s="15">
        <f t="shared" si="10"/>
        <v>8.2692996811045555E-2</v>
      </c>
      <c r="M25" s="15">
        <f t="shared" si="10"/>
        <v>0.28960386462929572</v>
      </c>
      <c r="N25" s="15">
        <f t="shared" si="10"/>
        <v>-1.5172588190668311E-3</v>
      </c>
      <c r="O25" s="15">
        <f t="shared" si="10"/>
        <v>9.8130615269021865E-2</v>
      </c>
      <c r="P25" s="15">
        <f t="shared" si="10"/>
        <v>-1.2008477682443319E-2</v>
      </c>
      <c r="Q25" s="13">
        <f t="shared" si="10"/>
        <v>0.11147777127996919</v>
      </c>
    </row>
    <row r="26" spans="1:17" s="4" customFormat="1" ht="20.100000000000001" customHeight="1" x14ac:dyDescent="0.3">
      <c r="A26" s="7" t="s">
        <v>30</v>
      </c>
      <c r="B26" s="16">
        <f t="shared" ref="B26:Q26" si="11">(((B24/B6)^(1/6))-1)</f>
        <v>1.3032699990842334E-2</v>
      </c>
      <c r="C26" s="16">
        <f t="shared" si="11"/>
        <v>2.7216291787474312E-2</v>
      </c>
      <c r="D26" s="16">
        <f t="shared" si="11"/>
        <v>4.3248532246399796E-2</v>
      </c>
      <c r="E26" s="16">
        <f t="shared" si="11"/>
        <v>0.11712703806586866</v>
      </c>
      <c r="F26" s="16">
        <f t="shared" si="11"/>
        <v>0.11172527093949358</v>
      </c>
      <c r="G26" s="16">
        <f t="shared" si="11"/>
        <v>4.2818316206940432E-2</v>
      </c>
      <c r="H26" s="14">
        <f t="shared" si="11"/>
        <v>6.6077622210539477E-2</v>
      </c>
      <c r="I26" s="16">
        <f t="shared" si="11"/>
        <v>5.418115371980825E-2</v>
      </c>
      <c r="J26" s="16">
        <f t="shared" si="11"/>
        <v>-3.5475070778896334E-2</v>
      </c>
      <c r="K26" s="16">
        <f t="shared" si="11"/>
        <v>3.7756729219863949E-2</v>
      </c>
      <c r="L26" s="16">
        <f t="shared" si="11"/>
        <v>0.12456447858512587</v>
      </c>
      <c r="M26" s="16">
        <f t="shared" si="11"/>
        <v>6.5991640344725155E-2</v>
      </c>
      <c r="N26" s="16">
        <f t="shared" si="11"/>
        <v>-3.6885220186012813E-2</v>
      </c>
      <c r="O26" s="16">
        <f t="shared" si="11"/>
        <v>0.11426314829016615</v>
      </c>
      <c r="P26" s="16">
        <f t="shared" si="11"/>
        <v>5.1978388438877143E-2</v>
      </c>
      <c r="Q26" s="14">
        <f t="shared" si="11"/>
        <v>5.9207261799093525E-2</v>
      </c>
    </row>
    <row r="27" spans="1:17" s="4" customFormat="1" ht="20.100000000000001" customHeight="1" x14ac:dyDescent="0.3">
      <c r="A27" s="5" t="s">
        <v>26</v>
      </c>
      <c r="B27" s="1">
        <v>115852</v>
      </c>
      <c r="C27" s="1">
        <v>205537.73</v>
      </c>
      <c r="D27" s="1">
        <v>125974</v>
      </c>
      <c r="E27" s="1">
        <v>13291720</v>
      </c>
      <c r="F27" s="1">
        <v>12559.764999999999</v>
      </c>
      <c r="G27" s="1">
        <v>15918.985000000001</v>
      </c>
      <c r="H27" s="10">
        <v>78.89802647593423</v>
      </c>
      <c r="I27" s="2">
        <v>83770.890000000014</v>
      </c>
      <c r="J27" s="2">
        <v>16252.215999999999</v>
      </c>
      <c r="K27" s="2">
        <v>100023.106</v>
      </c>
      <c r="L27" s="2">
        <v>1152.5626999999999</v>
      </c>
      <c r="M27" s="2">
        <v>98.176989999999989</v>
      </c>
      <c r="N27" s="2">
        <v>15.57611</v>
      </c>
      <c r="O27" s="2">
        <v>1266.2159000000001</v>
      </c>
      <c r="P27" s="2">
        <v>1787.34933</v>
      </c>
      <c r="Q27" s="10">
        <v>70.84322458665649</v>
      </c>
    </row>
    <row r="28" spans="1:17" s="4" customFormat="1" ht="20.100000000000001" customHeight="1" x14ac:dyDescent="0.3">
      <c r="A28" s="6" t="s">
        <v>32</v>
      </c>
      <c r="B28" s="15">
        <f t="shared" ref="B28:Q28" si="12">(B27-B24)/B24</f>
        <v>2.4477379646988078E-2</v>
      </c>
      <c r="C28" s="15">
        <f t="shared" si="12"/>
        <v>5.313772307818438E-2</v>
      </c>
      <c r="D28" s="15">
        <f t="shared" si="12"/>
        <v>0.17624978991204318</v>
      </c>
      <c r="E28" s="15">
        <f t="shared" si="12"/>
        <v>8.6923136429717551E-2</v>
      </c>
      <c r="F28" s="15">
        <f t="shared" si="12"/>
        <v>6.0827787180788073E-2</v>
      </c>
      <c r="G28" s="15">
        <f t="shared" si="12"/>
        <v>3.4780326245697921E-2</v>
      </c>
      <c r="H28" s="13">
        <f t="shared" si="12"/>
        <v>2.5171971552255302E-2</v>
      </c>
      <c r="I28" s="15">
        <f t="shared" si="12"/>
        <v>-0.16967270961155315</v>
      </c>
      <c r="J28" s="15">
        <f t="shared" si="12"/>
        <v>-1.2323549073230111E-2</v>
      </c>
      <c r="K28" s="15">
        <f t="shared" si="12"/>
        <v>-0.14760783678756476</v>
      </c>
      <c r="L28" s="15">
        <f t="shared" si="12"/>
        <v>5.5315522358808412E-2</v>
      </c>
      <c r="M28" s="15">
        <f t="shared" si="12"/>
        <v>-0.17263055844261693</v>
      </c>
      <c r="N28" s="15">
        <f t="shared" si="12"/>
        <v>-1.3795745219703722E-2</v>
      </c>
      <c r="O28" s="15">
        <f t="shared" si="12"/>
        <v>3.2688023156715172E-2</v>
      </c>
      <c r="P28" s="15">
        <f t="shared" si="12"/>
        <v>1.7107534924484653E-2</v>
      </c>
      <c r="Q28" s="13">
        <f t="shared" si="12"/>
        <v>1.5318427695442428E-2</v>
      </c>
    </row>
    <row r="29" spans="1:17" s="4" customFormat="1" ht="20.100000000000001" customHeight="1" x14ac:dyDescent="0.3">
      <c r="A29" s="7" t="s">
        <v>30</v>
      </c>
      <c r="B29" s="16">
        <f t="shared" ref="B29:Q29" si="13">(((B27/B6)^(1/7))-1)</f>
        <v>1.465979308827503E-2</v>
      </c>
      <c r="C29" s="16">
        <f t="shared" si="13"/>
        <v>3.0879919910369313E-2</v>
      </c>
      <c r="D29" s="16">
        <f t="shared" si="13"/>
        <v>6.1285722929149689E-2</v>
      </c>
      <c r="E29" s="16">
        <f t="shared" si="13"/>
        <v>0.11276134409916949</v>
      </c>
      <c r="F29" s="16">
        <f t="shared" si="13"/>
        <v>0.10430735544218561</v>
      </c>
      <c r="G29" s="16">
        <f t="shared" si="13"/>
        <v>4.1666220476897387E-2</v>
      </c>
      <c r="H29" s="14">
        <f t="shared" si="13"/>
        <v>6.0135515325254296E-2</v>
      </c>
      <c r="I29" s="16">
        <f t="shared" si="13"/>
        <v>1.8839627533835612E-2</v>
      </c>
      <c r="J29" s="16">
        <f t="shared" si="13"/>
        <v>-3.2201236357749963E-2</v>
      </c>
      <c r="K29" s="16">
        <f t="shared" si="13"/>
        <v>8.9915809367835386E-3</v>
      </c>
      <c r="L29" s="16">
        <f t="shared" si="13"/>
        <v>0.11440028249881817</v>
      </c>
      <c r="M29" s="16">
        <f t="shared" si="13"/>
        <v>2.8091462856265625E-2</v>
      </c>
      <c r="N29" s="16">
        <f t="shared" si="13"/>
        <v>-3.3620119543279592E-2</v>
      </c>
      <c r="O29" s="16">
        <f t="shared" si="13"/>
        <v>0.10222643015356891</v>
      </c>
      <c r="P29" s="16">
        <f t="shared" si="13"/>
        <v>4.6924581386318831E-2</v>
      </c>
      <c r="Q29" s="14">
        <f t="shared" si="13"/>
        <v>5.2823144809552858E-2</v>
      </c>
    </row>
    <row r="30" spans="1:17" s="4" customFormat="1" ht="20.100000000000001" customHeight="1" x14ac:dyDescent="0.3">
      <c r="A30" s="5" t="s">
        <v>27</v>
      </c>
      <c r="B30" s="1">
        <v>123949</v>
      </c>
      <c r="C30" s="1">
        <v>224024</v>
      </c>
      <c r="D30" s="1">
        <v>123426.58000000002</v>
      </c>
      <c r="E30" s="1">
        <v>14470484</v>
      </c>
      <c r="F30" s="1">
        <v>13468.183130000001</v>
      </c>
      <c r="G30" s="1">
        <v>17091.21977</v>
      </c>
      <c r="H30" s="10">
        <v>78.801766703863535</v>
      </c>
      <c r="I30" s="2">
        <v>64444.93</v>
      </c>
      <c r="J30" s="2">
        <v>10064.179999999998</v>
      </c>
      <c r="K30" s="2">
        <v>74509.110000000015</v>
      </c>
      <c r="L30" s="2">
        <v>1238.4518700000001</v>
      </c>
      <c r="M30" s="2">
        <v>76.435340000000011</v>
      </c>
      <c r="N30" s="2">
        <v>9.6421100000000006</v>
      </c>
      <c r="O30" s="2">
        <v>1324.5293200000001</v>
      </c>
      <c r="P30" s="2">
        <v>1916.6273900000001</v>
      </c>
      <c r="Q30" s="10">
        <v>69.107293723899048</v>
      </c>
    </row>
    <row r="31" spans="1:17" s="4" customFormat="1" ht="20.100000000000001" customHeight="1" x14ac:dyDescent="0.3">
      <c r="A31" s="6" t="s">
        <v>32</v>
      </c>
      <c r="B31" s="15">
        <f t="shared" ref="B31:Q31" si="14">(B30-B27)/B27</f>
        <v>6.9890895280185064E-2</v>
      </c>
      <c r="C31" s="15">
        <f t="shared" si="14"/>
        <v>8.9941004992124748E-2</v>
      </c>
      <c r="D31" s="15">
        <f t="shared" si="14"/>
        <v>-2.0221791798307458E-2</v>
      </c>
      <c r="E31" s="15">
        <f t="shared" si="14"/>
        <v>8.8684083023115146E-2</v>
      </c>
      <c r="F31" s="15">
        <f t="shared" si="14"/>
        <v>7.2327637499587122E-2</v>
      </c>
      <c r="G31" s="15">
        <f t="shared" si="14"/>
        <v>7.3637532166780678E-2</v>
      </c>
      <c r="H31" s="13">
        <f t="shared" si="14"/>
        <v>-1.220052976864469E-3</v>
      </c>
      <c r="I31" s="15">
        <f t="shared" si="14"/>
        <v>-0.23070018714138063</v>
      </c>
      <c r="J31" s="15">
        <f t="shared" si="14"/>
        <v>-0.38075029276007655</v>
      </c>
      <c r="K31" s="15">
        <f t="shared" si="14"/>
        <v>-0.25508102097929236</v>
      </c>
      <c r="L31" s="15">
        <f t="shared" si="14"/>
        <v>7.4520171440564706E-2</v>
      </c>
      <c r="M31" s="15">
        <f t="shared" si="14"/>
        <v>-0.22145362166837648</v>
      </c>
      <c r="N31" s="15">
        <f t="shared" si="14"/>
        <v>-0.38096803373884747</v>
      </c>
      <c r="O31" s="15">
        <f t="shared" si="14"/>
        <v>4.6053299441272177E-2</v>
      </c>
      <c r="P31" s="15">
        <f t="shared" si="14"/>
        <v>7.2329486927997497E-2</v>
      </c>
      <c r="Q31" s="13">
        <f t="shared" si="14"/>
        <v>-2.4503837493083415E-2</v>
      </c>
    </row>
    <row r="32" spans="1:17" s="4" customFormat="1" ht="20.100000000000001" customHeight="1" x14ac:dyDescent="0.3">
      <c r="A32" s="7" t="s">
        <v>30</v>
      </c>
      <c r="B32" s="16">
        <f>(((B30/B6)^(1/8))-1)</f>
        <v>2.1404651720593248E-2</v>
      </c>
      <c r="C32" s="16">
        <f t="shared" ref="C32:Q32" si="15">(((C30/C6)^(1/8))-1)</f>
        <v>3.8083873008570635E-2</v>
      </c>
      <c r="D32" s="16">
        <f t="shared" si="15"/>
        <v>5.0737551903244027E-2</v>
      </c>
      <c r="E32" s="16">
        <f t="shared" si="15"/>
        <v>0.10972280457390826</v>
      </c>
      <c r="F32" s="16">
        <f t="shared" si="15"/>
        <v>0.10025830825498705</v>
      </c>
      <c r="G32" s="16">
        <f t="shared" si="15"/>
        <v>4.5609978001753593E-2</v>
      </c>
      <c r="H32" s="14">
        <f t="shared" si="15"/>
        <v>5.2264545483461156E-2</v>
      </c>
      <c r="I32" s="16">
        <f t="shared" si="15"/>
        <v>-1.6318387950105873E-2</v>
      </c>
      <c r="J32" s="16">
        <f t="shared" si="15"/>
        <v>-8.4738580164744781E-2</v>
      </c>
      <c r="K32" s="16">
        <f t="shared" si="15"/>
        <v>-2.856168302226425E-2</v>
      </c>
      <c r="L32" s="16">
        <f t="shared" si="15"/>
        <v>0.10933542918959649</v>
      </c>
      <c r="M32" s="16">
        <f t="shared" si="15"/>
        <v>-7.024930558827136E-3</v>
      </c>
      <c r="N32" s="16">
        <f t="shared" si="15"/>
        <v>-8.5952996707393314E-2</v>
      </c>
      <c r="O32" s="16">
        <f t="shared" si="15"/>
        <v>9.5043054209164701E-2</v>
      </c>
      <c r="P32" s="16">
        <f t="shared" si="15"/>
        <v>5.0066983331656267E-2</v>
      </c>
      <c r="Q32" s="14">
        <f t="shared" si="15"/>
        <v>4.283162083128067E-2</v>
      </c>
    </row>
    <row r="33" spans="1:17" s="4" customFormat="1" ht="20.100000000000001" customHeight="1" x14ac:dyDescent="0.3">
      <c r="A33" s="5" t="s">
        <v>28</v>
      </c>
      <c r="B33" s="1">
        <v>138804</v>
      </c>
      <c r="C33" s="1">
        <v>257633.3</v>
      </c>
      <c r="D33" s="1">
        <v>140467.47999999998</v>
      </c>
      <c r="E33" s="1">
        <v>16167421</v>
      </c>
      <c r="F33" s="1">
        <v>15043.655123</v>
      </c>
      <c r="G33" s="1">
        <v>18776.783440000003</v>
      </c>
      <c r="H33" s="10">
        <v>80.118382208917879</v>
      </c>
      <c r="I33" s="2">
        <v>75727.349999999991</v>
      </c>
      <c r="J33" s="2">
        <v>10232.280999999999</v>
      </c>
      <c r="K33" s="2">
        <v>85959.630999999994</v>
      </c>
      <c r="L33" s="2">
        <v>1461.58906</v>
      </c>
      <c r="M33" s="2">
        <v>91.069140000000004</v>
      </c>
      <c r="N33" s="2">
        <v>9.9227501000000018</v>
      </c>
      <c r="O33" s="2">
        <v>1562.5809501000003</v>
      </c>
      <c r="P33" s="2">
        <v>2119.1230499999997</v>
      </c>
      <c r="Q33" s="10">
        <v>73.737150379257145</v>
      </c>
    </row>
    <row r="34" spans="1:17" s="4" customFormat="1" ht="20.100000000000001" customHeight="1" x14ac:dyDescent="0.3">
      <c r="A34" s="6" t="s">
        <v>32</v>
      </c>
      <c r="B34" s="15">
        <f>(B33-B30)/B30</f>
        <v>0.11984767928744887</v>
      </c>
      <c r="C34" s="15">
        <f t="shared" ref="C34:Q34" si="16">(C33-C30)/C30</f>
        <v>0.1500254437024604</v>
      </c>
      <c r="D34" s="15">
        <f t="shared" si="16"/>
        <v>0.13806507479993338</v>
      </c>
      <c r="E34" s="15">
        <f t="shared" si="16"/>
        <v>0.11726884878211399</v>
      </c>
      <c r="F34" s="15">
        <f t="shared" si="16"/>
        <v>0.11697732186984296</v>
      </c>
      <c r="G34" s="15">
        <f t="shared" si="16"/>
        <v>9.8621613476567171E-2</v>
      </c>
      <c r="H34" s="13">
        <f t="shared" si="16"/>
        <v>1.6707943998288455E-2</v>
      </c>
      <c r="I34" s="15">
        <f t="shared" si="16"/>
        <v>0.17507071541547164</v>
      </c>
      <c r="J34" s="15">
        <f t="shared" si="16"/>
        <v>1.6702900782776201E-2</v>
      </c>
      <c r="K34" s="15">
        <f t="shared" si="16"/>
        <v>0.1536794762412271</v>
      </c>
      <c r="L34" s="15">
        <f t="shared" si="16"/>
        <v>0.18017429292589296</v>
      </c>
      <c r="M34" s="15">
        <f t="shared" si="16"/>
        <v>0.19145332512421601</v>
      </c>
      <c r="N34" s="15">
        <f t="shared" si="16"/>
        <v>2.9105672928435907E-2</v>
      </c>
      <c r="O34" s="15">
        <f t="shared" si="16"/>
        <v>0.17972545152869868</v>
      </c>
      <c r="P34" s="15">
        <f t="shared" si="16"/>
        <v>0.10565207460590427</v>
      </c>
      <c r="Q34" s="13">
        <f t="shared" si="16"/>
        <v>6.6995195526763557E-2</v>
      </c>
    </row>
    <row r="35" spans="1:17" s="4" customFormat="1" ht="20.100000000000001" customHeight="1" x14ac:dyDescent="0.3">
      <c r="A35" s="7" t="s">
        <v>30</v>
      </c>
      <c r="B35" s="16">
        <f>(((B33/B6)^(1/9))-1)</f>
        <v>3.190081669298106E-2</v>
      </c>
      <c r="C35" s="16">
        <f t="shared" ref="C35:Q35" si="17">(((C33/C6)^(1/9))-1)</f>
        <v>4.996328115079951E-2</v>
      </c>
      <c r="D35" s="16">
        <f t="shared" si="17"/>
        <v>6.0099895355705701E-2</v>
      </c>
      <c r="E35" s="16">
        <f t="shared" si="17"/>
        <v>0.1105587307698801</v>
      </c>
      <c r="F35" s="16">
        <f t="shared" si="17"/>
        <v>0.10210354927192467</v>
      </c>
      <c r="G35" s="16">
        <f t="shared" si="17"/>
        <v>5.1371523777389294E-2</v>
      </c>
      <c r="H35" s="14">
        <f t="shared" si="17"/>
        <v>4.8253185812246802E-2</v>
      </c>
      <c r="I35" s="16">
        <f t="shared" si="17"/>
        <v>3.3059342412353754E-3</v>
      </c>
      <c r="J35" s="16">
        <f t="shared" si="17"/>
        <v>-7.3986630288910504E-2</v>
      </c>
      <c r="K35" s="16">
        <f t="shared" si="17"/>
        <v>-9.8251545177066024E-3</v>
      </c>
      <c r="L35" s="16">
        <f t="shared" si="17"/>
        <v>0.1169916152482029</v>
      </c>
      <c r="M35" s="16">
        <f t="shared" si="17"/>
        <v>1.3284810509601064E-2</v>
      </c>
      <c r="N35" s="16">
        <f t="shared" si="17"/>
        <v>-7.3831938185224932E-2</v>
      </c>
      <c r="O35" s="16">
        <f t="shared" si="17"/>
        <v>0.10414373344607619</v>
      </c>
      <c r="P35" s="16">
        <f t="shared" si="17"/>
        <v>5.6102466586123834E-2</v>
      </c>
      <c r="Q35" s="14">
        <f t="shared" si="17"/>
        <v>4.5489209977178424E-2</v>
      </c>
    </row>
    <row r="36" spans="1:17" s="4" customFormat="1" ht="20.100000000000001" customHeight="1" x14ac:dyDescent="0.3">
      <c r="A36" s="9" t="s">
        <v>33</v>
      </c>
      <c r="B36" s="1">
        <v>151166</v>
      </c>
      <c r="C36" s="1">
        <v>278153.0197</v>
      </c>
      <c r="D36" s="1">
        <v>154991.97700000001</v>
      </c>
      <c r="E36" s="1">
        <v>17270793</v>
      </c>
      <c r="F36" s="1">
        <v>15959.307127</v>
      </c>
      <c r="G36" s="1">
        <v>19916.717457000002</v>
      </c>
      <c r="H36" s="10">
        <v>80.130208009708369</v>
      </c>
      <c r="I36" s="17">
        <v>73554.079700000002</v>
      </c>
      <c r="J36" s="2">
        <v>8777.3349999999991</v>
      </c>
      <c r="K36" s="2">
        <v>82331.414700000008</v>
      </c>
      <c r="L36" s="2">
        <v>1558.043200133</v>
      </c>
      <c r="M36" s="2">
        <v>85.222749143000001</v>
      </c>
      <c r="N36" s="2">
        <v>8.8528913659999997</v>
      </c>
      <c r="O36" s="2">
        <v>1652.1184300420002</v>
      </c>
      <c r="P36" s="2">
        <v>2177.3133048260001</v>
      </c>
      <c r="Q36" s="10">
        <v>75.878764272467862</v>
      </c>
    </row>
    <row r="37" spans="1:17" s="4" customFormat="1" ht="20.100000000000001" customHeight="1" x14ac:dyDescent="0.3">
      <c r="A37" s="6" t="s">
        <v>29</v>
      </c>
      <c r="B37" s="15">
        <f>(B36-B33)/B33</f>
        <v>8.9060833981729634E-2</v>
      </c>
      <c r="C37" s="15">
        <f t="shared" ref="C37:Q37" si="18">(C36-C33)/C33</f>
        <v>7.9647000989390801E-2</v>
      </c>
      <c r="D37" s="15">
        <f t="shared" si="18"/>
        <v>0.10340113597823521</v>
      </c>
      <c r="E37" s="15">
        <f t="shared" si="18"/>
        <v>6.8246630059302593E-2</v>
      </c>
      <c r="F37" s="15">
        <f t="shared" si="18"/>
        <v>6.086632513929903E-2</v>
      </c>
      <c r="G37" s="15">
        <f t="shared" si="18"/>
        <v>6.0709760041840234E-2</v>
      </c>
      <c r="H37" s="13">
        <f t="shared" si="18"/>
        <v>1.476040886553695E-4</v>
      </c>
      <c r="I37" s="15">
        <f t="shared" si="18"/>
        <v>-2.8698618134663231E-2</v>
      </c>
      <c r="J37" s="15">
        <f t="shared" si="18"/>
        <v>-0.1421917556798919</v>
      </c>
      <c r="K37" s="15">
        <f t="shared" si="18"/>
        <v>-4.2208374533389818E-2</v>
      </c>
      <c r="L37" s="15">
        <f t="shared" si="18"/>
        <v>6.5992653320078906E-2</v>
      </c>
      <c r="M37" s="15">
        <f t="shared" si="18"/>
        <v>-6.4197277551978668E-2</v>
      </c>
      <c r="N37" s="15">
        <f t="shared" si="18"/>
        <v>-0.10781877233812448</v>
      </c>
      <c r="O37" s="15">
        <f t="shared" si="18"/>
        <v>5.7301018508045788E-2</v>
      </c>
      <c r="P37" s="15">
        <f t="shared" si="18"/>
        <v>2.7459592224245998E-2</v>
      </c>
      <c r="Q37" s="13">
        <f t="shared" si="18"/>
        <v>2.9043892830081085E-2</v>
      </c>
    </row>
    <row r="38" spans="1:17" s="4" customFormat="1" ht="20.100000000000001" customHeight="1" x14ac:dyDescent="0.3">
      <c r="A38" s="7" t="s">
        <v>30</v>
      </c>
      <c r="B38" s="16">
        <f>(((B36/B6)^(1/10))-1)</f>
        <v>3.7479142794298648E-2</v>
      </c>
      <c r="C38" s="16">
        <f t="shared" ref="C38:Q38" si="19">(((C36/C6)^(1/10))-1)</f>
        <v>5.2894551993167616E-2</v>
      </c>
      <c r="D38" s="16">
        <f t="shared" si="19"/>
        <v>6.4352427857728323E-2</v>
      </c>
      <c r="E38" s="16">
        <f t="shared" si="19"/>
        <v>0.10625317661369849</v>
      </c>
      <c r="F38" s="16">
        <f t="shared" si="19"/>
        <v>9.7908702007847292E-2</v>
      </c>
      <c r="G38" s="16">
        <f t="shared" si="19"/>
        <v>5.2301635883680531E-2</v>
      </c>
      <c r="H38" s="14">
        <f t="shared" si="19"/>
        <v>4.3340297657018967E-2</v>
      </c>
      <c r="I38" s="16">
        <f t="shared" si="19"/>
        <v>5.8587617504102241E-5</v>
      </c>
      <c r="J38" s="16">
        <f t="shared" si="19"/>
        <v>-8.1044348623850571E-2</v>
      </c>
      <c r="K38" s="16">
        <f t="shared" si="19"/>
        <v>-1.3112146218967946E-2</v>
      </c>
      <c r="L38" s="16">
        <f t="shared" si="19"/>
        <v>0.11178380348538508</v>
      </c>
      <c r="M38" s="16">
        <f t="shared" si="19"/>
        <v>5.2563141815791248E-3</v>
      </c>
      <c r="N38" s="16">
        <f t="shared" si="19"/>
        <v>-7.7288085107706683E-2</v>
      </c>
      <c r="O38" s="16">
        <f t="shared" si="19"/>
        <v>9.9367555216380188E-2</v>
      </c>
      <c r="P38" s="16">
        <f t="shared" si="19"/>
        <v>5.3202609187295691E-2</v>
      </c>
      <c r="Q38" s="14">
        <f t="shared" si="19"/>
        <v>4.3832920300783895E-2</v>
      </c>
    </row>
    <row r="39" spans="1:17" ht="20.100000000000001" customHeight="1" x14ac:dyDescent="0.3">
      <c r="A39" s="22" t="s">
        <v>38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25.5" customHeight="1" x14ac:dyDescent="0.3">
      <c r="A40" s="18" t="s">
        <v>34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2020-06-11T11:04:18Z</cp:lastPrinted>
  <dcterms:created xsi:type="dcterms:W3CDTF">2018-10-29T04:00:14Z</dcterms:created>
  <dcterms:modified xsi:type="dcterms:W3CDTF">2020-06-11T11:10:44Z</dcterms:modified>
</cp:coreProperties>
</file>