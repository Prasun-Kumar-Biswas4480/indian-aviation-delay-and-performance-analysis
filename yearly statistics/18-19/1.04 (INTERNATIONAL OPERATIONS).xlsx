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Yearly Report (2018-19)\INTERNATIONAL OPERATIONS\"/>
    </mc:Choice>
  </mc:AlternateContent>
  <bookViews>
    <workbookView xWindow="0" yWindow="0" windowWidth="19200" windowHeight="7224"/>
  </bookViews>
  <sheets>
    <sheet name="Table 1" sheetId="1" r:id="rId1"/>
  </sheets>
  <calcPr calcId="152511"/>
</workbook>
</file>

<file path=xl/calcChain.xml><?xml version="1.0" encoding="utf-8"?>
<calcChain xmlns="http://schemas.openxmlformats.org/spreadsheetml/2006/main">
  <c r="J7" i="1" l="1"/>
  <c r="J8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J25" i="1"/>
  <c r="J26" i="1"/>
  <c r="J27" i="1"/>
  <c r="J28" i="1"/>
  <c r="J29" i="1"/>
  <c r="J30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1" i="1"/>
  <c r="J52" i="1"/>
  <c r="J53" i="1"/>
  <c r="J54" i="1"/>
  <c r="J55" i="1"/>
  <c r="J56" i="1"/>
  <c r="J57" i="1"/>
  <c r="J58" i="1"/>
  <c r="J59" i="1"/>
  <c r="J61" i="1"/>
  <c r="J62" i="1"/>
  <c r="J63" i="1"/>
  <c r="J64" i="1"/>
  <c r="J66" i="1"/>
  <c r="J67" i="1"/>
  <c r="J6" i="1"/>
  <c r="C67" i="1"/>
</calcChain>
</file>

<file path=xl/sharedStrings.xml><?xml version="1.0" encoding="utf-8"?>
<sst xmlns="http://schemas.openxmlformats.org/spreadsheetml/2006/main" count="137" uniqueCount="86">
  <si>
    <t>TABLE - 1.04 (INTERNATIONAL OPERATIONS)</t>
  </si>
  <si>
    <t>COUNTRY WISE SCHEDULED INTERNATIONAL FREIGHT CARRIED BY  ALL SCHEDULED DOMESTIC AND FOREIGN AIRLINES FOR THE LAST SEVEN YEARS</t>
  </si>
  <si>
    <t>COUNTRY</t>
  </si>
  <si>
    <t>FREIGHT (IN TONNES)</t>
  </si>
  <si>
    <t>PERCENTAGE VARIATION</t>
  </si>
  <si>
    <t>2017-18</t>
  </si>
  <si>
    <t>2016-17</t>
  </si>
  <si>
    <t>2015-16</t>
  </si>
  <si>
    <t>2014-15</t>
  </si>
  <si>
    <t>2013-14</t>
  </si>
  <si>
    <t>2012-13</t>
  </si>
  <si>
    <t>AFGHANISTAN</t>
  </si>
  <si>
    <t>AUSTRALIA</t>
  </si>
  <si>
    <t>-</t>
  </si>
  <si>
    <t>AUSTRIA</t>
  </si>
  <si>
    <t>AZERBAIJAN</t>
  </si>
  <si>
    <t>BAHRAIN</t>
  </si>
  <si>
    <t>BANGLADESH</t>
  </si>
  <si>
    <t>BELGIUM</t>
  </si>
  <si>
    <t>BHUTAN</t>
  </si>
  <si>
    <t>BURMA</t>
  </si>
  <si>
    <t>CANADA</t>
  </si>
  <si>
    <t>CHINA</t>
  </si>
  <si>
    <t>DENMARK</t>
  </si>
  <si>
    <t>EGYPT</t>
  </si>
  <si>
    <t>ETHIOPIA</t>
  </si>
  <si>
    <t>FINLAND</t>
  </si>
  <si>
    <t>FRANCE</t>
  </si>
  <si>
    <t>GEORGIA</t>
  </si>
  <si>
    <t>GERMANY</t>
  </si>
  <si>
    <t>GREECE</t>
  </si>
  <si>
    <t>HONG KONG</t>
  </si>
  <si>
    <t>INDONESIA</t>
  </si>
  <si>
    <t>IRAN</t>
  </si>
  <si>
    <t>ISRAEL</t>
  </si>
  <si>
    <t>ITALY</t>
  </si>
  <si>
    <t>JAPAN</t>
  </si>
  <si>
    <t>JORDAN</t>
  </si>
  <si>
    <t>KAZAKHSTAN</t>
  </si>
  <si>
    <t>KENYA</t>
  </si>
  <si>
    <t>KOREA</t>
  </si>
  <si>
    <t>KUWAIT</t>
  </si>
  <si>
    <t>KYRGYZSTAN</t>
  </si>
  <si>
    <t>MALAYSIA</t>
  </si>
  <si>
    <t>MALDIVES</t>
  </si>
  <si>
    <t>MAURITIUS</t>
  </si>
  <si>
    <t>NEPAL</t>
  </si>
  <si>
    <t>NETHERLANDS</t>
  </si>
  <si>
    <t>OMAN</t>
  </si>
  <si>
    <t>PAKISTAN</t>
  </si>
  <si>
    <t>QATAR</t>
  </si>
  <si>
    <t>REUNION</t>
  </si>
  <si>
    <t>RUSSIA</t>
  </si>
  <si>
    <t>SAUDI ARABIA</t>
  </si>
  <si>
    <t>SEYCHELLES</t>
  </si>
  <si>
    <t>SINGAPORE</t>
  </si>
  <si>
    <t>SOUTH AFRICA</t>
  </si>
  <si>
    <t>SPAIN</t>
  </si>
  <si>
    <t>SRI LANKA</t>
  </si>
  <si>
    <t>SWEDEN</t>
  </si>
  <si>
    <t>SWITZERLAND</t>
  </si>
  <si>
    <t>TAIWAN</t>
  </si>
  <si>
    <t>TAJIKISTAN</t>
  </si>
  <si>
    <t>THAILAND</t>
  </si>
  <si>
    <t>TURKEY</t>
  </si>
  <si>
    <t>TURKMENISTAN</t>
  </si>
  <si>
    <t>UKRAINE</t>
  </si>
  <si>
    <t>UNITED ARAB EMIRATES</t>
  </si>
  <si>
    <t>UNITED KINGDOM</t>
  </si>
  <si>
    <t>UNITED STATES</t>
  </si>
  <si>
    <t>UZBEKISTAN</t>
  </si>
  <si>
    <t>VIETNAM</t>
  </si>
  <si>
    <t>YEMEN</t>
  </si>
  <si>
    <t>GRAND TOTAL</t>
  </si>
  <si>
    <t>*UNITED ARAB EMIRATES includes Ajman, Dubai, Fujairah, Ras al-Khaimah, Sharjah, Umm al-Quwain.</t>
  </si>
  <si>
    <t>SOURCE :- MONTHLY TRAFFIC STATISTICS FURNISHED BY ALL SCHEDULED DOMESTIC AND FOREIGN  AIRLINES.</t>
  </si>
  <si>
    <r>
      <rPr>
        <b/>
        <sz val="11"/>
        <rFont val="Calibri"/>
        <family val="2"/>
        <scheme val="minor"/>
      </rPr>
      <t>Sl.
No.</t>
    </r>
  </si>
  <si>
    <r>
      <rPr>
        <b/>
        <sz val="11"/>
        <rFont val="Calibri"/>
        <family val="2"/>
        <scheme val="minor"/>
      </rPr>
      <t>2017-18
OVER 2016-17</t>
    </r>
  </si>
  <si>
    <r>
      <rPr>
        <b/>
        <sz val="11"/>
        <rFont val="Calibri"/>
        <family val="2"/>
        <scheme val="minor"/>
      </rPr>
      <t>2016-17
OVER 2015-16</t>
    </r>
  </si>
  <si>
    <r>
      <rPr>
        <b/>
        <sz val="11"/>
        <rFont val="Calibri"/>
        <family val="2"/>
        <scheme val="minor"/>
      </rPr>
      <t>2015-16
OVER 2014-15</t>
    </r>
  </si>
  <si>
    <r>
      <rPr>
        <b/>
        <sz val="11"/>
        <rFont val="Calibri"/>
        <family val="2"/>
        <scheme val="minor"/>
      </rPr>
      <t>2014-15
OVER 2013-14</t>
    </r>
  </si>
  <si>
    <r>
      <rPr>
        <b/>
        <sz val="11"/>
        <rFont val="Calibri"/>
        <family val="2"/>
        <scheme val="minor"/>
      </rPr>
      <t>2013-14
OVER 2012-13</t>
    </r>
  </si>
  <si>
    <t>2018-19</t>
  </si>
  <si>
    <t>2018-19 OVER 2017-18</t>
  </si>
  <si>
    <t>सारणी 1.04 (अन्तर्राष्ट्रीय प्रचालन)</t>
  </si>
  <si>
    <t xml:space="preserve">NOTE:  THIS TABLE DOES NOT INCLUDE PASSENGERS AND FREIGHT CARRIED BY ALL SCHEDULED DOMESTIC AIRLINES ENTIRELY OUTSIDE THE INDIAN TERRITORY.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</si>
</sst>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8" x14ac:knownFonts="1">
    <font>
      <sz val="10"/>
      <color rgb="FF000000"/>
      <name val="Times New Roman"/>
      <charset val="204"/>
    </font>
    <font>
      <sz val="9.5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09FC6"/>
      </patternFill>
    </fill>
    <fill>
      <patternFill patternType="solid">
        <fgColor rgb="FFF9BE8F"/>
      </patternFill>
    </fill>
    <fill>
      <patternFill patternType="solid">
        <fgColor rgb="FF92D05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ill="1" applyBorder="1" applyAlignment="1">
      <alignment horizontal="left" vertical="top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3" fillId="0" borderId="19" xfId="0" applyFont="1" applyFill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 wrapText="1"/>
    </xf>
    <xf numFmtId="0" fontId="3" fillId="0" borderId="21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1" fontId="4" fillId="0" borderId="17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right" vertical="center" shrinkToFit="1"/>
    </xf>
    <xf numFmtId="165" fontId="6" fillId="0" borderId="1" xfId="0" applyNumberFormat="1" applyFont="1" applyFill="1" applyBorder="1" applyAlignment="1">
      <alignment horizontal="right" vertical="center" shrinkToFit="1"/>
    </xf>
    <xf numFmtId="165" fontId="6" fillId="0" borderId="18" xfId="0" applyNumberFormat="1" applyFont="1" applyFill="1" applyBorder="1" applyAlignment="1">
      <alignment horizontal="right" vertical="center" shrinkToFit="1"/>
    </xf>
    <xf numFmtId="0" fontId="7" fillId="0" borderId="18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left" vertical="center"/>
    </xf>
    <xf numFmtId="0" fontId="7" fillId="0" borderId="1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 shrinkToFit="1"/>
    </xf>
    <xf numFmtId="165" fontId="4" fillId="4" borderId="1" xfId="0" applyNumberFormat="1" applyFont="1" applyFill="1" applyBorder="1" applyAlignment="1">
      <alignment horizontal="right" vertical="center" shrinkToFit="1"/>
    </xf>
    <xf numFmtId="165" fontId="4" fillId="4" borderId="18" xfId="0" applyNumberFormat="1" applyFont="1" applyFill="1" applyBorder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tabSelected="1" topLeftCell="B58" workbookViewId="0">
      <selection activeCell="D73" sqref="D73"/>
    </sheetView>
  </sheetViews>
  <sheetFormatPr defaultRowHeight="13.2" x14ac:dyDescent="0.25"/>
  <cols>
    <col min="1" max="1" width="6.5546875" style="14" customWidth="1"/>
    <col min="2" max="2" width="24.44140625" style="18" customWidth="1"/>
    <col min="3" max="9" width="11.5546875" style="18" bestFit="1" customWidth="1"/>
    <col min="10" max="15" width="11.33203125" style="18" customWidth="1"/>
    <col min="16" max="16" width="10.33203125" style="18" customWidth="1"/>
    <col min="17" max="16384" width="8.88671875" style="18"/>
  </cols>
  <sheetData>
    <row r="1" spans="1:15" ht="22.5" customHeight="1" x14ac:dyDescent="0.25">
      <c r="A1" s="15" t="s">
        <v>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</row>
    <row r="2" spans="1:15" ht="19.5" customHeight="1" x14ac:dyDescent="0.25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1:15" ht="21.75" customHeight="1" x14ac:dyDescent="0.25">
      <c r="A3" s="22" t="s">
        <v>1</v>
      </c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5"/>
    </row>
    <row r="4" spans="1:15" ht="21" customHeight="1" x14ac:dyDescent="0.25">
      <c r="A4" s="12" t="s">
        <v>76</v>
      </c>
      <c r="B4" s="29" t="s">
        <v>2</v>
      </c>
      <c r="C4" s="2" t="s">
        <v>3</v>
      </c>
      <c r="D4" s="2"/>
      <c r="E4" s="2"/>
      <c r="F4" s="2"/>
      <c r="G4" s="2"/>
      <c r="H4" s="2"/>
      <c r="I4" s="2"/>
      <c r="J4" s="2" t="s">
        <v>4</v>
      </c>
      <c r="K4" s="2"/>
      <c r="L4" s="2"/>
      <c r="M4" s="2"/>
      <c r="N4" s="2"/>
      <c r="O4" s="2"/>
    </row>
    <row r="5" spans="1:15" s="14" customFormat="1" ht="67.8" customHeight="1" x14ac:dyDescent="0.25">
      <c r="A5" s="13"/>
      <c r="B5" s="30"/>
      <c r="C5" s="1" t="s">
        <v>82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83</v>
      </c>
      <c r="K5" s="26" t="s">
        <v>77</v>
      </c>
      <c r="L5" s="26" t="s">
        <v>78</v>
      </c>
      <c r="M5" s="26" t="s">
        <v>79</v>
      </c>
      <c r="N5" s="26" t="s">
        <v>80</v>
      </c>
      <c r="O5" s="27" t="s">
        <v>81</v>
      </c>
    </row>
    <row r="6" spans="1:15" ht="18" customHeight="1" x14ac:dyDescent="0.25">
      <c r="A6" s="31">
        <v>1</v>
      </c>
      <c r="B6" s="32" t="s">
        <v>11</v>
      </c>
      <c r="C6" s="33">
        <v>6534.3279127349997</v>
      </c>
      <c r="D6" s="33">
        <v>4797.1000000000004</v>
      </c>
      <c r="E6" s="33">
        <v>6321.3</v>
      </c>
      <c r="F6" s="33">
        <v>3920.5</v>
      </c>
      <c r="G6" s="33">
        <v>3256.7</v>
      </c>
      <c r="H6" s="33">
        <v>3799.1</v>
      </c>
      <c r="I6" s="33">
        <v>3318.8</v>
      </c>
      <c r="J6" s="33">
        <f>(C6-D6)/D6*100</f>
        <v>36.214127550707701</v>
      </c>
      <c r="K6" s="34">
        <v>-24.1</v>
      </c>
      <c r="L6" s="34">
        <v>61.2</v>
      </c>
      <c r="M6" s="34">
        <v>20.399999999999999</v>
      </c>
      <c r="N6" s="34">
        <v>-14.3</v>
      </c>
      <c r="O6" s="35">
        <v>14.5</v>
      </c>
    </row>
    <row r="7" spans="1:15" ht="18" customHeight="1" x14ac:dyDescent="0.25">
      <c r="A7" s="31">
        <v>2</v>
      </c>
      <c r="B7" s="32" t="s">
        <v>12</v>
      </c>
      <c r="C7" s="33">
        <v>3100.4738000000002</v>
      </c>
      <c r="D7" s="33">
        <v>2536.6</v>
      </c>
      <c r="E7" s="33">
        <v>1448</v>
      </c>
      <c r="F7" s="33">
        <v>2070.1</v>
      </c>
      <c r="G7" s="33">
        <v>2020.1</v>
      </c>
      <c r="H7" s="33">
        <v>1179.5999999999999</v>
      </c>
      <c r="I7" s="34">
        <v>0</v>
      </c>
      <c r="J7" s="33">
        <f t="shared" ref="J7:J67" si="0">(C7-D7)/D7*100</f>
        <v>22.229511945123406</v>
      </c>
      <c r="K7" s="34">
        <v>75.2</v>
      </c>
      <c r="L7" s="34">
        <v>-30.1</v>
      </c>
      <c r="M7" s="34">
        <v>2.5</v>
      </c>
      <c r="N7" s="34">
        <v>71.2</v>
      </c>
      <c r="O7" s="36" t="s">
        <v>13</v>
      </c>
    </row>
    <row r="8" spans="1:15" ht="18" customHeight="1" x14ac:dyDescent="0.25">
      <c r="A8" s="31">
        <v>3</v>
      </c>
      <c r="B8" s="32" t="s">
        <v>14</v>
      </c>
      <c r="C8" s="33">
        <v>1660.1471999999999</v>
      </c>
      <c r="D8" s="33">
        <v>1599</v>
      </c>
      <c r="E8" s="34">
        <v>980.1</v>
      </c>
      <c r="F8" s="33">
        <v>4528.3999999999996</v>
      </c>
      <c r="G8" s="33">
        <v>5163.6000000000004</v>
      </c>
      <c r="H8" s="33">
        <v>3645.8</v>
      </c>
      <c r="I8" s="33">
        <v>3455.2</v>
      </c>
      <c r="J8" s="33">
        <f t="shared" si="0"/>
        <v>3.8240900562851712</v>
      </c>
      <c r="K8" s="34">
        <v>63.1</v>
      </c>
      <c r="L8" s="34">
        <v>-78.400000000000006</v>
      </c>
      <c r="M8" s="34">
        <v>-12.3</v>
      </c>
      <c r="N8" s="34">
        <v>41.6</v>
      </c>
      <c r="O8" s="35">
        <v>5.5</v>
      </c>
    </row>
    <row r="9" spans="1:15" ht="18" customHeight="1" x14ac:dyDescent="0.25">
      <c r="A9" s="31">
        <v>4</v>
      </c>
      <c r="B9" s="32" t="s">
        <v>15</v>
      </c>
      <c r="C9" s="33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3">
        <v>0</v>
      </c>
      <c r="K9" s="37" t="s">
        <v>13</v>
      </c>
      <c r="L9" s="38" t="s">
        <v>13</v>
      </c>
      <c r="M9" s="38" t="s">
        <v>13</v>
      </c>
      <c r="N9" s="38" t="s">
        <v>13</v>
      </c>
      <c r="O9" s="36" t="s">
        <v>13</v>
      </c>
    </row>
    <row r="10" spans="1:15" ht="18" customHeight="1" x14ac:dyDescent="0.25">
      <c r="A10" s="31">
        <v>5</v>
      </c>
      <c r="B10" s="32" t="s">
        <v>16</v>
      </c>
      <c r="C10" s="33">
        <v>15333.212599999999</v>
      </c>
      <c r="D10" s="33">
        <v>10715.2</v>
      </c>
      <c r="E10" s="33">
        <v>10122.1</v>
      </c>
      <c r="F10" s="33">
        <v>10331.299999999999</v>
      </c>
      <c r="G10" s="33">
        <v>10299.1</v>
      </c>
      <c r="H10" s="33">
        <v>9081.9</v>
      </c>
      <c r="I10" s="33">
        <v>10913.6</v>
      </c>
      <c r="J10" s="33">
        <f t="shared" si="0"/>
        <v>43.097773256682075</v>
      </c>
      <c r="K10" s="34">
        <v>5.9</v>
      </c>
      <c r="L10" s="34">
        <v>-2</v>
      </c>
      <c r="M10" s="34">
        <v>0.3</v>
      </c>
      <c r="N10" s="34">
        <v>13.4</v>
      </c>
      <c r="O10" s="35">
        <v>-16.8</v>
      </c>
    </row>
    <row r="11" spans="1:15" ht="18" customHeight="1" x14ac:dyDescent="0.25">
      <c r="A11" s="31">
        <v>6</v>
      </c>
      <c r="B11" s="32" t="s">
        <v>17</v>
      </c>
      <c r="C11" s="33">
        <v>9283.6609599999992</v>
      </c>
      <c r="D11" s="33">
        <v>6508.1</v>
      </c>
      <c r="E11" s="33">
        <v>6621.6</v>
      </c>
      <c r="F11" s="33">
        <v>6438.6</v>
      </c>
      <c r="G11" s="33">
        <v>7680.1</v>
      </c>
      <c r="H11" s="33">
        <v>6356.7</v>
      </c>
      <c r="I11" s="33">
        <v>6550.9</v>
      </c>
      <c r="J11" s="33">
        <f t="shared" si="0"/>
        <v>42.647792135953637</v>
      </c>
      <c r="K11" s="34">
        <v>-1.7</v>
      </c>
      <c r="L11" s="34">
        <v>2.8</v>
      </c>
      <c r="M11" s="34">
        <v>-16.2</v>
      </c>
      <c r="N11" s="34">
        <v>20.8</v>
      </c>
      <c r="O11" s="35">
        <v>-3</v>
      </c>
    </row>
    <row r="12" spans="1:15" ht="18" customHeight="1" x14ac:dyDescent="0.25">
      <c r="A12" s="31">
        <v>7</v>
      </c>
      <c r="B12" s="32" t="s">
        <v>18</v>
      </c>
      <c r="C12" s="33">
        <v>3852.6940000000004</v>
      </c>
      <c r="D12" s="33">
        <v>5979.7</v>
      </c>
      <c r="E12" s="34">
        <v>10.9</v>
      </c>
      <c r="F12" s="33">
        <v>9912.2999999999993</v>
      </c>
      <c r="G12" s="33">
        <v>12593.9</v>
      </c>
      <c r="H12" s="33">
        <v>12547.5</v>
      </c>
      <c r="I12" s="33">
        <v>17090</v>
      </c>
      <c r="J12" s="33">
        <f t="shared" si="0"/>
        <v>-35.570446677926974</v>
      </c>
      <c r="K12" s="33">
        <v>54659.4</v>
      </c>
      <c r="L12" s="34">
        <v>-99.9</v>
      </c>
      <c r="M12" s="34">
        <v>-21.3</v>
      </c>
      <c r="N12" s="34">
        <v>0.4</v>
      </c>
      <c r="O12" s="35">
        <v>-26.6</v>
      </c>
    </row>
    <row r="13" spans="1:15" ht="18" customHeight="1" x14ac:dyDescent="0.25">
      <c r="A13" s="31">
        <v>8</v>
      </c>
      <c r="B13" s="32" t="s">
        <v>19</v>
      </c>
      <c r="C13" s="33">
        <v>95.29</v>
      </c>
      <c r="D13" s="34">
        <v>97.9</v>
      </c>
      <c r="E13" s="34">
        <v>81.3</v>
      </c>
      <c r="F13" s="34">
        <v>72.8</v>
      </c>
      <c r="G13" s="34">
        <v>49.5</v>
      </c>
      <c r="H13" s="34">
        <v>56.3</v>
      </c>
      <c r="I13" s="34">
        <v>57.9</v>
      </c>
      <c r="J13" s="33">
        <f t="shared" si="0"/>
        <v>-2.665985699693564</v>
      </c>
      <c r="K13" s="34">
        <v>20.399999999999999</v>
      </c>
      <c r="L13" s="34">
        <v>11.6</v>
      </c>
      <c r="M13" s="34">
        <v>47.1</v>
      </c>
      <c r="N13" s="34">
        <v>-12.1</v>
      </c>
      <c r="O13" s="35">
        <v>-2.7</v>
      </c>
    </row>
    <row r="14" spans="1:15" ht="18" customHeight="1" x14ac:dyDescent="0.25">
      <c r="A14" s="31">
        <v>9</v>
      </c>
      <c r="B14" s="32" t="s">
        <v>20</v>
      </c>
      <c r="C14" s="33">
        <v>244.57049999999998</v>
      </c>
      <c r="D14" s="34">
        <v>254.5</v>
      </c>
      <c r="E14" s="34">
        <v>93.1</v>
      </c>
      <c r="F14" s="34">
        <v>76.7</v>
      </c>
      <c r="G14" s="34">
        <v>99.7</v>
      </c>
      <c r="H14" s="34">
        <v>31.9</v>
      </c>
      <c r="I14" s="34">
        <v>60</v>
      </c>
      <c r="J14" s="33">
        <f t="shared" si="0"/>
        <v>-3.9015717092337989</v>
      </c>
      <c r="K14" s="34">
        <v>173.3</v>
      </c>
      <c r="L14" s="34">
        <v>21.4</v>
      </c>
      <c r="M14" s="34">
        <v>-23.1</v>
      </c>
      <c r="N14" s="34">
        <v>212.4</v>
      </c>
      <c r="O14" s="35">
        <v>-46.8</v>
      </c>
    </row>
    <row r="15" spans="1:15" ht="18" customHeight="1" x14ac:dyDescent="0.25">
      <c r="A15" s="31">
        <v>10</v>
      </c>
      <c r="B15" s="32" t="s">
        <v>21</v>
      </c>
      <c r="C15" s="33">
        <v>6384.7891</v>
      </c>
      <c r="D15" s="33">
        <v>5313.7</v>
      </c>
      <c r="E15" s="33">
        <v>3353.7</v>
      </c>
      <c r="F15" s="33">
        <v>3395.6</v>
      </c>
      <c r="G15" s="34">
        <v>609.79999999999995</v>
      </c>
      <c r="H15" s="34">
        <v>461.3</v>
      </c>
      <c r="I15" s="34">
        <v>524.70000000000005</v>
      </c>
      <c r="J15" s="33">
        <f t="shared" si="0"/>
        <v>20.157124037864392</v>
      </c>
      <c r="K15" s="34">
        <v>58.4</v>
      </c>
      <c r="L15" s="34">
        <v>-1.2</v>
      </c>
      <c r="M15" s="34">
        <v>456.8</v>
      </c>
      <c r="N15" s="34">
        <v>32.200000000000003</v>
      </c>
      <c r="O15" s="35">
        <v>-12.1</v>
      </c>
    </row>
    <row r="16" spans="1:15" ht="18" customHeight="1" x14ac:dyDescent="0.25">
      <c r="A16" s="31">
        <v>11</v>
      </c>
      <c r="B16" s="32" t="s">
        <v>22</v>
      </c>
      <c r="C16" s="33">
        <v>41377.903300000005</v>
      </c>
      <c r="D16" s="33">
        <v>33552.800000000003</v>
      </c>
      <c r="E16" s="33">
        <v>24427.8</v>
      </c>
      <c r="F16" s="33">
        <v>22539</v>
      </c>
      <c r="G16" s="33">
        <v>32434.5</v>
      </c>
      <c r="H16" s="33">
        <v>31674.3</v>
      </c>
      <c r="I16" s="33">
        <v>31193.4</v>
      </c>
      <c r="J16" s="33">
        <f t="shared" si="0"/>
        <v>23.32175943587421</v>
      </c>
      <c r="K16" s="34">
        <v>37.4</v>
      </c>
      <c r="L16" s="34">
        <v>8.4</v>
      </c>
      <c r="M16" s="34">
        <v>-30.5</v>
      </c>
      <c r="N16" s="34">
        <v>2.4</v>
      </c>
      <c r="O16" s="35">
        <v>1.5</v>
      </c>
    </row>
    <row r="17" spans="1:15" ht="18" customHeight="1" x14ac:dyDescent="0.25">
      <c r="A17" s="31">
        <v>12</v>
      </c>
      <c r="B17" s="32" t="s">
        <v>23</v>
      </c>
      <c r="C17" s="33">
        <v>2397.4117999999999</v>
      </c>
      <c r="D17" s="34">
        <v>828.8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3">
        <f t="shared" si="0"/>
        <v>189.26300675675677</v>
      </c>
      <c r="K17" s="37" t="s">
        <v>13</v>
      </c>
      <c r="L17" s="38" t="s">
        <v>13</v>
      </c>
      <c r="M17" s="38" t="s">
        <v>13</v>
      </c>
      <c r="N17" s="38" t="s">
        <v>13</v>
      </c>
      <c r="O17" s="36" t="s">
        <v>13</v>
      </c>
    </row>
    <row r="18" spans="1:15" ht="18" customHeight="1" x14ac:dyDescent="0.25">
      <c r="A18" s="31">
        <v>13</v>
      </c>
      <c r="B18" s="32" t="s">
        <v>24</v>
      </c>
      <c r="C18" s="33">
        <v>814.904</v>
      </c>
      <c r="D18" s="33">
        <v>1047</v>
      </c>
      <c r="E18" s="34">
        <v>305.2</v>
      </c>
      <c r="F18" s="34">
        <v>201.5</v>
      </c>
      <c r="G18" s="34">
        <v>255</v>
      </c>
      <c r="H18" s="34">
        <v>213.5</v>
      </c>
      <c r="I18" s="34">
        <v>407.9</v>
      </c>
      <c r="J18" s="33">
        <f t="shared" si="0"/>
        <v>-22.167717287488063</v>
      </c>
      <c r="K18" s="34">
        <v>243.1</v>
      </c>
      <c r="L18" s="34">
        <v>51.5</v>
      </c>
      <c r="M18" s="34">
        <v>-21</v>
      </c>
      <c r="N18" s="34">
        <v>19.5</v>
      </c>
      <c r="O18" s="35">
        <v>-47.7</v>
      </c>
    </row>
    <row r="19" spans="1:15" ht="18" customHeight="1" x14ac:dyDescent="0.25">
      <c r="A19" s="31">
        <v>14</v>
      </c>
      <c r="B19" s="32" t="s">
        <v>25</v>
      </c>
      <c r="C19" s="33">
        <v>21065.929</v>
      </c>
      <c r="D19" s="33">
        <v>17685.599999999999</v>
      </c>
      <c r="E19" s="33">
        <v>9135.6</v>
      </c>
      <c r="F19" s="33">
        <v>4612</v>
      </c>
      <c r="G19" s="33">
        <v>11447.5</v>
      </c>
      <c r="H19" s="33">
        <v>1267.3</v>
      </c>
      <c r="I19" s="34">
        <v>327.7</v>
      </c>
      <c r="J19" s="33">
        <f t="shared" si="0"/>
        <v>19.113453883385365</v>
      </c>
      <c r="K19" s="34">
        <v>93.6</v>
      </c>
      <c r="L19" s="34">
        <v>98.1</v>
      </c>
      <c r="M19" s="34">
        <v>-59.7</v>
      </c>
      <c r="N19" s="34">
        <v>803.3</v>
      </c>
      <c r="O19" s="35">
        <v>286.7</v>
      </c>
    </row>
    <row r="20" spans="1:15" ht="18" customHeight="1" x14ac:dyDescent="0.25">
      <c r="A20" s="31">
        <v>15</v>
      </c>
      <c r="B20" s="32" t="s">
        <v>26</v>
      </c>
      <c r="C20" s="33">
        <v>5163.777</v>
      </c>
      <c r="D20" s="33">
        <v>4341.3999999999996</v>
      </c>
      <c r="E20" s="33">
        <v>4076.4</v>
      </c>
      <c r="F20" s="33">
        <v>4568.6000000000004</v>
      </c>
      <c r="G20" s="33">
        <v>4853.2</v>
      </c>
      <c r="H20" s="33">
        <v>5494.1</v>
      </c>
      <c r="I20" s="33">
        <v>6694.3</v>
      </c>
      <c r="J20" s="33">
        <f t="shared" si="0"/>
        <v>18.942668263693751</v>
      </c>
      <c r="K20" s="34">
        <v>6.5</v>
      </c>
      <c r="L20" s="34">
        <v>-10.8</v>
      </c>
      <c r="M20" s="34">
        <v>-5.9</v>
      </c>
      <c r="N20" s="34">
        <v>-11.7</v>
      </c>
      <c r="O20" s="35">
        <v>-17.899999999999999</v>
      </c>
    </row>
    <row r="21" spans="1:15" ht="18" customHeight="1" x14ac:dyDescent="0.25">
      <c r="A21" s="31">
        <v>16</v>
      </c>
      <c r="B21" s="32" t="s">
        <v>27</v>
      </c>
      <c r="C21" s="33">
        <v>49684.870900000002</v>
      </c>
      <c r="D21" s="33">
        <v>41360.1</v>
      </c>
      <c r="E21" s="33">
        <v>37140.400000000001</v>
      </c>
      <c r="F21" s="33">
        <v>37657.300000000003</v>
      </c>
      <c r="G21" s="33">
        <v>37252.800000000003</v>
      </c>
      <c r="H21" s="33">
        <v>41269.599999999999</v>
      </c>
      <c r="I21" s="33">
        <v>44709.2</v>
      </c>
      <c r="J21" s="33">
        <f t="shared" si="0"/>
        <v>20.12754055236811</v>
      </c>
      <c r="K21" s="34">
        <v>11.4</v>
      </c>
      <c r="L21" s="34">
        <v>-1.4</v>
      </c>
      <c r="M21" s="34">
        <v>1.1000000000000001</v>
      </c>
      <c r="N21" s="34">
        <v>-9.6999999999999993</v>
      </c>
      <c r="O21" s="35">
        <v>-7.7</v>
      </c>
    </row>
    <row r="22" spans="1:15" ht="18" customHeight="1" x14ac:dyDescent="0.25">
      <c r="A22" s="31">
        <v>17</v>
      </c>
      <c r="B22" s="32" t="s">
        <v>28</v>
      </c>
      <c r="C22" s="33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0.4</v>
      </c>
      <c r="I22" s="34">
        <v>6.2</v>
      </c>
      <c r="J22" s="33">
        <v>0</v>
      </c>
      <c r="K22" s="37" t="s">
        <v>13</v>
      </c>
      <c r="L22" s="38" t="s">
        <v>13</v>
      </c>
      <c r="M22" s="38" t="s">
        <v>13</v>
      </c>
      <c r="N22" s="34">
        <v>-100</v>
      </c>
      <c r="O22" s="35">
        <v>-92.9</v>
      </c>
    </row>
    <row r="23" spans="1:15" ht="18" customHeight="1" x14ac:dyDescent="0.25">
      <c r="A23" s="31">
        <v>18</v>
      </c>
      <c r="B23" s="32" t="s">
        <v>29</v>
      </c>
      <c r="C23" s="33">
        <v>136199.769</v>
      </c>
      <c r="D23" s="33">
        <v>122405.8</v>
      </c>
      <c r="E23" s="33">
        <v>109224.9</v>
      </c>
      <c r="F23" s="33">
        <v>103162.1</v>
      </c>
      <c r="G23" s="33">
        <v>107671.4</v>
      </c>
      <c r="H23" s="33">
        <v>112555.2</v>
      </c>
      <c r="I23" s="33">
        <v>114506.1</v>
      </c>
      <c r="J23" s="33">
        <f t="shared" si="0"/>
        <v>11.269048525478366</v>
      </c>
      <c r="K23" s="34">
        <v>12.1</v>
      </c>
      <c r="L23" s="34">
        <v>5.9</v>
      </c>
      <c r="M23" s="34">
        <v>-4.2</v>
      </c>
      <c r="N23" s="34">
        <v>-4.3</v>
      </c>
      <c r="O23" s="35">
        <v>-1.7</v>
      </c>
    </row>
    <row r="24" spans="1:15" ht="18" customHeight="1" x14ac:dyDescent="0.25">
      <c r="A24" s="31">
        <v>19</v>
      </c>
      <c r="B24" s="32" t="s">
        <v>30</v>
      </c>
      <c r="C24" s="33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416.1</v>
      </c>
      <c r="J24" s="33">
        <v>0</v>
      </c>
      <c r="K24" s="37" t="s">
        <v>13</v>
      </c>
      <c r="L24" s="38" t="s">
        <v>13</v>
      </c>
      <c r="M24" s="38" t="s">
        <v>13</v>
      </c>
      <c r="N24" s="38" t="s">
        <v>13</v>
      </c>
      <c r="O24" s="36" t="s">
        <v>13</v>
      </c>
    </row>
    <row r="25" spans="1:15" ht="18" customHeight="1" x14ac:dyDescent="0.25">
      <c r="A25" s="31">
        <v>20</v>
      </c>
      <c r="B25" s="32" t="s">
        <v>31</v>
      </c>
      <c r="C25" s="33">
        <v>188199.68182</v>
      </c>
      <c r="D25" s="33">
        <v>179862.9</v>
      </c>
      <c r="E25" s="33">
        <v>155941.6</v>
      </c>
      <c r="F25" s="33">
        <v>169373.6</v>
      </c>
      <c r="G25" s="33">
        <v>154526.70000000001</v>
      </c>
      <c r="H25" s="33">
        <v>135130.1</v>
      </c>
      <c r="I25" s="33">
        <v>129810.7</v>
      </c>
      <c r="J25" s="33">
        <f t="shared" si="0"/>
        <v>4.6350758383190778</v>
      </c>
      <c r="K25" s="34">
        <v>15.3</v>
      </c>
      <c r="L25" s="34">
        <v>-7.9</v>
      </c>
      <c r="M25" s="34">
        <v>9.6</v>
      </c>
      <c r="N25" s="34">
        <v>14.4</v>
      </c>
      <c r="O25" s="35">
        <v>4.0999999999999996</v>
      </c>
    </row>
    <row r="26" spans="1:15" ht="18" customHeight="1" x14ac:dyDescent="0.25">
      <c r="A26" s="31">
        <v>21</v>
      </c>
      <c r="B26" s="32" t="s">
        <v>32</v>
      </c>
      <c r="C26" s="33">
        <v>2307.2979999999998</v>
      </c>
      <c r="D26" s="34">
        <v>379.3</v>
      </c>
      <c r="E26" s="34">
        <v>94</v>
      </c>
      <c r="F26" s="34">
        <v>0</v>
      </c>
      <c r="G26" s="34">
        <v>0</v>
      </c>
      <c r="H26" s="34">
        <v>0</v>
      </c>
      <c r="I26" s="34">
        <v>0</v>
      </c>
      <c r="J26" s="33">
        <f t="shared" si="0"/>
        <v>508.30424466121798</v>
      </c>
      <c r="K26" s="34">
        <v>303.60000000000002</v>
      </c>
      <c r="L26" s="38" t="s">
        <v>13</v>
      </c>
      <c r="M26" s="38" t="s">
        <v>13</v>
      </c>
      <c r="N26" s="38" t="s">
        <v>13</v>
      </c>
      <c r="O26" s="36" t="s">
        <v>13</v>
      </c>
    </row>
    <row r="27" spans="1:15" ht="18" customHeight="1" x14ac:dyDescent="0.25">
      <c r="A27" s="31">
        <v>22</v>
      </c>
      <c r="B27" s="32" t="s">
        <v>33</v>
      </c>
      <c r="C27" s="33">
        <v>1964.2449999999999</v>
      </c>
      <c r="D27" s="33">
        <v>1358.2</v>
      </c>
      <c r="E27" s="33">
        <v>1204.7</v>
      </c>
      <c r="F27" s="33">
        <v>1444.8</v>
      </c>
      <c r="G27" s="33">
        <v>2513.9</v>
      </c>
      <c r="H27" s="33">
        <v>2281.6</v>
      </c>
      <c r="I27" s="33">
        <v>2198.3000000000002</v>
      </c>
      <c r="J27" s="33">
        <f t="shared" si="0"/>
        <v>44.621189810042686</v>
      </c>
      <c r="K27" s="34">
        <v>12.7</v>
      </c>
      <c r="L27" s="34">
        <v>-16.600000000000001</v>
      </c>
      <c r="M27" s="34">
        <v>-42.5</v>
      </c>
      <c r="N27" s="34">
        <v>10.199999999999999</v>
      </c>
      <c r="O27" s="35">
        <v>3.8</v>
      </c>
    </row>
    <row r="28" spans="1:15" ht="18" customHeight="1" x14ac:dyDescent="0.25">
      <c r="A28" s="31">
        <v>23</v>
      </c>
      <c r="B28" s="32" t="s">
        <v>34</v>
      </c>
      <c r="C28" s="33">
        <v>4906.2121999999999</v>
      </c>
      <c r="D28" s="33">
        <v>2306.4</v>
      </c>
      <c r="E28" s="33">
        <v>1984.7</v>
      </c>
      <c r="F28" s="33">
        <v>2006.2</v>
      </c>
      <c r="G28" s="33">
        <v>2194.6</v>
      </c>
      <c r="H28" s="33">
        <v>2033.9</v>
      </c>
      <c r="I28" s="33">
        <v>1810.1</v>
      </c>
      <c r="J28" s="33">
        <f t="shared" si="0"/>
        <v>112.7216527922303</v>
      </c>
      <c r="K28" s="34">
        <v>16.2</v>
      </c>
      <c r="L28" s="34">
        <v>-1.1000000000000001</v>
      </c>
      <c r="M28" s="34">
        <v>-8.6</v>
      </c>
      <c r="N28" s="34">
        <v>7.9</v>
      </c>
      <c r="O28" s="35">
        <v>12.4</v>
      </c>
    </row>
    <row r="29" spans="1:15" ht="18" customHeight="1" x14ac:dyDescent="0.25">
      <c r="A29" s="31">
        <v>24</v>
      </c>
      <c r="B29" s="32" t="s">
        <v>35</v>
      </c>
      <c r="C29" s="33">
        <v>8666.7786000000015</v>
      </c>
      <c r="D29" s="33">
        <v>5095.8</v>
      </c>
      <c r="E29" s="33">
        <v>3721.7</v>
      </c>
      <c r="F29" s="33">
        <v>2004.1</v>
      </c>
      <c r="G29" s="33">
        <v>2233.3000000000002</v>
      </c>
      <c r="H29" s="33">
        <v>1195.4000000000001</v>
      </c>
      <c r="I29" s="33">
        <v>6625.9</v>
      </c>
      <c r="J29" s="33">
        <f t="shared" si="0"/>
        <v>70.076898622394936</v>
      </c>
      <c r="K29" s="34">
        <v>36.9</v>
      </c>
      <c r="L29" s="34">
        <v>85.7</v>
      </c>
      <c r="M29" s="34">
        <v>-10.3</v>
      </c>
      <c r="N29" s="34">
        <v>86.8</v>
      </c>
      <c r="O29" s="35">
        <v>-82</v>
      </c>
    </row>
    <row r="30" spans="1:15" ht="18" customHeight="1" x14ac:dyDescent="0.25">
      <c r="A30" s="31">
        <v>25</v>
      </c>
      <c r="B30" s="32" t="s">
        <v>36</v>
      </c>
      <c r="C30" s="33">
        <v>22767.637299999999</v>
      </c>
      <c r="D30" s="33">
        <v>23512.799999999999</v>
      </c>
      <c r="E30" s="33">
        <v>19171.400000000001</v>
      </c>
      <c r="F30" s="33">
        <v>16402.900000000001</v>
      </c>
      <c r="G30" s="33">
        <v>13113.4</v>
      </c>
      <c r="H30" s="33">
        <v>8525.4</v>
      </c>
      <c r="I30" s="33">
        <v>5635.9</v>
      </c>
      <c r="J30" s="33">
        <f t="shared" si="0"/>
        <v>-3.1691789153142151</v>
      </c>
      <c r="K30" s="34">
        <v>22.6</v>
      </c>
      <c r="L30" s="34">
        <v>16.899999999999999</v>
      </c>
      <c r="M30" s="34">
        <v>25.1</v>
      </c>
      <c r="N30" s="34">
        <v>53.8</v>
      </c>
      <c r="O30" s="35">
        <v>51.3</v>
      </c>
    </row>
    <row r="31" spans="1:15" ht="18" customHeight="1" x14ac:dyDescent="0.25">
      <c r="A31" s="31">
        <v>26</v>
      </c>
      <c r="B31" s="32" t="s">
        <v>37</v>
      </c>
      <c r="C31" s="33">
        <v>0</v>
      </c>
      <c r="D31" s="34">
        <v>0</v>
      </c>
      <c r="E31" s="34">
        <v>0</v>
      </c>
      <c r="F31" s="34">
        <v>0</v>
      </c>
      <c r="G31" s="34">
        <v>220.1</v>
      </c>
      <c r="H31" s="34">
        <v>417.7</v>
      </c>
      <c r="I31" s="34">
        <v>359.4</v>
      </c>
      <c r="J31" s="33">
        <v>0</v>
      </c>
      <c r="K31" s="37" t="s">
        <v>13</v>
      </c>
      <c r="L31" s="38" t="s">
        <v>13</v>
      </c>
      <c r="M31" s="38" t="s">
        <v>13</v>
      </c>
      <c r="N31" s="34">
        <v>-47.3</v>
      </c>
      <c r="O31" s="35">
        <v>16.2</v>
      </c>
    </row>
    <row r="32" spans="1:15" ht="18" customHeight="1" x14ac:dyDescent="0.25">
      <c r="A32" s="31">
        <v>27</v>
      </c>
      <c r="B32" s="32" t="s">
        <v>38</v>
      </c>
      <c r="C32" s="33">
        <v>1075.7049999999999</v>
      </c>
      <c r="D32" s="34">
        <v>693.8</v>
      </c>
      <c r="E32" s="34">
        <v>561.1</v>
      </c>
      <c r="F32" s="34">
        <v>392.2</v>
      </c>
      <c r="G32" s="34">
        <v>481.8</v>
      </c>
      <c r="H32" s="34">
        <v>501.2</v>
      </c>
      <c r="I32" s="34">
        <v>510.8</v>
      </c>
      <c r="J32" s="33">
        <f t="shared" si="0"/>
        <v>55.045402133179586</v>
      </c>
      <c r="K32" s="34">
        <v>23.6</v>
      </c>
      <c r="L32" s="34">
        <v>43.1</v>
      </c>
      <c r="M32" s="34">
        <v>-18.600000000000001</v>
      </c>
      <c r="N32" s="34">
        <v>-3.9</v>
      </c>
      <c r="O32" s="35">
        <v>-1.9</v>
      </c>
    </row>
    <row r="33" spans="1:15" ht="18" customHeight="1" x14ac:dyDescent="0.25">
      <c r="A33" s="31">
        <v>28</v>
      </c>
      <c r="B33" s="32" t="s">
        <v>39</v>
      </c>
      <c r="C33" s="33">
        <v>792.88</v>
      </c>
      <c r="D33" s="33">
        <v>1025.4000000000001</v>
      </c>
      <c r="E33" s="34">
        <v>189.8</v>
      </c>
      <c r="F33" s="33">
        <v>2879.1</v>
      </c>
      <c r="G33" s="33">
        <v>4850.3999999999996</v>
      </c>
      <c r="H33" s="33">
        <v>4364.6000000000004</v>
      </c>
      <c r="I33" s="33">
        <v>3410.2</v>
      </c>
      <c r="J33" s="33">
        <f t="shared" si="0"/>
        <v>-22.6760288667837</v>
      </c>
      <c r="K33" s="34">
        <v>440.2</v>
      </c>
      <c r="L33" s="34">
        <v>-93.4</v>
      </c>
      <c r="M33" s="34">
        <v>-40.6</v>
      </c>
      <c r="N33" s="34">
        <v>11.1</v>
      </c>
      <c r="O33" s="35">
        <v>28</v>
      </c>
    </row>
    <row r="34" spans="1:15" ht="18" customHeight="1" x14ac:dyDescent="0.25">
      <c r="A34" s="31">
        <v>29</v>
      </c>
      <c r="B34" s="32" t="s">
        <v>40</v>
      </c>
      <c r="C34" s="33">
        <v>8666.2165999999997</v>
      </c>
      <c r="D34" s="33">
        <v>9069.2000000000007</v>
      </c>
      <c r="E34" s="33">
        <v>5922.1</v>
      </c>
      <c r="F34" s="33">
        <v>3610.2</v>
      </c>
      <c r="G34" s="33">
        <v>5724.4</v>
      </c>
      <c r="H34" s="33">
        <v>3006.8</v>
      </c>
      <c r="I34" s="33">
        <v>7124.4</v>
      </c>
      <c r="J34" s="33">
        <f t="shared" si="0"/>
        <v>-4.4434283067966405</v>
      </c>
      <c r="K34" s="34">
        <v>53.1</v>
      </c>
      <c r="L34" s="34">
        <v>64</v>
      </c>
      <c r="M34" s="34">
        <v>-36.9</v>
      </c>
      <c r="N34" s="34">
        <v>90.4</v>
      </c>
      <c r="O34" s="35">
        <v>-57.8</v>
      </c>
    </row>
    <row r="35" spans="1:15" ht="18" customHeight="1" x14ac:dyDescent="0.25">
      <c r="A35" s="31">
        <v>30</v>
      </c>
      <c r="B35" s="32" t="s">
        <v>41</v>
      </c>
      <c r="C35" s="33">
        <v>21702.032800000004</v>
      </c>
      <c r="D35" s="33">
        <v>32907.1</v>
      </c>
      <c r="E35" s="33">
        <v>23361.5</v>
      </c>
      <c r="F35" s="33">
        <v>16895.900000000001</v>
      </c>
      <c r="G35" s="33">
        <v>21012</v>
      </c>
      <c r="H35" s="33">
        <v>15185.8</v>
      </c>
      <c r="I35" s="33">
        <v>16568.900000000001</v>
      </c>
      <c r="J35" s="33">
        <f t="shared" si="0"/>
        <v>-34.050606707974858</v>
      </c>
      <c r="K35" s="34">
        <v>40.9</v>
      </c>
      <c r="L35" s="34">
        <v>38.299999999999997</v>
      </c>
      <c r="M35" s="34">
        <v>-19.600000000000001</v>
      </c>
      <c r="N35" s="34">
        <v>38.4</v>
      </c>
      <c r="O35" s="35">
        <v>-8.3000000000000007</v>
      </c>
    </row>
    <row r="36" spans="1:15" ht="18" customHeight="1" x14ac:dyDescent="0.25">
      <c r="A36" s="31">
        <v>31</v>
      </c>
      <c r="B36" s="32" t="s">
        <v>42</v>
      </c>
      <c r="C36" s="33">
        <v>172.67200000000003</v>
      </c>
      <c r="D36" s="34">
        <v>257</v>
      </c>
      <c r="E36" s="34">
        <v>235.6</v>
      </c>
      <c r="F36" s="34">
        <v>499.2</v>
      </c>
      <c r="G36" s="34">
        <v>131.19999999999999</v>
      </c>
      <c r="H36" s="34">
        <v>0.2</v>
      </c>
      <c r="I36" s="34">
        <v>0</v>
      </c>
      <c r="J36" s="33">
        <f t="shared" si="0"/>
        <v>-32.812451361867694</v>
      </c>
      <c r="K36" s="34">
        <v>9.1</v>
      </c>
      <c r="L36" s="34">
        <v>-52.8</v>
      </c>
      <c r="M36" s="34">
        <v>280.60000000000002</v>
      </c>
      <c r="N36" s="33">
        <v>65483</v>
      </c>
      <c r="O36" s="36" t="s">
        <v>13</v>
      </c>
    </row>
    <row r="37" spans="1:15" ht="18" customHeight="1" x14ac:dyDescent="0.25">
      <c r="A37" s="31">
        <v>32</v>
      </c>
      <c r="B37" s="32" t="s">
        <v>43</v>
      </c>
      <c r="C37" s="33">
        <v>38963.845000000001</v>
      </c>
      <c r="D37" s="33">
        <v>38278.400000000001</v>
      </c>
      <c r="E37" s="33">
        <v>35400.699999999997</v>
      </c>
      <c r="F37" s="33">
        <v>30553.5</v>
      </c>
      <c r="G37" s="33">
        <v>35316.5</v>
      </c>
      <c r="H37" s="33">
        <v>30985.9</v>
      </c>
      <c r="I37" s="33">
        <v>29675.7</v>
      </c>
      <c r="J37" s="33">
        <f t="shared" si="0"/>
        <v>1.7906835186423669</v>
      </c>
      <c r="K37" s="34">
        <v>8.1</v>
      </c>
      <c r="L37" s="34">
        <v>15.9</v>
      </c>
      <c r="M37" s="34">
        <v>-13.5</v>
      </c>
      <c r="N37" s="34">
        <v>14</v>
      </c>
      <c r="O37" s="35">
        <v>4.4000000000000004</v>
      </c>
    </row>
    <row r="38" spans="1:15" ht="18" customHeight="1" x14ac:dyDescent="0.25">
      <c r="A38" s="31">
        <v>33</v>
      </c>
      <c r="B38" s="32" t="s">
        <v>44</v>
      </c>
      <c r="C38" s="33">
        <v>2765.71056</v>
      </c>
      <c r="D38" s="33">
        <v>2451.1</v>
      </c>
      <c r="E38" s="33">
        <v>1875.5</v>
      </c>
      <c r="F38" s="33">
        <v>1875.7</v>
      </c>
      <c r="G38" s="33">
        <v>1790.8</v>
      </c>
      <c r="H38" s="33">
        <v>1495.8</v>
      </c>
      <c r="I38" s="33">
        <v>1867.3</v>
      </c>
      <c r="J38" s="33">
        <f t="shared" si="0"/>
        <v>12.835484476357559</v>
      </c>
      <c r="K38" s="34">
        <v>30.7</v>
      </c>
      <c r="L38" s="34">
        <v>0</v>
      </c>
      <c r="M38" s="34">
        <v>4.7</v>
      </c>
      <c r="N38" s="34">
        <v>19.7</v>
      </c>
      <c r="O38" s="35">
        <v>-19.899999999999999</v>
      </c>
    </row>
    <row r="39" spans="1:15" ht="18" customHeight="1" x14ac:dyDescent="0.25">
      <c r="A39" s="31">
        <v>34</v>
      </c>
      <c r="B39" s="32" t="s">
        <v>45</v>
      </c>
      <c r="C39" s="33">
        <v>5455.1620000000003</v>
      </c>
      <c r="D39" s="33">
        <v>4287.5</v>
      </c>
      <c r="E39" s="33">
        <v>2648.1</v>
      </c>
      <c r="F39" s="33">
        <v>3037</v>
      </c>
      <c r="G39" s="33">
        <v>3642.7</v>
      </c>
      <c r="H39" s="33">
        <v>4369.6000000000004</v>
      </c>
      <c r="I39" s="33">
        <v>3994.2</v>
      </c>
      <c r="J39" s="33">
        <f t="shared" si="0"/>
        <v>27.234099125364438</v>
      </c>
      <c r="K39" s="34">
        <v>61.9</v>
      </c>
      <c r="L39" s="34">
        <v>-12.8</v>
      </c>
      <c r="M39" s="34">
        <v>-16.600000000000001</v>
      </c>
      <c r="N39" s="34">
        <v>-16.600000000000001</v>
      </c>
      <c r="O39" s="35">
        <v>9.4</v>
      </c>
    </row>
    <row r="40" spans="1:15" ht="18" customHeight="1" x14ac:dyDescent="0.25">
      <c r="A40" s="31">
        <v>35</v>
      </c>
      <c r="B40" s="32" t="s">
        <v>46</v>
      </c>
      <c r="C40" s="33">
        <v>2757.7228399999999</v>
      </c>
      <c r="D40" s="33">
        <v>2693.5</v>
      </c>
      <c r="E40" s="33">
        <v>1982.2</v>
      </c>
      <c r="F40" s="33">
        <v>2342.8000000000002</v>
      </c>
      <c r="G40" s="33">
        <v>3327.8</v>
      </c>
      <c r="H40" s="33">
        <v>2832.2</v>
      </c>
      <c r="I40" s="33">
        <v>2407.4</v>
      </c>
      <c r="J40" s="33">
        <f t="shared" si="0"/>
        <v>2.3843638388713533</v>
      </c>
      <c r="K40" s="34">
        <v>35.9</v>
      </c>
      <c r="L40" s="34">
        <v>-15.4</v>
      </c>
      <c r="M40" s="34">
        <v>-29.6</v>
      </c>
      <c r="N40" s="34">
        <v>17.5</v>
      </c>
      <c r="O40" s="35">
        <v>17.600000000000001</v>
      </c>
    </row>
    <row r="41" spans="1:15" ht="18" customHeight="1" x14ac:dyDescent="0.25">
      <c r="A41" s="31">
        <v>36</v>
      </c>
      <c r="B41" s="32" t="s">
        <v>47</v>
      </c>
      <c r="C41" s="33">
        <v>46327.460330000002</v>
      </c>
      <c r="D41" s="33">
        <v>39275.300000000003</v>
      </c>
      <c r="E41" s="33">
        <v>23761.200000000001</v>
      </c>
      <c r="F41" s="33">
        <v>7624.8</v>
      </c>
      <c r="G41" s="33">
        <v>31338.9</v>
      </c>
      <c r="H41" s="33">
        <v>20165</v>
      </c>
      <c r="I41" s="33">
        <v>14343</v>
      </c>
      <c r="J41" s="33">
        <f t="shared" si="0"/>
        <v>17.955713463678187</v>
      </c>
      <c r="K41" s="34">
        <v>65.3</v>
      </c>
      <c r="L41" s="34">
        <v>211.6</v>
      </c>
      <c r="M41" s="34">
        <v>-75.7</v>
      </c>
      <c r="N41" s="34">
        <v>55.4</v>
      </c>
      <c r="O41" s="35">
        <v>40.6</v>
      </c>
    </row>
    <row r="42" spans="1:15" ht="18" customHeight="1" x14ac:dyDescent="0.25">
      <c r="A42" s="31">
        <v>37</v>
      </c>
      <c r="B42" s="32" t="s">
        <v>48</v>
      </c>
      <c r="C42" s="33">
        <v>24115.215579999996</v>
      </c>
      <c r="D42" s="33">
        <v>33011.4</v>
      </c>
      <c r="E42" s="33">
        <v>21533.1</v>
      </c>
      <c r="F42" s="33">
        <v>16810</v>
      </c>
      <c r="G42" s="33">
        <v>15971.5</v>
      </c>
      <c r="H42" s="33">
        <v>14222.8</v>
      </c>
      <c r="I42" s="33">
        <v>13113.2</v>
      </c>
      <c r="J42" s="33">
        <f t="shared" si="0"/>
        <v>-26.948825011965578</v>
      </c>
      <c r="K42" s="34">
        <v>53.3</v>
      </c>
      <c r="L42" s="34">
        <v>28.1</v>
      </c>
      <c r="M42" s="34">
        <v>5.2</v>
      </c>
      <c r="N42" s="34">
        <v>12.3</v>
      </c>
      <c r="O42" s="35">
        <v>8.5</v>
      </c>
    </row>
    <row r="43" spans="1:15" ht="18" customHeight="1" x14ac:dyDescent="0.25">
      <c r="A43" s="31">
        <v>38</v>
      </c>
      <c r="B43" s="32" t="s">
        <v>49</v>
      </c>
      <c r="C43" s="33">
        <v>1.288</v>
      </c>
      <c r="D43" s="34">
        <v>26.3</v>
      </c>
      <c r="E43" s="34">
        <v>180.7</v>
      </c>
      <c r="F43" s="34">
        <v>391.7</v>
      </c>
      <c r="G43" s="34">
        <v>641.1</v>
      </c>
      <c r="H43" s="34">
        <v>650.1</v>
      </c>
      <c r="I43" s="34">
        <v>868.5</v>
      </c>
      <c r="J43" s="33">
        <f t="shared" si="0"/>
        <v>-95.102661596958171</v>
      </c>
      <c r="K43" s="34">
        <v>-85.4</v>
      </c>
      <c r="L43" s="34">
        <v>-53.9</v>
      </c>
      <c r="M43" s="34">
        <v>-38.9</v>
      </c>
      <c r="N43" s="34">
        <v>-1.4</v>
      </c>
      <c r="O43" s="35">
        <v>-25.1</v>
      </c>
    </row>
    <row r="44" spans="1:15" ht="18" customHeight="1" x14ac:dyDescent="0.25">
      <c r="A44" s="31">
        <v>39</v>
      </c>
      <c r="B44" s="32" t="s">
        <v>50</v>
      </c>
      <c r="C44" s="33">
        <v>202759.59482</v>
      </c>
      <c r="D44" s="33">
        <v>195114.7</v>
      </c>
      <c r="E44" s="33">
        <v>161506.20000000001</v>
      </c>
      <c r="F44" s="33">
        <v>128029</v>
      </c>
      <c r="G44" s="33">
        <v>89981.3</v>
      </c>
      <c r="H44" s="33">
        <v>77455.8</v>
      </c>
      <c r="I44" s="33">
        <v>73395.199999999997</v>
      </c>
      <c r="J44" s="33">
        <f t="shared" si="0"/>
        <v>3.9181542036555861</v>
      </c>
      <c r="K44" s="34">
        <v>20.8</v>
      </c>
      <c r="L44" s="34">
        <v>26.1</v>
      </c>
      <c r="M44" s="34">
        <v>42.3</v>
      </c>
      <c r="N44" s="34">
        <v>16.2</v>
      </c>
      <c r="O44" s="35">
        <v>5.5</v>
      </c>
    </row>
    <row r="45" spans="1:15" ht="18" customHeight="1" x14ac:dyDescent="0.25">
      <c r="A45" s="31">
        <v>40</v>
      </c>
      <c r="B45" s="32" t="s">
        <v>51</v>
      </c>
      <c r="C45" s="33">
        <v>45.93</v>
      </c>
      <c r="D45" s="34">
        <v>49</v>
      </c>
      <c r="E45" s="34">
        <v>44.3</v>
      </c>
      <c r="F45" s="34">
        <v>16.600000000000001</v>
      </c>
      <c r="G45" s="34">
        <v>0</v>
      </c>
      <c r="H45" s="34">
        <v>0</v>
      </c>
      <c r="I45" s="34">
        <v>0</v>
      </c>
      <c r="J45" s="33">
        <f t="shared" si="0"/>
        <v>-6.2653061224489797</v>
      </c>
      <c r="K45" s="34">
        <v>10.6</v>
      </c>
      <c r="L45" s="34">
        <v>167.2</v>
      </c>
      <c r="M45" s="38" t="s">
        <v>13</v>
      </c>
      <c r="N45" s="38" t="s">
        <v>13</v>
      </c>
      <c r="O45" s="36" t="s">
        <v>13</v>
      </c>
    </row>
    <row r="46" spans="1:15" ht="18" customHeight="1" x14ac:dyDescent="0.25">
      <c r="A46" s="31">
        <v>41</v>
      </c>
      <c r="B46" s="32" t="s">
        <v>52</v>
      </c>
      <c r="C46" s="33">
        <v>5023.1030000000001</v>
      </c>
      <c r="D46" s="33">
        <v>7622</v>
      </c>
      <c r="E46" s="33">
        <v>2586.1999999999998</v>
      </c>
      <c r="F46" s="33">
        <v>4715.5</v>
      </c>
      <c r="G46" s="33">
        <v>5077</v>
      </c>
      <c r="H46" s="33">
        <v>5311.8</v>
      </c>
      <c r="I46" s="33">
        <v>5822.8</v>
      </c>
      <c r="J46" s="33">
        <f t="shared" si="0"/>
        <v>-34.097310417213329</v>
      </c>
      <c r="K46" s="34">
        <v>194.7</v>
      </c>
      <c r="L46" s="34">
        <v>-45.2</v>
      </c>
      <c r="M46" s="34">
        <v>-7.1</v>
      </c>
      <c r="N46" s="34">
        <v>-4.4000000000000004</v>
      </c>
      <c r="O46" s="35">
        <v>-8.8000000000000007</v>
      </c>
    </row>
    <row r="47" spans="1:15" ht="18" customHeight="1" x14ac:dyDescent="0.25">
      <c r="A47" s="31">
        <v>42</v>
      </c>
      <c r="B47" s="32" t="s">
        <v>53</v>
      </c>
      <c r="C47" s="33">
        <v>50751.068040000006</v>
      </c>
      <c r="D47" s="33">
        <v>64404.1</v>
      </c>
      <c r="E47" s="33">
        <v>60092.3</v>
      </c>
      <c r="F47" s="33">
        <v>53784.7</v>
      </c>
      <c r="G47" s="33">
        <v>53032.1</v>
      </c>
      <c r="H47" s="33">
        <v>50943.199999999997</v>
      </c>
      <c r="I47" s="33">
        <v>42751.199999999997</v>
      </c>
      <c r="J47" s="33">
        <f t="shared" si="0"/>
        <v>-21.199010559886705</v>
      </c>
      <c r="K47" s="34">
        <v>7.2</v>
      </c>
      <c r="L47" s="34">
        <v>11.7</v>
      </c>
      <c r="M47" s="34">
        <v>1.4</v>
      </c>
      <c r="N47" s="34">
        <v>4.0999999999999996</v>
      </c>
      <c r="O47" s="35">
        <v>19.2</v>
      </c>
    </row>
    <row r="48" spans="1:15" ht="18" customHeight="1" x14ac:dyDescent="0.25">
      <c r="A48" s="31">
        <v>43</v>
      </c>
      <c r="B48" s="32" t="s">
        <v>54</v>
      </c>
      <c r="C48" s="33">
        <v>307.31399999999996</v>
      </c>
      <c r="D48" s="34">
        <v>328.6</v>
      </c>
      <c r="E48" s="34">
        <v>81.400000000000006</v>
      </c>
      <c r="F48" s="34">
        <v>37.799999999999997</v>
      </c>
      <c r="G48" s="34">
        <v>4.3</v>
      </c>
      <c r="H48" s="34">
        <v>0</v>
      </c>
      <c r="I48" s="34">
        <v>0</v>
      </c>
      <c r="J48" s="33">
        <f t="shared" si="0"/>
        <v>-6.477784540474758</v>
      </c>
      <c r="K48" s="34">
        <v>303.8</v>
      </c>
      <c r="L48" s="34">
        <v>115.5</v>
      </c>
      <c r="M48" s="34">
        <v>773.1</v>
      </c>
      <c r="N48" s="38" t="s">
        <v>13</v>
      </c>
      <c r="O48" s="36" t="s">
        <v>13</v>
      </c>
    </row>
    <row r="49" spans="1:15" ht="18" customHeight="1" x14ac:dyDescent="0.25">
      <c r="A49" s="31">
        <v>44</v>
      </c>
      <c r="B49" s="32" t="s">
        <v>55</v>
      </c>
      <c r="C49" s="33">
        <v>128970.49834999999</v>
      </c>
      <c r="D49" s="33">
        <v>124371</v>
      </c>
      <c r="E49" s="33">
        <v>119933.3</v>
      </c>
      <c r="F49" s="33">
        <v>103880.4</v>
      </c>
      <c r="G49" s="33">
        <v>90740.4</v>
      </c>
      <c r="H49" s="33">
        <v>91749.7</v>
      </c>
      <c r="I49" s="33">
        <v>92736.3</v>
      </c>
      <c r="J49" s="33">
        <f t="shared" si="0"/>
        <v>3.6982080629728751</v>
      </c>
      <c r="K49" s="34">
        <v>3.7</v>
      </c>
      <c r="L49" s="34">
        <v>15.5</v>
      </c>
      <c r="M49" s="34">
        <v>14.5</v>
      </c>
      <c r="N49" s="34">
        <v>-1.1000000000000001</v>
      </c>
      <c r="O49" s="35">
        <v>-1.1000000000000001</v>
      </c>
    </row>
    <row r="50" spans="1:15" ht="18" customHeight="1" x14ac:dyDescent="0.25">
      <c r="A50" s="31">
        <v>45</v>
      </c>
      <c r="B50" s="32" t="s">
        <v>56</v>
      </c>
      <c r="C50" s="33">
        <v>0</v>
      </c>
      <c r="D50" s="34">
        <v>0</v>
      </c>
      <c r="E50" s="34">
        <v>0</v>
      </c>
      <c r="F50" s="34">
        <v>0</v>
      </c>
      <c r="G50" s="33">
        <v>4169.3</v>
      </c>
      <c r="H50" s="33">
        <v>4680.2</v>
      </c>
      <c r="I50" s="33">
        <v>4947.5</v>
      </c>
      <c r="J50" s="33">
        <v>0</v>
      </c>
      <c r="K50" s="37" t="s">
        <v>13</v>
      </c>
      <c r="L50" s="38" t="s">
        <v>13</v>
      </c>
      <c r="M50" s="34">
        <v>-100</v>
      </c>
      <c r="N50" s="34">
        <v>-10.9</v>
      </c>
      <c r="O50" s="35">
        <v>-5.4</v>
      </c>
    </row>
    <row r="51" spans="1:15" ht="18" customHeight="1" x14ac:dyDescent="0.25">
      <c r="A51" s="31">
        <v>46</v>
      </c>
      <c r="B51" s="32" t="s">
        <v>57</v>
      </c>
      <c r="C51" s="33">
        <v>1979.4167000000002</v>
      </c>
      <c r="D51" s="33">
        <v>1555.2</v>
      </c>
      <c r="E51" s="34">
        <v>381.2</v>
      </c>
      <c r="F51" s="34">
        <v>0</v>
      </c>
      <c r="G51" s="34">
        <v>0</v>
      </c>
      <c r="H51" s="34">
        <v>0</v>
      </c>
      <c r="I51" s="34">
        <v>45.5</v>
      </c>
      <c r="J51" s="33">
        <f t="shared" si="0"/>
        <v>27.277308384773676</v>
      </c>
      <c r="K51" s="34">
        <v>308</v>
      </c>
      <c r="L51" s="38" t="s">
        <v>13</v>
      </c>
      <c r="M51" s="38" t="s">
        <v>13</v>
      </c>
      <c r="N51" s="38" t="s">
        <v>13</v>
      </c>
      <c r="O51" s="36" t="s">
        <v>13</v>
      </c>
    </row>
    <row r="52" spans="1:15" ht="18" customHeight="1" x14ac:dyDescent="0.25">
      <c r="A52" s="31">
        <v>47</v>
      </c>
      <c r="B52" s="32" t="s">
        <v>58</v>
      </c>
      <c r="C52" s="33">
        <v>37183.142169999999</v>
      </c>
      <c r="D52" s="33">
        <v>39261.5</v>
      </c>
      <c r="E52" s="33">
        <v>31694.1</v>
      </c>
      <c r="F52" s="33">
        <v>27008.9</v>
      </c>
      <c r="G52" s="33">
        <v>27033.200000000001</v>
      </c>
      <c r="H52" s="33">
        <v>22642.2</v>
      </c>
      <c r="I52" s="33">
        <v>26990.6</v>
      </c>
      <c r="J52" s="33">
        <f t="shared" si="0"/>
        <v>-5.293628185372441</v>
      </c>
      <c r="K52" s="34">
        <v>23.9</v>
      </c>
      <c r="L52" s="34">
        <v>17.3</v>
      </c>
      <c r="M52" s="34">
        <v>-0.1</v>
      </c>
      <c r="N52" s="34">
        <v>19.399999999999999</v>
      </c>
      <c r="O52" s="35">
        <v>-16.100000000000001</v>
      </c>
    </row>
    <row r="53" spans="1:15" ht="18" customHeight="1" x14ac:dyDescent="0.25">
      <c r="A53" s="31">
        <v>48</v>
      </c>
      <c r="B53" s="32" t="s">
        <v>59</v>
      </c>
      <c r="C53" s="33">
        <v>1531.8439000000001</v>
      </c>
      <c r="D53" s="34">
        <v>647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3">
        <f t="shared" si="0"/>
        <v>136.76103554868627</v>
      </c>
      <c r="K53" s="37" t="s">
        <v>13</v>
      </c>
      <c r="L53" s="38" t="s">
        <v>13</v>
      </c>
      <c r="M53" s="38" t="s">
        <v>13</v>
      </c>
      <c r="N53" s="38" t="s">
        <v>13</v>
      </c>
      <c r="O53" s="36" t="s">
        <v>13</v>
      </c>
    </row>
    <row r="54" spans="1:15" ht="18" customHeight="1" x14ac:dyDescent="0.25">
      <c r="A54" s="31">
        <v>49</v>
      </c>
      <c r="B54" s="32" t="s">
        <v>60</v>
      </c>
      <c r="C54" s="33">
        <v>20226.353999999999</v>
      </c>
      <c r="D54" s="33">
        <v>22557</v>
      </c>
      <c r="E54" s="33">
        <v>20440</v>
      </c>
      <c r="F54" s="33">
        <v>20149.2</v>
      </c>
      <c r="G54" s="33">
        <v>20907.7</v>
      </c>
      <c r="H54" s="33">
        <v>19833.3</v>
      </c>
      <c r="I54" s="33">
        <v>20087.2</v>
      </c>
      <c r="J54" s="33">
        <f t="shared" si="0"/>
        <v>-10.332251629206015</v>
      </c>
      <c r="K54" s="34">
        <v>10.4</v>
      </c>
      <c r="L54" s="34">
        <v>1.4</v>
      </c>
      <c r="M54" s="34">
        <v>-3.6</v>
      </c>
      <c r="N54" s="34">
        <v>5.4</v>
      </c>
      <c r="O54" s="35">
        <v>-1.3</v>
      </c>
    </row>
    <row r="55" spans="1:15" ht="18" customHeight="1" x14ac:dyDescent="0.25">
      <c r="A55" s="31">
        <v>50</v>
      </c>
      <c r="B55" s="32" t="s">
        <v>61</v>
      </c>
      <c r="C55" s="33">
        <v>4766.7470000000003</v>
      </c>
      <c r="D55" s="33">
        <v>4975.8999999999996</v>
      </c>
      <c r="E55" s="33">
        <v>3049.4</v>
      </c>
      <c r="F55" s="33">
        <v>1860.2</v>
      </c>
      <c r="G55" s="33">
        <v>1735.4</v>
      </c>
      <c r="H55" s="33">
        <v>2060.8000000000002</v>
      </c>
      <c r="I55" s="33">
        <v>2349.6</v>
      </c>
      <c r="J55" s="33">
        <f t="shared" si="0"/>
        <v>-4.2033200024116111</v>
      </c>
      <c r="K55" s="34">
        <v>63.2</v>
      </c>
      <c r="L55" s="34">
        <v>63.9</v>
      </c>
      <c r="M55" s="34">
        <v>7.2</v>
      </c>
      <c r="N55" s="34">
        <v>-15.8</v>
      </c>
      <c r="O55" s="35">
        <v>-12.3</v>
      </c>
    </row>
    <row r="56" spans="1:15" ht="18" customHeight="1" x14ac:dyDescent="0.25">
      <c r="A56" s="31">
        <v>51</v>
      </c>
      <c r="B56" s="32" t="s">
        <v>62</v>
      </c>
      <c r="C56" s="33">
        <v>80.352000000000004</v>
      </c>
      <c r="D56" s="34">
        <v>168.9</v>
      </c>
      <c r="E56" s="34">
        <v>145.4</v>
      </c>
      <c r="F56" s="34">
        <v>41</v>
      </c>
      <c r="G56" s="34">
        <v>63.4</v>
      </c>
      <c r="H56" s="34">
        <v>67.5</v>
      </c>
      <c r="I56" s="34">
        <v>0</v>
      </c>
      <c r="J56" s="33">
        <f t="shared" si="0"/>
        <v>-52.426287744227352</v>
      </c>
      <c r="K56" s="34">
        <v>16.100000000000001</v>
      </c>
      <c r="L56" s="34">
        <v>255.1</v>
      </c>
      <c r="M56" s="34">
        <v>-35.4</v>
      </c>
      <c r="N56" s="34">
        <v>-6</v>
      </c>
      <c r="O56" s="36" t="s">
        <v>13</v>
      </c>
    </row>
    <row r="57" spans="1:15" ht="18" customHeight="1" x14ac:dyDescent="0.25">
      <c r="A57" s="31">
        <v>52</v>
      </c>
      <c r="B57" s="32" t="s">
        <v>63</v>
      </c>
      <c r="C57" s="33">
        <v>86323.118260000003</v>
      </c>
      <c r="D57" s="33">
        <v>78106</v>
      </c>
      <c r="E57" s="33">
        <v>67105.600000000006</v>
      </c>
      <c r="F57" s="33">
        <v>63363.7</v>
      </c>
      <c r="G57" s="33">
        <v>62906.3</v>
      </c>
      <c r="H57" s="33">
        <v>67645.899999999994</v>
      </c>
      <c r="I57" s="33">
        <v>68681.399999999994</v>
      </c>
      <c r="J57" s="33">
        <f t="shared" si="0"/>
        <v>10.52046995109211</v>
      </c>
      <c r="K57" s="34">
        <v>16.399999999999999</v>
      </c>
      <c r="L57" s="34">
        <v>5.9</v>
      </c>
      <c r="M57" s="34">
        <v>0.7</v>
      </c>
      <c r="N57" s="34">
        <v>-7</v>
      </c>
      <c r="O57" s="35">
        <v>-1.5</v>
      </c>
    </row>
    <row r="58" spans="1:15" ht="18" customHeight="1" x14ac:dyDescent="0.25">
      <c r="A58" s="31">
        <v>53</v>
      </c>
      <c r="B58" s="32" t="s">
        <v>64</v>
      </c>
      <c r="C58" s="33">
        <v>40079.050000000003</v>
      </c>
      <c r="D58" s="33">
        <v>31148.400000000001</v>
      </c>
      <c r="E58" s="33">
        <v>22485.4</v>
      </c>
      <c r="F58" s="33">
        <v>23227.3</v>
      </c>
      <c r="G58" s="33">
        <v>21724.1</v>
      </c>
      <c r="H58" s="33">
        <v>24180.6</v>
      </c>
      <c r="I58" s="33">
        <v>13469.1</v>
      </c>
      <c r="J58" s="33">
        <f t="shared" si="0"/>
        <v>28.671296117938645</v>
      </c>
      <c r="K58" s="34">
        <v>38.5</v>
      </c>
      <c r="L58" s="34">
        <v>-3.2</v>
      </c>
      <c r="M58" s="34">
        <v>6.9</v>
      </c>
      <c r="N58" s="34">
        <v>-10.199999999999999</v>
      </c>
      <c r="O58" s="35">
        <v>79.5</v>
      </c>
    </row>
    <row r="59" spans="1:15" ht="18" customHeight="1" x14ac:dyDescent="0.25">
      <c r="A59" s="31">
        <v>54</v>
      </c>
      <c r="B59" s="32" t="s">
        <v>65</v>
      </c>
      <c r="C59" s="33">
        <v>552.31999999999994</v>
      </c>
      <c r="D59" s="34">
        <v>369.8</v>
      </c>
      <c r="E59" s="34">
        <v>181.7</v>
      </c>
      <c r="F59" s="34">
        <v>213.3</v>
      </c>
      <c r="G59" s="34">
        <v>357.3</v>
      </c>
      <c r="H59" s="39">
        <v>477</v>
      </c>
      <c r="I59" s="39">
        <v>442.7</v>
      </c>
      <c r="J59" s="33">
        <f t="shared" si="0"/>
        <v>49.356408869659255</v>
      </c>
      <c r="K59" s="34">
        <v>103.6</v>
      </c>
      <c r="L59" s="34">
        <v>-14.8</v>
      </c>
      <c r="M59" s="34">
        <v>-40.299999999999997</v>
      </c>
      <c r="N59" s="34">
        <v>-25.1</v>
      </c>
      <c r="O59" s="35">
        <v>7.7</v>
      </c>
    </row>
    <row r="60" spans="1:15" ht="19.2" customHeight="1" x14ac:dyDescent="0.25">
      <c r="A60" s="31">
        <v>55</v>
      </c>
      <c r="B60" s="32" t="s">
        <v>66</v>
      </c>
      <c r="C60" s="33">
        <v>0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474</v>
      </c>
      <c r="J60" s="33">
        <v>0</v>
      </c>
      <c r="K60" s="37" t="s">
        <v>13</v>
      </c>
      <c r="L60" s="38" t="s">
        <v>13</v>
      </c>
      <c r="M60" s="38" t="s">
        <v>13</v>
      </c>
      <c r="N60" s="38" t="s">
        <v>13</v>
      </c>
      <c r="O60" s="36" t="s">
        <v>13</v>
      </c>
    </row>
    <row r="61" spans="1:15" ht="19.2" customHeight="1" x14ac:dyDescent="0.25">
      <c r="A61" s="31">
        <v>56</v>
      </c>
      <c r="B61" s="40" t="s">
        <v>67</v>
      </c>
      <c r="C61" s="33">
        <v>368754.48611</v>
      </c>
      <c r="D61" s="33">
        <v>362241.3</v>
      </c>
      <c r="E61" s="33">
        <v>359072.2</v>
      </c>
      <c r="F61" s="33">
        <v>342648.2</v>
      </c>
      <c r="G61" s="33">
        <v>311175.90000000002</v>
      </c>
      <c r="H61" s="33">
        <v>261150.1</v>
      </c>
      <c r="I61" s="33">
        <v>264593.3</v>
      </c>
      <c r="J61" s="33">
        <f t="shared" si="0"/>
        <v>1.7980241651076256</v>
      </c>
      <c r="K61" s="34">
        <v>0.9</v>
      </c>
      <c r="L61" s="34">
        <v>4.8</v>
      </c>
      <c r="M61" s="34">
        <v>10.1</v>
      </c>
      <c r="N61" s="34">
        <v>19.2</v>
      </c>
      <c r="O61" s="35">
        <v>-1.3</v>
      </c>
    </row>
    <row r="62" spans="1:15" ht="18" customHeight="1" x14ac:dyDescent="0.25">
      <c r="A62" s="31">
        <v>57</v>
      </c>
      <c r="B62" s="32" t="s">
        <v>68</v>
      </c>
      <c r="C62" s="33">
        <v>138489.17219999997</v>
      </c>
      <c r="D62" s="33">
        <v>136053.6</v>
      </c>
      <c r="E62" s="33">
        <v>125980.9</v>
      </c>
      <c r="F62" s="33">
        <v>116405.3</v>
      </c>
      <c r="G62" s="33">
        <v>116358.7</v>
      </c>
      <c r="H62" s="33">
        <v>130781</v>
      </c>
      <c r="I62" s="33">
        <v>116988.4</v>
      </c>
      <c r="J62" s="33">
        <f t="shared" si="0"/>
        <v>1.7901563795445072</v>
      </c>
      <c r="K62" s="34">
        <v>8</v>
      </c>
      <c r="L62" s="34">
        <v>8.1999999999999993</v>
      </c>
      <c r="M62" s="34">
        <v>0</v>
      </c>
      <c r="N62" s="34">
        <v>-11</v>
      </c>
      <c r="O62" s="35">
        <v>11.8</v>
      </c>
    </row>
    <row r="63" spans="1:15" ht="18" customHeight="1" x14ac:dyDescent="0.25">
      <c r="A63" s="31">
        <v>58</v>
      </c>
      <c r="B63" s="32" t="s">
        <v>69</v>
      </c>
      <c r="C63" s="33">
        <v>23845.195600000006</v>
      </c>
      <c r="D63" s="33">
        <v>20515.8</v>
      </c>
      <c r="E63" s="33">
        <v>14414.2</v>
      </c>
      <c r="F63" s="33">
        <v>12950.7</v>
      </c>
      <c r="G63" s="33">
        <v>16747.8</v>
      </c>
      <c r="H63" s="33">
        <v>16013.4</v>
      </c>
      <c r="I63" s="33">
        <v>13179.3</v>
      </c>
      <c r="J63" s="33">
        <f t="shared" si="0"/>
        <v>16.228446368165059</v>
      </c>
      <c r="K63" s="34">
        <v>42.3</v>
      </c>
      <c r="L63" s="34">
        <v>11.3</v>
      </c>
      <c r="M63" s="34">
        <v>-22.7</v>
      </c>
      <c r="N63" s="34">
        <v>4.5999999999999996</v>
      </c>
      <c r="O63" s="35">
        <v>21.5</v>
      </c>
    </row>
    <row r="64" spans="1:15" ht="18" customHeight="1" x14ac:dyDescent="0.25">
      <c r="A64" s="31">
        <v>59</v>
      </c>
      <c r="B64" s="32" t="s">
        <v>70</v>
      </c>
      <c r="C64" s="33">
        <v>2742.4870000000001</v>
      </c>
      <c r="D64" s="33">
        <v>8733.9</v>
      </c>
      <c r="E64" s="33">
        <v>10597.1</v>
      </c>
      <c r="F64" s="33">
        <v>13640.1</v>
      </c>
      <c r="G64" s="33">
        <v>10169.4</v>
      </c>
      <c r="H64" s="33">
        <v>9015.9</v>
      </c>
      <c r="I64" s="33">
        <v>10283</v>
      </c>
      <c r="J64" s="33">
        <f t="shared" si="0"/>
        <v>-68.599514535316402</v>
      </c>
      <c r="K64" s="34">
        <v>-17.600000000000001</v>
      </c>
      <c r="L64" s="34">
        <v>-22.3</v>
      </c>
      <c r="M64" s="34">
        <v>34.1</v>
      </c>
      <c r="N64" s="34">
        <v>12.8</v>
      </c>
      <c r="O64" s="35">
        <v>-12.3</v>
      </c>
    </row>
    <row r="65" spans="1:16" ht="18" customHeight="1" x14ac:dyDescent="0.25">
      <c r="A65" s="31">
        <v>60</v>
      </c>
      <c r="B65" s="32" t="s">
        <v>71</v>
      </c>
      <c r="C65" s="33">
        <v>0</v>
      </c>
      <c r="D65" s="34">
        <v>0</v>
      </c>
      <c r="E65" s="34">
        <v>0</v>
      </c>
      <c r="F65" s="34">
        <v>229.2</v>
      </c>
      <c r="G65" s="34">
        <v>95.4</v>
      </c>
      <c r="H65" s="34">
        <v>0</v>
      </c>
      <c r="I65" s="34">
        <v>0</v>
      </c>
      <c r="J65" s="33">
        <v>0</v>
      </c>
      <c r="K65" s="37" t="s">
        <v>13</v>
      </c>
      <c r="L65" s="34">
        <v>-100</v>
      </c>
      <c r="M65" s="34">
        <v>140.4</v>
      </c>
      <c r="N65" s="37" t="s">
        <v>13</v>
      </c>
      <c r="O65" s="41" t="s">
        <v>13</v>
      </c>
    </row>
    <row r="66" spans="1:16" ht="18" customHeight="1" x14ac:dyDescent="0.25">
      <c r="A66" s="31">
        <v>61</v>
      </c>
      <c r="B66" s="32" t="s">
        <v>72</v>
      </c>
      <c r="C66" s="33">
        <v>34.216999999999999</v>
      </c>
      <c r="D66" s="34">
        <v>30.8</v>
      </c>
      <c r="E66" s="34">
        <v>28.1</v>
      </c>
      <c r="F66" s="34">
        <v>6.8</v>
      </c>
      <c r="G66" s="34">
        <v>561.70000000000005</v>
      </c>
      <c r="H66" s="34">
        <v>534.79999999999995</v>
      </c>
      <c r="I66" s="34">
        <v>557</v>
      </c>
      <c r="J66" s="33">
        <f t="shared" si="0"/>
        <v>11.094155844155837</v>
      </c>
      <c r="K66" s="34">
        <v>9.8000000000000007</v>
      </c>
      <c r="L66" s="34">
        <v>309.8</v>
      </c>
      <c r="M66" s="34">
        <v>-98.8</v>
      </c>
      <c r="N66" s="34">
        <v>5</v>
      </c>
      <c r="O66" s="35">
        <v>-4</v>
      </c>
    </row>
    <row r="67" spans="1:16" ht="18" customHeight="1" x14ac:dyDescent="0.25">
      <c r="A67" s="42" t="s">
        <v>73</v>
      </c>
      <c r="B67" s="43"/>
      <c r="C67" s="44">
        <f>SUM(C6:C66)</f>
        <v>1799246.9048527346</v>
      </c>
      <c r="D67" s="44">
        <v>1733769.3</v>
      </c>
      <c r="E67" s="44">
        <v>1512931.4</v>
      </c>
      <c r="F67" s="44">
        <v>1403838.3</v>
      </c>
      <c r="G67" s="44">
        <v>1367558.7</v>
      </c>
      <c r="H67" s="44">
        <v>1261541.7</v>
      </c>
      <c r="I67" s="44">
        <v>1238349.7</v>
      </c>
      <c r="J67" s="45">
        <f t="shared" si="0"/>
        <v>3.7766042375265609</v>
      </c>
      <c r="K67" s="45">
        <v>14.6</v>
      </c>
      <c r="L67" s="45">
        <v>7.8</v>
      </c>
      <c r="M67" s="45">
        <v>2.7</v>
      </c>
      <c r="N67" s="45">
        <v>8.4</v>
      </c>
      <c r="O67" s="46">
        <v>1.9</v>
      </c>
    </row>
    <row r="68" spans="1:16" ht="22.2" customHeight="1" x14ac:dyDescent="0.25">
      <c r="A68" s="5" t="s">
        <v>74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6"/>
    </row>
    <row r="69" spans="1:16" ht="18" customHeight="1" x14ac:dyDescent="0.25">
      <c r="A69" s="7" t="s">
        <v>85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8"/>
    </row>
    <row r="70" spans="1:16" ht="18" customHeight="1" x14ac:dyDescent="0.25">
      <c r="A70" s="9" t="s">
        <v>75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1"/>
    </row>
    <row r="71" spans="1:16" ht="13.5" customHeight="1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</row>
  </sheetData>
  <mergeCells count="12">
    <mergeCell ref="A67:B67"/>
    <mergeCell ref="A68:O68"/>
    <mergeCell ref="A69:O69"/>
    <mergeCell ref="A70:O70"/>
    <mergeCell ref="A71:P71"/>
    <mergeCell ref="A1:O1"/>
    <mergeCell ref="A2:O2"/>
    <mergeCell ref="A3:O3"/>
    <mergeCell ref="A4:A5"/>
    <mergeCell ref="B4:B5"/>
    <mergeCell ref="C4:I4"/>
    <mergeCell ref="J4:O4"/>
  </mergeCells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Mr.Purshotam</dc:creator>
  <cp:lastModifiedBy>acer</cp:lastModifiedBy>
  <cp:lastPrinted>2020-05-15T06:54:25Z</cp:lastPrinted>
  <dcterms:created xsi:type="dcterms:W3CDTF">2020-03-23T05:49:16Z</dcterms:created>
  <dcterms:modified xsi:type="dcterms:W3CDTF">2020-05-15T06:56:37Z</dcterms:modified>
</cp:coreProperties>
</file>