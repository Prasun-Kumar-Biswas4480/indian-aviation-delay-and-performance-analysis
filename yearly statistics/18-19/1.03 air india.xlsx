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IR INDIA\"/>
    </mc:Choice>
  </mc:AlternateContent>
  <bookViews>
    <workbookView xWindow="0" yWindow="0" windowWidth="19200" windowHeight="7224"/>
  </bookViews>
  <sheets>
    <sheet name="AIR INDIA" sheetId="1" r:id="rId1"/>
  </sheets>
  <definedNames>
    <definedName name="_xlnm.Print_Area" localSheetId="0">'AIR INDIA'!$A$1:$Q$19</definedName>
  </definedName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H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</calcChain>
</file>

<file path=xl/sharedStrings.xml><?xml version="1.0" encoding="utf-8"?>
<sst xmlns="http://schemas.openxmlformats.org/spreadsheetml/2006/main" count="26" uniqueCount="24">
  <si>
    <t xml:space="preserve">तालिका 1.03 (एयर इंडिया) </t>
  </si>
  <si>
    <t>Table 1.03 (AIR INDIA)</t>
  </si>
  <si>
    <t>MONTHLY TRAFFIC AND OPERATING STATISTICS OF AIR INDIA ON SCHEDULED (DOMESTIC + INTERNATIONAL) SERVICES DURING 2018-19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</si>
  <si>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</si>
  <si>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</si>
  <si>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</si>
  <si>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</si>
  <si>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</si>
  <si>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</si>
  <si>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</si>
  <si>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</si>
  <si>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</si>
  <si>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</si>
  <si>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</si>
  <si>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</si>
  <si>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</si>
  <si>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</si>
  <si>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</si>
  <si>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</si>
  <si>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</si>
  <si>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</si>
  <si>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</si>
  <si>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</si>
  <si>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SOURCE:-  ICAO ATR FORM 'A' FURNISHED BY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</si>
</sst>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5">
    <xf numFmtId="0" fontId="0" fillId="0" borderId="0" xfId="0"/>
    <xf numFmtId="0" fontId="0" fillId="4" borderId="1" xfId="4" applyFont="1" applyBorder="1" applyAlignment="1">
      <alignment horizontal="center" vertical="center" wrapText="1"/>
    </xf>
    <xf numFmtId="0" fontId="1" fillId="4" borderId="1" xfId="4" applyBorder="1" applyAlignment="1">
      <alignment horizontal="center" vertical="center" wrapText="1"/>
    </xf>
    <xf numFmtId="0" fontId="0" fillId="0" borderId="0" xfId="0" applyFont="1"/>
    <xf numFmtId="0" fontId="0" fillId="4" borderId="1" xfId="4" quotePrefix="1" applyFont="1" applyBorder="1" applyAlignment="1" applyProtection="1">
      <alignment horizontal="center" vertical="center" wrapText="1"/>
    </xf>
    <xf numFmtId="0" fontId="1" fillId="4" borderId="1" xfId="4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17" fontId="1" fillId="4" borderId="1" xfId="4" applyNumberFormat="1" applyBorder="1" applyAlignment="1" applyProtection="1">
      <alignment horizontal="center" vertical="center" wrapText="1"/>
    </xf>
    <xf numFmtId="164" fontId="1" fillId="4" borderId="1" xfId="4" applyNumberFormat="1" applyBorder="1" applyAlignment="1">
      <alignment horizontal="right" vertical="center"/>
    </xf>
    <xf numFmtId="165" fontId="1" fillId="3" borderId="1" xfId="3" applyNumberFormat="1" applyBorder="1" applyAlignment="1" applyProtection="1">
      <alignment horizontal="center" vertical="center" wrapText="1"/>
    </xf>
    <xf numFmtId="166" fontId="1" fillId="4" borderId="1" xfId="4" applyNumberFormat="1" applyBorder="1" applyAlignment="1">
      <alignment horizontal="right" vertical="center"/>
    </xf>
    <xf numFmtId="17" fontId="4" fillId="5" borderId="1" xfId="0" applyNumberFormat="1" applyFont="1" applyFill="1" applyBorder="1" applyAlignment="1" applyProtection="1">
      <alignment horizontal="center" vertical="center" wrapText="1"/>
    </xf>
    <xf numFmtId="164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0" fontId="2" fillId="4" borderId="1" xfId="4" applyFont="1" applyBorder="1" applyAlignment="1" applyProtection="1">
      <alignment horizontal="center" vertical="center" wrapText="1"/>
    </xf>
    <xf numFmtId="3" fontId="2" fillId="4" borderId="1" xfId="4" applyNumberFormat="1" applyFont="1" applyBorder="1" applyAlignment="1" applyProtection="1">
      <alignment horizontal="right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167" fontId="2" fillId="4" borderId="1" xfId="4" applyNumberFormat="1" applyFont="1" applyBorder="1" applyAlignment="1" applyProtection="1">
      <alignment horizontal="right" vertical="center" wrapText="1"/>
    </xf>
    <xf numFmtId="0" fontId="5" fillId="5" borderId="2" xfId="0" applyFont="1" applyFill="1" applyBorder="1" applyAlignment="1" applyProtection="1">
      <alignment horizontal="left" vertical="center" wrapText="1"/>
    </xf>
    <xf numFmtId="0" fontId="5" fillId="5" borderId="3" xfId="0" applyFont="1" applyFill="1" applyBorder="1" applyAlignment="1" applyProtection="1">
      <alignment horizontal="left" vertical="center" wrapText="1"/>
    </xf>
    <xf numFmtId="0" fontId="5" fillId="5" borderId="4" xfId="0" applyFont="1" applyFill="1" applyBorder="1" applyAlignment="1" applyProtection="1">
      <alignment horizontal="left" vertical="center" wrapText="1"/>
    </xf>
  </cellXfs>
  <cellStyles count="5">
    <cellStyle name="20% - Accent1" xfId="3" builtinId="30"/>
    <cellStyle name="40% - Accent1" xfId="4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19"/>
  <sheetViews>
    <sheetView tabSelected="1" zoomScaleNormal="100" zoomScaleSheetLayoutView="100" workbookViewId="0">
      <selection sqref="A1:Q1"/>
    </sheetView>
  </sheetViews>
  <sheetFormatPr defaultColWidth="9.109375" defaultRowHeight="14.4" x14ac:dyDescent="0.3"/>
  <cols>
    <col min="1" max="1" width="8.109375" style="3" customWidth="1"/>
    <col min="2" max="2" width="9.5546875" style="3" customWidth="1"/>
    <col min="3" max="3" width="9.33203125" style="3" customWidth="1"/>
    <col min="4" max="4" width="9.88671875" style="3" customWidth="1"/>
    <col min="5" max="5" width="11.5546875" style="3" customWidth="1"/>
    <col min="6" max="7" width="8.33203125" style="3" customWidth="1"/>
    <col min="8" max="8" width="7.33203125" style="3" customWidth="1"/>
    <col min="9" max="9" width="9.109375" style="3" bestFit="1" customWidth="1"/>
    <col min="10" max="10" width="8.109375" style="3" bestFit="1" customWidth="1"/>
    <col min="11" max="11" width="9.109375" style="3" bestFit="1" customWidth="1"/>
    <col min="12" max="12" width="8.6640625" style="3" customWidth="1"/>
    <col min="13" max="13" width="7.33203125" style="3" customWidth="1"/>
    <col min="14" max="14" width="7.109375" style="3" customWidth="1"/>
    <col min="15" max="15" width="8.5546875" style="3" customWidth="1"/>
    <col min="16" max="16" width="8.6640625" style="3" customWidth="1"/>
    <col min="17" max="17" width="7" style="3" customWidth="1"/>
    <col min="18" max="16384" width="9.109375" style="3"/>
  </cols>
  <sheetData>
    <row r="1" spans="1:17" ht="18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.75" customHeight="1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8.75" customHeigh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21" customHeight="1" x14ac:dyDescent="0.3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9.5" customHeight="1" x14ac:dyDescent="0.3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21" customHeight="1" x14ac:dyDescent="0.3">
      <c r="A6" s="11">
        <v>43191</v>
      </c>
      <c r="B6" s="12">
        <v>13237</v>
      </c>
      <c r="C6" s="12">
        <v>38413</v>
      </c>
      <c r="D6" s="12">
        <v>31934</v>
      </c>
      <c r="E6" s="12">
        <v>1914219</v>
      </c>
      <c r="F6" s="12">
        <v>4036.7046</v>
      </c>
      <c r="G6" s="12">
        <v>5089.7568000000001</v>
      </c>
      <c r="H6" s="13">
        <f>F6/G6*100</f>
        <v>79.310363119903883</v>
      </c>
      <c r="I6" s="14">
        <v>17997.400000000001</v>
      </c>
      <c r="J6" s="14">
        <v>1002.199</v>
      </c>
      <c r="K6" s="14">
        <v>18999.599000000002</v>
      </c>
      <c r="L6" s="14">
        <v>397.83070000000004</v>
      </c>
      <c r="M6" s="14">
        <v>70.781100000000009</v>
      </c>
      <c r="N6" s="14">
        <v>2.7235999999999998</v>
      </c>
      <c r="O6" s="14">
        <v>471.33539999999999</v>
      </c>
      <c r="P6" s="14">
        <v>684.8696000000001</v>
      </c>
      <c r="Q6" s="13">
        <f>O6/P6*100</f>
        <v>68.821188734322547</v>
      </c>
    </row>
    <row r="7" spans="1:17" ht="21" customHeight="1" x14ac:dyDescent="0.3">
      <c r="A7" s="15">
        <v>43221</v>
      </c>
      <c r="B7" s="16">
        <v>13715</v>
      </c>
      <c r="C7" s="16">
        <v>39982.800000000003</v>
      </c>
      <c r="D7" s="16">
        <v>33205.9</v>
      </c>
      <c r="E7" s="16">
        <v>1914559</v>
      </c>
      <c r="F7" s="16">
        <v>4117.5122000000001</v>
      </c>
      <c r="G7" s="16">
        <v>5281.6469000000006</v>
      </c>
      <c r="H7" s="13">
        <f t="shared" ref="H7:H18" si="0">F7/G7*100</f>
        <v>77.958869230731793</v>
      </c>
      <c r="I7" s="17">
        <v>17395.599999999999</v>
      </c>
      <c r="J7" s="17">
        <v>1099</v>
      </c>
      <c r="K7" s="17">
        <v>18494.599999999999</v>
      </c>
      <c r="L7" s="17">
        <v>407.69640000000004</v>
      </c>
      <c r="M7" s="17">
        <v>67.158100000000005</v>
      </c>
      <c r="N7" s="17">
        <v>2.9863000000000004</v>
      </c>
      <c r="O7" s="17">
        <v>477.84080000000006</v>
      </c>
      <c r="P7" s="17">
        <v>710.94680000000005</v>
      </c>
      <c r="Q7" s="13">
        <f t="shared" ref="Q7:Q18" si="1">O7/P7*100</f>
        <v>67.211892647944964</v>
      </c>
    </row>
    <row r="8" spans="1:17" ht="21" customHeight="1" x14ac:dyDescent="0.3">
      <c r="A8" s="11">
        <v>43252</v>
      </c>
      <c r="B8" s="12">
        <v>13264</v>
      </c>
      <c r="C8" s="12">
        <v>38536.5</v>
      </c>
      <c r="D8" s="12">
        <v>32230.7</v>
      </c>
      <c r="E8" s="12">
        <v>1797424</v>
      </c>
      <c r="F8" s="12">
        <v>4055.7977000000001</v>
      </c>
      <c r="G8" s="12">
        <v>5103.6932999999999</v>
      </c>
      <c r="H8" s="13">
        <f t="shared" si="0"/>
        <v>79.467896317359049</v>
      </c>
      <c r="I8" s="14">
        <v>16672.7</v>
      </c>
      <c r="J8" s="14">
        <v>994.9</v>
      </c>
      <c r="K8" s="14">
        <v>17667.599999999999</v>
      </c>
      <c r="L8" s="14">
        <v>403.12669999999997</v>
      </c>
      <c r="M8" s="14">
        <v>64.750599999999991</v>
      </c>
      <c r="N8" s="14">
        <v>2.7003000000000004</v>
      </c>
      <c r="O8" s="14">
        <v>470.57759999999996</v>
      </c>
      <c r="P8" s="14">
        <v>685.13930000000005</v>
      </c>
      <c r="Q8" s="13">
        <f t="shared" si="1"/>
        <v>68.683492539400376</v>
      </c>
    </row>
    <row r="9" spans="1:17" ht="21" customHeight="1" x14ac:dyDescent="0.3">
      <c r="A9" s="15">
        <v>43282</v>
      </c>
      <c r="B9" s="16">
        <v>12945</v>
      </c>
      <c r="C9" s="16">
        <v>37849.399999999994</v>
      </c>
      <c r="D9" s="16">
        <v>32023</v>
      </c>
      <c r="E9" s="16">
        <v>1792415</v>
      </c>
      <c r="F9" s="16">
        <v>4038.6477</v>
      </c>
      <c r="G9" s="16">
        <v>5044.9208000000008</v>
      </c>
      <c r="H9" s="13">
        <f t="shared" si="0"/>
        <v>80.053738405566236</v>
      </c>
      <c r="I9" s="17">
        <v>18255.900000000001</v>
      </c>
      <c r="J9" s="17">
        <v>1040.0999999999999</v>
      </c>
      <c r="K9" s="17">
        <v>19296</v>
      </c>
      <c r="L9" s="17">
        <v>403.51150000000001</v>
      </c>
      <c r="M9" s="17">
        <v>73.523399999999995</v>
      </c>
      <c r="N9" s="17">
        <v>2.6845630000000003</v>
      </c>
      <c r="O9" s="17">
        <v>479.71946299999996</v>
      </c>
      <c r="P9" s="17">
        <v>681.45990000000006</v>
      </c>
      <c r="Q9" s="13">
        <f t="shared" si="1"/>
        <v>70.395846182585345</v>
      </c>
    </row>
    <row r="10" spans="1:17" ht="21" customHeight="1" x14ac:dyDescent="0.3">
      <c r="A10" s="11">
        <v>43313</v>
      </c>
      <c r="B10" s="12">
        <v>12882</v>
      </c>
      <c r="C10" s="12">
        <v>37519.1</v>
      </c>
      <c r="D10" s="12">
        <v>32032.769999999997</v>
      </c>
      <c r="E10" s="12">
        <v>1808152</v>
      </c>
      <c r="F10" s="12">
        <v>4043.4888099999994</v>
      </c>
      <c r="G10" s="12">
        <v>5040.4027900000001</v>
      </c>
      <c r="H10" s="13">
        <f t="shared" si="0"/>
        <v>80.221541382013228</v>
      </c>
      <c r="I10" s="14">
        <v>18449.493599999998</v>
      </c>
      <c r="J10" s="14">
        <v>1181.2730000000001</v>
      </c>
      <c r="K10" s="14">
        <v>19630.766599999999</v>
      </c>
      <c r="L10" s="14">
        <v>402.60310999999996</v>
      </c>
      <c r="M10" s="14">
        <v>74.497439999999997</v>
      </c>
      <c r="N10" s="14">
        <v>3.24966</v>
      </c>
      <c r="O10" s="14">
        <v>480.35020999999995</v>
      </c>
      <c r="P10" s="14">
        <v>680.90895999999998</v>
      </c>
      <c r="Q10" s="13">
        <f t="shared" si="1"/>
        <v>70.545438262407359</v>
      </c>
    </row>
    <row r="11" spans="1:17" ht="21" customHeight="1" x14ac:dyDescent="0.3">
      <c r="A11" s="15">
        <v>43344</v>
      </c>
      <c r="B11" s="16">
        <v>12314</v>
      </c>
      <c r="C11" s="16">
        <v>37690.2497</v>
      </c>
      <c r="D11" s="16">
        <v>28555.599999999999</v>
      </c>
      <c r="E11" s="16">
        <v>1666248</v>
      </c>
      <c r="F11" s="16">
        <v>3637.0200060000002</v>
      </c>
      <c r="G11" s="16">
        <v>4807.5604089999997</v>
      </c>
      <c r="H11" s="13">
        <f t="shared" si="0"/>
        <v>75.65209163448705</v>
      </c>
      <c r="I11" s="17">
        <v>18485.31105</v>
      </c>
      <c r="J11" s="17">
        <v>1142.5050000000001</v>
      </c>
      <c r="K11" s="17">
        <v>19627.816050000001</v>
      </c>
      <c r="L11" s="17">
        <v>359.580512</v>
      </c>
      <c r="M11" s="17">
        <v>74.977688627399999</v>
      </c>
      <c r="N11" s="17">
        <v>3.3623069999999999</v>
      </c>
      <c r="O11" s="17">
        <v>437.92050762740001</v>
      </c>
      <c r="P11" s="17">
        <v>649.19939225600012</v>
      </c>
      <c r="Q11" s="13">
        <f t="shared" si="1"/>
        <v>67.455470977199241</v>
      </c>
    </row>
    <row r="12" spans="1:17" ht="21" customHeight="1" x14ac:dyDescent="0.3">
      <c r="A12" s="11">
        <v>43374</v>
      </c>
      <c r="B12" s="12">
        <v>13675</v>
      </c>
      <c r="C12" s="12">
        <v>39065.35</v>
      </c>
      <c r="D12" s="12">
        <v>33031.127999999997</v>
      </c>
      <c r="E12" s="12">
        <v>1832114</v>
      </c>
      <c r="F12" s="12">
        <v>3982.5243829999999</v>
      </c>
      <c r="G12" s="12">
        <v>5257.8859409999995</v>
      </c>
      <c r="H12" s="13">
        <f t="shared" si="0"/>
        <v>75.743833694546865</v>
      </c>
      <c r="I12" s="14">
        <v>20040.385200000001</v>
      </c>
      <c r="J12" s="14">
        <v>1159.0239999999999</v>
      </c>
      <c r="K12" s="14">
        <v>21199.409200000002</v>
      </c>
      <c r="L12" s="14">
        <v>393.72692000000001</v>
      </c>
      <c r="M12" s="14">
        <v>82.631099000000006</v>
      </c>
      <c r="N12" s="14">
        <v>3.365065</v>
      </c>
      <c r="O12" s="14">
        <v>479.72308400000003</v>
      </c>
      <c r="P12" s="14">
        <v>703.21029699999997</v>
      </c>
      <c r="Q12" s="13">
        <f t="shared" si="1"/>
        <v>68.219007322072827</v>
      </c>
    </row>
    <row r="13" spans="1:17" ht="21" customHeight="1" x14ac:dyDescent="0.3">
      <c r="A13" s="15">
        <v>43405</v>
      </c>
      <c r="B13" s="16">
        <v>13211</v>
      </c>
      <c r="C13" s="16">
        <v>33787</v>
      </c>
      <c r="D13" s="16">
        <v>32109.506000000001</v>
      </c>
      <c r="E13" s="16">
        <v>1823959</v>
      </c>
      <c r="F13" s="16">
        <v>4084.1624739999997</v>
      </c>
      <c r="G13" s="16">
        <v>5167.8312820000001</v>
      </c>
      <c r="H13" s="13">
        <f t="shared" si="0"/>
        <v>79.030491731134646</v>
      </c>
      <c r="I13" s="17">
        <v>18349.7922</v>
      </c>
      <c r="J13" s="17">
        <v>1185.653</v>
      </c>
      <c r="K13" s="17">
        <v>19535.445200000002</v>
      </c>
      <c r="L13" s="17">
        <v>405.01591500000001</v>
      </c>
      <c r="M13" s="17">
        <v>77.50156299999999</v>
      </c>
      <c r="N13" s="17">
        <v>3.5019909999999999</v>
      </c>
      <c r="O13" s="17">
        <v>486.01946899999996</v>
      </c>
      <c r="P13" s="17">
        <v>692.22821399999987</v>
      </c>
      <c r="Q13" s="13">
        <f t="shared" si="1"/>
        <v>70.21087253747794</v>
      </c>
    </row>
    <row r="14" spans="1:17" ht="21" customHeight="1" x14ac:dyDescent="0.3">
      <c r="A14" s="11">
        <v>43435</v>
      </c>
      <c r="B14" s="12">
        <v>14061</v>
      </c>
      <c r="C14" s="12">
        <v>40869</v>
      </c>
      <c r="D14" s="12">
        <v>33822</v>
      </c>
      <c r="E14" s="12">
        <v>1987012</v>
      </c>
      <c r="F14" s="12">
        <v>4402.9620000000004</v>
      </c>
      <c r="G14" s="12">
        <v>5524.5749999999998</v>
      </c>
      <c r="H14" s="13">
        <f t="shared" si="0"/>
        <v>79.697750505695026</v>
      </c>
      <c r="I14" s="14">
        <v>18280.873299999999</v>
      </c>
      <c r="J14" s="14">
        <v>1292.2739999999999</v>
      </c>
      <c r="K14" s="14">
        <v>19573.147300000001</v>
      </c>
      <c r="L14" s="14">
        <v>435.48700000000002</v>
      </c>
      <c r="M14" s="14">
        <v>78.902000000000001</v>
      </c>
      <c r="N14" s="14">
        <v>3.94</v>
      </c>
      <c r="O14" s="14">
        <v>518.32899999999995</v>
      </c>
      <c r="P14" s="14">
        <v>737.58500000000004</v>
      </c>
      <c r="Q14" s="13">
        <f t="shared" si="1"/>
        <v>70.273798951985185</v>
      </c>
    </row>
    <row r="15" spans="1:17" ht="21" customHeight="1" x14ac:dyDescent="0.3">
      <c r="A15" s="15">
        <v>43466</v>
      </c>
      <c r="B15" s="16">
        <v>13922</v>
      </c>
      <c r="C15" s="16">
        <v>42301.483</v>
      </c>
      <c r="D15" s="16">
        <v>32320.762000000002</v>
      </c>
      <c r="E15" s="16">
        <v>1968107</v>
      </c>
      <c r="F15" s="16">
        <v>4515.9633780000004</v>
      </c>
      <c r="G15" s="16">
        <v>5485.7637290000002</v>
      </c>
      <c r="H15" s="13">
        <f t="shared" si="0"/>
        <v>82.32150710623506</v>
      </c>
      <c r="I15" s="17">
        <v>16416.591</v>
      </c>
      <c r="J15" s="17">
        <v>1257.164</v>
      </c>
      <c r="K15" s="17">
        <v>17673.755000000001</v>
      </c>
      <c r="L15" s="17">
        <v>448.61134299999998</v>
      </c>
      <c r="M15" s="17">
        <v>66.506002999999993</v>
      </c>
      <c r="N15" s="17">
        <v>3.6372110000000002</v>
      </c>
      <c r="O15" s="17">
        <v>518.75455699999998</v>
      </c>
      <c r="P15" s="17">
        <v>733.18084499999998</v>
      </c>
      <c r="Q15" s="13">
        <f t="shared" si="1"/>
        <v>70.753970256819784</v>
      </c>
    </row>
    <row r="16" spans="1:17" ht="21" customHeight="1" x14ac:dyDescent="0.3">
      <c r="A16" s="11">
        <v>43497</v>
      </c>
      <c r="B16" s="12">
        <v>12563</v>
      </c>
      <c r="C16" s="12">
        <v>37074</v>
      </c>
      <c r="D16" s="12">
        <v>30705</v>
      </c>
      <c r="E16" s="12">
        <v>1842105</v>
      </c>
      <c r="F16" s="12">
        <v>4036.2959999999998</v>
      </c>
      <c r="G16" s="12">
        <v>4978.4440000000004</v>
      </c>
      <c r="H16" s="13">
        <f t="shared" si="0"/>
        <v>81.075452490778233</v>
      </c>
      <c r="I16" s="14">
        <v>15926.352200000001</v>
      </c>
      <c r="J16" s="14">
        <v>1151.1669999999999</v>
      </c>
      <c r="K16" s="14">
        <v>17077.519200000002</v>
      </c>
      <c r="L16" s="14">
        <v>399.125</v>
      </c>
      <c r="M16" s="14">
        <v>66.013000000000005</v>
      </c>
      <c r="N16" s="14">
        <v>3.0312519999999998</v>
      </c>
      <c r="O16" s="14">
        <v>468.16925199999997</v>
      </c>
      <c r="P16" s="14">
        <v>667.04700000000003</v>
      </c>
      <c r="Q16" s="13">
        <f t="shared" si="1"/>
        <v>70.185347059502547</v>
      </c>
    </row>
    <row r="17" spans="1:17" ht="21" customHeight="1" x14ac:dyDescent="0.3">
      <c r="A17" s="15">
        <v>43525</v>
      </c>
      <c r="B17" s="16">
        <v>13797</v>
      </c>
      <c r="C17" s="16">
        <v>40781</v>
      </c>
      <c r="D17" s="16">
        <v>34731.324999999997</v>
      </c>
      <c r="E17" s="16">
        <v>1936585</v>
      </c>
      <c r="F17" s="16">
        <v>4164.1905099999994</v>
      </c>
      <c r="G17" s="16">
        <v>5356.7522469999994</v>
      </c>
      <c r="H17" s="13">
        <f t="shared" si="0"/>
        <v>77.737224310348068</v>
      </c>
      <c r="I17" s="17">
        <v>19065.042000000001</v>
      </c>
      <c r="J17" s="17">
        <v>1174.309</v>
      </c>
      <c r="K17" s="17">
        <v>20239.350999999999</v>
      </c>
      <c r="L17" s="17">
        <v>410.84380099999998</v>
      </c>
      <c r="M17" s="17">
        <v>79.697362999999996</v>
      </c>
      <c r="N17" s="17">
        <v>2.81298</v>
      </c>
      <c r="O17" s="17">
        <v>493.35414399999996</v>
      </c>
      <c r="P17" s="17">
        <v>715.52136899999994</v>
      </c>
      <c r="Q17" s="13">
        <f t="shared" si="1"/>
        <v>68.950301888188619</v>
      </c>
    </row>
    <row r="18" spans="1:17" ht="21" customHeight="1" x14ac:dyDescent="0.3">
      <c r="A18" s="18" t="s">
        <v>22</v>
      </c>
      <c r="B18" s="19">
        <v>159586</v>
      </c>
      <c r="C18" s="19">
        <v>463868.8826999999</v>
      </c>
      <c r="D18" s="19">
        <v>386701.69099999993</v>
      </c>
      <c r="E18" s="19">
        <v>22282899</v>
      </c>
      <c r="F18" s="19">
        <v>49115.269761000003</v>
      </c>
      <c r="G18" s="19">
        <v>62139.233198000002</v>
      </c>
      <c r="H18" s="20">
        <f t="shared" si="0"/>
        <v>79.040675646092168</v>
      </c>
      <c r="I18" s="21">
        <v>215335.44055</v>
      </c>
      <c r="J18" s="21">
        <v>13679.567999999997</v>
      </c>
      <c r="K18" s="21">
        <v>229015.00855000003</v>
      </c>
      <c r="L18" s="21">
        <v>4867.1589009999998</v>
      </c>
      <c r="M18" s="21">
        <v>876.93935662739989</v>
      </c>
      <c r="N18" s="21">
        <v>37.995229000000002</v>
      </c>
      <c r="O18" s="21">
        <v>5782.0934866273992</v>
      </c>
      <c r="P18" s="21">
        <v>8341.2966772559994</v>
      </c>
      <c r="Q18" s="20">
        <f t="shared" si="1"/>
        <v>69.318880629114716</v>
      </c>
    </row>
    <row r="19" spans="1:17" ht="21" customHeight="1" x14ac:dyDescent="0.3">
      <c r="A19" s="22" t="s">
        <v>23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2020-06-03T10:30:17Z</dcterms:created>
  <dcterms:modified xsi:type="dcterms:W3CDTF">2020-06-03T10:31:41Z</dcterms:modified>
</cp:coreProperties>
</file>