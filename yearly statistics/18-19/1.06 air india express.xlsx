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IR INDIA EXPRESS\"/>
    </mc:Choice>
  </mc:AlternateContent>
  <bookViews>
    <workbookView xWindow="0" yWindow="0" windowWidth="19200" windowHeight="8484"/>
  </bookViews>
  <sheets>
    <sheet name="AIR INDIA EXPRESS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1" l="1"/>
  <c r="Q36" i="1"/>
  <c r="Q38" i="1" s="1"/>
  <c r="H36" i="1"/>
  <c r="H37" i="1" s="1"/>
  <c r="Q35" i="1"/>
  <c r="H35" i="1"/>
  <c r="Q33" i="1"/>
  <c r="Q34" i="1" s="1"/>
  <c r="H33" i="1"/>
  <c r="H31" i="1"/>
  <c r="Q30" i="1"/>
  <c r="H30" i="1"/>
  <c r="H34" i="1" s="1"/>
  <c r="Q27" i="1"/>
  <c r="Q29" i="1" s="1"/>
  <c r="H27" i="1"/>
  <c r="H29" i="1" s="1"/>
  <c r="H26" i="1"/>
  <c r="Q24" i="1"/>
  <c r="Q26" i="1" s="1"/>
  <c r="H24" i="1"/>
  <c r="H25" i="1" s="1"/>
  <c r="Q23" i="1"/>
  <c r="H23" i="1"/>
  <c r="Q21" i="1"/>
  <c r="Q22" i="1" s="1"/>
  <c r="H21" i="1"/>
  <c r="Q18" i="1"/>
  <c r="H18" i="1"/>
  <c r="H19" i="1" s="1"/>
  <c r="Q15" i="1"/>
  <c r="Q17" i="1" s="1"/>
  <c r="H15" i="1"/>
  <c r="H17" i="1" s="1"/>
  <c r="H14" i="1"/>
  <c r="Q12" i="1"/>
  <c r="Q14" i="1" s="1"/>
  <c r="H12" i="1"/>
  <c r="H13" i="1" s="1"/>
  <c r="Q11" i="1"/>
  <c r="H11" i="1"/>
  <c r="H10" i="1"/>
  <c r="Q9" i="1"/>
  <c r="Q10" i="1" s="1"/>
  <c r="H9" i="1"/>
  <c r="Q6" i="1"/>
  <c r="Q32" i="1" s="1"/>
  <c r="H6" i="1"/>
  <c r="H16" i="1" l="1"/>
  <c r="H20" i="1"/>
  <c r="H28" i="1"/>
  <c r="H32" i="1"/>
  <c r="Q19" i="1"/>
  <c r="Q31" i="1"/>
  <c r="Q16" i="1"/>
  <c r="Q20" i="1"/>
  <c r="Q28" i="1"/>
  <c r="H22" i="1"/>
  <c r="Q13" i="1"/>
  <c r="Q25" i="1"/>
  <c r="Q37" i="1"/>
</calcChain>
</file>

<file path=xl/sharedStrings.xml><?xml version="1.0" encoding="utf-8"?>
<sst xmlns="http://schemas.openxmlformats.org/spreadsheetml/2006/main" count="174" uniqueCount="38">
  <si>
    <t xml:space="preserve"> तालिका- 1.06 (एयर इंडिया एक्सप्रेस) </t>
  </si>
  <si>
    <t>TABLE - 1.06 (AIR INDIA EXPRESS)</t>
  </si>
  <si>
    <t>YEAR-WISE DETAILS OF ANNUAL TRAFFIC AND OPERATING STATISTICS ON SCHEDULED (INTERNATIONAL+DOMESTIC) SERVICES OF AIR INDIA EXPRESS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</si>
  <si>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</si>
  <si>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</si>
  <si>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</si>
  <si>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</si>
  <si>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</si>
  <si>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</si>
  <si>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</si>
  <si>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</si>
  <si>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</si>
  <si>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</si>
  <si>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</si>
  <si>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</si>
  <si>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</si>
  <si>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</si>
  <si>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</si>
  <si>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</si>
  <si>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</si>
  <si>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</si>
  <si>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</si>
  <si>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</si>
  <si>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Growth</t>
  </si>
  <si>
    <t>-</t>
  </si>
  <si>
    <t>CAGR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</si>
  <si>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</si>
  <si>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</si>
  <si>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</si>
  <si>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</si>
  <si>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</si>
  <si>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</si>
  <si>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</si>
  <si>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</si>
  <si>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</si>
  <si>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</si>
  <si>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 xml:space="preserve">SOURCE: ICAO ATR FORM 'A' FURNISHED BY AIR INDIA EXPRESSS 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</si>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</sst>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  <numFmt numFmtId="167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</cellStyleXfs>
  <cellXfs count="30">
    <xf numFmtId="0" fontId="0" fillId="0" borderId="0" xfId="0"/>
    <xf numFmtId="0" fontId="3" fillId="2" borderId="1" xfId="3" applyBorder="1" applyAlignment="1" applyProtection="1">
      <alignment horizontal="center" vertical="center" textRotation="90" wrapText="1"/>
    </xf>
    <xf numFmtId="0" fontId="3" fillId="5" borderId="1" xfId="6" applyBorder="1" applyAlignment="1" applyProtection="1">
      <alignment horizontal="center" vertical="center" wrapText="1"/>
    </xf>
    <xf numFmtId="164" fontId="3" fillId="5" borderId="1" xfId="1" applyNumberFormat="1" applyFont="1" applyFill="1" applyBorder="1" applyAlignment="1" applyProtection="1">
      <alignment horizontal="center" vertical="center" wrapText="1"/>
    </xf>
    <xf numFmtId="165" fontId="3" fillId="5" borderId="1" xfId="1" applyNumberFormat="1" applyFont="1" applyFill="1" applyBorder="1" applyAlignment="1" applyProtection="1">
      <alignment horizontal="center" vertical="center" wrapText="1"/>
    </xf>
    <xf numFmtId="0" fontId="1" fillId="3" borderId="1" xfId="4" applyBorder="1" applyAlignment="1" applyProtection="1">
      <alignment horizontal="center" vertical="center" wrapText="1"/>
    </xf>
    <xf numFmtId="3" fontId="1" fillId="3" borderId="1" xfId="4" applyNumberFormat="1" applyBorder="1" applyAlignment="1" applyProtection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5" fillId="7" borderId="1" xfId="2" applyNumberFormat="1" applyFont="1" applyFill="1" applyBorder="1" applyAlignment="1" applyProtection="1">
      <alignment horizontal="center" vertical="center" wrapText="1"/>
    </xf>
    <xf numFmtId="167" fontId="1" fillId="3" borderId="1" xfId="2" applyNumberFormat="1" applyFill="1" applyBorder="1" applyAlignment="1" applyProtection="1">
      <alignment horizontal="center" vertical="center" wrapText="1"/>
    </xf>
    <xf numFmtId="167" fontId="6" fillId="8" borderId="1" xfId="2" applyNumberFormat="1" applyFont="1" applyFill="1" applyBorder="1" applyAlignment="1" applyProtection="1">
      <alignment horizontal="center" vertical="center" wrapText="1"/>
    </xf>
    <xf numFmtId="167" fontId="4" fillId="6" borderId="1" xfId="2" applyNumberFormat="1" applyFont="1" applyFill="1" applyBorder="1" applyAlignment="1" applyProtection="1">
      <alignment horizontal="center" vertical="center" wrapText="1"/>
    </xf>
    <xf numFmtId="167" fontId="7" fillId="6" borderId="1" xfId="2" applyNumberFormat="1" applyFont="1" applyFill="1" applyBorder="1" applyAlignment="1" applyProtection="1">
      <alignment horizontal="center" vertical="center" wrapText="1"/>
    </xf>
    <xf numFmtId="167" fontId="1" fillId="3" borderId="1" xfId="4" applyNumberFormat="1" applyBorder="1" applyAlignment="1" applyProtection="1">
      <alignment horizontal="center" vertical="center" wrapText="1"/>
    </xf>
    <xf numFmtId="43" fontId="3" fillId="5" borderId="1" xfId="1" applyNumberFormat="1" applyFont="1" applyFill="1" applyBorder="1" applyAlignment="1" applyProtection="1">
      <alignment horizontal="center" vertical="center" wrapText="1"/>
    </xf>
    <xf numFmtId="43" fontId="0" fillId="0" borderId="0" xfId="0" applyNumberFormat="1"/>
    <xf numFmtId="166" fontId="0" fillId="0" borderId="0" xfId="0" applyNumberFormat="1"/>
    <xf numFmtId="0" fontId="3" fillId="2" borderId="1" xfId="3" applyBorder="1" applyAlignment="1" applyProtection="1">
      <alignment horizontal="center" vertical="center" textRotation="90" wrapText="1"/>
    </xf>
    <xf numFmtId="0" fontId="3" fillId="2" borderId="1" xfId="3" applyBorder="1" applyAlignment="1">
      <alignment textRotation="90"/>
    </xf>
    <xf numFmtId="0" fontId="8" fillId="6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4" borderId="1" xfId="5" applyFont="1" applyBorder="1" applyAlignment="1">
      <alignment horizontal="center" vertical="center" wrapText="1"/>
    </xf>
    <xf numFmtId="0" fontId="1" fillId="4" borderId="1" xfId="5" applyBorder="1" applyAlignment="1">
      <alignment horizontal="center" vertical="center" wrapText="1"/>
    </xf>
    <xf numFmtId="0" fontId="0" fillId="4" borderId="1" xfId="5" quotePrefix="1" applyFont="1" applyBorder="1" applyAlignment="1" applyProtection="1">
      <alignment horizontal="center" vertical="center" wrapText="1"/>
    </xf>
    <xf numFmtId="0" fontId="1" fillId="4" borderId="1" xfId="5" applyBorder="1"/>
    <xf numFmtId="0" fontId="3" fillId="2" borderId="1" xfId="3" applyBorder="1" applyAlignment="1" applyProtection="1">
      <alignment horizontal="center" vertical="center" wrapText="1"/>
    </xf>
    <xf numFmtId="0" fontId="3" fillId="2" borderId="1" xfId="3" applyBorder="1"/>
  </cellXfs>
  <cellStyles count="7">
    <cellStyle name="20% - Accent1" xfId="4" builtinId="30"/>
    <cellStyle name="40% - Accent1" xfId="5" builtinId="31"/>
    <cellStyle name="60% - Accent1" xfId="6" builtinId="32"/>
    <cellStyle name="Accent1" xfId="3" builtinId="29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topLeftCell="A28" workbookViewId="0">
      <selection activeCell="N36" sqref="N36"/>
    </sheetView>
  </sheetViews>
  <sheetFormatPr defaultRowHeight="14.4" x14ac:dyDescent="0.3"/>
  <cols>
    <col min="1" max="1" width="7.6640625" customWidth="1"/>
    <col min="2" max="2" width="7.44140625" customWidth="1"/>
    <col min="3" max="3" width="8.109375" customWidth="1"/>
    <col min="4" max="4" width="7.44140625" customWidth="1"/>
    <col min="5" max="5" width="10" customWidth="1"/>
    <col min="6" max="6" width="8" customWidth="1"/>
    <col min="7" max="7" width="7.109375" customWidth="1"/>
    <col min="8" max="8" width="6.109375" customWidth="1"/>
    <col min="9" max="9" width="9" customWidth="1"/>
    <col min="10" max="10" width="7" customWidth="1"/>
    <col min="11" max="11" width="9.6640625" customWidth="1"/>
    <col min="12" max="12" width="6.5546875" customWidth="1"/>
    <col min="13" max="13" width="6.109375" customWidth="1"/>
    <col min="14" max="14" width="9.33203125" customWidth="1"/>
    <col min="15" max="16" width="7.88671875" customWidth="1"/>
    <col min="17" max="17" width="5.6640625" customWidth="1"/>
  </cols>
  <sheetData>
    <row r="1" spans="1:17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x14ac:dyDescent="0.3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ht="29.4" customHeight="1" x14ac:dyDescent="0.3">
      <c r="A4" s="28" t="s">
        <v>3</v>
      </c>
      <c r="B4" s="28" t="s">
        <v>4</v>
      </c>
      <c r="C4" s="28"/>
      <c r="D4" s="28"/>
      <c r="E4" s="28" t="s">
        <v>5</v>
      </c>
      <c r="F4" s="29"/>
      <c r="G4" s="18" t="s">
        <v>6</v>
      </c>
      <c r="H4" s="18" t="s">
        <v>7</v>
      </c>
      <c r="I4" s="28" t="s">
        <v>8</v>
      </c>
      <c r="J4" s="28"/>
      <c r="K4" s="28"/>
      <c r="L4" s="28" t="s">
        <v>9</v>
      </c>
      <c r="M4" s="28"/>
      <c r="N4" s="28"/>
      <c r="O4" s="28"/>
      <c r="P4" s="18" t="s">
        <v>10</v>
      </c>
      <c r="Q4" s="18" t="s">
        <v>11</v>
      </c>
    </row>
    <row r="5" spans="1:17" ht="119.25" customHeight="1" x14ac:dyDescent="0.3">
      <c r="A5" s="28"/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9"/>
      <c r="H5" s="19"/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18</v>
      </c>
      <c r="O5" s="1" t="s">
        <v>19</v>
      </c>
      <c r="P5" s="19"/>
      <c r="Q5" s="19"/>
    </row>
    <row r="6" spans="1:17" x14ac:dyDescent="0.3">
      <c r="A6" s="2" t="s">
        <v>22</v>
      </c>
      <c r="B6" s="3">
        <v>22969</v>
      </c>
      <c r="C6" s="3">
        <v>67104</v>
      </c>
      <c r="D6" s="3">
        <v>43545</v>
      </c>
      <c r="E6" s="3">
        <v>2236891</v>
      </c>
      <c r="F6" s="3">
        <v>5575.2709999999997</v>
      </c>
      <c r="G6" s="3">
        <v>7657.835</v>
      </c>
      <c r="H6" s="4">
        <f>F6/G6*100</f>
        <v>72.804794044269698</v>
      </c>
      <c r="I6" s="4">
        <v>0</v>
      </c>
      <c r="J6" s="4">
        <v>0</v>
      </c>
      <c r="K6" s="4">
        <v>0</v>
      </c>
      <c r="L6" s="4">
        <v>553.37</v>
      </c>
      <c r="M6" s="4">
        <v>0</v>
      </c>
      <c r="N6" s="4">
        <v>0</v>
      </c>
      <c r="O6" s="4">
        <v>553.37</v>
      </c>
      <c r="P6" s="4">
        <v>808.02800000000002</v>
      </c>
      <c r="Q6" s="4">
        <f>O6/P6*100</f>
        <v>68.484012930244987</v>
      </c>
    </row>
    <row r="7" spans="1:17" x14ac:dyDescent="0.3">
      <c r="A7" s="5" t="s">
        <v>23</v>
      </c>
      <c r="B7" s="6" t="s">
        <v>24</v>
      </c>
      <c r="C7" s="6" t="s">
        <v>24</v>
      </c>
      <c r="D7" s="6" t="s">
        <v>24</v>
      </c>
      <c r="E7" s="6" t="s">
        <v>24</v>
      </c>
      <c r="F7" s="6" t="s">
        <v>24</v>
      </c>
      <c r="G7" s="6" t="s">
        <v>24</v>
      </c>
      <c r="H7" s="6" t="s">
        <v>24</v>
      </c>
      <c r="I7" s="6" t="s">
        <v>24</v>
      </c>
      <c r="J7" s="6" t="s">
        <v>24</v>
      </c>
      <c r="K7" s="6" t="s">
        <v>24</v>
      </c>
      <c r="L7" s="6" t="s">
        <v>24</v>
      </c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</row>
    <row r="8" spans="1:17" x14ac:dyDescent="0.3">
      <c r="A8" s="7" t="s">
        <v>25</v>
      </c>
      <c r="B8" s="8" t="s">
        <v>24</v>
      </c>
      <c r="C8" s="8" t="s">
        <v>24</v>
      </c>
      <c r="D8" s="8" t="s">
        <v>24</v>
      </c>
      <c r="E8" s="8" t="s">
        <v>24</v>
      </c>
      <c r="F8" s="8" t="s">
        <v>24</v>
      </c>
      <c r="G8" s="8" t="s">
        <v>24</v>
      </c>
      <c r="H8" s="8" t="s">
        <v>24</v>
      </c>
      <c r="I8" s="8" t="s">
        <v>24</v>
      </c>
      <c r="J8" s="8" t="s">
        <v>24</v>
      </c>
      <c r="K8" s="8" t="s">
        <v>24</v>
      </c>
      <c r="L8" s="8" t="s">
        <v>24</v>
      </c>
      <c r="M8" s="8" t="s">
        <v>24</v>
      </c>
      <c r="N8" s="8" t="s">
        <v>24</v>
      </c>
      <c r="O8" s="8" t="s">
        <v>24</v>
      </c>
      <c r="P8" s="8" t="s">
        <v>24</v>
      </c>
      <c r="Q8" s="8" t="s">
        <v>24</v>
      </c>
    </row>
    <row r="9" spans="1:17" x14ac:dyDescent="0.3">
      <c r="A9" s="2" t="s">
        <v>26</v>
      </c>
      <c r="B9" s="3">
        <v>27005</v>
      </c>
      <c r="C9" s="3">
        <v>78142.34</v>
      </c>
      <c r="D9" s="3">
        <v>50792</v>
      </c>
      <c r="E9" s="3">
        <v>2501231</v>
      </c>
      <c r="F9" s="3">
        <v>5935.0379999999996</v>
      </c>
      <c r="G9" s="3">
        <v>8927.2849999999999</v>
      </c>
      <c r="H9" s="9">
        <f>F9/G9*100</f>
        <v>66.482004327183446</v>
      </c>
      <c r="I9" s="4">
        <v>0</v>
      </c>
      <c r="J9" s="4">
        <v>0</v>
      </c>
      <c r="K9" s="4">
        <v>0</v>
      </c>
      <c r="L9" s="4">
        <v>575.70100000000002</v>
      </c>
      <c r="M9" s="4">
        <v>0</v>
      </c>
      <c r="N9" s="4">
        <v>0</v>
      </c>
      <c r="O9" s="4">
        <v>575.70100000000002</v>
      </c>
      <c r="P9" s="4">
        <v>919.41300000000001</v>
      </c>
      <c r="Q9" s="9">
        <f>O9/P9*100</f>
        <v>62.616147476705244</v>
      </c>
    </row>
    <row r="10" spans="1:17" x14ac:dyDescent="0.3">
      <c r="A10" s="5" t="s">
        <v>23</v>
      </c>
      <c r="B10" s="10">
        <v>0.17571509425747747</v>
      </c>
      <c r="C10" s="10">
        <v>0.16449600619933233</v>
      </c>
      <c r="D10" s="10">
        <v>0.16642553680101044</v>
      </c>
      <c r="E10" s="10">
        <v>0.11817294629018579</v>
      </c>
      <c r="F10" s="10">
        <v>6.4529060560464202E-2</v>
      </c>
      <c r="G10" s="10">
        <v>0.16577139622360626</v>
      </c>
      <c r="H10" s="11">
        <f t="shared" ref="H10" si="0">(H9-H6)/H6</f>
        <v>-8.6845788111722624E-2</v>
      </c>
      <c r="I10" s="10" t="s">
        <v>24</v>
      </c>
      <c r="J10" s="10" t="s">
        <v>24</v>
      </c>
      <c r="K10" s="10" t="s">
        <v>24</v>
      </c>
      <c r="L10" s="10">
        <v>4.0354554818656629E-2</v>
      </c>
      <c r="M10" s="10" t="s">
        <v>24</v>
      </c>
      <c r="N10" s="10" t="s">
        <v>24</v>
      </c>
      <c r="O10" s="10">
        <v>4.0354554818656629E-2</v>
      </c>
      <c r="P10" s="10">
        <v>0.13784794586326216</v>
      </c>
      <c r="Q10" s="11">
        <f t="shared" ref="Q10" si="1">(Q9-Q6)/Q6</f>
        <v>-8.5682266597264245E-2</v>
      </c>
    </row>
    <row r="11" spans="1:17" x14ac:dyDescent="0.3">
      <c r="A11" s="7" t="s">
        <v>25</v>
      </c>
      <c r="B11" s="12">
        <v>0.17571509425747744</v>
      </c>
      <c r="C11" s="12">
        <v>0.16449600619933236</v>
      </c>
      <c r="D11" s="12">
        <v>0.16642553680101035</v>
      </c>
      <c r="E11" s="12">
        <v>0.11817294629018571</v>
      </c>
      <c r="F11" s="12">
        <v>6.4529060560464258E-2</v>
      </c>
      <c r="G11" s="12">
        <v>0.16577139622360626</v>
      </c>
      <c r="H11" s="13">
        <f t="shared" ref="H11" si="2">(((H9/H6)^(1/1))-1)</f>
        <v>-8.684578811172261E-2</v>
      </c>
      <c r="I11" s="12" t="s">
        <v>24</v>
      </c>
      <c r="J11" s="12" t="s">
        <v>24</v>
      </c>
      <c r="K11" s="12" t="s">
        <v>24</v>
      </c>
      <c r="L11" s="12">
        <v>4.0354554818656574E-2</v>
      </c>
      <c r="M11" s="12" t="s">
        <v>24</v>
      </c>
      <c r="N11" s="12" t="s">
        <v>24</v>
      </c>
      <c r="O11" s="12">
        <v>4.0354554818656574E-2</v>
      </c>
      <c r="P11" s="12">
        <v>0.13784794586326221</v>
      </c>
      <c r="Q11" s="13">
        <f t="shared" ref="Q11" si="3">(((Q9/Q6)^(1/1))-1)</f>
        <v>-8.5682266597264301E-2</v>
      </c>
    </row>
    <row r="12" spans="1:17" x14ac:dyDescent="0.3">
      <c r="A12" s="2" t="s">
        <v>27</v>
      </c>
      <c r="B12" s="3">
        <v>23945</v>
      </c>
      <c r="C12" s="3">
        <v>72557</v>
      </c>
      <c r="D12" s="3">
        <v>46451</v>
      </c>
      <c r="E12" s="3">
        <v>2379887</v>
      </c>
      <c r="F12" s="3">
        <v>5643.5150000000003</v>
      </c>
      <c r="G12" s="3">
        <v>8144.1450000000004</v>
      </c>
      <c r="H12" s="9">
        <f t="shared" ref="H12:H36" si="4">F12/G12*100</f>
        <v>69.295364952367621</v>
      </c>
      <c r="I12" s="4">
        <v>0</v>
      </c>
      <c r="J12" s="4">
        <v>0</v>
      </c>
      <c r="K12" s="4">
        <v>0</v>
      </c>
      <c r="L12" s="4">
        <v>547.42200000000003</v>
      </c>
      <c r="M12" s="4">
        <v>0</v>
      </c>
      <c r="N12" s="4">
        <v>0</v>
      </c>
      <c r="O12" s="4">
        <v>547.42200000000003</v>
      </c>
      <c r="P12" s="4">
        <v>840.44100000000003</v>
      </c>
      <c r="Q12" s="9">
        <f t="shared" ref="Q12:Q36" si="5">O12/P12*100</f>
        <v>65.135089792144839</v>
      </c>
    </row>
    <row r="13" spans="1:17" x14ac:dyDescent="0.3">
      <c r="A13" s="5" t="s">
        <v>23</v>
      </c>
      <c r="B13" s="10">
        <v>-0.11331234956489539</v>
      </c>
      <c r="C13" s="10">
        <v>-7.147648765061293E-2</v>
      </c>
      <c r="D13" s="10">
        <v>-8.5466215151992445E-2</v>
      </c>
      <c r="E13" s="10">
        <v>-4.8513711848285901E-2</v>
      </c>
      <c r="F13" s="10">
        <v>-4.9118977839737378E-2</v>
      </c>
      <c r="G13" s="10">
        <v>-8.7724319319927552E-2</v>
      </c>
      <c r="H13" s="11">
        <f t="shared" ref="H13" si="6">(H12-H9)/H9</f>
        <v>4.2317626456304581E-2</v>
      </c>
      <c r="I13" s="10" t="s">
        <v>24</v>
      </c>
      <c r="J13" s="10" t="s">
        <v>24</v>
      </c>
      <c r="K13" s="10" t="s">
        <v>24</v>
      </c>
      <c r="L13" s="10">
        <v>-4.9120984677810176E-2</v>
      </c>
      <c r="M13" s="10" t="s">
        <v>24</v>
      </c>
      <c r="N13" s="10" t="s">
        <v>24</v>
      </c>
      <c r="O13" s="10">
        <v>-4.9120984677810176E-2</v>
      </c>
      <c r="P13" s="10">
        <v>-8.5893934499512173E-2</v>
      </c>
      <c r="Q13" s="11">
        <f t="shared" ref="Q13" si="7">(Q12-Q9)/Q9</f>
        <v>4.0228318364311767E-2</v>
      </c>
    </row>
    <row r="14" spans="1:17" x14ac:dyDescent="0.3">
      <c r="A14" s="7" t="s">
        <v>25</v>
      </c>
      <c r="B14" s="12">
        <v>2.1025001901643137E-2</v>
      </c>
      <c r="C14" s="12">
        <v>3.9837449697325278E-2</v>
      </c>
      <c r="D14" s="12">
        <v>3.2828911734173349E-2</v>
      </c>
      <c r="E14" s="12">
        <v>3.1467995711604635E-2</v>
      </c>
      <c r="F14" s="12">
        <v>6.1016256944614877E-3</v>
      </c>
      <c r="G14" s="12">
        <v>3.1263736396877739E-2</v>
      </c>
      <c r="H14" s="13">
        <f t="shared" ref="H14" si="8">(((H12/H6)^(1/2))-1)</f>
        <v>-2.4399297497194938E-2</v>
      </c>
      <c r="I14" s="12" t="s">
        <v>24</v>
      </c>
      <c r="J14" s="12" t="s">
        <v>24</v>
      </c>
      <c r="K14" s="12" t="s">
        <v>24</v>
      </c>
      <c r="L14" s="12">
        <v>-5.3888625840150528E-3</v>
      </c>
      <c r="M14" s="12" t="s">
        <v>24</v>
      </c>
      <c r="N14" s="12" t="s">
        <v>24</v>
      </c>
      <c r="O14" s="12">
        <v>-5.3888625840150528E-3</v>
      </c>
      <c r="P14" s="12">
        <v>1.9859651584902549E-2</v>
      </c>
      <c r="Q14" s="13">
        <f t="shared" ref="Q14" si="9">(((Q12/Q6)^(1/2))-1)</f>
        <v>-2.4756851719430539E-2</v>
      </c>
    </row>
    <row r="15" spans="1:17" x14ac:dyDescent="0.3">
      <c r="A15" s="2" t="s">
        <v>28</v>
      </c>
      <c r="B15" s="3">
        <v>22020</v>
      </c>
      <c r="C15" s="3">
        <v>67809.69</v>
      </c>
      <c r="D15" s="3">
        <v>44340</v>
      </c>
      <c r="E15" s="3">
        <v>2301407</v>
      </c>
      <c r="F15" s="3">
        <v>5549.2709999999997</v>
      </c>
      <c r="G15" s="3">
        <v>7766.6710000000003</v>
      </c>
      <c r="H15" s="9">
        <f t="shared" si="4"/>
        <v>71.449801337020702</v>
      </c>
      <c r="I15" s="4">
        <v>0</v>
      </c>
      <c r="J15" s="4">
        <v>0</v>
      </c>
      <c r="K15" s="4">
        <v>0</v>
      </c>
      <c r="L15" s="4">
        <v>538.28700000000003</v>
      </c>
      <c r="M15" s="4">
        <v>0</v>
      </c>
      <c r="N15" s="4">
        <v>0</v>
      </c>
      <c r="O15" s="4">
        <v>538.28700000000003</v>
      </c>
      <c r="P15" s="4">
        <v>807.05200000000002</v>
      </c>
      <c r="Q15" s="9">
        <f t="shared" si="5"/>
        <v>66.69793272304635</v>
      </c>
    </row>
    <row r="16" spans="1:17" x14ac:dyDescent="0.3">
      <c r="A16" s="5" t="s">
        <v>23</v>
      </c>
      <c r="B16" s="10">
        <v>-8.0392566297765714E-2</v>
      </c>
      <c r="C16" s="10">
        <v>-6.5428697437876396E-2</v>
      </c>
      <c r="D16" s="10">
        <v>-4.5445738520161032E-2</v>
      </c>
      <c r="E16" s="10">
        <v>-3.2976355600076813E-2</v>
      </c>
      <c r="F16" s="10">
        <v>-1.6699521486166085E-2</v>
      </c>
      <c r="G16" s="10">
        <v>-4.6349125660213583E-2</v>
      </c>
      <c r="H16" s="11">
        <f t="shared" ref="H16" si="10">(H15-H12)/H12</f>
        <v>3.1090627578540093E-2</v>
      </c>
      <c r="I16" s="10" t="s">
        <v>24</v>
      </c>
      <c r="J16" s="10" t="s">
        <v>24</v>
      </c>
      <c r="K16" s="10" t="s">
        <v>24</v>
      </c>
      <c r="L16" s="10">
        <v>-1.6687308876881073E-2</v>
      </c>
      <c r="M16" s="10" t="s">
        <v>24</v>
      </c>
      <c r="N16" s="10" t="s">
        <v>24</v>
      </c>
      <c r="O16" s="10">
        <v>-1.6687308876881073E-2</v>
      </c>
      <c r="P16" s="10">
        <v>-3.9727952348826402E-2</v>
      </c>
      <c r="Q16" s="11">
        <f t="shared" ref="Q16" si="11">(Q15-Q12)/Q12</f>
        <v>2.3993870828899758E-2</v>
      </c>
    </row>
    <row r="17" spans="1:17" x14ac:dyDescent="0.3">
      <c r="A17" s="7" t="s">
        <v>25</v>
      </c>
      <c r="B17" s="12">
        <v>-1.3966336160918802E-2</v>
      </c>
      <c r="C17" s="12">
        <v>3.4932373044658238E-3</v>
      </c>
      <c r="D17" s="12">
        <v>6.0489944026569376E-3</v>
      </c>
      <c r="E17" s="12">
        <v>9.5229641547269761E-3</v>
      </c>
      <c r="F17" s="12">
        <v>-1.5569061790078331E-3</v>
      </c>
      <c r="G17" s="12">
        <v>4.7151893896191233E-3</v>
      </c>
      <c r="H17" s="13">
        <f t="shared" ref="H17" si="12">(((H15/H6)^(1/3))-1)</f>
        <v>-6.2426602432849032E-3</v>
      </c>
      <c r="I17" s="12" t="s">
        <v>24</v>
      </c>
      <c r="J17" s="12" t="s">
        <v>24</v>
      </c>
      <c r="K17" s="12" t="s">
        <v>24</v>
      </c>
      <c r="L17" s="12">
        <v>-9.1693627595502702E-3</v>
      </c>
      <c r="M17" s="12" t="s">
        <v>24</v>
      </c>
      <c r="N17" s="12" t="s">
        <v>24</v>
      </c>
      <c r="O17" s="12">
        <v>-9.1693627595502702E-3</v>
      </c>
      <c r="P17" s="12">
        <v>-4.0278852844544133E-4</v>
      </c>
      <c r="Q17" s="13">
        <f t="shared" ref="Q17" si="13">(((Q15/Q6)^(1/3))-1)</f>
        <v>-8.7701067294886359E-3</v>
      </c>
    </row>
    <row r="18" spans="1:17" x14ac:dyDescent="0.3">
      <c r="A18" s="2" t="s">
        <v>29</v>
      </c>
      <c r="B18" s="3">
        <v>18486</v>
      </c>
      <c r="C18" s="3">
        <v>58338</v>
      </c>
      <c r="D18" s="3">
        <v>37349</v>
      </c>
      <c r="E18" s="3">
        <v>2164153</v>
      </c>
      <c r="F18" s="3">
        <v>5236.4549999999999</v>
      </c>
      <c r="G18" s="3">
        <v>6947.1679999999997</v>
      </c>
      <c r="H18" s="9">
        <f t="shared" si="4"/>
        <v>75.375390374898089</v>
      </c>
      <c r="I18" s="4">
        <v>0</v>
      </c>
      <c r="J18" s="4">
        <v>0</v>
      </c>
      <c r="K18" s="4">
        <v>0</v>
      </c>
      <c r="L18" s="4">
        <v>507.94397855524659</v>
      </c>
      <c r="M18" s="4">
        <v>0</v>
      </c>
      <c r="N18" s="4">
        <v>0</v>
      </c>
      <c r="O18" s="4">
        <v>507.94397855524659</v>
      </c>
      <c r="P18" s="4">
        <v>719.90297664117952</v>
      </c>
      <c r="Q18" s="9">
        <f t="shared" si="5"/>
        <v>70.557282722338371</v>
      </c>
    </row>
    <row r="19" spans="1:17" x14ac:dyDescent="0.3">
      <c r="A19" s="5" t="s">
        <v>23</v>
      </c>
      <c r="B19" s="14">
        <v>-0.16049046321525887</v>
      </c>
      <c r="C19" s="14">
        <v>-0.13968047929433097</v>
      </c>
      <c r="D19" s="14">
        <v>-0.15766801984663961</v>
      </c>
      <c r="E19" s="14">
        <v>-5.963916856079781E-2</v>
      </c>
      <c r="F19" s="14">
        <v>-5.6370647603982547E-2</v>
      </c>
      <c r="G19" s="14">
        <v>-0.10551534885409727</v>
      </c>
      <c r="H19" s="11">
        <f t="shared" ref="H19" si="14">(H18-H15)/H15</f>
        <v>5.4941916764202375E-2</v>
      </c>
      <c r="I19" s="14" t="s">
        <v>24</v>
      </c>
      <c r="J19" s="14" t="s">
        <v>24</v>
      </c>
      <c r="K19" s="14" t="s">
        <v>24</v>
      </c>
      <c r="L19" s="14">
        <v>-5.6369597342595015E-2</v>
      </c>
      <c r="M19" s="14" t="s">
        <v>24</v>
      </c>
      <c r="N19" s="14" t="s">
        <v>24</v>
      </c>
      <c r="O19" s="14">
        <v>-5.6369597342595015E-2</v>
      </c>
      <c r="P19" s="14">
        <v>-0.10798439674125149</v>
      </c>
      <c r="Q19" s="11">
        <f t="shared" ref="Q19" si="15">(Q18-Q15)/Q15</f>
        <v>5.786311271921158E-2</v>
      </c>
    </row>
    <row r="20" spans="1:17" x14ac:dyDescent="0.3">
      <c r="A20" s="7" t="s">
        <v>25</v>
      </c>
      <c r="B20" s="12">
        <v>-5.2835929563985751E-2</v>
      </c>
      <c r="C20" s="12">
        <v>-3.4392163126895636E-2</v>
      </c>
      <c r="D20" s="12">
        <v>-3.7645301844429824E-2</v>
      </c>
      <c r="E20" s="12">
        <v>-8.2304167383971949E-3</v>
      </c>
      <c r="F20" s="12">
        <v>-1.5551847265807495E-2</v>
      </c>
      <c r="G20" s="12">
        <v>-2.4054762295087961E-2</v>
      </c>
      <c r="H20" s="13">
        <f t="shared" ref="H20" si="16">(((H18/H6)^(1/4))-1)</f>
        <v>8.7124919521881505E-3</v>
      </c>
      <c r="I20" s="12" t="s">
        <v>24</v>
      </c>
      <c r="J20" s="12" t="s">
        <v>24</v>
      </c>
      <c r="K20" s="12" t="s">
        <v>24</v>
      </c>
      <c r="L20" s="12">
        <v>-2.1186272926242977E-2</v>
      </c>
      <c r="M20" s="12" t="s">
        <v>24</v>
      </c>
      <c r="N20" s="12" t="s">
        <v>24</v>
      </c>
      <c r="O20" s="12">
        <v>-2.1186272926242977E-2</v>
      </c>
      <c r="P20" s="12">
        <v>-2.8457307092556117E-2</v>
      </c>
      <c r="Q20" s="13">
        <f t="shared" ref="Q20" si="17">(((Q18/Q6)^(1/4))-1)</f>
        <v>7.4840089060355108E-3</v>
      </c>
    </row>
    <row r="21" spans="1:17" x14ac:dyDescent="0.3">
      <c r="A21" s="2" t="s">
        <v>30</v>
      </c>
      <c r="B21" s="3">
        <v>20889</v>
      </c>
      <c r="C21" s="3">
        <v>67283</v>
      </c>
      <c r="D21" s="3">
        <v>43654.671000000002</v>
      </c>
      <c r="E21" s="3">
        <v>2668193</v>
      </c>
      <c r="F21" s="3">
        <v>6396.3008899999995</v>
      </c>
      <c r="G21" s="3">
        <v>8119.8387480000001</v>
      </c>
      <c r="H21" s="9">
        <f t="shared" si="4"/>
        <v>78.773742786154159</v>
      </c>
      <c r="I21" s="4">
        <v>0</v>
      </c>
      <c r="J21" s="4">
        <v>0</v>
      </c>
      <c r="K21" s="4">
        <v>0</v>
      </c>
      <c r="L21" s="4">
        <v>620.45056546724231</v>
      </c>
      <c r="M21" s="4">
        <v>0</v>
      </c>
      <c r="N21" s="4">
        <v>0</v>
      </c>
      <c r="O21" s="4">
        <v>620.45056546724231</v>
      </c>
      <c r="P21" s="4">
        <v>842.99393196081405</v>
      </c>
      <c r="Q21" s="9">
        <f t="shared" si="5"/>
        <v>73.60083411562249</v>
      </c>
    </row>
    <row r="22" spans="1:17" x14ac:dyDescent="0.3">
      <c r="A22" s="5" t="s">
        <v>23</v>
      </c>
      <c r="B22" s="14">
        <v>0.1299902629016553</v>
      </c>
      <c r="C22" s="14">
        <v>0.15333059069560148</v>
      </c>
      <c r="D22" s="14">
        <v>0.1688310530402421</v>
      </c>
      <c r="E22" s="14">
        <v>0.23290405068403205</v>
      </c>
      <c r="F22" s="14">
        <v>0.22149448243133946</v>
      </c>
      <c r="G22" s="14">
        <v>0.16879838633526648</v>
      </c>
      <c r="H22" s="11">
        <f t="shared" ref="H22" si="18">(H21-H18)/H18</f>
        <v>4.5085702300890602E-2</v>
      </c>
      <c r="I22" s="14" t="s">
        <v>24</v>
      </c>
      <c r="J22" s="14" t="s">
        <v>24</v>
      </c>
      <c r="K22" s="14" t="s">
        <v>24</v>
      </c>
      <c r="L22" s="14">
        <v>0.22149408529657161</v>
      </c>
      <c r="M22" s="14" t="s">
        <v>24</v>
      </c>
      <c r="N22" s="14" t="s">
        <v>24</v>
      </c>
      <c r="O22" s="14">
        <v>0.22149408529657161</v>
      </c>
      <c r="P22" s="14">
        <v>0.17098270088274217</v>
      </c>
      <c r="Q22" s="11">
        <f t="shared" ref="Q22" si="19">(Q21-Q18)/Q18</f>
        <v>4.3135892934841345E-2</v>
      </c>
    </row>
    <row r="23" spans="1:17" x14ac:dyDescent="0.3">
      <c r="A23" s="7" t="s">
        <v>25</v>
      </c>
      <c r="B23" s="12">
        <v>-1.8805483536675438E-2</v>
      </c>
      <c r="C23" s="12">
        <v>5.3293190280623293E-4</v>
      </c>
      <c r="D23" s="12">
        <v>5.0320671103798453E-4</v>
      </c>
      <c r="E23" s="12">
        <v>3.5892010861201307E-2</v>
      </c>
      <c r="F23" s="12">
        <v>2.785672243889481E-2</v>
      </c>
      <c r="G23" s="12">
        <v>1.1785101202887782E-2</v>
      </c>
      <c r="H23" s="13">
        <f t="shared" ref="H23" si="20">(((H21/H6)^(1/5))-1)</f>
        <v>1.5884421718505015E-2</v>
      </c>
      <c r="I23" s="12" t="s">
        <v>24</v>
      </c>
      <c r="J23" s="12" t="s">
        <v>24</v>
      </c>
      <c r="K23" s="12" t="s">
        <v>24</v>
      </c>
      <c r="L23" s="12">
        <v>2.3147658651157643E-2</v>
      </c>
      <c r="M23" s="12" t="s">
        <v>24</v>
      </c>
      <c r="N23" s="12" t="s">
        <v>24</v>
      </c>
      <c r="O23" s="12">
        <v>2.3147658651157643E-2</v>
      </c>
      <c r="P23" s="12">
        <v>8.5086038287034427E-3</v>
      </c>
      <c r="Q23" s="13">
        <f t="shared" ref="Q23" si="21">(((Q21/Q6)^(1/5))-1)</f>
        <v>1.4515547777062654E-2</v>
      </c>
    </row>
    <row r="24" spans="1:17" x14ac:dyDescent="0.3">
      <c r="A24" s="2" t="s">
        <v>31</v>
      </c>
      <c r="B24" s="3">
        <v>19524</v>
      </c>
      <c r="C24" s="3">
        <v>66620</v>
      </c>
      <c r="D24" s="3">
        <v>43891</v>
      </c>
      <c r="E24" s="3">
        <v>2583255</v>
      </c>
      <c r="F24" s="3">
        <v>6639.1989999999996</v>
      </c>
      <c r="G24" s="3">
        <v>8160.7849999999999</v>
      </c>
      <c r="H24" s="9">
        <f t="shared" si="4"/>
        <v>81.354906421379809</v>
      </c>
      <c r="I24" s="4">
        <v>0</v>
      </c>
      <c r="J24" s="4">
        <v>0</v>
      </c>
      <c r="K24" s="4">
        <v>0</v>
      </c>
      <c r="L24" s="4">
        <v>529.77085</v>
      </c>
      <c r="M24" s="4">
        <v>11.570879999999999</v>
      </c>
      <c r="N24" s="4">
        <v>0.49462</v>
      </c>
      <c r="O24" s="4">
        <v>541.36682000000008</v>
      </c>
      <c r="P24" s="4">
        <v>659.40926999999999</v>
      </c>
      <c r="Q24" s="9">
        <f t="shared" si="5"/>
        <v>82.098757877637979</v>
      </c>
    </row>
    <row r="25" spans="1:17" x14ac:dyDescent="0.3">
      <c r="A25" s="5" t="s">
        <v>23</v>
      </c>
      <c r="B25" s="14">
        <v>-6.5345397098951596E-2</v>
      </c>
      <c r="C25" s="14">
        <v>-9.8539006881381633E-3</v>
      </c>
      <c r="D25" s="14">
        <v>5.4136016739193358E-3</v>
      </c>
      <c r="E25" s="14">
        <v>-3.1833529283676255E-2</v>
      </c>
      <c r="F25" s="14">
        <v>3.7974778575496332E-2</v>
      </c>
      <c r="G25" s="14">
        <v>5.0427420138220375E-3</v>
      </c>
      <c r="H25" s="11">
        <f t="shared" ref="H25" si="22">(H24-H21)/H21</f>
        <v>3.2766802032406846E-2</v>
      </c>
      <c r="I25" s="14" t="s">
        <v>24</v>
      </c>
      <c r="J25" s="14" t="s">
        <v>24</v>
      </c>
      <c r="K25" s="14" t="s">
        <v>24</v>
      </c>
      <c r="L25" s="14">
        <v>-0.1461513946706684</v>
      </c>
      <c r="M25" s="14" t="s">
        <v>24</v>
      </c>
      <c r="N25" s="14" t="s">
        <v>24</v>
      </c>
      <c r="O25" s="14">
        <v>-0.12746179932592486</v>
      </c>
      <c r="P25" s="14">
        <v>-0.21777696730721882</v>
      </c>
      <c r="Q25" s="11">
        <f t="shared" ref="Q25" si="23">(Q24-Q21)/Q21</f>
        <v>0.11545961216507086</v>
      </c>
    </row>
    <row r="26" spans="1:17" x14ac:dyDescent="0.3">
      <c r="A26" s="7" t="s">
        <v>25</v>
      </c>
      <c r="B26" s="12">
        <v>-2.6720031181338366E-2</v>
      </c>
      <c r="C26" s="12">
        <v>-1.2057428329348419E-3</v>
      </c>
      <c r="D26" s="12">
        <v>1.3199372729457703E-3</v>
      </c>
      <c r="E26" s="12">
        <v>2.4284048622816634E-2</v>
      </c>
      <c r="F26" s="12">
        <v>2.953618974653649E-2</v>
      </c>
      <c r="G26" s="12">
        <v>1.0658241772640631E-2</v>
      </c>
      <c r="H26" s="13">
        <f t="shared" ref="H26" si="24">(((H24/H6)^(1/6))-1)</f>
        <v>1.8678864124023642E-2</v>
      </c>
      <c r="I26" s="12" t="s">
        <v>24</v>
      </c>
      <c r="J26" s="12" t="s">
        <v>24</v>
      </c>
      <c r="K26" s="12" t="s">
        <v>24</v>
      </c>
      <c r="L26" s="12">
        <v>-7.2373997982041471E-3</v>
      </c>
      <c r="M26" s="12" t="s">
        <v>24</v>
      </c>
      <c r="N26" s="12" t="s">
        <v>24</v>
      </c>
      <c r="O26" s="12">
        <v>-3.6482897271954418E-3</v>
      </c>
      <c r="P26" s="12">
        <v>-3.3308040581295106E-2</v>
      </c>
      <c r="Q26" s="13">
        <f t="shared" ref="Q26" si="25">(((Q24/Q6)^(1/6))-1)</f>
        <v>3.0681698099500831E-2</v>
      </c>
    </row>
    <row r="27" spans="1:17" x14ac:dyDescent="0.3">
      <c r="A27" s="2" t="s">
        <v>32</v>
      </c>
      <c r="B27" s="3">
        <v>20101</v>
      </c>
      <c r="C27" s="3">
        <v>70395.48000000001</v>
      </c>
      <c r="D27" s="3">
        <v>46938</v>
      </c>
      <c r="E27" s="3">
        <v>2784008</v>
      </c>
      <c r="F27" s="3">
        <v>7189.0640000000003</v>
      </c>
      <c r="G27" s="3">
        <v>8729.6020000000008</v>
      </c>
      <c r="H27" s="9">
        <f t="shared" si="4"/>
        <v>82.352712070951227</v>
      </c>
      <c r="I27" s="4">
        <v>4032.6599999999994</v>
      </c>
      <c r="J27" s="4">
        <v>2.5120000000000005</v>
      </c>
      <c r="K27" s="4">
        <v>4035.1719999999991</v>
      </c>
      <c r="L27" s="4">
        <v>658.18547999999998</v>
      </c>
      <c r="M27" s="4">
        <v>13.940390000000003</v>
      </c>
      <c r="N27" s="4">
        <v>0.12473000000000001</v>
      </c>
      <c r="O27" s="4">
        <v>672.15069999999992</v>
      </c>
      <c r="P27" s="4">
        <v>817.54653999999994</v>
      </c>
      <c r="Q27" s="9">
        <f t="shared" si="5"/>
        <v>82.215588607347044</v>
      </c>
    </row>
    <row r="28" spans="1:17" x14ac:dyDescent="0.3">
      <c r="A28" s="5" t="s">
        <v>23</v>
      </c>
      <c r="B28" s="14">
        <v>2.955337021102233E-2</v>
      </c>
      <c r="C28" s="14">
        <v>5.667187030921661E-2</v>
      </c>
      <c r="D28" s="14">
        <v>6.9421977170718366E-2</v>
      </c>
      <c r="E28" s="14">
        <v>7.7713195174305291E-2</v>
      </c>
      <c r="F28" s="14">
        <v>8.2820984880856971E-2</v>
      </c>
      <c r="G28" s="14">
        <v>6.9701260356693745E-2</v>
      </c>
      <c r="H28" s="11">
        <f t="shared" ref="H28" si="26">(H27-H24)/H24</f>
        <v>1.2264849084863532E-2</v>
      </c>
      <c r="I28" s="14" t="s">
        <v>24</v>
      </c>
      <c r="J28" s="14" t="s">
        <v>24</v>
      </c>
      <c r="K28" s="14" t="s">
        <v>24</v>
      </c>
      <c r="L28" s="14">
        <v>0.24239655692645223</v>
      </c>
      <c r="M28" s="14">
        <v>0.20478217732791315</v>
      </c>
      <c r="N28" s="14">
        <v>-0.74782661437062792</v>
      </c>
      <c r="O28" s="14">
        <v>0.24158089333956562</v>
      </c>
      <c r="P28" s="14">
        <v>0.23981657097419928</v>
      </c>
      <c r="Q28" s="11">
        <f t="shared" ref="Q28" si="27">(Q27-Q24)/Q24</f>
        <v>1.4230511243932867E-3</v>
      </c>
    </row>
    <row r="29" spans="1:17" x14ac:dyDescent="0.3">
      <c r="A29" s="7" t="s">
        <v>25</v>
      </c>
      <c r="B29" s="12">
        <v>-1.8873327865870149E-2</v>
      </c>
      <c r="C29" s="12">
        <v>6.8642232147919646E-3</v>
      </c>
      <c r="D29" s="12">
        <v>1.077661036771338E-2</v>
      </c>
      <c r="E29" s="12">
        <v>3.1751464073276559E-2</v>
      </c>
      <c r="F29" s="12">
        <v>3.6984674985037991E-2</v>
      </c>
      <c r="G29" s="12">
        <v>1.8889108625396833E-2</v>
      </c>
      <c r="H29" s="13">
        <f t="shared" ref="H29" si="28">(((H27/H6)^(1/7))-1)</f>
        <v>1.7760094014602101E-2</v>
      </c>
      <c r="I29" s="12" t="s">
        <v>24</v>
      </c>
      <c r="J29" s="12" t="s">
        <v>24</v>
      </c>
      <c r="K29" s="12" t="s">
        <v>24</v>
      </c>
      <c r="L29" s="12">
        <v>2.5089564374617845E-2</v>
      </c>
      <c r="M29" s="12" t="s">
        <v>24</v>
      </c>
      <c r="N29" s="12" t="s">
        <v>24</v>
      </c>
      <c r="O29" s="12">
        <v>2.8168832985345338E-2</v>
      </c>
      <c r="P29" s="12">
        <v>1.6744173350515812E-3</v>
      </c>
      <c r="Q29" s="13">
        <f t="shared" ref="Q29" si="29">(((Q27/Q6)^(1/7))-1)</f>
        <v>2.6450127098964771E-2</v>
      </c>
    </row>
    <row r="30" spans="1:17" x14ac:dyDescent="0.3">
      <c r="A30" s="2" t="s">
        <v>33</v>
      </c>
      <c r="B30" s="3">
        <v>25963</v>
      </c>
      <c r="C30" s="3">
        <v>93964</v>
      </c>
      <c r="D30" s="3">
        <v>62227.070000000007</v>
      </c>
      <c r="E30" s="3">
        <v>3420763</v>
      </c>
      <c r="F30" s="3">
        <v>8786.464320000001</v>
      </c>
      <c r="G30" s="3">
        <v>11574.16136</v>
      </c>
      <c r="H30" s="9">
        <f t="shared" si="4"/>
        <v>75.914479215451351</v>
      </c>
      <c r="I30" s="4">
        <v>10567.600000000002</v>
      </c>
      <c r="J30" s="4">
        <v>9.8050000000000015</v>
      </c>
      <c r="K30" s="4">
        <v>10577.405000000001</v>
      </c>
      <c r="L30" s="4">
        <v>809.24037198999997</v>
      </c>
      <c r="M30" s="4">
        <v>26.899709999999999</v>
      </c>
      <c r="N30" s="15">
        <v>2.2650000000000007E-2</v>
      </c>
      <c r="O30" s="4">
        <v>836.16273199</v>
      </c>
      <c r="P30" s="4">
        <v>1079.7825004500003</v>
      </c>
      <c r="Q30" s="9">
        <f t="shared" si="5"/>
        <v>77.438070318932603</v>
      </c>
    </row>
    <row r="31" spans="1:17" x14ac:dyDescent="0.3">
      <c r="A31" s="5" t="s">
        <v>23</v>
      </c>
      <c r="B31" s="14">
        <v>0.29162728222476492</v>
      </c>
      <c r="C31" s="14">
        <v>0.33480160942151382</v>
      </c>
      <c r="D31" s="14">
        <v>0.32572904682773035</v>
      </c>
      <c r="E31" s="14">
        <v>0.22871881115284151</v>
      </c>
      <c r="F31" s="14">
        <v>0.22219865061710406</v>
      </c>
      <c r="G31" s="14">
        <v>0.32585212475895226</v>
      </c>
      <c r="H31" s="11">
        <f t="shared" ref="H31" si="30">(H30-H27)/H27</f>
        <v>-7.8178759309748019E-2</v>
      </c>
      <c r="I31" s="14">
        <v>1.6205035882023289</v>
      </c>
      <c r="J31" s="14">
        <v>2.9032643312101909</v>
      </c>
      <c r="K31" s="14">
        <v>1.6213021402805143</v>
      </c>
      <c r="L31" s="14">
        <v>0.22950201209239679</v>
      </c>
      <c r="M31" s="14">
        <v>0.92962392013422823</v>
      </c>
      <c r="N31" s="14">
        <v>-0.81840776076324862</v>
      </c>
      <c r="O31" s="14">
        <v>0.24401080291964303</v>
      </c>
      <c r="P31" s="14">
        <v>0.32075967253191523</v>
      </c>
      <c r="Q31" s="11">
        <f t="shared" ref="Q31" si="31">(Q30-Q27)/Q27</f>
        <v>-5.810964038987014E-2</v>
      </c>
    </row>
    <row r="32" spans="1:17" x14ac:dyDescent="0.3">
      <c r="A32" s="7" t="s">
        <v>25</v>
      </c>
      <c r="B32" s="12">
        <v>1.5433759895763233E-2</v>
      </c>
      <c r="C32" s="12">
        <v>4.2981573914989912E-2</v>
      </c>
      <c r="D32" s="12">
        <v>4.5635049269946437E-2</v>
      </c>
      <c r="E32" s="12">
        <v>5.4532018106743019E-2</v>
      </c>
      <c r="F32" s="12">
        <v>5.8506479772726383E-2</v>
      </c>
      <c r="G32" s="12">
        <v>5.2986833989683069E-2</v>
      </c>
      <c r="H32" s="13">
        <f t="shared" ref="H32" si="32">(((H30/H6)^(1/8))-1)</f>
        <v>5.2418943949470442E-3</v>
      </c>
      <c r="I32" s="12" t="s">
        <v>24</v>
      </c>
      <c r="J32" s="12" t="s">
        <v>24</v>
      </c>
      <c r="K32" s="12" t="s">
        <v>24</v>
      </c>
      <c r="L32" s="12">
        <v>4.8655264051165048E-2</v>
      </c>
      <c r="M32" s="12" t="s">
        <v>24</v>
      </c>
      <c r="N32" s="12" t="s">
        <v>24</v>
      </c>
      <c r="O32" s="12">
        <v>5.2954001867238087E-2</v>
      </c>
      <c r="P32" s="12">
        <v>3.6904440445864273E-2</v>
      </c>
      <c r="Q32" s="13">
        <f t="shared" ref="Q32" si="33">(((Q30/Q6)^(1/8))-1)</f>
        <v>1.5478341875431179E-2</v>
      </c>
    </row>
    <row r="33" spans="1:17" x14ac:dyDescent="0.3">
      <c r="A33" s="2" t="s">
        <v>34</v>
      </c>
      <c r="B33" s="3">
        <v>28850</v>
      </c>
      <c r="C33" s="3">
        <v>105697.1</v>
      </c>
      <c r="D33" s="3">
        <v>70943.489999999991</v>
      </c>
      <c r="E33" s="3">
        <v>3889643</v>
      </c>
      <c r="F33" s="3">
        <v>10054.173306000001</v>
      </c>
      <c r="G33" s="3">
        <v>13195.490330000004</v>
      </c>
      <c r="H33" s="9">
        <f t="shared" si="4"/>
        <v>76.194010639694028</v>
      </c>
      <c r="I33" s="4">
        <v>14591.307999999997</v>
      </c>
      <c r="J33" s="4">
        <v>8.6300000000000008</v>
      </c>
      <c r="K33" s="4">
        <v>14599.938</v>
      </c>
      <c r="L33" s="4">
        <v>960.70587999999987</v>
      </c>
      <c r="M33" s="4">
        <v>38.34843</v>
      </c>
      <c r="N33" s="15">
        <v>2.0920100000000001E-2</v>
      </c>
      <c r="O33" s="4">
        <v>999.07523010000011</v>
      </c>
      <c r="P33" s="4">
        <v>1276.4202099999998</v>
      </c>
      <c r="Q33" s="9">
        <f t="shared" si="5"/>
        <v>78.271655546726279</v>
      </c>
    </row>
    <row r="34" spans="1:17" x14ac:dyDescent="0.3">
      <c r="A34" s="5" t="s">
        <v>23</v>
      </c>
      <c r="B34" s="14">
        <v>0.11119670300042368</v>
      </c>
      <c r="C34" s="14">
        <v>0.12486803456642975</v>
      </c>
      <c r="D34" s="14">
        <v>0.14007440813138047</v>
      </c>
      <c r="E34" s="14">
        <v>0.13706883522769628</v>
      </c>
      <c r="F34" s="14">
        <v>0.14427976257917582</v>
      </c>
      <c r="G34" s="14">
        <v>0.14008176658079735</v>
      </c>
      <c r="H34" s="11">
        <f t="shared" ref="H34" si="34">(H33-H30)/H30</f>
        <v>3.6821885249234796E-3</v>
      </c>
      <c r="I34" s="14">
        <v>0.3807589235020245</v>
      </c>
      <c r="J34" s="14">
        <v>-0.11983681795002556</v>
      </c>
      <c r="K34" s="14">
        <v>0.38029488329131761</v>
      </c>
      <c r="L34" s="14">
        <v>0.18716998465799678</v>
      </c>
      <c r="M34" s="14">
        <v>0.42560756231201013</v>
      </c>
      <c r="N34" s="14">
        <v>-7.6375275938190101E-2</v>
      </c>
      <c r="O34" s="14">
        <v>0.19483348381514384</v>
      </c>
      <c r="P34" s="14">
        <v>0.18210862786538082</v>
      </c>
      <c r="Q34" s="11">
        <f t="shared" ref="Q34" si="35">(Q33-Q30)/Q30</f>
        <v>1.0764540288265368E-2</v>
      </c>
    </row>
    <row r="35" spans="1:17" x14ac:dyDescent="0.3">
      <c r="A35" s="7" t="s">
        <v>25</v>
      </c>
      <c r="B35" s="12">
        <v>2.5652904956302569E-2</v>
      </c>
      <c r="C35" s="12">
        <v>5.1777440543956832E-2</v>
      </c>
      <c r="D35" s="12">
        <v>5.5729591964102987E-2</v>
      </c>
      <c r="E35" s="12">
        <v>6.3398644224764267E-2</v>
      </c>
      <c r="F35" s="12">
        <v>6.7710161798867352E-2</v>
      </c>
      <c r="G35" s="12">
        <v>6.2325791020266585E-2</v>
      </c>
      <c r="H35" s="13">
        <f t="shared" ref="H35" si="36">(((H33/H6)^(1/9))-1)</f>
        <v>5.0684741198174788E-3</v>
      </c>
      <c r="I35" s="12" t="s">
        <v>24</v>
      </c>
      <c r="J35" s="12" t="s">
        <v>24</v>
      </c>
      <c r="K35" s="12" t="s">
        <v>24</v>
      </c>
      <c r="L35" s="12">
        <v>6.3210914942205321E-2</v>
      </c>
      <c r="M35" s="12" t="s">
        <v>24</v>
      </c>
      <c r="N35" s="12" t="s">
        <v>24</v>
      </c>
      <c r="O35" s="12">
        <v>6.7847353461478965E-2</v>
      </c>
      <c r="P35" s="12">
        <v>5.2114555903985949E-2</v>
      </c>
      <c r="Q35" s="13">
        <f t="shared" ref="Q35" si="37">(((Q33/Q6)^(1/9))-1)</f>
        <v>1.4953502419682074E-2</v>
      </c>
    </row>
    <row r="36" spans="1:17" x14ac:dyDescent="0.3">
      <c r="A36" s="2" t="s">
        <v>35</v>
      </c>
      <c r="B36" s="3">
        <v>30851</v>
      </c>
      <c r="C36" s="3">
        <v>115278.77</v>
      </c>
      <c r="D36" s="3">
        <v>76177.896999999997</v>
      </c>
      <c r="E36" s="3">
        <v>4342507</v>
      </c>
      <c r="F36" s="3">
        <v>11291.995884</v>
      </c>
      <c r="G36" s="3">
        <v>14169.085090000002</v>
      </c>
      <c r="H36" s="9">
        <f t="shared" si="4"/>
        <v>79.694601396454729</v>
      </c>
      <c r="I36" s="4">
        <v>16628.414999999997</v>
      </c>
      <c r="J36" s="4">
        <v>12.044</v>
      </c>
      <c r="K36" s="4">
        <v>16640.458999999999</v>
      </c>
      <c r="L36" s="4">
        <v>986.9500939699999</v>
      </c>
      <c r="M36" s="4">
        <v>44.424835780999999</v>
      </c>
      <c r="N36" s="15">
        <v>2.1481374899999999E-2</v>
      </c>
      <c r="O36" s="4">
        <v>1031.400369856</v>
      </c>
      <c r="P36" s="4">
        <v>1298.8214877300002</v>
      </c>
      <c r="Q36" s="9">
        <f t="shared" si="5"/>
        <v>79.410479392254103</v>
      </c>
    </row>
    <row r="37" spans="1:17" x14ac:dyDescent="0.3">
      <c r="A37" s="5" t="s">
        <v>23</v>
      </c>
      <c r="B37" s="14">
        <v>6.935875216637781E-2</v>
      </c>
      <c r="C37" s="14">
        <v>9.0652156019417729E-2</v>
      </c>
      <c r="D37" s="14">
        <v>7.378276710097019E-2</v>
      </c>
      <c r="E37" s="14">
        <v>0.11642816577254005</v>
      </c>
      <c r="F37" s="14">
        <v>0.12311530150980264</v>
      </c>
      <c r="G37" s="14">
        <v>7.3782385925176747E-2</v>
      </c>
      <c r="H37" s="11">
        <f t="shared" ref="H37" si="38">(H36-H33)/H33</f>
        <v>4.5943122397300785E-2</v>
      </c>
      <c r="I37" s="14">
        <v>0.13961099306518651</v>
      </c>
      <c r="J37" s="14">
        <v>0.39559675550405554</v>
      </c>
      <c r="K37" s="14">
        <v>0.14000000000000001</v>
      </c>
      <c r="L37" s="14">
        <v>2.7317636454978329E-2</v>
      </c>
      <c r="M37" s="14">
        <v>0.15845253067726628</v>
      </c>
      <c r="N37" s="14">
        <v>2.6800000000000001E-2</v>
      </c>
      <c r="O37" s="14">
        <v>3.2355060742287022E-2</v>
      </c>
      <c r="P37" s="14">
        <v>1.7550080729292438E-2</v>
      </c>
      <c r="Q37" s="11">
        <f t="shared" ref="Q37" si="39">(Q36-Q33)/Q33</f>
        <v>1.4549632783070161E-2</v>
      </c>
    </row>
    <row r="38" spans="1:17" x14ac:dyDescent="0.3">
      <c r="A38" s="7" t="s">
        <v>25</v>
      </c>
      <c r="B38" s="12">
        <v>2.9941874786355571E-2</v>
      </c>
      <c r="C38" s="12">
        <v>5.560172809996744E-2</v>
      </c>
      <c r="D38" s="12">
        <v>5.7521166018372982E-2</v>
      </c>
      <c r="E38" s="12">
        <v>6.8586222665625085E-2</v>
      </c>
      <c r="F38" s="12">
        <v>7.3125396322205827E-2</v>
      </c>
      <c r="G38" s="12">
        <v>6.3465928304968555E-2</v>
      </c>
      <c r="H38" s="13">
        <f t="shared" ref="H38" si="40">(((H36/H6)^(1/10))-1)</f>
        <v>9.0830065732649956E-3</v>
      </c>
      <c r="I38" s="12" t="s">
        <v>24</v>
      </c>
      <c r="J38" s="12" t="s">
        <v>24</v>
      </c>
      <c r="K38" s="12" t="s">
        <v>24</v>
      </c>
      <c r="L38" s="12">
        <v>5.956586395669472E-2</v>
      </c>
      <c r="M38" s="12" t="s">
        <v>24</v>
      </c>
      <c r="N38" s="12" t="s">
        <v>24</v>
      </c>
      <c r="O38" s="12">
        <v>6.424389413902265E-2</v>
      </c>
      <c r="P38" s="12">
        <v>4.8605920563060012E-2</v>
      </c>
      <c r="Q38" s="13">
        <f t="shared" ref="Q38" si="41">(((Q36/Q6)^(1/10))-1)</f>
        <v>1.4913108222358362E-2</v>
      </c>
    </row>
    <row r="39" spans="1:17" x14ac:dyDescent="0.3">
      <c r="A39" s="20" t="s">
        <v>36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ht="26.25" customHeight="1" x14ac:dyDescent="0.3">
      <c r="A40" s="22" t="s">
        <v>37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2" spans="1:17" x14ac:dyDescent="0.3">
      <c r="J42" s="16"/>
      <c r="K42" s="16"/>
    </row>
    <row r="43" spans="1:17" x14ac:dyDescent="0.3">
      <c r="K43" s="17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2020-06-05T08:03:37Z</dcterms:created>
  <dcterms:modified xsi:type="dcterms:W3CDTF">2020-06-09T08:44:15Z</dcterms:modified>
</cp:coreProperties>
</file>