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SPICEJET\"/>
    </mc:Choice>
  </mc:AlternateContent>
  <bookViews>
    <workbookView xWindow="-120" yWindow="-120" windowWidth="20730" windowHeight="11160"/>
  </bookViews>
  <sheets>
    <sheet name="SPICEJE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7" i="7" l="1"/>
  <c r="Q36" i="7"/>
  <c r="Q33" i="7"/>
  <c r="Q34" i="7" s="1"/>
  <c r="Q30" i="7"/>
  <c r="Q27" i="7"/>
  <c r="Q28" i="7" s="1"/>
  <c r="Q24" i="7"/>
  <c r="Q21" i="7"/>
  <c r="Q22" i="7" s="1"/>
  <c r="Q19" i="7"/>
  <c r="Q18" i="7"/>
  <c r="Q16" i="7"/>
  <c r="Q15" i="7"/>
  <c r="Q12" i="7"/>
  <c r="H36" i="7"/>
  <c r="H34" i="7"/>
  <c r="H33" i="7"/>
  <c r="H31" i="7"/>
  <c r="H30" i="7"/>
  <c r="H27" i="7"/>
  <c r="H24" i="7"/>
  <c r="H28" i="7" s="1"/>
  <c r="H21" i="7"/>
  <c r="H18" i="7"/>
  <c r="H22" i="7" s="1"/>
  <c r="H15" i="7"/>
  <c r="H16" i="7" s="1"/>
  <c r="H12" i="7"/>
  <c r="Q31" i="7" l="1"/>
  <c r="Q25" i="7"/>
  <c r="H25" i="7"/>
  <c r="H19" i="7"/>
  <c r="H37" i="7"/>
</calcChain>
</file>

<file path=xl/sharedStrings.xml><?xml version="1.0" encoding="utf-8"?>
<sst xmlns="http://schemas.openxmlformats.org/spreadsheetml/2006/main" count="238" uniqueCount="38">
  <si>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</si>
  <si>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</si>
  <si>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</si>
  <si>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</si>
  <si>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</si>
  <si>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</si>
  <si>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</si>
  <si>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</si>
  <si>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</si>
  <si>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</si>
  <si>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</si>
  <si>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</si>
  <si>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</si>
  <si>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</si>
  <si>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</si>
  <si>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</si>
  <si>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</si>
  <si>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</si>
  <si>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</si>
  <si>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</si>
  <si>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</si>
  <si>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</si>
  <si>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</si>
  <si>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</si>
  <si>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</si>
  <si>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</si>
  <si>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</si>
  <si>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</si>
  <si>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</si>
  <si>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</si>
  <si>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</si>
  <si>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</si>
  <si>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</si>
  <si>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(स्पाइसजेट) </t>
  </si>
  <si>
    <t>TABLE - 1.05 (SPICEJET)</t>
  </si>
  <si>
    <t>YEAR-WISE DETAILS OF ANNUAL TRAFFIC AND OPERATING STATISTICS ON INTERNATIONAL SCHEDULED SERVICES OF SPICEJET</t>
  </si>
  <si>
    <t>SOURCE: ICAO ATR FORM 'A' FURNISHED BY SPICEJET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</si>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</sst>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6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3" fontId="0" fillId="4" borderId="1" xfId="3" applyNumberFormat="1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5" fontId="3" fillId="5" borderId="1" xfId="1" applyNumberFormat="1" applyFill="1" applyBorder="1" applyAlignment="1" applyProtection="1">
      <alignment horizontal="center"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F13" sqref="F13"/>
    </sheetView>
  </sheetViews>
  <sheetFormatPr defaultRowHeight="15" x14ac:dyDescent="0.25"/>
  <cols>
    <col min="1" max="1" width="8.28515625" customWidth="1"/>
    <col min="2" max="2" width="7.42578125" customWidth="1"/>
    <col min="3" max="3" width="8.28515625" customWidth="1"/>
    <col min="8" max="8" width="7.28515625" customWidth="1"/>
    <col min="10" max="10" width="6.42578125" customWidth="1"/>
    <col min="14" max="14" width="6.42578125" customWidth="1"/>
    <col min="16" max="16" width="8.28515625" customWidth="1"/>
    <col min="17" max="17" width="7.7109375" customWidth="1"/>
  </cols>
  <sheetData>
    <row r="1" spans="1:17" x14ac:dyDescent="0.25">
      <c r="A1" s="20" t="s">
        <v>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2" t="s">
        <v>34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25">
      <c r="A3" s="24" t="s">
        <v>35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6" t="s">
        <v>3</v>
      </c>
      <c r="H4" s="16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6" t="s">
        <v>7</v>
      </c>
      <c r="Q4" s="16" t="s">
        <v>8</v>
      </c>
    </row>
    <row r="5" spans="1:17" ht="123" customHeight="1" x14ac:dyDescent="0.25">
      <c r="A5" s="24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7"/>
      <c r="H5" s="17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7"/>
      <c r="Q5" s="17"/>
    </row>
    <row r="6" spans="1:17" ht="17.100000000000001" customHeight="1" x14ac:dyDescent="0.25">
      <c r="A6" s="1" t="s">
        <v>19</v>
      </c>
      <c r="B6" s="2"/>
      <c r="C6" s="2"/>
      <c r="D6" s="2"/>
      <c r="E6" s="2"/>
      <c r="F6" s="2"/>
      <c r="G6" s="2"/>
      <c r="H6" s="8"/>
      <c r="I6" s="3"/>
      <c r="J6" s="3"/>
      <c r="K6" s="3"/>
      <c r="L6" s="3"/>
      <c r="M6" s="3"/>
      <c r="N6" s="3"/>
      <c r="O6" s="3"/>
      <c r="P6" s="3"/>
      <c r="Q6" s="8"/>
    </row>
    <row r="7" spans="1:17" ht="17.100000000000001" customHeight="1" x14ac:dyDescent="0.25">
      <c r="A7" s="4" t="s">
        <v>29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7.100000000000001" customHeight="1" x14ac:dyDescent="0.25">
      <c r="A8" s="12" t="s">
        <v>30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ht="17.100000000000001" customHeight="1" x14ac:dyDescent="0.25">
      <c r="A9" s="1" t="s">
        <v>20</v>
      </c>
      <c r="B9" s="2"/>
      <c r="C9" s="2"/>
      <c r="D9" s="2"/>
      <c r="E9" s="2"/>
      <c r="F9" s="2"/>
      <c r="G9" s="2"/>
      <c r="H9" s="8"/>
      <c r="I9" s="3"/>
      <c r="J9" s="3"/>
      <c r="K9" s="3"/>
      <c r="L9" s="3"/>
      <c r="M9" s="3"/>
      <c r="N9" s="3"/>
      <c r="O9" s="3"/>
      <c r="P9" s="3"/>
      <c r="Q9" s="8"/>
    </row>
    <row r="10" spans="1:17" ht="17.100000000000001" customHeight="1" x14ac:dyDescent="0.25">
      <c r="A10" s="4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7.100000000000001" customHeight="1" x14ac:dyDescent="0.25">
      <c r="A11" s="12" t="s">
        <v>30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ht="17.100000000000001" customHeight="1" x14ac:dyDescent="0.25">
      <c r="A12" s="1" t="s">
        <v>21</v>
      </c>
      <c r="B12" s="2">
        <v>674</v>
      </c>
      <c r="C12" s="2">
        <v>877</v>
      </c>
      <c r="D12" s="2">
        <v>372.38126985100001</v>
      </c>
      <c r="E12" s="2">
        <v>102439</v>
      </c>
      <c r="F12" s="2">
        <v>54.374875000000003</v>
      </c>
      <c r="G12" s="2">
        <v>70.38006</v>
      </c>
      <c r="H12" s="10">
        <f t="shared" ref="H12:H36" si="0">F12/G12*100</f>
        <v>77.258921063721743</v>
      </c>
      <c r="I12" s="3">
        <v>0</v>
      </c>
      <c r="J12" s="3">
        <v>0</v>
      </c>
      <c r="K12" s="3">
        <v>0</v>
      </c>
      <c r="L12" s="3">
        <v>4.0781155999999994</v>
      </c>
      <c r="M12" s="3">
        <v>0</v>
      </c>
      <c r="N12" s="3">
        <v>0</v>
      </c>
      <c r="O12" s="3">
        <v>4.0781155999999994</v>
      </c>
      <c r="P12" s="3">
        <v>6.0646300000000002</v>
      </c>
      <c r="Q12" s="10">
        <f t="shared" ref="Q12:Q36" si="1">O12/P12*100</f>
        <v>67.24426057319242</v>
      </c>
    </row>
    <row r="13" spans="1:17" ht="17.100000000000001" customHeight="1" x14ac:dyDescent="0.25">
      <c r="A13" s="4" t="s">
        <v>29</v>
      </c>
      <c r="B13" s="6" t="s">
        <v>31</v>
      </c>
      <c r="C13" s="6" t="s">
        <v>31</v>
      </c>
      <c r="D13" s="6" t="s">
        <v>31</v>
      </c>
      <c r="E13" s="6" t="s">
        <v>31</v>
      </c>
      <c r="F13" s="6" t="s">
        <v>31</v>
      </c>
      <c r="G13" s="6" t="s">
        <v>31</v>
      </c>
      <c r="H13" s="6" t="s">
        <v>31</v>
      </c>
      <c r="I13" s="6" t="s">
        <v>31</v>
      </c>
      <c r="J13" s="6" t="s">
        <v>31</v>
      </c>
      <c r="K13" s="6" t="s">
        <v>31</v>
      </c>
      <c r="L13" s="6" t="s">
        <v>31</v>
      </c>
      <c r="M13" s="6" t="s">
        <v>31</v>
      </c>
      <c r="N13" s="6" t="s">
        <v>31</v>
      </c>
      <c r="O13" s="6" t="s">
        <v>31</v>
      </c>
      <c r="P13" s="6" t="s">
        <v>31</v>
      </c>
      <c r="Q13" s="6" t="s">
        <v>31</v>
      </c>
    </row>
    <row r="14" spans="1:17" ht="17.100000000000001" customHeight="1" x14ac:dyDescent="0.25">
      <c r="A14" s="12" t="s">
        <v>30</v>
      </c>
      <c r="B14" s="13" t="s">
        <v>31</v>
      </c>
      <c r="C14" s="13" t="s">
        <v>31</v>
      </c>
      <c r="D14" s="13" t="s">
        <v>31</v>
      </c>
      <c r="E14" s="13" t="s">
        <v>31</v>
      </c>
      <c r="F14" s="13" t="s">
        <v>31</v>
      </c>
      <c r="G14" s="13" t="s">
        <v>31</v>
      </c>
      <c r="H14" s="13" t="s">
        <v>31</v>
      </c>
      <c r="I14" s="13" t="s">
        <v>31</v>
      </c>
      <c r="J14" s="13" t="s">
        <v>31</v>
      </c>
      <c r="K14" s="13" t="s">
        <v>31</v>
      </c>
      <c r="L14" s="13" t="s">
        <v>31</v>
      </c>
      <c r="M14" s="13" t="s">
        <v>31</v>
      </c>
      <c r="N14" s="13" t="s">
        <v>31</v>
      </c>
      <c r="O14" s="13" t="s">
        <v>31</v>
      </c>
      <c r="P14" s="13" t="s">
        <v>31</v>
      </c>
      <c r="Q14" s="13" t="s">
        <v>31</v>
      </c>
    </row>
    <row r="15" spans="1:17" ht="17.100000000000001" customHeight="1" x14ac:dyDescent="0.25">
      <c r="A15" s="1" t="s">
        <v>22</v>
      </c>
      <c r="B15" s="2">
        <v>2092</v>
      </c>
      <c r="C15" s="2">
        <v>2701</v>
      </c>
      <c r="D15" s="2">
        <v>1313.7242099999999</v>
      </c>
      <c r="E15" s="2">
        <v>297970</v>
      </c>
      <c r="F15" s="2">
        <v>193.15217200000001</v>
      </c>
      <c r="G15" s="2">
        <v>256.175522</v>
      </c>
      <c r="H15" s="10">
        <f t="shared" si="0"/>
        <v>75.398371589928885</v>
      </c>
      <c r="I15" s="3">
        <v>14.199</v>
      </c>
      <c r="J15" s="3">
        <v>0</v>
      </c>
      <c r="K15" s="3">
        <v>14.199</v>
      </c>
      <c r="L15" s="3">
        <v>14.486412</v>
      </c>
      <c r="M15" s="3">
        <v>9.1428680000000002E-3</v>
      </c>
      <c r="N15" s="3">
        <v>0</v>
      </c>
      <c r="O15" s="3">
        <v>14.495554868000001</v>
      </c>
      <c r="P15" s="3">
        <v>21.777736000000001</v>
      </c>
      <c r="Q15" s="10">
        <f t="shared" si="1"/>
        <v>66.561349021771605</v>
      </c>
    </row>
    <row r="16" spans="1:17" ht="17.100000000000001" customHeight="1" x14ac:dyDescent="0.25">
      <c r="A16" s="4" t="s">
        <v>29</v>
      </c>
      <c r="B16" s="6">
        <v>2.1038575667655786</v>
      </c>
      <c r="C16" s="6">
        <v>2.0798175598631699</v>
      </c>
      <c r="D16" s="6">
        <v>2.5279008810664858</v>
      </c>
      <c r="E16" s="6">
        <v>1.9087554544655845</v>
      </c>
      <c r="F16" s="6">
        <v>2.5522320189241814</v>
      </c>
      <c r="G16" s="6">
        <v>2.6398878034488744</v>
      </c>
      <c r="H16" s="11">
        <f t="shared" ref="H16" si="2">(H15-H12)/H12</f>
        <v>-2.4082001769844947E-2</v>
      </c>
      <c r="I16" s="6" t="s">
        <v>31</v>
      </c>
      <c r="J16" s="6" t="s">
        <v>31</v>
      </c>
      <c r="K16" s="6" t="s">
        <v>31</v>
      </c>
      <c r="L16" s="6">
        <v>2.5522318200102032</v>
      </c>
      <c r="M16" s="6" t="s">
        <v>31</v>
      </c>
      <c r="N16" s="6" t="s">
        <v>31</v>
      </c>
      <c r="O16" s="6">
        <v>2.5544737544958274</v>
      </c>
      <c r="P16" s="6">
        <v>2.5909422339037995</v>
      </c>
      <c r="Q16" s="11">
        <f t="shared" ref="Q16" si="3">(Q15-Q12)/Q12</f>
        <v>-1.0155685341762311E-2</v>
      </c>
    </row>
    <row r="17" spans="1:17" ht="17.100000000000001" customHeight="1" x14ac:dyDescent="0.25">
      <c r="A17" s="12" t="s">
        <v>30</v>
      </c>
      <c r="B17" s="13" t="s">
        <v>31</v>
      </c>
      <c r="C17" s="13" t="s">
        <v>31</v>
      </c>
      <c r="D17" s="13" t="s">
        <v>31</v>
      </c>
      <c r="E17" s="13" t="s">
        <v>31</v>
      </c>
      <c r="F17" s="13" t="s">
        <v>31</v>
      </c>
      <c r="G17" s="13" t="s">
        <v>31</v>
      </c>
      <c r="H17" s="13" t="s">
        <v>31</v>
      </c>
      <c r="I17" s="13" t="s">
        <v>31</v>
      </c>
      <c r="J17" s="13" t="s">
        <v>31</v>
      </c>
      <c r="K17" s="13" t="s">
        <v>31</v>
      </c>
      <c r="L17" s="13" t="s">
        <v>31</v>
      </c>
      <c r="M17" s="13" t="s">
        <v>31</v>
      </c>
      <c r="N17" s="13" t="s">
        <v>31</v>
      </c>
      <c r="O17" s="13" t="s">
        <v>31</v>
      </c>
      <c r="P17" s="13" t="s">
        <v>31</v>
      </c>
      <c r="Q17" s="13" t="s">
        <v>31</v>
      </c>
    </row>
    <row r="18" spans="1:17" ht="17.100000000000001" customHeight="1" x14ac:dyDescent="0.25">
      <c r="A18" s="1" t="s">
        <v>23</v>
      </c>
      <c r="B18" s="2">
        <v>4503</v>
      </c>
      <c r="C18" s="2">
        <v>9001</v>
      </c>
      <c r="D18" s="2">
        <v>5509.0989999999993</v>
      </c>
      <c r="E18" s="2">
        <v>575914</v>
      </c>
      <c r="F18" s="2">
        <v>847.24342100000013</v>
      </c>
      <c r="G18" s="2">
        <v>1074.6281309999999</v>
      </c>
      <c r="H18" s="10">
        <f t="shared" si="0"/>
        <v>78.840614400406025</v>
      </c>
      <c r="I18" s="3">
        <v>1495.799</v>
      </c>
      <c r="J18" s="3">
        <v>0</v>
      </c>
      <c r="K18" s="3">
        <v>1495.799</v>
      </c>
      <c r="L18" s="3">
        <v>63.542028000000002</v>
      </c>
      <c r="M18" s="3">
        <v>0.43243640200000005</v>
      </c>
      <c r="N18" s="3">
        <v>0</v>
      </c>
      <c r="O18" s="3">
        <v>63.974464401999995</v>
      </c>
      <c r="P18" s="3">
        <v>91.616193999999993</v>
      </c>
      <c r="Q18" s="10">
        <f t="shared" si="1"/>
        <v>69.828773286521823</v>
      </c>
    </row>
    <row r="19" spans="1:17" ht="17.100000000000001" customHeight="1" x14ac:dyDescent="0.25">
      <c r="A19" s="4" t="s">
        <v>29</v>
      </c>
      <c r="B19" s="6">
        <v>1.1524856596558317</v>
      </c>
      <c r="C19" s="6">
        <v>2.3324694557571268</v>
      </c>
      <c r="D19" s="6">
        <v>3.1934973551260049</v>
      </c>
      <c r="E19" s="6">
        <v>0.93279189180118804</v>
      </c>
      <c r="F19" s="6">
        <v>3.3864037987623563</v>
      </c>
      <c r="G19" s="6">
        <v>3.1948899825019188</v>
      </c>
      <c r="H19" s="11">
        <f t="shared" ref="H19" si="4">(H18-H15)/H15</f>
        <v>4.5654073660881651E-2</v>
      </c>
      <c r="I19" s="6">
        <v>104.3453764349602</v>
      </c>
      <c r="J19" s="6" t="s">
        <v>31</v>
      </c>
      <c r="K19" s="6">
        <v>104.3453764349602</v>
      </c>
      <c r="L19" s="6">
        <v>3.3863192624923273</v>
      </c>
      <c r="M19" s="6">
        <v>46.297675302760581</v>
      </c>
      <c r="N19" s="6" t="s">
        <v>31</v>
      </c>
      <c r="O19" s="6">
        <v>3.4133849986817899</v>
      </c>
      <c r="P19" s="6">
        <v>3.2068741213503547</v>
      </c>
      <c r="Q19" s="11">
        <f t="shared" ref="Q19" si="5">(Q18-Q15)/Q15</f>
        <v>4.908891290171228E-2</v>
      </c>
    </row>
    <row r="20" spans="1:17" ht="17.100000000000001" customHeight="1" x14ac:dyDescent="0.25">
      <c r="A20" s="12" t="s">
        <v>30</v>
      </c>
      <c r="B20" s="13" t="s">
        <v>31</v>
      </c>
      <c r="C20" s="13" t="s">
        <v>31</v>
      </c>
      <c r="D20" s="13" t="s">
        <v>31</v>
      </c>
      <c r="E20" s="13" t="s">
        <v>31</v>
      </c>
      <c r="F20" s="13" t="s">
        <v>31</v>
      </c>
      <c r="G20" s="13" t="s">
        <v>31</v>
      </c>
      <c r="H20" s="13" t="s">
        <v>31</v>
      </c>
      <c r="I20" s="13" t="s">
        <v>31</v>
      </c>
      <c r="J20" s="13" t="s">
        <v>31</v>
      </c>
      <c r="K20" s="13" t="s">
        <v>31</v>
      </c>
      <c r="L20" s="13" t="s">
        <v>31</v>
      </c>
      <c r="M20" s="13" t="s">
        <v>31</v>
      </c>
      <c r="N20" s="13" t="s">
        <v>31</v>
      </c>
      <c r="O20" s="13" t="s">
        <v>31</v>
      </c>
      <c r="P20" s="13" t="s">
        <v>31</v>
      </c>
      <c r="Q20" s="13" t="s">
        <v>31</v>
      </c>
    </row>
    <row r="21" spans="1:17" ht="17.100000000000001" customHeight="1" x14ac:dyDescent="0.25">
      <c r="A21" s="1" t="s">
        <v>24</v>
      </c>
      <c r="B21" s="2">
        <v>9312</v>
      </c>
      <c r="C21" s="2">
        <v>23963</v>
      </c>
      <c r="D21" s="2">
        <v>15335.874999999998</v>
      </c>
      <c r="E21" s="2">
        <v>1137567</v>
      </c>
      <c r="F21" s="2">
        <v>2178.4486139999999</v>
      </c>
      <c r="G21" s="2">
        <v>2990.5198510000005</v>
      </c>
      <c r="H21" s="10">
        <f t="shared" si="0"/>
        <v>72.845148085927207</v>
      </c>
      <c r="I21" s="3">
        <v>3364.5205999999998</v>
      </c>
      <c r="J21" s="3">
        <v>0</v>
      </c>
      <c r="K21" s="3">
        <v>3364.5205999999998</v>
      </c>
      <c r="L21" s="3">
        <v>162.39578299999999</v>
      </c>
      <c r="M21" s="3">
        <v>6.7211014950000001</v>
      </c>
      <c r="N21" s="3">
        <v>0</v>
      </c>
      <c r="O21" s="3">
        <v>169.11688449499999</v>
      </c>
      <c r="P21" s="3">
        <v>252.32566200000002</v>
      </c>
      <c r="Q21" s="10">
        <f t="shared" si="1"/>
        <v>67.023260002385314</v>
      </c>
    </row>
    <row r="22" spans="1:17" ht="17.100000000000001" customHeight="1" x14ac:dyDescent="0.25">
      <c r="A22" s="4" t="s">
        <v>29</v>
      </c>
      <c r="B22" s="6">
        <v>1.0679546968687541</v>
      </c>
      <c r="C22" s="6">
        <v>1.662259748916787</v>
      </c>
      <c r="D22" s="6">
        <v>1.7837355981440883</v>
      </c>
      <c r="E22" s="6">
        <v>0.97523762228388267</v>
      </c>
      <c r="F22" s="6">
        <v>1.5712192741830682</v>
      </c>
      <c r="G22" s="6">
        <v>1.7828415846672085</v>
      </c>
      <c r="H22" s="11">
        <f t="shared" ref="H22" si="6">(H21-H18)/H18</f>
        <v>-7.6045403249013016E-2</v>
      </c>
      <c r="I22" s="6">
        <v>1.2493133101439431</v>
      </c>
      <c r="J22" s="6" t="s">
        <v>31</v>
      </c>
      <c r="K22" s="6">
        <v>1.2493133101439431</v>
      </c>
      <c r="L22" s="6">
        <v>1.5557223795249342</v>
      </c>
      <c r="M22" s="6">
        <v>14.54240453374228</v>
      </c>
      <c r="N22" s="6" t="s">
        <v>31</v>
      </c>
      <c r="O22" s="6">
        <v>1.6435060625488096</v>
      </c>
      <c r="P22" s="6">
        <v>1.7541600560267765</v>
      </c>
      <c r="Q22" s="11">
        <f t="shared" ref="Q22" si="7">(Q21-Q18)/Q18</f>
        <v>-4.017703809037159E-2</v>
      </c>
    </row>
    <row r="23" spans="1:17" ht="17.100000000000001" customHeight="1" x14ac:dyDescent="0.25">
      <c r="A23" s="12" t="s">
        <v>30</v>
      </c>
      <c r="B23" s="13" t="s">
        <v>31</v>
      </c>
      <c r="C23" s="13" t="s">
        <v>31</v>
      </c>
      <c r="D23" s="13" t="s">
        <v>31</v>
      </c>
      <c r="E23" s="13" t="s">
        <v>31</v>
      </c>
      <c r="F23" s="13" t="s">
        <v>31</v>
      </c>
      <c r="G23" s="13" t="s">
        <v>31</v>
      </c>
      <c r="H23" s="13" t="s">
        <v>31</v>
      </c>
      <c r="I23" s="13" t="s">
        <v>31</v>
      </c>
      <c r="J23" s="13" t="s">
        <v>31</v>
      </c>
      <c r="K23" s="13" t="s">
        <v>31</v>
      </c>
      <c r="L23" s="13" t="s">
        <v>31</v>
      </c>
      <c r="M23" s="13" t="s">
        <v>31</v>
      </c>
      <c r="N23" s="13" t="s">
        <v>31</v>
      </c>
      <c r="O23" s="13" t="s">
        <v>31</v>
      </c>
      <c r="P23" s="13" t="s">
        <v>31</v>
      </c>
      <c r="Q23" s="13" t="s">
        <v>31</v>
      </c>
    </row>
    <row r="24" spans="1:17" ht="17.100000000000001" customHeight="1" x14ac:dyDescent="0.25">
      <c r="A24" s="1" t="s">
        <v>25</v>
      </c>
      <c r="B24" s="2">
        <v>7861</v>
      </c>
      <c r="C24" s="2">
        <v>17204</v>
      </c>
      <c r="D24" s="2">
        <v>10967.817999999999</v>
      </c>
      <c r="E24" s="2">
        <v>983970</v>
      </c>
      <c r="F24" s="2">
        <v>1641.260869</v>
      </c>
      <c r="G24" s="2">
        <v>2076.857575</v>
      </c>
      <c r="H24" s="10">
        <f t="shared" si="0"/>
        <v>79.026163794597224</v>
      </c>
      <c r="I24" s="3">
        <v>2874.7762199999997</v>
      </c>
      <c r="J24" s="3">
        <v>0</v>
      </c>
      <c r="K24" s="3">
        <v>2874.7762199999997</v>
      </c>
      <c r="L24" s="3">
        <v>122.84548800000002</v>
      </c>
      <c r="M24" s="3">
        <v>5.6268293867700008</v>
      </c>
      <c r="N24" s="3">
        <v>0</v>
      </c>
      <c r="O24" s="3">
        <v>128.47231738676999</v>
      </c>
      <c r="P24" s="3">
        <v>178.10503599999996</v>
      </c>
      <c r="Q24" s="10">
        <f t="shared" si="1"/>
        <v>72.132894314549318</v>
      </c>
    </row>
    <row r="25" spans="1:17" ht="17.100000000000001" customHeight="1" x14ac:dyDescent="0.25">
      <c r="A25" s="4" t="s">
        <v>29</v>
      </c>
      <c r="B25" s="6">
        <v>-0.15582044673539519</v>
      </c>
      <c r="C25" s="6">
        <v>-0.28205984225681258</v>
      </c>
      <c r="D25" s="6">
        <v>-0.28482606959172524</v>
      </c>
      <c r="E25" s="6">
        <v>-0.13502237670396558</v>
      </c>
      <c r="F25" s="6">
        <v>-0.24659188265801343</v>
      </c>
      <c r="G25" s="6">
        <v>-0.30551954894881594</v>
      </c>
      <c r="H25" s="11">
        <f t="shared" ref="H25" si="8">(H24-H21)/H21</f>
        <v>8.485143995285685E-2</v>
      </c>
      <c r="I25" s="6">
        <v>-0.14556141519834953</v>
      </c>
      <c r="J25" s="6" t="s">
        <v>31</v>
      </c>
      <c r="K25" s="6">
        <v>-0.14556141519834953</v>
      </c>
      <c r="L25" s="6">
        <v>-0.2435426232711965</v>
      </c>
      <c r="M25" s="6">
        <v>-0.16281142444345714</v>
      </c>
      <c r="N25" s="6" t="s">
        <v>31</v>
      </c>
      <c r="O25" s="6">
        <v>-0.24033417615041081</v>
      </c>
      <c r="P25" s="6">
        <v>-0.29414616575939095</v>
      </c>
      <c r="Q25" s="11">
        <f t="shared" ref="Q25" si="9">(Q24-Q21)/Q21</f>
        <v>7.6236732023810178E-2</v>
      </c>
    </row>
    <row r="26" spans="1:17" ht="17.100000000000001" customHeight="1" x14ac:dyDescent="0.25">
      <c r="A26" s="12" t="s">
        <v>30</v>
      </c>
      <c r="B26" s="13" t="s">
        <v>31</v>
      </c>
      <c r="C26" s="13" t="s">
        <v>31</v>
      </c>
      <c r="D26" s="13" t="s">
        <v>31</v>
      </c>
      <c r="E26" s="13" t="s">
        <v>31</v>
      </c>
      <c r="F26" s="13" t="s">
        <v>31</v>
      </c>
      <c r="G26" s="13" t="s">
        <v>31</v>
      </c>
      <c r="H26" s="13" t="s">
        <v>31</v>
      </c>
      <c r="I26" s="13" t="s">
        <v>31</v>
      </c>
      <c r="J26" s="13" t="s">
        <v>31</v>
      </c>
      <c r="K26" s="13" t="s">
        <v>31</v>
      </c>
      <c r="L26" s="13" t="s">
        <v>31</v>
      </c>
      <c r="M26" s="13" t="s">
        <v>31</v>
      </c>
      <c r="N26" s="13" t="s">
        <v>31</v>
      </c>
      <c r="O26" s="13" t="s">
        <v>31</v>
      </c>
      <c r="P26" s="13" t="s">
        <v>31</v>
      </c>
      <c r="Q26" s="13" t="s">
        <v>31</v>
      </c>
    </row>
    <row r="27" spans="1:17" ht="17.100000000000001" customHeight="1" x14ac:dyDescent="0.25">
      <c r="A27" s="1" t="s">
        <v>26</v>
      </c>
      <c r="B27" s="2">
        <v>9048</v>
      </c>
      <c r="C27" s="2">
        <v>22295</v>
      </c>
      <c r="D27" s="2">
        <v>15508.349000000002</v>
      </c>
      <c r="E27" s="2">
        <v>1243590</v>
      </c>
      <c r="F27" s="2">
        <v>2372.948093</v>
      </c>
      <c r="G27" s="2">
        <v>2777.0067869999998</v>
      </c>
      <c r="H27" s="10">
        <f t="shared" si="0"/>
        <v>85.449848524262904</v>
      </c>
      <c r="I27" s="3">
        <v>4257.9879099999998</v>
      </c>
      <c r="J27" s="3">
        <v>0</v>
      </c>
      <c r="K27" s="3">
        <v>4257.9879099999998</v>
      </c>
      <c r="L27" s="3">
        <v>177.97102242</v>
      </c>
      <c r="M27" s="3">
        <v>8.2533945600000003</v>
      </c>
      <c r="N27" s="3">
        <v>0</v>
      </c>
      <c r="O27" s="3">
        <v>186.22441697999997</v>
      </c>
      <c r="P27" s="3">
        <v>239.99859800000002</v>
      </c>
      <c r="Q27" s="10">
        <f t="shared" si="1"/>
        <v>77.593960353051713</v>
      </c>
    </row>
    <row r="28" spans="1:17" ht="17.100000000000001" customHeight="1" x14ac:dyDescent="0.25">
      <c r="A28" s="4" t="s">
        <v>29</v>
      </c>
      <c r="B28" s="6">
        <v>0.15099860068693549</v>
      </c>
      <c r="C28" s="6">
        <v>0.29591955359218786</v>
      </c>
      <c r="D28" s="6">
        <v>0.41398672005680648</v>
      </c>
      <c r="E28" s="6">
        <v>0.26384950760693926</v>
      </c>
      <c r="F28" s="6">
        <v>0.44580799909389668</v>
      </c>
      <c r="G28" s="6">
        <v>0.3371195119145326</v>
      </c>
      <c r="H28" s="11">
        <f t="shared" ref="H28" si="10">(H27-H24)/H24</f>
        <v>8.1285544194729692E-2</v>
      </c>
      <c r="I28" s="6">
        <v>0.48115456096266174</v>
      </c>
      <c r="J28" s="6" t="s">
        <v>31</v>
      </c>
      <c r="K28" s="6">
        <v>0.48115456096266174</v>
      </c>
      <c r="L28" s="6">
        <v>0.44873878005189716</v>
      </c>
      <c r="M28" s="6">
        <v>0.46679310721694744</v>
      </c>
      <c r="N28" s="6" t="s">
        <v>31</v>
      </c>
      <c r="O28" s="6">
        <v>0.449529523308632</v>
      </c>
      <c r="P28" s="6">
        <v>0.34751157738178767</v>
      </c>
      <c r="Q28" s="11">
        <f t="shared" ref="Q28" si="11">(Q27-Q24)/Q24</f>
        <v>7.5708400313016261E-2</v>
      </c>
    </row>
    <row r="29" spans="1:17" ht="17.100000000000001" customHeight="1" x14ac:dyDescent="0.25">
      <c r="A29" s="12" t="s">
        <v>30</v>
      </c>
      <c r="B29" s="13" t="s">
        <v>31</v>
      </c>
      <c r="C29" s="13" t="s">
        <v>31</v>
      </c>
      <c r="D29" s="13" t="s">
        <v>31</v>
      </c>
      <c r="E29" s="13" t="s">
        <v>31</v>
      </c>
      <c r="F29" s="13" t="s">
        <v>31</v>
      </c>
      <c r="G29" s="13" t="s">
        <v>31</v>
      </c>
      <c r="H29" s="13" t="s">
        <v>31</v>
      </c>
      <c r="I29" s="13" t="s">
        <v>31</v>
      </c>
      <c r="J29" s="13" t="s">
        <v>31</v>
      </c>
      <c r="K29" s="13" t="s">
        <v>31</v>
      </c>
      <c r="L29" s="13" t="s">
        <v>31</v>
      </c>
      <c r="M29" s="13" t="s">
        <v>31</v>
      </c>
      <c r="N29" s="13" t="s">
        <v>31</v>
      </c>
      <c r="O29" s="13" t="s">
        <v>31</v>
      </c>
      <c r="P29" s="13" t="s">
        <v>31</v>
      </c>
      <c r="Q29" s="13" t="s">
        <v>31</v>
      </c>
    </row>
    <row r="30" spans="1:17" ht="17.100000000000001" customHeight="1" x14ac:dyDescent="0.25">
      <c r="A30" s="1" t="s">
        <v>27</v>
      </c>
      <c r="B30" s="2">
        <v>11438</v>
      </c>
      <c r="C30" s="2">
        <v>29754</v>
      </c>
      <c r="D30" s="2">
        <v>21095.363000000001</v>
      </c>
      <c r="E30" s="2">
        <v>1678661</v>
      </c>
      <c r="F30" s="2">
        <v>3368.61249</v>
      </c>
      <c r="G30" s="2">
        <v>3863.277126</v>
      </c>
      <c r="H30" s="10">
        <f t="shared" si="0"/>
        <v>87.195724772864764</v>
      </c>
      <c r="I30" s="3">
        <v>6506.8878400000003</v>
      </c>
      <c r="J30" s="3">
        <v>0</v>
      </c>
      <c r="K30" s="3">
        <v>6506.8878400000003</v>
      </c>
      <c r="L30" s="3">
        <v>252.64686599999996</v>
      </c>
      <c r="M30" s="3">
        <v>13.376788529999997</v>
      </c>
      <c r="N30" s="3">
        <v>0</v>
      </c>
      <c r="O30" s="3">
        <v>266.02365452999999</v>
      </c>
      <c r="P30" s="3">
        <v>331.18684100000002</v>
      </c>
      <c r="Q30" s="10">
        <f t="shared" si="1"/>
        <v>80.324343119055257</v>
      </c>
    </row>
    <row r="31" spans="1:17" ht="17.100000000000001" customHeight="1" x14ac:dyDescent="0.25">
      <c r="A31" s="4" t="s">
        <v>29</v>
      </c>
      <c r="B31" s="6">
        <v>0.2641467727674624</v>
      </c>
      <c r="C31" s="6">
        <v>0.33455931823278762</v>
      </c>
      <c r="D31" s="6">
        <v>0.36025846465023442</v>
      </c>
      <c r="E31" s="6">
        <v>0.34985083508230203</v>
      </c>
      <c r="F31" s="6">
        <v>0.41958962353080009</v>
      </c>
      <c r="G31" s="6">
        <v>0.39116589274652003</v>
      </c>
      <c r="H31" s="11">
        <f t="shared" ref="H31" si="12">(H30-H27)/H27</f>
        <v>2.0431589742445598E-2</v>
      </c>
      <c r="I31" s="6">
        <v>0.52816024317927213</v>
      </c>
      <c r="J31" s="6" t="s">
        <v>31</v>
      </c>
      <c r="K31" s="6">
        <v>0.52816024317927213</v>
      </c>
      <c r="L31" s="6">
        <v>0.41959551934117595</v>
      </c>
      <c r="M31" s="6">
        <v>0.6207620310351426</v>
      </c>
      <c r="N31" s="6" t="s">
        <v>31</v>
      </c>
      <c r="O31" s="6">
        <v>0.42851114179388328</v>
      </c>
      <c r="P31" s="6">
        <v>0.3799532320601306</v>
      </c>
      <c r="Q31" s="11">
        <f t="shared" ref="Q31" si="13">(Q30-Q27)/Q27</f>
        <v>3.5188083628936204E-2</v>
      </c>
    </row>
    <row r="32" spans="1:17" ht="17.100000000000001" customHeight="1" x14ac:dyDescent="0.25">
      <c r="A32" s="12" t="s">
        <v>30</v>
      </c>
      <c r="B32" s="13" t="s">
        <v>31</v>
      </c>
      <c r="C32" s="13" t="s">
        <v>31</v>
      </c>
      <c r="D32" s="13" t="s">
        <v>31</v>
      </c>
      <c r="E32" s="13" t="s">
        <v>31</v>
      </c>
      <c r="F32" s="13" t="s">
        <v>31</v>
      </c>
      <c r="G32" s="13" t="s">
        <v>31</v>
      </c>
      <c r="H32" s="13" t="s">
        <v>31</v>
      </c>
      <c r="I32" s="13" t="s">
        <v>31</v>
      </c>
      <c r="J32" s="13" t="s">
        <v>31</v>
      </c>
      <c r="K32" s="13" t="s">
        <v>31</v>
      </c>
      <c r="L32" s="13" t="s">
        <v>31</v>
      </c>
      <c r="M32" s="13" t="s">
        <v>31</v>
      </c>
      <c r="N32" s="13" t="s">
        <v>31</v>
      </c>
      <c r="O32" s="13" t="s">
        <v>31</v>
      </c>
      <c r="P32" s="13" t="s">
        <v>31</v>
      </c>
      <c r="Q32" s="13" t="s">
        <v>31</v>
      </c>
    </row>
    <row r="33" spans="1:17" ht="17.100000000000001" customHeight="1" x14ac:dyDescent="0.25">
      <c r="A33" s="1" t="s">
        <v>28</v>
      </c>
      <c r="B33" s="2">
        <v>13931</v>
      </c>
      <c r="C33" s="2">
        <v>33380</v>
      </c>
      <c r="D33" s="2">
        <v>23465.7</v>
      </c>
      <c r="E33" s="2">
        <v>1959204</v>
      </c>
      <c r="F33" s="2">
        <v>3806.5655999999999</v>
      </c>
      <c r="G33" s="2">
        <v>4255.6723000000002</v>
      </c>
      <c r="H33" s="10">
        <f t="shared" si="0"/>
        <v>89.446868359671399</v>
      </c>
      <c r="I33" s="3">
        <v>8513.0093199999992</v>
      </c>
      <c r="J33" s="3">
        <v>0</v>
      </c>
      <c r="K33" s="3">
        <v>8513.0093199999992</v>
      </c>
      <c r="L33" s="3">
        <v>285.49209999999999</v>
      </c>
      <c r="M33" s="3">
        <v>17.0824</v>
      </c>
      <c r="N33" s="3">
        <v>0</v>
      </c>
      <c r="O33" s="3">
        <v>302.5745</v>
      </c>
      <c r="P33" s="3">
        <v>363.69079999999997</v>
      </c>
      <c r="Q33" s="10">
        <f t="shared" si="1"/>
        <v>83.195533128690641</v>
      </c>
    </row>
    <row r="34" spans="1:17" ht="17.100000000000001" customHeight="1" x14ac:dyDescent="0.25">
      <c r="A34" s="4" t="s">
        <v>29</v>
      </c>
      <c r="B34" s="6">
        <v>0.2179576849099493</v>
      </c>
      <c r="C34" s="6">
        <v>0.12186596760099483</v>
      </c>
      <c r="D34" s="6">
        <v>0.11236293966593509</v>
      </c>
      <c r="E34" s="6">
        <v>0.16712308202787818</v>
      </c>
      <c r="F34" s="6">
        <v>0.1300099406803541</v>
      </c>
      <c r="G34" s="6">
        <v>0.10157054780232203</v>
      </c>
      <c r="H34" s="11">
        <f t="shared" ref="H34" si="14">(H33-H30)/H30</f>
        <v>2.5817132579270541E-2</v>
      </c>
      <c r="I34" s="6">
        <v>0.30830737048634893</v>
      </c>
      <c r="J34" s="6" t="s">
        <v>31</v>
      </c>
      <c r="K34" s="6">
        <v>0.30830737048634893</v>
      </c>
      <c r="L34" s="6">
        <v>0.1300045178474529</v>
      </c>
      <c r="M34" s="6">
        <v>0.27701801981017066</v>
      </c>
      <c r="N34" s="6" t="s">
        <v>31</v>
      </c>
      <c r="O34" s="6">
        <v>0.13739697522228461</v>
      </c>
      <c r="P34" s="6">
        <v>9.814387220777275E-2</v>
      </c>
      <c r="Q34" s="11">
        <f t="shared" ref="Q34" si="15">(Q33-Q30)/Q30</f>
        <v>3.5744954744040165E-2</v>
      </c>
    </row>
    <row r="35" spans="1:17" ht="17.100000000000001" customHeight="1" x14ac:dyDescent="0.25">
      <c r="A35" s="12" t="s">
        <v>30</v>
      </c>
      <c r="B35" s="13" t="s">
        <v>31</v>
      </c>
      <c r="C35" s="13" t="s">
        <v>31</v>
      </c>
      <c r="D35" s="13" t="s">
        <v>31</v>
      </c>
      <c r="E35" s="13" t="s">
        <v>31</v>
      </c>
      <c r="F35" s="13" t="s">
        <v>31</v>
      </c>
      <c r="G35" s="13" t="s">
        <v>31</v>
      </c>
      <c r="H35" s="13" t="s">
        <v>31</v>
      </c>
      <c r="I35" s="13" t="s">
        <v>31</v>
      </c>
      <c r="J35" s="13" t="s">
        <v>31</v>
      </c>
      <c r="K35" s="13" t="s">
        <v>31</v>
      </c>
      <c r="L35" s="13" t="s">
        <v>31</v>
      </c>
      <c r="M35" s="13" t="s">
        <v>31</v>
      </c>
      <c r="N35" s="13" t="s">
        <v>31</v>
      </c>
      <c r="O35" s="13" t="s">
        <v>31</v>
      </c>
      <c r="P35" s="13" t="s">
        <v>31</v>
      </c>
      <c r="Q35" s="13" t="s">
        <v>31</v>
      </c>
    </row>
    <row r="36" spans="1:17" ht="17.100000000000001" customHeight="1" x14ac:dyDescent="0.25">
      <c r="A36" s="7" t="s">
        <v>32</v>
      </c>
      <c r="B36" s="2">
        <v>14866</v>
      </c>
      <c r="C36" s="2">
        <v>38572</v>
      </c>
      <c r="D36" s="2">
        <v>27315.667000000001</v>
      </c>
      <c r="E36" s="2">
        <v>2239282</v>
      </c>
      <c r="F36" s="2">
        <v>4469.7458039999992</v>
      </c>
      <c r="G36" s="2">
        <v>5075.3610420000005</v>
      </c>
      <c r="H36" s="10">
        <f t="shared" si="0"/>
        <v>88.067543707957526</v>
      </c>
      <c r="I36" s="3">
        <v>18429.919999999998</v>
      </c>
      <c r="J36" s="3">
        <v>0</v>
      </c>
      <c r="K36" s="3">
        <v>18429.919999999998</v>
      </c>
      <c r="L36" s="3">
        <v>335.23090599999995</v>
      </c>
      <c r="M36" s="3">
        <v>22.786607</v>
      </c>
      <c r="N36" s="3">
        <v>0</v>
      </c>
      <c r="O36" s="3">
        <v>358.01751300000001</v>
      </c>
      <c r="P36" s="3">
        <v>431.50635900000003</v>
      </c>
      <c r="Q36" s="10">
        <f t="shared" si="1"/>
        <v>82.969232210086616</v>
      </c>
    </row>
    <row r="37" spans="1:17" ht="17.100000000000001" customHeight="1" x14ac:dyDescent="0.25">
      <c r="A37" s="4" t="s">
        <v>29</v>
      </c>
      <c r="B37" s="6">
        <v>6.7116502763620703E-2</v>
      </c>
      <c r="C37" s="6">
        <v>0.15554224086279209</v>
      </c>
      <c r="D37" s="6">
        <v>0.16406785222686732</v>
      </c>
      <c r="E37" s="6">
        <v>0.14295499600858308</v>
      </c>
      <c r="F37" s="6">
        <v>0.17422009067701325</v>
      </c>
      <c r="G37" s="6">
        <v>0.19261086949763501</v>
      </c>
      <c r="H37" s="11">
        <f t="shared" ref="H37" si="16">(H36-H33)/H33</f>
        <v>-1.5420603057532688E-2</v>
      </c>
      <c r="I37" s="6">
        <v>1.1649124659950449</v>
      </c>
      <c r="J37" s="6" t="s">
        <v>31</v>
      </c>
      <c r="K37" s="6">
        <v>1.1649124659950449</v>
      </c>
      <c r="L37" s="6">
        <v>0.1742213041972088</v>
      </c>
      <c r="M37" s="6">
        <v>0.33392304360043085</v>
      </c>
      <c r="N37" s="6" t="s">
        <v>31</v>
      </c>
      <c r="O37" s="6">
        <v>0.18323755967538577</v>
      </c>
      <c r="P37" s="6">
        <v>0.18646487345844345</v>
      </c>
      <c r="Q37" s="11">
        <f t="shared" ref="Q37" si="17">(Q36-Q33)/Q33</f>
        <v>-2.7201090021741004E-3</v>
      </c>
    </row>
    <row r="38" spans="1:17" ht="17.100000000000001" customHeight="1" x14ac:dyDescent="0.25">
      <c r="A38" s="12" t="s">
        <v>30</v>
      </c>
      <c r="B38" s="13" t="s">
        <v>31</v>
      </c>
      <c r="C38" s="13" t="s">
        <v>31</v>
      </c>
      <c r="D38" s="13" t="s">
        <v>31</v>
      </c>
      <c r="E38" s="13" t="s">
        <v>31</v>
      </c>
      <c r="F38" s="13" t="s">
        <v>31</v>
      </c>
      <c r="G38" s="13" t="s">
        <v>31</v>
      </c>
      <c r="H38" s="13" t="s">
        <v>31</v>
      </c>
      <c r="I38" s="13" t="s">
        <v>31</v>
      </c>
      <c r="J38" s="13" t="s">
        <v>31</v>
      </c>
      <c r="K38" s="13" t="s">
        <v>31</v>
      </c>
      <c r="L38" s="13" t="s">
        <v>31</v>
      </c>
      <c r="M38" s="13" t="s">
        <v>31</v>
      </c>
      <c r="N38" s="13" t="s">
        <v>31</v>
      </c>
      <c r="O38" s="13" t="s">
        <v>31</v>
      </c>
      <c r="P38" s="13" t="s">
        <v>31</v>
      </c>
      <c r="Q38" s="13" t="s">
        <v>31</v>
      </c>
    </row>
    <row r="39" spans="1:17" x14ac:dyDescent="0.25">
      <c r="A39" s="18" t="s">
        <v>36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29.25" customHeight="1" x14ac:dyDescent="0.25">
      <c r="A40" s="14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2020-05-11T08:45:20Z</cp:lastPrinted>
  <dcterms:created xsi:type="dcterms:W3CDTF">2018-10-29T04:00:15Z</dcterms:created>
  <dcterms:modified xsi:type="dcterms:W3CDTF">2020-05-20T11:05:32Z</dcterms:modified>
</cp:coreProperties>
</file>