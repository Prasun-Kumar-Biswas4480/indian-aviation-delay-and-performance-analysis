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AIRLINE WISE\"/>
    </mc:Choice>
  </mc:AlternateContent>
  <bookViews>
    <workbookView xWindow="-120" yWindow="-120" windowWidth="20736" windowHeight="11160"/>
  </bookViews>
  <sheets>
    <sheet name="Airline wise domestic traffic" sheetId="1" r:id="rId1"/>
  </sheets>
  <definedNames>
    <definedName name="_xlnm.Print_Area" localSheetId="0">'Airline wise domestic traffic'!$A$1:$Q$24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3" i="1" l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H7" i="1"/>
  <c r="H8" i="1"/>
  <c r="H9" i="1"/>
  <c r="H10" i="1"/>
  <c r="H11" i="1"/>
  <c r="H12" i="1"/>
  <c r="H14" i="1"/>
  <c r="H15" i="1"/>
  <c r="H16" i="1"/>
  <c r="H17" i="1"/>
  <c r="H18" i="1"/>
  <c r="H19" i="1"/>
  <c r="H20" i="1"/>
  <c r="H21" i="1"/>
  <c r="H22" i="1"/>
  <c r="H23" i="1"/>
  <c r="H6" i="1"/>
</calcChain>
</file>

<file path=xl/sharedStrings.xml><?xml version="1.0" encoding="utf-8"?>
<sst xmlns="http://schemas.openxmlformats.org/spreadsheetml/2006/main" count="44" uniqueCount="42">
  <si>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</si>
  <si>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</si>
  <si>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</si>
  <si>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</si>
  <si>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</si>
  <si>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</si>
  <si>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</si>
  <si>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</si>
  <si>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</si>
  <si>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</si>
  <si>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</si>
  <si>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</si>
  <si>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</si>
  <si>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</si>
  <si>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</si>
  <si>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</si>
  <si>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</si>
  <si>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</si>
  <si>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</si>
  <si>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>AIRLINE</t>
  </si>
  <si>
    <t>AIR ASIA</t>
  </si>
  <si>
    <t>AIR HERITAGE</t>
  </si>
  <si>
    <t>AIR INDIA</t>
  </si>
  <si>
    <t>AIR INDIA EXPRESS</t>
  </si>
  <si>
    <t>AIR ODISHA</t>
  </si>
  <si>
    <t>ALLIANCE AIR</t>
  </si>
  <si>
    <t>BLUEDART</t>
  </si>
  <si>
    <t>GO AIR</t>
  </si>
  <si>
    <t>INDIGO</t>
  </si>
  <si>
    <t>JET AIRWAYS</t>
  </si>
  <si>
    <t>JETLITE</t>
  </si>
  <si>
    <t>SPICEJET</t>
  </si>
  <si>
    <t xml:space="preserve">STAR AIR </t>
  </si>
  <si>
    <t>TRUJET</t>
  </si>
  <si>
    <t>VISTARA</t>
  </si>
  <si>
    <t>ZOOM AIR</t>
  </si>
  <si>
    <t>YEAR TOTAL</t>
  </si>
  <si>
    <t>AIR DECCAN</t>
  </si>
  <si>
    <t>-</t>
  </si>
  <si>
    <t xml:space="preserve">तालिका  1.01 ( अनुसूचित भारतीय एयरलाइन्स) </t>
  </si>
  <si>
    <t>Table 1.01 ( SCHEDULED INDIAN AIRLINES)</t>
  </si>
  <si>
    <t>AIRLINE-WISE TRAFFIC AND OPERATING STATISTICS OF SCHEDULED INDIAN AIRLINES ON SCHEDULED DOMESTIC SERVICES DURING 2018-19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</si>
</sst>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3" borderId="0" applyNumberFormat="0" applyBorder="0" applyAlignment="0" applyProtection="0"/>
    <xf numFmtId="0" fontId="2" fillId="4" borderId="0" applyNumberFormat="0" applyBorder="0" applyAlignment="0" applyProtection="0"/>
    <xf numFmtId="43" fontId="2" fillId="0" borderId="0" applyFont="0" applyFill="0" applyBorder="0" applyAlignment="0" applyProtection="0"/>
    <xf numFmtId="0" fontId="2" fillId="5" borderId="0" applyNumberFormat="0" applyBorder="0" applyAlignment="0" applyProtection="0"/>
  </cellStyleXfs>
  <cellXfs count="25">
    <xf numFmtId="0" fontId="0" fillId="0" borderId="0" xfId="0"/>
    <xf numFmtId="0" fontId="0" fillId="0" borderId="0" xfId="0" applyFont="1"/>
    <xf numFmtId="0" fontId="3" fillId="3" borderId="1" xfId="1" applyBorder="1" applyAlignment="1" applyProtection="1">
      <alignment horizontal="center" vertical="center" textRotation="90" wrapText="1"/>
    </xf>
    <xf numFmtId="0" fontId="2" fillId="4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2" fillId="4" borderId="1" xfId="3" applyNumberFormat="1" applyFill="1" applyBorder="1" applyAlignment="1">
      <alignment horizontal="right" vertical="center"/>
    </xf>
    <xf numFmtId="165" fontId="0" fillId="0" borderId="1" xfId="3" applyNumberFormat="1" applyFont="1" applyBorder="1" applyAlignment="1">
      <alignment horizontal="right" vertical="center"/>
    </xf>
    <xf numFmtId="165" fontId="4" fillId="0" borderId="1" xfId="3" applyNumberFormat="1" applyFont="1" applyBorder="1" applyAlignment="1">
      <alignment horizontal="right" vertical="center"/>
    </xf>
    <xf numFmtId="164" fontId="2" fillId="4" borderId="1" xfId="3" applyNumberFormat="1" applyFill="1" applyBorder="1" applyAlignment="1">
      <alignment horizontal="right" vertical="center"/>
    </xf>
    <xf numFmtId="164" fontId="0" fillId="0" borderId="1" xfId="3" applyNumberFormat="1" applyFont="1" applyBorder="1" applyAlignment="1">
      <alignment horizontal="right" vertical="center"/>
    </xf>
    <xf numFmtId="164" fontId="4" fillId="0" borderId="1" xfId="3" applyNumberFormat="1" applyFont="1" applyBorder="1" applyAlignment="1">
      <alignment horizontal="right" vertical="center"/>
    </xf>
    <xf numFmtId="166" fontId="2" fillId="5" borderId="1" xfId="4" applyNumberFormat="1" applyBorder="1" applyAlignment="1">
      <alignment horizontal="center" vertical="center"/>
    </xf>
    <xf numFmtId="166" fontId="0" fillId="5" borderId="1" xfId="4" applyNumberFormat="1" applyFont="1" applyBorder="1" applyAlignment="1">
      <alignment horizontal="center" vertical="center"/>
    </xf>
    <xf numFmtId="43" fontId="2" fillId="4" borderId="1" xfId="3" applyNumberFormat="1" applyFill="1" applyBorder="1" applyAlignment="1">
      <alignment horizontal="right" vertical="center"/>
    </xf>
    <xf numFmtId="166" fontId="4" fillId="5" borderId="1" xfId="4" applyNumberFormat="1" applyFont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left" vertical="center" wrapText="1"/>
    </xf>
    <xf numFmtId="0" fontId="3" fillId="3" borderId="1" xfId="1" applyBorder="1" applyAlignment="1" applyProtection="1">
      <alignment horizontal="center" vertical="center" textRotation="90" wrapText="1"/>
    </xf>
    <xf numFmtId="0" fontId="3" fillId="3" borderId="1" xfId="1" applyBorder="1" applyAlignment="1">
      <alignment textRotation="90"/>
    </xf>
    <xf numFmtId="0" fontId="0" fillId="4" borderId="1" xfId="2" applyFont="1" applyBorder="1" applyAlignment="1">
      <alignment horizontal="center" vertical="center" wrapText="1"/>
    </xf>
    <xf numFmtId="0" fontId="2" fillId="4" borderId="1" xfId="2" applyBorder="1" applyAlignment="1">
      <alignment horizontal="center" vertical="center" wrapText="1"/>
    </xf>
    <xf numFmtId="0" fontId="0" fillId="4" borderId="1" xfId="2" quotePrefix="1" applyFont="1" applyBorder="1" applyAlignment="1" applyProtection="1">
      <alignment horizontal="center" vertical="center" wrapText="1"/>
    </xf>
    <xf numFmtId="0" fontId="2" fillId="4" borderId="1" xfId="2" applyBorder="1"/>
    <xf numFmtId="0" fontId="3" fillId="3" borderId="1" xfId="1" applyBorder="1" applyAlignment="1" applyProtection="1">
      <alignment horizontal="center" vertical="center" wrapText="1"/>
    </xf>
    <xf numFmtId="0" fontId="3" fillId="3" borderId="1" xfId="1" applyBorder="1"/>
  </cellXfs>
  <cellStyles count="5">
    <cellStyle name="20% - Accent2" xfId="4" builtinId="34"/>
    <cellStyle name="40% - Accent2" xfId="2" builtinId="35"/>
    <cellStyle name="Accent2" xfId="1" builtinId="33"/>
    <cellStyle name="Comma" xfId="3" builtinId="3"/>
    <cellStyle name="Normal" xfId="0" builtinId="0"/>
  </cellStyles>
  <dxfs count="0"/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  <pageSetUpPr fitToPage="1"/>
  </sheetPr>
  <dimension ref="A1:Q24"/>
  <sheetViews>
    <sheetView tabSelected="1" zoomScaleNormal="100" zoomScaleSheetLayoutView="100" workbookViewId="0">
      <selection activeCell="A3" sqref="A3:Q3"/>
    </sheetView>
  </sheetViews>
  <sheetFormatPr defaultColWidth="9.109375" defaultRowHeight="14.4" x14ac:dyDescent="0.3"/>
  <cols>
    <col min="1" max="1" width="17" style="1" customWidth="1"/>
    <col min="2" max="2" width="10.6640625" style="1" customWidth="1"/>
    <col min="3" max="3" width="11" style="1" customWidth="1"/>
    <col min="4" max="4" width="9.33203125" style="1" customWidth="1"/>
    <col min="5" max="5" width="12.6640625" style="1" customWidth="1"/>
    <col min="6" max="6" width="9" style="1" customWidth="1"/>
    <col min="7" max="7" width="9.33203125" style="1" customWidth="1"/>
    <col min="8" max="8" width="8.33203125" style="1" customWidth="1"/>
    <col min="9" max="9" width="11.109375" style="1" customWidth="1"/>
    <col min="10" max="10" width="9.44140625" style="1" customWidth="1"/>
    <col min="11" max="11" width="11" style="1" customWidth="1"/>
    <col min="12" max="12" width="10.33203125" style="1" customWidth="1"/>
    <col min="13" max="13" width="8.44140625" style="1" customWidth="1"/>
    <col min="14" max="14" width="7.88671875" style="1" customWidth="1"/>
    <col min="15" max="15" width="9.5546875" style="1" customWidth="1"/>
    <col min="16" max="16" width="9.88671875" style="1" customWidth="1"/>
    <col min="17" max="17" width="8" style="1" customWidth="1"/>
    <col min="18" max="16384" width="9.109375" style="1"/>
  </cols>
  <sheetData>
    <row r="1" spans="1:17" ht="18.75" customHeight="1" x14ac:dyDescent="0.3">
      <c r="A1" s="19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8.75" customHeight="1" x14ac:dyDescent="0.3">
      <c r="A2" s="21" t="s">
        <v>40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8.75" customHeight="1" x14ac:dyDescent="0.3">
      <c r="A3" s="23" t="s">
        <v>41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21" customHeight="1" x14ac:dyDescent="0.3">
      <c r="A4" s="23" t="s">
        <v>19</v>
      </c>
      <c r="B4" s="23" t="s">
        <v>0</v>
      </c>
      <c r="C4" s="23"/>
      <c r="D4" s="23"/>
      <c r="E4" s="23" t="s">
        <v>1</v>
      </c>
      <c r="F4" s="24"/>
      <c r="G4" s="17" t="s">
        <v>2</v>
      </c>
      <c r="H4" s="17" t="s">
        <v>3</v>
      </c>
      <c r="I4" s="23" t="s">
        <v>4</v>
      </c>
      <c r="J4" s="23"/>
      <c r="K4" s="23"/>
      <c r="L4" s="23" t="s">
        <v>5</v>
      </c>
      <c r="M4" s="23"/>
      <c r="N4" s="23"/>
      <c r="O4" s="23"/>
      <c r="P4" s="17" t="s">
        <v>6</v>
      </c>
      <c r="Q4" s="17" t="s">
        <v>7</v>
      </c>
    </row>
    <row r="5" spans="1:17" ht="139.5" customHeight="1" x14ac:dyDescent="0.3">
      <c r="A5" s="23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18"/>
      <c r="H5" s="18"/>
      <c r="I5" s="2" t="s">
        <v>13</v>
      </c>
      <c r="J5" s="2" t="s">
        <v>14</v>
      </c>
      <c r="K5" s="2" t="s">
        <v>15</v>
      </c>
      <c r="L5" s="2" t="s">
        <v>16</v>
      </c>
      <c r="M5" s="2" t="s">
        <v>17</v>
      </c>
      <c r="N5" s="2" t="s">
        <v>14</v>
      </c>
      <c r="O5" s="2" t="s">
        <v>15</v>
      </c>
      <c r="P5" s="18"/>
      <c r="Q5" s="18"/>
    </row>
    <row r="6" spans="1:17" ht="20.100000000000001" customHeight="1" x14ac:dyDescent="0.3">
      <c r="A6" s="3" t="s">
        <v>20</v>
      </c>
      <c r="B6" s="9">
        <v>47893</v>
      </c>
      <c r="C6" s="9">
        <v>103568.54999999999</v>
      </c>
      <c r="D6" s="9">
        <v>46792.159999999996</v>
      </c>
      <c r="E6" s="9">
        <v>7291535</v>
      </c>
      <c r="F6" s="9">
        <v>7351.2316330000003</v>
      </c>
      <c r="G6" s="9">
        <v>8721.1283199999998</v>
      </c>
      <c r="H6" s="12">
        <f>F6/G6*100</f>
        <v>84.292208109603877</v>
      </c>
      <c r="I6" s="6">
        <v>28212.948</v>
      </c>
      <c r="J6" s="6">
        <v>0</v>
      </c>
      <c r="K6" s="6">
        <v>28212.948</v>
      </c>
      <c r="L6" s="6">
        <v>604.39351999999997</v>
      </c>
      <c r="M6" s="6">
        <v>33.234718000000001</v>
      </c>
      <c r="N6" s="6">
        <v>0</v>
      </c>
      <c r="O6" s="6">
        <v>637.62823800000001</v>
      </c>
      <c r="P6" s="6">
        <v>1276.0256600000002</v>
      </c>
      <c r="Q6" s="12">
        <f>O6/P6*100</f>
        <v>49.969860167232049</v>
      </c>
    </row>
    <row r="7" spans="1:17" ht="20.100000000000001" customHeight="1" x14ac:dyDescent="0.3">
      <c r="A7" s="4" t="s">
        <v>37</v>
      </c>
      <c r="B7" s="10">
        <v>766</v>
      </c>
      <c r="C7" s="10">
        <v>641.24</v>
      </c>
      <c r="D7" s="10">
        <v>682.67499999999995</v>
      </c>
      <c r="E7" s="10">
        <v>5335</v>
      </c>
      <c r="F7" s="10">
        <v>1.7208800000000002</v>
      </c>
      <c r="G7" s="10">
        <v>3.9799500000000001</v>
      </c>
      <c r="H7" s="12">
        <f t="shared" ref="H7:H23" si="0">F7/G7*100</f>
        <v>43.2387341549517</v>
      </c>
      <c r="I7" s="7">
        <v>0</v>
      </c>
      <c r="J7" s="7">
        <v>0</v>
      </c>
      <c r="K7" s="7">
        <v>0</v>
      </c>
      <c r="L7" s="7">
        <v>22.257604686799997</v>
      </c>
      <c r="M7" s="7">
        <v>0</v>
      </c>
      <c r="N7" s="7">
        <v>0</v>
      </c>
      <c r="O7" s="7">
        <v>22.257604686799997</v>
      </c>
      <c r="P7" s="7">
        <v>81.886904999999999</v>
      </c>
      <c r="Q7" s="12">
        <f t="shared" ref="Q7:Q23" si="1">O7/P7*100</f>
        <v>27.180908457585488</v>
      </c>
    </row>
    <row r="8" spans="1:17" ht="20.100000000000001" customHeight="1" x14ac:dyDescent="0.3">
      <c r="A8" s="3" t="s">
        <v>21</v>
      </c>
      <c r="B8" s="9">
        <v>62</v>
      </c>
      <c r="C8" s="9">
        <v>47</v>
      </c>
      <c r="D8" s="9">
        <v>22.378</v>
      </c>
      <c r="E8" s="9">
        <v>532</v>
      </c>
      <c r="F8" s="6">
        <v>0.19127300000000003</v>
      </c>
      <c r="G8" s="6">
        <v>0.39410099999999998</v>
      </c>
      <c r="H8" s="12">
        <f t="shared" si="0"/>
        <v>48.53400524231099</v>
      </c>
      <c r="I8" s="6">
        <v>0</v>
      </c>
      <c r="J8" s="6">
        <v>0</v>
      </c>
      <c r="K8" s="6">
        <v>0</v>
      </c>
      <c r="L8" s="14">
        <v>1.4345074999999999E-2</v>
      </c>
      <c r="M8" s="6">
        <v>0</v>
      </c>
      <c r="N8" s="6">
        <v>0</v>
      </c>
      <c r="O8" s="14">
        <v>1.4345074999999999E-2</v>
      </c>
      <c r="P8" s="14">
        <v>1.8142200000000001E-2</v>
      </c>
      <c r="Q8" s="12">
        <f t="shared" si="1"/>
        <v>79.070206479919733</v>
      </c>
    </row>
    <row r="9" spans="1:17" ht="20.100000000000001" customHeight="1" x14ac:dyDescent="0.3">
      <c r="A9" s="4" t="s">
        <v>22</v>
      </c>
      <c r="B9" s="10">
        <v>119091</v>
      </c>
      <c r="C9" s="10">
        <v>221689.27970000001</v>
      </c>
      <c r="D9" s="10">
        <v>128943.655</v>
      </c>
      <c r="E9" s="10">
        <v>15479331</v>
      </c>
      <c r="F9" s="10">
        <v>15013.722734999999</v>
      </c>
      <c r="G9" s="10">
        <v>18517.913667000004</v>
      </c>
      <c r="H9" s="12">
        <f t="shared" si="0"/>
        <v>81.076750896378371</v>
      </c>
      <c r="I9" s="7">
        <v>73036.244699999996</v>
      </c>
      <c r="J9" s="7">
        <v>8762.1279999999988</v>
      </c>
      <c r="K9" s="7">
        <v>81798.372699999993</v>
      </c>
      <c r="L9" s="7">
        <v>1475.0026169999999</v>
      </c>
      <c r="M9" s="7">
        <v>85.048941375000012</v>
      </c>
      <c r="N9" s="7">
        <v>8.843221999999999</v>
      </c>
      <c r="O9" s="7">
        <v>1568.894780375</v>
      </c>
      <c r="P9" s="7">
        <v>2047.1803712200001</v>
      </c>
      <c r="Q9" s="12">
        <f t="shared" si="1"/>
        <v>76.636861237587496</v>
      </c>
    </row>
    <row r="10" spans="1:17" ht="20.100000000000001" customHeight="1" x14ac:dyDescent="0.3">
      <c r="A10" s="3" t="s">
        <v>23</v>
      </c>
      <c r="B10" s="9">
        <v>3092</v>
      </c>
      <c r="C10" s="9">
        <v>4765.74</v>
      </c>
      <c r="D10" s="9">
        <v>2227.3220000000001</v>
      </c>
      <c r="E10" s="9">
        <v>194080</v>
      </c>
      <c r="F10" s="9">
        <v>265.73710299999999</v>
      </c>
      <c r="G10" s="9">
        <v>414.28162600000007</v>
      </c>
      <c r="H10" s="12">
        <f t="shared" si="0"/>
        <v>64.144071646566331</v>
      </c>
      <c r="I10" s="6">
        <v>434.53500000000003</v>
      </c>
      <c r="J10" s="6">
        <v>0.20699999999999999</v>
      </c>
      <c r="K10" s="6">
        <v>434.74199999999996</v>
      </c>
      <c r="L10" s="6">
        <v>21.119583132999999</v>
      </c>
      <c r="M10" s="6">
        <v>0.122007768</v>
      </c>
      <c r="N10" s="6">
        <v>6.6936600000000001E-4</v>
      </c>
      <c r="O10" s="6">
        <v>21.241849667</v>
      </c>
      <c r="P10" s="6">
        <v>38.793933605999996</v>
      </c>
      <c r="Q10" s="12">
        <f t="shared" si="1"/>
        <v>54.755596281462594</v>
      </c>
    </row>
    <row r="11" spans="1:17" ht="20.100000000000001" customHeight="1" x14ac:dyDescent="0.3">
      <c r="A11" s="4" t="s">
        <v>24</v>
      </c>
      <c r="B11" s="10">
        <v>596</v>
      </c>
      <c r="C11" s="10">
        <v>387.99</v>
      </c>
      <c r="D11" s="10">
        <v>124.63999999999999</v>
      </c>
      <c r="E11" s="10">
        <v>3035</v>
      </c>
      <c r="F11" s="10">
        <v>0.58481400000000006</v>
      </c>
      <c r="G11" s="10">
        <v>2.1038519999999998</v>
      </c>
      <c r="H11" s="12">
        <f t="shared" si="0"/>
        <v>27.797297528533381</v>
      </c>
      <c r="I11" s="7">
        <v>0</v>
      </c>
      <c r="J11" s="7">
        <v>0</v>
      </c>
      <c r="K11" s="7">
        <v>0</v>
      </c>
      <c r="L11" s="7">
        <v>2.3135519999999996</v>
      </c>
      <c r="M11" s="7">
        <v>0</v>
      </c>
      <c r="N11" s="7">
        <v>0</v>
      </c>
      <c r="O11" s="7">
        <v>2.3135519999999996</v>
      </c>
      <c r="P11" s="7">
        <v>25.144099999999998</v>
      </c>
      <c r="Q11" s="12">
        <f t="shared" si="1"/>
        <v>9.2011724420440579</v>
      </c>
    </row>
    <row r="12" spans="1:17" ht="20.100000000000001" customHeight="1" x14ac:dyDescent="0.3">
      <c r="A12" s="3" t="s">
        <v>25</v>
      </c>
      <c r="B12" s="9">
        <v>28983</v>
      </c>
      <c r="C12" s="9">
        <v>51698</v>
      </c>
      <c r="D12" s="9">
        <v>23821</v>
      </c>
      <c r="E12" s="9">
        <v>1597382</v>
      </c>
      <c r="F12" s="9">
        <v>679.84728900000005</v>
      </c>
      <c r="G12" s="9">
        <v>984.52216399999998</v>
      </c>
      <c r="H12" s="12">
        <f t="shared" si="0"/>
        <v>69.053528082888349</v>
      </c>
      <c r="I12" s="6">
        <v>83.3</v>
      </c>
      <c r="J12" s="6">
        <v>15</v>
      </c>
      <c r="K12" s="6">
        <v>98.3</v>
      </c>
      <c r="L12" s="6">
        <v>61.920999999999999</v>
      </c>
      <c r="M12" s="6">
        <v>5.1799999999999999E-2</v>
      </c>
      <c r="N12" s="6">
        <v>8.9999999999999993E-3</v>
      </c>
      <c r="O12" s="6">
        <v>61.9818</v>
      </c>
      <c r="P12" s="6">
        <v>91.338999999999999</v>
      </c>
      <c r="Q12" s="12">
        <f t="shared" si="1"/>
        <v>67.859074436987484</v>
      </c>
    </row>
    <row r="13" spans="1:17" ht="20.100000000000001" customHeight="1" x14ac:dyDescent="0.3">
      <c r="A13" s="4" t="s">
        <v>26</v>
      </c>
      <c r="B13" s="10">
        <v>5806</v>
      </c>
      <c r="C13" s="10">
        <v>10552.031129999999</v>
      </c>
      <c r="D13" s="10">
        <v>5810</v>
      </c>
      <c r="E13" s="10">
        <v>0</v>
      </c>
      <c r="F13" s="10">
        <v>0</v>
      </c>
      <c r="G13" s="10">
        <v>0</v>
      </c>
      <c r="H13" s="13" t="s">
        <v>38</v>
      </c>
      <c r="I13" s="7">
        <v>120752</v>
      </c>
      <c r="J13" s="7">
        <v>0</v>
      </c>
      <c r="K13" s="7">
        <v>120752</v>
      </c>
      <c r="L13" s="7">
        <v>0</v>
      </c>
      <c r="M13" s="7">
        <v>125.196405</v>
      </c>
      <c r="N13" s="7">
        <v>0</v>
      </c>
      <c r="O13" s="7">
        <v>125.196405</v>
      </c>
      <c r="P13" s="7">
        <v>178.49460000000002</v>
      </c>
      <c r="Q13" s="12">
        <f t="shared" si="1"/>
        <v>70.140163904118097</v>
      </c>
    </row>
    <row r="14" spans="1:17" ht="20.100000000000001" customHeight="1" x14ac:dyDescent="0.3">
      <c r="A14" s="3" t="s">
        <v>27</v>
      </c>
      <c r="B14" s="9">
        <v>78833</v>
      </c>
      <c r="C14" s="9">
        <v>144227.59390000001</v>
      </c>
      <c r="D14" s="9">
        <v>76772.458999999988</v>
      </c>
      <c r="E14" s="9">
        <v>12570834</v>
      </c>
      <c r="F14" s="9">
        <v>12253.583035999998</v>
      </c>
      <c r="G14" s="9">
        <v>13865.555931999999</v>
      </c>
      <c r="H14" s="12">
        <f t="shared" si="0"/>
        <v>88.374264227806648</v>
      </c>
      <c r="I14" s="6">
        <v>72925.75099</v>
      </c>
      <c r="J14" s="6">
        <v>0</v>
      </c>
      <c r="K14" s="6">
        <v>72925.75099</v>
      </c>
      <c r="L14" s="6">
        <v>1102.82253803</v>
      </c>
      <c r="M14" s="6">
        <v>81.271139947000009</v>
      </c>
      <c r="N14" s="6">
        <v>0</v>
      </c>
      <c r="O14" s="6">
        <v>1184.0936779770002</v>
      </c>
      <c r="P14" s="6">
        <v>1454.8380709499997</v>
      </c>
      <c r="Q14" s="12">
        <f t="shared" si="1"/>
        <v>81.390066813676015</v>
      </c>
    </row>
    <row r="15" spans="1:17" ht="20.100000000000001" customHeight="1" x14ac:dyDescent="0.3">
      <c r="A15" s="4" t="s">
        <v>28</v>
      </c>
      <c r="B15" s="10">
        <v>417419</v>
      </c>
      <c r="C15" s="10">
        <v>740551.19860000012</v>
      </c>
      <c r="D15" s="10">
        <v>382121.826</v>
      </c>
      <c r="E15" s="10">
        <v>60038171</v>
      </c>
      <c r="F15" s="10">
        <v>58688.678999999996</v>
      </c>
      <c r="G15" s="10">
        <v>67643.506999999998</v>
      </c>
      <c r="H15" s="12">
        <f t="shared" si="0"/>
        <v>86.761733095831346</v>
      </c>
      <c r="I15" s="7">
        <v>163256.30495000002</v>
      </c>
      <c r="J15" s="7">
        <v>21163.398409999998</v>
      </c>
      <c r="K15" s="7">
        <v>184419.70335999998</v>
      </c>
      <c r="L15" s="7">
        <v>5281.9677139999994</v>
      </c>
      <c r="M15" s="7">
        <v>195.54945129999999</v>
      </c>
      <c r="N15" s="7">
        <v>21.825904699999995</v>
      </c>
      <c r="O15" s="7">
        <v>5499.3430699999999</v>
      </c>
      <c r="P15" s="7">
        <v>7452.3593386000002</v>
      </c>
      <c r="Q15" s="12">
        <f t="shared" si="1"/>
        <v>73.793315916957738</v>
      </c>
    </row>
    <row r="16" spans="1:17" ht="20.100000000000001" customHeight="1" x14ac:dyDescent="0.3">
      <c r="A16" s="3" t="s">
        <v>29</v>
      </c>
      <c r="B16" s="9">
        <v>141327</v>
      </c>
      <c r="C16" s="9">
        <v>251302</v>
      </c>
      <c r="D16" s="9">
        <v>120439</v>
      </c>
      <c r="E16" s="9">
        <v>17245149</v>
      </c>
      <c r="F16" s="9">
        <v>16280.636796999999</v>
      </c>
      <c r="G16" s="9">
        <v>19443.968947999998</v>
      </c>
      <c r="H16" s="12">
        <f t="shared" si="0"/>
        <v>83.731036809100758</v>
      </c>
      <c r="I16" s="6">
        <v>111084.41928999999</v>
      </c>
      <c r="J16" s="6">
        <v>7930.2093999999997</v>
      </c>
      <c r="K16" s="6">
        <v>119014.62869</v>
      </c>
      <c r="L16" s="6">
        <v>1363.0696089999999</v>
      </c>
      <c r="M16" s="6">
        <v>130.27803799999998</v>
      </c>
      <c r="N16" s="6">
        <v>7.9356480000000005</v>
      </c>
      <c r="O16" s="6">
        <v>1501.2832950000002</v>
      </c>
      <c r="P16" s="6">
        <v>2025.663914</v>
      </c>
      <c r="Q16" s="12">
        <f t="shared" si="1"/>
        <v>74.11314802145408</v>
      </c>
    </row>
    <row r="17" spans="1:17" ht="20.100000000000001" customHeight="1" x14ac:dyDescent="0.3">
      <c r="A17" s="4" t="s">
        <v>30</v>
      </c>
      <c r="B17" s="10">
        <v>16520</v>
      </c>
      <c r="C17" s="10">
        <v>27015</v>
      </c>
      <c r="D17" s="10">
        <v>12809</v>
      </c>
      <c r="E17" s="10">
        <v>2151918</v>
      </c>
      <c r="F17" s="10">
        <v>1692.391756</v>
      </c>
      <c r="G17" s="10">
        <v>2051.1147400000004</v>
      </c>
      <c r="H17" s="12">
        <f t="shared" si="0"/>
        <v>82.510828038805855</v>
      </c>
      <c r="I17" s="7">
        <v>9112.1592000000001</v>
      </c>
      <c r="J17" s="7">
        <v>1498.0884999999998</v>
      </c>
      <c r="K17" s="7">
        <v>10610.247699999998</v>
      </c>
      <c r="L17" s="7">
        <v>141.75428200000002</v>
      </c>
      <c r="M17" s="7">
        <v>7.6310149999999997</v>
      </c>
      <c r="N17" s="7">
        <v>1.2730170000000001</v>
      </c>
      <c r="O17" s="7">
        <v>150.65831400000002</v>
      </c>
      <c r="P17" s="7">
        <v>203.73811499999996</v>
      </c>
      <c r="Q17" s="12">
        <f t="shared" si="1"/>
        <v>73.947044223904811</v>
      </c>
    </row>
    <row r="18" spans="1:17" ht="20.100000000000001" customHeight="1" x14ac:dyDescent="0.3">
      <c r="A18" s="3" t="s">
        <v>31</v>
      </c>
      <c r="B18" s="9">
        <v>141316</v>
      </c>
      <c r="C18" s="9">
        <v>193973</v>
      </c>
      <c r="D18" s="9">
        <v>109732.59099999999</v>
      </c>
      <c r="E18" s="9">
        <v>17655832</v>
      </c>
      <c r="F18" s="9">
        <v>16034.203518</v>
      </c>
      <c r="G18" s="9">
        <v>17241.165756999999</v>
      </c>
      <c r="H18" s="12">
        <f t="shared" si="0"/>
        <v>92.999532305349092</v>
      </c>
      <c r="I18" s="6">
        <v>88974.290040000007</v>
      </c>
      <c r="J18" s="6">
        <v>0</v>
      </c>
      <c r="K18" s="6">
        <v>88974.290040000007</v>
      </c>
      <c r="L18" s="6">
        <v>1202.5638465</v>
      </c>
      <c r="M18" s="6">
        <v>90.092035199999998</v>
      </c>
      <c r="N18" s="6">
        <v>0</v>
      </c>
      <c r="O18" s="6">
        <v>1292.6558817000002</v>
      </c>
      <c r="P18" s="6">
        <v>1504.885256</v>
      </c>
      <c r="Q18" s="12">
        <f t="shared" si="1"/>
        <v>85.897305229495871</v>
      </c>
    </row>
    <row r="19" spans="1:17" ht="20.100000000000001" customHeight="1" x14ac:dyDescent="0.3">
      <c r="A19" s="4" t="s">
        <v>32</v>
      </c>
      <c r="B19" s="10">
        <v>278</v>
      </c>
      <c r="C19" s="10">
        <v>290.2</v>
      </c>
      <c r="D19" s="10">
        <v>126.92</v>
      </c>
      <c r="E19" s="10">
        <v>7385</v>
      </c>
      <c r="F19" s="10">
        <v>4.8811260000000001</v>
      </c>
      <c r="G19" s="10">
        <v>9.0361000000000011</v>
      </c>
      <c r="H19" s="12">
        <f t="shared" si="0"/>
        <v>54.018060889100383</v>
      </c>
      <c r="I19" s="7">
        <v>0</v>
      </c>
      <c r="J19" s="7">
        <v>0</v>
      </c>
      <c r="K19" s="7">
        <v>0</v>
      </c>
      <c r="L19" s="7">
        <v>0.80164000000000002</v>
      </c>
      <c r="M19" s="7">
        <v>0</v>
      </c>
      <c r="N19" s="7">
        <v>0</v>
      </c>
      <c r="O19" s="7">
        <v>0.80164000000000002</v>
      </c>
      <c r="P19" s="7">
        <v>5.8134572000000011</v>
      </c>
      <c r="Q19" s="12">
        <f t="shared" si="1"/>
        <v>13.789385083973782</v>
      </c>
    </row>
    <row r="20" spans="1:17" ht="20.100000000000001" customHeight="1" x14ac:dyDescent="0.3">
      <c r="A20" s="3" t="s">
        <v>33</v>
      </c>
      <c r="B20" s="9">
        <v>11785</v>
      </c>
      <c r="C20" s="9">
        <v>14760.382</v>
      </c>
      <c r="D20" s="9">
        <v>4188.2060000000001</v>
      </c>
      <c r="E20" s="9">
        <v>643494</v>
      </c>
      <c r="F20" s="9">
        <v>231.46080699999999</v>
      </c>
      <c r="G20" s="9">
        <v>296.78096600000003</v>
      </c>
      <c r="H20" s="12">
        <f t="shared" si="0"/>
        <v>77.990448686658681</v>
      </c>
      <c r="I20" s="6">
        <v>0</v>
      </c>
      <c r="J20" s="6">
        <v>0</v>
      </c>
      <c r="K20" s="6">
        <v>0</v>
      </c>
      <c r="L20" s="6">
        <v>22.615569675000003</v>
      </c>
      <c r="M20" s="6">
        <v>0</v>
      </c>
      <c r="N20" s="6">
        <v>0</v>
      </c>
      <c r="O20" s="6">
        <v>22.615569675000003</v>
      </c>
      <c r="P20" s="6">
        <v>30.162240000000001</v>
      </c>
      <c r="Q20" s="12">
        <f t="shared" si="1"/>
        <v>74.979741806311466</v>
      </c>
    </row>
    <row r="21" spans="1:17" ht="20.100000000000001" customHeight="1" x14ac:dyDescent="0.3">
      <c r="A21" s="4" t="s">
        <v>34</v>
      </c>
      <c r="B21" s="10">
        <v>40645</v>
      </c>
      <c r="C21" s="10">
        <v>72019.224999999991</v>
      </c>
      <c r="D21" s="10">
        <v>47251.866000000002</v>
      </c>
      <c r="E21" s="10">
        <v>5438275</v>
      </c>
      <c r="F21" s="10">
        <v>6371.8714829999999</v>
      </c>
      <c r="G21" s="10">
        <v>7563.5130140000001</v>
      </c>
      <c r="H21" s="12">
        <f t="shared" si="0"/>
        <v>84.244867050611518</v>
      </c>
      <c r="I21" s="7">
        <v>53703.477399999996</v>
      </c>
      <c r="J21" s="7">
        <v>0</v>
      </c>
      <c r="K21" s="7">
        <v>53703.477399999996</v>
      </c>
      <c r="L21" s="7">
        <v>557.06781009999997</v>
      </c>
      <c r="M21" s="7">
        <v>69.627595499999998</v>
      </c>
      <c r="N21" s="7">
        <v>0</v>
      </c>
      <c r="O21" s="7">
        <v>626.69540559999996</v>
      </c>
      <c r="P21" s="7">
        <v>795.26014060000011</v>
      </c>
      <c r="Q21" s="12">
        <f t="shared" si="1"/>
        <v>78.803824510452259</v>
      </c>
    </row>
    <row r="22" spans="1:17" ht="20.100000000000001" customHeight="1" x14ac:dyDescent="0.3">
      <c r="A22" s="3" t="s">
        <v>35</v>
      </c>
      <c r="B22" s="9">
        <v>409</v>
      </c>
      <c r="C22" s="9">
        <v>520.70000000000005</v>
      </c>
      <c r="D22" s="9">
        <v>298</v>
      </c>
      <c r="E22" s="9">
        <v>11284</v>
      </c>
      <c r="F22" s="9">
        <v>10.294</v>
      </c>
      <c r="G22" s="9">
        <v>24.841000000000001</v>
      </c>
      <c r="H22" s="12">
        <f t="shared" si="0"/>
        <v>41.439555573447123</v>
      </c>
      <c r="I22" s="6">
        <v>0</v>
      </c>
      <c r="J22" s="6">
        <v>0</v>
      </c>
      <c r="K22" s="6">
        <v>0</v>
      </c>
      <c r="L22" s="6">
        <v>3.6536800000000005</v>
      </c>
      <c r="M22" s="6">
        <v>0</v>
      </c>
      <c r="N22" s="6">
        <v>0</v>
      </c>
      <c r="O22" s="6">
        <v>3.6536800000000005</v>
      </c>
      <c r="P22" s="6">
        <v>37.640292199999998</v>
      </c>
      <c r="Q22" s="12">
        <f t="shared" si="1"/>
        <v>9.7068321908510597</v>
      </c>
    </row>
    <row r="23" spans="1:17" ht="20.100000000000001" customHeight="1" x14ac:dyDescent="0.3">
      <c r="A23" s="5" t="s">
        <v>36</v>
      </c>
      <c r="B23" s="11">
        <v>1054821</v>
      </c>
      <c r="C23" s="11">
        <v>1838009.1303300001</v>
      </c>
      <c r="D23" s="11">
        <v>962163.69800000009</v>
      </c>
      <c r="E23" s="11">
        <v>140333572</v>
      </c>
      <c r="F23" s="11">
        <v>134881.03724999999</v>
      </c>
      <c r="G23" s="11">
        <v>156783.80713699997</v>
      </c>
      <c r="H23" s="15">
        <f t="shared" si="0"/>
        <v>86.02995405778033</v>
      </c>
      <c r="I23" s="8">
        <v>721575.42956999992</v>
      </c>
      <c r="J23" s="8">
        <v>39369.031309999991</v>
      </c>
      <c r="K23" s="8">
        <v>760944.46087999991</v>
      </c>
      <c r="L23" s="8">
        <v>11863.338911199799</v>
      </c>
      <c r="M23" s="8">
        <v>818.10314709000011</v>
      </c>
      <c r="N23" s="8">
        <v>39.887461065999993</v>
      </c>
      <c r="O23" s="8">
        <v>12721.329108755799</v>
      </c>
      <c r="P23" s="8">
        <v>17249.243536575999</v>
      </c>
      <c r="Q23" s="15">
        <f t="shared" si="1"/>
        <v>73.750069571346557</v>
      </c>
    </row>
    <row r="24" spans="1:17" ht="17.100000000000001" customHeight="1" x14ac:dyDescent="0.3">
      <c r="A24" s="16" t="s">
        <v>18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</sheetData>
  <mergeCells count="13">
    <mergeCell ref="A24:Q24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A23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Airline wise domestic traffic</vt:lpstr>
      <vt:lpstr>'Airline wise domestic traffic'!Print_Area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2020-06-09T09:07:50Z</cp:lastPrinted>
  <dcterms:created xsi:type="dcterms:W3CDTF">2018-10-29T04:00:07Z</dcterms:created>
  <dcterms:modified xsi:type="dcterms:W3CDTF">2020-06-15T09:40:02Z</dcterms:modified>
</cp:coreProperties>
</file>