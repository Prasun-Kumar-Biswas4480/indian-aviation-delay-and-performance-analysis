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Yearly Report (2018-19)\Domestic final 22.5.2020\EXCELs\ALL INDIA SCHEDULED CARRIERS\"/>
    </mc:Choice>
  </mc:AlternateContent>
  <bookViews>
    <workbookView showHorizontalScroll="0" showVerticalScroll="0" showSheetTabs="0" xWindow="-120" yWindow="-120" windowWidth="20736" windowHeight="11160"/>
  </bookViews>
  <sheets>
    <sheet name="1.02" sheetId="1" r:id="rId1"/>
  </sheets>
  <definedNames>
    <definedName name="_xlnm.Print_Area" localSheetId="0">'1.02'!$A$1:$Q$19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7" i="1" l="1"/>
  <c r="Q18" i="1" l="1"/>
  <c r="Q17" i="1"/>
  <c r="Q16" i="1"/>
  <c r="Q15" i="1"/>
  <c r="Q14" i="1"/>
  <c r="Q13" i="1"/>
  <c r="Q12" i="1"/>
  <c r="Q11" i="1"/>
  <c r="Q10" i="1"/>
  <c r="Q9" i="1"/>
  <c r="Q8" i="1"/>
  <c r="Q7" i="1"/>
  <c r="Q6" i="1"/>
  <c r="H7" i="1"/>
  <c r="H8" i="1"/>
  <c r="H9" i="1"/>
  <c r="H10" i="1"/>
  <c r="H11" i="1"/>
  <c r="H12" i="1"/>
  <c r="H13" i="1"/>
  <c r="H14" i="1"/>
  <c r="H15" i="1"/>
  <c r="H16" i="1"/>
  <c r="H17" i="1"/>
  <c r="H18" i="1"/>
  <c r="H6" i="1"/>
  <c r="C18" i="1" l="1"/>
  <c r="D18" i="1"/>
  <c r="E18" i="1"/>
  <c r="F18" i="1"/>
  <c r="G18" i="1"/>
  <c r="I18" i="1"/>
  <c r="J18" i="1"/>
  <c r="K18" i="1"/>
  <c r="L18" i="1"/>
  <c r="M18" i="1"/>
  <c r="N18" i="1"/>
  <c r="O18" i="1"/>
  <c r="P18" i="1"/>
  <c r="B18" i="1"/>
</calcChain>
</file>

<file path=xl/sharedStrings.xml><?xml version="1.0" encoding="utf-8"?>
<sst xmlns="http://schemas.openxmlformats.org/spreadsheetml/2006/main" count="26" uniqueCount="24">
  <si>
    <t>Table 1.02 (ALL SCHEDULED INDIAN AIRLINES)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</si>
  <si>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</si>
  <si>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</si>
  <si>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</si>
  <si>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</si>
  <si>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</si>
  <si>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</si>
  <si>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</si>
  <si>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</si>
  <si>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</si>
  <si>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</si>
  <si>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</si>
  <si>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</si>
  <si>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</si>
  <si>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</si>
  <si>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</si>
  <si>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</si>
  <si>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</si>
  <si>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</si>
  <si>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</si>
  <si>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INDIAN AIRLINES</t>
  </si>
  <si>
    <t>2018-19</t>
  </si>
  <si>
    <t xml:space="preserve">तालिका - 1.02 (सभी अनुसूचित भारतीय एयरलाइन्स) </t>
  </si>
  <si>
    <t>MONTHLY TRAFFIC AND OPERATING STATISTICS OF ALL SCHEDULED INDIAN AIRLINES ON SCHEDULED INTERNATIONAL SERVICES DURING 2018-19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</si>
</sst>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3">
    <xf numFmtId="0" fontId="0" fillId="0" borderId="0" xfId="0"/>
    <xf numFmtId="0" fontId="0" fillId="0" borderId="0" xfId="0" applyFont="1"/>
    <xf numFmtId="17" fontId="2" fillId="2" borderId="1" xfId="0" applyNumberFormat="1" applyFont="1" applyFill="1" applyBorder="1" applyAlignment="1" applyProtection="1">
      <alignment horizontal="center" vertical="center" wrapText="1"/>
    </xf>
    <xf numFmtId="164" fontId="5" fillId="0" borderId="1" xfId="1" applyNumberFormat="1" applyFont="1" applyFill="1" applyBorder="1" applyAlignment="1">
      <alignment horizontal="right" vertical="center"/>
    </xf>
    <xf numFmtId="165" fontId="5" fillId="0" borderId="1" xfId="1" applyNumberFormat="1" applyFont="1" applyFill="1" applyBorder="1" applyAlignment="1">
      <alignment horizontal="right" vertical="center"/>
    </xf>
    <xf numFmtId="0" fontId="4" fillId="3" borderId="1" xfId="2" applyBorder="1" applyAlignment="1" applyProtection="1">
      <alignment horizontal="center" vertical="center" textRotation="90" wrapText="1"/>
    </xf>
    <xf numFmtId="17" fontId="3" fillId="5" borderId="1" xfId="4" applyNumberFormat="1" applyBorder="1" applyAlignment="1" applyProtection="1">
      <alignment horizontal="center" vertical="center" wrapText="1"/>
    </xf>
    <xf numFmtId="164" fontId="3" fillId="5" borderId="1" xfId="4" applyNumberFormat="1" applyBorder="1" applyAlignment="1">
      <alignment horizontal="right" vertical="center"/>
    </xf>
    <xf numFmtId="165" fontId="3" fillId="5" borderId="1" xfId="4" applyNumberFormat="1" applyBorder="1" applyAlignment="1">
      <alignment horizontal="right" vertical="center"/>
    </xf>
    <xf numFmtId="166" fontId="3" fillId="4" borderId="1" xfId="3" applyNumberFormat="1" applyBorder="1" applyAlignment="1" applyProtection="1">
      <alignment horizontal="center" vertical="center" wrapText="1"/>
    </xf>
    <xf numFmtId="0" fontId="6" fillId="5" borderId="1" xfId="4" applyFont="1" applyBorder="1" applyAlignment="1" applyProtection="1">
      <alignment horizontal="center" vertical="center" wrapText="1"/>
    </xf>
    <xf numFmtId="164" fontId="6" fillId="5" borderId="1" xfId="4" applyNumberFormat="1" applyFont="1" applyBorder="1" applyAlignment="1" applyProtection="1">
      <alignment horizontal="right" vertical="center" wrapText="1"/>
    </xf>
    <xf numFmtId="166" fontId="6" fillId="4" borderId="1" xfId="3" applyNumberFormat="1" applyFont="1" applyBorder="1" applyAlignment="1" applyProtection="1">
      <alignment horizontal="center" vertical="center" wrapText="1"/>
    </xf>
    <xf numFmtId="165" fontId="6" fillId="5" borderId="1" xfId="4" applyNumberFormat="1" applyFont="1" applyBorder="1" applyAlignment="1" applyProtection="1">
      <alignment horizontal="right" vertical="center" wrapText="1"/>
    </xf>
    <xf numFmtId="0" fontId="4" fillId="3" borderId="1" xfId="2" applyBorder="1" applyAlignment="1" applyProtection="1">
      <alignment horizontal="center" vertical="center" textRotation="90" wrapText="1"/>
    </xf>
    <xf numFmtId="0" fontId="4" fillId="3" borderId="1" xfId="2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0" fillId="5" borderId="1" xfId="4" applyFont="1" applyBorder="1" applyAlignment="1">
      <alignment horizontal="center" vertical="center" wrapText="1"/>
    </xf>
    <xf numFmtId="0" fontId="3" fillId="5" borderId="1" xfId="4" applyBorder="1" applyAlignment="1">
      <alignment horizontal="center" vertical="center" wrapText="1"/>
    </xf>
    <xf numFmtId="0" fontId="3" fillId="5" borderId="1" xfId="4" quotePrefix="1" applyBorder="1" applyAlignment="1" applyProtection="1">
      <alignment horizontal="center" vertical="center" wrapText="1"/>
    </xf>
    <xf numFmtId="0" fontId="3" fillId="5" borderId="1" xfId="4" applyBorder="1"/>
    <xf numFmtId="0" fontId="4" fillId="3" borderId="1" xfId="2" applyBorder="1" applyAlignment="1" applyProtection="1">
      <alignment horizontal="center" vertical="center" wrapText="1"/>
    </xf>
    <xf numFmtId="0" fontId="4" fillId="3" borderId="1" xfId="2" applyBorder="1"/>
  </cellXfs>
  <cellStyles count="5">
    <cellStyle name="20% - Accent6" xfId="3" builtinId="50"/>
    <cellStyle name="40% - Accent6" xfId="4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Q19"/>
  <sheetViews>
    <sheetView tabSelected="1" zoomScaleNormal="100" zoomScaleSheetLayoutView="100" workbookViewId="0">
      <selection activeCell="N18" sqref="N18"/>
    </sheetView>
  </sheetViews>
  <sheetFormatPr defaultColWidth="9.109375" defaultRowHeight="14.4" x14ac:dyDescent="0.3"/>
  <cols>
    <col min="1" max="1" width="10.109375" style="1" customWidth="1"/>
    <col min="2" max="2" width="8.6640625" style="1" customWidth="1"/>
    <col min="3" max="3" width="9" style="1" customWidth="1"/>
    <col min="4" max="4" width="9.33203125" style="1" customWidth="1"/>
    <col min="5" max="5" width="12" style="1" customWidth="1"/>
    <col min="6" max="6" width="8.33203125" style="1" customWidth="1"/>
    <col min="7" max="7" width="8.6640625" style="1" customWidth="1"/>
    <col min="8" max="8" width="7.5546875" style="1" customWidth="1"/>
    <col min="9" max="9" width="10.21875" style="1" customWidth="1"/>
    <col min="10" max="10" width="8.44140625" style="1" customWidth="1"/>
    <col min="11" max="11" width="10.6640625" style="1" customWidth="1"/>
    <col min="12" max="12" width="9.5546875" style="1" customWidth="1"/>
    <col min="13" max="13" width="10.109375" style="1" customWidth="1"/>
    <col min="14" max="14" width="7.5546875" style="1" customWidth="1"/>
    <col min="15" max="15" width="10.5546875" style="1" customWidth="1"/>
    <col min="16" max="16" width="11" style="1" customWidth="1"/>
    <col min="17" max="17" width="7.6640625" style="1" customWidth="1"/>
    <col min="18" max="16384" width="9.109375" style="1"/>
  </cols>
  <sheetData>
    <row r="1" spans="1:17" ht="18.75" customHeight="1" x14ac:dyDescent="0.3">
      <c r="A1" s="17" t="s">
        <v>22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18.75" customHeight="1" x14ac:dyDescent="0.3">
      <c r="A2" s="19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18.75" customHeight="1" x14ac:dyDescent="0.3">
      <c r="A3" s="21" t="s">
        <v>23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x14ac:dyDescent="0.3">
      <c r="A4" s="21" t="s">
        <v>1</v>
      </c>
      <c r="B4" s="21" t="s">
        <v>2</v>
      </c>
      <c r="C4" s="21"/>
      <c r="D4" s="21"/>
      <c r="E4" s="21" t="s">
        <v>3</v>
      </c>
      <c r="F4" s="22"/>
      <c r="G4" s="14" t="s">
        <v>4</v>
      </c>
      <c r="H4" s="14" t="s">
        <v>5</v>
      </c>
      <c r="I4" s="21" t="s">
        <v>6</v>
      </c>
      <c r="J4" s="21"/>
      <c r="K4" s="21"/>
      <c r="L4" s="21" t="s">
        <v>7</v>
      </c>
      <c r="M4" s="21"/>
      <c r="N4" s="21"/>
      <c r="O4" s="21"/>
      <c r="P4" s="14" t="s">
        <v>8</v>
      </c>
      <c r="Q4" s="14" t="s">
        <v>9</v>
      </c>
    </row>
    <row r="5" spans="1:17" ht="128.25" customHeight="1" x14ac:dyDescent="0.3">
      <c r="A5" s="21"/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15"/>
      <c r="H5" s="15"/>
      <c r="I5" s="5" t="s">
        <v>15</v>
      </c>
      <c r="J5" s="5" t="s">
        <v>16</v>
      </c>
      <c r="K5" s="5" t="s">
        <v>17</v>
      </c>
      <c r="L5" s="5" t="s">
        <v>18</v>
      </c>
      <c r="M5" s="5" t="s">
        <v>19</v>
      </c>
      <c r="N5" s="5" t="s">
        <v>16</v>
      </c>
      <c r="O5" s="5" t="s">
        <v>17</v>
      </c>
      <c r="P5" s="15"/>
      <c r="Q5" s="15"/>
    </row>
    <row r="6" spans="1:17" ht="30" customHeight="1" x14ac:dyDescent="0.3">
      <c r="A6" s="6">
        <v>43191</v>
      </c>
      <c r="B6" s="7">
        <v>12944</v>
      </c>
      <c r="C6" s="7">
        <v>57271.722999999998</v>
      </c>
      <c r="D6" s="7">
        <v>47093.24</v>
      </c>
      <c r="E6" s="7">
        <v>2076028</v>
      </c>
      <c r="F6" s="7">
        <v>7132.6308359999994</v>
      </c>
      <c r="G6" s="7">
        <v>8923.1393540000008</v>
      </c>
      <c r="H6" s="9">
        <f>F6/G6*100</f>
        <v>79.934096656269688</v>
      </c>
      <c r="I6" s="8">
        <v>32508.374000000003</v>
      </c>
      <c r="J6" s="8">
        <v>433.23579999999998</v>
      </c>
      <c r="K6" s="8">
        <v>32941.609799999998</v>
      </c>
      <c r="L6" s="8">
        <v>610.92156402399996</v>
      </c>
      <c r="M6" s="8">
        <v>159.60082257299999</v>
      </c>
      <c r="N6" s="8">
        <v>2.6553286579999997</v>
      </c>
      <c r="O6" s="8">
        <v>773.17771525499995</v>
      </c>
      <c r="P6" s="8">
        <v>1125.9846165530003</v>
      </c>
      <c r="Q6" s="9">
        <f>O6/P6*100</f>
        <v>68.666809820363682</v>
      </c>
    </row>
    <row r="7" spans="1:17" ht="30" customHeight="1" x14ac:dyDescent="0.3">
      <c r="A7" s="2">
        <v>43221</v>
      </c>
      <c r="B7" s="3">
        <v>13433</v>
      </c>
      <c r="C7" s="3">
        <v>59496.106599999999</v>
      </c>
      <c r="D7" s="3">
        <v>48991.9</v>
      </c>
      <c r="E7" s="3">
        <v>2103686</v>
      </c>
      <c r="F7" s="3">
        <v>7289.2816999999995</v>
      </c>
      <c r="G7" s="3">
        <v>9248.1446999999989</v>
      </c>
      <c r="H7" s="9">
        <f t="shared" ref="H7:H18" si="0">F7/G7*100</f>
        <v>78.818854337346181</v>
      </c>
      <c r="I7" s="4">
        <v>32509.9</v>
      </c>
      <c r="J7" s="4">
        <v>476.93700000000001</v>
      </c>
      <c r="K7" s="4">
        <v>32986.837</v>
      </c>
      <c r="L7" s="4">
        <v>650.50348578600006</v>
      </c>
      <c r="M7" s="4">
        <v>158.27140000000003</v>
      </c>
      <c r="N7" s="4">
        <v>2.9479958378999997</v>
      </c>
      <c r="O7" s="4">
        <v>811.72468944999991</v>
      </c>
      <c r="P7" s="4">
        <v>1193.0409999999999</v>
      </c>
      <c r="Q7" s="9">
        <f t="shared" ref="Q7:Q18" si="1">O7/P7*100</f>
        <v>68.038289501366663</v>
      </c>
    </row>
    <row r="8" spans="1:17" ht="30" customHeight="1" x14ac:dyDescent="0.3">
      <c r="A8" s="6">
        <v>43252</v>
      </c>
      <c r="B8" s="7">
        <v>13226</v>
      </c>
      <c r="C8" s="7">
        <v>58234.28</v>
      </c>
      <c r="D8" s="7">
        <v>48111.6</v>
      </c>
      <c r="E8" s="7">
        <v>2030033</v>
      </c>
      <c r="F8" s="7">
        <v>7266.4151080000001</v>
      </c>
      <c r="G8" s="7">
        <v>9100.4403489999986</v>
      </c>
      <c r="H8" s="9">
        <f t="shared" si="0"/>
        <v>79.846851683374524</v>
      </c>
      <c r="I8" s="8">
        <v>30297.919999999998</v>
      </c>
      <c r="J8" s="8">
        <v>450.84219999999999</v>
      </c>
      <c r="K8" s="8">
        <v>30748.762200000005</v>
      </c>
      <c r="L8" s="8">
        <v>651.60194162799996</v>
      </c>
      <c r="M8" s="8">
        <v>150.61635000000001</v>
      </c>
      <c r="N8" s="8">
        <v>2.7570199999999998</v>
      </c>
      <c r="O8" s="8">
        <v>804.97530376200007</v>
      </c>
      <c r="P8" s="8">
        <v>1178.9162443939999</v>
      </c>
      <c r="Q8" s="9">
        <f t="shared" si="1"/>
        <v>68.280957836473164</v>
      </c>
    </row>
    <row r="9" spans="1:17" ht="30" customHeight="1" x14ac:dyDescent="0.3">
      <c r="A9" s="2">
        <v>43282</v>
      </c>
      <c r="B9" s="3">
        <v>13605</v>
      </c>
      <c r="C9" s="3">
        <v>59713.929999999993</v>
      </c>
      <c r="D9" s="3">
        <v>49226.99</v>
      </c>
      <c r="E9" s="3">
        <v>2144638</v>
      </c>
      <c r="F9" s="3">
        <v>7607.6620280000006</v>
      </c>
      <c r="G9" s="3">
        <v>9278.4503000000004</v>
      </c>
      <c r="H9" s="9">
        <f t="shared" si="0"/>
        <v>81.992808950003209</v>
      </c>
      <c r="I9" s="4">
        <v>32180.609</v>
      </c>
      <c r="J9" s="4">
        <v>488.43819999999994</v>
      </c>
      <c r="K9" s="4">
        <v>32669.047200000001</v>
      </c>
      <c r="L9" s="4">
        <v>681.59269650300007</v>
      </c>
      <c r="M9" s="4">
        <v>158.43267943999999</v>
      </c>
      <c r="N9" s="4">
        <v>2.8168508629999995</v>
      </c>
      <c r="O9" s="4">
        <v>842.84222680599999</v>
      </c>
      <c r="P9" s="4">
        <v>1201.1064513929998</v>
      </c>
      <c r="Q9" s="9">
        <f t="shared" si="1"/>
        <v>70.172150505769253</v>
      </c>
    </row>
    <row r="10" spans="1:17" ht="30" customHeight="1" x14ac:dyDescent="0.3">
      <c r="A10" s="6">
        <v>43313</v>
      </c>
      <c r="B10" s="7">
        <v>13291</v>
      </c>
      <c r="C10" s="7">
        <v>58243.32</v>
      </c>
      <c r="D10" s="7">
        <v>48475.5</v>
      </c>
      <c r="E10" s="7">
        <v>2151379</v>
      </c>
      <c r="F10" s="7">
        <v>7568.2024399999991</v>
      </c>
      <c r="G10" s="7">
        <v>9151.1951299999982</v>
      </c>
      <c r="H10" s="9">
        <f t="shared" si="0"/>
        <v>82.701792853148362</v>
      </c>
      <c r="I10" s="8">
        <v>32288.15</v>
      </c>
      <c r="J10" s="8">
        <v>560.26350000000002</v>
      </c>
      <c r="K10" s="8">
        <v>32848.413500000002</v>
      </c>
      <c r="L10" s="8">
        <v>679.79935258700004</v>
      </c>
      <c r="M10" s="8">
        <v>160.44129999999998</v>
      </c>
      <c r="N10" s="8">
        <v>3.3083900000000002</v>
      </c>
      <c r="O10" s="8">
        <v>843.54903374399998</v>
      </c>
      <c r="P10" s="8">
        <v>1194.6273109269998</v>
      </c>
      <c r="Q10" s="9">
        <f t="shared" si="1"/>
        <v>70.611899295138983</v>
      </c>
    </row>
    <row r="11" spans="1:17" ht="30" customHeight="1" x14ac:dyDescent="0.3">
      <c r="A11" s="2">
        <v>43344</v>
      </c>
      <c r="B11" s="3">
        <v>12925</v>
      </c>
      <c r="C11" s="3">
        <v>58563.103000000003</v>
      </c>
      <c r="D11" s="3">
        <v>44743.661000000007</v>
      </c>
      <c r="E11" s="3">
        <v>1981817</v>
      </c>
      <c r="F11" s="3">
        <v>6862.6915429999999</v>
      </c>
      <c r="G11" s="3">
        <v>8849.8481480000009</v>
      </c>
      <c r="H11" s="9">
        <f t="shared" si="0"/>
        <v>77.545867773459094</v>
      </c>
      <c r="I11" s="4">
        <v>31741.797349999997</v>
      </c>
      <c r="J11" s="4">
        <v>586.78399999999999</v>
      </c>
      <c r="K11" s="4">
        <v>32328.58135</v>
      </c>
      <c r="L11" s="4">
        <v>616.01842880899994</v>
      </c>
      <c r="M11" s="4">
        <v>158.76669135239999</v>
      </c>
      <c r="N11" s="4">
        <v>3.4394149999999999</v>
      </c>
      <c r="O11" s="4">
        <v>778.22711337440001</v>
      </c>
      <c r="P11" s="4">
        <v>1155.8365314929999</v>
      </c>
      <c r="Q11" s="9">
        <f t="shared" si="1"/>
        <v>67.330205627707585</v>
      </c>
    </row>
    <row r="12" spans="1:17" ht="30" customHeight="1" x14ac:dyDescent="0.3">
      <c r="A12" s="6">
        <v>43374</v>
      </c>
      <c r="B12" s="7">
        <v>13433</v>
      </c>
      <c r="C12" s="7">
        <v>59018.925999999999</v>
      </c>
      <c r="D12" s="7">
        <v>48645.173999999999</v>
      </c>
      <c r="E12" s="7">
        <v>2044841</v>
      </c>
      <c r="F12" s="7">
        <v>7090.1863939999994</v>
      </c>
      <c r="G12" s="7">
        <v>9180.862865000001</v>
      </c>
      <c r="H12" s="9">
        <f t="shared" si="0"/>
        <v>77.227886945460853</v>
      </c>
      <c r="I12" s="8">
        <v>33859.482000000004</v>
      </c>
      <c r="J12" s="8">
        <v>603.58699999999999</v>
      </c>
      <c r="K12" s="8">
        <v>34463.069000000003</v>
      </c>
      <c r="L12" s="8">
        <v>646.58657899999992</v>
      </c>
      <c r="M12" s="8">
        <v>170.80985200000001</v>
      </c>
      <c r="N12" s="8">
        <v>3.5670806000000002</v>
      </c>
      <c r="O12" s="8">
        <v>820.96351159999995</v>
      </c>
      <c r="P12" s="8">
        <v>1197.5245849999999</v>
      </c>
      <c r="Q12" s="9">
        <f t="shared" si="1"/>
        <v>68.55504445447356</v>
      </c>
    </row>
    <row r="13" spans="1:17" ht="30" customHeight="1" x14ac:dyDescent="0.3">
      <c r="A13" s="2">
        <v>43405</v>
      </c>
      <c r="B13" s="3">
        <v>13812</v>
      </c>
      <c r="C13" s="3">
        <v>60726.696629999999</v>
      </c>
      <c r="D13" s="3">
        <v>49400.051000000007</v>
      </c>
      <c r="E13" s="3">
        <v>2179674</v>
      </c>
      <c r="F13" s="3">
        <v>7601.7239710000003</v>
      </c>
      <c r="G13" s="3">
        <v>9350.9992900000016</v>
      </c>
      <c r="H13" s="9">
        <f t="shared" si="0"/>
        <v>81.293172368533021</v>
      </c>
      <c r="I13" s="4">
        <v>31807.1374</v>
      </c>
      <c r="J13" s="4">
        <v>626.34109999999998</v>
      </c>
      <c r="K13" s="4">
        <v>32433.478499999997</v>
      </c>
      <c r="L13" s="4">
        <v>682.68450300000006</v>
      </c>
      <c r="M13" s="4">
        <v>161.281013</v>
      </c>
      <c r="N13" s="4">
        <v>3.52985405</v>
      </c>
      <c r="O13" s="4">
        <v>847.49537005000002</v>
      </c>
      <c r="P13" s="4">
        <v>1206.848831</v>
      </c>
      <c r="Q13" s="9">
        <f t="shared" si="1"/>
        <v>70.223821598912423</v>
      </c>
    </row>
    <row r="14" spans="1:17" ht="30" customHeight="1" x14ac:dyDescent="0.3">
      <c r="A14" s="6">
        <v>43435</v>
      </c>
      <c r="B14" s="7">
        <v>14991</v>
      </c>
      <c r="C14" s="7">
        <v>66315.496630000009</v>
      </c>
      <c r="D14" s="7">
        <v>53198.595000000001</v>
      </c>
      <c r="E14" s="7">
        <v>2462781</v>
      </c>
      <c r="F14" s="7">
        <v>8511.5921269999999</v>
      </c>
      <c r="G14" s="7">
        <v>10150.778333999999</v>
      </c>
      <c r="H14" s="9">
        <f t="shared" si="0"/>
        <v>83.851620505695109</v>
      </c>
      <c r="I14" s="8">
        <v>32713.6829</v>
      </c>
      <c r="J14" s="8">
        <v>663.98098000000005</v>
      </c>
      <c r="K14" s="8">
        <v>33377.66388</v>
      </c>
      <c r="L14" s="8">
        <v>777.20491049999998</v>
      </c>
      <c r="M14" s="8">
        <v>161.95706319999996</v>
      </c>
      <c r="N14" s="8">
        <v>3.85331</v>
      </c>
      <c r="O14" s="8">
        <v>943.01528370000005</v>
      </c>
      <c r="P14" s="8">
        <v>1302.4205871000001</v>
      </c>
      <c r="Q14" s="9">
        <f t="shared" si="1"/>
        <v>72.404820151049648</v>
      </c>
    </row>
    <row r="15" spans="1:17" ht="30" customHeight="1" x14ac:dyDescent="0.3">
      <c r="A15" s="2">
        <v>43466</v>
      </c>
      <c r="B15" s="3">
        <v>15206</v>
      </c>
      <c r="C15" s="3">
        <v>68728.615999999995</v>
      </c>
      <c r="D15" s="3">
        <v>52333.436000000002</v>
      </c>
      <c r="E15" s="3">
        <v>2495259</v>
      </c>
      <c r="F15" s="3">
        <v>8746.3443599999991</v>
      </c>
      <c r="G15" s="3">
        <v>10225.022160999999</v>
      </c>
      <c r="H15" s="9">
        <f t="shared" si="0"/>
        <v>85.538634755825456</v>
      </c>
      <c r="I15" s="4">
        <v>28104.123</v>
      </c>
      <c r="J15" s="4">
        <v>628.93239999999992</v>
      </c>
      <c r="K15" s="4">
        <v>28733.055400000001</v>
      </c>
      <c r="L15" s="4">
        <v>801.77385800000002</v>
      </c>
      <c r="M15" s="4">
        <v>136.22495500000002</v>
      </c>
      <c r="N15" s="4">
        <v>3.5152060000000001</v>
      </c>
      <c r="O15" s="4">
        <v>941.51401900000008</v>
      </c>
      <c r="P15" s="4">
        <v>1303.6371460000003</v>
      </c>
      <c r="Q15" s="9">
        <f t="shared" si="1"/>
        <v>72.222092005347008</v>
      </c>
    </row>
    <row r="16" spans="1:17" ht="30" customHeight="1" x14ac:dyDescent="0.3">
      <c r="A16" s="6">
        <v>43497</v>
      </c>
      <c r="B16" s="7">
        <v>13264</v>
      </c>
      <c r="C16" s="7">
        <v>59349.786599999999</v>
      </c>
      <c r="D16" s="7">
        <v>47600.343999999997</v>
      </c>
      <c r="E16" s="7">
        <v>2128216</v>
      </c>
      <c r="F16" s="7">
        <v>7457.5785750000005</v>
      </c>
      <c r="G16" s="7">
        <v>9066.1782219999986</v>
      </c>
      <c r="H16" s="9">
        <f t="shared" si="0"/>
        <v>82.257136274945836</v>
      </c>
      <c r="I16" s="8">
        <v>29959.924850000003</v>
      </c>
      <c r="J16" s="8">
        <v>508.20729</v>
      </c>
      <c r="K16" s="8">
        <v>30468.132140000002</v>
      </c>
      <c r="L16" s="8">
        <v>686.95418399999994</v>
      </c>
      <c r="M16" s="8">
        <v>137.57138</v>
      </c>
      <c r="N16" s="8">
        <v>2.8470260000000001</v>
      </c>
      <c r="O16" s="8">
        <v>827.37259000000006</v>
      </c>
      <c r="P16" s="8">
        <v>1172.8616639999998</v>
      </c>
      <c r="Q16" s="9">
        <f t="shared" si="1"/>
        <v>70.543067046652169</v>
      </c>
    </row>
    <row r="17" spans="1:17" ht="30" customHeight="1" x14ac:dyDescent="0.3">
      <c r="A17" s="2">
        <v>43525</v>
      </c>
      <c r="B17" s="3">
        <v>13157</v>
      </c>
      <c r="C17" s="3">
        <v>61607.096600000004</v>
      </c>
      <c r="D17" s="3">
        <v>49762.441000000006</v>
      </c>
      <c r="E17" s="3">
        <v>2101363</v>
      </c>
      <c r="F17" s="3">
        <v>7325.2692370000004</v>
      </c>
      <c r="G17" s="3">
        <v>9194.9304939999984</v>
      </c>
      <c r="H17" s="9">
        <f t="shared" si="0"/>
        <v>79.666390537481334</v>
      </c>
      <c r="I17" s="4">
        <v>29639.868000000002</v>
      </c>
      <c r="J17" s="4">
        <v>537.0104</v>
      </c>
      <c r="K17" s="4">
        <f>I17+J17</f>
        <v>30176.878400000001</v>
      </c>
      <c r="L17" s="4">
        <v>675.81717900000001</v>
      </c>
      <c r="M17" s="4">
        <v>145.64835600000001</v>
      </c>
      <c r="N17" s="4">
        <v>2.6536379999999999</v>
      </c>
      <c r="O17" s="4">
        <v>824.11917299999993</v>
      </c>
      <c r="P17" s="4">
        <v>1184.2654360000001</v>
      </c>
      <c r="Q17" s="9">
        <f t="shared" si="1"/>
        <v>69.589059002140786</v>
      </c>
    </row>
    <row r="18" spans="1:17" ht="30" customHeight="1" x14ac:dyDescent="0.3">
      <c r="A18" s="10" t="s">
        <v>21</v>
      </c>
      <c r="B18" s="11">
        <f>SUM(B6:B17)</f>
        <v>163287</v>
      </c>
      <c r="C18" s="11">
        <f t="shared" ref="C18:P18" si="2">SUM(C6:C17)</f>
        <v>727269.08106000011</v>
      </c>
      <c r="D18" s="11">
        <f t="shared" si="2"/>
        <v>587582.93200000003</v>
      </c>
      <c r="E18" s="11">
        <f t="shared" si="2"/>
        <v>25899715</v>
      </c>
      <c r="F18" s="11">
        <f t="shared" si="2"/>
        <v>90459.578319000007</v>
      </c>
      <c r="G18" s="11">
        <f t="shared" si="2"/>
        <v>111719.98934700001</v>
      </c>
      <c r="H18" s="12">
        <f t="shared" si="0"/>
        <v>80.969913126320122</v>
      </c>
      <c r="I18" s="13">
        <f t="shared" si="2"/>
        <v>377610.96850000008</v>
      </c>
      <c r="J18" s="13">
        <f t="shared" si="2"/>
        <v>6564.55987</v>
      </c>
      <c r="K18" s="13">
        <f t="shared" si="2"/>
        <v>384175.52836999996</v>
      </c>
      <c r="L18" s="13">
        <f t="shared" si="2"/>
        <v>8161.4586828369993</v>
      </c>
      <c r="M18" s="13">
        <f t="shared" si="2"/>
        <v>1859.6218625654001</v>
      </c>
      <c r="N18" s="13">
        <f t="shared" si="2"/>
        <v>37.891115008900002</v>
      </c>
      <c r="O18" s="13">
        <f t="shared" si="2"/>
        <v>10058.9760297414</v>
      </c>
      <c r="P18" s="13">
        <f t="shared" si="2"/>
        <v>14417.070403859998</v>
      </c>
      <c r="Q18" s="12">
        <f t="shared" si="1"/>
        <v>69.771290199486231</v>
      </c>
    </row>
    <row r="19" spans="1:17" x14ac:dyDescent="0.3">
      <c r="A19" s="16" t="s">
        <v>20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1.02</vt:lpstr>
      <vt:lpstr>'1.02'!Print_Area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2020-06-11T07:16:07Z</cp:lastPrinted>
  <dcterms:created xsi:type="dcterms:W3CDTF">2018-10-29T04:00:09Z</dcterms:created>
  <dcterms:modified xsi:type="dcterms:W3CDTF">2020-06-11T07:16:38Z</dcterms:modified>
</cp:coreProperties>
</file>