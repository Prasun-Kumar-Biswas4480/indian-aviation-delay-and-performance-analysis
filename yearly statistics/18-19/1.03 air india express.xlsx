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0" yWindow="0" windowWidth="19200" windowHeight="7224"/>
  </bookViews>
  <sheets>
    <sheet name="AIR INDIA EXPRESS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N18" i="1"/>
  <c r="K18" i="1"/>
  <c r="H18" i="1"/>
  <c r="Q17" i="1"/>
  <c r="K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N9" i="1"/>
  <c r="H9" i="1"/>
  <c r="Q8" i="1"/>
  <c r="H8" i="1"/>
  <c r="Q7" i="1"/>
  <c r="H7" i="1"/>
  <c r="Q6" i="1"/>
  <c r="N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<sst xmlns="http://schemas.openxmlformats.org/spreadsheetml/2006/main" count="26" uniqueCount="24">
  <si>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(एयर इंडिया एक्सप्रेस) </t>
  </si>
  <si>
    <t>Table 1.03 (AIR INDIA EXPRESS)</t>
  </si>
  <si>
    <t>MONTHLY TRAFFIC AND OPERATING STATISTICS OF AIR INDIA EXPRESS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</si>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</sst>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4" borderId="1" xfId="4" applyNumberFormat="1" applyBorder="1" applyAlignment="1" applyProtection="1">
      <alignment horizontal="center" vertical="center" wrapText="1"/>
    </xf>
    <xf numFmtId="164" fontId="1" fillId="4" borderId="1" xfId="4" applyNumberFormat="1" applyBorder="1" applyAlignment="1">
      <alignment horizontal="right" vertical="center"/>
    </xf>
    <xf numFmtId="165" fontId="1" fillId="3" borderId="1" xfId="3" applyNumberFormat="1" applyBorder="1" applyAlignment="1" applyProtection="1">
      <alignment horizontal="center" vertical="center" wrapText="1"/>
    </xf>
    <xf numFmtId="166" fontId="1" fillId="4" borderId="1" xfId="4" applyNumberFormat="1" applyBorder="1" applyAlignment="1">
      <alignment horizontal="right" vertical="center"/>
    </xf>
    <xf numFmtId="43" fontId="1" fillId="4" borderId="1" xfId="4" applyNumberFormat="1" applyBorder="1" applyAlignment="1">
      <alignment horizontal="right" vertical="center"/>
    </xf>
    <xf numFmtId="17" fontId="4" fillId="5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43" fontId="0" fillId="0" borderId="1" xfId="1" applyNumberFormat="1" applyFont="1" applyBorder="1" applyAlignment="1">
      <alignment horizontal="right" vertical="center"/>
    </xf>
    <xf numFmtId="0" fontId="2" fillId="4" borderId="1" xfId="4" applyFont="1" applyBorder="1" applyAlignment="1" applyProtection="1">
      <alignment horizontal="center" vertical="center" wrapText="1"/>
    </xf>
    <xf numFmtId="3" fontId="2" fillId="4" borderId="1" xfId="4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167" fontId="2" fillId="4" borderId="1" xfId="4" applyNumberFormat="1" applyFont="1" applyBorder="1" applyAlignment="1" applyProtection="1">
      <alignment horizontal="right" vertical="center" wrapText="1"/>
    </xf>
    <xf numFmtId="43" fontId="2" fillId="4" borderId="1" xfId="4" applyNumberFormat="1" applyFont="1" applyBorder="1" applyAlignment="1" applyProtection="1">
      <alignment horizontal="right" vertical="center" wrapText="1"/>
    </xf>
    <xf numFmtId="0" fontId="5" fillId="5" borderId="2" xfId="0" applyFont="1" applyFill="1" applyBorder="1" applyAlignment="1" applyProtection="1">
      <alignment horizontal="left" vertical="center" wrapText="1"/>
    </xf>
    <xf numFmtId="0" fontId="5" fillId="5" borderId="3" xfId="0" applyFont="1" applyFill="1" applyBorder="1" applyAlignment="1" applyProtection="1">
      <alignment horizontal="left" vertical="center" wrapText="1"/>
    </xf>
    <xf numFmtId="0" fontId="5" fillId="5" borderId="4" xfId="0" applyFont="1" applyFill="1" applyBorder="1" applyAlignment="1" applyProtection="1">
      <alignment horizontal="left"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Normal="100" zoomScaleSheetLayoutView="95" workbookViewId="0">
      <selection activeCell="S13" sqref="S13"/>
    </sheetView>
  </sheetViews>
  <sheetFormatPr defaultRowHeight="14.4" x14ac:dyDescent="0.3"/>
  <cols>
    <col min="1" max="1" width="8.109375" customWidth="1"/>
    <col min="2" max="2" width="9.5546875" customWidth="1"/>
    <col min="3" max="3" width="9.33203125" customWidth="1"/>
    <col min="4" max="4" width="9.88671875" customWidth="1"/>
    <col min="5" max="5" width="11.5546875" customWidth="1"/>
    <col min="6" max="7" width="8.33203125" customWidth="1"/>
    <col min="8" max="8" width="7.33203125" customWidth="1"/>
    <col min="9" max="9" width="9.109375" bestFit="1" customWidth="1"/>
    <col min="10" max="10" width="8.109375" bestFit="1" customWidth="1"/>
    <col min="11" max="11" width="9.109375" bestFit="1" customWidth="1"/>
    <col min="12" max="12" width="8.6640625" customWidth="1"/>
    <col min="13" max="13" width="7.33203125" customWidth="1"/>
    <col min="14" max="14" width="7.109375" customWidth="1"/>
    <col min="15" max="15" width="8.5546875" customWidth="1"/>
    <col min="16" max="16" width="8.6640625" customWidth="1"/>
    <col min="17" max="17" width="7" customWidth="1"/>
  </cols>
  <sheetData>
    <row r="1" spans="1:17" ht="2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4.75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22.2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119.25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21" customHeight="1" x14ac:dyDescent="0.3">
      <c r="A6" s="10">
        <v>43191</v>
      </c>
      <c r="B6" s="11">
        <v>2491</v>
      </c>
      <c r="C6" s="11">
        <v>9244.9000000000015</v>
      </c>
      <c r="D6" s="11">
        <v>6141.65</v>
      </c>
      <c r="E6" s="11">
        <v>374443</v>
      </c>
      <c r="F6" s="11">
        <v>959.53589999999997</v>
      </c>
      <c r="G6" s="11">
        <v>1142.3459700000001</v>
      </c>
      <c r="H6" s="12">
        <f>F6/G6*100</f>
        <v>83.996961095770303</v>
      </c>
      <c r="I6" s="13">
        <v>887.51299999999992</v>
      </c>
      <c r="J6" s="13">
        <v>0.45300000000000001</v>
      </c>
      <c r="K6" s="13">
        <v>887.96600000000001</v>
      </c>
      <c r="L6" s="13">
        <v>54.533903683000005</v>
      </c>
      <c r="M6" s="13">
        <v>2.4320292549999998</v>
      </c>
      <c r="N6" s="14">
        <f>1.028714318/1000</f>
        <v>1.028714318E-3</v>
      </c>
      <c r="O6" s="13">
        <v>56.967017913999996</v>
      </c>
      <c r="P6" s="13">
        <v>72.17770255100001</v>
      </c>
      <c r="Q6" s="12">
        <f>O6/P6*100</f>
        <v>78.926061512899636</v>
      </c>
    </row>
    <row r="7" spans="1:17" ht="21" customHeight="1" x14ac:dyDescent="0.3">
      <c r="A7" s="15">
        <v>43221</v>
      </c>
      <c r="B7" s="16">
        <v>2572</v>
      </c>
      <c r="C7" s="16">
        <v>9610.52</v>
      </c>
      <c r="D7" s="16">
        <v>6384.6</v>
      </c>
      <c r="E7" s="16">
        <v>359037</v>
      </c>
      <c r="F7" s="16">
        <v>940.53210000000001</v>
      </c>
      <c r="G7" s="16">
        <v>1187.5329999999999</v>
      </c>
      <c r="H7" s="12">
        <f t="shared" ref="H7:H18" si="0">F7/G7*100</f>
        <v>79.200502217622599</v>
      </c>
      <c r="I7" s="17">
        <v>1297.3</v>
      </c>
      <c r="J7" s="17">
        <v>0.81300000000000006</v>
      </c>
      <c r="K7" s="17">
        <v>1298.1129999999998</v>
      </c>
      <c r="L7" s="17">
        <v>80.464485786000012</v>
      </c>
      <c r="M7" s="17">
        <v>3.5310000000000001</v>
      </c>
      <c r="N7" s="18">
        <v>6.0683789999999992E-4</v>
      </c>
      <c r="O7" s="17">
        <v>83.997489849999994</v>
      </c>
      <c r="P7" s="17">
        <v>105.3408</v>
      </c>
      <c r="Q7" s="12">
        <f t="shared" ref="Q7:Q18" si="1">O7/P7*100</f>
        <v>79.73880001860627</v>
      </c>
    </row>
    <row r="8" spans="1:17" ht="21" customHeight="1" x14ac:dyDescent="0.3">
      <c r="A8" s="10">
        <v>43252</v>
      </c>
      <c r="B8" s="11">
        <v>2499</v>
      </c>
      <c r="C8" s="11">
        <v>9326.74</v>
      </c>
      <c r="D8" s="11">
        <v>6177.7999999999993</v>
      </c>
      <c r="E8" s="11">
        <v>323463</v>
      </c>
      <c r="F8" s="11">
        <v>850.10829999999999</v>
      </c>
      <c r="G8" s="11">
        <v>1149.0706</v>
      </c>
      <c r="H8" s="12">
        <f t="shared" si="0"/>
        <v>73.982251395171019</v>
      </c>
      <c r="I8" s="13">
        <v>1054.4000000000001</v>
      </c>
      <c r="J8" s="13">
        <v>0.81</v>
      </c>
      <c r="K8" s="13">
        <v>1055.21</v>
      </c>
      <c r="L8" s="13">
        <v>75.894661628000023</v>
      </c>
      <c r="M8" s="13">
        <v>2.7498299999999998</v>
      </c>
      <c r="N8" s="14">
        <v>2.0200000000000001E-3</v>
      </c>
      <c r="O8" s="13">
        <v>78.646503761999995</v>
      </c>
      <c r="P8" s="13">
        <v>106.693424394</v>
      </c>
      <c r="Q8" s="12">
        <f t="shared" si="1"/>
        <v>73.712606197334452</v>
      </c>
    </row>
    <row r="9" spans="1:17" ht="21" customHeight="1" x14ac:dyDescent="0.3">
      <c r="A9" s="15">
        <v>43282</v>
      </c>
      <c r="B9" s="16">
        <v>2569</v>
      </c>
      <c r="C9" s="16">
        <v>9539.7999999999993</v>
      </c>
      <c r="D9" s="16">
        <v>6346.32</v>
      </c>
      <c r="E9" s="16">
        <v>354923</v>
      </c>
      <c r="F9" s="16">
        <v>924.31998099999998</v>
      </c>
      <c r="G9" s="16">
        <v>1180.414</v>
      </c>
      <c r="H9" s="12">
        <f t="shared" si="0"/>
        <v>78.30472876465376</v>
      </c>
      <c r="I9" s="17">
        <v>1156.789</v>
      </c>
      <c r="J9" s="17">
        <v>0.61799999999999999</v>
      </c>
      <c r="K9" s="17">
        <v>1157.4070000000002</v>
      </c>
      <c r="L9" s="17">
        <v>80.604314876999993</v>
      </c>
      <c r="M9" s="17">
        <v>3.0335450259999996</v>
      </c>
      <c r="N9" s="18">
        <f>1.495863/1000</f>
        <v>1.4958629999999998E-3</v>
      </c>
      <c r="O9" s="17">
        <v>83.639355765999994</v>
      </c>
      <c r="P9" s="17">
        <v>107.714673301</v>
      </c>
      <c r="Q9" s="12">
        <f t="shared" si="1"/>
        <v>77.648989875572966</v>
      </c>
    </row>
    <row r="10" spans="1:17" ht="21" customHeight="1" x14ac:dyDescent="0.3">
      <c r="A10" s="10">
        <v>43313</v>
      </c>
      <c r="B10" s="11">
        <v>2506</v>
      </c>
      <c r="C10" s="11">
        <v>9462.51</v>
      </c>
      <c r="D10" s="11">
        <v>6327.1699999999992</v>
      </c>
      <c r="E10" s="11">
        <v>362512</v>
      </c>
      <c r="F10" s="11">
        <v>946.68381000000011</v>
      </c>
      <c r="G10" s="11">
        <v>1176.85473</v>
      </c>
      <c r="H10" s="12">
        <f t="shared" si="0"/>
        <v>80.441857934326364</v>
      </c>
      <c r="I10" s="13">
        <v>1290.357</v>
      </c>
      <c r="J10" s="13">
        <v>0.74199999999999999</v>
      </c>
      <c r="K10" s="13">
        <v>1291.0989999999999</v>
      </c>
      <c r="L10" s="13">
        <v>84.761212587000003</v>
      </c>
      <c r="M10" s="13">
        <v>3.5017799999999997</v>
      </c>
      <c r="N10" s="14">
        <v>1.8600000000000001E-3</v>
      </c>
      <c r="O10" s="13">
        <v>88.264843744000004</v>
      </c>
      <c r="P10" s="13">
        <v>110.037300927</v>
      </c>
      <c r="Q10" s="12">
        <f t="shared" si="1"/>
        <v>80.213566672773908</v>
      </c>
    </row>
    <row r="11" spans="1:17" ht="21" customHeight="1" x14ac:dyDescent="0.3">
      <c r="A11" s="15">
        <v>43344</v>
      </c>
      <c r="B11" s="16">
        <v>2454</v>
      </c>
      <c r="C11" s="16">
        <v>9140.4500000000007</v>
      </c>
      <c r="D11" s="16">
        <v>6097.835</v>
      </c>
      <c r="E11" s="16">
        <v>311569</v>
      </c>
      <c r="F11" s="16">
        <v>811.23340100000007</v>
      </c>
      <c r="G11" s="16">
        <v>1134.197868</v>
      </c>
      <c r="H11" s="12">
        <f t="shared" si="0"/>
        <v>71.52485680743672</v>
      </c>
      <c r="I11" s="17">
        <v>1345.41</v>
      </c>
      <c r="J11" s="17">
        <v>1.0640000000000001</v>
      </c>
      <c r="K11" s="17">
        <v>1346.4740000000002</v>
      </c>
      <c r="L11" s="17">
        <v>72.026025408999999</v>
      </c>
      <c r="M11" s="17">
        <v>3.6606014999999998</v>
      </c>
      <c r="N11" s="18">
        <v>9.9999999999999995E-7</v>
      </c>
      <c r="O11" s="17">
        <v>75.689206122000002</v>
      </c>
      <c r="P11" s="17">
        <v>103.59216655699998</v>
      </c>
      <c r="Q11" s="12">
        <f t="shared" si="1"/>
        <v>73.064603857235852</v>
      </c>
    </row>
    <row r="12" spans="1:17" ht="21" customHeight="1" x14ac:dyDescent="0.3">
      <c r="A12" s="10">
        <v>43374</v>
      </c>
      <c r="B12" s="11">
        <v>2535</v>
      </c>
      <c r="C12" s="11">
        <v>9459.86</v>
      </c>
      <c r="D12" s="11">
        <v>6247.72</v>
      </c>
      <c r="E12" s="11">
        <v>325566</v>
      </c>
      <c r="F12" s="11">
        <v>841.54471999999998</v>
      </c>
      <c r="G12" s="11">
        <v>1162.07647</v>
      </c>
      <c r="H12" s="12">
        <f t="shared" si="0"/>
        <v>72.41732723492801</v>
      </c>
      <c r="I12" s="13">
        <v>1654.0300000000002</v>
      </c>
      <c r="J12" s="13">
        <v>0.64700000000000002</v>
      </c>
      <c r="K12" s="13">
        <v>1654.6769999999999</v>
      </c>
      <c r="L12" s="13">
        <v>81.990400000000008</v>
      </c>
      <c r="M12" s="13">
        <v>4.4529100000000001</v>
      </c>
      <c r="N12" s="14">
        <v>6.469999999999999E-7</v>
      </c>
      <c r="O12" s="13">
        <v>86.443310647000004</v>
      </c>
      <c r="P12" s="13">
        <v>111.65188999999999</v>
      </c>
      <c r="Q12" s="12">
        <f t="shared" si="1"/>
        <v>77.422165130388748</v>
      </c>
    </row>
    <row r="13" spans="1:17" ht="21" customHeight="1" x14ac:dyDescent="0.3">
      <c r="A13" s="15">
        <v>43405</v>
      </c>
      <c r="B13" s="16">
        <v>2552</v>
      </c>
      <c r="C13" s="16">
        <v>9420.1999999999989</v>
      </c>
      <c r="D13" s="16">
        <v>6211.2820000000002</v>
      </c>
      <c r="E13" s="16">
        <v>337267</v>
      </c>
      <c r="F13" s="16">
        <v>872.47467200000006</v>
      </c>
      <c r="G13" s="16">
        <v>1155.298452</v>
      </c>
      <c r="H13" s="12">
        <f t="shared" si="0"/>
        <v>75.519418422972151</v>
      </c>
      <c r="I13" s="17">
        <v>1530.144</v>
      </c>
      <c r="J13" s="17">
        <v>0.52300000000000002</v>
      </c>
      <c r="K13" s="17">
        <v>1530.6670000000001</v>
      </c>
      <c r="L13" s="17">
        <v>78.787679999999995</v>
      </c>
      <c r="M13" s="17">
        <v>4.0767700000000007</v>
      </c>
      <c r="N13" s="18">
        <v>5.1E-8</v>
      </c>
      <c r="O13" s="17">
        <v>82.864450050999992</v>
      </c>
      <c r="P13" s="17">
        <v>108.71697</v>
      </c>
      <c r="Q13" s="12">
        <f t="shared" si="1"/>
        <v>76.220345407897213</v>
      </c>
    </row>
    <row r="14" spans="1:17" ht="21" customHeight="1" x14ac:dyDescent="0.3">
      <c r="A14" s="10">
        <v>43435</v>
      </c>
      <c r="B14" s="11">
        <v>2718</v>
      </c>
      <c r="C14" s="11">
        <v>10073.56</v>
      </c>
      <c r="D14" s="11">
        <v>6673.56</v>
      </c>
      <c r="E14" s="11">
        <v>414075</v>
      </c>
      <c r="F14" s="11">
        <v>1074.355</v>
      </c>
      <c r="G14" s="11">
        <v>1241.2819999999999</v>
      </c>
      <c r="H14" s="12">
        <f t="shared" si="0"/>
        <v>86.55204860781032</v>
      </c>
      <c r="I14" s="13">
        <v>1561.1289999999999</v>
      </c>
      <c r="J14" s="13">
        <v>0.66100000000000003</v>
      </c>
      <c r="K14" s="13">
        <v>1561.7900000000002</v>
      </c>
      <c r="L14" s="13">
        <v>97.534219999999991</v>
      </c>
      <c r="M14" s="13">
        <v>4.1116500000000009</v>
      </c>
      <c r="N14" s="14">
        <v>1.5219999999999999E-3</v>
      </c>
      <c r="O14" s="13">
        <v>101.64739200000001</v>
      </c>
      <c r="P14" s="13">
        <v>119.45820999999999</v>
      </c>
      <c r="Q14" s="12">
        <f t="shared" si="1"/>
        <v>85.090335775163567</v>
      </c>
    </row>
    <row r="15" spans="1:17" ht="21" customHeight="1" x14ac:dyDescent="0.3">
      <c r="A15" s="15">
        <v>43466</v>
      </c>
      <c r="B15" s="16">
        <v>2745</v>
      </c>
      <c r="C15" s="16">
        <v>10245.17</v>
      </c>
      <c r="D15" s="16">
        <v>6750.16</v>
      </c>
      <c r="E15" s="16">
        <v>418757</v>
      </c>
      <c r="F15" s="16">
        <v>1089.5440000000001</v>
      </c>
      <c r="G15" s="16">
        <v>1255.53</v>
      </c>
      <c r="H15" s="12">
        <f t="shared" si="0"/>
        <v>86.779607018549939</v>
      </c>
      <c r="I15" s="17">
        <v>1431.25</v>
      </c>
      <c r="J15" s="17">
        <v>2.2200000000000002</v>
      </c>
      <c r="K15" s="17">
        <v>1433.47</v>
      </c>
      <c r="L15" s="17">
        <v>98.500209999999996</v>
      </c>
      <c r="M15" s="17">
        <v>3.80898</v>
      </c>
      <c r="N15" s="18">
        <v>5.2300000000000003E-3</v>
      </c>
      <c r="O15" s="17">
        <v>102.31441999999998</v>
      </c>
      <c r="P15" s="17">
        <v>120.60669</v>
      </c>
      <c r="Q15" s="12">
        <f t="shared" si="1"/>
        <v>84.833121612076397</v>
      </c>
    </row>
    <row r="16" spans="1:17" ht="21" customHeight="1" x14ac:dyDescent="0.3">
      <c r="A16" s="10">
        <v>43497</v>
      </c>
      <c r="B16" s="11">
        <v>2470</v>
      </c>
      <c r="C16" s="11">
        <v>9257.7900000000009</v>
      </c>
      <c r="D16" s="11">
        <v>6086.96</v>
      </c>
      <c r="E16" s="11">
        <v>360499</v>
      </c>
      <c r="F16" s="11">
        <v>938.01499999999999</v>
      </c>
      <c r="G16" s="11">
        <v>1132.173</v>
      </c>
      <c r="H16" s="12">
        <f t="shared" si="0"/>
        <v>82.850854065588919</v>
      </c>
      <c r="I16" s="13">
        <v>1398.1309999999999</v>
      </c>
      <c r="J16" s="13">
        <v>2.87</v>
      </c>
      <c r="K16" s="13">
        <v>1401.0009999999997</v>
      </c>
      <c r="L16" s="13">
        <v>87.318569999999994</v>
      </c>
      <c r="M16" s="13">
        <v>3.7109099999999997</v>
      </c>
      <c r="N16" s="14">
        <v>6.3099999999999996E-3</v>
      </c>
      <c r="O16" s="13">
        <v>91.035789999999992</v>
      </c>
      <c r="P16" s="13">
        <v>111.58453</v>
      </c>
      <c r="Q16" s="12">
        <f t="shared" si="1"/>
        <v>81.5845977932604</v>
      </c>
    </row>
    <row r="17" spans="1:17" ht="21" customHeight="1" x14ac:dyDescent="0.3">
      <c r="A17" s="15">
        <v>43525</v>
      </c>
      <c r="B17" s="16">
        <v>2740</v>
      </c>
      <c r="C17" s="16">
        <v>10497.27</v>
      </c>
      <c r="D17" s="16">
        <v>6732.84</v>
      </c>
      <c r="E17" s="16">
        <v>400396</v>
      </c>
      <c r="F17" s="16">
        <v>1043.6490000000001</v>
      </c>
      <c r="G17" s="16">
        <v>1252.309</v>
      </c>
      <c r="H17" s="12">
        <f t="shared" si="0"/>
        <v>83.337978086877925</v>
      </c>
      <c r="I17" s="17">
        <v>2021.962</v>
      </c>
      <c r="J17" s="17">
        <v>0.623</v>
      </c>
      <c r="K17" s="17">
        <f>I17+J17</f>
        <v>2022.585</v>
      </c>
      <c r="L17" s="17">
        <v>94.534409999999994</v>
      </c>
      <c r="M17" s="17">
        <v>5.3548299999999998</v>
      </c>
      <c r="N17" s="18">
        <v>1.3499999999999999E-3</v>
      </c>
      <c r="O17" s="17">
        <v>99.890589999999989</v>
      </c>
      <c r="P17" s="17">
        <v>121.24713</v>
      </c>
      <c r="Q17" s="12">
        <f t="shared" si="1"/>
        <v>82.385941836313975</v>
      </c>
    </row>
    <row r="18" spans="1:17" ht="21" customHeight="1" x14ac:dyDescent="0.3">
      <c r="A18" s="19" t="s">
        <v>22</v>
      </c>
      <c r="B18" s="20">
        <v>30851</v>
      </c>
      <c r="C18" s="20">
        <v>115278.76999999999</v>
      </c>
      <c r="D18" s="20">
        <v>76177.896999999997</v>
      </c>
      <c r="E18" s="20">
        <v>4342507</v>
      </c>
      <c r="F18" s="20">
        <v>11291.995884</v>
      </c>
      <c r="G18" s="20">
        <v>14169.08509</v>
      </c>
      <c r="H18" s="21">
        <f t="shared" si="0"/>
        <v>79.694601396454729</v>
      </c>
      <c r="I18" s="22">
        <v>16628.415000000001</v>
      </c>
      <c r="J18" s="22">
        <v>12.044</v>
      </c>
      <c r="K18" s="22">
        <f>SUM(K6:K17)</f>
        <v>16640.458999999999</v>
      </c>
      <c r="L18" s="22">
        <v>986.95009397000001</v>
      </c>
      <c r="M18" s="22">
        <v>44.424835781000006</v>
      </c>
      <c r="N18" s="23">
        <f>SUM(N6:N17)</f>
        <v>2.1425113217999999E-2</v>
      </c>
      <c r="O18" s="22">
        <v>1031.4003698559998</v>
      </c>
      <c r="P18" s="22">
        <v>1298.8214877299999</v>
      </c>
      <c r="Q18" s="21">
        <f t="shared" si="1"/>
        <v>79.410479392254103</v>
      </c>
    </row>
    <row r="19" spans="1:17" ht="21" customHeight="1" x14ac:dyDescent="0.3">
      <c r="A19" s="24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2020-06-03T10:33:04Z</dcterms:created>
  <dcterms:modified xsi:type="dcterms:W3CDTF">2020-06-03T10:33:37Z</dcterms:modified>
</cp:coreProperties>
</file>