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Yearly Report (2018-19)\INTERNATIONAL OPERATIONS\"/>
    </mc:Choice>
  </mc:AlternateContent>
  <bookViews>
    <workbookView showHorizontalScroll="0" showVerticalScroll="0" showSheetTabs="0" xWindow="0" yWindow="0" windowWidth="19200" windowHeight="7224"/>
  </bookViews>
  <sheets>
    <sheet name="Table 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7" i="1" l="1"/>
  <c r="E107" i="1"/>
  <c r="F107" i="1"/>
  <c r="C107" i="1"/>
  <c r="D13" i="1" l="1"/>
  <c r="D108" i="1" s="1"/>
  <c r="E13" i="1"/>
  <c r="E108" i="1" s="1"/>
  <c r="F13" i="1"/>
  <c r="F108" i="1" s="1"/>
  <c r="C13" i="1"/>
  <c r="C108" i="1" s="1"/>
</calcChain>
</file>

<file path=xl/sharedStrings.xml><?xml version="1.0" encoding="utf-8"?>
<sst xmlns="http://schemas.openxmlformats.org/spreadsheetml/2006/main" count="120" uniqueCount="109">
  <si>
    <t>TABLE - 1.05 (INTERNATIONAL OPERATIONS)</t>
  </si>
  <si>
    <t>(PASSENGERS IN NUMBER AND FREIGHT IN TONNES)</t>
  </si>
  <si>
    <t>SL.NO.</t>
  </si>
  <si>
    <t>NAME OF THE AIRLINE</t>
  </si>
  <si>
    <t>PASSENGERS TO INDIA</t>
  </si>
  <si>
    <t>PASSENGERS FROM INDIA</t>
  </si>
  <si>
    <t>FREIGHT TO INDIA</t>
  </si>
  <si>
    <t>FREIGHT FROM INDIA</t>
  </si>
  <si>
    <t>DOMESTIC CARRIERS</t>
  </si>
  <si>
    <t>AIR INDIA</t>
  </si>
  <si>
    <t>AIR INDIA EXPRESS</t>
  </si>
  <si>
    <t>INDIGO</t>
  </si>
  <si>
    <t>JET AIRWAYS</t>
  </si>
  <si>
    <t>SPICEJET</t>
  </si>
  <si>
    <t>TOTAL (DOMESTIC CARRIERS)</t>
  </si>
  <si>
    <t>FOREIGN CARRIERS</t>
  </si>
  <si>
    <t>AEROFLOT</t>
  </si>
  <si>
    <t>AEROLOGIC</t>
  </si>
  <si>
    <t>AIR ARABIA</t>
  </si>
  <si>
    <t>AIR ASIA BERHAD</t>
  </si>
  <si>
    <t>AIR ASIA X</t>
  </si>
  <si>
    <t>AIR ASTANA</t>
  </si>
  <si>
    <t>AIR AUSTRAL</t>
  </si>
  <si>
    <t>AIR CANADA</t>
  </si>
  <si>
    <t>AIR CHINA</t>
  </si>
  <si>
    <t>AIR FRANCE</t>
  </si>
  <si>
    <t>AIR MANAS</t>
  </si>
  <si>
    <t>AIR MAURITIUS</t>
  </si>
  <si>
    <t>AIR SEYCHELLES</t>
  </si>
  <si>
    <t>ALL NIPPON AIRWAYS</t>
  </si>
  <si>
    <t>ARIANA AFGHAN</t>
  </si>
  <si>
    <t>ASIANA AIRLINES</t>
  </si>
  <si>
    <t>BANGKOK AIRWAYS</t>
  </si>
  <si>
    <t>BATIK AIR</t>
  </si>
  <si>
    <t>BHUTAN AIRLINES</t>
  </si>
  <si>
    <t>BIMAN BANGLADESH</t>
  </si>
  <si>
    <t>BRITISH AIRWAYS</t>
  </si>
  <si>
    <t>BRUSSELS AIRLINES</t>
  </si>
  <si>
    <t>CATHAY PACIFIC</t>
  </si>
  <si>
    <t>CHINA AIRLINES LTD</t>
  </si>
  <si>
    <t>CHINA EASTERN AIRLINES</t>
  </si>
  <si>
    <t>DRAGON AIR</t>
  </si>
  <si>
    <t>DRUK AIR</t>
  </si>
  <si>
    <t>EGYPT AIR</t>
  </si>
  <si>
    <t>EL-AL-ISRAEL</t>
  </si>
  <si>
    <t>EMIRATES AIRLINE</t>
  </si>
  <si>
    <t>ETHIOPIAN AIRLINES</t>
  </si>
  <si>
    <t>ETIHAD AIRLINES</t>
  </si>
  <si>
    <t>FEDERAL EXPRESS</t>
  </si>
  <si>
    <t>FINN AIR</t>
  </si>
  <si>
    <t>FLY DUBAI</t>
  </si>
  <si>
    <t>GARUDA INDONESIA</t>
  </si>
  <si>
    <t>GULF AIR</t>
  </si>
  <si>
    <t>IRAN AIR</t>
  </si>
  <si>
    <t>IRAQI AIRWAYS</t>
  </si>
  <si>
    <t>ISLAND AVIATION SERVICES</t>
  </si>
  <si>
    <t>JAPAN AIRLINES</t>
  </si>
  <si>
    <t>KALITTA AIR</t>
  </si>
  <si>
    <t>KAM AIR</t>
  </si>
  <si>
    <t>KENYA AIRWAYS</t>
  </si>
  <si>
    <t>KLM AIRLINES</t>
  </si>
  <si>
    <t>KOREAN AIR</t>
  </si>
  <si>
    <t>KUWAIT AIRWAYS</t>
  </si>
  <si>
    <t>LUFTHANSA</t>
  </si>
  <si>
    <t>MAHAN AIR</t>
  </si>
  <si>
    <t>MALAYSIA AIRLINES</t>
  </si>
  <si>
    <t>MALINDO AIRWAYS</t>
  </si>
  <si>
    <t>MYANMAR AIRLINES</t>
  </si>
  <si>
    <t>NEPAL AIRLINES CORPORATION</t>
  </si>
  <si>
    <t>NOVO AIR</t>
  </si>
  <si>
    <t>OMAN AIR</t>
  </si>
  <si>
    <t>PAK INTERNATIONAL</t>
  </si>
  <si>
    <t>QATAR AIRWAYS</t>
  </si>
  <si>
    <t>REGENT AIRWAYS</t>
  </si>
  <si>
    <t>ROSSIYA AIRLINES</t>
  </si>
  <si>
    <t>RWANDAIR</t>
  </si>
  <si>
    <t>SAUDIA</t>
  </si>
  <si>
    <t>SCAT AIRLINES</t>
  </si>
  <si>
    <t>SCOOT TIGER AIR</t>
  </si>
  <si>
    <t>SHANDONG AIRLINES</t>
  </si>
  <si>
    <t>SILK AIR</t>
  </si>
  <si>
    <t>SINGAPORE AIRLINES</t>
  </si>
  <si>
    <t>SWISS AIR</t>
  </si>
  <si>
    <t>TAJIK AIR</t>
  </si>
  <si>
    <t>THAI AIR ASIA</t>
  </si>
  <si>
    <t>THAI AIRWAYS</t>
  </si>
  <si>
    <t>THAI LION AIR</t>
  </si>
  <si>
    <t>THAI SMILE AIRWAYS</t>
  </si>
  <si>
    <t>TURKISH AIRLINES</t>
  </si>
  <si>
    <t>TURKMENISTAN AIRLINES</t>
  </si>
  <si>
    <t>UNITED AIRLINES</t>
  </si>
  <si>
    <t>UNITED PARCEL SERVICES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</si>
  <si>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</si>
  <si>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</si>
  <si>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</si>
  <si>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</si>
  <si>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</si>
  <si>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SOURCE :- MONTHLY TRAFFIC STATISTICS FURNISHED BY ALL SCHEDULED DOMESTIC AND FOREIGN AIRLINES.</t>
  </si>
  <si>
    <t>AIRLINE WISE SCHEDULED INTERNATIONAL PASSENGERS AND FREIGHT CARRIED TO &amp; FROM INDIA BY ALL SCHEDULED DOMESTIC AND FOREIGN AIRLINES FOR THE YEAR 2018-19</t>
  </si>
  <si>
    <t>GO AIR</t>
  </si>
  <si>
    <t>BUDDHA AIR</t>
  </si>
  <si>
    <t xml:space="preserve">CHINA SOUTHERN </t>
  </si>
  <si>
    <t>FLYNAS</t>
  </si>
  <si>
    <t>SRILANKAN AIRWAYS</t>
  </si>
  <si>
    <t>THOMAS COOK AIRLINES</t>
  </si>
  <si>
    <t>ULS Airlines Cargo</t>
  </si>
  <si>
    <t>US BANGLA AIRLINES</t>
  </si>
  <si>
    <t> NOTE: THIS TABLE DOES NOT INCLUDES PASSENGERS AND FREIGHT CARRIED BY DOMESTIC CARRIERS ENTIRELY OUTSIDE THE INDIAN TERRITORY.                                         </t>
  </si>
  <si>
    <r>
      <rPr>
        <b/>
        <sz val="12"/>
        <rFont val="Nirmala UI"/>
        <family val="2"/>
      </rPr>
      <t xml:space="preserve">सारणी </t>
    </r>
    <r>
      <rPr>
        <b/>
        <sz val="12"/>
        <rFont val="Arial"/>
        <family val="2"/>
      </rPr>
      <t>1.05 (</t>
    </r>
    <r>
      <rPr>
        <b/>
        <sz val="12"/>
        <rFont val="Nirmala UI"/>
        <family val="2"/>
      </rPr>
      <t>अन्तर्राष्ट्रीय प्रचालन</t>
    </r>
    <r>
      <rPr>
        <b/>
        <sz val="12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</si>
</sst>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5" formatCode="0.0"/>
    <numFmt numFmtId="166" formatCode="_(* #,##0.0_);_(* \(#,##0.0\);_(* &quot;-&quot;??_);_(@_)"/>
    <numFmt numFmtId="167" formatCode="_(* #,##0_);_(* \(#,##0\);_(* &quot;-&quot;??_);_(@_)"/>
  </numFmts>
  <fonts count="11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2"/>
      <name val="Times New Roman"/>
      <family val="1"/>
    </font>
    <font>
      <b/>
      <sz val="12"/>
      <name val="Nirmala UI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i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center" vertical="top" shrinkToFit="1"/>
    </xf>
    <xf numFmtId="0" fontId="9" fillId="0" borderId="1" xfId="0" applyFont="1" applyFill="1" applyBorder="1" applyAlignment="1">
      <alignment horizontal="left" vertical="top" wrapText="1"/>
    </xf>
    <xf numFmtId="3" fontId="8" fillId="0" borderId="1" xfId="0" applyNumberFormat="1" applyFont="1" applyFill="1" applyBorder="1" applyAlignment="1">
      <alignment horizontal="right" vertical="top" shrinkToFit="1"/>
    </xf>
    <xf numFmtId="164" fontId="8" fillId="0" borderId="1" xfId="0" applyNumberFormat="1" applyFont="1" applyFill="1" applyBorder="1" applyAlignment="1">
      <alignment horizontal="right" vertical="top" shrinkToFit="1"/>
    </xf>
    <xf numFmtId="165" fontId="8" fillId="0" borderId="1" xfId="0" applyNumberFormat="1" applyFont="1" applyFill="1" applyBorder="1" applyAlignment="1">
      <alignment horizontal="right" vertical="top" shrinkToFit="1"/>
    </xf>
    <xf numFmtId="3" fontId="10" fillId="4" borderId="1" xfId="0" applyNumberFormat="1" applyFont="1" applyFill="1" applyBorder="1" applyAlignment="1">
      <alignment horizontal="right" vertical="top" shrinkToFit="1"/>
    </xf>
    <xf numFmtId="164" fontId="10" fillId="4" borderId="1" xfId="0" applyNumberFormat="1" applyFont="1" applyFill="1" applyBorder="1" applyAlignment="1">
      <alignment horizontal="right" vertical="top" shrinkToFit="1"/>
    </xf>
    <xf numFmtId="3" fontId="8" fillId="6" borderId="1" xfId="0" applyNumberFormat="1" applyFont="1" applyFill="1" applyBorder="1" applyAlignment="1">
      <alignment horizontal="right" vertical="top" shrinkToFit="1"/>
    </xf>
    <xf numFmtId="164" fontId="8" fillId="6" borderId="1" xfId="0" applyNumberFormat="1" applyFont="1" applyFill="1" applyBorder="1" applyAlignment="1">
      <alignment horizontal="right" vertical="top" shrinkToFi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7" fontId="6" fillId="5" borderId="2" xfId="1" applyNumberFormat="1" applyFont="1" applyFill="1" applyBorder="1" applyAlignment="1">
      <alignment horizontal="right" vertical="top" wrapText="1"/>
    </xf>
    <xf numFmtId="166" fontId="6" fillId="5" borderId="2" xfId="1" applyNumberFormat="1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0" fontId="7" fillId="0" borderId="4" xfId="0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0"/>
  <sheetViews>
    <sheetView tabSelected="1" zoomScaleNormal="100" workbookViewId="0">
      <selection activeCell="B74" sqref="B74"/>
    </sheetView>
  </sheetViews>
  <sheetFormatPr defaultRowHeight="15.6" x14ac:dyDescent="0.25"/>
  <cols>
    <col min="1" max="1" width="13.33203125" style="1" customWidth="1"/>
    <col min="2" max="6" width="28.33203125" style="1" customWidth="1"/>
    <col min="7" max="16384" width="8.88671875" style="1"/>
  </cols>
  <sheetData>
    <row r="1" spans="1:6" ht="17.25" customHeight="1" x14ac:dyDescent="0.25">
      <c r="A1" s="15" t="s">
        <v>108</v>
      </c>
      <c r="B1" s="30"/>
      <c r="C1" s="30"/>
      <c r="D1" s="30"/>
      <c r="E1" s="30"/>
      <c r="F1" s="31"/>
    </row>
    <row r="2" spans="1:6" ht="17.25" customHeight="1" x14ac:dyDescent="0.25">
      <c r="A2" s="18" t="s">
        <v>0</v>
      </c>
      <c r="B2" s="19"/>
      <c r="C2" s="19"/>
      <c r="D2" s="19"/>
      <c r="E2" s="19"/>
      <c r="F2" s="20"/>
    </row>
    <row r="3" spans="1:6" ht="33" customHeight="1" x14ac:dyDescent="0.25">
      <c r="A3" s="21" t="s">
        <v>98</v>
      </c>
      <c r="B3" s="22"/>
      <c r="C3" s="22"/>
      <c r="D3" s="22"/>
      <c r="E3" s="22"/>
      <c r="F3" s="23"/>
    </row>
    <row r="4" spans="1:6" ht="16.5" customHeight="1" x14ac:dyDescent="0.25">
      <c r="A4" s="24" t="s">
        <v>1</v>
      </c>
      <c r="B4" s="25"/>
      <c r="C4" s="25"/>
      <c r="D4" s="25"/>
      <c r="E4" s="25"/>
      <c r="F4" s="26"/>
    </row>
    <row r="5" spans="1:6" s="12" customFormat="1" ht="31.5" customHeight="1" x14ac:dyDescent="0.2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</row>
    <row r="6" spans="1:6" ht="18" customHeight="1" x14ac:dyDescent="0.25">
      <c r="A6" s="27" t="s">
        <v>8</v>
      </c>
      <c r="B6" s="28"/>
      <c r="C6" s="28"/>
      <c r="D6" s="28"/>
      <c r="E6" s="28"/>
      <c r="F6" s="29"/>
    </row>
    <row r="7" spans="1:6" ht="18" customHeight="1" x14ac:dyDescent="0.25">
      <c r="A7" s="2">
        <v>1</v>
      </c>
      <c r="B7" s="3" t="s">
        <v>9</v>
      </c>
      <c r="C7" s="4">
        <v>3380981</v>
      </c>
      <c r="D7" s="4">
        <v>3316636</v>
      </c>
      <c r="E7" s="5">
        <v>57149.819799999983</v>
      </c>
      <c r="F7" s="5">
        <v>82252.322200000082</v>
      </c>
    </row>
    <row r="8" spans="1:6" ht="18" customHeight="1" x14ac:dyDescent="0.25">
      <c r="A8" s="2">
        <v>2</v>
      </c>
      <c r="B8" s="3" t="s">
        <v>10</v>
      </c>
      <c r="C8" s="4">
        <v>2031090</v>
      </c>
      <c r="D8" s="4">
        <v>2117337</v>
      </c>
      <c r="E8" s="6">
        <v>653.42700000000002</v>
      </c>
      <c r="F8" s="5">
        <v>15540.114</v>
      </c>
    </row>
    <row r="9" spans="1:6" ht="18" customHeight="1" x14ac:dyDescent="0.25">
      <c r="A9" s="2">
        <v>3</v>
      </c>
      <c r="B9" s="3" t="s">
        <v>99</v>
      </c>
      <c r="C9" s="4">
        <v>43542</v>
      </c>
      <c r="D9" s="4">
        <v>46463</v>
      </c>
      <c r="E9" s="5">
        <v>0</v>
      </c>
      <c r="F9" s="5">
        <v>0</v>
      </c>
    </row>
    <row r="10" spans="1:6" ht="18" customHeight="1" x14ac:dyDescent="0.25">
      <c r="A10" s="2">
        <v>4</v>
      </c>
      <c r="B10" s="3" t="s">
        <v>11</v>
      </c>
      <c r="C10" s="4">
        <v>2335322</v>
      </c>
      <c r="D10" s="4">
        <v>2369414</v>
      </c>
      <c r="E10" s="5">
        <v>2304.87003</v>
      </c>
      <c r="F10" s="5">
        <v>22623.338839999997</v>
      </c>
    </row>
    <row r="11" spans="1:6" ht="18" customHeight="1" x14ac:dyDescent="0.25">
      <c r="A11" s="2">
        <v>5</v>
      </c>
      <c r="B11" s="3" t="s">
        <v>12</v>
      </c>
      <c r="C11" s="4">
        <v>3875627</v>
      </c>
      <c r="D11" s="4">
        <v>3861948</v>
      </c>
      <c r="E11" s="5">
        <v>67736.297980000032</v>
      </c>
      <c r="F11" s="5">
        <v>100228.12475999993</v>
      </c>
    </row>
    <row r="12" spans="1:6" ht="18" customHeight="1" x14ac:dyDescent="0.25">
      <c r="A12" s="2">
        <v>6</v>
      </c>
      <c r="B12" s="3" t="s">
        <v>13</v>
      </c>
      <c r="C12" s="4">
        <v>1121128</v>
      </c>
      <c r="D12" s="4">
        <v>1118154</v>
      </c>
      <c r="E12" s="5">
        <v>5623.9387727350004</v>
      </c>
      <c r="F12" s="5">
        <v>12805.990769999993</v>
      </c>
    </row>
    <row r="13" spans="1:6" ht="18" customHeight="1" x14ac:dyDescent="0.25">
      <c r="A13" s="35" t="s">
        <v>14</v>
      </c>
      <c r="B13" s="36"/>
      <c r="C13" s="7">
        <f>SUM(C7:C12)</f>
        <v>12787690</v>
      </c>
      <c r="D13" s="7">
        <f t="shared" ref="D13:F13" si="0">SUM(D7:D12)</f>
        <v>12829952</v>
      </c>
      <c r="E13" s="8">
        <f t="shared" si="0"/>
        <v>133468.35358273503</v>
      </c>
      <c r="F13" s="8">
        <f t="shared" si="0"/>
        <v>233449.89057000002</v>
      </c>
    </row>
    <row r="14" spans="1:6" ht="18" customHeight="1" x14ac:dyDescent="0.25">
      <c r="A14" s="27" t="s">
        <v>15</v>
      </c>
      <c r="B14" s="28"/>
      <c r="C14" s="28"/>
      <c r="D14" s="28"/>
      <c r="E14" s="28"/>
      <c r="F14" s="29"/>
    </row>
    <row r="15" spans="1:6" ht="18" customHeight="1" x14ac:dyDescent="0.25">
      <c r="A15" s="2">
        <v>1</v>
      </c>
      <c r="B15" s="3" t="s">
        <v>16</v>
      </c>
      <c r="C15" s="4">
        <v>147450</v>
      </c>
      <c r="D15" s="4">
        <v>158139</v>
      </c>
      <c r="E15" s="5">
        <v>373.08199999999999</v>
      </c>
      <c r="F15" s="5">
        <v>4620.9340000000002</v>
      </c>
    </row>
    <row r="16" spans="1:6" ht="18" customHeight="1" x14ac:dyDescent="0.25">
      <c r="A16" s="2">
        <v>2</v>
      </c>
      <c r="B16" s="3" t="s">
        <v>17</v>
      </c>
      <c r="C16" s="4">
        <v>0</v>
      </c>
      <c r="D16" s="4">
        <v>0</v>
      </c>
      <c r="E16" s="5">
        <v>19453.661</v>
      </c>
      <c r="F16" s="5">
        <v>20066.925999999999</v>
      </c>
    </row>
    <row r="17" spans="1:6" ht="18" customHeight="1" x14ac:dyDescent="0.25">
      <c r="A17" s="2">
        <v>3</v>
      </c>
      <c r="B17" s="3" t="s">
        <v>18</v>
      </c>
      <c r="C17" s="4">
        <v>888883</v>
      </c>
      <c r="D17" s="4">
        <v>897250</v>
      </c>
      <c r="E17" s="5">
        <v>1706.405</v>
      </c>
      <c r="F17" s="5">
        <v>14384.217000000001</v>
      </c>
    </row>
    <row r="18" spans="1:6" ht="18" customHeight="1" x14ac:dyDescent="0.25">
      <c r="A18" s="2">
        <v>4</v>
      </c>
      <c r="B18" s="3" t="s">
        <v>19</v>
      </c>
      <c r="C18" s="4">
        <v>540750</v>
      </c>
      <c r="D18" s="4">
        <v>522278</v>
      </c>
      <c r="E18" s="5">
        <v>2114.3510000000001</v>
      </c>
      <c r="F18" s="5">
        <v>4234.9089999999997</v>
      </c>
    </row>
    <row r="19" spans="1:6" ht="18" customHeight="1" x14ac:dyDescent="0.25">
      <c r="A19" s="2">
        <v>5</v>
      </c>
      <c r="B19" s="3" t="s">
        <v>20</v>
      </c>
      <c r="C19" s="4">
        <v>63922</v>
      </c>
      <c r="D19" s="4">
        <v>66009</v>
      </c>
      <c r="E19" s="5">
        <v>2147.7930000000001</v>
      </c>
      <c r="F19" s="5">
        <v>3262.01</v>
      </c>
    </row>
    <row r="20" spans="1:6" ht="18" customHeight="1" x14ac:dyDescent="0.25">
      <c r="A20" s="2">
        <v>6</v>
      </c>
      <c r="B20" s="3" t="s">
        <v>21</v>
      </c>
      <c r="C20" s="4">
        <v>61977</v>
      </c>
      <c r="D20" s="4">
        <v>64464</v>
      </c>
      <c r="E20" s="5">
        <v>320.30500000000001</v>
      </c>
      <c r="F20" s="5">
        <v>755.4</v>
      </c>
    </row>
    <row r="21" spans="1:6" ht="18" customHeight="1" x14ac:dyDescent="0.25">
      <c r="A21" s="2">
        <v>7</v>
      </c>
      <c r="B21" s="3" t="s">
        <v>22</v>
      </c>
      <c r="C21" s="4">
        <v>5449</v>
      </c>
      <c r="D21" s="4">
        <v>6236</v>
      </c>
      <c r="E21" s="5">
        <v>1.2450000000000001</v>
      </c>
      <c r="F21" s="5">
        <v>44.685000000000002</v>
      </c>
    </row>
    <row r="22" spans="1:6" ht="18" customHeight="1" x14ac:dyDescent="0.25">
      <c r="A22" s="2">
        <v>8</v>
      </c>
      <c r="B22" s="3" t="s">
        <v>23</v>
      </c>
      <c r="C22" s="4">
        <v>195333</v>
      </c>
      <c r="D22" s="4">
        <v>199468</v>
      </c>
      <c r="E22" s="5">
        <v>2365.6370000000002</v>
      </c>
      <c r="F22" s="5">
        <v>3763.55</v>
      </c>
    </row>
    <row r="23" spans="1:6" ht="18" customHeight="1" x14ac:dyDescent="0.25">
      <c r="A23" s="2">
        <v>9</v>
      </c>
      <c r="B23" s="3" t="s">
        <v>24</v>
      </c>
      <c r="C23" s="4">
        <v>55688</v>
      </c>
      <c r="D23" s="4">
        <v>58358</v>
      </c>
      <c r="E23" s="5">
        <v>1796.7460000000001</v>
      </c>
      <c r="F23" s="5">
        <v>1882.9369999999999</v>
      </c>
    </row>
    <row r="24" spans="1:6" ht="18" customHeight="1" x14ac:dyDescent="0.25">
      <c r="A24" s="2">
        <v>10</v>
      </c>
      <c r="B24" s="3" t="s">
        <v>25</v>
      </c>
      <c r="C24" s="4">
        <v>228456</v>
      </c>
      <c r="D24" s="4">
        <v>240167</v>
      </c>
      <c r="E24" s="5">
        <v>11086.581</v>
      </c>
      <c r="F24" s="5">
        <v>13377.549000000001</v>
      </c>
    </row>
    <row r="25" spans="1:6" ht="18" customHeight="1" x14ac:dyDescent="0.25">
      <c r="A25" s="2">
        <v>11</v>
      </c>
      <c r="B25" s="3" t="s">
        <v>26</v>
      </c>
      <c r="C25" s="4">
        <v>11452</v>
      </c>
      <c r="D25" s="4">
        <v>12463</v>
      </c>
      <c r="E25" s="5">
        <v>12.484999999999999</v>
      </c>
      <c r="F25" s="5">
        <v>160.18700000000001</v>
      </c>
    </row>
    <row r="26" spans="1:6" ht="18" customHeight="1" x14ac:dyDescent="0.25">
      <c r="A26" s="2">
        <v>12</v>
      </c>
      <c r="B26" s="3" t="s">
        <v>27</v>
      </c>
      <c r="C26" s="4">
        <v>109144</v>
      </c>
      <c r="D26" s="4">
        <v>114268</v>
      </c>
      <c r="E26" s="5">
        <v>455.17200000000003</v>
      </c>
      <c r="F26" s="5">
        <v>4999.99</v>
      </c>
    </row>
    <row r="27" spans="1:6" ht="18" customHeight="1" x14ac:dyDescent="0.25">
      <c r="A27" s="2">
        <v>13</v>
      </c>
      <c r="B27" s="3" t="s">
        <v>28</v>
      </c>
      <c r="C27" s="4">
        <v>24352</v>
      </c>
      <c r="D27" s="4">
        <v>26446</v>
      </c>
      <c r="E27" s="5">
        <v>29.245999999999999</v>
      </c>
      <c r="F27" s="5">
        <v>278.06799999999998</v>
      </c>
    </row>
    <row r="28" spans="1:6" ht="18" customHeight="1" x14ac:dyDescent="0.25">
      <c r="A28" s="2">
        <v>14</v>
      </c>
      <c r="B28" s="3" t="s">
        <v>29</v>
      </c>
      <c r="C28" s="4">
        <v>92211</v>
      </c>
      <c r="D28" s="4">
        <v>100727</v>
      </c>
      <c r="E28" s="5">
        <v>5324.8190000000004</v>
      </c>
      <c r="F28" s="5">
        <v>3947.33</v>
      </c>
    </row>
    <row r="29" spans="1:6" ht="18" customHeight="1" x14ac:dyDescent="0.25">
      <c r="A29" s="2">
        <v>15</v>
      </c>
      <c r="B29" s="3" t="s">
        <v>30</v>
      </c>
      <c r="C29" s="4">
        <v>24513</v>
      </c>
      <c r="D29" s="4">
        <v>22415</v>
      </c>
      <c r="E29" s="5">
        <v>417.54899999999998</v>
      </c>
      <c r="F29" s="5">
        <v>1044.3309999999999</v>
      </c>
    </row>
    <row r="30" spans="1:6" ht="18" customHeight="1" x14ac:dyDescent="0.25">
      <c r="A30" s="2">
        <v>16</v>
      </c>
      <c r="B30" s="3" t="s">
        <v>31</v>
      </c>
      <c r="C30" s="4">
        <v>56388</v>
      </c>
      <c r="D30" s="4">
        <v>61966</v>
      </c>
      <c r="E30" s="5">
        <v>1939.365</v>
      </c>
      <c r="F30" s="5">
        <v>782.77099999999996</v>
      </c>
    </row>
    <row r="31" spans="1:6" ht="18" customHeight="1" x14ac:dyDescent="0.25">
      <c r="A31" s="2">
        <v>17</v>
      </c>
      <c r="B31" s="3" t="s">
        <v>32</v>
      </c>
      <c r="C31" s="4">
        <v>43324</v>
      </c>
      <c r="D31" s="4">
        <v>41007</v>
      </c>
      <c r="E31" s="5">
        <v>80.575999999999993</v>
      </c>
      <c r="F31" s="5">
        <v>902.09799999999996</v>
      </c>
    </row>
    <row r="32" spans="1:6" ht="18" customHeight="1" x14ac:dyDescent="0.25">
      <c r="A32" s="2">
        <v>18</v>
      </c>
      <c r="B32" s="3" t="s">
        <v>33</v>
      </c>
      <c r="C32" s="4">
        <v>85848</v>
      </c>
      <c r="D32" s="4">
        <v>80188</v>
      </c>
      <c r="E32" s="5">
        <v>9.8759999999999994</v>
      </c>
      <c r="F32" s="5">
        <v>92.200999999999993</v>
      </c>
    </row>
    <row r="33" spans="1:6" ht="18" customHeight="1" x14ac:dyDescent="0.25">
      <c r="A33" s="2">
        <v>19</v>
      </c>
      <c r="B33" s="3" t="s">
        <v>34</v>
      </c>
      <c r="C33" s="4">
        <v>22744</v>
      </c>
      <c r="D33" s="4">
        <v>22228</v>
      </c>
      <c r="E33" s="5">
        <v>0</v>
      </c>
      <c r="F33" s="5">
        <v>0</v>
      </c>
    </row>
    <row r="34" spans="1:6" ht="18" customHeight="1" x14ac:dyDescent="0.25">
      <c r="A34" s="2">
        <v>20</v>
      </c>
      <c r="B34" s="3" t="s">
        <v>35</v>
      </c>
      <c r="C34" s="4">
        <v>61221</v>
      </c>
      <c r="D34" s="4">
        <v>76846</v>
      </c>
      <c r="E34" s="5">
        <v>132.113</v>
      </c>
      <c r="F34" s="5">
        <v>442.625</v>
      </c>
    </row>
    <row r="35" spans="1:6" ht="18" customHeight="1" x14ac:dyDescent="0.25">
      <c r="A35" s="2">
        <v>21</v>
      </c>
      <c r="B35" s="3" t="s">
        <v>36</v>
      </c>
      <c r="C35" s="4">
        <v>480590</v>
      </c>
      <c r="D35" s="4">
        <v>521182</v>
      </c>
      <c r="E35" s="5">
        <v>17983.03</v>
      </c>
      <c r="F35" s="5">
        <v>36781.21</v>
      </c>
    </row>
    <row r="36" spans="1:6" ht="18" customHeight="1" x14ac:dyDescent="0.25">
      <c r="A36" s="2">
        <v>22</v>
      </c>
      <c r="B36" s="3" t="s">
        <v>37</v>
      </c>
      <c r="C36" s="4">
        <v>39937</v>
      </c>
      <c r="D36" s="4">
        <v>39296</v>
      </c>
      <c r="E36" s="5">
        <v>1581.7070000000001</v>
      </c>
      <c r="F36" s="5">
        <v>2270.9870000000001</v>
      </c>
    </row>
    <row r="37" spans="1:6" ht="18" customHeight="1" x14ac:dyDescent="0.25">
      <c r="A37" s="2">
        <v>23</v>
      </c>
      <c r="B37" s="3" t="s">
        <v>100</v>
      </c>
      <c r="C37" s="4">
        <v>3012</v>
      </c>
      <c r="D37" s="4">
        <v>2793</v>
      </c>
      <c r="E37" s="5">
        <v>0</v>
      </c>
      <c r="F37" s="5">
        <v>0</v>
      </c>
    </row>
    <row r="38" spans="1:6" ht="18" customHeight="1" x14ac:dyDescent="0.25">
      <c r="A38" s="2">
        <v>24</v>
      </c>
      <c r="B38" s="3" t="s">
        <v>38</v>
      </c>
      <c r="C38" s="4">
        <v>402701</v>
      </c>
      <c r="D38" s="4">
        <v>448497</v>
      </c>
      <c r="E38" s="5">
        <v>88158.678</v>
      </c>
      <c r="F38" s="5">
        <v>59343.059000000001</v>
      </c>
    </row>
    <row r="39" spans="1:6" ht="18" customHeight="1" x14ac:dyDescent="0.25">
      <c r="A39" s="2">
        <v>25</v>
      </c>
      <c r="B39" s="3" t="s">
        <v>39</v>
      </c>
      <c r="C39" s="4">
        <v>28688</v>
      </c>
      <c r="D39" s="4">
        <v>31192</v>
      </c>
      <c r="E39" s="5">
        <v>3272.732</v>
      </c>
      <c r="F39" s="5">
        <v>4345.232</v>
      </c>
    </row>
    <row r="40" spans="1:6" ht="18" customHeight="1" x14ac:dyDescent="0.25">
      <c r="A40" s="2">
        <v>26</v>
      </c>
      <c r="B40" s="3" t="s">
        <v>40</v>
      </c>
      <c r="C40" s="4">
        <v>123332</v>
      </c>
      <c r="D40" s="4">
        <v>127248</v>
      </c>
      <c r="E40" s="5">
        <v>3566.8</v>
      </c>
      <c r="F40" s="5">
        <v>5164.5870000000004</v>
      </c>
    </row>
    <row r="41" spans="1:6" ht="18" customHeight="1" x14ac:dyDescent="0.25">
      <c r="A41" s="2">
        <v>27</v>
      </c>
      <c r="B41" s="3" t="s">
        <v>101</v>
      </c>
      <c r="C41" s="4">
        <v>156219</v>
      </c>
      <c r="D41" s="4">
        <v>155911</v>
      </c>
      <c r="E41" s="5">
        <v>8234.3739999999998</v>
      </c>
      <c r="F41" s="5">
        <v>1223.701</v>
      </c>
    </row>
    <row r="42" spans="1:6" ht="18" customHeight="1" x14ac:dyDescent="0.25">
      <c r="A42" s="2">
        <v>28</v>
      </c>
      <c r="B42" s="3" t="s">
        <v>41</v>
      </c>
      <c r="C42" s="4">
        <v>115507</v>
      </c>
      <c r="D42" s="4">
        <v>121158</v>
      </c>
      <c r="E42" s="5">
        <v>2696.6930000000002</v>
      </c>
      <c r="F42" s="5">
        <v>3423.2869999999998</v>
      </c>
    </row>
    <row r="43" spans="1:6" ht="18" customHeight="1" x14ac:dyDescent="0.25">
      <c r="A43" s="2">
        <v>29</v>
      </c>
      <c r="B43" s="3" t="s">
        <v>42</v>
      </c>
      <c r="C43" s="4">
        <v>48702</v>
      </c>
      <c r="D43" s="4">
        <v>47451</v>
      </c>
      <c r="E43" s="5">
        <v>3.1739999999999999</v>
      </c>
      <c r="F43" s="5">
        <v>92.116</v>
      </c>
    </row>
    <row r="44" spans="1:6" ht="18" customHeight="1" x14ac:dyDescent="0.25">
      <c r="A44" s="2">
        <v>30</v>
      </c>
      <c r="B44" s="3" t="s">
        <v>43</v>
      </c>
      <c r="C44" s="4">
        <v>28763</v>
      </c>
      <c r="D44" s="4">
        <v>33103</v>
      </c>
      <c r="E44" s="5">
        <v>218.67699999999999</v>
      </c>
      <c r="F44" s="5">
        <v>596.22699999999998</v>
      </c>
    </row>
    <row r="45" spans="1:6" ht="18" customHeight="1" x14ac:dyDescent="0.25">
      <c r="A45" s="2">
        <v>31</v>
      </c>
      <c r="B45" s="3" t="s">
        <v>44</v>
      </c>
      <c r="C45" s="4">
        <v>26912</v>
      </c>
      <c r="D45" s="4">
        <v>30018</v>
      </c>
      <c r="E45" s="5">
        <v>991.49300000000005</v>
      </c>
      <c r="F45" s="5">
        <v>1761.155</v>
      </c>
    </row>
    <row r="46" spans="1:6" ht="18" customHeight="1" x14ac:dyDescent="0.25">
      <c r="A46" s="2">
        <v>32</v>
      </c>
      <c r="B46" s="3" t="s">
        <v>45</v>
      </c>
      <c r="C46" s="4">
        <v>2744488</v>
      </c>
      <c r="D46" s="4">
        <v>2822403</v>
      </c>
      <c r="E46" s="5">
        <v>68241.411999999997</v>
      </c>
      <c r="F46" s="5">
        <v>157070.77499999999</v>
      </c>
    </row>
    <row r="47" spans="1:6" ht="18" customHeight="1" x14ac:dyDescent="0.25">
      <c r="A47" s="2">
        <v>33</v>
      </c>
      <c r="B47" s="3" t="s">
        <v>46</v>
      </c>
      <c r="C47" s="4">
        <v>235520</v>
      </c>
      <c r="D47" s="4">
        <v>258880</v>
      </c>
      <c r="E47" s="5">
        <v>9367.1110000000008</v>
      </c>
      <c r="F47" s="5">
        <v>18537.629000000001</v>
      </c>
    </row>
    <row r="48" spans="1:6" ht="18" customHeight="1" x14ac:dyDescent="0.25">
      <c r="A48" s="2">
        <v>34</v>
      </c>
      <c r="B48" s="3" t="s">
        <v>47</v>
      </c>
      <c r="C48" s="4">
        <v>1105495</v>
      </c>
      <c r="D48" s="4">
        <v>1161165</v>
      </c>
      <c r="E48" s="5">
        <v>12464.5787</v>
      </c>
      <c r="F48" s="5">
        <v>22485.186000000002</v>
      </c>
    </row>
    <row r="49" spans="1:6" ht="18" customHeight="1" x14ac:dyDescent="0.25">
      <c r="A49" s="2">
        <v>35</v>
      </c>
      <c r="B49" s="3" t="s">
        <v>48</v>
      </c>
      <c r="C49" s="4">
        <v>0</v>
      </c>
      <c r="D49" s="4">
        <v>0</v>
      </c>
      <c r="E49" s="5">
        <v>14641.272000000001</v>
      </c>
      <c r="F49" s="5">
        <v>33076.461000000003</v>
      </c>
    </row>
    <row r="50" spans="1:6" ht="18" customHeight="1" x14ac:dyDescent="0.25">
      <c r="A50" s="2">
        <v>36</v>
      </c>
      <c r="B50" s="3" t="s">
        <v>49</v>
      </c>
      <c r="C50" s="4">
        <v>61210</v>
      </c>
      <c r="D50" s="4">
        <v>60469</v>
      </c>
      <c r="E50" s="5">
        <v>2455.998</v>
      </c>
      <c r="F50" s="5">
        <v>2707.779</v>
      </c>
    </row>
    <row r="51" spans="1:6" ht="18" customHeight="1" x14ac:dyDescent="0.25">
      <c r="A51" s="2">
        <v>37</v>
      </c>
      <c r="B51" s="3" t="s">
        <v>50</v>
      </c>
      <c r="C51" s="4">
        <v>249975</v>
      </c>
      <c r="D51" s="4">
        <v>257222</v>
      </c>
      <c r="E51" s="5">
        <v>194.72900000000001</v>
      </c>
      <c r="F51" s="5">
        <v>2442.0790000000002</v>
      </c>
    </row>
    <row r="52" spans="1:6" ht="18" customHeight="1" x14ac:dyDescent="0.25">
      <c r="A52" s="2">
        <v>38</v>
      </c>
      <c r="B52" s="3" t="s">
        <v>102</v>
      </c>
      <c r="C52" s="4">
        <v>4170</v>
      </c>
      <c r="D52" s="4">
        <v>5737</v>
      </c>
      <c r="E52" s="5">
        <v>0</v>
      </c>
      <c r="F52" s="5">
        <v>54.643000000000001</v>
      </c>
    </row>
    <row r="53" spans="1:6" ht="18" customHeight="1" x14ac:dyDescent="0.25">
      <c r="A53" s="2">
        <v>39</v>
      </c>
      <c r="B53" s="3" t="s">
        <v>51</v>
      </c>
      <c r="C53" s="4">
        <v>19975</v>
      </c>
      <c r="D53" s="4">
        <v>19305</v>
      </c>
      <c r="E53" s="5">
        <v>928.65099999999995</v>
      </c>
      <c r="F53" s="5">
        <v>1378.6469999999999</v>
      </c>
    </row>
    <row r="54" spans="1:6" ht="18" customHeight="1" x14ac:dyDescent="0.25">
      <c r="A54" s="2">
        <v>40</v>
      </c>
      <c r="B54" s="3" t="s">
        <v>52</v>
      </c>
      <c r="C54" s="4">
        <v>528940</v>
      </c>
      <c r="D54" s="4">
        <v>505205</v>
      </c>
      <c r="E54" s="5">
        <v>1052.991</v>
      </c>
      <c r="F54" s="5">
        <v>8359.3690000000006</v>
      </c>
    </row>
    <row r="55" spans="1:6" ht="18" customHeight="1" x14ac:dyDescent="0.25">
      <c r="A55" s="2">
        <v>41</v>
      </c>
      <c r="B55" s="3" t="s">
        <v>53</v>
      </c>
      <c r="C55" s="4">
        <v>15166</v>
      </c>
      <c r="D55" s="4">
        <v>13276</v>
      </c>
      <c r="E55" s="5">
        <v>140.22200000000001</v>
      </c>
      <c r="F55" s="5">
        <v>289.62200000000001</v>
      </c>
    </row>
    <row r="56" spans="1:6" ht="18" customHeight="1" x14ac:dyDescent="0.25">
      <c r="A56" s="2">
        <v>42</v>
      </c>
      <c r="B56" s="3" t="s">
        <v>54</v>
      </c>
      <c r="C56" s="4">
        <v>36544</v>
      </c>
      <c r="D56" s="4">
        <v>36132</v>
      </c>
      <c r="E56" s="5">
        <v>0</v>
      </c>
      <c r="F56" s="5">
        <v>0</v>
      </c>
    </row>
    <row r="57" spans="1:6" ht="18" customHeight="1" x14ac:dyDescent="0.25">
      <c r="A57" s="2">
        <v>43</v>
      </c>
      <c r="B57" s="3" t="s">
        <v>55</v>
      </c>
      <c r="C57" s="4">
        <v>44566</v>
      </c>
      <c r="D57" s="4">
        <v>45720</v>
      </c>
      <c r="E57" s="5">
        <v>107.50700000000001</v>
      </c>
      <c r="F57" s="5">
        <v>1109.807</v>
      </c>
    </row>
    <row r="58" spans="1:6" ht="18" customHeight="1" x14ac:dyDescent="0.25">
      <c r="A58" s="2">
        <v>44</v>
      </c>
      <c r="B58" s="3" t="s">
        <v>56</v>
      </c>
      <c r="C58" s="4">
        <v>55254</v>
      </c>
      <c r="D58" s="4">
        <v>60846</v>
      </c>
      <c r="E58" s="5">
        <v>5813.7759999999998</v>
      </c>
      <c r="F58" s="5">
        <v>3341.8</v>
      </c>
    </row>
    <row r="59" spans="1:6" ht="18" customHeight="1" x14ac:dyDescent="0.25">
      <c r="A59" s="2">
        <v>45</v>
      </c>
      <c r="B59" s="3" t="s">
        <v>57</v>
      </c>
      <c r="C59" s="4">
        <v>0</v>
      </c>
      <c r="D59" s="4">
        <v>0</v>
      </c>
      <c r="E59" s="5">
        <v>18239.403999999999</v>
      </c>
      <c r="F59" s="5">
        <v>17183.554</v>
      </c>
    </row>
    <row r="60" spans="1:6" ht="18" customHeight="1" x14ac:dyDescent="0.25">
      <c r="A60" s="15" t="s">
        <v>108</v>
      </c>
      <c r="B60" s="16"/>
      <c r="C60" s="16"/>
      <c r="D60" s="16"/>
      <c r="E60" s="16"/>
      <c r="F60" s="17"/>
    </row>
    <row r="61" spans="1:6" ht="18" customHeight="1" x14ac:dyDescent="0.25">
      <c r="A61" s="18" t="s">
        <v>0</v>
      </c>
      <c r="B61" s="19"/>
      <c r="C61" s="19"/>
      <c r="D61" s="19"/>
      <c r="E61" s="19"/>
      <c r="F61" s="20"/>
    </row>
    <row r="62" spans="1:6" ht="36.6" customHeight="1" x14ac:dyDescent="0.25">
      <c r="A62" s="21" t="s">
        <v>98</v>
      </c>
      <c r="B62" s="22"/>
      <c r="C62" s="22"/>
      <c r="D62" s="22"/>
      <c r="E62" s="22"/>
      <c r="F62" s="23"/>
    </row>
    <row r="63" spans="1:6" ht="18" customHeight="1" x14ac:dyDescent="0.25">
      <c r="A63" s="24" t="s">
        <v>1</v>
      </c>
      <c r="B63" s="25"/>
      <c r="C63" s="25"/>
      <c r="D63" s="25"/>
      <c r="E63" s="25"/>
      <c r="F63" s="26"/>
    </row>
    <row r="64" spans="1:6" ht="18" customHeight="1" x14ac:dyDescent="0.25">
      <c r="A64" s="11" t="s">
        <v>2</v>
      </c>
      <c r="B64" s="11" t="s">
        <v>3</v>
      </c>
      <c r="C64" s="11" t="s">
        <v>4</v>
      </c>
      <c r="D64" s="11" t="s">
        <v>5</v>
      </c>
      <c r="E64" s="11" t="s">
        <v>6</v>
      </c>
      <c r="F64" s="11" t="s">
        <v>7</v>
      </c>
    </row>
    <row r="65" spans="1:6" ht="18" customHeight="1" x14ac:dyDescent="0.25">
      <c r="A65" s="27" t="s">
        <v>8</v>
      </c>
      <c r="B65" s="28"/>
      <c r="C65" s="28"/>
      <c r="D65" s="28"/>
      <c r="E65" s="28"/>
      <c r="F65" s="29"/>
    </row>
    <row r="66" spans="1:6" ht="18" customHeight="1" x14ac:dyDescent="0.25">
      <c r="A66" s="2">
        <v>46</v>
      </c>
      <c r="B66" s="3" t="s">
        <v>58</v>
      </c>
      <c r="C66" s="4">
        <v>52646</v>
      </c>
      <c r="D66" s="4">
        <v>68944</v>
      </c>
      <c r="E66" s="5">
        <v>3.2549999999999999</v>
      </c>
      <c r="F66" s="5">
        <v>2521.605</v>
      </c>
    </row>
    <row r="67" spans="1:6" ht="18" customHeight="1" x14ac:dyDescent="0.25">
      <c r="A67" s="2">
        <v>47</v>
      </c>
      <c r="B67" s="3" t="s">
        <v>59</v>
      </c>
      <c r="C67" s="4">
        <v>97121</v>
      </c>
      <c r="D67" s="4">
        <v>99420</v>
      </c>
      <c r="E67" s="5">
        <v>76.891000000000005</v>
      </c>
      <c r="F67" s="5">
        <v>715.98900000000003</v>
      </c>
    </row>
    <row r="68" spans="1:6" ht="18" customHeight="1" x14ac:dyDescent="0.25">
      <c r="A68" s="2">
        <v>48</v>
      </c>
      <c r="B68" s="3" t="s">
        <v>60</v>
      </c>
      <c r="C68" s="4">
        <v>154998</v>
      </c>
      <c r="D68" s="4">
        <v>162003</v>
      </c>
      <c r="E68" s="5">
        <v>6914.152</v>
      </c>
      <c r="F68" s="5">
        <v>9326.3819999999996</v>
      </c>
    </row>
    <row r="69" spans="1:6" ht="18" customHeight="1" x14ac:dyDescent="0.25">
      <c r="A69" s="2">
        <v>49</v>
      </c>
      <c r="B69" s="3" t="s">
        <v>61</v>
      </c>
      <c r="C69" s="4">
        <v>65204</v>
      </c>
      <c r="D69" s="4">
        <v>69097</v>
      </c>
      <c r="E69" s="5">
        <v>2747.701</v>
      </c>
      <c r="F69" s="5">
        <v>1715.9839999999999</v>
      </c>
    </row>
    <row r="70" spans="1:6" ht="18" customHeight="1" x14ac:dyDescent="0.25">
      <c r="A70" s="2">
        <v>50</v>
      </c>
      <c r="B70" s="3" t="s">
        <v>62</v>
      </c>
      <c r="C70" s="4">
        <v>305597</v>
      </c>
      <c r="D70" s="4">
        <v>328857</v>
      </c>
      <c r="E70" s="5">
        <v>3936.1210000000001</v>
      </c>
      <c r="F70" s="5">
        <v>15255.806</v>
      </c>
    </row>
    <row r="71" spans="1:6" ht="18" customHeight="1" x14ac:dyDescent="0.25">
      <c r="A71" s="2">
        <v>51</v>
      </c>
      <c r="B71" s="3" t="s">
        <v>63</v>
      </c>
      <c r="C71" s="4">
        <v>624160</v>
      </c>
      <c r="D71" s="4">
        <v>653469</v>
      </c>
      <c r="E71" s="5">
        <v>39460.298000000003</v>
      </c>
      <c r="F71" s="5">
        <v>37608.148000000001</v>
      </c>
    </row>
    <row r="72" spans="1:6" ht="18" customHeight="1" x14ac:dyDescent="0.25">
      <c r="A72" s="2">
        <v>52</v>
      </c>
      <c r="B72" s="3" t="s">
        <v>64</v>
      </c>
      <c r="C72" s="4">
        <v>26315</v>
      </c>
      <c r="D72" s="4">
        <v>25164</v>
      </c>
      <c r="E72" s="5">
        <v>211.79900000000001</v>
      </c>
      <c r="F72" s="5">
        <v>1322.6020000000001</v>
      </c>
    </row>
    <row r="73" spans="1:6" ht="18" customHeight="1" x14ac:dyDescent="0.25">
      <c r="A73" s="2">
        <v>53</v>
      </c>
      <c r="B73" s="3" t="s">
        <v>65</v>
      </c>
      <c r="C73" s="4">
        <v>425728</v>
      </c>
      <c r="D73" s="4">
        <v>437800</v>
      </c>
      <c r="E73" s="5">
        <v>12261.537</v>
      </c>
      <c r="F73" s="5">
        <v>13066.468000000001</v>
      </c>
    </row>
    <row r="74" spans="1:6" ht="18" customHeight="1" x14ac:dyDescent="0.25">
      <c r="A74" s="2">
        <v>54</v>
      </c>
      <c r="B74" s="3" t="s">
        <v>66</v>
      </c>
      <c r="C74" s="4">
        <v>333142</v>
      </c>
      <c r="D74" s="4">
        <v>320425</v>
      </c>
      <c r="E74" s="5">
        <v>951.76499999999999</v>
      </c>
      <c r="F74" s="5">
        <v>658.22500000000002</v>
      </c>
    </row>
    <row r="75" spans="1:6" ht="18" customHeight="1" x14ac:dyDescent="0.25">
      <c r="A75" s="2">
        <v>55</v>
      </c>
      <c r="B75" s="3" t="s">
        <v>67</v>
      </c>
      <c r="C75" s="4">
        <v>20958</v>
      </c>
      <c r="D75" s="4">
        <v>21556</v>
      </c>
      <c r="E75" s="5">
        <v>0.873</v>
      </c>
      <c r="F75" s="5">
        <v>100.69799999999999</v>
      </c>
    </row>
    <row r="76" spans="1:6" ht="18" customHeight="1" x14ac:dyDescent="0.25">
      <c r="A76" s="2">
        <v>56</v>
      </c>
      <c r="B76" s="3" t="s">
        <v>68</v>
      </c>
      <c r="C76" s="4">
        <v>89331</v>
      </c>
      <c r="D76" s="4">
        <v>89995</v>
      </c>
      <c r="E76" s="5">
        <v>126.10599999999999</v>
      </c>
      <c r="F76" s="5">
        <v>771.39599999999996</v>
      </c>
    </row>
    <row r="77" spans="1:6" ht="18" customHeight="1" x14ac:dyDescent="0.25">
      <c r="A77" s="2">
        <v>57</v>
      </c>
      <c r="B77" s="3" t="s">
        <v>69</v>
      </c>
      <c r="C77" s="4">
        <v>22410</v>
      </c>
      <c r="D77" s="4">
        <v>25935</v>
      </c>
      <c r="E77" s="5">
        <v>0</v>
      </c>
      <c r="F77" s="5">
        <v>0</v>
      </c>
    </row>
    <row r="78" spans="1:6" ht="18" customHeight="1" x14ac:dyDescent="0.25">
      <c r="A78" s="2">
        <v>58</v>
      </c>
      <c r="B78" s="3" t="s">
        <v>70</v>
      </c>
      <c r="C78" s="4">
        <v>1085544</v>
      </c>
      <c r="D78" s="4">
        <v>1105508</v>
      </c>
      <c r="E78" s="5">
        <v>2050.4940000000001</v>
      </c>
      <c r="F78" s="5">
        <v>14382.171</v>
      </c>
    </row>
    <row r="79" spans="1:6" ht="18" customHeight="1" x14ac:dyDescent="0.25">
      <c r="A79" s="2">
        <v>59</v>
      </c>
      <c r="B79" s="3" t="s">
        <v>71</v>
      </c>
      <c r="C79" s="4">
        <v>1968</v>
      </c>
      <c r="D79" s="4">
        <v>3565</v>
      </c>
      <c r="E79" s="5">
        <v>0.51100000000000001</v>
      </c>
      <c r="F79" s="5">
        <v>0.77700000000000002</v>
      </c>
    </row>
    <row r="80" spans="1:6" ht="18" customHeight="1" x14ac:dyDescent="0.25">
      <c r="A80" s="2">
        <v>60</v>
      </c>
      <c r="B80" s="3" t="s">
        <v>72</v>
      </c>
      <c r="C80" s="4">
        <v>959886</v>
      </c>
      <c r="D80" s="4">
        <v>962552</v>
      </c>
      <c r="E80" s="5">
        <v>75688.86</v>
      </c>
      <c r="F80" s="5">
        <v>114075.00599999999</v>
      </c>
    </row>
    <row r="81" spans="1:6" ht="18" customHeight="1" x14ac:dyDescent="0.25">
      <c r="A81" s="2">
        <v>61</v>
      </c>
      <c r="B81" s="3" t="s">
        <v>73</v>
      </c>
      <c r="C81" s="4">
        <v>109615</v>
      </c>
      <c r="D81" s="4">
        <v>110962</v>
      </c>
      <c r="E81" s="5">
        <v>0</v>
      </c>
      <c r="F81" s="5">
        <v>431.971</v>
      </c>
    </row>
    <row r="82" spans="1:6" ht="18" customHeight="1" x14ac:dyDescent="0.25">
      <c r="A82" s="2">
        <v>62</v>
      </c>
      <c r="B82" s="3" t="s">
        <v>74</v>
      </c>
      <c r="C82" s="4">
        <v>52845</v>
      </c>
      <c r="D82" s="4">
        <v>53800</v>
      </c>
      <c r="E82" s="5">
        <v>24.286999999999999</v>
      </c>
      <c r="F82" s="5">
        <v>4.8</v>
      </c>
    </row>
    <row r="83" spans="1:6" ht="18" customHeight="1" x14ac:dyDescent="0.25">
      <c r="A83" s="2">
        <v>63</v>
      </c>
      <c r="B83" s="3" t="s">
        <v>75</v>
      </c>
      <c r="C83" s="4">
        <v>13050</v>
      </c>
      <c r="D83" s="4">
        <v>15060</v>
      </c>
      <c r="E83" s="5">
        <v>0</v>
      </c>
      <c r="F83" s="5">
        <v>0</v>
      </c>
    </row>
    <row r="84" spans="1:6" ht="18" customHeight="1" x14ac:dyDescent="0.25">
      <c r="A84" s="2">
        <v>64</v>
      </c>
      <c r="B84" s="3" t="s">
        <v>76</v>
      </c>
      <c r="C84" s="4">
        <v>783419</v>
      </c>
      <c r="D84" s="4">
        <v>789540</v>
      </c>
      <c r="E84" s="5">
        <v>5222.4620000000004</v>
      </c>
      <c r="F84" s="5">
        <v>27401.595000000001</v>
      </c>
    </row>
    <row r="85" spans="1:6" ht="18" customHeight="1" x14ac:dyDescent="0.25">
      <c r="A85" s="2">
        <v>65</v>
      </c>
      <c r="B85" s="3" t="s">
        <v>77</v>
      </c>
      <c r="C85" s="4">
        <v>4839</v>
      </c>
      <c r="D85" s="4">
        <v>5029</v>
      </c>
      <c r="E85" s="5">
        <v>0</v>
      </c>
      <c r="F85" s="5">
        <v>0</v>
      </c>
    </row>
    <row r="86" spans="1:6" ht="18" customHeight="1" x14ac:dyDescent="0.25">
      <c r="A86" s="2">
        <v>66</v>
      </c>
      <c r="B86" s="3" t="s">
        <v>78</v>
      </c>
      <c r="C86" s="4">
        <v>410386</v>
      </c>
      <c r="D86" s="4">
        <v>388886</v>
      </c>
      <c r="E86" s="5">
        <v>3144.6239999999998</v>
      </c>
      <c r="F86" s="5">
        <v>6602.0569999999998</v>
      </c>
    </row>
    <row r="87" spans="1:6" ht="18" customHeight="1" x14ac:dyDescent="0.25">
      <c r="A87" s="2">
        <v>67</v>
      </c>
      <c r="B87" s="3" t="s">
        <v>79</v>
      </c>
      <c r="C87" s="4">
        <v>18633</v>
      </c>
      <c r="D87" s="4">
        <v>21695</v>
      </c>
      <c r="E87" s="5">
        <v>0</v>
      </c>
      <c r="F87" s="5">
        <v>0</v>
      </c>
    </row>
    <row r="88" spans="1:6" ht="18" customHeight="1" x14ac:dyDescent="0.25">
      <c r="A88" s="2">
        <v>68</v>
      </c>
      <c r="B88" s="3" t="s">
        <v>80</v>
      </c>
      <c r="C88" s="4">
        <v>271247</v>
      </c>
      <c r="D88" s="4">
        <v>311910</v>
      </c>
      <c r="E88" s="5">
        <v>1050.8889999999999</v>
      </c>
      <c r="F88" s="5">
        <v>2980.1190000000001</v>
      </c>
    </row>
    <row r="89" spans="1:6" ht="18" customHeight="1" x14ac:dyDescent="0.25">
      <c r="A89" s="2">
        <v>69</v>
      </c>
      <c r="B89" s="3" t="s">
        <v>81</v>
      </c>
      <c r="C89" s="4">
        <v>701527</v>
      </c>
      <c r="D89" s="4">
        <v>756153</v>
      </c>
      <c r="E89" s="5">
        <v>36210.845000000001</v>
      </c>
      <c r="F89" s="5">
        <v>36531.504999999997</v>
      </c>
    </row>
    <row r="90" spans="1:6" ht="18" customHeight="1" x14ac:dyDescent="0.25">
      <c r="A90" s="2">
        <v>70</v>
      </c>
      <c r="B90" s="3" t="s">
        <v>103</v>
      </c>
      <c r="C90" s="4">
        <v>945976</v>
      </c>
      <c r="D90" s="4">
        <v>959604</v>
      </c>
      <c r="E90" s="5">
        <v>11206.109</v>
      </c>
      <c r="F90" s="5">
        <v>19990.437000000002</v>
      </c>
    </row>
    <row r="91" spans="1:6" ht="18" customHeight="1" x14ac:dyDescent="0.25">
      <c r="A91" s="2">
        <v>71</v>
      </c>
      <c r="B91" s="3" t="s">
        <v>82</v>
      </c>
      <c r="C91" s="4">
        <v>132578</v>
      </c>
      <c r="D91" s="4">
        <v>149156</v>
      </c>
      <c r="E91" s="5">
        <v>8884.2800000000007</v>
      </c>
      <c r="F91" s="5">
        <v>11342.074000000001</v>
      </c>
    </row>
    <row r="92" spans="1:6" ht="18" customHeight="1" x14ac:dyDescent="0.25">
      <c r="A92" s="2">
        <v>72</v>
      </c>
      <c r="B92" s="3" t="s">
        <v>83</v>
      </c>
      <c r="C92" s="4">
        <v>4337</v>
      </c>
      <c r="D92" s="4">
        <v>4548</v>
      </c>
      <c r="E92" s="5">
        <v>4.9850000000000003</v>
      </c>
      <c r="F92" s="5">
        <v>75.367000000000004</v>
      </c>
    </row>
    <row r="93" spans="1:6" ht="18" customHeight="1" x14ac:dyDescent="0.25">
      <c r="A93" s="2">
        <v>73</v>
      </c>
      <c r="B93" s="3" t="s">
        <v>84</v>
      </c>
      <c r="C93" s="4">
        <v>229261</v>
      </c>
      <c r="D93" s="4">
        <v>224766</v>
      </c>
      <c r="E93" s="5">
        <v>1670.4970000000001</v>
      </c>
      <c r="F93" s="5">
        <v>1478.5260000000001</v>
      </c>
    </row>
    <row r="94" spans="1:6" ht="18" customHeight="1" x14ac:dyDescent="0.25">
      <c r="A94" s="2">
        <v>74</v>
      </c>
      <c r="B94" s="3" t="s">
        <v>85</v>
      </c>
      <c r="C94" s="4">
        <v>695713</v>
      </c>
      <c r="D94" s="4">
        <v>753965</v>
      </c>
      <c r="E94" s="5">
        <v>31665.927</v>
      </c>
      <c r="F94" s="5">
        <v>26397.042000000001</v>
      </c>
    </row>
    <row r="95" spans="1:6" ht="18" customHeight="1" x14ac:dyDescent="0.25">
      <c r="A95" s="2">
        <v>75</v>
      </c>
      <c r="B95" s="3" t="s">
        <v>86</v>
      </c>
      <c r="C95" s="4">
        <v>27709</v>
      </c>
      <c r="D95" s="4">
        <v>27135</v>
      </c>
      <c r="E95" s="5">
        <v>150.792</v>
      </c>
      <c r="F95" s="5">
        <v>29.850999999999999</v>
      </c>
    </row>
    <row r="96" spans="1:6" ht="18" customHeight="1" x14ac:dyDescent="0.25">
      <c r="A96" s="2">
        <v>76</v>
      </c>
      <c r="B96" s="3" t="s">
        <v>87</v>
      </c>
      <c r="C96" s="4">
        <v>130480</v>
      </c>
      <c r="D96" s="4">
        <v>112732</v>
      </c>
      <c r="E96" s="5">
        <v>0</v>
      </c>
      <c r="F96" s="5">
        <v>0</v>
      </c>
    </row>
    <row r="97" spans="1:6" ht="18" customHeight="1" x14ac:dyDescent="0.25">
      <c r="A97" s="2">
        <v>77</v>
      </c>
      <c r="B97" s="3" t="s">
        <v>104</v>
      </c>
      <c r="C97" s="4">
        <v>38030</v>
      </c>
      <c r="D97" s="4">
        <v>38012</v>
      </c>
      <c r="E97" s="5">
        <v>0</v>
      </c>
      <c r="F97" s="5">
        <v>0</v>
      </c>
    </row>
    <row r="98" spans="1:6" ht="18" customHeight="1" x14ac:dyDescent="0.25">
      <c r="A98" s="2">
        <v>78</v>
      </c>
      <c r="B98" s="3" t="s">
        <v>88</v>
      </c>
      <c r="C98" s="4">
        <v>247296</v>
      </c>
      <c r="D98" s="4">
        <v>254344</v>
      </c>
      <c r="E98" s="5">
        <v>18921.171999999999</v>
      </c>
      <c r="F98" s="5">
        <v>21152.233</v>
      </c>
    </row>
    <row r="99" spans="1:6" ht="18" customHeight="1" x14ac:dyDescent="0.25">
      <c r="A99" s="2">
        <v>79</v>
      </c>
      <c r="B99" s="3" t="s">
        <v>89</v>
      </c>
      <c r="C99" s="4">
        <v>55173</v>
      </c>
      <c r="D99" s="4">
        <v>54319</v>
      </c>
      <c r="E99" s="5">
        <v>1.2470000000000001</v>
      </c>
      <c r="F99" s="5">
        <v>551.07299999999998</v>
      </c>
    </row>
    <row r="100" spans="1:6" ht="18" customHeight="1" x14ac:dyDescent="0.25">
      <c r="A100" s="2">
        <v>80</v>
      </c>
      <c r="B100" s="3" t="s">
        <v>105</v>
      </c>
      <c r="C100" s="4">
        <v>18825</v>
      </c>
      <c r="D100" s="4">
        <v>23653</v>
      </c>
      <c r="E100" s="5">
        <v>0</v>
      </c>
      <c r="F100" s="5">
        <v>0</v>
      </c>
    </row>
    <row r="101" spans="1:6" ht="18" customHeight="1" x14ac:dyDescent="0.25">
      <c r="A101" s="2">
        <v>81</v>
      </c>
      <c r="B101" s="3" t="s">
        <v>90</v>
      </c>
      <c r="C101" s="4">
        <v>178601</v>
      </c>
      <c r="D101" s="4">
        <v>178670</v>
      </c>
      <c r="E101" s="5">
        <v>1686.653</v>
      </c>
      <c r="F101" s="5">
        <v>4719.0609999999997</v>
      </c>
    </row>
    <row r="102" spans="1:6" ht="18" customHeight="1" x14ac:dyDescent="0.25">
      <c r="A102" s="2">
        <v>82</v>
      </c>
      <c r="B102" s="3" t="s">
        <v>91</v>
      </c>
      <c r="C102" s="4">
        <v>0</v>
      </c>
      <c r="D102" s="4">
        <v>0</v>
      </c>
      <c r="E102" s="5">
        <v>6309.0510000000004</v>
      </c>
      <c r="F102" s="5">
        <v>5841.4380000000001</v>
      </c>
    </row>
    <row r="103" spans="1:6" ht="18" customHeight="1" x14ac:dyDescent="0.25">
      <c r="A103" s="2">
        <v>83</v>
      </c>
      <c r="B103" s="3" t="s">
        <v>106</v>
      </c>
      <c r="C103" s="4">
        <v>84920</v>
      </c>
      <c r="D103" s="4">
        <v>82875</v>
      </c>
      <c r="E103" s="5">
        <v>179.97499999999999</v>
      </c>
      <c r="F103" s="5">
        <v>498.32299999999998</v>
      </c>
    </row>
    <row r="104" spans="1:6" ht="18" customHeight="1" x14ac:dyDescent="0.25">
      <c r="A104" s="2">
        <v>84</v>
      </c>
      <c r="B104" s="3" t="s">
        <v>92</v>
      </c>
      <c r="C104" s="4">
        <v>61113</v>
      </c>
      <c r="D104" s="4">
        <v>61619</v>
      </c>
      <c r="E104" s="5">
        <v>475.87700000000001</v>
      </c>
      <c r="F104" s="5">
        <v>2266.61</v>
      </c>
    </row>
    <row r="105" spans="1:6" ht="18" customHeight="1" x14ac:dyDescent="0.25">
      <c r="A105" s="2">
        <v>85</v>
      </c>
      <c r="B105" s="3" t="s">
        <v>93</v>
      </c>
      <c r="C105" s="4">
        <v>78741</v>
      </c>
      <c r="D105" s="4">
        <v>80413</v>
      </c>
      <c r="E105" s="5">
        <v>3475.741</v>
      </c>
      <c r="F105" s="5">
        <v>5559.6819999999998</v>
      </c>
    </row>
    <row r="106" spans="1:6" ht="18" customHeight="1" x14ac:dyDescent="0.25">
      <c r="A106" s="2">
        <v>86</v>
      </c>
      <c r="B106" s="3" t="s">
        <v>94</v>
      </c>
      <c r="C106" s="4">
        <v>8930</v>
      </c>
      <c r="D106" s="4">
        <v>8704</v>
      </c>
      <c r="E106" s="5">
        <v>0</v>
      </c>
      <c r="F106" s="5">
        <v>34.216999999999999</v>
      </c>
    </row>
    <row r="107" spans="1:6" ht="18" customHeight="1" x14ac:dyDescent="0.25">
      <c r="A107" s="35" t="s">
        <v>95</v>
      </c>
      <c r="B107" s="36"/>
      <c r="C107" s="9">
        <f>SUM(C15:C106)</f>
        <v>18843023</v>
      </c>
      <c r="D107" s="9">
        <f>SUM(D15:D106)</f>
        <v>19416972</v>
      </c>
      <c r="E107" s="10">
        <f>SUM(E15:E106)</f>
        <v>584837.79269999999</v>
      </c>
      <c r="F107" s="10">
        <f>SUM(F15:F106)</f>
        <v>847490.86799999955</v>
      </c>
    </row>
    <row r="108" spans="1:6" ht="18" customHeight="1" x14ac:dyDescent="0.25">
      <c r="A108" s="37" t="s">
        <v>96</v>
      </c>
      <c r="B108" s="38"/>
      <c r="C108" s="13">
        <f>C107+C13</f>
        <v>31630713</v>
      </c>
      <c r="D108" s="13">
        <f>D107+D13</f>
        <v>32246924</v>
      </c>
      <c r="E108" s="14">
        <f>E107+E13</f>
        <v>718306.14628273505</v>
      </c>
      <c r="F108" s="14">
        <f>F107+F13</f>
        <v>1080940.7585699996</v>
      </c>
    </row>
    <row r="109" spans="1:6" ht="18" customHeight="1" x14ac:dyDescent="0.25">
      <c r="A109" s="39" t="s">
        <v>107</v>
      </c>
      <c r="B109" s="40"/>
      <c r="C109" s="40"/>
      <c r="D109" s="40"/>
      <c r="E109" s="40"/>
      <c r="F109" s="41"/>
    </row>
    <row r="110" spans="1:6" ht="18" customHeight="1" x14ac:dyDescent="0.25">
      <c r="A110" s="32" t="s">
        <v>97</v>
      </c>
      <c r="B110" s="33"/>
      <c r="C110" s="33"/>
      <c r="D110" s="33"/>
      <c r="E110" s="33"/>
      <c r="F110" s="34"/>
    </row>
  </sheetData>
  <mergeCells count="16">
    <mergeCell ref="A110:F110"/>
    <mergeCell ref="A13:B13"/>
    <mergeCell ref="A14:F14"/>
    <mergeCell ref="A107:B107"/>
    <mergeCell ref="A108:B108"/>
    <mergeCell ref="A109:F109"/>
    <mergeCell ref="A1:F1"/>
    <mergeCell ref="A2:F2"/>
    <mergeCell ref="A3:F3"/>
    <mergeCell ref="A4:F4"/>
    <mergeCell ref="A6:F6"/>
    <mergeCell ref="A60:F60"/>
    <mergeCell ref="A61:F61"/>
    <mergeCell ref="A62:F62"/>
    <mergeCell ref="A63:F63"/>
    <mergeCell ref="A65:F65"/>
  </mergeCells>
  <pageMargins left="0.7" right="0.7" top="0.75" bottom="0.75" header="0.3" footer="0.3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Savitri-dgca</dc:creator>
  <cp:lastModifiedBy>acer</cp:lastModifiedBy>
  <cp:lastPrinted>2020-05-15T07:49:27Z</cp:lastPrinted>
  <dcterms:created xsi:type="dcterms:W3CDTF">2020-03-23T05:55:23Z</dcterms:created>
  <dcterms:modified xsi:type="dcterms:W3CDTF">2020-05-15T07:50:59Z</dcterms:modified>
</cp:coreProperties>
</file>