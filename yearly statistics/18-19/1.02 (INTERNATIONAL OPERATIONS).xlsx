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224"/>
  </bookViews>
  <sheets>
    <sheet name="1.02 (IO)" sheetId="1" r:id="rId1"/>
  </sheets>
  <definedNames>
    <definedName name="_xlnm._FilterDatabase" localSheetId="0" hidden="1">'1.02 (IO)'!#REF!</definedName>
    <definedName name="_xlnm.Print_Area" localSheetId="0">'1.02 (IO)'!$A$1:$H$66</definedName>
    <definedName name="_xlnm.Print_Titles" localSheetId="0">'1.02 (IO)'!$3:$6</definedName>
  </definedNames>
  <calcPr calcId="152511"/>
</workbook>
</file>

<file path=xl/calcChain.xml><?xml version="1.0" encoding="utf-8"?>
<calcChain xmlns="http://schemas.openxmlformats.org/spreadsheetml/2006/main">
  <c r="H59" i="1" l="1"/>
  <c r="H51" i="1"/>
  <c r="H43" i="1"/>
  <c r="H35" i="1"/>
  <c r="H27" i="1"/>
  <c r="H19" i="1"/>
  <c r="H11" i="1"/>
  <c r="H8" i="1"/>
  <c r="H9" i="1"/>
  <c r="H10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8" i="1"/>
  <c r="H29" i="1"/>
  <c r="H30" i="1"/>
  <c r="H31" i="1"/>
  <c r="H32" i="1"/>
  <c r="H33" i="1"/>
  <c r="H34" i="1"/>
  <c r="H36" i="1"/>
  <c r="H37" i="1"/>
  <c r="H38" i="1"/>
  <c r="H39" i="1"/>
  <c r="H40" i="1"/>
  <c r="H41" i="1"/>
  <c r="H42" i="1"/>
  <c r="H44" i="1"/>
  <c r="H45" i="1"/>
  <c r="H46" i="1"/>
  <c r="H47" i="1"/>
  <c r="H48" i="1"/>
  <c r="H49" i="1"/>
  <c r="H50" i="1"/>
  <c r="H52" i="1"/>
  <c r="H53" i="1"/>
  <c r="H54" i="1"/>
  <c r="H55" i="1"/>
  <c r="H56" i="1"/>
  <c r="H57" i="1"/>
  <c r="H58" i="1"/>
  <c r="H60" i="1"/>
  <c r="H61" i="1"/>
  <c r="H62" i="1"/>
  <c r="H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7" i="1"/>
  <c r="D63" i="1" l="1"/>
  <c r="E63" i="1"/>
  <c r="F63" i="1"/>
  <c r="G63" i="1"/>
  <c r="H63" i="1"/>
  <c r="C63" i="1"/>
</calcChain>
</file>

<file path=xl/sharedStrings.xml><?xml version="1.0" encoding="utf-8"?>
<sst xmlns="http://schemas.openxmlformats.org/spreadsheetml/2006/main" count="74" uniqueCount="70">
  <si>
    <t>COUNTRY</t>
  </si>
  <si>
    <t>FREIGHT</t>
  </si>
  <si>
    <t>TO INDIA</t>
  </si>
  <si>
    <t>FROM INDIA</t>
  </si>
  <si>
    <t>TOTAL</t>
  </si>
  <si>
    <t>SL. No.</t>
  </si>
  <si>
    <t>*UNITED ARAB EMIRATES includes Ajman, Dubai, Fujairah, Ras al-Khaimah, Sharjah, Umm al-Quwain.</t>
  </si>
  <si>
    <t>(PASSENGERS IN NUMBER AND FREIGHT IN TONNES)</t>
  </si>
  <si>
    <t>PASSENGERS</t>
  </si>
  <si>
    <t>SOURCE :- MONTHLY TRAFFIC STATISTICS FURNISHED BY ALL SCHEDULED INDIAN AND FOREIGN CARRIERS.</t>
  </si>
  <si>
    <t>सारणी 1.02 (अन्तर्राष्ट्रीय प्रचालन)</t>
  </si>
  <si>
    <t>TABLE 1.02 (INTERNATIONAL OPERATIONS)</t>
  </si>
  <si>
    <t>NOTE: 1. THIS TABLE DOES NOT INCLUDE PASSENGERS AND FREIGHT CARRIED BY SCHEDULED DOMESTIC AIRLINES ENTIRELY OUTSIDE THE
                   INDIAN TERRITORY.</t>
  </si>
  <si>
    <t>COUNTRYWISE SCHEDULED INTERNATIONAL PASSENGERS AND FREIGHT CARRIED BY ALL SCHEDULED DOMESTIC AND FOREIGN AIRLINES DURING 2018-19</t>
  </si>
  <si>
    <t>AFGHANISTAN</t>
  </si>
  <si>
    <t>AUSTRALIA</t>
  </si>
  <si>
    <t>AUSTRIA</t>
  </si>
  <si>
    <t>BAHRAIN</t>
  </si>
  <si>
    <t>BANGLADESH</t>
  </si>
  <si>
    <t>BELGIUM</t>
  </si>
  <si>
    <t>BHUTAN</t>
  </si>
  <si>
    <t>BURMA</t>
  </si>
  <si>
    <t>CANADA</t>
  </si>
  <si>
    <t>CHINA</t>
  </si>
  <si>
    <t>DENMARK</t>
  </si>
  <si>
    <t>EGYPT</t>
  </si>
  <si>
    <t>ETHIOPIA</t>
  </si>
  <si>
    <t>FINLAND</t>
  </si>
  <si>
    <t>FRANCE</t>
  </si>
  <si>
    <t>GERMANY</t>
  </si>
  <si>
    <t>HONG KONG</t>
  </si>
  <si>
    <t>INDONESIA</t>
  </si>
  <si>
    <t>IRAN</t>
  </si>
  <si>
    <t>IRAQ</t>
  </si>
  <si>
    <t>ISRAEL</t>
  </si>
  <si>
    <t>ITALY</t>
  </si>
  <si>
    <t>JAPAN</t>
  </si>
  <si>
    <t>KAZAKHSTAN</t>
  </si>
  <si>
    <t>KENYA</t>
  </si>
  <si>
    <t>KOREA</t>
  </si>
  <si>
    <t>KUWAIT</t>
  </si>
  <si>
    <t>KYRGYZSTAN</t>
  </si>
  <si>
    <t>MALAYSIA</t>
  </si>
  <si>
    <t>MALDIVES</t>
  </si>
  <si>
    <t>MAURITIUS</t>
  </si>
  <si>
    <t>NEPAL</t>
  </si>
  <si>
    <t>NETHERLANDS</t>
  </si>
  <si>
    <t>OMAN</t>
  </si>
  <si>
    <t>PAKISTAN</t>
  </si>
  <si>
    <t>QATAR</t>
  </si>
  <si>
    <t>REUNION</t>
  </si>
  <si>
    <t>RUSSIA</t>
  </si>
  <si>
    <t>RWANDA</t>
  </si>
  <si>
    <t>SAUDI ARABIA</t>
  </si>
  <si>
    <t>SEYCHELLES</t>
  </si>
  <si>
    <t>SINGAPORE</t>
  </si>
  <si>
    <t>SPAIN</t>
  </si>
  <si>
    <t>SRI LANKA</t>
  </si>
  <si>
    <t>SWEDEN</t>
  </si>
  <si>
    <t>SWITZERLAND</t>
  </si>
  <si>
    <t>TAIWAN</t>
  </si>
  <si>
    <t>TAJIKISTAN</t>
  </si>
  <si>
    <t>THAILAND</t>
  </si>
  <si>
    <t>TURKEY</t>
  </si>
  <si>
    <t>TURKMENISTAN</t>
  </si>
  <si>
    <t>UNITED ARAB EMIRATES</t>
  </si>
  <si>
    <t>UNITED KINGDOM</t>
  </si>
  <si>
    <t>UNITED STATES</t>
  </si>
  <si>
    <t>UZBEKISTAN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</si>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</sst>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4"/>
      <name val="APS-C-DV-Akanksha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vertical="center"/>
    </xf>
    <xf numFmtId="3" fontId="7" fillId="4" borderId="1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2"/>
  <sheetViews>
    <sheetView tabSelected="1" topLeftCell="A51" zoomScaleNormal="100" zoomScaleSheetLayoutView="79" workbookViewId="0">
      <selection sqref="A1:H66"/>
    </sheetView>
  </sheetViews>
  <sheetFormatPr defaultRowHeight="14.4"/>
  <cols>
    <col min="1" max="1" width="8.6640625" customWidth="1"/>
    <col min="2" max="2" width="30.109375" customWidth="1"/>
    <col min="3" max="3" width="20.109375" style="1" customWidth="1"/>
    <col min="4" max="8" width="20.109375" customWidth="1"/>
    <col min="10" max="13" width="16.6640625" customWidth="1"/>
  </cols>
  <sheetData>
    <row r="1" spans="1:8" ht="39" customHeight="1">
      <c r="A1" s="23" t="s">
        <v>10</v>
      </c>
      <c r="B1" s="24"/>
      <c r="C1" s="24"/>
      <c r="D1" s="24"/>
      <c r="E1" s="24"/>
      <c r="F1" s="24"/>
      <c r="G1" s="24"/>
      <c r="H1" s="25"/>
    </row>
    <row r="2" spans="1:8" ht="32.25" customHeight="1">
      <c r="A2" s="26" t="s">
        <v>11</v>
      </c>
      <c r="B2" s="27"/>
      <c r="C2" s="27"/>
      <c r="D2" s="27"/>
      <c r="E2" s="27"/>
      <c r="F2" s="27"/>
      <c r="G2" s="27"/>
      <c r="H2" s="28"/>
    </row>
    <row r="3" spans="1:8" ht="47.25" customHeight="1">
      <c r="A3" s="20" t="s">
        <v>13</v>
      </c>
      <c r="B3" s="21"/>
      <c r="C3" s="21"/>
      <c r="D3" s="21"/>
      <c r="E3" s="21"/>
      <c r="F3" s="21"/>
      <c r="G3" s="21"/>
      <c r="H3" s="22"/>
    </row>
    <row r="4" spans="1:8" ht="26.25" customHeight="1">
      <c r="A4" s="29" t="s">
        <v>7</v>
      </c>
      <c r="B4" s="30"/>
      <c r="C4" s="30"/>
      <c r="D4" s="30"/>
      <c r="E4" s="30"/>
      <c r="F4" s="30"/>
      <c r="G4" s="30"/>
      <c r="H4" s="31"/>
    </row>
    <row r="5" spans="1:8" s="2" customFormat="1" ht="27" customHeight="1">
      <c r="A5" s="34" t="s">
        <v>5</v>
      </c>
      <c r="B5" s="35" t="s">
        <v>0</v>
      </c>
      <c r="C5" s="32" t="s">
        <v>8</v>
      </c>
      <c r="D5" s="32"/>
      <c r="E5" s="32"/>
      <c r="F5" s="32" t="s">
        <v>1</v>
      </c>
      <c r="G5" s="32"/>
      <c r="H5" s="33"/>
    </row>
    <row r="6" spans="1:8" s="3" customFormat="1" ht="27" customHeight="1">
      <c r="A6" s="34"/>
      <c r="B6" s="35"/>
      <c r="C6" s="5" t="s">
        <v>2</v>
      </c>
      <c r="D6" s="6" t="s">
        <v>3</v>
      </c>
      <c r="E6" s="6" t="s">
        <v>4</v>
      </c>
      <c r="F6" s="6" t="s">
        <v>2</v>
      </c>
      <c r="G6" s="6" t="s">
        <v>3</v>
      </c>
      <c r="H6" s="10" t="s">
        <v>4</v>
      </c>
    </row>
    <row r="7" spans="1:8" s="4" customFormat="1" ht="21" customHeight="1">
      <c r="A7" s="11">
        <v>1</v>
      </c>
      <c r="B7" s="39" t="s">
        <v>14</v>
      </c>
      <c r="C7" s="36">
        <v>143440</v>
      </c>
      <c r="D7" s="36">
        <v>154089</v>
      </c>
      <c r="E7" s="36">
        <f>C7+D7</f>
        <v>297529</v>
      </c>
      <c r="F7" s="37">
        <v>1274.1892927350002</v>
      </c>
      <c r="G7" s="37">
        <v>5260.1386199999997</v>
      </c>
      <c r="H7" s="38">
        <f>F7+G7</f>
        <v>6534.3279127349997</v>
      </c>
    </row>
    <row r="8" spans="1:8" s="4" customFormat="1" ht="21" customHeight="1">
      <c r="A8" s="11">
        <v>2</v>
      </c>
      <c r="B8" s="39" t="s">
        <v>15</v>
      </c>
      <c r="C8" s="36">
        <v>80437</v>
      </c>
      <c r="D8" s="36">
        <v>91143</v>
      </c>
      <c r="E8" s="36">
        <f t="shared" ref="E8:E62" si="0">C8+D8</f>
        <v>171580</v>
      </c>
      <c r="F8" s="37">
        <v>1352.3665000000001</v>
      </c>
      <c r="G8" s="37">
        <v>1748.1073000000001</v>
      </c>
      <c r="H8" s="38">
        <f t="shared" ref="H8:H62" si="1">F8+G8</f>
        <v>3100.4738000000002</v>
      </c>
    </row>
    <row r="9" spans="1:8" s="4" customFormat="1" ht="21" customHeight="1">
      <c r="A9" s="11">
        <v>3</v>
      </c>
      <c r="B9" s="39" t="s">
        <v>16</v>
      </c>
      <c r="C9" s="36">
        <v>40748</v>
      </c>
      <c r="D9" s="36">
        <v>34528</v>
      </c>
      <c r="E9" s="36">
        <f t="shared" si="0"/>
        <v>75276</v>
      </c>
      <c r="F9" s="37">
        <v>1030.4774</v>
      </c>
      <c r="G9" s="37">
        <v>629.66980000000001</v>
      </c>
      <c r="H9" s="38">
        <f t="shared" si="1"/>
        <v>1660.1471999999999</v>
      </c>
    </row>
    <row r="10" spans="1:8" s="4" customFormat="1" ht="21" customHeight="1">
      <c r="A10" s="11">
        <v>4</v>
      </c>
      <c r="B10" s="39" t="s">
        <v>17</v>
      </c>
      <c r="C10" s="36">
        <v>650184</v>
      </c>
      <c r="D10" s="36">
        <v>628618</v>
      </c>
      <c r="E10" s="36">
        <f t="shared" si="0"/>
        <v>1278802</v>
      </c>
      <c r="F10" s="37">
        <v>5889.6914999999999</v>
      </c>
      <c r="G10" s="37">
        <v>9443.5210999999999</v>
      </c>
      <c r="H10" s="38">
        <f t="shared" si="1"/>
        <v>15333.212599999999</v>
      </c>
    </row>
    <row r="11" spans="1:8" s="4" customFormat="1" ht="21" customHeight="1">
      <c r="A11" s="11">
        <v>5</v>
      </c>
      <c r="B11" s="39" t="s">
        <v>18</v>
      </c>
      <c r="C11" s="36">
        <v>594287</v>
      </c>
      <c r="D11" s="36">
        <v>626681</v>
      </c>
      <c r="E11" s="36">
        <f t="shared" si="0"/>
        <v>1220968</v>
      </c>
      <c r="F11" s="37">
        <v>2855.5146</v>
      </c>
      <c r="G11" s="37">
        <v>6428.1463599999997</v>
      </c>
      <c r="H11" s="38">
        <f t="shared" si="1"/>
        <v>9283.6609599999992</v>
      </c>
    </row>
    <row r="12" spans="1:8" s="4" customFormat="1" ht="21" customHeight="1">
      <c r="A12" s="11">
        <v>6</v>
      </c>
      <c r="B12" s="39" t="s">
        <v>19</v>
      </c>
      <c r="C12" s="36">
        <v>39937</v>
      </c>
      <c r="D12" s="36">
        <v>39296</v>
      </c>
      <c r="E12" s="36">
        <f t="shared" si="0"/>
        <v>79233</v>
      </c>
      <c r="F12" s="37">
        <v>1581.7070000000001</v>
      </c>
      <c r="G12" s="37">
        <v>2270.9870000000001</v>
      </c>
      <c r="H12" s="38">
        <f t="shared" si="1"/>
        <v>3852.6940000000004</v>
      </c>
    </row>
    <row r="13" spans="1:8" s="4" customFormat="1" ht="21" customHeight="1">
      <c r="A13" s="11">
        <v>7</v>
      </c>
      <c r="B13" s="39" t="s">
        <v>20</v>
      </c>
      <c r="C13" s="36">
        <v>62254</v>
      </c>
      <c r="D13" s="36">
        <v>61083</v>
      </c>
      <c r="E13" s="36">
        <f t="shared" si="0"/>
        <v>123337</v>
      </c>
      <c r="F13" s="37">
        <v>3.1739999999999999</v>
      </c>
      <c r="G13" s="37">
        <v>92.116</v>
      </c>
      <c r="H13" s="38">
        <f t="shared" si="1"/>
        <v>95.29</v>
      </c>
    </row>
    <row r="14" spans="1:8" s="4" customFormat="1" ht="21" customHeight="1">
      <c r="A14" s="11">
        <v>8</v>
      </c>
      <c r="B14" s="39" t="s">
        <v>21</v>
      </c>
      <c r="C14" s="36">
        <v>34532</v>
      </c>
      <c r="D14" s="36">
        <v>34047</v>
      </c>
      <c r="E14" s="36">
        <f t="shared" si="0"/>
        <v>68579</v>
      </c>
      <c r="F14" s="37">
        <v>1.153</v>
      </c>
      <c r="G14" s="37">
        <v>243.41749999999999</v>
      </c>
      <c r="H14" s="38">
        <f t="shared" si="1"/>
        <v>244.57049999999998</v>
      </c>
    </row>
    <row r="15" spans="1:8" s="4" customFormat="1" ht="21" customHeight="1">
      <c r="A15" s="11">
        <v>9</v>
      </c>
      <c r="B15" s="39" t="s">
        <v>22</v>
      </c>
      <c r="C15" s="36">
        <v>235395</v>
      </c>
      <c r="D15" s="36">
        <v>242895</v>
      </c>
      <c r="E15" s="36">
        <f t="shared" si="0"/>
        <v>478290</v>
      </c>
      <c r="F15" s="37">
        <v>2476.6541000000002</v>
      </c>
      <c r="G15" s="37">
        <v>3908.1350000000002</v>
      </c>
      <c r="H15" s="38">
        <f t="shared" si="1"/>
        <v>6384.7891</v>
      </c>
    </row>
    <row r="16" spans="1:8" s="4" customFormat="1" ht="21" customHeight="1">
      <c r="A16" s="11">
        <v>10</v>
      </c>
      <c r="B16" s="39" t="s">
        <v>23</v>
      </c>
      <c r="C16" s="36">
        <v>406181</v>
      </c>
      <c r="D16" s="36">
        <v>410727</v>
      </c>
      <c r="E16" s="36">
        <f t="shared" si="0"/>
        <v>816908</v>
      </c>
      <c r="F16" s="37">
        <v>28805.966</v>
      </c>
      <c r="G16" s="37">
        <v>12571.937300000001</v>
      </c>
      <c r="H16" s="38">
        <f t="shared" si="1"/>
        <v>41377.903300000005</v>
      </c>
    </row>
    <row r="17" spans="1:8" s="4" customFormat="1" ht="21" customHeight="1">
      <c r="A17" s="11">
        <v>11</v>
      </c>
      <c r="B17" s="39" t="s">
        <v>24</v>
      </c>
      <c r="C17" s="36">
        <v>38934</v>
      </c>
      <c r="D17" s="36">
        <v>36808</v>
      </c>
      <c r="E17" s="36">
        <f t="shared" si="0"/>
        <v>75742</v>
      </c>
      <c r="F17" s="37">
        <v>998.10789999999997</v>
      </c>
      <c r="G17" s="37">
        <v>1399.3039000000001</v>
      </c>
      <c r="H17" s="38">
        <f t="shared" si="1"/>
        <v>2397.4117999999999</v>
      </c>
    </row>
    <row r="18" spans="1:8" s="4" customFormat="1" ht="21" customHeight="1">
      <c r="A18" s="11">
        <v>12</v>
      </c>
      <c r="B18" s="39" t="s">
        <v>25</v>
      </c>
      <c r="C18" s="36">
        <v>28763</v>
      </c>
      <c r="D18" s="36">
        <v>33103</v>
      </c>
      <c r="E18" s="36">
        <f t="shared" si="0"/>
        <v>61866</v>
      </c>
      <c r="F18" s="37">
        <v>218.67699999999999</v>
      </c>
      <c r="G18" s="37">
        <v>596.22699999999998</v>
      </c>
      <c r="H18" s="38">
        <f t="shared" si="1"/>
        <v>814.904</v>
      </c>
    </row>
    <row r="19" spans="1:8" s="4" customFormat="1" ht="21" customHeight="1">
      <c r="A19" s="11">
        <v>13</v>
      </c>
      <c r="B19" s="39" t="s">
        <v>26</v>
      </c>
      <c r="C19" s="36">
        <v>235520</v>
      </c>
      <c r="D19" s="36">
        <v>258880</v>
      </c>
      <c r="E19" s="36">
        <f t="shared" si="0"/>
        <v>494400</v>
      </c>
      <c r="F19" s="37">
        <v>2528.3000000000002</v>
      </c>
      <c r="G19" s="37">
        <v>18537.629000000001</v>
      </c>
      <c r="H19" s="38">
        <f t="shared" si="1"/>
        <v>21065.929</v>
      </c>
    </row>
    <row r="20" spans="1:8" s="4" customFormat="1" ht="21" customHeight="1">
      <c r="A20" s="11">
        <v>14</v>
      </c>
      <c r="B20" s="39" t="s">
        <v>27</v>
      </c>
      <c r="C20" s="36">
        <v>61210</v>
      </c>
      <c r="D20" s="36">
        <v>60469</v>
      </c>
      <c r="E20" s="36">
        <f t="shared" si="0"/>
        <v>121679</v>
      </c>
      <c r="F20" s="37">
        <v>2455.998</v>
      </c>
      <c r="G20" s="37">
        <v>2707.779</v>
      </c>
      <c r="H20" s="38">
        <f t="shared" si="1"/>
        <v>5163.777</v>
      </c>
    </row>
    <row r="21" spans="1:8" s="4" customFormat="1" ht="21" customHeight="1">
      <c r="A21" s="11">
        <v>15</v>
      </c>
      <c r="B21" s="39" t="s">
        <v>28</v>
      </c>
      <c r="C21" s="36">
        <v>455763</v>
      </c>
      <c r="D21" s="36">
        <v>480569</v>
      </c>
      <c r="E21" s="36">
        <f t="shared" si="0"/>
        <v>936332</v>
      </c>
      <c r="F21" s="37">
        <v>23704.773799999999</v>
      </c>
      <c r="G21" s="37">
        <v>25980.097100000003</v>
      </c>
      <c r="H21" s="38">
        <f t="shared" si="1"/>
        <v>49684.870900000002</v>
      </c>
    </row>
    <row r="22" spans="1:8" s="4" customFormat="1" ht="21" customHeight="1">
      <c r="A22" s="11">
        <v>16</v>
      </c>
      <c r="B22" s="39" t="s">
        <v>29</v>
      </c>
      <c r="C22" s="36">
        <v>721973</v>
      </c>
      <c r="D22" s="36">
        <v>741444</v>
      </c>
      <c r="E22" s="36">
        <f t="shared" si="0"/>
        <v>1463417</v>
      </c>
      <c r="F22" s="37">
        <v>54067.231599999999</v>
      </c>
      <c r="G22" s="37">
        <v>82132.537400000001</v>
      </c>
      <c r="H22" s="38">
        <f t="shared" si="1"/>
        <v>136199.769</v>
      </c>
    </row>
    <row r="23" spans="1:8" s="4" customFormat="1" ht="21" customHeight="1">
      <c r="A23" s="11">
        <v>17</v>
      </c>
      <c r="B23" s="39" t="s">
        <v>30</v>
      </c>
      <c r="C23" s="36">
        <v>753618</v>
      </c>
      <c r="D23" s="36">
        <v>815625</v>
      </c>
      <c r="E23" s="36">
        <f t="shared" si="0"/>
        <v>1569243</v>
      </c>
      <c r="F23" s="37">
        <v>117928.01648000001</v>
      </c>
      <c r="G23" s="37">
        <v>70271.665340000007</v>
      </c>
      <c r="H23" s="38">
        <f t="shared" si="1"/>
        <v>188199.68182</v>
      </c>
    </row>
    <row r="24" spans="1:8" s="4" customFormat="1" ht="21" customHeight="1">
      <c r="A24" s="11">
        <v>18</v>
      </c>
      <c r="B24" s="39" t="s">
        <v>31</v>
      </c>
      <c r="C24" s="36">
        <v>19975</v>
      </c>
      <c r="D24" s="36">
        <v>19305</v>
      </c>
      <c r="E24" s="36">
        <f t="shared" si="0"/>
        <v>39280</v>
      </c>
      <c r="F24" s="37">
        <v>928.65099999999995</v>
      </c>
      <c r="G24" s="37">
        <v>1378.6469999999999</v>
      </c>
      <c r="H24" s="38">
        <f t="shared" si="1"/>
        <v>2307.2979999999998</v>
      </c>
    </row>
    <row r="25" spans="1:8" s="4" customFormat="1" ht="21" customHeight="1">
      <c r="A25" s="11">
        <v>19</v>
      </c>
      <c r="B25" s="39" t="s">
        <v>32</v>
      </c>
      <c r="C25" s="36">
        <v>41481</v>
      </c>
      <c r="D25" s="36">
        <v>38440</v>
      </c>
      <c r="E25" s="36">
        <f t="shared" si="0"/>
        <v>79921</v>
      </c>
      <c r="F25" s="37">
        <v>352.02100000000002</v>
      </c>
      <c r="G25" s="37">
        <v>1612.2239999999999</v>
      </c>
      <c r="H25" s="38">
        <f t="shared" si="1"/>
        <v>1964.2449999999999</v>
      </c>
    </row>
    <row r="26" spans="1:8" s="4" customFormat="1" ht="21" customHeight="1">
      <c r="A26" s="11">
        <v>20</v>
      </c>
      <c r="B26" s="39" t="s">
        <v>33</v>
      </c>
      <c r="C26" s="36">
        <v>37000</v>
      </c>
      <c r="D26" s="36">
        <v>36577</v>
      </c>
      <c r="E26" s="36">
        <f t="shared" si="0"/>
        <v>73577</v>
      </c>
      <c r="F26" s="37">
        <v>0</v>
      </c>
      <c r="G26" s="37">
        <v>0</v>
      </c>
      <c r="H26" s="38">
        <f t="shared" si="1"/>
        <v>0</v>
      </c>
    </row>
    <row r="27" spans="1:8" s="4" customFormat="1" ht="21" customHeight="1">
      <c r="A27" s="11">
        <v>21</v>
      </c>
      <c r="B27" s="39" t="s">
        <v>34</v>
      </c>
      <c r="C27" s="36">
        <v>68016</v>
      </c>
      <c r="D27" s="36">
        <v>70535</v>
      </c>
      <c r="E27" s="36">
        <f t="shared" si="0"/>
        <v>138551</v>
      </c>
      <c r="F27" s="37">
        <v>2127.1792</v>
      </c>
      <c r="G27" s="37">
        <v>2779.0329999999999</v>
      </c>
      <c r="H27" s="38">
        <f t="shared" si="1"/>
        <v>4906.2121999999999</v>
      </c>
    </row>
    <row r="28" spans="1:8" s="4" customFormat="1" ht="21" customHeight="1">
      <c r="A28" s="11">
        <v>22</v>
      </c>
      <c r="B28" s="39" t="s">
        <v>35</v>
      </c>
      <c r="C28" s="36">
        <v>80913</v>
      </c>
      <c r="D28" s="36">
        <v>72042</v>
      </c>
      <c r="E28" s="36">
        <f t="shared" si="0"/>
        <v>152955</v>
      </c>
      <c r="F28" s="37">
        <v>4300.8711000000003</v>
      </c>
      <c r="G28" s="37">
        <v>4365.9075000000003</v>
      </c>
      <c r="H28" s="38">
        <f t="shared" si="1"/>
        <v>8666.7786000000015</v>
      </c>
    </row>
    <row r="29" spans="1:8" s="4" customFormat="1" ht="21" customHeight="1">
      <c r="A29" s="11">
        <v>23</v>
      </c>
      <c r="B29" s="39" t="s">
        <v>36</v>
      </c>
      <c r="C29" s="36">
        <v>193302</v>
      </c>
      <c r="D29" s="36">
        <v>211541</v>
      </c>
      <c r="E29" s="36">
        <f t="shared" si="0"/>
        <v>404843</v>
      </c>
      <c r="F29" s="37">
        <v>13547.3532</v>
      </c>
      <c r="G29" s="37">
        <v>9220.2840999999989</v>
      </c>
      <c r="H29" s="38">
        <f t="shared" si="1"/>
        <v>22767.637299999999</v>
      </c>
    </row>
    <row r="30" spans="1:8" s="4" customFormat="1" ht="21" customHeight="1">
      <c r="A30" s="11">
        <v>24</v>
      </c>
      <c r="B30" s="39" t="s">
        <v>37</v>
      </c>
      <c r="C30" s="36">
        <v>66816</v>
      </c>
      <c r="D30" s="36">
        <v>69493</v>
      </c>
      <c r="E30" s="36">
        <f t="shared" si="0"/>
        <v>136309</v>
      </c>
      <c r="F30" s="37">
        <v>320.30500000000001</v>
      </c>
      <c r="G30" s="37">
        <v>755.4</v>
      </c>
      <c r="H30" s="38">
        <f t="shared" si="1"/>
        <v>1075.7049999999999</v>
      </c>
    </row>
    <row r="31" spans="1:8" s="4" customFormat="1" ht="21" customHeight="1">
      <c r="A31" s="11">
        <v>25</v>
      </c>
      <c r="B31" s="39" t="s">
        <v>38</v>
      </c>
      <c r="C31" s="36">
        <v>97121</v>
      </c>
      <c r="D31" s="36">
        <v>99420</v>
      </c>
      <c r="E31" s="36">
        <f t="shared" si="0"/>
        <v>196541</v>
      </c>
      <c r="F31" s="37">
        <v>76.891000000000005</v>
      </c>
      <c r="G31" s="37">
        <v>715.98900000000003</v>
      </c>
      <c r="H31" s="38">
        <f t="shared" si="1"/>
        <v>792.88</v>
      </c>
    </row>
    <row r="32" spans="1:8" s="4" customFormat="1" ht="21" customHeight="1">
      <c r="A32" s="11">
        <v>26</v>
      </c>
      <c r="B32" s="39" t="s">
        <v>39</v>
      </c>
      <c r="C32" s="36">
        <v>132518</v>
      </c>
      <c r="D32" s="36">
        <v>142602</v>
      </c>
      <c r="E32" s="36">
        <f t="shared" si="0"/>
        <v>275120</v>
      </c>
      <c r="F32" s="37">
        <v>5263.7190000000001</v>
      </c>
      <c r="G32" s="37">
        <v>3402.4976000000001</v>
      </c>
      <c r="H32" s="38">
        <f t="shared" si="1"/>
        <v>8666.2165999999997</v>
      </c>
    </row>
    <row r="33" spans="1:8" s="4" customFormat="1" ht="21" customHeight="1">
      <c r="A33" s="11">
        <v>27</v>
      </c>
      <c r="B33" s="39" t="s">
        <v>40</v>
      </c>
      <c r="C33" s="36">
        <v>554352</v>
      </c>
      <c r="D33" s="36">
        <v>583570</v>
      </c>
      <c r="E33" s="36">
        <f t="shared" si="0"/>
        <v>1137922</v>
      </c>
      <c r="F33" s="37">
        <v>4279.7745999999997</v>
      </c>
      <c r="G33" s="37">
        <v>17422.258200000004</v>
      </c>
      <c r="H33" s="38">
        <f t="shared" si="1"/>
        <v>21702.032800000004</v>
      </c>
    </row>
    <row r="34" spans="1:8" s="4" customFormat="1" ht="21" customHeight="1">
      <c r="A34" s="11">
        <v>28</v>
      </c>
      <c r="B34" s="39" t="s">
        <v>41</v>
      </c>
      <c r="C34" s="36">
        <v>11452</v>
      </c>
      <c r="D34" s="36">
        <v>12463</v>
      </c>
      <c r="E34" s="36">
        <f t="shared" si="0"/>
        <v>23915</v>
      </c>
      <c r="F34" s="37">
        <v>12.484999999999999</v>
      </c>
      <c r="G34" s="37">
        <v>160.18700000000001</v>
      </c>
      <c r="H34" s="38">
        <f t="shared" si="1"/>
        <v>172.67200000000003</v>
      </c>
    </row>
    <row r="35" spans="1:8" s="4" customFormat="1" ht="21" customHeight="1">
      <c r="A35" s="11">
        <v>29</v>
      </c>
      <c r="B35" s="39" t="s">
        <v>42</v>
      </c>
      <c r="C35" s="36">
        <v>1483854</v>
      </c>
      <c r="D35" s="36">
        <v>1461651</v>
      </c>
      <c r="E35" s="36">
        <f t="shared" si="0"/>
        <v>2945505</v>
      </c>
      <c r="F35" s="37">
        <v>17619.377</v>
      </c>
      <c r="G35" s="37">
        <v>21344.468000000001</v>
      </c>
      <c r="H35" s="38">
        <f t="shared" si="1"/>
        <v>38963.845000000001</v>
      </c>
    </row>
    <row r="36" spans="1:8" s="4" customFormat="1" ht="21" customHeight="1">
      <c r="A36" s="11">
        <v>30</v>
      </c>
      <c r="B36" s="39" t="s">
        <v>43</v>
      </c>
      <c r="C36" s="36">
        <v>157565</v>
      </c>
      <c r="D36" s="36">
        <v>162262</v>
      </c>
      <c r="E36" s="36">
        <f t="shared" si="0"/>
        <v>319827</v>
      </c>
      <c r="F36" s="37">
        <v>8.7115999999999989</v>
      </c>
      <c r="G36" s="37">
        <v>2756.9989599999999</v>
      </c>
      <c r="H36" s="38">
        <f t="shared" si="1"/>
        <v>2765.71056</v>
      </c>
    </row>
    <row r="37" spans="1:8" s="4" customFormat="1" ht="21" customHeight="1">
      <c r="A37" s="11">
        <v>31</v>
      </c>
      <c r="B37" s="39" t="s">
        <v>44</v>
      </c>
      <c r="C37" s="36">
        <v>109144</v>
      </c>
      <c r="D37" s="36">
        <v>114268</v>
      </c>
      <c r="E37" s="36">
        <f t="shared" si="0"/>
        <v>223412</v>
      </c>
      <c r="F37" s="37">
        <v>455.17200000000003</v>
      </c>
      <c r="G37" s="37">
        <v>4999.99</v>
      </c>
      <c r="H37" s="38">
        <f t="shared" si="1"/>
        <v>5455.1620000000003</v>
      </c>
    </row>
    <row r="38" spans="1:8" s="4" customFormat="1" ht="21" customHeight="1">
      <c r="A38" s="11">
        <v>32</v>
      </c>
      <c r="B38" s="39" t="s">
        <v>45</v>
      </c>
      <c r="C38" s="36">
        <v>478960</v>
      </c>
      <c r="D38" s="36">
        <v>488552</v>
      </c>
      <c r="E38" s="36">
        <f t="shared" si="0"/>
        <v>967512</v>
      </c>
      <c r="F38" s="37">
        <v>536.54849999999999</v>
      </c>
      <c r="G38" s="37">
        <v>2221.17434</v>
      </c>
      <c r="H38" s="38">
        <f t="shared" si="1"/>
        <v>2757.7228399999999</v>
      </c>
    </row>
    <row r="39" spans="1:8" s="4" customFormat="1" ht="21" customHeight="1">
      <c r="A39" s="11">
        <v>33</v>
      </c>
      <c r="B39" s="39" t="s">
        <v>46</v>
      </c>
      <c r="C39" s="36">
        <v>402512</v>
      </c>
      <c r="D39" s="36">
        <v>433159</v>
      </c>
      <c r="E39" s="36">
        <f t="shared" si="0"/>
        <v>835671</v>
      </c>
      <c r="F39" s="37">
        <v>21311.018399999997</v>
      </c>
      <c r="G39" s="37">
        <v>25016.441930000001</v>
      </c>
      <c r="H39" s="38">
        <f t="shared" si="1"/>
        <v>46327.460330000002</v>
      </c>
    </row>
    <row r="40" spans="1:8" s="4" customFormat="1" ht="21" customHeight="1">
      <c r="A40" s="11">
        <v>34</v>
      </c>
      <c r="B40" s="39" t="s">
        <v>47</v>
      </c>
      <c r="C40" s="36">
        <v>1760863</v>
      </c>
      <c r="D40" s="36">
        <v>1758612</v>
      </c>
      <c r="E40" s="36">
        <f t="shared" si="0"/>
        <v>3519475</v>
      </c>
      <c r="F40" s="37">
        <v>2664.6529999999998</v>
      </c>
      <c r="G40" s="37">
        <v>21450.562579999998</v>
      </c>
      <c r="H40" s="38">
        <f t="shared" si="1"/>
        <v>24115.215579999996</v>
      </c>
    </row>
    <row r="41" spans="1:8" s="4" customFormat="1" ht="21" customHeight="1">
      <c r="A41" s="11">
        <v>35</v>
      </c>
      <c r="B41" s="39" t="s">
        <v>48</v>
      </c>
      <c r="C41" s="36">
        <v>1968</v>
      </c>
      <c r="D41" s="36">
        <v>3565</v>
      </c>
      <c r="E41" s="36">
        <f t="shared" si="0"/>
        <v>5533</v>
      </c>
      <c r="F41" s="37">
        <v>0.51100000000000001</v>
      </c>
      <c r="G41" s="37">
        <v>0.77700000000000002</v>
      </c>
      <c r="H41" s="38">
        <f t="shared" si="1"/>
        <v>1.288</v>
      </c>
    </row>
    <row r="42" spans="1:8" s="4" customFormat="1" ht="21" customHeight="1">
      <c r="A42" s="11">
        <v>36</v>
      </c>
      <c r="B42" s="39" t="s">
        <v>49</v>
      </c>
      <c r="C42" s="36">
        <v>1721206</v>
      </c>
      <c r="D42" s="36">
        <v>1749023</v>
      </c>
      <c r="E42" s="36">
        <f t="shared" si="0"/>
        <v>3470229</v>
      </c>
      <c r="F42" s="37">
        <v>76324.200299999997</v>
      </c>
      <c r="G42" s="37">
        <v>126435.39452</v>
      </c>
      <c r="H42" s="38">
        <f t="shared" si="1"/>
        <v>202759.59482</v>
      </c>
    </row>
    <row r="43" spans="1:8" s="4" customFormat="1" ht="21" customHeight="1">
      <c r="A43" s="11">
        <v>37</v>
      </c>
      <c r="B43" s="39" t="s">
        <v>50</v>
      </c>
      <c r="C43" s="36">
        <v>5449</v>
      </c>
      <c r="D43" s="36">
        <v>6236</v>
      </c>
      <c r="E43" s="36">
        <f t="shared" si="0"/>
        <v>11685</v>
      </c>
      <c r="F43" s="37">
        <v>1.2450000000000001</v>
      </c>
      <c r="G43" s="37">
        <v>44.685000000000002</v>
      </c>
      <c r="H43" s="38">
        <f t="shared" si="1"/>
        <v>45.93</v>
      </c>
    </row>
    <row r="44" spans="1:8" s="4" customFormat="1" ht="21" customHeight="1">
      <c r="A44" s="11">
        <v>38</v>
      </c>
      <c r="B44" s="39" t="s">
        <v>51</v>
      </c>
      <c r="C44" s="36">
        <v>200295</v>
      </c>
      <c r="D44" s="36">
        <v>211939</v>
      </c>
      <c r="E44" s="36">
        <f t="shared" si="0"/>
        <v>412234</v>
      </c>
      <c r="F44" s="37">
        <v>397.36900000000003</v>
      </c>
      <c r="G44" s="37">
        <v>4625.7340000000004</v>
      </c>
      <c r="H44" s="38">
        <f t="shared" si="1"/>
        <v>5023.1030000000001</v>
      </c>
    </row>
    <row r="45" spans="1:8" s="4" customFormat="1" ht="21" customHeight="1">
      <c r="A45" s="11">
        <v>39</v>
      </c>
      <c r="B45" s="39" t="s">
        <v>52</v>
      </c>
      <c r="C45" s="36">
        <v>13050</v>
      </c>
      <c r="D45" s="36">
        <v>15060</v>
      </c>
      <c r="E45" s="36">
        <f t="shared" si="0"/>
        <v>28110</v>
      </c>
      <c r="F45" s="37">
        <v>0</v>
      </c>
      <c r="G45" s="37">
        <v>0</v>
      </c>
      <c r="H45" s="38">
        <f t="shared" si="1"/>
        <v>0</v>
      </c>
    </row>
    <row r="46" spans="1:8" s="4" customFormat="1" ht="21" customHeight="1">
      <c r="A46" s="11">
        <v>40</v>
      </c>
      <c r="B46" s="39" t="s">
        <v>53</v>
      </c>
      <c r="C46" s="36">
        <v>1607914</v>
      </c>
      <c r="D46" s="36">
        <v>1557682</v>
      </c>
      <c r="E46" s="36">
        <f t="shared" si="0"/>
        <v>3165596</v>
      </c>
      <c r="F46" s="37">
        <v>8842.8208000000013</v>
      </c>
      <c r="G46" s="37">
        <v>41908.247240000004</v>
      </c>
      <c r="H46" s="38">
        <f t="shared" si="1"/>
        <v>50751.068040000006</v>
      </c>
    </row>
    <row r="47" spans="1:8" s="4" customFormat="1" ht="21" customHeight="1">
      <c r="A47" s="11">
        <v>41</v>
      </c>
      <c r="B47" s="39" t="s">
        <v>54</v>
      </c>
      <c r="C47" s="36">
        <v>24352</v>
      </c>
      <c r="D47" s="36">
        <v>26446</v>
      </c>
      <c r="E47" s="36">
        <f t="shared" si="0"/>
        <v>50798</v>
      </c>
      <c r="F47" s="37">
        <v>29.245999999999999</v>
      </c>
      <c r="G47" s="37">
        <v>278.06799999999998</v>
      </c>
      <c r="H47" s="38">
        <f t="shared" si="1"/>
        <v>307.31399999999996</v>
      </c>
    </row>
    <row r="48" spans="1:8" s="4" customFormat="1" ht="21" customHeight="1">
      <c r="A48" s="11">
        <v>42</v>
      </c>
      <c r="B48" s="39" t="s">
        <v>55</v>
      </c>
      <c r="C48" s="36">
        <v>2365340</v>
      </c>
      <c r="D48" s="36">
        <v>2467784</v>
      </c>
      <c r="E48" s="36">
        <f t="shared" si="0"/>
        <v>4833124</v>
      </c>
      <c r="F48" s="37">
        <v>61855.679099999994</v>
      </c>
      <c r="G48" s="37">
        <v>67114.81925</v>
      </c>
      <c r="H48" s="38">
        <f t="shared" si="1"/>
        <v>128970.49834999999</v>
      </c>
    </row>
    <row r="49" spans="1:16" s="4" customFormat="1" ht="21" customHeight="1">
      <c r="A49" s="11">
        <v>43</v>
      </c>
      <c r="B49" s="39" t="s">
        <v>56</v>
      </c>
      <c r="C49" s="36">
        <v>28410</v>
      </c>
      <c r="D49" s="36">
        <v>26588</v>
      </c>
      <c r="E49" s="36">
        <f t="shared" si="0"/>
        <v>54998</v>
      </c>
      <c r="F49" s="37">
        <v>638.80979999999988</v>
      </c>
      <c r="G49" s="37">
        <v>1340.6069000000002</v>
      </c>
      <c r="H49" s="38">
        <f t="shared" si="1"/>
        <v>1979.4167000000002</v>
      </c>
    </row>
    <row r="50" spans="1:16" s="4" customFormat="1" ht="21" customHeight="1">
      <c r="A50" s="11">
        <v>44</v>
      </c>
      <c r="B50" s="39" t="s">
        <v>57</v>
      </c>
      <c r="C50" s="36">
        <v>1385938</v>
      </c>
      <c r="D50" s="36">
        <v>1411448</v>
      </c>
      <c r="E50" s="36">
        <f t="shared" si="0"/>
        <v>2797386</v>
      </c>
      <c r="F50" s="37">
        <v>15141.69982</v>
      </c>
      <c r="G50" s="37">
        <v>22041.442350000001</v>
      </c>
      <c r="H50" s="38">
        <f t="shared" si="1"/>
        <v>37183.142169999999</v>
      </c>
    </row>
    <row r="51" spans="1:16" s="4" customFormat="1" ht="21" customHeight="1">
      <c r="A51" s="11">
        <v>45</v>
      </c>
      <c r="B51" s="39" t="s">
        <v>58</v>
      </c>
      <c r="C51" s="36">
        <v>30574</v>
      </c>
      <c r="D51" s="36">
        <v>32157</v>
      </c>
      <c r="E51" s="36">
        <f t="shared" si="0"/>
        <v>62731</v>
      </c>
      <c r="F51" s="37">
        <v>675.58040000000005</v>
      </c>
      <c r="G51" s="37">
        <v>856.26350000000002</v>
      </c>
      <c r="H51" s="38">
        <f t="shared" si="1"/>
        <v>1531.8439000000001</v>
      </c>
    </row>
    <row r="52" spans="1:16" s="4" customFormat="1" ht="21" customHeight="1">
      <c r="A52" s="11">
        <v>46</v>
      </c>
      <c r="B52" s="39" t="s">
        <v>59</v>
      </c>
      <c r="C52" s="36">
        <v>132578</v>
      </c>
      <c r="D52" s="36">
        <v>149156</v>
      </c>
      <c r="E52" s="36">
        <f t="shared" si="0"/>
        <v>281734</v>
      </c>
      <c r="F52" s="37">
        <v>8884.2800000000007</v>
      </c>
      <c r="G52" s="37">
        <v>11342.074000000001</v>
      </c>
      <c r="H52" s="38">
        <f t="shared" si="1"/>
        <v>20226.353999999999</v>
      </c>
    </row>
    <row r="53" spans="1:16" s="4" customFormat="1" ht="21" customHeight="1">
      <c r="A53" s="11">
        <v>47</v>
      </c>
      <c r="B53" s="39" t="s">
        <v>60</v>
      </c>
      <c r="C53" s="36">
        <v>28688</v>
      </c>
      <c r="D53" s="36">
        <v>31192</v>
      </c>
      <c r="E53" s="36">
        <f t="shared" si="0"/>
        <v>59880</v>
      </c>
      <c r="F53" s="37">
        <v>3414.02</v>
      </c>
      <c r="G53" s="37">
        <v>1352.7270000000001</v>
      </c>
      <c r="H53" s="38">
        <f t="shared" si="1"/>
        <v>4766.7470000000003</v>
      </c>
    </row>
    <row r="54" spans="1:16" s="4" customFormat="1" ht="21" customHeight="1">
      <c r="A54" s="11">
        <v>48</v>
      </c>
      <c r="B54" s="39" t="s">
        <v>61</v>
      </c>
      <c r="C54" s="36">
        <v>4337</v>
      </c>
      <c r="D54" s="36">
        <v>4548</v>
      </c>
      <c r="E54" s="36">
        <f t="shared" si="0"/>
        <v>8885</v>
      </c>
      <c r="F54" s="37">
        <v>4.9850000000000003</v>
      </c>
      <c r="G54" s="37">
        <v>75.367000000000004</v>
      </c>
      <c r="H54" s="38">
        <f t="shared" si="1"/>
        <v>80.352000000000004</v>
      </c>
    </row>
    <row r="55" spans="1:16" s="4" customFormat="1" ht="21" customHeight="1">
      <c r="A55" s="11">
        <v>49</v>
      </c>
      <c r="B55" s="39" t="s">
        <v>62</v>
      </c>
      <c r="C55" s="36">
        <v>2043947</v>
      </c>
      <c r="D55" s="36">
        <v>2046785</v>
      </c>
      <c r="E55" s="36">
        <f t="shared" si="0"/>
        <v>4090732</v>
      </c>
      <c r="F55" s="37">
        <v>48623.69094</v>
      </c>
      <c r="G55" s="37">
        <v>37699.427320000003</v>
      </c>
      <c r="H55" s="38">
        <f t="shared" si="1"/>
        <v>86323.118260000003</v>
      </c>
    </row>
    <row r="56" spans="1:16" s="4" customFormat="1" ht="21" customHeight="1">
      <c r="A56" s="11">
        <v>50</v>
      </c>
      <c r="B56" s="39" t="s">
        <v>63</v>
      </c>
      <c r="C56" s="36">
        <v>247902</v>
      </c>
      <c r="D56" s="36">
        <v>255329</v>
      </c>
      <c r="E56" s="36">
        <f t="shared" si="0"/>
        <v>503231</v>
      </c>
      <c r="F56" s="37">
        <v>18923.543000000001</v>
      </c>
      <c r="G56" s="37">
        <v>21155.507000000001</v>
      </c>
      <c r="H56" s="38">
        <f t="shared" si="1"/>
        <v>40079.050000000003</v>
      </c>
    </row>
    <row r="57" spans="1:16" s="4" customFormat="1" ht="21" customHeight="1">
      <c r="A57" s="11">
        <v>51</v>
      </c>
      <c r="B57" s="39" t="s">
        <v>64</v>
      </c>
      <c r="C57" s="36">
        <v>55173</v>
      </c>
      <c r="D57" s="36">
        <v>54319</v>
      </c>
      <c r="E57" s="36">
        <f t="shared" si="0"/>
        <v>109492</v>
      </c>
      <c r="F57" s="37">
        <v>1.2470000000000001</v>
      </c>
      <c r="G57" s="37">
        <v>551.07299999999998</v>
      </c>
      <c r="H57" s="38">
        <f t="shared" si="1"/>
        <v>552.31999999999994</v>
      </c>
    </row>
    <row r="58" spans="1:16" s="4" customFormat="1" ht="21" customHeight="1">
      <c r="A58" s="11">
        <v>52</v>
      </c>
      <c r="B58" s="39" t="s">
        <v>65</v>
      </c>
      <c r="C58" s="36">
        <v>9375586</v>
      </c>
      <c r="D58" s="36">
        <v>9504733</v>
      </c>
      <c r="E58" s="36">
        <f t="shared" si="0"/>
        <v>18880319</v>
      </c>
      <c r="F58" s="37">
        <v>94976.600299999976</v>
      </c>
      <c r="G58" s="37">
        <v>273777.88581000001</v>
      </c>
      <c r="H58" s="38">
        <f t="shared" si="1"/>
        <v>368754.48611</v>
      </c>
    </row>
    <row r="59" spans="1:16" s="4" customFormat="1" ht="27" customHeight="1">
      <c r="A59" s="11">
        <v>53</v>
      </c>
      <c r="B59" s="39" t="s">
        <v>66</v>
      </c>
      <c r="C59" s="36">
        <v>1403059</v>
      </c>
      <c r="D59" s="36">
        <v>1460450</v>
      </c>
      <c r="E59" s="36">
        <f t="shared" si="0"/>
        <v>2863509</v>
      </c>
      <c r="F59" s="37">
        <v>48713.064549999996</v>
      </c>
      <c r="G59" s="37">
        <v>89776.107649999991</v>
      </c>
      <c r="H59" s="38">
        <f t="shared" si="1"/>
        <v>138489.17219999997</v>
      </c>
    </row>
    <row r="60" spans="1:16" ht="23.25" customHeight="1">
      <c r="A60" s="11">
        <v>54</v>
      </c>
      <c r="B60" s="39" t="s">
        <v>67</v>
      </c>
      <c r="C60" s="36">
        <v>605884</v>
      </c>
      <c r="D60" s="36">
        <v>637664</v>
      </c>
      <c r="E60" s="36">
        <f t="shared" si="0"/>
        <v>1243548</v>
      </c>
      <c r="F60" s="37">
        <v>9404.9485000000041</v>
      </c>
      <c r="G60" s="37">
        <v>14440.247100000004</v>
      </c>
      <c r="H60" s="38">
        <f t="shared" si="1"/>
        <v>23845.195600000006</v>
      </c>
      <c r="I60" s="4"/>
    </row>
    <row r="61" spans="1:16" ht="22.5" customHeight="1">
      <c r="A61" s="11">
        <v>55</v>
      </c>
      <c r="B61" s="39" t="s">
        <v>68</v>
      </c>
      <c r="C61" s="36">
        <v>61113</v>
      </c>
      <c r="D61" s="36">
        <v>61619</v>
      </c>
      <c r="E61" s="36">
        <f t="shared" si="0"/>
        <v>122732</v>
      </c>
      <c r="F61" s="37">
        <v>475.87700000000001</v>
      </c>
      <c r="G61" s="37">
        <v>2266.61</v>
      </c>
      <c r="H61" s="38">
        <f t="shared" si="1"/>
        <v>2742.4870000000001</v>
      </c>
      <c r="I61" s="4"/>
    </row>
    <row r="62" spans="1:16" ht="22.5" customHeight="1">
      <c r="A62" s="11">
        <v>56</v>
      </c>
      <c r="B62" s="39" t="s">
        <v>69</v>
      </c>
      <c r="C62" s="36">
        <v>8930</v>
      </c>
      <c r="D62" s="36">
        <v>8704</v>
      </c>
      <c r="E62" s="36">
        <f t="shared" si="0"/>
        <v>17634</v>
      </c>
      <c r="F62" s="37">
        <v>0</v>
      </c>
      <c r="G62" s="37">
        <v>34.216999999999999</v>
      </c>
      <c r="H62" s="38">
        <f t="shared" si="1"/>
        <v>34.216999999999999</v>
      </c>
      <c r="I62" s="4"/>
      <c r="J62" s="9"/>
      <c r="K62" s="9"/>
      <c r="L62" s="9"/>
      <c r="M62" s="9"/>
      <c r="N62" s="9"/>
      <c r="O62" s="9"/>
      <c r="P62" s="9"/>
    </row>
    <row r="63" spans="1:16" ht="24.75" customHeight="1">
      <c r="A63" s="18" t="s">
        <v>4</v>
      </c>
      <c r="B63" s="19"/>
      <c r="C63" s="8">
        <f>SUM(C7:C62)</f>
        <v>31630713</v>
      </c>
      <c r="D63" s="8">
        <f t="shared" ref="D63:H63" si="2">SUM(D7:D62)</f>
        <v>32246924</v>
      </c>
      <c r="E63" s="8">
        <f t="shared" si="2"/>
        <v>63877637</v>
      </c>
      <c r="F63" s="7">
        <f t="shared" si="2"/>
        <v>718306.14628273482</v>
      </c>
      <c r="G63" s="7">
        <f t="shared" si="2"/>
        <v>1080940.7585700001</v>
      </c>
      <c r="H63" s="7">
        <f t="shared" si="2"/>
        <v>1799246.9048527346</v>
      </c>
      <c r="I63" s="4"/>
    </row>
    <row r="64" spans="1:16" ht="27" customHeight="1">
      <c r="A64" s="15" t="s">
        <v>6</v>
      </c>
      <c r="B64" s="16"/>
      <c r="C64" s="16"/>
      <c r="D64" s="16"/>
      <c r="E64" s="16"/>
      <c r="F64" s="16"/>
      <c r="G64" s="16"/>
      <c r="H64" s="17"/>
      <c r="I64" s="4"/>
    </row>
    <row r="65" spans="1:9" ht="37.5" customHeight="1">
      <c r="A65" s="15" t="s">
        <v>12</v>
      </c>
      <c r="B65" s="16"/>
      <c r="C65" s="16"/>
      <c r="D65" s="16"/>
      <c r="E65" s="16"/>
      <c r="F65" s="16"/>
      <c r="G65" s="16"/>
      <c r="H65" s="17"/>
      <c r="I65" s="4"/>
    </row>
    <row r="66" spans="1:9" ht="25.5" customHeight="1" thickBot="1">
      <c r="A66" s="12" t="s">
        <v>9</v>
      </c>
      <c r="B66" s="13"/>
      <c r="C66" s="13"/>
      <c r="D66" s="13"/>
      <c r="E66" s="13"/>
      <c r="F66" s="13"/>
      <c r="G66" s="13"/>
      <c r="H66" s="14"/>
      <c r="I66" s="4"/>
    </row>
    <row r="67" spans="1:9" ht="15.6">
      <c r="I67" s="4"/>
    </row>
    <row r="68" spans="1:9" ht="15.6">
      <c r="I68" s="4"/>
    </row>
    <row r="69" spans="1:9" ht="15.6">
      <c r="I69" s="4"/>
    </row>
    <row r="70" spans="1:9" ht="15.6">
      <c r="I70" s="4"/>
    </row>
    <row r="71" spans="1:9" ht="15.6">
      <c r="I71" s="4"/>
    </row>
    <row r="72" spans="1:9" ht="15.6">
      <c r="I72" s="4"/>
    </row>
    <row r="73" spans="1:9" ht="15.6">
      <c r="I73" s="4"/>
    </row>
    <row r="74" spans="1:9" ht="15.6">
      <c r="I74" s="4"/>
    </row>
    <row r="75" spans="1:9" ht="15.6">
      <c r="I75" s="4"/>
    </row>
    <row r="76" spans="1:9" ht="15.6">
      <c r="I76" s="4"/>
    </row>
    <row r="77" spans="1:9" ht="15.6">
      <c r="I77" s="4"/>
    </row>
    <row r="78" spans="1:9" ht="15.6">
      <c r="I78" s="4"/>
    </row>
    <row r="79" spans="1:9" ht="15.6">
      <c r="I79" s="4"/>
    </row>
    <row r="80" spans="1:9" ht="15.6">
      <c r="I80" s="4"/>
    </row>
    <row r="81" spans="9:9" ht="15.6">
      <c r="I81" s="4"/>
    </row>
    <row r="82" spans="9:9" ht="15.6">
      <c r="I82" s="4"/>
    </row>
    <row r="83" spans="9:9" ht="15.6">
      <c r="I83" s="4"/>
    </row>
    <row r="84" spans="9:9" ht="15.6">
      <c r="I84" s="4"/>
    </row>
    <row r="85" spans="9:9" ht="15.6">
      <c r="I85" s="4"/>
    </row>
    <row r="86" spans="9:9" ht="15.6">
      <c r="I86" s="4"/>
    </row>
    <row r="87" spans="9:9" ht="15.6">
      <c r="I87" s="4"/>
    </row>
    <row r="88" spans="9:9" ht="15.6">
      <c r="I88" s="4"/>
    </row>
    <row r="89" spans="9:9" ht="15.6">
      <c r="I89" s="4"/>
    </row>
    <row r="90" spans="9:9" ht="15.6">
      <c r="I90" s="4"/>
    </row>
    <row r="91" spans="9:9" ht="15.6">
      <c r="I91" s="4"/>
    </row>
    <row r="92" spans="9:9" ht="15.6">
      <c r="I92" s="4"/>
    </row>
    <row r="93" spans="9:9" ht="15.6">
      <c r="I93" s="4"/>
    </row>
    <row r="94" spans="9:9" ht="15.6">
      <c r="I94" s="4"/>
    </row>
    <row r="95" spans="9:9" ht="15.6">
      <c r="I95" s="4"/>
    </row>
    <row r="96" spans="9:9" ht="15.6">
      <c r="I96" s="4"/>
    </row>
    <row r="97" spans="9:9" ht="15.6">
      <c r="I97" s="4"/>
    </row>
    <row r="98" spans="9:9" ht="15.6">
      <c r="I98" s="4"/>
    </row>
    <row r="99" spans="9:9" ht="15.6">
      <c r="I99" s="4"/>
    </row>
    <row r="100" spans="9:9" ht="15.6">
      <c r="I100" s="4"/>
    </row>
    <row r="101" spans="9:9" ht="15.6">
      <c r="I101" s="4"/>
    </row>
    <row r="102" spans="9:9" ht="15.6">
      <c r="I102" s="4"/>
    </row>
    <row r="103" spans="9:9" ht="15.6">
      <c r="I103" s="4"/>
    </row>
    <row r="104" spans="9:9" ht="15.6">
      <c r="I104" s="4"/>
    </row>
    <row r="105" spans="9:9" ht="15.6">
      <c r="I105" s="4"/>
    </row>
    <row r="106" spans="9:9" ht="15.6">
      <c r="I106" s="4"/>
    </row>
    <row r="107" spans="9:9" ht="15.6">
      <c r="I107" s="4"/>
    </row>
    <row r="108" spans="9:9" ht="15.6">
      <c r="I108" s="4"/>
    </row>
    <row r="109" spans="9:9" ht="15.6">
      <c r="I109" s="4"/>
    </row>
    <row r="110" spans="9:9" ht="15.6">
      <c r="I110" s="4"/>
    </row>
    <row r="111" spans="9:9" ht="15.6">
      <c r="I111" s="4"/>
    </row>
    <row r="112" spans="9:9" ht="15.6">
      <c r="I112" s="4"/>
    </row>
  </sheetData>
  <mergeCells count="12">
    <mergeCell ref="A1:H1"/>
    <mergeCell ref="A2:H2"/>
    <mergeCell ref="A4:H4"/>
    <mergeCell ref="C5:E5"/>
    <mergeCell ref="F5:H5"/>
    <mergeCell ref="A5:A6"/>
    <mergeCell ref="B5:B6"/>
    <mergeCell ref="A66:H66"/>
    <mergeCell ref="A65:H65"/>
    <mergeCell ref="A63:B63"/>
    <mergeCell ref="A3:H3"/>
    <mergeCell ref="A64:H64"/>
  </mergeCells>
  <printOptions horizontalCentered="1"/>
  <pageMargins left="0" right="0" top="0.19685039370078741" bottom="0.19685039370078741" header="0.31496062992125984" footer="0.31496062992125984"/>
  <pageSetup paperSize="9" scale="49" orientation="portrait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1.02 (IO)</vt:lpstr>
      <vt:lpstr>'1.02 (IO)'!Print_Area</vt:lpstr>
      <vt:lpstr>'1.02 (IO)'!Print_Titles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2020-05-15T06:27:43Z</dcterms:modified>
</cp:coreProperties>
</file>