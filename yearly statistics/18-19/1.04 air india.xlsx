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IR INDIA\"/>
    </mc:Choice>
  </mc:AlternateContent>
  <bookViews>
    <workbookView xWindow="0" yWindow="0" windowWidth="24000" windowHeight="913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8" i="2" l="1"/>
  <c r="J38" i="2"/>
  <c r="K38" i="2"/>
  <c r="L38" i="2"/>
  <c r="M38" i="2"/>
  <c r="N38" i="2"/>
  <c r="O38" i="2"/>
  <c r="P38" i="2"/>
  <c r="I37" i="2"/>
  <c r="J37" i="2"/>
  <c r="K37" i="2"/>
  <c r="L37" i="2"/>
  <c r="M37" i="2"/>
  <c r="N37" i="2"/>
  <c r="O37" i="2"/>
  <c r="P37" i="2"/>
  <c r="I35" i="2"/>
  <c r="J35" i="2"/>
  <c r="K35" i="2"/>
  <c r="L35" i="2"/>
  <c r="M35" i="2"/>
  <c r="N35" i="2"/>
  <c r="O35" i="2"/>
  <c r="P35" i="2"/>
  <c r="I34" i="2"/>
  <c r="J34" i="2"/>
  <c r="K34" i="2"/>
  <c r="L34" i="2"/>
  <c r="M34" i="2"/>
  <c r="N34" i="2"/>
  <c r="O34" i="2"/>
  <c r="P34" i="2"/>
  <c r="I32" i="2"/>
  <c r="J32" i="2"/>
  <c r="K32" i="2"/>
  <c r="L32" i="2"/>
  <c r="M32" i="2"/>
  <c r="N32" i="2"/>
  <c r="O32" i="2"/>
  <c r="P32" i="2"/>
  <c r="I31" i="2"/>
  <c r="J31" i="2"/>
  <c r="K31" i="2"/>
  <c r="L31" i="2"/>
  <c r="M31" i="2"/>
  <c r="N31" i="2"/>
  <c r="O31" i="2"/>
  <c r="P31" i="2"/>
  <c r="I29" i="2"/>
  <c r="J29" i="2"/>
  <c r="K29" i="2"/>
  <c r="L29" i="2"/>
  <c r="M29" i="2"/>
  <c r="N29" i="2"/>
  <c r="O29" i="2"/>
  <c r="P29" i="2"/>
  <c r="I28" i="2"/>
  <c r="J28" i="2"/>
  <c r="K28" i="2"/>
  <c r="L28" i="2"/>
  <c r="M28" i="2"/>
  <c r="N28" i="2"/>
  <c r="O28" i="2"/>
  <c r="P28" i="2"/>
  <c r="I26" i="2"/>
  <c r="J26" i="2"/>
  <c r="K26" i="2"/>
  <c r="L26" i="2"/>
  <c r="M26" i="2"/>
  <c r="N26" i="2"/>
  <c r="O26" i="2"/>
  <c r="P26" i="2"/>
  <c r="I25" i="2"/>
  <c r="K25" i="2"/>
  <c r="L25" i="2"/>
  <c r="M25" i="2"/>
  <c r="N25" i="2"/>
  <c r="O25" i="2"/>
  <c r="P25" i="2"/>
  <c r="I23" i="2"/>
  <c r="J23" i="2"/>
  <c r="K23" i="2"/>
  <c r="L23" i="2"/>
  <c r="M23" i="2"/>
  <c r="N23" i="2"/>
  <c r="O23" i="2"/>
  <c r="P23" i="2"/>
  <c r="I22" i="2"/>
  <c r="K22" i="2"/>
  <c r="L22" i="2"/>
  <c r="M22" i="2"/>
  <c r="N22" i="2"/>
  <c r="O22" i="2"/>
  <c r="P22" i="2"/>
  <c r="I20" i="2"/>
  <c r="J20" i="2"/>
  <c r="K20" i="2"/>
  <c r="L20" i="2"/>
  <c r="M20" i="2"/>
  <c r="N20" i="2"/>
  <c r="O20" i="2"/>
  <c r="P20" i="2"/>
  <c r="I19" i="2"/>
  <c r="J19" i="2"/>
  <c r="K19" i="2"/>
  <c r="L19" i="2"/>
  <c r="M19" i="2"/>
  <c r="N19" i="2"/>
  <c r="O19" i="2"/>
  <c r="P19" i="2"/>
  <c r="I17" i="2"/>
  <c r="J17" i="2"/>
  <c r="K17" i="2"/>
  <c r="L17" i="2"/>
  <c r="M17" i="2"/>
  <c r="N17" i="2"/>
  <c r="O17" i="2"/>
  <c r="P17" i="2"/>
  <c r="I16" i="2"/>
  <c r="J16" i="2"/>
  <c r="K16" i="2"/>
  <c r="L16" i="2"/>
  <c r="M16" i="2"/>
  <c r="N16" i="2"/>
  <c r="O16" i="2"/>
  <c r="P16" i="2"/>
  <c r="H15" i="2"/>
  <c r="Q15" i="2"/>
  <c r="I14" i="2"/>
  <c r="J14" i="2"/>
  <c r="K14" i="2"/>
  <c r="L14" i="2"/>
  <c r="M14" i="2"/>
  <c r="N14" i="2"/>
  <c r="O14" i="2"/>
  <c r="P14" i="2"/>
  <c r="I13" i="2"/>
  <c r="J13" i="2"/>
  <c r="K13" i="2"/>
  <c r="L13" i="2"/>
  <c r="M13" i="2"/>
  <c r="N13" i="2"/>
  <c r="O13" i="2"/>
  <c r="P13" i="2"/>
  <c r="I11" i="2"/>
  <c r="J11" i="2"/>
  <c r="K11" i="2"/>
  <c r="L11" i="2"/>
  <c r="M11" i="2"/>
  <c r="N11" i="2"/>
  <c r="O11" i="2"/>
  <c r="P11" i="2"/>
  <c r="I10" i="2"/>
  <c r="J10" i="2"/>
  <c r="K10" i="2"/>
  <c r="L10" i="2"/>
  <c r="M10" i="2"/>
  <c r="N10" i="2"/>
  <c r="O10" i="2"/>
  <c r="P10" i="2"/>
  <c r="Q9" i="2"/>
  <c r="Q12" i="2"/>
  <c r="Q18" i="2"/>
  <c r="Q21" i="2"/>
  <c r="Q24" i="2"/>
  <c r="Q27" i="2"/>
  <c r="Q30" i="2"/>
  <c r="Q33" i="2"/>
  <c r="Q36" i="2"/>
  <c r="Q6" i="2"/>
  <c r="Q26" i="2" s="1"/>
  <c r="H9" i="2"/>
  <c r="H12" i="2"/>
  <c r="H18" i="2"/>
  <c r="H19" i="2" s="1"/>
  <c r="H21" i="2"/>
  <c r="H24" i="2"/>
  <c r="H27" i="2"/>
  <c r="H30" i="2"/>
  <c r="H33" i="2"/>
  <c r="H36" i="2"/>
  <c r="H6" i="2"/>
  <c r="H14" i="2" l="1"/>
  <c r="Q23" i="2"/>
  <c r="Q20" i="2"/>
  <c r="Q10" i="2"/>
  <c r="Q22" i="2"/>
  <c r="H35" i="2"/>
  <c r="Q14" i="2"/>
  <c r="Q38" i="2"/>
  <c r="H32" i="2"/>
  <c r="H29" i="2"/>
  <c r="Q35" i="2"/>
  <c r="H26" i="2"/>
  <c r="Q19" i="2"/>
  <c r="H38" i="2"/>
  <c r="Q32" i="2"/>
  <c r="H22" i="2"/>
  <c r="Q29" i="2"/>
  <c r="H17" i="2"/>
  <c r="H11" i="2"/>
  <c r="Q25" i="2"/>
  <c r="Q28" i="2"/>
  <c r="H10" i="2"/>
  <c r="H20" i="2"/>
  <c r="H28" i="2"/>
  <c r="H34" i="2"/>
  <c r="Q34" i="2"/>
  <c r="H16" i="2"/>
  <c r="Q11" i="2"/>
  <c r="Q16" i="2"/>
  <c r="Q13" i="2"/>
  <c r="Q17" i="2"/>
  <c r="H23" i="2"/>
  <c r="Q31" i="2"/>
  <c r="Q37" i="2"/>
  <c r="H13" i="2"/>
  <c r="H25" i="2"/>
  <c r="H31" i="2"/>
  <c r="H37" i="2"/>
  <c r="C29" i="2"/>
  <c r="D29" i="2"/>
  <c r="E29" i="2"/>
  <c r="F29" i="2"/>
  <c r="G29" i="2"/>
  <c r="C32" i="2"/>
  <c r="D32" i="2"/>
  <c r="E32" i="2"/>
  <c r="F32" i="2"/>
  <c r="G32" i="2"/>
  <c r="C35" i="2"/>
  <c r="D35" i="2"/>
  <c r="E35" i="2"/>
  <c r="F35" i="2"/>
  <c r="G35" i="2"/>
  <c r="C38" i="2"/>
  <c r="D38" i="2"/>
  <c r="E38" i="2"/>
  <c r="F38" i="2"/>
  <c r="G38" i="2"/>
  <c r="B38" i="2"/>
  <c r="B35" i="2"/>
  <c r="B32" i="2"/>
  <c r="B29" i="2"/>
  <c r="C26" i="2"/>
  <c r="D26" i="2"/>
  <c r="E26" i="2"/>
  <c r="F26" i="2"/>
  <c r="G26" i="2"/>
  <c r="B26" i="2"/>
  <c r="C23" i="2"/>
  <c r="D23" i="2"/>
  <c r="E23" i="2"/>
  <c r="F23" i="2"/>
  <c r="G23" i="2"/>
  <c r="B23" i="2"/>
  <c r="C20" i="2"/>
  <c r="D20" i="2"/>
  <c r="E20" i="2"/>
  <c r="F20" i="2"/>
  <c r="G20" i="2"/>
  <c r="B20" i="2"/>
  <c r="C17" i="2"/>
  <c r="D17" i="2"/>
  <c r="E17" i="2"/>
  <c r="F17" i="2"/>
  <c r="G17" i="2"/>
  <c r="B17" i="2"/>
  <c r="C37" i="2"/>
  <c r="D37" i="2"/>
  <c r="E37" i="2"/>
  <c r="F37" i="2"/>
  <c r="G37" i="2"/>
  <c r="C34" i="2"/>
  <c r="D34" i="2"/>
  <c r="E34" i="2"/>
  <c r="F34" i="2"/>
  <c r="G34" i="2"/>
  <c r="C31" i="2"/>
  <c r="D31" i="2"/>
  <c r="E31" i="2"/>
  <c r="F31" i="2"/>
  <c r="G31" i="2"/>
  <c r="C28" i="2"/>
  <c r="D28" i="2"/>
  <c r="E28" i="2"/>
  <c r="F28" i="2"/>
  <c r="G28" i="2"/>
  <c r="C25" i="2"/>
  <c r="D25" i="2"/>
  <c r="E25" i="2"/>
  <c r="F25" i="2"/>
  <c r="G25" i="2"/>
  <c r="C22" i="2"/>
  <c r="D22" i="2"/>
  <c r="E22" i="2"/>
  <c r="F22" i="2"/>
  <c r="G22" i="2"/>
  <c r="C19" i="2"/>
  <c r="D19" i="2"/>
  <c r="E19" i="2"/>
  <c r="F19" i="2"/>
  <c r="G19" i="2"/>
  <c r="C16" i="2"/>
  <c r="D16" i="2"/>
  <c r="E16" i="2"/>
  <c r="F16" i="2"/>
  <c r="G16" i="2"/>
  <c r="B37" i="2"/>
  <c r="B34" i="2"/>
  <c r="B31" i="2"/>
  <c r="B28" i="2"/>
  <c r="B25" i="2"/>
  <c r="B22" i="2"/>
  <c r="B19" i="2"/>
  <c r="B16" i="2"/>
  <c r="C14" i="2"/>
  <c r="D14" i="2"/>
  <c r="E14" i="2"/>
  <c r="F14" i="2"/>
  <c r="G14" i="2"/>
  <c r="C13" i="2"/>
  <c r="D13" i="2"/>
  <c r="E13" i="2"/>
  <c r="F13" i="2"/>
  <c r="G13" i="2"/>
  <c r="B13" i="2"/>
  <c r="C11" i="2"/>
  <c r="D11" i="2"/>
  <c r="E11" i="2"/>
  <c r="F11" i="2"/>
  <c r="G11" i="2"/>
  <c r="C10" i="2"/>
  <c r="D10" i="2"/>
  <c r="E10" i="2"/>
  <c r="F10" i="2"/>
  <c r="G10" i="2"/>
  <c r="B14" i="2"/>
  <c r="B11" i="2"/>
  <c r="B10" i="2"/>
</calcChain>
</file>

<file path=xl/sharedStrings.xml><?xml version="1.0" encoding="utf-8"?>
<sst xmlns="http://schemas.openxmlformats.org/spreadsheetml/2006/main" count="93" uniqueCount="39">
  <si>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</si>
  <si>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</si>
  <si>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</si>
  <si>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</si>
  <si>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</si>
  <si>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</si>
  <si>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</si>
  <si>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</si>
  <si>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</si>
  <si>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</si>
  <si>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</si>
  <si>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</si>
  <si>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</si>
  <si>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</si>
  <si>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</si>
  <si>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</si>
  <si>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</si>
  <si>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</si>
  <si>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</si>
  <si>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</si>
  <si>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</si>
  <si>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</si>
  <si>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</si>
  <si>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</si>
  <si>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</si>
  <si>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</si>
  <si>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</si>
  <si>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</si>
  <si>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</si>
  <si>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</si>
  <si>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</si>
  <si>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</si>
  <si>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</si>
  <si>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</si>
  <si>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1.04 (एयर इंडिया) </t>
  </si>
  <si>
    <t>Table 1.04 (AIR INDIA)</t>
  </si>
  <si>
    <t>YEAR-WISE DETAILS OF ANNUAL TRAFFIC AND OPERATING STATISTICS ON DOMESTIC SCHEDULED SERVICES OF AIR INDIA</t>
  </si>
  <si>
    <t>Note: Growth has been calculated with respect to preceeding year while Compound Annual Growth Rate (CAGR) has been calculating taking 2008-09 as a Base Year</t>
  </si>
  <si>
    <t xml:space="preserve">SOURCE: ICAO ATR FORM 'A' FURNISHED BY AIR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</si>
</sst>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5" fillId="3" borderId="2" xfId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2" xfId="1" applyAlignment="1">
      <alignment horizontal="center" vertical="center" wrapText="1"/>
    </xf>
    <xf numFmtId="0" fontId="5" fillId="3" borderId="2" xfId="1" quotePrefix="1" applyAlignment="1" applyProtection="1">
      <alignment horizontal="center" vertical="center" wrapText="1"/>
    </xf>
    <xf numFmtId="0" fontId="5" fillId="3" borderId="2" xfId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view="pageBreakPreview" zoomScale="98" zoomScaleNormal="100" zoomScaleSheetLayoutView="98" workbookViewId="0">
      <selection activeCell="S5" sqref="S5"/>
    </sheetView>
  </sheetViews>
  <sheetFormatPr defaultRowHeight="15" x14ac:dyDescent="0.25"/>
  <cols>
    <col min="1" max="1" width="8" customWidth="1"/>
    <col min="2" max="2" width="7.42578125" customWidth="1"/>
    <col min="3" max="3" width="7.7109375" customWidth="1"/>
    <col min="4" max="4" width="7.42578125" customWidth="1"/>
    <col min="5" max="5" width="10.140625" customWidth="1"/>
    <col min="6" max="6" width="7.28515625" customWidth="1"/>
    <col min="7" max="8" width="7" customWidth="1"/>
    <col min="9" max="9" width="9" customWidth="1"/>
    <col min="10" max="10" width="8.42578125" customWidth="1"/>
    <col min="11" max="11" width="9.42578125" customWidth="1"/>
    <col min="12" max="12" width="7.7109375" customWidth="1"/>
    <col min="13" max="13" width="6.7109375" customWidth="1"/>
    <col min="14" max="14" width="6.5703125" customWidth="1"/>
    <col min="15" max="15" width="7.5703125" customWidth="1"/>
    <col min="16" max="16" width="7.28515625" customWidth="1"/>
    <col min="17" max="17" width="6" customWidth="1"/>
  </cols>
  <sheetData>
    <row r="1" spans="1:17" ht="15" customHeight="1" x14ac:dyDescent="0.25">
      <c r="A1" s="19" t="s">
        <v>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25">
      <c r="A2" s="20" t="s">
        <v>35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 t="s">
        <v>36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3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114.75" customHeight="1" x14ac:dyDescent="0.25">
      <c r="A5" s="22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6"/>
      <c r="H5" s="16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6"/>
      <c r="Q5" s="16"/>
    </row>
    <row r="6" spans="1:17" ht="20.100000000000001" customHeight="1" x14ac:dyDescent="0.25">
      <c r="A6" s="5" t="s">
        <v>19</v>
      </c>
      <c r="B6" s="1">
        <v>83716</v>
      </c>
      <c r="C6" s="1">
        <v>140595</v>
      </c>
      <c r="D6" s="1">
        <v>72577</v>
      </c>
      <c r="E6" s="1">
        <v>5800830</v>
      </c>
      <c r="F6" s="1">
        <v>5892.7560000000003</v>
      </c>
      <c r="G6" s="1">
        <v>11083.367</v>
      </c>
      <c r="H6" s="11">
        <f>F6/G6*100</f>
        <v>53.167561806804741</v>
      </c>
      <c r="I6" s="2">
        <v>67884</v>
      </c>
      <c r="J6" s="2">
        <v>14101</v>
      </c>
      <c r="K6" s="2">
        <v>81985</v>
      </c>
      <c r="L6" s="2">
        <v>505.76</v>
      </c>
      <c r="M6" s="2">
        <v>73.481999999999999</v>
      </c>
      <c r="N6" s="2">
        <v>15.781000000000001</v>
      </c>
      <c r="O6" s="2">
        <v>595.02300000000002</v>
      </c>
      <c r="P6" s="2">
        <v>1194.9570000000001</v>
      </c>
      <c r="Q6" s="11">
        <f>O6/P6*100</f>
        <v>49.794511434302649</v>
      </c>
    </row>
    <row r="7" spans="1:17" ht="20.100000000000001" customHeight="1" x14ac:dyDescent="0.25">
      <c r="A7" s="6" t="s">
        <v>32</v>
      </c>
      <c r="B7" s="3" t="s">
        <v>31</v>
      </c>
      <c r="C7" s="3" t="s">
        <v>31</v>
      </c>
      <c r="D7" s="3" t="s">
        <v>31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31</v>
      </c>
      <c r="Q7" s="3" t="s">
        <v>31</v>
      </c>
    </row>
    <row r="8" spans="1:17" ht="20.100000000000001" customHeight="1" x14ac:dyDescent="0.25">
      <c r="A8" s="7" t="s">
        <v>30</v>
      </c>
      <c r="B8" s="4" t="s">
        <v>31</v>
      </c>
      <c r="C8" s="4" t="s">
        <v>31</v>
      </c>
      <c r="D8" s="4" t="s">
        <v>31</v>
      </c>
      <c r="E8" s="4" t="s">
        <v>31</v>
      </c>
      <c r="F8" s="4" t="s">
        <v>31</v>
      </c>
      <c r="G8" s="4" t="s">
        <v>31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31</v>
      </c>
    </row>
    <row r="9" spans="1:17" ht="20.100000000000001" customHeight="1" x14ac:dyDescent="0.25">
      <c r="A9" s="5" t="s">
        <v>20</v>
      </c>
      <c r="B9" s="1">
        <v>87170</v>
      </c>
      <c r="C9" s="1">
        <v>147395</v>
      </c>
      <c r="D9" s="1">
        <v>74930</v>
      </c>
      <c r="E9" s="1">
        <v>6871311</v>
      </c>
      <c r="F9" s="1">
        <v>6963.4650000000001</v>
      </c>
      <c r="G9" s="1">
        <v>11662.498</v>
      </c>
      <c r="H9" s="11">
        <f t="shared" ref="H9:H36" si="0">F9/G9*100</f>
        <v>59.708177441916824</v>
      </c>
      <c r="I9" s="2">
        <v>72087</v>
      </c>
      <c r="J9" s="2">
        <v>15284.502</v>
      </c>
      <c r="K9" s="2">
        <v>87371.502000000008</v>
      </c>
      <c r="L9" s="2">
        <v>595.36599999999999</v>
      </c>
      <c r="M9" s="2">
        <v>80.418999999999997</v>
      </c>
      <c r="N9" s="2">
        <v>15.893000000000001</v>
      </c>
      <c r="O9" s="2">
        <v>691.678</v>
      </c>
      <c r="P9" s="2">
        <v>1338.896</v>
      </c>
      <c r="Q9" s="11">
        <f t="shared" ref="Q9:Q36" si="1">O9/P9*100</f>
        <v>51.66032313189374</v>
      </c>
    </row>
    <row r="10" spans="1:17" ht="20.100000000000001" customHeight="1" x14ac:dyDescent="0.25">
      <c r="A10" s="6" t="s">
        <v>32</v>
      </c>
      <c r="B10" s="13">
        <f>(B9-B6)/B6</f>
        <v>4.1258540780734869E-2</v>
      </c>
      <c r="C10" s="13">
        <f t="shared" ref="C10:Q10" si="2">(C9-C6)/C6</f>
        <v>4.8365873608592055E-2</v>
      </c>
      <c r="D10" s="13">
        <f t="shared" si="2"/>
        <v>3.2420739352687487E-2</v>
      </c>
      <c r="E10" s="13">
        <f t="shared" si="2"/>
        <v>0.18453928144765491</v>
      </c>
      <c r="F10" s="13">
        <f t="shared" si="2"/>
        <v>0.18169919134612053</v>
      </c>
      <c r="G10" s="13">
        <f t="shared" si="2"/>
        <v>5.2252262331473766E-2</v>
      </c>
      <c r="H10" s="13">
        <f t="shared" si="2"/>
        <v>0.12301891252562518</v>
      </c>
      <c r="I10" s="13">
        <f t="shared" si="2"/>
        <v>6.191444228389606E-2</v>
      </c>
      <c r="J10" s="13">
        <f t="shared" si="2"/>
        <v>8.3930359548968186E-2</v>
      </c>
      <c r="K10" s="13">
        <f t="shared" si="2"/>
        <v>6.5701067268402844E-2</v>
      </c>
      <c r="L10" s="13">
        <f t="shared" si="2"/>
        <v>0.17717099019297688</v>
      </c>
      <c r="M10" s="13">
        <f t="shared" si="2"/>
        <v>9.4404071745461449E-2</v>
      </c>
      <c r="N10" s="13">
        <f t="shared" si="2"/>
        <v>7.0971421329446864E-3</v>
      </c>
      <c r="O10" s="13">
        <f t="shared" si="2"/>
        <v>0.162439098992812</v>
      </c>
      <c r="P10" s="13">
        <f t="shared" si="2"/>
        <v>0.12045538040280934</v>
      </c>
      <c r="Q10" s="13">
        <f t="shared" si="2"/>
        <v>3.7470228020065749E-2</v>
      </c>
    </row>
    <row r="11" spans="1:17" ht="20.100000000000001" customHeight="1" x14ac:dyDescent="0.25">
      <c r="A11" s="7" t="s">
        <v>30</v>
      </c>
      <c r="B11" s="10">
        <f t="shared" ref="B11:Q11" si="3">(((B9/B6)^(1/1))-1)</f>
        <v>4.1258540780734876E-2</v>
      </c>
      <c r="C11" s="10">
        <f t="shared" si="3"/>
        <v>4.8365873608592125E-2</v>
      </c>
      <c r="D11" s="10">
        <f t="shared" si="3"/>
        <v>3.2420739352687411E-2</v>
      </c>
      <c r="E11" s="10">
        <f t="shared" si="3"/>
        <v>0.18453928144765497</v>
      </c>
      <c r="F11" s="10">
        <f t="shared" si="3"/>
        <v>0.18169919134612056</v>
      </c>
      <c r="G11" s="10">
        <f t="shared" si="3"/>
        <v>5.2252262331473842E-2</v>
      </c>
      <c r="H11" s="10">
        <f t="shared" si="3"/>
        <v>0.12301891252562513</v>
      </c>
      <c r="I11" s="10">
        <f t="shared" si="3"/>
        <v>6.1914442283895976E-2</v>
      </c>
      <c r="J11" s="10">
        <f t="shared" si="3"/>
        <v>8.3930359548968214E-2</v>
      </c>
      <c r="K11" s="10">
        <f t="shared" si="3"/>
        <v>6.5701067268402857E-2</v>
      </c>
      <c r="L11" s="10">
        <f t="shared" si="3"/>
        <v>0.177170990192977</v>
      </c>
      <c r="M11" s="10">
        <f t="shared" si="3"/>
        <v>9.4404071745461504E-2</v>
      </c>
      <c r="N11" s="10">
        <f t="shared" si="3"/>
        <v>7.097142132944656E-3</v>
      </c>
      <c r="O11" s="10">
        <f t="shared" si="3"/>
        <v>0.16243909899281195</v>
      </c>
      <c r="P11" s="10">
        <f t="shared" si="3"/>
        <v>0.12045538040280923</v>
      </c>
      <c r="Q11" s="10">
        <f t="shared" si="3"/>
        <v>3.7470228020065832E-2</v>
      </c>
    </row>
    <row r="12" spans="1:17" ht="20.100000000000001" customHeight="1" x14ac:dyDescent="0.25">
      <c r="A12" s="5" t="s">
        <v>21</v>
      </c>
      <c r="B12" s="1">
        <v>92785</v>
      </c>
      <c r="C12" s="1">
        <v>157949</v>
      </c>
      <c r="D12" s="1">
        <v>80934</v>
      </c>
      <c r="E12" s="1">
        <v>7937811</v>
      </c>
      <c r="F12" s="1">
        <v>7875.308</v>
      </c>
      <c r="G12" s="1">
        <v>12625.349</v>
      </c>
      <c r="H12" s="11">
        <f t="shared" si="0"/>
        <v>62.376952906410743</v>
      </c>
      <c r="I12" s="2">
        <v>85341</v>
      </c>
      <c r="J12" s="2">
        <v>12653.800000000001</v>
      </c>
      <c r="K12" s="2">
        <v>97994.800000000017</v>
      </c>
      <c r="L12" s="2">
        <v>671.41499999999996</v>
      </c>
      <c r="M12" s="2">
        <v>99.56</v>
      </c>
      <c r="N12" s="2">
        <v>13.943</v>
      </c>
      <c r="O12" s="2">
        <v>784.91800000000001</v>
      </c>
      <c r="P12" s="2">
        <v>1453.279</v>
      </c>
      <c r="Q12" s="11">
        <f t="shared" si="1"/>
        <v>54.010138452423796</v>
      </c>
    </row>
    <row r="13" spans="1:17" ht="20.100000000000001" customHeight="1" x14ac:dyDescent="0.25">
      <c r="A13" s="6" t="s">
        <v>32</v>
      </c>
      <c r="B13" s="13">
        <f>(B12-B9)/B9</f>
        <v>6.4414362739474595E-2</v>
      </c>
      <c r="C13" s="13">
        <f t="shared" ref="C13:Q13" si="4">(C12-C9)/C9</f>
        <v>7.1603514366158957E-2</v>
      </c>
      <c r="D13" s="13">
        <f t="shared" si="4"/>
        <v>8.0128119578273052E-2</v>
      </c>
      <c r="E13" s="13">
        <f t="shared" si="4"/>
        <v>0.15521055588955296</v>
      </c>
      <c r="F13" s="13">
        <f t="shared" si="4"/>
        <v>0.13094673413307883</v>
      </c>
      <c r="G13" s="13">
        <f t="shared" si="4"/>
        <v>8.255958543358384E-2</v>
      </c>
      <c r="H13" s="13">
        <f t="shared" si="4"/>
        <v>4.469698421275816E-2</v>
      </c>
      <c r="I13" s="13">
        <f t="shared" si="4"/>
        <v>0.18386116775562861</v>
      </c>
      <c r="J13" s="13">
        <f t="shared" si="4"/>
        <v>-0.17211565021876402</v>
      </c>
      <c r="K13" s="13">
        <f t="shared" si="4"/>
        <v>0.12158767740996382</v>
      </c>
      <c r="L13" s="13">
        <f t="shared" si="4"/>
        <v>0.12773487233063355</v>
      </c>
      <c r="M13" s="13">
        <f t="shared" si="4"/>
        <v>0.2380158917668711</v>
      </c>
      <c r="N13" s="13">
        <f t="shared" si="4"/>
        <v>-0.12269552633234763</v>
      </c>
      <c r="O13" s="13">
        <f t="shared" si="4"/>
        <v>0.13480261046325026</v>
      </c>
      <c r="P13" s="13">
        <f t="shared" si="4"/>
        <v>8.5430832566532458E-2</v>
      </c>
      <c r="Q13" s="13">
        <f t="shared" si="4"/>
        <v>4.5485881196111612E-2</v>
      </c>
    </row>
    <row r="14" spans="1:17" ht="20.100000000000001" customHeight="1" x14ac:dyDescent="0.25">
      <c r="A14" s="7" t="s">
        <v>30</v>
      </c>
      <c r="B14" s="10">
        <f t="shared" ref="B14:Q14" si="5">(((B12/B6)^(1/2))-1)</f>
        <v>5.2772789414772481E-2</v>
      </c>
      <c r="C14" s="10">
        <f t="shared" si="5"/>
        <v>5.9921013330953787E-2</v>
      </c>
      <c r="D14" s="10">
        <f t="shared" si="5"/>
        <v>5.6005052928549404E-2</v>
      </c>
      <c r="E14" s="10">
        <f t="shared" si="5"/>
        <v>0.16978300628542087</v>
      </c>
      <c r="F14" s="10">
        <f t="shared" si="5"/>
        <v>0.15604448062373244</v>
      </c>
      <c r="G14" s="10">
        <f t="shared" si="5"/>
        <v>6.7298352327553657E-2</v>
      </c>
      <c r="H14" s="10">
        <f t="shared" si="5"/>
        <v>8.3150253256403905E-2</v>
      </c>
      <c r="I14" s="10">
        <f t="shared" si="5"/>
        <v>0.12123114106716648</v>
      </c>
      <c r="J14" s="10">
        <f t="shared" si="5"/>
        <v>-5.2704385672910026E-2</v>
      </c>
      <c r="K14" s="10">
        <f t="shared" si="5"/>
        <v>9.3287329502582228E-2</v>
      </c>
      <c r="L14" s="10">
        <f t="shared" si="5"/>
        <v>0.15218782164046596</v>
      </c>
      <c r="M14" s="10">
        <f t="shared" si="5"/>
        <v>0.16399726496038314</v>
      </c>
      <c r="N14" s="10">
        <f t="shared" si="5"/>
        <v>-6.0036794224827106E-2</v>
      </c>
      <c r="O14" s="10">
        <f t="shared" si="5"/>
        <v>0.14853773296378536</v>
      </c>
      <c r="P14" s="10">
        <f t="shared" si="5"/>
        <v>0.10280406981669787</v>
      </c>
      <c r="Q14" s="10">
        <f t="shared" si="5"/>
        <v>4.1470343099739626E-2</v>
      </c>
    </row>
    <row r="15" spans="1:17" ht="20.100000000000001" customHeight="1" x14ac:dyDescent="0.25">
      <c r="A15" s="5" t="s">
        <v>22</v>
      </c>
      <c r="B15" s="1">
        <v>97775</v>
      </c>
      <c r="C15" s="1">
        <v>162112</v>
      </c>
      <c r="D15" s="1">
        <v>87044</v>
      </c>
      <c r="E15" s="1">
        <v>8711624</v>
      </c>
      <c r="F15" s="1">
        <v>8744.5210000000006</v>
      </c>
      <c r="G15" s="1">
        <v>13742.335999999999</v>
      </c>
      <c r="H15" s="11">
        <f t="shared" si="0"/>
        <v>63.631983674391321</v>
      </c>
      <c r="I15" s="2">
        <v>70656</v>
      </c>
      <c r="J15" s="2">
        <v>10935</v>
      </c>
      <c r="K15" s="2">
        <v>81591</v>
      </c>
      <c r="L15" s="2">
        <v>750.54700000000003</v>
      </c>
      <c r="M15" s="2">
        <v>80.087000000000003</v>
      </c>
      <c r="N15" s="2">
        <v>11.988</v>
      </c>
      <c r="O15" s="2">
        <v>842.62199999999996</v>
      </c>
      <c r="P15" s="2">
        <v>1605.712</v>
      </c>
      <c r="Q15" s="11">
        <f t="shared" si="1"/>
        <v>52.476533774425306</v>
      </c>
    </row>
    <row r="16" spans="1:17" ht="20.100000000000001" customHeight="1" x14ac:dyDescent="0.25">
      <c r="A16" s="6" t="s">
        <v>32</v>
      </c>
      <c r="B16" s="13">
        <f>(B15-B12)/B12</f>
        <v>5.3780244651613948E-2</v>
      </c>
      <c r="C16" s="13">
        <f t="shared" ref="C16:Q16" si="6">(C15-C12)/C12</f>
        <v>2.6356608778783024E-2</v>
      </c>
      <c r="D16" s="13">
        <f t="shared" si="6"/>
        <v>7.5493612078977937E-2</v>
      </c>
      <c r="E16" s="13">
        <f t="shared" si="6"/>
        <v>9.7484432420978526E-2</v>
      </c>
      <c r="F16" s="13">
        <f t="shared" si="6"/>
        <v>0.11037193719915471</v>
      </c>
      <c r="G16" s="13">
        <f t="shared" si="6"/>
        <v>8.8471772146655053E-2</v>
      </c>
      <c r="H16" s="13">
        <f t="shared" si="6"/>
        <v>2.012010381243861E-2</v>
      </c>
      <c r="I16" s="13">
        <f t="shared" si="6"/>
        <v>-0.1720743839420677</v>
      </c>
      <c r="J16" s="13">
        <f t="shared" si="6"/>
        <v>-0.13583271428345642</v>
      </c>
      <c r="K16" s="13">
        <f t="shared" si="6"/>
        <v>-0.16739459644797494</v>
      </c>
      <c r="L16" s="13">
        <f t="shared" si="6"/>
        <v>0.11785855246010302</v>
      </c>
      <c r="M16" s="13">
        <f t="shared" si="6"/>
        <v>-0.19559059863398953</v>
      </c>
      <c r="N16" s="13">
        <f t="shared" si="6"/>
        <v>-0.14021372731836765</v>
      </c>
      <c r="O16" s="13">
        <f t="shared" si="6"/>
        <v>7.3515959628903851E-2</v>
      </c>
      <c r="P16" s="13">
        <f t="shared" si="6"/>
        <v>0.10488901305255219</v>
      </c>
      <c r="Q16" s="13">
        <f t="shared" si="6"/>
        <v>-2.8394755539266105E-2</v>
      </c>
    </row>
    <row r="17" spans="1:17" ht="20.100000000000001" customHeight="1" x14ac:dyDescent="0.25">
      <c r="A17" s="7" t="s">
        <v>30</v>
      </c>
      <c r="B17" s="10">
        <f t="shared" ref="B17:Q17" si="7">(((B15/B6)^(1/3))-1)</f>
        <v>5.3108500763031197E-2</v>
      </c>
      <c r="C17" s="10">
        <f t="shared" si="7"/>
        <v>4.8612658091830685E-2</v>
      </c>
      <c r="D17" s="10">
        <f t="shared" si="7"/>
        <v>6.2461681718726458E-2</v>
      </c>
      <c r="E17" s="10">
        <f t="shared" si="7"/>
        <v>0.14516920688313451</v>
      </c>
      <c r="F17" s="10">
        <f t="shared" si="7"/>
        <v>0.1406152893326309</v>
      </c>
      <c r="G17" s="10">
        <f t="shared" si="7"/>
        <v>7.4309994905837673E-2</v>
      </c>
      <c r="H17" s="10">
        <f t="shared" si="7"/>
        <v>6.1718958904971366E-2</v>
      </c>
      <c r="I17" s="10">
        <f t="shared" si="7"/>
        <v>1.3430275063293973E-2</v>
      </c>
      <c r="J17" s="10">
        <f t="shared" si="7"/>
        <v>-8.126634667140975E-2</v>
      </c>
      <c r="K17" s="10">
        <f t="shared" si="7"/>
        <v>-1.6044920681642649E-3</v>
      </c>
      <c r="L17" s="10">
        <f t="shared" si="7"/>
        <v>0.14062916412375626</v>
      </c>
      <c r="M17" s="10">
        <f t="shared" si="7"/>
        <v>2.910657388681992E-2</v>
      </c>
      <c r="N17" s="10">
        <f t="shared" si="7"/>
        <v>-8.7560513392001993E-2</v>
      </c>
      <c r="O17" s="10">
        <f t="shared" si="7"/>
        <v>0.12296532653836723</v>
      </c>
      <c r="P17" s="10">
        <f t="shared" si="7"/>
        <v>0.10349861338148547</v>
      </c>
      <c r="Q17" s="10">
        <f t="shared" si="7"/>
        <v>1.7640904049013306E-2</v>
      </c>
    </row>
    <row r="18" spans="1:17" ht="20.100000000000001" customHeight="1" x14ac:dyDescent="0.25">
      <c r="A18" s="5" t="s">
        <v>23</v>
      </c>
      <c r="B18" s="1">
        <v>93101</v>
      </c>
      <c r="C18" s="1">
        <v>156111</v>
      </c>
      <c r="D18" s="1">
        <v>89844</v>
      </c>
      <c r="E18" s="1">
        <v>9683582</v>
      </c>
      <c r="F18" s="1">
        <v>9769.1659999999993</v>
      </c>
      <c r="G18" s="1">
        <v>14280.905000000001</v>
      </c>
      <c r="H18" s="11">
        <f t="shared" si="0"/>
        <v>68.40719128094473</v>
      </c>
      <c r="I18" s="2">
        <v>67409</v>
      </c>
      <c r="J18" s="2">
        <v>0</v>
      </c>
      <c r="K18" s="2">
        <v>67409</v>
      </c>
      <c r="L18" s="2">
        <v>897.15899999999999</v>
      </c>
      <c r="M18" s="2">
        <v>77.254000000000005</v>
      </c>
      <c r="N18" s="2">
        <v>13.483000000000001</v>
      </c>
      <c r="O18" s="2">
        <v>987.89599999999996</v>
      </c>
      <c r="P18" s="2">
        <v>1674.684</v>
      </c>
      <c r="Q18" s="11">
        <f t="shared" si="1"/>
        <v>58.989994530311385</v>
      </c>
    </row>
    <row r="19" spans="1:17" ht="20.100000000000001" customHeight="1" x14ac:dyDescent="0.25">
      <c r="A19" s="6" t="s">
        <v>32</v>
      </c>
      <c r="B19" s="13">
        <f>(B18-B15)/B15</f>
        <v>-4.7803630784965481E-2</v>
      </c>
      <c r="C19" s="13">
        <f t="shared" ref="C19:Q19" si="8">(C18-C15)/C15</f>
        <v>-3.7017617449664426E-2</v>
      </c>
      <c r="D19" s="13">
        <f t="shared" si="8"/>
        <v>3.2167639354809062E-2</v>
      </c>
      <c r="E19" s="13">
        <f t="shared" si="8"/>
        <v>0.11157024224185984</v>
      </c>
      <c r="F19" s="13">
        <f t="shared" si="8"/>
        <v>0.11717565776330099</v>
      </c>
      <c r="G19" s="13">
        <f t="shared" si="8"/>
        <v>3.9190498616829141E-2</v>
      </c>
      <c r="H19" s="13">
        <f t="shared" si="8"/>
        <v>7.5044141810640896E-2</v>
      </c>
      <c r="I19" s="13">
        <f t="shared" si="8"/>
        <v>-4.5955049818840576E-2</v>
      </c>
      <c r="J19" s="13">
        <f t="shared" si="8"/>
        <v>-1</v>
      </c>
      <c r="K19" s="13">
        <f t="shared" si="8"/>
        <v>-0.17381819073182092</v>
      </c>
      <c r="L19" s="13">
        <f t="shared" si="8"/>
        <v>0.19534019854852522</v>
      </c>
      <c r="M19" s="13">
        <f t="shared" si="8"/>
        <v>-3.5374030741568523E-2</v>
      </c>
      <c r="N19" s="13">
        <f t="shared" si="8"/>
        <v>0.12470804137470813</v>
      </c>
      <c r="O19" s="13">
        <f t="shared" si="8"/>
        <v>0.1724070817044891</v>
      </c>
      <c r="P19" s="13">
        <f t="shared" si="8"/>
        <v>4.2954153671393117E-2</v>
      </c>
      <c r="Q19" s="13">
        <f t="shared" si="8"/>
        <v>0.1241213984118068</v>
      </c>
    </row>
    <row r="20" spans="1:17" ht="20.100000000000001" customHeight="1" x14ac:dyDescent="0.25">
      <c r="A20" s="7" t="s">
        <v>30</v>
      </c>
      <c r="B20" s="10">
        <f t="shared" ref="B20:Q20" si="9">(((B18/B6)^(1/4))-1)</f>
        <v>2.6919661818345153E-2</v>
      </c>
      <c r="C20" s="10">
        <f t="shared" si="9"/>
        <v>2.6516435914168524E-2</v>
      </c>
      <c r="D20" s="10">
        <f t="shared" si="9"/>
        <v>5.480581824502484E-2</v>
      </c>
      <c r="E20" s="10">
        <f t="shared" si="9"/>
        <v>0.13667543406361582</v>
      </c>
      <c r="F20" s="10">
        <f t="shared" si="9"/>
        <v>0.13470967445170579</v>
      </c>
      <c r="G20" s="10">
        <f t="shared" si="9"/>
        <v>6.5420389880845198E-2</v>
      </c>
      <c r="H20" s="10">
        <f t="shared" si="9"/>
        <v>6.503468980785132E-2</v>
      </c>
      <c r="I20" s="10">
        <f t="shared" si="9"/>
        <v>-1.7539165844532301E-3</v>
      </c>
      <c r="J20" s="10">
        <f t="shared" si="9"/>
        <v>-1</v>
      </c>
      <c r="K20" s="10">
        <f t="shared" si="9"/>
        <v>-4.7761205309096555E-2</v>
      </c>
      <c r="L20" s="10">
        <f t="shared" si="9"/>
        <v>0.15406756379192843</v>
      </c>
      <c r="M20" s="10">
        <f t="shared" si="9"/>
        <v>1.2593188741339523E-2</v>
      </c>
      <c r="N20" s="10">
        <f t="shared" si="9"/>
        <v>-3.8580329080059372E-2</v>
      </c>
      <c r="O20" s="10">
        <f t="shared" si="9"/>
        <v>0.13512677666421613</v>
      </c>
      <c r="P20" s="10">
        <f t="shared" si="9"/>
        <v>8.804071795292967E-2</v>
      </c>
      <c r="Q20" s="10">
        <f t="shared" si="9"/>
        <v>4.327600790517816E-2</v>
      </c>
    </row>
    <row r="21" spans="1:17" ht="20.100000000000001" customHeight="1" x14ac:dyDescent="0.25">
      <c r="A21" s="5" t="s">
        <v>24</v>
      </c>
      <c r="B21" s="1">
        <v>102270</v>
      </c>
      <c r="C21" s="1">
        <v>176293</v>
      </c>
      <c r="D21" s="1">
        <v>92022</v>
      </c>
      <c r="E21" s="1">
        <v>10355226</v>
      </c>
      <c r="F21" s="1">
        <v>10418.531999999999</v>
      </c>
      <c r="G21" s="1">
        <v>14697.727000000001</v>
      </c>
      <c r="H21" s="11">
        <f t="shared" si="0"/>
        <v>70.885328051065301</v>
      </c>
      <c r="I21" s="2">
        <v>81129</v>
      </c>
      <c r="J21" s="2">
        <v>0</v>
      </c>
      <c r="K21" s="2">
        <v>81129</v>
      </c>
      <c r="L21" s="2">
        <v>957.78800000000001</v>
      </c>
      <c r="M21" s="2">
        <v>91.91</v>
      </c>
      <c r="N21" s="2">
        <v>15.788</v>
      </c>
      <c r="O21" s="2">
        <v>1065.4860000000001</v>
      </c>
      <c r="P21" s="2">
        <v>1701.491</v>
      </c>
      <c r="Q21" s="11">
        <f t="shared" si="1"/>
        <v>62.620724999426983</v>
      </c>
    </row>
    <row r="22" spans="1:17" ht="20.100000000000001" customHeight="1" x14ac:dyDescent="0.25">
      <c r="A22" s="6" t="s">
        <v>32</v>
      </c>
      <c r="B22" s="13">
        <f>(B21-B18)/B18</f>
        <v>9.848444162790948E-2</v>
      </c>
      <c r="C22" s="13">
        <f t="shared" ref="C22:Q22" si="10">(C21-C18)/C18</f>
        <v>0.12927980731658884</v>
      </c>
      <c r="D22" s="13">
        <f t="shared" si="10"/>
        <v>2.4242019500467477E-2</v>
      </c>
      <c r="E22" s="13">
        <f t="shared" si="10"/>
        <v>6.9359045031063923E-2</v>
      </c>
      <c r="F22" s="13">
        <f t="shared" si="10"/>
        <v>6.6470976130408685E-2</v>
      </c>
      <c r="G22" s="13">
        <f t="shared" si="10"/>
        <v>2.9187365926739244E-2</v>
      </c>
      <c r="H22" s="13">
        <f t="shared" si="10"/>
        <v>3.6226261065784644E-2</v>
      </c>
      <c r="I22" s="13">
        <f t="shared" si="10"/>
        <v>0.20353365277633551</v>
      </c>
      <c r="J22" s="12" t="s">
        <v>31</v>
      </c>
      <c r="K22" s="13">
        <f t="shared" si="10"/>
        <v>0.20353365277633551</v>
      </c>
      <c r="L22" s="13">
        <f t="shared" si="10"/>
        <v>6.7578879552008086E-2</v>
      </c>
      <c r="M22" s="13">
        <f t="shared" si="10"/>
        <v>0.18971185958008635</v>
      </c>
      <c r="N22" s="13">
        <f t="shared" si="10"/>
        <v>0.17095601869020244</v>
      </c>
      <c r="O22" s="13">
        <f t="shared" si="10"/>
        <v>7.8540656101452125E-2</v>
      </c>
      <c r="P22" s="13">
        <f t="shared" si="10"/>
        <v>1.6007198970074365E-2</v>
      </c>
      <c r="Q22" s="13">
        <f t="shared" si="10"/>
        <v>6.1548242172661756E-2</v>
      </c>
    </row>
    <row r="23" spans="1:17" ht="20.100000000000001" customHeight="1" x14ac:dyDescent="0.25">
      <c r="A23" s="7" t="s">
        <v>30</v>
      </c>
      <c r="B23" s="10">
        <f t="shared" ref="B23:Q23" si="11">(((B21/B6)^(1/5))-1)</f>
        <v>4.0849546508527013E-2</v>
      </c>
      <c r="C23" s="10">
        <f t="shared" si="11"/>
        <v>4.6292322211066717E-2</v>
      </c>
      <c r="D23" s="10">
        <f t="shared" si="11"/>
        <v>4.8620952471592371E-2</v>
      </c>
      <c r="E23" s="10">
        <f t="shared" si="11"/>
        <v>0.12288140180172968</v>
      </c>
      <c r="F23" s="10">
        <f t="shared" si="11"/>
        <v>0.12072126955513696</v>
      </c>
      <c r="G23" s="10">
        <f t="shared" si="11"/>
        <v>5.8073146887623883E-2</v>
      </c>
      <c r="H23" s="10">
        <f t="shared" si="11"/>
        <v>5.9209632955713687E-2</v>
      </c>
      <c r="I23" s="10">
        <f t="shared" si="11"/>
        <v>3.6291031534889218E-2</v>
      </c>
      <c r="J23" s="10">
        <f t="shared" si="11"/>
        <v>-1</v>
      </c>
      <c r="K23" s="10">
        <f t="shared" si="11"/>
        <v>-2.0969629482351371E-3</v>
      </c>
      <c r="L23" s="10">
        <f t="shared" si="11"/>
        <v>0.13622667941330246</v>
      </c>
      <c r="M23" s="10">
        <f t="shared" si="11"/>
        <v>4.5770434657020687E-2</v>
      </c>
      <c r="N23" s="10">
        <f t="shared" si="11"/>
        <v>8.8698540404053006E-5</v>
      </c>
      <c r="O23" s="10">
        <f t="shared" si="11"/>
        <v>0.12357689241050807</v>
      </c>
      <c r="P23" s="10">
        <f t="shared" si="11"/>
        <v>7.3236602362413139E-2</v>
      </c>
      <c r="Q23" s="10">
        <f t="shared" si="11"/>
        <v>4.6905118533309142E-2</v>
      </c>
    </row>
    <row r="24" spans="1:17" ht="20.100000000000001" customHeight="1" x14ac:dyDescent="0.25">
      <c r="A24" s="5" t="s">
        <v>25</v>
      </c>
      <c r="B24" s="1">
        <v>102808</v>
      </c>
      <c r="C24" s="1">
        <v>180314</v>
      </c>
      <c r="D24" s="1">
        <v>100721</v>
      </c>
      <c r="E24" s="1">
        <v>11727171</v>
      </c>
      <c r="F24" s="1">
        <v>11527.876</v>
      </c>
      <c r="G24" s="1">
        <v>14939.433000000001</v>
      </c>
      <c r="H24" s="11">
        <f t="shared" si="0"/>
        <v>77.164079788034783</v>
      </c>
      <c r="I24" s="2">
        <v>100721</v>
      </c>
      <c r="J24" s="2">
        <v>16403</v>
      </c>
      <c r="K24" s="2">
        <v>117124</v>
      </c>
      <c r="L24" s="2">
        <v>1059.8320000000001</v>
      </c>
      <c r="M24" s="2">
        <v>118.41800000000001</v>
      </c>
      <c r="N24" s="2">
        <v>15.295999999999999</v>
      </c>
      <c r="O24" s="2">
        <v>1193.546</v>
      </c>
      <c r="P24" s="2">
        <v>1702.2329999999999</v>
      </c>
      <c r="Q24" s="11">
        <f t="shared" si="1"/>
        <v>70.116488165838646</v>
      </c>
    </row>
    <row r="25" spans="1:17" ht="20.100000000000001" customHeight="1" x14ac:dyDescent="0.25">
      <c r="A25" s="6" t="s">
        <v>32</v>
      </c>
      <c r="B25" s="13">
        <f>(B24-B21)/B21</f>
        <v>5.2605847267038234E-3</v>
      </c>
      <c r="C25" s="13">
        <f t="shared" ref="C25:Q25" si="12">(C24-C21)/C21</f>
        <v>2.2808619740999358E-2</v>
      </c>
      <c r="D25" s="13">
        <f t="shared" si="12"/>
        <v>9.453174240942383E-2</v>
      </c>
      <c r="E25" s="13">
        <f t="shared" si="12"/>
        <v>0.13248817553571501</v>
      </c>
      <c r="F25" s="13">
        <f t="shared" si="12"/>
        <v>0.10647795677932372</v>
      </c>
      <c r="G25" s="13">
        <f t="shared" si="12"/>
        <v>1.6445127875895377E-2</v>
      </c>
      <c r="H25" s="13">
        <f t="shared" si="12"/>
        <v>8.8576182259413591E-2</v>
      </c>
      <c r="I25" s="13">
        <f t="shared" si="12"/>
        <v>0.24149194492721468</v>
      </c>
      <c r="J25" s="12" t="s">
        <v>31</v>
      </c>
      <c r="K25" s="13">
        <f t="shared" si="12"/>
        <v>0.44367612074597246</v>
      </c>
      <c r="L25" s="13">
        <f t="shared" si="12"/>
        <v>0.10654132229679229</v>
      </c>
      <c r="M25" s="13">
        <f t="shared" si="12"/>
        <v>0.28841257752148852</v>
      </c>
      <c r="N25" s="13">
        <f t="shared" si="12"/>
        <v>-3.116290853813028E-2</v>
      </c>
      <c r="O25" s="13">
        <f t="shared" si="12"/>
        <v>0.1201892845142967</v>
      </c>
      <c r="P25" s="13">
        <f t="shared" si="12"/>
        <v>4.3608811330765889E-4</v>
      </c>
      <c r="Q25" s="13">
        <f t="shared" si="12"/>
        <v>0.11970099621938669</v>
      </c>
    </row>
    <row r="26" spans="1:17" ht="20.100000000000001" customHeight="1" x14ac:dyDescent="0.25">
      <c r="A26" s="7" t="s">
        <v>30</v>
      </c>
      <c r="B26" s="10">
        <f t="shared" ref="B26:Q26" si="13">(((B24/B6)^(1/6))-1)</f>
        <v>3.4831738647582711E-2</v>
      </c>
      <c r="C26" s="10">
        <f t="shared" si="13"/>
        <v>4.23412585445746E-2</v>
      </c>
      <c r="D26" s="10">
        <f t="shared" si="13"/>
        <v>5.6136785369269138E-2</v>
      </c>
      <c r="E26" s="10">
        <f t="shared" si="13"/>
        <v>0.12447685275083931</v>
      </c>
      <c r="F26" s="10">
        <f t="shared" si="13"/>
        <v>0.11833471480115554</v>
      </c>
      <c r="G26" s="10">
        <f t="shared" si="13"/>
        <v>5.101859582022561E-2</v>
      </c>
      <c r="H26" s="10">
        <f t="shared" si="13"/>
        <v>6.4048456657796571E-2</v>
      </c>
      <c r="I26" s="10">
        <f t="shared" si="13"/>
        <v>6.7969297012089092E-2</v>
      </c>
      <c r="J26" s="10">
        <f t="shared" si="13"/>
        <v>2.552337088034573E-2</v>
      </c>
      <c r="K26" s="10">
        <f t="shared" si="13"/>
        <v>6.1252148515696492E-2</v>
      </c>
      <c r="L26" s="10">
        <f t="shared" si="13"/>
        <v>0.13122438489093224</v>
      </c>
      <c r="M26" s="10">
        <f t="shared" si="13"/>
        <v>8.277808924155039E-2</v>
      </c>
      <c r="N26" s="10">
        <f t="shared" si="13"/>
        <v>-5.1890448936294797E-3</v>
      </c>
      <c r="O26" s="10">
        <f t="shared" si="13"/>
        <v>0.1230115804994707</v>
      </c>
      <c r="P26" s="10">
        <f t="shared" si="13"/>
        <v>6.0745312640016369E-2</v>
      </c>
      <c r="Q26" s="10">
        <f t="shared" si="13"/>
        <v>5.8700488342940949E-2</v>
      </c>
    </row>
    <row r="27" spans="1:17" ht="20.100000000000001" customHeight="1" x14ac:dyDescent="0.25">
      <c r="A27" s="5" t="s">
        <v>26</v>
      </c>
      <c r="B27" s="1">
        <v>104122</v>
      </c>
      <c r="C27" s="1">
        <v>188049</v>
      </c>
      <c r="D27" s="1">
        <v>118071</v>
      </c>
      <c r="E27" s="1">
        <v>12742163</v>
      </c>
      <c r="F27" s="1">
        <v>12249.286</v>
      </c>
      <c r="G27" s="1">
        <v>15467.941999999999</v>
      </c>
      <c r="H27" s="11">
        <f t="shared" si="0"/>
        <v>79.191439947214704</v>
      </c>
      <c r="I27" s="2">
        <v>83405</v>
      </c>
      <c r="J27" s="2">
        <v>16207</v>
      </c>
      <c r="K27" s="2">
        <v>99612</v>
      </c>
      <c r="L27" s="2">
        <v>1123.7159999999999</v>
      </c>
      <c r="M27" s="2">
        <v>98.012</v>
      </c>
      <c r="N27" s="2">
        <v>15.452</v>
      </c>
      <c r="O27" s="2">
        <v>1237.18</v>
      </c>
      <c r="P27" s="2">
        <v>1740.549</v>
      </c>
      <c r="Q27" s="11">
        <f t="shared" si="1"/>
        <v>71.079871925467202</v>
      </c>
    </row>
    <row r="28" spans="1:17" ht="20.100000000000001" customHeight="1" x14ac:dyDescent="0.25">
      <c r="A28" s="6" t="s">
        <v>32</v>
      </c>
      <c r="B28" s="13">
        <f>(B27-B24)/B24</f>
        <v>1.2781106528674811E-2</v>
      </c>
      <c r="C28" s="13">
        <f t="shared" ref="C28:Q28" si="14">(C27-C24)/C24</f>
        <v>4.2897390108366518E-2</v>
      </c>
      <c r="D28" s="13">
        <f t="shared" si="14"/>
        <v>0.17225801967812074</v>
      </c>
      <c r="E28" s="13">
        <f t="shared" si="14"/>
        <v>8.6550456201244103E-2</v>
      </c>
      <c r="F28" s="13">
        <f t="shared" si="14"/>
        <v>6.257961136986552E-2</v>
      </c>
      <c r="G28" s="13">
        <f t="shared" si="14"/>
        <v>3.5376777686274855E-2</v>
      </c>
      <c r="H28" s="13">
        <f t="shared" si="14"/>
        <v>2.6273366633140192E-2</v>
      </c>
      <c r="I28" s="13">
        <f t="shared" si="14"/>
        <v>-0.17192045353004834</v>
      </c>
      <c r="J28" s="13">
        <f t="shared" si="14"/>
        <v>-1.194903371334512E-2</v>
      </c>
      <c r="K28" s="13">
        <f t="shared" si="14"/>
        <v>-0.14951675147706703</v>
      </c>
      <c r="L28" s="13">
        <f t="shared" si="14"/>
        <v>6.0277477939899703E-2</v>
      </c>
      <c r="M28" s="13">
        <f t="shared" si="14"/>
        <v>-0.17232177540576604</v>
      </c>
      <c r="N28" s="13">
        <f t="shared" si="14"/>
        <v>1.0198744769874516E-2</v>
      </c>
      <c r="O28" s="13">
        <f t="shared" si="14"/>
        <v>3.655828933279489E-2</v>
      </c>
      <c r="P28" s="13">
        <f t="shared" si="14"/>
        <v>2.2509256958360008E-2</v>
      </c>
      <c r="Q28" s="13">
        <f t="shared" si="14"/>
        <v>1.373976057314754E-2</v>
      </c>
    </row>
    <row r="29" spans="1:17" ht="20.100000000000001" customHeight="1" x14ac:dyDescent="0.25">
      <c r="A29" s="7" t="s">
        <v>30</v>
      </c>
      <c r="B29" s="10">
        <f t="shared" ref="B29:Q29" si="15">(((B27/B6)^(1/7))-1)</f>
        <v>3.1652495811359538E-2</v>
      </c>
      <c r="C29" s="10">
        <f t="shared" si="15"/>
        <v>4.2420687750367225E-2</v>
      </c>
      <c r="D29" s="10">
        <f t="shared" si="15"/>
        <v>7.1993205481074796E-2</v>
      </c>
      <c r="E29" s="10">
        <f t="shared" si="15"/>
        <v>0.11897880312474696</v>
      </c>
      <c r="F29" s="10">
        <f t="shared" si="15"/>
        <v>0.11019406753821848</v>
      </c>
      <c r="G29" s="10">
        <f t="shared" si="15"/>
        <v>4.8769665212198055E-2</v>
      </c>
      <c r="H29" s="10">
        <f t="shared" si="15"/>
        <v>5.8568057757079073E-2</v>
      </c>
      <c r="I29" s="10">
        <f t="shared" si="15"/>
        <v>2.985232003082583E-2</v>
      </c>
      <c r="J29" s="10">
        <f t="shared" si="15"/>
        <v>2.0084392425678832E-2</v>
      </c>
      <c r="K29" s="10">
        <f t="shared" si="15"/>
        <v>2.8211520470364571E-2</v>
      </c>
      <c r="L29" s="10">
        <f t="shared" si="15"/>
        <v>0.12080561501973852</v>
      </c>
      <c r="M29" s="10">
        <f t="shared" si="15"/>
        <v>4.2008312002915549E-2</v>
      </c>
      <c r="N29" s="10">
        <f t="shared" si="15"/>
        <v>-3.0052238133733145E-3</v>
      </c>
      <c r="O29" s="10">
        <f t="shared" si="15"/>
        <v>0.11023307810353189</v>
      </c>
      <c r="P29" s="10">
        <f t="shared" si="15"/>
        <v>5.5196702095658079E-2</v>
      </c>
      <c r="Q29" s="10">
        <f t="shared" si="15"/>
        <v>5.2157456423593374E-2</v>
      </c>
    </row>
    <row r="30" spans="1:17" ht="20.100000000000001" customHeight="1" x14ac:dyDescent="0.25">
      <c r="A30" s="5" t="s">
        <v>27</v>
      </c>
      <c r="B30" s="1">
        <v>109258</v>
      </c>
      <c r="C30" s="1">
        <v>199338</v>
      </c>
      <c r="D30" s="1">
        <v>113547</v>
      </c>
      <c r="E30" s="1">
        <v>13734192</v>
      </c>
      <c r="F30" s="1">
        <v>13083.157999999999</v>
      </c>
      <c r="G30" s="1">
        <v>16517.294999999998</v>
      </c>
      <c r="H30" s="11">
        <f t="shared" si="0"/>
        <v>79.208841399272714</v>
      </c>
      <c r="I30" s="2">
        <v>63802</v>
      </c>
      <c r="J30" s="2">
        <v>10031</v>
      </c>
      <c r="K30" s="2">
        <v>73833</v>
      </c>
      <c r="L30" s="2">
        <v>1204.115</v>
      </c>
      <c r="M30" s="2">
        <v>76.305000000000007</v>
      </c>
      <c r="N30" s="2">
        <v>9.6180000000000003</v>
      </c>
      <c r="O30" s="2">
        <v>1290.038</v>
      </c>
      <c r="P30" s="2">
        <v>1861.8820000000001</v>
      </c>
      <c r="Q30" s="11">
        <f t="shared" si="1"/>
        <v>69.286775424006464</v>
      </c>
    </row>
    <row r="31" spans="1:17" ht="20.100000000000001" customHeight="1" x14ac:dyDescent="0.25">
      <c r="A31" s="6" t="s">
        <v>32</v>
      </c>
      <c r="B31" s="13">
        <f>(B30-B27)/B27</f>
        <v>4.932675131096214E-2</v>
      </c>
      <c r="C31" s="13">
        <f t="shared" ref="C31:Q31" si="16">(C30-C27)/C27</f>
        <v>6.0032225643316367E-2</v>
      </c>
      <c r="D31" s="13">
        <f t="shared" si="16"/>
        <v>-3.8315928551464797E-2</v>
      </c>
      <c r="E31" s="13">
        <f t="shared" si="16"/>
        <v>7.7854050368057606E-2</v>
      </c>
      <c r="F31" s="13">
        <f t="shared" si="16"/>
        <v>6.807515148229859E-2</v>
      </c>
      <c r="G31" s="13">
        <f t="shared" si="16"/>
        <v>6.7840505220410005E-2</v>
      </c>
      <c r="H31" s="13">
        <f t="shared" si="16"/>
        <v>2.1973905348367359E-4</v>
      </c>
      <c r="I31" s="13">
        <f t="shared" si="16"/>
        <v>-0.2350338708710509</v>
      </c>
      <c r="J31" s="13">
        <f t="shared" si="16"/>
        <v>-0.3810699080644166</v>
      </c>
      <c r="K31" s="13">
        <f t="shared" si="16"/>
        <v>-0.25879412119021805</v>
      </c>
      <c r="L31" s="13">
        <f t="shared" si="16"/>
        <v>7.154743725282911E-2</v>
      </c>
      <c r="M31" s="13">
        <f t="shared" si="16"/>
        <v>-0.22147288087172992</v>
      </c>
      <c r="N31" s="13">
        <f t="shared" si="16"/>
        <v>-0.37755630339114676</v>
      </c>
      <c r="O31" s="13">
        <f t="shared" si="16"/>
        <v>4.2724583326597537E-2</v>
      </c>
      <c r="P31" s="13">
        <f t="shared" si="16"/>
        <v>6.9709614610102957E-2</v>
      </c>
      <c r="Q31" s="13">
        <f t="shared" si="16"/>
        <v>-2.5226501580376225E-2</v>
      </c>
    </row>
    <row r="32" spans="1:17" ht="20.100000000000001" customHeight="1" x14ac:dyDescent="0.25">
      <c r="A32" s="7" t="s">
        <v>30</v>
      </c>
      <c r="B32" s="10">
        <f>(((B30/B6)^(1/8))-1)</f>
        <v>3.3845393794263323E-2</v>
      </c>
      <c r="C32" s="10">
        <f t="shared" ref="C32:Q32" si="17">(((C30/C6)^(1/8))-1)</f>
        <v>4.4606027797166048E-2</v>
      </c>
      <c r="D32" s="10">
        <f t="shared" si="17"/>
        <v>5.7540678231947417E-2</v>
      </c>
      <c r="E32" s="10">
        <f t="shared" si="17"/>
        <v>0.11375360310113614</v>
      </c>
      <c r="F32" s="10">
        <f t="shared" si="17"/>
        <v>0.10483968642020791</v>
      </c>
      <c r="G32" s="10">
        <f t="shared" si="17"/>
        <v>5.1134768199311065E-2</v>
      </c>
      <c r="H32" s="10">
        <f t="shared" si="17"/>
        <v>5.1092324072676387E-2</v>
      </c>
      <c r="I32" s="10">
        <f t="shared" si="17"/>
        <v>-7.7220094451835308E-3</v>
      </c>
      <c r="J32" s="10">
        <f t="shared" si="17"/>
        <v>-4.1677268602176798E-2</v>
      </c>
      <c r="K32" s="10">
        <f t="shared" si="17"/>
        <v>-1.3005996152169463E-2</v>
      </c>
      <c r="L32" s="10">
        <f t="shared" si="17"/>
        <v>0.11452659466119619</v>
      </c>
      <c r="M32" s="10">
        <f t="shared" si="17"/>
        <v>4.7233686878509484E-3</v>
      </c>
      <c r="N32" s="10">
        <f t="shared" si="17"/>
        <v>-6.0019635474400812E-2</v>
      </c>
      <c r="O32" s="10">
        <f t="shared" si="17"/>
        <v>0.10156110684887709</v>
      </c>
      <c r="P32" s="10">
        <f t="shared" si="17"/>
        <v>5.6999993070303345E-2</v>
      </c>
      <c r="Q32" s="10">
        <f t="shared" si="17"/>
        <v>4.2158102242872975E-2</v>
      </c>
    </row>
    <row r="33" spans="1:17" ht="20.100000000000001" customHeight="1" x14ac:dyDescent="0.25">
      <c r="A33" s="5" t="s">
        <v>28</v>
      </c>
      <c r="B33" s="1">
        <v>115736</v>
      </c>
      <c r="C33" s="1">
        <v>216527.5</v>
      </c>
      <c r="D33" s="1">
        <v>121639.3</v>
      </c>
      <c r="E33" s="1">
        <v>14755383</v>
      </c>
      <c r="F33" s="1">
        <v>14330.642199999998</v>
      </c>
      <c r="G33" s="1">
        <v>17811.933699999998</v>
      </c>
      <c r="H33" s="11">
        <f t="shared" si="0"/>
        <v>80.45528599738725</v>
      </c>
      <c r="I33" s="2">
        <v>75049</v>
      </c>
      <c r="J33" s="2">
        <v>10194.1</v>
      </c>
      <c r="K33" s="2">
        <v>85243.1</v>
      </c>
      <c r="L33" s="2">
        <v>1396.8109999999999</v>
      </c>
      <c r="M33" s="2">
        <v>90.887500000000003</v>
      </c>
      <c r="N33" s="2">
        <v>9.8983999999999988</v>
      </c>
      <c r="O33" s="2">
        <v>1497.5969</v>
      </c>
      <c r="P33" s="2">
        <v>2026.5603999999998</v>
      </c>
      <c r="Q33" s="11">
        <f t="shared" si="1"/>
        <v>73.898458688919419</v>
      </c>
    </row>
    <row r="34" spans="1:17" ht="20.100000000000001" customHeight="1" x14ac:dyDescent="0.25">
      <c r="A34" s="6" t="s">
        <v>32</v>
      </c>
      <c r="B34" s="13">
        <f>(B33-B30)/B30</f>
        <v>5.929085284372769E-2</v>
      </c>
      <c r="C34" s="13">
        <f t="shared" ref="C34:Q34" si="18">(C33-C30)/C30</f>
        <v>8.6232931001615346E-2</v>
      </c>
      <c r="D34" s="13">
        <f t="shared" si="18"/>
        <v>7.1268285379622556E-2</v>
      </c>
      <c r="E34" s="13">
        <f t="shared" si="18"/>
        <v>7.4353919036518487E-2</v>
      </c>
      <c r="F34" s="13">
        <f t="shared" si="18"/>
        <v>9.5350388644698705E-2</v>
      </c>
      <c r="G34" s="13">
        <f t="shared" si="18"/>
        <v>7.8380794191785008E-2</v>
      </c>
      <c r="H34" s="13">
        <f t="shared" si="18"/>
        <v>1.5736180154832826E-2</v>
      </c>
      <c r="I34" s="13">
        <f t="shared" si="18"/>
        <v>0.17627974044700792</v>
      </c>
      <c r="J34" s="13">
        <f t="shared" si="18"/>
        <v>1.6259595254710435E-2</v>
      </c>
      <c r="K34" s="13">
        <f t="shared" si="18"/>
        <v>0.15453929814581563</v>
      </c>
      <c r="L34" s="13">
        <f t="shared" si="18"/>
        <v>0.16003122625330629</v>
      </c>
      <c r="M34" s="13">
        <f t="shared" si="18"/>
        <v>0.19110805320752236</v>
      </c>
      <c r="N34" s="13">
        <f t="shared" si="18"/>
        <v>2.9153670201704972E-2</v>
      </c>
      <c r="O34" s="13">
        <f t="shared" si="18"/>
        <v>0.16089363259066786</v>
      </c>
      <c r="P34" s="13">
        <f t="shared" si="18"/>
        <v>8.8447280762153441E-2</v>
      </c>
      <c r="Q34" s="13">
        <f t="shared" si="18"/>
        <v>6.6559357636307312E-2</v>
      </c>
    </row>
    <row r="35" spans="1:17" ht="20.100000000000001" customHeight="1" x14ac:dyDescent="0.25">
      <c r="A35" s="7" t="s">
        <v>30</v>
      </c>
      <c r="B35" s="10">
        <f>(((B33/B6)^(1/9))-1)</f>
        <v>3.6642210778136564E-2</v>
      </c>
      <c r="C35" s="10">
        <f t="shared" ref="C35:Q35" si="19">(((C33/C6)^(1/9))-1)</f>
        <v>4.9151320837275358E-2</v>
      </c>
      <c r="D35" s="10">
        <f t="shared" si="19"/>
        <v>5.9057239473543799E-2</v>
      </c>
      <c r="E35" s="10">
        <f t="shared" si="19"/>
        <v>0.10930545810665593</v>
      </c>
      <c r="F35" s="10">
        <f t="shared" si="19"/>
        <v>0.10378127330367803</v>
      </c>
      <c r="G35" s="10">
        <f t="shared" si="19"/>
        <v>5.4127787462221022E-2</v>
      </c>
      <c r="H35" s="10">
        <f t="shared" si="19"/>
        <v>4.7103858215327143E-2</v>
      </c>
      <c r="I35" s="10">
        <f t="shared" si="19"/>
        <v>1.1211366816710644E-2</v>
      </c>
      <c r="J35" s="10">
        <f t="shared" si="19"/>
        <v>-3.5406500649855843E-2</v>
      </c>
      <c r="K35" s="10">
        <f t="shared" si="19"/>
        <v>4.3394851671525458E-3</v>
      </c>
      <c r="L35" s="10">
        <f t="shared" si="19"/>
        <v>0.11949320816587616</v>
      </c>
      <c r="M35" s="10">
        <f t="shared" si="19"/>
        <v>2.3901389014724606E-2</v>
      </c>
      <c r="N35" s="10">
        <f t="shared" si="19"/>
        <v>-5.0505888810299604E-2</v>
      </c>
      <c r="O35" s="10">
        <f t="shared" si="19"/>
        <v>0.1080009455621882</v>
      </c>
      <c r="P35" s="10">
        <f t="shared" si="19"/>
        <v>6.044878086016614E-2</v>
      </c>
      <c r="Q35" s="10">
        <f t="shared" si="19"/>
        <v>4.4841547805308357E-2</v>
      </c>
    </row>
    <row r="36" spans="1:17" ht="20.100000000000001" customHeight="1" x14ac:dyDescent="0.25">
      <c r="A36" s="9" t="s">
        <v>33</v>
      </c>
      <c r="B36" s="1">
        <v>119091</v>
      </c>
      <c r="C36" s="1">
        <v>221689.27970000001</v>
      </c>
      <c r="D36" s="1">
        <v>128943.655</v>
      </c>
      <c r="E36" s="1">
        <v>15479331</v>
      </c>
      <c r="F36" s="1">
        <v>15013.722734999999</v>
      </c>
      <c r="G36" s="1">
        <v>18517.913667000004</v>
      </c>
      <c r="H36" s="11">
        <f t="shared" si="0"/>
        <v>81.076750896378371</v>
      </c>
      <c r="I36" s="14">
        <v>73036.244699999996</v>
      </c>
      <c r="J36" s="2">
        <v>8762.1279999999988</v>
      </c>
      <c r="K36" s="2">
        <v>81798.372699999993</v>
      </c>
      <c r="L36" s="2">
        <v>1475.0026169999999</v>
      </c>
      <c r="M36" s="2">
        <v>85.048941375000012</v>
      </c>
      <c r="N36" s="2">
        <v>8.843221999999999</v>
      </c>
      <c r="O36" s="2">
        <v>1568.894780375</v>
      </c>
      <c r="P36" s="2">
        <v>2047.1803712200001</v>
      </c>
      <c r="Q36" s="11">
        <f t="shared" si="1"/>
        <v>76.636861237587496</v>
      </c>
    </row>
    <row r="37" spans="1:17" ht="20.100000000000001" customHeight="1" x14ac:dyDescent="0.25">
      <c r="A37" s="6" t="s">
        <v>29</v>
      </c>
      <c r="B37" s="13">
        <f>(B36-B33)/B33</f>
        <v>2.8988387364346443E-2</v>
      </c>
      <c r="C37" s="13">
        <f t="shared" ref="C37:Q37" si="20">(C36-C33)/C33</f>
        <v>2.3838910530994972E-2</v>
      </c>
      <c r="D37" s="13">
        <f t="shared" si="20"/>
        <v>6.004930150041965E-2</v>
      </c>
      <c r="E37" s="13">
        <f t="shared" si="20"/>
        <v>4.9063314723853661E-2</v>
      </c>
      <c r="F37" s="13">
        <f t="shared" si="20"/>
        <v>4.7665730918883806E-2</v>
      </c>
      <c r="G37" s="13">
        <f t="shared" si="20"/>
        <v>3.963522315378968E-2</v>
      </c>
      <c r="H37" s="13">
        <f t="shared" si="20"/>
        <v>7.724351374641847E-3</v>
      </c>
      <c r="I37" s="13">
        <f t="shared" si="20"/>
        <v>-2.681921544590873E-2</v>
      </c>
      <c r="J37" s="13">
        <f t="shared" si="20"/>
        <v>-0.14047066440392006</v>
      </c>
      <c r="K37" s="13">
        <f t="shared" si="20"/>
        <v>-4.041062913009983E-2</v>
      </c>
      <c r="L37" s="13">
        <f t="shared" si="20"/>
        <v>5.5978666405118484E-2</v>
      </c>
      <c r="M37" s="13">
        <f t="shared" si="20"/>
        <v>-6.4239401732911455E-2</v>
      </c>
      <c r="N37" s="13">
        <f t="shared" si="20"/>
        <v>-0.10660086478622806</v>
      </c>
      <c r="O37" s="13">
        <f t="shared" si="20"/>
        <v>4.7608191747058222E-2</v>
      </c>
      <c r="P37" s="13">
        <f t="shared" si="20"/>
        <v>1.0174861415430921E-2</v>
      </c>
      <c r="Q37" s="13">
        <f t="shared" si="20"/>
        <v>3.7056287739309537E-2</v>
      </c>
    </row>
    <row r="38" spans="1:17" ht="20.100000000000001" customHeight="1" x14ac:dyDescent="0.25">
      <c r="A38" s="7" t="s">
        <v>30</v>
      </c>
      <c r="B38" s="10">
        <f>(((B36/B6)^(1/10))-1)</f>
        <v>3.5874273515933863E-2</v>
      </c>
      <c r="C38" s="10">
        <f t="shared" ref="C38:Q38" si="21">(((C36/C6)^(1/10))-1)</f>
        <v>4.6592170837787217E-2</v>
      </c>
      <c r="D38" s="10">
        <f t="shared" si="21"/>
        <v>5.9156403882304476E-2</v>
      </c>
      <c r="E38" s="10">
        <f t="shared" si="21"/>
        <v>0.10312875372188612</v>
      </c>
      <c r="F38" s="10">
        <f t="shared" si="21"/>
        <v>9.8037047262231392E-2</v>
      </c>
      <c r="G38" s="10">
        <f t="shared" si="21"/>
        <v>5.2669485946090111E-2</v>
      </c>
      <c r="H38" s="10">
        <f t="shared" si="21"/>
        <v>4.3097631233574685E-2</v>
      </c>
      <c r="I38" s="10">
        <f t="shared" si="21"/>
        <v>7.3423694256413707E-3</v>
      </c>
      <c r="J38" s="10">
        <f t="shared" si="21"/>
        <v>-4.6466472406996417E-2</v>
      </c>
      <c r="K38" s="10">
        <f t="shared" si="21"/>
        <v>-2.2786942722174963E-4</v>
      </c>
      <c r="L38" s="10">
        <f t="shared" si="21"/>
        <v>0.11297351888502982</v>
      </c>
      <c r="M38" s="10">
        <f t="shared" si="21"/>
        <v>1.4726014235743712E-2</v>
      </c>
      <c r="N38" s="10">
        <f t="shared" si="21"/>
        <v>-5.6270348040069251E-2</v>
      </c>
      <c r="O38" s="10">
        <f t="shared" si="21"/>
        <v>0.10180821594113465</v>
      </c>
      <c r="P38" s="10">
        <f t="shared" si="21"/>
        <v>5.5310800975356456E-2</v>
      </c>
      <c r="Q38" s="10">
        <f t="shared" si="21"/>
        <v>4.4060399005490858E-2</v>
      </c>
    </row>
    <row r="39" spans="1:17" ht="18.75" customHeight="1" x14ac:dyDescent="0.25">
      <c r="A39" s="24" t="s">
        <v>38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</row>
    <row r="40" spans="1:17" ht="33.75" customHeight="1" x14ac:dyDescent="0.25">
      <c r="A40" s="17" t="s">
        <v>37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P4:P5"/>
    <mergeCell ref="Q4:Q5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39:Q39"/>
  </mergeCells>
  <pageMargins left="0.7" right="0.7" top="0.75" bottom="0.75" header="0.3" footer="0.3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2020-05-11T07:35:52Z</cp:lastPrinted>
  <dcterms:created xsi:type="dcterms:W3CDTF">2018-10-29T04:00:14Z</dcterms:created>
  <dcterms:modified xsi:type="dcterms:W3CDTF">2020-05-20T08:57:28Z</dcterms:modified>
</cp:coreProperties>
</file>