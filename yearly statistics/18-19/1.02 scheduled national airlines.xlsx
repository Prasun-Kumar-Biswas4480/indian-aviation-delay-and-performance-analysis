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NATIONAL AIRLINES\"/>
    </mc:Choice>
  </mc:AlternateContent>
  <bookViews>
    <workbookView showHorizontalScroll="0" showVerticalScroll="0" showSheetTabs="0" xWindow="-120" yWindow="-120" windowWidth="20736" windowHeight="11160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1" l="1"/>
  <c r="Q7" i="1" l="1"/>
  <c r="Q8" i="1"/>
  <c r="Q9" i="1"/>
  <c r="Q10" i="1"/>
  <c r="Q11" i="1"/>
  <c r="Q12" i="1"/>
  <c r="Q13" i="1"/>
  <c r="Q14" i="1"/>
  <c r="Q15" i="1"/>
  <c r="Q16" i="1"/>
  <c r="Q17" i="1"/>
  <c r="Q18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<sst xmlns="http://schemas.openxmlformats.org/spreadsheetml/2006/main" count="26" uniqueCount="24">
  <si>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</si>
  <si>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</si>
  <si>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</si>
  <si>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</si>
  <si>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</si>
  <si>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</si>
  <si>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</si>
  <si>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</si>
  <si>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</si>
  <si>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</si>
  <si>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</si>
  <si>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</si>
  <si>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</si>
  <si>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</si>
  <si>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</si>
  <si>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</si>
  <si>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</si>
  <si>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</si>
  <si>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</si>
  <si>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</si>
  <si>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- 1.02 (सभी अनुसूचित राष्ट्रीय एयरलाइन्स) </t>
  </si>
  <si>
    <t>Table 1.02 (ALL SCHEDULED NATIONAL AIRLINES)</t>
  </si>
  <si>
    <t>SOURCE:-  ICAO ATR FORM 'A' FURNISHED BY NATIONAL  AIRLINES</t>
  </si>
  <si>
    <t>MONTHLY TRAFFIC AND OPERATING STATISTICS OF ALL SCHEDULED NATIONAL AIRLINES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</si>
</sst>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5" fontId="3" fillId="5" borderId="1" xfId="4" applyNumberFormat="1" applyBorder="1" applyAlignment="1">
      <alignment horizontal="right" vertical="center"/>
    </xf>
    <xf numFmtId="166" fontId="3" fillId="4" borderId="1" xfId="3" applyNumberFormat="1" applyBorder="1" applyAlignment="1" applyProtection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</xf>
    <xf numFmtId="164" fontId="6" fillId="5" borderId="1" xfId="4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center" vertical="center" wrapText="1"/>
    </xf>
    <xf numFmtId="165" fontId="6" fillId="5" borderId="1" xfId="4" applyNumberFormat="1" applyFont="1" applyBorder="1" applyAlignment="1" applyProtection="1">
      <alignment horizontal="right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activeCell="O9" sqref="O9"/>
    </sheetView>
  </sheetViews>
  <sheetFormatPr defaultColWidth="9.109375" defaultRowHeight="14.4" x14ac:dyDescent="0.3"/>
  <cols>
    <col min="1" max="1" width="9.33203125" style="1" customWidth="1"/>
    <col min="2" max="2" width="8.6640625" style="1" customWidth="1"/>
    <col min="3" max="3" width="9" style="1" customWidth="1"/>
    <col min="4" max="4" width="9.33203125" style="1" customWidth="1"/>
    <col min="5" max="5" width="12.109375" style="1" customWidth="1"/>
    <col min="6" max="6" width="8.33203125" style="1" customWidth="1"/>
    <col min="7" max="8" width="7.5546875" style="1" customWidth="1"/>
    <col min="9" max="9" width="10.44140625" style="1" customWidth="1"/>
    <col min="10" max="10" width="8.44140625" style="1" customWidth="1"/>
    <col min="11" max="11" width="10.6640625" style="1" customWidth="1"/>
    <col min="12" max="12" width="9.5546875" style="1" customWidth="1"/>
    <col min="13" max="13" width="10.109375" style="1" customWidth="1"/>
    <col min="14" max="14" width="7.5546875" style="1" customWidth="1"/>
    <col min="15" max="15" width="10.5546875" style="1" customWidth="1"/>
    <col min="16" max="16" width="11" style="1" customWidth="1"/>
    <col min="17" max="17" width="7.6640625" style="1" customWidth="1"/>
    <col min="18" max="16384" width="9.109375" style="1"/>
  </cols>
  <sheetData>
    <row r="1" spans="1:17" ht="18.75" customHeight="1" x14ac:dyDescent="0.3">
      <c r="A1" s="17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3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3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3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128.25" customHeight="1" x14ac:dyDescent="0.3">
      <c r="A5" s="2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15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ht="30" customHeight="1" x14ac:dyDescent="0.3">
      <c r="A6" s="6">
        <v>43191</v>
      </c>
      <c r="B6" s="7">
        <v>5564</v>
      </c>
      <c r="C6" s="7">
        <v>28203.99</v>
      </c>
      <c r="D6" s="7">
        <v>27220.14</v>
      </c>
      <c r="E6" s="7">
        <v>924480</v>
      </c>
      <c r="F6" s="7">
        <v>3654.9620360000004</v>
      </c>
      <c r="G6" s="7">
        <v>4635.1467539999994</v>
      </c>
      <c r="H6" s="9">
        <f>F6/G6*100</f>
        <v>78.853210695990853</v>
      </c>
      <c r="I6" s="8">
        <v>12609.074000000001</v>
      </c>
      <c r="J6" s="8">
        <v>310.79999999999995</v>
      </c>
      <c r="K6" s="8">
        <v>12919.874</v>
      </c>
      <c r="L6" s="8">
        <v>320.17116402400006</v>
      </c>
      <c r="M6" s="8">
        <v>65.632322572999996</v>
      </c>
      <c r="N6" s="8">
        <v>2.0368286580000001</v>
      </c>
      <c r="O6" s="8">
        <v>387.84031525499995</v>
      </c>
      <c r="P6" s="8">
        <v>576.714316553</v>
      </c>
      <c r="Q6" s="9">
        <f>O6/P6*100</f>
        <v>67.249989140742514</v>
      </c>
    </row>
    <row r="7" spans="1:17" ht="30" customHeight="1" x14ac:dyDescent="0.3">
      <c r="A7" s="2">
        <v>43221</v>
      </c>
      <c r="B7" s="3">
        <v>5749</v>
      </c>
      <c r="C7" s="3">
        <v>29201.64</v>
      </c>
      <c r="D7" s="3">
        <v>28331.5</v>
      </c>
      <c r="E7" s="3">
        <v>921956</v>
      </c>
      <c r="F7" s="3">
        <v>3714.0998999999997</v>
      </c>
      <c r="G7" s="3">
        <v>4820.6021000000001</v>
      </c>
      <c r="H7" s="9">
        <f t="shared" ref="H7:H18" si="0">F7/G7*100</f>
        <v>77.046390117948121</v>
      </c>
      <c r="I7" s="4">
        <v>12481</v>
      </c>
      <c r="J7" s="4">
        <v>327.81</v>
      </c>
      <c r="K7" s="4">
        <v>12808.810000000001</v>
      </c>
      <c r="L7" s="4">
        <v>351.925585786</v>
      </c>
      <c r="M7" s="4">
        <v>63.346599999999995</v>
      </c>
      <c r="N7" s="4">
        <v>2.1935958378999998</v>
      </c>
      <c r="O7" s="4">
        <v>417.46758945000005</v>
      </c>
      <c r="P7" s="4">
        <v>630.63209999999992</v>
      </c>
      <c r="Q7" s="9">
        <f t="shared" ref="Q7:Q18" si="1">O7/P7*100</f>
        <v>66.19827779936989</v>
      </c>
    </row>
    <row r="8" spans="1:17" ht="30" customHeight="1" x14ac:dyDescent="0.3">
      <c r="A8" s="6">
        <v>43252</v>
      </c>
      <c r="B8" s="7">
        <v>5595</v>
      </c>
      <c r="C8" s="7">
        <v>28411.18</v>
      </c>
      <c r="D8" s="7">
        <v>27560.400000000001</v>
      </c>
      <c r="E8" s="7">
        <v>869119</v>
      </c>
      <c r="F8" s="7">
        <v>3655.9064000000003</v>
      </c>
      <c r="G8" s="7">
        <v>4710.1952999999994</v>
      </c>
      <c r="H8" s="9">
        <f t="shared" si="0"/>
        <v>77.616875037007503</v>
      </c>
      <c r="I8" s="8">
        <v>11618.5</v>
      </c>
      <c r="J8" s="8">
        <v>305.31</v>
      </c>
      <c r="K8" s="8">
        <v>11923.810000000001</v>
      </c>
      <c r="L8" s="8">
        <v>351.05414162800002</v>
      </c>
      <c r="M8" s="8">
        <v>60.335850000000001</v>
      </c>
      <c r="N8" s="8">
        <v>2.0025200000000001</v>
      </c>
      <c r="O8" s="8">
        <v>413.39250376199993</v>
      </c>
      <c r="P8" s="8">
        <v>621.43094439399999</v>
      </c>
      <c r="Q8" s="9">
        <f t="shared" si="1"/>
        <v>66.522677618689769</v>
      </c>
    </row>
    <row r="9" spans="1:17" ht="30" customHeight="1" x14ac:dyDescent="0.3">
      <c r="A9" s="2">
        <v>43282</v>
      </c>
      <c r="B9" s="3">
        <v>5633</v>
      </c>
      <c r="C9" s="3">
        <v>28689.03</v>
      </c>
      <c r="D9" s="3">
        <v>27804.379999999997</v>
      </c>
      <c r="E9" s="3">
        <v>877598</v>
      </c>
      <c r="F9" s="3">
        <v>3719.502528</v>
      </c>
      <c r="G9" s="3">
        <v>4716.5347000000002</v>
      </c>
      <c r="H9" s="9">
        <f t="shared" si="0"/>
        <v>78.860917274710175</v>
      </c>
      <c r="I9" s="4">
        <v>13289.206</v>
      </c>
      <c r="J9" s="4">
        <v>326.01799999999997</v>
      </c>
      <c r="K9" s="4">
        <v>13615.224</v>
      </c>
      <c r="L9" s="4">
        <v>358.62203350300007</v>
      </c>
      <c r="M9" s="4">
        <v>69.410808439999997</v>
      </c>
      <c r="N9" s="4">
        <v>1.9564508629999999</v>
      </c>
      <c r="O9" s="4">
        <v>429.98929280599998</v>
      </c>
      <c r="P9" s="4">
        <v>622.29254239299996</v>
      </c>
      <c r="Q9" s="9">
        <f t="shared" si="1"/>
        <v>69.097613021762101</v>
      </c>
    </row>
    <row r="10" spans="1:17" ht="30" customHeight="1" x14ac:dyDescent="0.3">
      <c r="A10" s="6">
        <v>43313</v>
      </c>
      <c r="B10" s="7">
        <v>5551</v>
      </c>
      <c r="C10" s="7">
        <v>28413.119999999999</v>
      </c>
      <c r="D10" s="7">
        <v>27804.01</v>
      </c>
      <c r="E10" s="7">
        <v>888747</v>
      </c>
      <c r="F10" s="7">
        <v>3728.71515</v>
      </c>
      <c r="G10" s="7">
        <v>4694.00065</v>
      </c>
      <c r="H10" s="9">
        <f t="shared" si="0"/>
        <v>79.4357612626236</v>
      </c>
      <c r="I10" s="8">
        <v>13386.83</v>
      </c>
      <c r="J10" s="8">
        <v>394.59200000000004</v>
      </c>
      <c r="K10" s="8">
        <v>13781.421999999999</v>
      </c>
      <c r="L10" s="8">
        <v>360.703302587</v>
      </c>
      <c r="M10" s="8">
        <v>70.745020000000011</v>
      </c>
      <c r="N10" s="8">
        <v>2.4369700000000001</v>
      </c>
      <c r="O10" s="8">
        <v>433.88528374399999</v>
      </c>
      <c r="P10" s="8">
        <v>623.47076092700001</v>
      </c>
      <c r="Q10" s="9">
        <f t="shared" si="1"/>
        <v>69.591921696357161</v>
      </c>
    </row>
    <row r="11" spans="1:17" ht="30" customHeight="1" x14ac:dyDescent="0.3">
      <c r="A11" s="2">
        <v>43344</v>
      </c>
      <c r="B11" s="3">
        <v>5365</v>
      </c>
      <c r="C11" s="3">
        <v>29390.352999999999</v>
      </c>
      <c r="D11" s="3">
        <v>24555.252</v>
      </c>
      <c r="E11" s="3">
        <v>788724</v>
      </c>
      <c r="F11" s="3">
        <v>3275.5430500000002</v>
      </c>
      <c r="G11" s="3">
        <v>4507.1820199999993</v>
      </c>
      <c r="H11" s="9">
        <f t="shared" si="0"/>
        <v>72.673857755582745</v>
      </c>
      <c r="I11" s="4">
        <v>13289.59535</v>
      </c>
      <c r="J11" s="4">
        <v>435.89300000000003</v>
      </c>
      <c r="K11" s="4">
        <v>13725.48835</v>
      </c>
      <c r="L11" s="4">
        <v>315.27738530899995</v>
      </c>
      <c r="M11" s="4">
        <v>71.138992252400001</v>
      </c>
      <c r="N11" s="4">
        <v>2.6453980000000001</v>
      </c>
      <c r="O11" s="4">
        <v>389.06435377439999</v>
      </c>
      <c r="P11" s="4">
        <v>595.37719689300002</v>
      </c>
      <c r="Q11" s="9">
        <f t="shared" si="1"/>
        <v>65.347540316415888</v>
      </c>
    </row>
    <row r="12" spans="1:17" ht="30" customHeight="1" x14ac:dyDescent="0.3">
      <c r="A12" s="6">
        <v>43374</v>
      </c>
      <c r="B12" s="7">
        <v>5719</v>
      </c>
      <c r="C12" s="7">
        <v>29018.11</v>
      </c>
      <c r="D12" s="7">
        <v>28074.02</v>
      </c>
      <c r="E12" s="7">
        <v>865487</v>
      </c>
      <c r="F12" s="7">
        <v>3551.2389600000001</v>
      </c>
      <c r="G12" s="7">
        <v>4808.33446</v>
      </c>
      <c r="H12" s="9">
        <f t="shared" si="0"/>
        <v>73.8559056060339</v>
      </c>
      <c r="I12" s="8">
        <v>14970.89</v>
      </c>
      <c r="J12" s="8">
        <v>430.17600000000004</v>
      </c>
      <c r="K12" s="8">
        <v>15401.066000000001</v>
      </c>
      <c r="L12" s="8">
        <v>347.98705000000001</v>
      </c>
      <c r="M12" s="8">
        <v>79.356089999999995</v>
      </c>
      <c r="N12" s="8">
        <v>2.6350005999999997</v>
      </c>
      <c r="O12" s="8">
        <v>429.97814059999996</v>
      </c>
      <c r="P12" s="8">
        <v>637.77654000000007</v>
      </c>
      <c r="Q12" s="9">
        <f t="shared" si="1"/>
        <v>67.418306198594252</v>
      </c>
    </row>
    <row r="13" spans="1:17" ht="30" customHeight="1" x14ac:dyDescent="0.3">
      <c r="A13" s="2">
        <v>43405</v>
      </c>
      <c r="B13" s="3">
        <v>5649</v>
      </c>
      <c r="C13" s="3">
        <v>28560.379999999997</v>
      </c>
      <c r="D13" s="3">
        <v>27457.659</v>
      </c>
      <c r="E13" s="3">
        <v>901965</v>
      </c>
      <c r="F13" s="3">
        <v>3756.5041099999999</v>
      </c>
      <c r="G13" s="3">
        <v>4753.8752320000003</v>
      </c>
      <c r="H13" s="9">
        <f t="shared" si="0"/>
        <v>79.019829647897652</v>
      </c>
      <c r="I13" s="4">
        <v>14065.9774</v>
      </c>
      <c r="J13" s="4">
        <v>491.90299999999996</v>
      </c>
      <c r="K13" s="4">
        <v>14557.8804</v>
      </c>
      <c r="L13" s="4">
        <v>358.29908499999999</v>
      </c>
      <c r="M13" s="4">
        <v>75.002274999999997</v>
      </c>
      <c r="N13" s="4">
        <v>2.81605105</v>
      </c>
      <c r="O13" s="4">
        <v>436.11741104999999</v>
      </c>
      <c r="P13" s="4">
        <v>628.19458899999995</v>
      </c>
      <c r="Q13" s="9">
        <f t="shared" si="1"/>
        <v>69.423936259024359</v>
      </c>
    </row>
    <row r="14" spans="1:17" ht="30" customHeight="1" x14ac:dyDescent="0.3">
      <c r="A14" s="6">
        <v>43435</v>
      </c>
      <c r="B14" s="7">
        <v>5964</v>
      </c>
      <c r="C14" s="7">
        <v>30524.080000000002</v>
      </c>
      <c r="D14" s="7">
        <v>28838.54</v>
      </c>
      <c r="E14" s="7">
        <v>1009143</v>
      </c>
      <c r="F14" s="7">
        <v>4138.28</v>
      </c>
      <c r="G14" s="7">
        <v>5077.723</v>
      </c>
      <c r="H14" s="9">
        <f t="shared" si="0"/>
        <v>81.498734767532611</v>
      </c>
      <c r="I14" s="8">
        <v>14073.578100000001</v>
      </c>
      <c r="J14" s="8">
        <v>550.55799999999999</v>
      </c>
      <c r="K14" s="8">
        <v>14624.1361</v>
      </c>
      <c r="L14" s="8">
        <v>409.80579</v>
      </c>
      <c r="M14" s="8">
        <v>76.409130000000005</v>
      </c>
      <c r="N14" s="8">
        <v>3.2145199999999998</v>
      </c>
      <c r="O14" s="8">
        <v>489.42944</v>
      </c>
      <c r="P14" s="8">
        <v>672.33915000000002</v>
      </c>
      <c r="Q14" s="9">
        <f t="shared" si="1"/>
        <v>72.795023166507562</v>
      </c>
    </row>
    <row r="15" spans="1:17" ht="30" customHeight="1" x14ac:dyDescent="0.3">
      <c r="A15" s="2">
        <v>43466</v>
      </c>
      <c r="B15" s="3">
        <v>5995</v>
      </c>
      <c r="C15" s="3">
        <v>32210.6</v>
      </c>
      <c r="D15" s="3">
        <v>27567</v>
      </c>
      <c r="E15" s="3">
        <v>1024789</v>
      </c>
      <c r="F15" s="3">
        <v>4301.8486730000004</v>
      </c>
      <c r="G15" s="3">
        <v>5073.4257790000001</v>
      </c>
      <c r="H15" s="9">
        <f t="shared" si="0"/>
        <v>84.791792772573444</v>
      </c>
      <c r="I15" s="4">
        <v>12125.943000000001</v>
      </c>
      <c r="J15" s="4">
        <v>508.774</v>
      </c>
      <c r="K15" s="4">
        <v>12634.717000000001</v>
      </c>
      <c r="L15" s="4">
        <v>427.21518699999996</v>
      </c>
      <c r="M15" s="4">
        <v>63.530214999999998</v>
      </c>
      <c r="N15" s="4">
        <v>2.8426060000000004</v>
      </c>
      <c r="O15" s="4">
        <v>493.58800800000006</v>
      </c>
      <c r="P15" s="4">
        <v>671.70614999999998</v>
      </c>
      <c r="Q15" s="9">
        <f t="shared" si="1"/>
        <v>73.482728719991627</v>
      </c>
    </row>
    <row r="16" spans="1:17" ht="30" customHeight="1" x14ac:dyDescent="0.3">
      <c r="A16" s="6">
        <v>43497</v>
      </c>
      <c r="B16" s="7">
        <v>5457</v>
      </c>
      <c r="C16" s="7">
        <v>28175.919999999998</v>
      </c>
      <c r="D16" s="7">
        <v>26450.2</v>
      </c>
      <c r="E16" s="7">
        <v>901416</v>
      </c>
      <c r="F16" s="7">
        <v>3718.8589999999999</v>
      </c>
      <c r="G16" s="7">
        <v>4607.875</v>
      </c>
      <c r="H16" s="9">
        <f t="shared" si="0"/>
        <v>80.706594688440987</v>
      </c>
      <c r="I16" s="8">
        <v>11977.307000000001</v>
      </c>
      <c r="J16" s="8">
        <v>403.59399999999999</v>
      </c>
      <c r="K16" s="8">
        <v>12380.901</v>
      </c>
      <c r="L16" s="8">
        <v>370.75344999999999</v>
      </c>
      <c r="M16" s="8">
        <v>63.600239999999999</v>
      </c>
      <c r="N16" s="8">
        <v>2.2777280000000002</v>
      </c>
      <c r="O16" s="8">
        <v>436.631418</v>
      </c>
      <c r="P16" s="8">
        <v>614.52125999999998</v>
      </c>
      <c r="Q16" s="9">
        <f t="shared" si="1"/>
        <v>71.052288410656445</v>
      </c>
    </row>
    <row r="17" spans="1:17" ht="30" customHeight="1" x14ac:dyDescent="0.3">
      <c r="A17" s="2">
        <v>43525</v>
      </c>
      <c r="B17" s="3">
        <v>6013</v>
      </c>
      <c r="C17" s="3">
        <v>31894.23</v>
      </c>
      <c r="D17" s="3">
        <v>30045.510000000002</v>
      </c>
      <c r="E17" s="3">
        <v>978571</v>
      </c>
      <c r="F17" s="3">
        <v>3912.346</v>
      </c>
      <c r="G17" s="3">
        <v>4971.2280000000001</v>
      </c>
      <c r="H17" s="9">
        <f t="shared" si="0"/>
        <v>78.699790071990265</v>
      </c>
      <c r="I17" s="4">
        <v>14605.174999999999</v>
      </c>
      <c r="J17" s="4">
        <v>443.84899999999999</v>
      </c>
      <c r="K17" s="4">
        <f>I17+J17</f>
        <v>15049.023999999999</v>
      </c>
      <c r="L17" s="4">
        <v>386.17261999999999</v>
      </c>
      <c r="M17" s="4">
        <v>77.685699999999997</v>
      </c>
      <c r="N17" s="4">
        <v>2.1151500000000003</v>
      </c>
      <c r="O17" s="4">
        <v>465.97346999999996</v>
      </c>
      <c r="P17" s="4">
        <v>659.68831</v>
      </c>
      <c r="Q17" s="9">
        <f t="shared" si="1"/>
        <v>70.635399011390689</v>
      </c>
    </row>
    <row r="18" spans="1:17" ht="30" customHeight="1" x14ac:dyDescent="0.3">
      <c r="A18" s="10" t="s">
        <v>19</v>
      </c>
      <c r="B18" s="11">
        <f>SUM(B6:B17)</f>
        <v>68254</v>
      </c>
      <c r="C18" s="11">
        <f t="shared" ref="C18:G18" si="2">SUM(C6:C17)</f>
        <v>352692.63299999997</v>
      </c>
      <c r="D18" s="11">
        <f t="shared" si="2"/>
        <v>331708.61100000009</v>
      </c>
      <c r="E18" s="11">
        <f t="shared" si="2"/>
        <v>10951995</v>
      </c>
      <c r="F18" s="11">
        <f t="shared" si="2"/>
        <v>45127.80580699999</v>
      </c>
      <c r="G18" s="11">
        <f t="shared" si="2"/>
        <v>57376.122994999998</v>
      </c>
      <c r="H18" s="12">
        <f t="shared" si="0"/>
        <v>78.652588309134487</v>
      </c>
      <c r="I18" s="13">
        <f>SUM(I6:I17)</f>
        <v>158493.07584999999</v>
      </c>
      <c r="J18" s="13">
        <f t="shared" ref="J18:P18" si="3">SUM(J6:J17)</f>
        <v>4929.2769999999991</v>
      </c>
      <c r="K18" s="13">
        <f t="shared" si="3"/>
        <v>163422.35285000002</v>
      </c>
      <c r="L18" s="13">
        <f t="shared" si="3"/>
        <v>4357.9867948370002</v>
      </c>
      <c r="M18" s="13">
        <f t="shared" si="3"/>
        <v>836.19324326539993</v>
      </c>
      <c r="N18" s="13">
        <f t="shared" si="3"/>
        <v>29.172819008899999</v>
      </c>
      <c r="O18" s="13">
        <f t="shared" si="3"/>
        <v>5223.3572264413997</v>
      </c>
      <c r="P18" s="13">
        <f t="shared" si="3"/>
        <v>7554.1438601599984</v>
      </c>
      <c r="Q18" s="12">
        <f t="shared" si="1"/>
        <v>69.145588476134307</v>
      </c>
    </row>
    <row r="19" spans="1:17" x14ac:dyDescent="0.3">
      <c r="A19" s="16" t="s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2020-05-08T08:31:24Z</cp:lastPrinted>
  <dcterms:created xsi:type="dcterms:W3CDTF">2018-10-29T04:00:09Z</dcterms:created>
  <dcterms:modified xsi:type="dcterms:W3CDTF">2020-06-05T10:26:44Z</dcterms:modified>
</cp:coreProperties>
</file>