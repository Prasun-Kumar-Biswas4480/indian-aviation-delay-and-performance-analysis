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NATIONAL AIRLINES\"/>
    </mc:Choice>
  </mc:AlternateContent>
  <bookViews>
    <workbookView showHorizontalScroll="0" showVerticalScroll="0" showSheetTabs="0" xWindow="-120" yWindow="-120" windowWidth="20736" windowHeight="11160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1" l="1"/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<sst xmlns="http://schemas.openxmlformats.org/spreadsheetml/2006/main" count="26" uniqueCount="24">
  <si>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</si>
  <si>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</si>
  <si>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</si>
  <si>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</si>
  <si>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</si>
  <si>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</si>
  <si>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</si>
  <si>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</si>
  <si>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</si>
  <si>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</si>
  <si>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</si>
  <si>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</si>
  <si>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</si>
  <si>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</si>
  <si>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</si>
  <si>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</si>
  <si>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</si>
  <si>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</si>
  <si>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</si>
  <si>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</si>
  <si>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Table 1.03 (ALL SCHEDULED NATIONAL AIRLINES)</t>
  </si>
  <si>
    <t xml:space="preserve"> तालिका- 1.03 (सभी अनुसूचित राष्ट्रीय एयरलाइन्स) </t>
  </si>
  <si>
    <t>SOURCE:-  ICAO ATR FORM 'A' FURNISHED BY ALL SCHEDULED NATIONAL AIRLINES</t>
  </si>
  <si>
    <t xml:space="preserve"> MONTHLY TRAFFIC AND OPERATING STATISTICS OF ALL SCHEDULED NATIONAL AIRLINES ON TOTAL SCHEDULED (INTERNATIONAL+DOMESTIC)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</si>
</sst>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5" fillId="3" borderId="1" xfId="2" applyBorder="1" applyAlignment="1" applyProtection="1">
      <alignment horizontal="center" vertical="center" textRotation="90" wrapText="1"/>
    </xf>
    <xf numFmtId="17" fontId="1" fillId="2" borderId="1" xfId="0" applyNumberFormat="1" applyFont="1" applyFill="1" applyBorder="1" applyAlignment="1" applyProtection="1">
      <alignment horizontal="center" vertical="center" wrapText="1"/>
    </xf>
    <xf numFmtId="17" fontId="3" fillId="5" borderId="1" xfId="4" applyNumberFormat="1" applyBorder="1" applyAlignment="1" applyProtection="1">
      <alignment horizontal="center" vertical="center" wrapText="1"/>
    </xf>
    <xf numFmtId="0" fontId="4" fillId="5" borderId="1" xfId="4" applyFont="1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6" borderId="1" xfId="0" applyNumberFormat="1" applyFont="1" applyFill="1" applyBorder="1" applyAlignment="1">
      <alignment horizontal="right" vertical="center"/>
    </xf>
    <xf numFmtId="164" fontId="3" fillId="4" borderId="1" xfId="3" applyNumberFormat="1" applyBorder="1" applyAlignment="1" applyProtection="1">
      <alignment horizontal="right" vertical="center" wrapText="1"/>
    </xf>
    <xf numFmtId="164" fontId="3" fillId="5" borderId="1" xfId="4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165" fontId="3" fillId="5" borderId="1" xfId="4" applyNumberFormat="1" applyBorder="1" applyAlignment="1" applyProtection="1">
      <alignment horizontal="right" vertical="center" wrapText="1"/>
    </xf>
    <xf numFmtId="165" fontId="2" fillId="2" borderId="1" xfId="0" applyNumberFormat="1" applyFont="1" applyFill="1" applyBorder="1" applyAlignment="1" applyProtection="1">
      <alignment horizontal="right"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topLeftCell="A13" zoomScaleSheetLayoutView="100" workbookViewId="0">
      <selection activeCell="O9" sqref="O9"/>
    </sheetView>
  </sheetViews>
  <sheetFormatPr defaultColWidth="9.109375" defaultRowHeight="14.4" x14ac:dyDescent="0.3"/>
  <cols>
    <col min="1" max="1" width="12.33203125" style="1" customWidth="1"/>
    <col min="2" max="2" width="9.33203125" style="1" customWidth="1"/>
    <col min="3" max="3" width="9.6640625" style="1" customWidth="1"/>
    <col min="4" max="4" width="8.88671875" style="1" customWidth="1"/>
    <col min="5" max="5" width="11.44140625" style="1" customWidth="1"/>
    <col min="6" max="6" width="10.88671875" style="1" customWidth="1"/>
    <col min="7" max="7" width="11.109375" style="1" customWidth="1"/>
    <col min="8" max="8" width="6.5546875" style="1" customWidth="1"/>
    <col min="9" max="9" width="11.109375" style="1" customWidth="1"/>
    <col min="10" max="10" width="10.109375" style="1" customWidth="1"/>
    <col min="11" max="11" width="11.33203125" style="1" customWidth="1"/>
    <col min="12" max="13" width="10.88671875" style="1" customWidth="1"/>
    <col min="14" max="14" width="7" style="1" customWidth="1"/>
    <col min="15" max="15" width="11.6640625" style="1" customWidth="1"/>
    <col min="16" max="16" width="11.5546875" style="1" customWidth="1"/>
    <col min="17" max="17" width="6.6640625" style="1" customWidth="1"/>
    <col min="18" max="16384" width="9.109375" style="1"/>
  </cols>
  <sheetData>
    <row r="1" spans="1:18" ht="18.75" customHeight="1" x14ac:dyDescent="0.3">
      <c r="A1" s="18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8" ht="18.75" customHeight="1" x14ac:dyDescent="0.3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8" ht="18.75" customHeight="1" x14ac:dyDescent="0.3">
      <c r="A3" s="22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8" ht="19.5" customHeight="1" x14ac:dyDescent="0.3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8" ht="115.5" customHeight="1" x14ac:dyDescent="0.3">
      <c r="A5" s="22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6"/>
      <c r="H5" s="16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6"/>
      <c r="Q5" s="16"/>
    </row>
    <row r="6" spans="1:18" ht="30" customHeight="1" x14ac:dyDescent="0.3">
      <c r="A6" s="5">
        <v>43191</v>
      </c>
      <c r="B6" s="7">
        <v>17983</v>
      </c>
      <c r="C6" s="7">
        <v>51908.9</v>
      </c>
      <c r="D6" s="7">
        <v>40050.65</v>
      </c>
      <c r="E6" s="7">
        <v>2428317</v>
      </c>
      <c r="F6" s="7">
        <v>5057.3395</v>
      </c>
      <c r="G6" s="7">
        <v>6312.1297699999996</v>
      </c>
      <c r="H6" s="13">
        <f>F6/G6*100</f>
        <v>80.120968425527167</v>
      </c>
      <c r="I6" s="10">
        <v>18891.913</v>
      </c>
      <c r="J6" s="11">
        <v>1005.6519999999999</v>
      </c>
      <c r="K6" s="11">
        <v>19897.565000000002</v>
      </c>
      <c r="L6" s="11">
        <v>457.92560368300002</v>
      </c>
      <c r="M6" s="11">
        <v>73.218129254999994</v>
      </c>
      <c r="N6" s="24">
        <v>2.726684976</v>
      </c>
      <c r="O6" s="11">
        <v>533.87041791399997</v>
      </c>
      <c r="P6" s="11">
        <v>764.48130255100011</v>
      </c>
      <c r="Q6" s="13">
        <f>O6/P6*100</f>
        <v>69.834332917303016</v>
      </c>
    </row>
    <row r="7" spans="1:18" ht="30" customHeight="1" x14ac:dyDescent="0.3">
      <c r="A7" s="4">
        <v>43221</v>
      </c>
      <c r="B7" s="8">
        <v>18607</v>
      </c>
      <c r="C7" s="8">
        <v>53978.32</v>
      </c>
      <c r="D7" s="8">
        <v>41908.5</v>
      </c>
      <c r="E7" s="8">
        <v>2411314</v>
      </c>
      <c r="F7" s="8">
        <v>5118.1583000000001</v>
      </c>
      <c r="G7" s="8">
        <v>6551.5929000000006</v>
      </c>
      <c r="H7" s="13">
        <f t="shared" ref="H7:H18" si="0">F7/G7*100</f>
        <v>78.120823105477129</v>
      </c>
      <c r="I7" s="10">
        <v>18697.900000000001</v>
      </c>
      <c r="J7" s="12">
        <v>1102.8130000000001</v>
      </c>
      <c r="K7" s="12">
        <v>19800.713</v>
      </c>
      <c r="L7" s="12">
        <v>493.96388578600005</v>
      </c>
      <c r="M7" s="12">
        <v>70.691100000000006</v>
      </c>
      <c r="N7" s="12">
        <v>2.9879068379000002</v>
      </c>
      <c r="O7" s="12">
        <v>567.64428985000006</v>
      </c>
      <c r="P7" s="12">
        <v>823.95260000000007</v>
      </c>
      <c r="Q7" s="13">
        <f t="shared" ref="Q7:Q18" si="1">O7/P7*100</f>
        <v>68.892833137488736</v>
      </c>
      <c r="R7" s="2"/>
    </row>
    <row r="8" spans="1:18" ht="30" customHeight="1" x14ac:dyDescent="0.3">
      <c r="A8" s="5">
        <v>43252</v>
      </c>
      <c r="B8" s="7">
        <v>17915</v>
      </c>
      <c r="C8" s="7">
        <v>51996.24</v>
      </c>
      <c r="D8" s="7">
        <v>40280.5</v>
      </c>
      <c r="E8" s="7">
        <v>2252245</v>
      </c>
      <c r="F8" s="7">
        <v>4962.2759999999998</v>
      </c>
      <c r="G8" s="7">
        <v>6330.4638999999997</v>
      </c>
      <c r="H8" s="13">
        <f t="shared" si="0"/>
        <v>78.387241099345033</v>
      </c>
      <c r="I8" s="10">
        <v>17734.099999999999</v>
      </c>
      <c r="J8" s="11">
        <v>998.71</v>
      </c>
      <c r="K8" s="11">
        <v>18732.810000000001</v>
      </c>
      <c r="L8" s="11">
        <v>484.15036162800004</v>
      </c>
      <c r="M8" s="11">
        <v>67.50542999999999</v>
      </c>
      <c r="N8" s="11">
        <v>2.7043199999999996</v>
      </c>
      <c r="O8" s="11">
        <v>554.36010376199999</v>
      </c>
      <c r="P8" s="11">
        <v>799.054724394</v>
      </c>
      <c r="Q8" s="13">
        <f t="shared" si="1"/>
        <v>69.376988438736092</v>
      </c>
    </row>
    <row r="9" spans="1:18" ht="30" customHeight="1" x14ac:dyDescent="0.3">
      <c r="A9" s="4">
        <v>43282</v>
      </c>
      <c r="B9" s="8">
        <v>17773</v>
      </c>
      <c r="C9" s="8">
        <v>51643.199999999997</v>
      </c>
      <c r="D9" s="8">
        <v>40348.32</v>
      </c>
      <c r="E9" s="8">
        <v>2281507</v>
      </c>
      <c r="F9" s="8">
        <v>5020.8716809999996</v>
      </c>
      <c r="G9" s="8">
        <v>6305.6768000000011</v>
      </c>
      <c r="H9" s="13">
        <f t="shared" si="0"/>
        <v>79.624627779844332</v>
      </c>
      <c r="I9" s="10">
        <v>19419.688999999998</v>
      </c>
      <c r="J9" s="12">
        <v>1043.7180000000001</v>
      </c>
      <c r="K9" s="12">
        <v>20463.406999999999</v>
      </c>
      <c r="L9" s="12">
        <v>489.384814877</v>
      </c>
      <c r="M9" s="12">
        <v>76.561945026000004</v>
      </c>
      <c r="N9" s="25">
        <v>2.6880588630000002</v>
      </c>
      <c r="O9" s="12">
        <v>568.63481876599997</v>
      </c>
      <c r="P9" s="12">
        <v>796.6465733010001</v>
      </c>
      <c r="Q9" s="13">
        <f t="shared" si="1"/>
        <v>71.378555789149232</v>
      </c>
    </row>
    <row r="10" spans="1:18" ht="30" customHeight="1" x14ac:dyDescent="0.3">
      <c r="A10" s="5">
        <v>43313</v>
      </c>
      <c r="B10" s="7">
        <v>17746</v>
      </c>
      <c r="C10" s="7">
        <v>51397.61</v>
      </c>
      <c r="D10" s="7">
        <v>40437.939999999995</v>
      </c>
      <c r="E10" s="7">
        <v>2303634</v>
      </c>
      <c r="F10" s="7">
        <v>5047.1016200000004</v>
      </c>
      <c r="G10" s="7">
        <v>6300.4095199999992</v>
      </c>
      <c r="H10" s="13">
        <f t="shared" si="0"/>
        <v>80.1075168840771</v>
      </c>
      <c r="I10" s="10">
        <v>19746.850599999998</v>
      </c>
      <c r="J10" s="11">
        <v>1185.0150000000001</v>
      </c>
      <c r="K10" s="11">
        <v>20931.865599999997</v>
      </c>
      <c r="L10" s="11">
        <v>492.54632258699996</v>
      </c>
      <c r="M10" s="11">
        <v>78.004220000000004</v>
      </c>
      <c r="N10" s="11">
        <v>3.2535200000000004</v>
      </c>
      <c r="O10" s="11">
        <v>573.80405374400004</v>
      </c>
      <c r="P10" s="11">
        <v>798.68426092699997</v>
      </c>
      <c r="Q10" s="13">
        <f t="shared" si="1"/>
        <v>71.843666116321032</v>
      </c>
    </row>
    <row r="11" spans="1:18" ht="30" customHeight="1" x14ac:dyDescent="0.3">
      <c r="A11" s="4">
        <v>43344</v>
      </c>
      <c r="B11" s="8">
        <v>17164</v>
      </c>
      <c r="C11" s="8">
        <v>51260.699699999997</v>
      </c>
      <c r="D11" s="8">
        <v>36769.434999999998</v>
      </c>
      <c r="E11" s="8">
        <v>2107769</v>
      </c>
      <c r="F11" s="8">
        <v>4503.1004069999999</v>
      </c>
      <c r="G11" s="8">
        <v>6026.0842769999999</v>
      </c>
      <c r="H11" s="13">
        <f t="shared" si="0"/>
        <v>74.726807658285921</v>
      </c>
      <c r="I11" s="10">
        <v>19837.72105</v>
      </c>
      <c r="J11" s="12">
        <v>1143.569</v>
      </c>
      <c r="K11" s="12">
        <v>20981.29005</v>
      </c>
      <c r="L11" s="12">
        <v>436.601537409</v>
      </c>
      <c r="M11" s="12">
        <v>78.645290127400003</v>
      </c>
      <c r="N11" s="12">
        <v>3.3623080000000001</v>
      </c>
      <c r="O11" s="12">
        <v>518.6117137494</v>
      </c>
      <c r="P11" s="12">
        <v>760.61355881300005</v>
      </c>
      <c r="Q11" s="13">
        <f t="shared" si="1"/>
        <v>68.183338009216683</v>
      </c>
    </row>
    <row r="12" spans="1:18" ht="30" customHeight="1" x14ac:dyDescent="0.3">
      <c r="A12" s="5">
        <v>43374</v>
      </c>
      <c r="B12" s="7">
        <v>18579</v>
      </c>
      <c r="C12" s="7">
        <v>52611.21</v>
      </c>
      <c r="D12" s="7">
        <v>41382.847999999998</v>
      </c>
      <c r="E12" s="7">
        <v>2280694</v>
      </c>
      <c r="F12" s="7">
        <v>4875.3051029999997</v>
      </c>
      <c r="G12" s="7">
        <v>6498.1444110000002</v>
      </c>
      <c r="H12" s="13">
        <f t="shared" si="0"/>
        <v>75.026111988941452</v>
      </c>
      <c r="I12" s="10">
        <v>21700.415199999999</v>
      </c>
      <c r="J12" s="11">
        <v>1159.671</v>
      </c>
      <c r="K12" s="11">
        <v>22860.086200000002</v>
      </c>
      <c r="L12" s="11">
        <v>480.38231999999999</v>
      </c>
      <c r="M12" s="11">
        <v>87.091009</v>
      </c>
      <c r="N12" s="11">
        <v>3.3650656469999998</v>
      </c>
      <c r="O12" s="11">
        <v>570.83839464699997</v>
      </c>
      <c r="P12" s="11">
        <v>822.12118700000008</v>
      </c>
      <c r="Q12" s="13">
        <f t="shared" si="1"/>
        <v>69.434823438870936</v>
      </c>
    </row>
    <row r="13" spans="1:18" ht="30" customHeight="1" x14ac:dyDescent="0.3">
      <c r="A13" s="4">
        <v>43405</v>
      </c>
      <c r="B13" s="8">
        <v>18202</v>
      </c>
      <c r="C13" s="8">
        <v>47370.2</v>
      </c>
      <c r="D13" s="8">
        <v>40507.788</v>
      </c>
      <c r="E13" s="8">
        <v>2290565</v>
      </c>
      <c r="F13" s="8">
        <v>5010.8061459999999</v>
      </c>
      <c r="G13" s="8">
        <v>6402.7827340000003</v>
      </c>
      <c r="H13" s="13">
        <f t="shared" si="0"/>
        <v>78.259818490976755</v>
      </c>
      <c r="I13" s="10">
        <v>19886.4362</v>
      </c>
      <c r="J13" s="12">
        <v>1186.1759999999999</v>
      </c>
      <c r="K13" s="12">
        <v>21072.6122</v>
      </c>
      <c r="L13" s="12">
        <v>488.47759499999995</v>
      </c>
      <c r="M13" s="12">
        <v>81.581333000000001</v>
      </c>
      <c r="N13" s="12">
        <v>3.5019910510000001</v>
      </c>
      <c r="O13" s="12">
        <v>573.56091905099993</v>
      </c>
      <c r="P13" s="12">
        <v>808.20418400000005</v>
      </c>
      <c r="Q13" s="13">
        <f t="shared" si="1"/>
        <v>70.967328604054828</v>
      </c>
    </row>
    <row r="14" spans="1:18" ht="30" customHeight="1" x14ac:dyDescent="0.3">
      <c r="A14" s="5">
        <v>43435</v>
      </c>
      <c r="B14" s="7">
        <v>19980</v>
      </c>
      <c r="C14" s="7">
        <v>55555.56</v>
      </c>
      <c r="D14" s="7">
        <v>42339.56</v>
      </c>
      <c r="E14" s="7">
        <v>2544799</v>
      </c>
      <c r="F14" s="7">
        <v>5538.7479999999996</v>
      </c>
      <c r="G14" s="7">
        <v>6854.5820000000003</v>
      </c>
      <c r="H14" s="13">
        <f t="shared" si="0"/>
        <v>80.803585105554205</v>
      </c>
      <c r="I14" s="10">
        <v>19846.802299999999</v>
      </c>
      <c r="J14" s="11">
        <v>1292.9349999999999</v>
      </c>
      <c r="K14" s="11">
        <v>21139.737300000001</v>
      </c>
      <c r="L14" s="11">
        <v>538.61122</v>
      </c>
      <c r="M14" s="11">
        <v>83.015849999999986</v>
      </c>
      <c r="N14" s="11">
        <v>3.941522</v>
      </c>
      <c r="O14" s="11">
        <v>625.56859199999997</v>
      </c>
      <c r="P14" s="11">
        <v>865.28420999999992</v>
      </c>
      <c r="Q14" s="13">
        <f t="shared" si="1"/>
        <v>72.296314294236339</v>
      </c>
    </row>
    <row r="15" spans="1:18" ht="30" customHeight="1" x14ac:dyDescent="0.3">
      <c r="A15" s="4">
        <v>43466</v>
      </c>
      <c r="B15" s="8">
        <v>19273</v>
      </c>
      <c r="C15" s="8">
        <v>57184.652999999998</v>
      </c>
      <c r="D15" s="8">
        <v>40971.921999999999</v>
      </c>
      <c r="E15" s="8">
        <v>2525569</v>
      </c>
      <c r="F15" s="8">
        <v>5664.2203770000006</v>
      </c>
      <c r="G15" s="8">
        <v>6830.6662030000007</v>
      </c>
      <c r="H15" s="13">
        <f t="shared" si="0"/>
        <v>82.923395883585968</v>
      </c>
      <c r="I15" s="10">
        <v>17854.341</v>
      </c>
      <c r="J15" s="12">
        <v>1259.384</v>
      </c>
      <c r="K15" s="12">
        <v>19113.724999999999</v>
      </c>
      <c r="L15" s="12">
        <v>552.45455299999992</v>
      </c>
      <c r="M15" s="12">
        <v>70.317983000000012</v>
      </c>
      <c r="N15" s="12">
        <v>3.6424410000000003</v>
      </c>
      <c r="O15" s="12">
        <v>626.41497699999991</v>
      </c>
      <c r="P15" s="12">
        <v>862.0935350000002</v>
      </c>
      <c r="Q15" s="13">
        <f t="shared" si="1"/>
        <v>72.66206641950977</v>
      </c>
    </row>
    <row r="16" spans="1:18" ht="30" customHeight="1" x14ac:dyDescent="0.3">
      <c r="A16" s="5">
        <v>43497</v>
      </c>
      <c r="B16" s="7">
        <v>17247</v>
      </c>
      <c r="C16" s="7">
        <v>50346.79</v>
      </c>
      <c r="D16" s="7">
        <v>38450.959999999999</v>
      </c>
      <c r="E16" s="7">
        <v>2329916</v>
      </c>
      <c r="F16" s="7">
        <v>5027.665</v>
      </c>
      <c r="G16" s="7">
        <v>6187.8890000000001</v>
      </c>
      <c r="H16" s="13">
        <f t="shared" si="0"/>
        <v>81.250083833113365</v>
      </c>
      <c r="I16" s="10">
        <v>17332.483199999999</v>
      </c>
      <c r="J16" s="11">
        <v>1154.037</v>
      </c>
      <c r="K16" s="11">
        <v>18486.520199999999</v>
      </c>
      <c r="L16" s="11">
        <v>491.29856999999998</v>
      </c>
      <c r="M16" s="11">
        <v>69.727709999999988</v>
      </c>
      <c r="N16" s="11">
        <v>3.0375619999999999</v>
      </c>
      <c r="O16" s="11">
        <v>564.06384200000002</v>
      </c>
      <c r="P16" s="11">
        <v>785.80953</v>
      </c>
      <c r="Q16" s="13">
        <f t="shared" si="1"/>
        <v>71.781242205092639</v>
      </c>
    </row>
    <row r="17" spans="1:17" ht="30" customHeight="1" x14ac:dyDescent="0.3">
      <c r="A17" s="4">
        <v>43525</v>
      </c>
      <c r="B17" s="8">
        <v>18951</v>
      </c>
      <c r="C17" s="8">
        <v>55592.270000000004</v>
      </c>
      <c r="D17" s="8">
        <v>43252.165000000001</v>
      </c>
      <c r="E17" s="8">
        <v>2466459</v>
      </c>
      <c r="F17" s="8">
        <v>5261.5208000000002</v>
      </c>
      <c r="G17" s="8">
        <v>6692.4189369999986</v>
      </c>
      <c r="H17" s="13">
        <f t="shared" si="0"/>
        <v>78.619118879586679</v>
      </c>
      <c r="I17" s="10">
        <v>21098.504000000001</v>
      </c>
      <c r="J17" s="12">
        <v>1174.932</v>
      </c>
      <c r="K17" s="12">
        <f>I17+J17</f>
        <v>22273.436000000002</v>
      </c>
      <c r="L17" s="12">
        <v>510.23321099999998</v>
      </c>
      <c r="M17" s="12">
        <v>85.055993000000001</v>
      </c>
      <c r="N17" s="12">
        <v>2.81433</v>
      </c>
      <c r="O17" s="12">
        <v>598.10353399999997</v>
      </c>
      <c r="P17" s="12">
        <v>844.51149900000007</v>
      </c>
      <c r="Q17" s="13">
        <f t="shared" si="1"/>
        <v>70.822426303043144</v>
      </c>
    </row>
    <row r="18" spans="1:17" ht="30" customHeight="1" x14ac:dyDescent="0.3">
      <c r="A18" s="6" t="s">
        <v>19</v>
      </c>
      <c r="B18" s="9">
        <f>SUM(B6:B17)</f>
        <v>219420</v>
      </c>
      <c r="C18" s="9">
        <f t="shared" ref="C18:G18" si="2">SUM(C6:C17)</f>
        <v>630845.65270000009</v>
      </c>
      <c r="D18" s="9">
        <f t="shared" si="2"/>
        <v>486700.58799999999</v>
      </c>
      <c r="E18" s="9">
        <f t="shared" si="2"/>
        <v>28222788</v>
      </c>
      <c r="F18" s="9">
        <f t="shared" si="2"/>
        <v>61087.112933999997</v>
      </c>
      <c r="G18" s="9">
        <f t="shared" si="2"/>
        <v>77292.840452000004</v>
      </c>
      <c r="H18" s="14">
        <f t="shared" si="0"/>
        <v>79.033339409923741</v>
      </c>
      <c r="I18" s="9">
        <f>SUM(I6:I17)</f>
        <v>232047.15554999997</v>
      </c>
      <c r="J18" s="9">
        <f t="shared" ref="J18:P18" si="3">SUM(J6:J17)</f>
        <v>13706.612000000001</v>
      </c>
      <c r="K18" s="9">
        <f t="shared" si="3"/>
        <v>245753.76754999999</v>
      </c>
      <c r="L18" s="9">
        <f t="shared" si="3"/>
        <v>5916.0299949699993</v>
      </c>
      <c r="M18" s="9">
        <f t="shared" si="3"/>
        <v>921.41599240839992</v>
      </c>
      <c r="N18" s="9">
        <f t="shared" si="3"/>
        <v>38.025710374900001</v>
      </c>
      <c r="O18" s="9">
        <f t="shared" si="3"/>
        <v>6875.4756564833988</v>
      </c>
      <c r="P18" s="9">
        <f t="shared" si="3"/>
        <v>9731.4571649860009</v>
      </c>
      <c r="Q18" s="14">
        <f t="shared" si="1"/>
        <v>70.652067207586484</v>
      </c>
    </row>
    <row r="19" spans="1:17" x14ac:dyDescent="0.3">
      <c r="A19" s="17" t="s">
        <v>22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2020-05-08T08:48:27Z</cp:lastPrinted>
  <dcterms:created xsi:type="dcterms:W3CDTF">2018-10-29T04:00:10Z</dcterms:created>
  <dcterms:modified xsi:type="dcterms:W3CDTF">2020-06-05T10:08:49Z</dcterms:modified>
</cp:coreProperties>
</file>