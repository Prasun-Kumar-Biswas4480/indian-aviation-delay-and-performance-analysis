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IR INDIA\"/>
    </mc:Choice>
  </mc:AlternateContent>
  <bookViews>
    <workbookView xWindow="-120" yWindow="-120" windowWidth="20730" windowHeight="11160"/>
  </bookViews>
  <sheets>
    <sheet name="AIR INDIA" sheetId="1" r:id="rId1"/>
  </sheets>
  <definedNames>
    <definedName name="_xlnm.Print_Area" localSheetId="0">'AIR INDIA'!$A$1:$Q$40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" i="1" l="1"/>
  <c r="Q38" i="1"/>
  <c r="Q36" i="1"/>
  <c r="Q37" i="1" s="1"/>
  <c r="Q33" i="1"/>
  <c r="Q35" i="1" s="1"/>
  <c r="Q30" i="1"/>
  <c r="Q32" i="1" s="1"/>
  <c r="Q27" i="1"/>
  <c r="Q29" i="1" s="1"/>
  <c r="Q24" i="1"/>
  <c r="Q26" i="1" s="1"/>
  <c r="Q22" i="1"/>
  <c r="Q21" i="1"/>
  <c r="Q18" i="1"/>
  <c r="Q20" i="1" s="1"/>
  <c r="Q15" i="1"/>
  <c r="Q16" i="1" s="1"/>
  <c r="Q14" i="1"/>
  <c r="Q12" i="1"/>
  <c r="Q13" i="1" s="1"/>
  <c r="Q9" i="1"/>
  <c r="Q11" i="1" s="1"/>
  <c r="Q6" i="1"/>
  <c r="Q23" i="1" s="1"/>
  <c r="H37" i="1"/>
  <c r="H36" i="1"/>
  <c r="H33" i="1"/>
  <c r="H35" i="1" s="1"/>
  <c r="H31" i="1"/>
  <c r="H30" i="1"/>
  <c r="H32" i="1" s="1"/>
  <c r="H29" i="1"/>
  <c r="H27" i="1"/>
  <c r="H28" i="1" s="1"/>
  <c r="H24" i="1"/>
  <c r="H26" i="1" s="1"/>
  <c r="H21" i="1"/>
  <c r="H22" i="1" s="1"/>
  <c r="H18" i="1"/>
  <c r="H20" i="1" s="1"/>
  <c r="H15" i="1"/>
  <c r="H17" i="1" s="1"/>
  <c r="H13" i="1"/>
  <c r="H12" i="1"/>
  <c r="H11" i="1"/>
  <c r="H6" i="1"/>
  <c r="H38" i="1" s="1"/>
  <c r="Q17" i="1" l="1"/>
  <c r="Q25" i="1"/>
  <c r="Q34" i="1"/>
  <c r="Q19" i="1"/>
  <c r="Q28" i="1"/>
  <c r="Q31" i="1"/>
  <c r="Q10" i="1"/>
  <c r="H16" i="1"/>
  <c r="H23" i="1"/>
  <c r="H25" i="1"/>
  <c r="H34" i="1"/>
  <c r="H10" i="1"/>
  <c r="H19" i="1"/>
  <c r="H14" i="1"/>
</calcChain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<sst xmlns="http://schemas.openxmlformats.org/spreadsheetml/2006/main" count="91" uniqueCount="38">
  <si>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</si>
  <si>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</si>
  <si>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</si>
  <si>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</si>
  <si>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</si>
  <si>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</si>
  <si>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</si>
  <si>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</si>
  <si>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</si>
  <si>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</si>
  <si>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</si>
  <si>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</si>
  <si>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</si>
  <si>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</si>
  <si>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</si>
  <si>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</si>
  <si>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</si>
  <si>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</si>
  <si>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</si>
  <si>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</si>
  <si>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</si>
  <si>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</si>
  <si>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</si>
  <si>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</si>
  <si>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</si>
  <si>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</si>
  <si>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</si>
  <si>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</si>
  <si>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</si>
  <si>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</si>
  <si>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</si>
  <si>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</si>
  <si>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</si>
  <si>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(AIR INDIA)</t>
  </si>
  <si>
    <t>YEAR-WISE DETAILS OF ANNUAL TRAFFIC AND OPERATING STATISTICS ON SCHEDULED (INTERNATIONAL+DOMESTIC) SERVICES OF AIR INDIA</t>
  </si>
  <si>
    <t>SOURCE: ICAO ATR FORM 'A' FURNISHED BY AIR INDIA</t>
  </si>
  <si>
    <t xml:space="preserve"> तालिका- 1.06 (एयर इंडिया) 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</si>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</sst>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7" fontId="0" fillId="7" borderId="1" xfId="1" applyNumberFormat="1" applyFont="1" applyFill="1" applyBorder="1" applyAlignment="1" applyProtection="1">
      <alignment horizontal="center" vertical="center" wrapText="1"/>
    </xf>
    <xf numFmtId="164" fontId="4" fillId="8" borderId="1" xfId="1" applyNumberFormat="1" applyFill="1" applyBorder="1" applyAlignment="1" applyProtection="1">
      <alignment horizontal="right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164" fontId="4" fillId="8" borderId="1" xfId="3" applyNumberFormat="1" applyFill="1" applyBorder="1" applyAlignment="1" applyProtection="1">
      <alignment horizontal="right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zoomScaleSheetLayoutView="100" workbookViewId="0">
      <selection activeCell="D14" sqref="D14"/>
    </sheetView>
  </sheetViews>
  <sheetFormatPr defaultRowHeight="15" x14ac:dyDescent="0.25"/>
  <cols>
    <col min="1" max="1" width="8.140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14062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25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21" customHeight="1" x14ac:dyDescent="0.25">
      <c r="A2" s="27" t="s">
        <v>33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21" customHeight="1" x14ac:dyDescent="0.25">
      <c r="A3" s="29" t="s">
        <v>34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ht="15" customHeight="1" x14ac:dyDescent="0.25">
      <c r="A4" s="29" t="s">
        <v>0</v>
      </c>
      <c r="B4" s="29" t="s">
        <v>1</v>
      </c>
      <c r="C4" s="29"/>
      <c r="D4" s="29"/>
      <c r="E4" s="29" t="s">
        <v>2</v>
      </c>
      <c r="F4" s="30"/>
      <c r="G4" s="19" t="s">
        <v>3</v>
      </c>
      <c r="H4" s="19" t="s">
        <v>4</v>
      </c>
      <c r="I4" s="29" t="s">
        <v>5</v>
      </c>
      <c r="J4" s="29"/>
      <c r="K4" s="29"/>
      <c r="L4" s="29" t="s">
        <v>6</v>
      </c>
      <c r="M4" s="29"/>
      <c r="N4" s="29"/>
      <c r="O4" s="29"/>
      <c r="P4" s="19" t="s">
        <v>7</v>
      </c>
      <c r="Q4" s="19" t="s">
        <v>8</v>
      </c>
    </row>
    <row r="5" spans="1:17" ht="132" customHeight="1" x14ac:dyDescent="0.25">
      <c r="A5" s="29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0"/>
      <c r="H5" s="20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0"/>
      <c r="Q5" s="20"/>
    </row>
    <row r="6" spans="1:17" ht="24.95" customHeight="1" x14ac:dyDescent="0.25">
      <c r="A6" s="6" t="s">
        <v>19</v>
      </c>
      <c r="B6" s="10">
        <v>125865</v>
      </c>
      <c r="C6" s="10">
        <v>340872</v>
      </c>
      <c r="D6" s="10">
        <v>216819</v>
      </c>
      <c r="E6" s="10">
        <v>10395984</v>
      </c>
      <c r="F6" s="10">
        <v>25972.436000000002</v>
      </c>
      <c r="G6" s="10">
        <v>43627.87</v>
      </c>
      <c r="H6" s="9">
        <f>F6/G6*100</f>
        <v>59.531753441091674</v>
      </c>
      <c r="I6" s="9">
        <v>141769</v>
      </c>
      <c r="J6" s="9">
        <v>16120</v>
      </c>
      <c r="K6" s="9">
        <v>157889</v>
      </c>
      <c r="L6" s="9">
        <v>2662.8609999999999</v>
      </c>
      <c r="M6" s="9">
        <v>493.74200000000002</v>
      </c>
      <c r="N6" s="9">
        <v>34.304000000000002</v>
      </c>
      <c r="O6" s="9">
        <v>3190.9070000000002</v>
      </c>
      <c r="P6" s="9">
        <v>5605.9080000000004</v>
      </c>
      <c r="Q6" s="9">
        <f>O6/P6*100</f>
        <v>56.920431088059246</v>
      </c>
    </row>
    <row r="7" spans="1:17" ht="24.95" customHeight="1" x14ac:dyDescent="0.25">
      <c r="A7" s="4" t="s">
        <v>29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</row>
    <row r="8" spans="1:17" ht="24.95" customHeight="1" x14ac:dyDescent="0.25">
      <c r="A8" s="7" t="s">
        <v>31</v>
      </c>
      <c r="B8" s="12" t="s">
        <v>30</v>
      </c>
      <c r="C8" s="12" t="s">
        <v>30</v>
      </c>
      <c r="D8" s="12" t="s">
        <v>30</v>
      </c>
      <c r="E8" s="12" t="s">
        <v>30</v>
      </c>
      <c r="F8" s="12" t="s">
        <v>30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30</v>
      </c>
      <c r="L8" s="12" t="s">
        <v>30</v>
      </c>
      <c r="M8" s="12" t="s">
        <v>30</v>
      </c>
      <c r="N8" s="12" t="s">
        <v>30</v>
      </c>
      <c r="O8" s="12" t="s">
        <v>30</v>
      </c>
      <c r="P8" s="12" t="s">
        <v>30</v>
      </c>
      <c r="Q8" s="12" t="s">
        <v>30</v>
      </c>
    </row>
    <row r="9" spans="1:17" ht="24.95" customHeight="1" x14ac:dyDescent="0.25">
      <c r="A9" s="6" t="s">
        <v>20</v>
      </c>
      <c r="B9" s="10">
        <v>127833</v>
      </c>
      <c r="C9" s="10">
        <v>346111</v>
      </c>
      <c r="D9" s="10">
        <v>218216</v>
      </c>
      <c r="E9" s="10">
        <v>11772858</v>
      </c>
      <c r="F9" s="10">
        <v>28989.241999999998</v>
      </c>
      <c r="G9" s="10">
        <v>44757.464</v>
      </c>
      <c r="H9" s="14">
        <f>F9/G9*100</f>
        <v>64.769625910887171</v>
      </c>
      <c r="I9" s="9">
        <v>154667</v>
      </c>
      <c r="J9" s="9">
        <v>18006.642</v>
      </c>
      <c r="K9" s="9">
        <v>172673.64200000002</v>
      </c>
      <c r="L9" s="9">
        <v>2920.056</v>
      </c>
      <c r="M9" s="9">
        <v>575.47799999999995</v>
      </c>
      <c r="N9" s="9">
        <v>39.411000000000001</v>
      </c>
      <c r="O9" s="9">
        <v>3534.9450000000002</v>
      </c>
      <c r="P9" s="9">
        <v>6058.2380000000003</v>
      </c>
      <c r="Q9" s="15">
        <f t="shared" ref="Q9:Q36" si="0">O9/P9*100</f>
        <v>58.349391357685185</v>
      </c>
    </row>
    <row r="10" spans="1:17" ht="24.95" customHeight="1" x14ac:dyDescent="0.25">
      <c r="A10" s="4" t="s">
        <v>29</v>
      </c>
      <c r="B10" s="16">
        <v>1.5635800262185674E-2</v>
      </c>
      <c r="C10" s="16">
        <v>1.5369405524654416E-2</v>
      </c>
      <c r="D10" s="16">
        <v>6.4431622689893418E-3</v>
      </c>
      <c r="E10" s="16">
        <v>0.13244287409445801</v>
      </c>
      <c r="F10" s="16">
        <v>0.11615414125960294</v>
      </c>
      <c r="G10" s="16">
        <v>2.5891568852662236E-2</v>
      </c>
      <c r="H10" s="17">
        <f t="shared" ref="H10" si="1">(H9-H6)/H6</f>
        <v>8.798451527181235E-2</v>
      </c>
      <c r="I10" s="16">
        <v>9.0978986943549014E-2</v>
      </c>
      <c r="J10" s="16">
        <v>0.11703734491315135</v>
      </c>
      <c r="K10" s="16">
        <v>9.3639468234012646E-2</v>
      </c>
      <c r="L10" s="16">
        <v>9.6585965245651259E-2</v>
      </c>
      <c r="M10" s="16">
        <v>0.16554394805384173</v>
      </c>
      <c r="N10" s="16">
        <v>0.14887476679104475</v>
      </c>
      <c r="O10" s="16">
        <v>0.10781824728831019</v>
      </c>
      <c r="P10" s="16">
        <v>8.068808835250238E-2</v>
      </c>
      <c r="Q10" s="17">
        <f t="shared" ref="Q10" si="2">(Q9-Q6)/Q6</f>
        <v>2.5104522968479526E-2</v>
      </c>
    </row>
    <row r="11" spans="1:17" ht="24.95" customHeight="1" x14ac:dyDescent="0.25">
      <c r="A11" s="7" t="s">
        <v>31</v>
      </c>
      <c r="B11" s="8">
        <v>1.5635800262185695E-2</v>
      </c>
      <c r="C11" s="8">
        <v>1.5369405524654489E-2</v>
      </c>
      <c r="D11" s="8">
        <v>6.4431622689893331E-3</v>
      </c>
      <c r="E11" s="8">
        <v>0.1324428740944581</v>
      </c>
      <c r="F11" s="8">
        <v>0.11615414125960299</v>
      </c>
      <c r="G11" s="8">
        <v>2.5891568852662195E-2</v>
      </c>
      <c r="H11" s="13">
        <f t="shared" ref="H11" si="3">(((H9/H6)^(1/1))-1)</f>
        <v>8.7984515271812391E-2</v>
      </c>
      <c r="I11" s="8">
        <v>9.0978986943549112E-2</v>
      </c>
      <c r="J11" s="8">
        <v>0.11703734491315143</v>
      </c>
      <c r="K11" s="8">
        <v>9.3639468234012702E-2</v>
      </c>
      <c r="L11" s="8">
        <v>9.6585965245651328E-2</v>
      </c>
      <c r="M11" s="8">
        <v>0.16554394805384165</v>
      </c>
      <c r="N11" s="8">
        <v>0.14887476679104483</v>
      </c>
      <c r="O11" s="8">
        <v>0.10781824728831024</v>
      </c>
      <c r="P11" s="8">
        <v>8.0688088352502296E-2</v>
      </c>
      <c r="Q11" s="13">
        <f t="shared" ref="Q11" si="4">(((Q9/Q6)^(1/1))-1)</f>
        <v>2.5104522968479426E-2</v>
      </c>
    </row>
    <row r="12" spans="1:17" ht="24.95" customHeight="1" x14ac:dyDescent="0.25">
      <c r="A12" s="6" t="s">
        <v>21</v>
      </c>
      <c r="B12" s="10">
        <v>129392</v>
      </c>
      <c r="C12" s="10">
        <v>343346</v>
      </c>
      <c r="D12" s="10">
        <v>214922</v>
      </c>
      <c r="E12" s="10">
        <v>12829375</v>
      </c>
      <c r="F12" s="10">
        <v>30222.512999999999</v>
      </c>
      <c r="G12" s="10">
        <v>45678.195</v>
      </c>
      <c r="H12" s="14">
        <f t="shared" ref="H12:H36" si="5">F12/G12*100</f>
        <v>66.163982617964649</v>
      </c>
      <c r="I12" s="9">
        <v>174416</v>
      </c>
      <c r="J12" s="9">
        <v>15445.800000000001</v>
      </c>
      <c r="K12" s="9">
        <v>189861.80000000002</v>
      </c>
      <c r="L12" s="9">
        <v>3007.7130000000002</v>
      </c>
      <c r="M12" s="9">
        <v>635.95600000000002</v>
      </c>
      <c r="N12" s="9">
        <v>37.783999999999999</v>
      </c>
      <c r="O12" s="9">
        <v>3681.453</v>
      </c>
      <c r="P12" s="9">
        <v>6328.7439999999997</v>
      </c>
      <c r="Q12" s="14">
        <f t="shared" si="0"/>
        <v>58.170357341045872</v>
      </c>
    </row>
    <row r="13" spans="1:17" ht="24.95" customHeight="1" x14ac:dyDescent="0.25">
      <c r="A13" s="4" t="s">
        <v>29</v>
      </c>
      <c r="B13" s="16">
        <v>1.2195598945499205E-2</v>
      </c>
      <c r="C13" s="16">
        <v>-7.9887666095558932E-3</v>
      </c>
      <c r="D13" s="16">
        <v>-1.5095135095501705E-2</v>
      </c>
      <c r="E13" s="16">
        <v>8.9741760242075461E-2</v>
      </c>
      <c r="F13" s="16">
        <v>4.254236795843095E-2</v>
      </c>
      <c r="G13" s="16">
        <v>2.0571563214573547E-2</v>
      </c>
      <c r="H13" s="17">
        <f t="shared" ref="H13" si="6">(H12-H9)/H9</f>
        <v>2.1527941337748241E-2</v>
      </c>
      <c r="I13" s="16">
        <v>0.1276872248120155</v>
      </c>
      <c r="J13" s="16">
        <v>-0.14221652210334379</v>
      </c>
      <c r="K13" s="16">
        <v>9.9541295364581436E-2</v>
      </c>
      <c r="L13" s="16">
        <v>3.0018944842153766E-2</v>
      </c>
      <c r="M13" s="16">
        <v>0.10509176719179547</v>
      </c>
      <c r="N13" s="16">
        <v>-4.1282890563548308E-2</v>
      </c>
      <c r="O13" s="16">
        <v>4.1445623623564104E-2</v>
      </c>
      <c r="P13" s="16">
        <v>4.4650936460403072E-2</v>
      </c>
      <c r="Q13" s="17">
        <f t="shared" ref="Q13" si="7">(Q12-Q9)/Q9</f>
        <v>-3.0683099253225217E-3</v>
      </c>
    </row>
    <row r="14" spans="1:17" ht="24.95" customHeight="1" x14ac:dyDescent="0.25">
      <c r="A14" s="7" t="s">
        <v>31</v>
      </c>
      <c r="B14" s="8">
        <v>1.3914240533623445E-2</v>
      </c>
      <c r="C14" s="8">
        <v>3.6223673879705043E-3</v>
      </c>
      <c r="D14" s="8">
        <v>-4.384227340388569E-3</v>
      </c>
      <c r="E14" s="8">
        <v>0.11088716393218334</v>
      </c>
      <c r="F14" s="8">
        <v>7.8720529810847539E-2</v>
      </c>
      <c r="G14" s="8">
        <v>2.3228108543062342E-2</v>
      </c>
      <c r="H14" s="13">
        <f t="shared" ref="H14" si="8">(((H12/H6)^(1/2))-1)</f>
        <v>5.4232698265882062E-2</v>
      </c>
      <c r="I14" s="8">
        <v>0.10918125935962109</v>
      </c>
      <c r="J14" s="8">
        <v>-2.1135260283603019E-2</v>
      </c>
      <c r="K14" s="8">
        <v>9.6586411352912238E-2</v>
      </c>
      <c r="L14" s="8">
        <v>6.2781406899387049E-2</v>
      </c>
      <c r="M14" s="8">
        <v>0.13491542473195861</v>
      </c>
      <c r="N14" s="8">
        <v>4.9497925449301761E-2</v>
      </c>
      <c r="O14" s="8">
        <v>7.4119390667880092E-2</v>
      </c>
      <c r="P14" s="8">
        <v>6.2516740347672961E-2</v>
      </c>
      <c r="Q14" s="13">
        <f t="shared" ref="Q14" si="9">(((Q12/Q6)^(1/2))-1)</f>
        <v>1.0919969426938625E-2</v>
      </c>
    </row>
    <row r="15" spans="1:17" ht="24.95" customHeight="1" x14ac:dyDescent="0.25">
      <c r="A15" s="6" t="s">
        <v>22</v>
      </c>
      <c r="B15" s="10">
        <v>130622</v>
      </c>
      <c r="C15" s="10">
        <v>337964</v>
      </c>
      <c r="D15" s="10">
        <v>214997</v>
      </c>
      <c r="E15" s="10">
        <v>13614148</v>
      </c>
      <c r="F15" s="10">
        <v>31247.121999999999</v>
      </c>
      <c r="G15" s="10">
        <v>45620.953999999998</v>
      </c>
      <c r="H15" s="14">
        <f t="shared" si="5"/>
        <v>68.492916654044549</v>
      </c>
      <c r="I15" s="9">
        <v>152698</v>
      </c>
      <c r="J15" s="9">
        <v>13349</v>
      </c>
      <c r="K15" s="9">
        <v>166047</v>
      </c>
      <c r="L15" s="9">
        <v>3098.404</v>
      </c>
      <c r="M15" s="9">
        <v>571.34199999999998</v>
      </c>
      <c r="N15" s="9">
        <v>34.67</v>
      </c>
      <c r="O15" s="9">
        <v>3704.4160000000002</v>
      </c>
      <c r="P15" s="9">
        <v>6418.7079999999996</v>
      </c>
      <c r="Q15" s="14">
        <f t="shared" si="0"/>
        <v>57.712798276537903</v>
      </c>
    </row>
    <row r="16" spans="1:17" ht="24.95" customHeight="1" x14ac:dyDescent="0.25">
      <c r="A16" s="4" t="s">
        <v>29</v>
      </c>
      <c r="B16" s="16">
        <v>9.5059972795845191E-3</v>
      </c>
      <c r="C16" s="16">
        <v>-1.5675149848840528E-2</v>
      </c>
      <c r="D16" s="16">
        <v>3.4896381012646449E-4</v>
      </c>
      <c r="E16" s="16">
        <v>6.1170010230428215E-2</v>
      </c>
      <c r="F16" s="16">
        <v>3.3902177492652591E-2</v>
      </c>
      <c r="G16" s="16">
        <v>-1.2531362064547823E-3</v>
      </c>
      <c r="H16" s="17">
        <f t="shared" ref="H16" si="10">(H15-H12)/H12</f>
        <v>3.5199423370980011E-2</v>
      </c>
      <c r="I16" s="16">
        <v>-0.12451839280799927</v>
      </c>
      <c r="J16" s="16">
        <v>-0.13575211384324548</v>
      </c>
      <c r="K16" s="16">
        <v>-0.12543228811693566</v>
      </c>
      <c r="L16" s="16">
        <v>3.0152810457646655E-2</v>
      </c>
      <c r="M16" s="16">
        <v>-0.10160136864814552</v>
      </c>
      <c r="N16" s="16">
        <v>-8.2415837391488389E-2</v>
      </c>
      <c r="O16" s="16">
        <v>6.237482863423815E-3</v>
      </c>
      <c r="P16" s="16">
        <v>1.4215142846669094E-2</v>
      </c>
      <c r="Q16" s="17">
        <f t="shared" ref="Q16" si="11">(Q15-Q12)/Q12</f>
        <v>-7.8658458607251507E-3</v>
      </c>
    </row>
    <row r="17" spans="1:17" s="2" customFormat="1" ht="24.95" customHeight="1" x14ac:dyDescent="0.25">
      <c r="A17" s="7" t="s">
        <v>31</v>
      </c>
      <c r="B17" s="8">
        <v>1.2442691409218387E-2</v>
      </c>
      <c r="C17" s="8">
        <v>-2.8518122730782913E-3</v>
      </c>
      <c r="D17" s="8">
        <v>-2.8089905689848704E-3</v>
      </c>
      <c r="E17" s="8">
        <v>9.4061213348096251E-2</v>
      </c>
      <c r="F17" s="8">
        <v>6.3569267001043261E-2</v>
      </c>
      <c r="G17" s="8">
        <v>1.5001733862651578E-2</v>
      </c>
      <c r="H17" s="13">
        <f t="shared" ref="H17" si="12">(((H15/H6)^(1/3))-1)</f>
        <v>4.7849704604508325E-2</v>
      </c>
      <c r="I17" s="8">
        <v>2.5063314279947013E-2</v>
      </c>
      <c r="J17" s="8">
        <v>-6.0937354742469751E-2</v>
      </c>
      <c r="K17" s="8">
        <v>1.6934668365069738E-2</v>
      </c>
      <c r="L17" s="8">
        <v>5.179196602755054E-2</v>
      </c>
      <c r="M17" s="8">
        <v>4.9861539857999349E-2</v>
      </c>
      <c r="N17" s="8">
        <v>3.5438627680974832E-3</v>
      </c>
      <c r="O17" s="8">
        <v>5.0997948241771507E-2</v>
      </c>
      <c r="P17" s="8">
        <v>4.6165878346034361E-2</v>
      </c>
      <c r="Q17" s="13">
        <f t="shared" ref="Q17" si="13">(((Q15/Q6)^(1/3))-1)</f>
        <v>4.6188372186031224E-3</v>
      </c>
    </row>
    <row r="18" spans="1:17" ht="24.95" customHeight="1" x14ac:dyDescent="0.25">
      <c r="A18" s="6" t="s">
        <v>23</v>
      </c>
      <c r="B18" s="10">
        <v>125731</v>
      </c>
      <c r="C18" s="10">
        <v>299785</v>
      </c>
      <c r="D18" s="10">
        <v>194274</v>
      </c>
      <c r="E18" s="10">
        <v>14183238</v>
      </c>
      <c r="F18" s="10">
        <v>29193.386999999999</v>
      </c>
      <c r="G18" s="10">
        <v>40217.406999999999</v>
      </c>
      <c r="H18" s="14">
        <f t="shared" si="5"/>
        <v>72.588933940967408</v>
      </c>
      <c r="I18" s="9">
        <v>135208</v>
      </c>
      <c r="J18" s="9">
        <v>1670</v>
      </c>
      <c r="K18" s="9">
        <v>136878</v>
      </c>
      <c r="L18" s="9">
        <v>2870.9960000000001</v>
      </c>
      <c r="M18" s="9">
        <v>437.04899999999998</v>
      </c>
      <c r="N18" s="9">
        <v>38.228999999999999</v>
      </c>
      <c r="O18" s="9">
        <v>3346.2739999999999</v>
      </c>
      <c r="P18" s="9">
        <v>5553.0959999999995</v>
      </c>
      <c r="Q18" s="14">
        <f t="shared" si="0"/>
        <v>60.259610134598795</v>
      </c>
    </row>
    <row r="19" spans="1:17" ht="24.95" customHeight="1" x14ac:dyDescent="0.25">
      <c r="A19" s="4" t="s">
        <v>29</v>
      </c>
      <c r="B19" s="18">
        <v>-3.7443922157063894E-2</v>
      </c>
      <c r="C19" s="18">
        <v>-0.11296765335952942</v>
      </c>
      <c r="D19" s="18">
        <v>-9.6387391451973753E-2</v>
      </c>
      <c r="E19" s="18">
        <v>4.1801367224742966E-2</v>
      </c>
      <c r="F19" s="18">
        <v>-6.5725573062376766E-2</v>
      </c>
      <c r="G19" s="18">
        <v>-0.11844441043473135</v>
      </c>
      <c r="H19" s="17">
        <f t="shared" ref="H19" si="14">(H18-H15)/H15</f>
        <v>5.9802056723788036E-2</v>
      </c>
      <c r="I19" s="18">
        <v>-0.11453981060655673</v>
      </c>
      <c r="J19" s="18">
        <v>-0.8748969960296652</v>
      </c>
      <c r="K19" s="18">
        <v>-0.17566713039079296</v>
      </c>
      <c r="L19" s="18">
        <v>-7.3395206048016942E-2</v>
      </c>
      <c r="M19" s="18">
        <v>-0.23504835982651373</v>
      </c>
      <c r="N19" s="18">
        <v>0.10265359100086523</v>
      </c>
      <c r="O19" s="18">
        <v>-9.667974655114335E-2</v>
      </c>
      <c r="P19" s="18">
        <v>-0.13485766917579053</v>
      </c>
      <c r="Q19" s="17">
        <f t="shared" ref="Q19" si="15">(Q18-Q15)/Q15</f>
        <v>4.4129065547255784E-2</v>
      </c>
    </row>
    <row r="20" spans="1:17" ht="24.95" customHeight="1" x14ac:dyDescent="0.25">
      <c r="A20" s="7" t="s">
        <v>31</v>
      </c>
      <c r="B20" s="8">
        <v>-2.6626451166655851E-4</v>
      </c>
      <c r="C20" s="8">
        <v>-3.1600308317396242E-2</v>
      </c>
      <c r="D20" s="8">
        <v>-2.7075059962720083E-2</v>
      </c>
      <c r="E20" s="8">
        <v>8.0755481804205331E-2</v>
      </c>
      <c r="F20" s="8">
        <v>2.9657885741428247E-2</v>
      </c>
      <c r="G20" s="8">
        <v>-2.0143418678808422E-2</v>
      </c>
      <c r="H20" s="13">
        <f t="shared" ref="H20" si="16">(((H18/H6)^(1/4))-1)</f>
        <v>5.0825095600304016E-2</v>
      </c>
      <c r="I20" s="8">
        <v>-1.1776270238534559E-2</v>
      </c>
      <c r="J20" s="8">
        <v>-0.43266724486160113</v>
      </c>
      <c r="K20" s="8">
        <v>-3.5070810496064753E-2</v>
      </c>
      <c r="L20" s="8">
        <v>1.8992582276083469E-2</v>
      </c>
      <c r="M20" s="8">
        <v>-3.0031758894506044E-2</v>
      </c>
      <c r="N20" s="8">
        <v>2.7453186855583844E-2</v>
      </c>
      <c r="O20" s="8">
        <v>1.1956485484750479E-2</v>
      </c>
      <c r="P20" s="8">
        <v>-2.3635602716302051E-3</v>
      </c>
      <c r="Q20" s="13">
        <f t="shared" ref="Q20" si="17">(((Q18/Q6)^(1/4))-1)</f>
        <v>1.4353972234895096E-2</v>
      </c>
    </row>
    <row r="21" spans="1:17" ht="24.95" customHeight="1" x14ac:dyDescent="0.25">
      <c r="A21" s="6" t="s">
        <v>24</v>
      </c>
      <c r="B21" s="10">
        <v>136634</v>
      </c>
      <c r="C21" s="10">
        <v>343002</v>
      </c>
      <c r="D21" s="10">
        <v>215383</v>
      </c>
      <c r="E21" s="10">
        <v>15405796</v>
      </c>
      <c r="F21" s="10">
        <v>33243.192999999999</v>
      </c>
      <c r="G21" s="10">
        <v>45193.247000000003</v>
      </c>
      <c r="H21" s="14">
        <f t="shared" si="5"/>
        <v>73.557876910238377</v>
      </c>
      <c r="I21" s="9">
        <v>178194</v>
      </c>
      <c r="J21" s="9">
        <v>2377.7629999999999</v>
      </c>
      <c r="K21" s="9">
        <v>180571.76300000001</v>
      </c>
      <c r="L21" s="9">
        <v>3264.5479999999998</v>
      </c>
      <c r="M21" s="9">
        <v>612.23</v>
      </c>
      <c r="N21" s="9">
        <v>33.198999999999998</v>
      </c>
      <c r="O21" s="9">
        <v>3909.9769999999999</v>
      </c>
      <c r="P21" s="9">
        <v>6194.3422</v>
      </c>
      <c r="Q21" s="14">
        <f t="shared" si="0"/>
        <v>63.121746809532084</v>
      </c>
    </row>
    <row r="22" spans="1:17" ht="24.95" customHeight="1" x14ac:dyDescent="0.25">
      <c r="A22" s="4" t="s">
        <v>29</v>
      </c>
      <c r="B22" s="18">
        <v>8.6716879687586998E-2</v>
      </c>
      <c r="C22" s="18">
        <v>0.14415998131994595</v>
      </c>
      <c r="D22" s="18">
        <v>0.10865581601243604</v>
      </c>
      <c r="E22" s="18">
        <v>8.6197383136347283E-2</v>
      </c>
      <c r="F22" s="18">
        <v>0.13872340335158784</v>
      </c>
      <c r="G22" s="18">
        <v>0.12372354090356953</v>
      </c>
      <c r="H22" s="17">
        <f t="shared" ref="H22" si="18">(H21-H18)/H18</f>
        <v>1.3348356514767906E-2</v>
      </c>
      <c r="I22" s="18">
        <v>0.31792497485355897</v>
      </c>
      <c r="J22" s="18">
        <v>0.42381017964071849</v>
      </c>
      <c r="K22" s="18">
        <v>0.31921684273586703</v>
      </c>
      <c r="L22" s="18">
        <v>0.13707856088967021</v>
      </c>
      <c r="M22" s="18">
        <v>0.40082690956849243</v>
      </c>
      <c r="N22" s="18">
        <v>-0.13157550550629107</v>
      </c>
      <c r="O22" s="18">
        <v>0.16845691655853645</v>
      </c>
      <c r="P22" s="18">
        <v>0.115475439286481</v>
      </c>
      <c r="Q22" s="17">
        <f t="shared" ref="Q22" si="19">(Q21-Q18)/Q18</f>
        <v>4.7496767213400182E-2</v>
      </c>
    </row>
    <row r="23" spans="1:17" ht="24.95" customHeight="1" x14ac:dyDescent="0.25">
      <c r="A23" s="7" t="s">
        <v>31</v>
      </c>
      <c r="B23" s="8">
        <v>1.6554718376265098E-2</v>
      </c>
      <c r="C23" s="8">
        <v>1.2466239516195632E-3</v>
      </c>
      <c r="D23" s="8">
        <v>-1.3281303388577026E-3</v>
      </c>
      <c r="E23" s="8">
        <v>8.1841676552440568E-2</v>
      </c>
      <c r="F23" s="8">
        <v>5.0601482363105577E-2</v>
      </c>
      <c r="G23" s="8">
        <v>7.0752132249800592E-3</v>
      </c>
      <c r="H23" s="13">
        <f t="shared" ref="H23" si="20">(((H21/H6)^(1/5))-1)</f>
        <v>4.322047506138138E-2</v>
      </c>
      <c r="I23" s="8">
        <v>4.6796736844914033E-2</v>
      </c>
      <c r="J23" s="8">
        <v>-0.31803716821440753</v>
      </c>
      <c r="K23" s="8">
        <v>2.7210837725639925E-2</v>
      </c>
      <c r="L23" s="8">
        <v>4.1585468553660299E-2</v>
      </c>
      <c r="M23" s="8">
        <v>4.395771218522837E-2</v>
      </c>
      <c r="N23" s="8">
        <v>-6.527047770671035E-3</v>
      </c>
      <c r="O23" s="8">
        <v>4.1482582230876641E-2</v>
      </c>
      <c r="P23" s="8">
        <v>2.0163651510204383E-2</v>
      </c>
      <c r="Q23" s="13">
        <f t="shared" ref="Q23" si="21">(((Q21/Q6)^(1/5))-1)</f>
        <v>2.0897559611257055E-2</v>
      </c>
    </row>
    <row r="24" spans="1:17" ht="24.95" customHeight="1" x14ac:dyDescent="0.25">
      <c r="A24" s="6" t="s">
        <v>25</v>
      </c>
      <c r="B24" s="10">
        <v>138803</v>
      </c>
      <c r="C24" s="10">
        <v>358927</v>
      </c>
      <c r="D24" s="10">
        <v>258808</v>
      </c>
      <c r="E24" s="10">
        <v>17263599</v>
      </c>
      <c r="F24" s="10">
        <v>35917.201000000001</v>
      </c>
      <c r="G24" s="10">
        <v>48484.936000000002</v>
      </c>
      <c r="H24" s="14">
        <f t="shared" si="5"/>
        <v>74.079093349736496</v>
      </c>
      <c r="I24" s="9">
        <v>205963</v>
      </c>
      <c r="J24" s="9">
        <v>19412</v>
      </c>
      <c r="K24" s="9">
        <v>225375</v>
      </c>
      <c r="L24" s="9">
        <v>3500.7370000000001</v>
      </c>
      <c r="M24" s="9">
        <v>657.60599999999999</v>
      </c>
      <c r="N24" s="9">
        <v>37.636000000000003</v>
      </c>
      <c r="O24" s="9">
        <v>4195.9790000000003</v>
      </c>
      <c r="P24" s="9">
        <v>6556.5739999999996</v>
      </c>
      <c r="Q24" s="14">
        <f t="shared" si="0"/>
        <v>63.996517083464632</v>
      </c>
    </row>
    <row r="25" spans="1:17" ht="24.95" customHeight="1" x14ac:dyDescent="0.25">
      <c r="A25" s="4" t="s">
        <v>29</v>
      </c>
      <c r="B25" s="18">
        <v>1.5874526106240027E-2</v>
      </c>
      <c r="C25" s="18">
        <v>4.642830070961685E-2</v>
      </c>
      <c r="D25" s="18">
        <v>0.20161758356044812</v>
      </c>
      <c r="E25" s="18">
        <v>0.12059117230943471</v>
      </c>
      <c r="F25" s="18">
        <v>8.0437760596582933E-2</v>
      </c>
      <c r="G25" s="18">
        <v>7.2835859746921888E-2</v>
      </c>
      <c r="H25" s="17">
        <f t="shared" ref="H25" si="22">(H24-H21)/H21</f>
        <v>7.0858004797249878E-3</v>
      </c>
      <c r="I25" s="18">
        <v>0.15583577449296834</v>
      </c>
      <c r="J25" s="18">
        <v>7.1639759723740344</v>
      </c>
      <c r="K25" s="18">
        <v>0.24811873271680907</v>
      </c>
      <c r="L25" s="18">
        <v>7.2349679036730452E-2</v>
      </c>
      <c r="M25" s="18">
        <v>7.4115936821129269E-2</v>
      </c>
      <c r="N25" s="18">
        <v>0.1336486038736108</v>
      </c>
      <c r="O25" s="18">
        <v>7.3146721834936729E-2</v>
      </c>
      <c r="P25" s="18">
        <v>5.8477847736600599E-2</v>
      </c>
      <c r="Q25" s="17">
        <f t="shared" ref="Q25" si="23">(Q24-Q21)/Q21</f>
        <v>1.3858461119147096E-2</v>
      </c>
    </row>
    <row r="26" spans="1:17" ht="24.95" customHeight="1" x14ac:dyDescent="0.25">
      <c r="A26" s="7" t="s">
        <v>31</v>
      </c>
      <c r="B26" s="8">
        <v>1.6441321378954266E-2</v>
      </c>
      <c r="C26" s="8">
        <v>8.6391009831676691E-3</v>
      </c>
      <c r="D26" s="8">
        <v>2.9943481416363715E-2</v>
      </c>
      <c r="E26" s="8">
        <v>8.8205599270936741E-2</v>
      </c>
      <c r="F26" s="8">
        <v>5.5516354322187711E-2</v>
      </c>
      <c r="G26" s="8">
        <v>1.7748496280537651E-2</v>
      </c>
      <c r="H26" s="13">
        <f t="shared" ref="H26" si="24">(((H24/H6)^(1/6))-1)</f>
        <v>3.7109225098024057E-2</v>
      </c>
      <c r="I26" s="8">
        <v>6.42279373016863E-2</v>
      </c>
      <c r="J26" s="8">
        <v>3.1456398262901697E-2</v>
      </c>
      <c r="K26" s="8">
        <v>6.1106506623010093E-2</v>
      </c>
      <c r="L26" s="8">
        <v>4.6650851922439784E-2</v>
      </c>
      <c r="M26" s="8">
        <v>4.8924628167960282E-2</v>
      </c>
      <c r="N26" s="8">
        <v>1.5569811502701647E-2</v>
      </c>
      <c r="O26" s="8">
        <v>4.669430179471834E-2</v>
      </c>
      <c r="P26" s="8">
        <v>2.6451657086587588E-2</v>
      </c>
      <c r="Q26" s="13">
        <f t="shared" ref="Q26" si="25">(((Q24/Q6)^(1/6))-1)</f>
        <v>1.9720991795742382E-2</v>
      </c>
    </row>
    <row r="27" spans="1:17" ht="24.95" customHeight="1" x14ac:dyDescent="0.25">
      <c r="A27" s="6" t="s">
        <v>26</v>
      </c>
      <c r="B27" s="10">
        <v>140016</v>
      </c>
      <c r="C27" s="10">
        <v>378135</v>
      </c>
      <c r="D27" s="10">
        <v>340622</v>
      </c>
      <c r="E27" s="10">
        <v>18475830</v>
      </c>
      <c r="F27" s="10">
        <v>38548.79</v>
      </c>
      <c r="G27" s="10">
        <v>51049.54</v>
      </c>
      <c r="H27" s="14">
        <f t="shared" si="5"/>
        <v>75.512511963868818</v>
      </c>
      <c r="I27" s="9">
        <v>187614</v>
      </c>
      <c r="J27" s="9">
        <v>19044</v>
      </c>
      <c r="K27" s="9">
        <v>206658</v>
      </c>
      <c r="L27" s="9">
        <v>3761.9140000000002</v>
      </c>
      <c r="M27" s="9">
        <v>565.50300000000004</v>
      </c>
      <c r="N27" s="9">
        <v>36.277000000000001</v>
      </c>
      <c r="O27" s="9">
        <v>4363.6940000000004</v>
      </c>
      <c r="P27" s="9">
        <v>6854.2730000000001</v>
      </c>
      <c r="Q27" s="14">
        <f t="shared" si="0"/>
        <v>63.663848813725401</v>
      </c>
    </row>
    <row r="28" spans="1:17" ht="24.95" customHeight="1" x14ac:dyDescent="0.25">
      <c r="A28" s="4" t="s">
        <v>29</v>
      </c>
      <c r="B28" s="18">
        <v>8.7390042001974019E-3</v>
      </c>
      <c r="C28" s="18">
        <v>5.3515060165437542E-2</v>
      </c>
      <c r="D28" s="18">
        <v>0.31611851256529938</v>
      </c>
      <c r="E28" s="18">
        <v>7.0218903949286593E-2</v>
      </c>
      <c r="F28" s="18">
        <v>7.3268209290584752E-2</v>
      </c>
      <c r="G28" s="18">
        <v>5.2894862024774031E-2</v>
      </c>
      <c r="H28" s="17">
        <f t="shared" ref="H28" si="26">(H27-H24)/H24</f>
        <v>1.9349840141333483E-2</v>
      </c>
      <c r="I28" s="18">
        <v>-8.9088816923427988E-2</v>
      </c>
      <c r="J28" s="18">
        <v>-1.8957345971563982E-2</v>
      </c>
      <c r="K28" s="18">
        <v>-8.3048252911813641E-2</v>
      </c>
      <c r="L28" s="18">
        <v>7.4606290046924442E-2</v>
      </c>
      <c r="M28" s="18">
        <v>-0.14005802866762157</v>
      </c>
      <c r="N28" s="18">
        <v>-3.6109044531831266E-2</v>
      </c>
      <c r="O28" s="18">
        <v>3.9970409766111825E-2</v>
      </c>
      <c r="P28" s="18">
        <v>4.5404657981439778E-2</v>
      </c>
      <c r="Q28" s="17">
        <f t="shared" ref="Q28" si="27">(Q27-Q24)/Q24</f>
        <v>-5.1982246050259594E-3</v>
      </c>
    </row>
    <row r="29" spans="1:17" ht="24.95" customHeight="1" x14ac:dyDescent="0.25">
      <c r="A29" s="7" t="s">
        <v>31</v>
      </c>
      <c r="B29" s="8">
        <v>1.5337400066130824E-2</v>
      </c>
      <c r="C29" s="8">
        <v>1.4930974664064678E-2</v>
      </c>
      <c r="D29" s="8">
        <v>6.6657646662811265E-2</v>
      </c>
      <c r="E29" s="8">
        <v>8.5617680986434186E-2</v>
      </c>
      <c r="F29" s="8">
        <v>5.8034242851273898E-2</v>
      </c>
      <c r="G29" s="8">
        <v>2.2696646376898277E-2</v>
      </c>
      <c r="H29" s="13">
        <f t="shared" ref="H29" si="28">(((H27/H6)^(1/7))-1)</f>
        <v>3.4553351279253741E-2</v>
      </c>
      <c r="I29" s="8">
        <v>4.0838681413524647E-2</v>
      </c>
      <c r="J29" s="8">
        <v>2.4098845336533614E-2</v>
      </c>
      <c r="K29" s="8">
        <v>3.9202181416355009E-2</v>
      </c>
      <c r="L29" s="8">
        <v>5.0599512968034777E-2</v>
      </c>
      <c r="M29" s="8">
        <v>1.9575199608131699E-2</v>
      </c>
      <c r="N29" s="8">
        <v>8.0208483408976683E-3</v>
      </c>
      <c r="O29" s="8">
        <v>4.5731090706105926E-2</v>
      </c>
      <c r="P29" s="8">
        <v>2.913804429204081E-2</v>
      </c>
      <c r="Q29" s="13">
        <f t="shared" ref="Q29" si="29">(((Q27/Q6)^(1/7))-1)</f>
        <v>1.6123246542187442E-2</v>
      </c>
    </row>
    <row r="30" spans="1:17" ht="24.95" customHeight="1" x14ac:dyDescent="0.25">
      <c r="A30" s="6" t="s">
        <v>27</v>
      </c>
      <c r="B30" s="10">
        <v>145187</v>
      </c>
      <c r="C30" s="10">
        <v>401041</v>
      </c>
      <c r="D30" s="10">
        <v>343676</v>
      </c>
      <c r="E30" s="10">
        <v>19599155</v>
      </c>
      <c r="F30" s="10">
        <v>41362.555999999997</v>
      </c>
      <c r="G30" s="10">
        <v>54139.879000000001</v>
      </c>
      <c r="H30" s="14">
        <f t="shared" si="5"/>
        <v>76.399424535101005</v>
      </c>
      <c r="I30" s="9">
        <v>177532</v>
      </c>
      <c r="J30" s="9">
        <v>13163</v>
      </c>
      <c r="K30" s="9">
        <v>190695</v>
      </c>
      <c r="L30" s="9">
        <v>4065.817</v>
      </c>
      <c r="M30" s="9">
        <v>642.88400000000001</v>
      </c>
      <c r="N30" s="9">
        <v>30.27</v>
      </c>
      <c r="O30" s="9">
        <v>4738.9709999999995</v>
      </c>
      <c r="P30" s="9">
        <v>7269.8710000000001</v>
      </c>
      <c r="Q30" s="14">
        <f t="shared" si="0"/>
        <v>65.186452414355074</v>
      </c>
    </row>
    <row r="31" spans="1:17" ht="24.95" customHeight="1" x14ac:dyDescent="0.25">
      <c r="A31" s="4" t="s">
        <v>29</v>
      </c>
      <c r="B31" s="18">
        <v>3.6931493543595019E-2</v>
      </c>
      <c r="C31" s="18">
        <v>6.0576249223161037E-2</v>
      </c>
      <c r="D31" s="18">
        <v>8.9659505258027957E-3</v>
      </c>
      <c r="E31" s="18">
        <v>6.0799704262271305E-2</v>
      </c>
      <c r="F31" s="18">
        <v>7.2992329979747639E-2</v>
      </c>
      <c r="G31" s="18">
        <v>6.0536079267315628E-2</v>
      </c>
      <c r="H31" s="17">
        <f t="shared" ref="H31" si="30">(H30-H27)/H27</f>
        <v>1.1745239936615496E-2</v>
      </c>
      <c r="I31" s="18">
        <v>-5.3737993966335135E-2</v>
      </c>
      <c r="J31" s="18">
        <v>-0.3088111741230834</v>
      </c>
      <c r="K31" s="18">
        <v>-7.7243561826786281E-2</v>
      </c>
      <c r="L31" s="18">
        <v>8.0784143390837684E-2</v>
      </c>
      <c r="M31" s="18">
        <v>0.13683570202103254</v>
      </c>
      <c r="N31" s="18">
        <v>-0.1655870110538358</v>
      </c>
      <c r="O31" s="18">
        <v>8.5999843252070177E-2</v>
      </c>
      <c r="P31" s="18">
        <v>6.0633418015302275E-2</v>
      </c>
      <c r="Q31" s="17">
        <f t="shared" ref="Q31" si="31">(Q30-Q27)/Q27</f>
        <v>2.3916298323160938E-2</v>
      </c>
    </row>
    <row r="32" spans="1:17" ht="24.95" customHeight="1" x14ac:dyDescent="0.25">
      <c r="A32" s="7" t="s">
        <v>31</v>
      </c>
      <c r="B32" s="8">
        <v>1.8011874744707557E-2</v>
      </c>
      <c r="C32" s="8">
        <v>2.0527426316239383E-2</v>
      </c>
      <c r="D32" s="8">
        <v>5.9269538679471712E-2</v>
      </c>
      <c r="E32" s="8">
        <v>8.2483955869718351E-2</v>
      </c>
      <c r="F32" s="8">
        <v>5.989254004024791E-2</v>
      </c>
      <c r="G32" s="8">
        <v>2.735173523078327E-2</v>
      </c>
      <c r="H32" s="13">
        <f t="shared" ref="H32" si="32">(((H30/H6)^(1/8))-1)</f>
        <v>3.167445354258791E-2</v>
      </c>
      <c r="I32" s="8">
        <v>2.8518058181453476E-2</v>
      </c>
      <c r="J32" s="8">
        <v>-2.50132123500868E-2</v>
      </c>
      <c r="K32" s="8">
        <v>2.387851288925269E-2</v>
      </c>
      <c r="L32" s="8">
        <v>5.4325999531211533E-2</v>
      </c>
      <c r="M32" s="8">
        <v>3.3544233317521988E-2</v>
      </c>
      <c r="N32" s="8">
        <v>-1.5516465033014959E-2</v>
      </c>
      <c r="O32" s="8">
        <v>5.068186920223039E-2</v>
      </c>
      <c r="P32" s="8">
        <v>3.3023240761833828E-2</v>
      </c>
      <c r="Q32" s="13">
        <f t="shared" ref="Q32" si="33">(((Q30/Q6)^(1/8))-1)</f>
        <v>1.7094125033792595E-2</v>
      </c>
    </row>
    <row r="33" spans="1:17" ht="24.95" customHeight="1" x14ac:dyDescent="0.25">
      <c r="A33" s="6" t="s">
        <v>28</v>
      </c>
      <c r="B33" s="10">
        <v>153499</v>
      </c>
      <c r="C33" s="10">
        <v>432212.8</v>
      </c>
      <c r="D33" s="10">
        <v>366037.1</v>
      </c>
      <c r="E33" s="10">
        <v>21172463</v>
      </c>
      <c r="F33" s="10">
        <v>46026.945799999994</v>
      </c>
      <c r="G33" s="10">
        <v>57723.122600000002</v>
      </c>
      <c r="H33" s="14">
        <f t="shared" si="5"/>
        <v>79.737449616074642</v>
      </c>
      <c r="I33" s="9">
        <v>204894.6</v>
      </c>
      <c r="J33" s="9">
        <v>14713.332</v>
      </c>
      <c r="K33" s="9">
        <v>219607.932</v>
      </c>
      <c r="L33" s="9">
        <v>4555.1067999999996</v>
      </c>
      <c r="M33" s="9">
        <v>801.1083000000001</v>
      </c>
      <c r="N33" s="9">
        <v>39.529600000000002</v>
      </c>
      <c r="O33" s="9">
        <v>5395.7447000000002</v>
      </c>
      <c r="P33" s="9">
        <v>7780.4115000000002</v>
      </c>
      <c r="Q33" s="14">
        <f t="shared" si="0"/>
        <v>69.350376904871936</v>
      </c>
    </row>
    <row r="34" spans="1:17" ht="24.95" customHeight="1" x14ac:dyDescent="0.25">
      <c r="A34" s="4" t="s">
        <v>29</v>
      </c>
      <c r="B34" s="18">
        <v>5.7250304779353521E-2</v>
      </c>
      <c r="C34" s="18">
        <v>7.7727214923162438E-2</v>
      </c>
      <c r="D34" s="18">
        <v>6.5064479335187719E-2</v>
      </c>
      <c r="E34" s="18">
        <v>8.0274277130825286E-2</v>
      </c>
      <c r="F34" s="18">
        <v>0.11276841305455101</v>
      </c>
      <c r="G34" s="18">
        <v>6.6184920730982824E-2</v>
      </c>
      <c r="H34" s="17">
        <f t="shared" ref="H34" si="34">(H33-H30)/H30</f>
        <v>4.3691756859241947E-2</v>
      </c>
      <c r="I34" s="18">
        <v>0.15412770655431138</v>
      </c>
      <c r="J34" s="18">
        <v>0.11777953354098612</v>
      </c>
      <c r="K34" s="18">
        <v>0.15161872099425786</v>
      </c>
      <c r="L34" s="18">
        <v>0.12034230758541262</v>
      </c>
      <c r="M34" s="18">
        <v>0.24611640669234275</v>
      </c>
      <c r="N34" s="18">
        <v>0.30590023125206484</v>
      </c>
      <c r="O34" s="18">
        <v>0.1385899386174764</v>
      </c>
      <c r="P34" s="18">
        <v>7.0226899486937264E-2</v>
      </c>
      <c r="Q34" s="17">
        <f t="shared" ref="Q34" si="35">(Q33-Q30)/Q30</f>
        <v>6.3877145270140531E-2</v>
      </c>
    </row>
    <row r="35" spans="1:17" ht="24.95" customHeight="1" x14ac:dyDescent="0.25">
      <c r="A35" s="7" t="s">
        <v>31</v>
      </c>
      <c r="B35" s="8">
        <v>2.2298776799520192E-2</v>
      </c>
      <c r="C35" s="8">
        <v>2.6730007616981188E-2</v>
      </c>
      <c r="D35" s="8">
        <v>5.9911860797571492E-2</v>
      </c>
      <c r="E35" s="8">
        <v>8.2238212976173397E-2</v>
      </c>
      <c r="F35" s="8">
        <v>6.5641321714232426E-2</v>
      </c>
      <c r="G35" s="8">
        <v>3.1595725745238834E-2</v>
      </c>
      <c r="H35" s="13">
        <f t="shared" ref="H35" si="36">(((H33/H6)^(1/9))-1)</f>
        <v>3.3002847064336649E-2</v>
      </c>
      <c r="I35" s="8">
        <v>4.1770697031163317E-2</v>
      </c>
      <c r="J35" s="8">
        <v>-1.0093901760711899E-2</v>
      </c>
      <c r="K35" s="8">
        <v>3.7341599285347415E-2</v>
      </c>
      <c r="L35" s="8">
        <v>6.1464717393703072E-2</v>
      </c>
      <c r="M35" s="8">
        <v>5.5248086393176132E-2</v>
      </c>
      <c r="N35" s="8">
        <v>1.587895086869695E-2</v>
      </c>
      <c r="O35" s="8">
        <v>6.0104267774141018E-2</v>
      </c>
      <c r="P35" s="8">
        <v>3.7092276823501358E-2</v>
      </c>
      <c r="Q35" s="13">
        <f t="shared" ref="Q35" si="37">(((Q33/Q6)^(1/9))-1)</f>
        <v>2.2188952193456402E-2</v>
      </c>
    </row>
    <row r="36" spans="1:17" ht="24.95" customHeight="1" x14ac:dyDescent="0.25">
      <c r="A36" s="6" t="s">
        <v>32</v>
      </c>
      <c r="B36" s="10">
        <v>159586</v>
      </c>
      <c r="C36" s="10">
        <v>463868.8826999999</v>
      </c>
      <c r="D36" s="10">
        <v>386701.69099999999</v>
      </c>
      <c r="E36" s="10">
        <v>22282899</v>
      </c>
      <c r="F36" s="10">
        <v>49115.269760999989</v>
      </c>
      <c r="G36" s="10">
        <v>62139.233197999994</v>
      </c>
      <c r="H36" s="14">
        <f t="shared" si="5"/>
        <v>79.040675646092154</v>
      </c>
      <c r="I36" s="9">
        <v>215335.44054999997</v>
      </c>
      <c r="J36" s="9">
        <v>13679.568000000001</v>
      </c>
      <c r="K36" s="9">
        <v>229015.00855000003</v>
      </c>
      <c r="L36" s="9">
        <v>4867.1589009999998</v>
      </c>
      <c r="M36" s="9">
        <v>876.93935662740012</v>
      </c>
      <c r="N36" s="9">
        <v>37.995229000000016</v>
      </c>
      <c r="O36" s="9">
        <v>5782.0934866273992</v>
      </c>
      <c r="P36" s="9">
        <v>8341.2966772559994</v>
      </c>
      <c r="Q36" s="14">
        <f t="shared" si="0"/>
        <v>69.318880629114716</v>
      </c>
    </row>
    <row r="37" spans="1:17" ht="24.95" customHeight="1" x14ac:dyDescent="0.25">
      <c r="A37" s="4" t="s">
        <v>29</v>
      </c>
      <c r="B37" s="18">
        <v>3.9654981465677301E-2</v>
      </c>
      <c r="C37" s="18">
        <v>7.3241890800087167E-2</v>
      </c>
      <c r="D37" s="18">
        <v>5.6454908532495796E-2</v>
      </c>
      <c r="E37" s="18">
        <v>5.2447181038880547E-2</v>
      </c>
      <c r="F37" s="18">
        <v>6.7098172762095259E-2</v>
      </c>
      <c r="G37" s="18">
        <v>7.6505053765057257E-2</v>
      </c>
      <c r="H37" s="17">
        <f t="shared" ref="H37" si="38">(H36-H33)/H33</f>
        <v>-8.738352848471612E-3</v>
      </c>
      <c r="I37" s="18">
        <v>5.095712893360764E-2</v>
      </c>
      <c r="J37" s="18">
        <v>-7.0260359787979995E-2</v>
      </c>
      <c r="K37" s="18">
        <v>4.2835777671272945E-2</v>
      </c>
      <c r="L37" s="18">
        <v>6.8505990024207611E-2</v>
      </c>
      <c r="M37" s="18">
        <v>9.4657684394731656E-2</v>
      </c>
      <c r="N37" s="18">
        <v>-3.8815748198817744E-2</v>
      </c>
      <c r="O37" s="18">
        <v>7.1602495690242532E-2</v>
      </c>
      <c r="P37" s="18">
        <v>7.2089397489579987E-2</v>
      </c>
      <c r="Q37" s="17">
        <f t="shared" ref="Q37" si="39">(Q36-Q33)/Q33</f>
        <v>-4.5416156570315215E-4</v>
      </c>
    </row>
    <row r="38" spans="1:17" ht="24.95" customHeight="1" x14ac:dyDescent="0.25">
      <c r="A38" s="7" t="s">
        <v>31</v>
      </c>
      <c r="B38" s="8">
        <v>2.4021278091825415E-2</v>
      </c>
      <c r="C38" s="8">
        <v>3.1289013440088498E-2</v>
      </c>
      <c r="D38" s="8">
        <v>5.95656571449803E-2</v>
      </c>
      <c r="E38" s="8">
        <v>7.9221550377125638E-2</v>
      </c>
      <c r="F38" s="8">
        <v>6.5786917271007717E-2</v>
      </c>
      <c r="G38" s="8">
        <v>3.600103178209757E-2</v>
      </c>
      <c r="H38" s="13">
        <f t="shared" ref="H38" si="40">(((H36/H6)^(1/10))-1)</f>
        <v>2.8750826085253589E-2</v>
      </c>
      <c r="I38" s="8">
        <v>4.2685715143537806E-2</v>
      </c>
      <c r="J38" s="8">
        <v>-1.6281736426337678E-2</v>
      </c>
      <c r="K38" s="8">
        <v>3.7889712027574518E-2</v>
      </c>
      <c r="L38" s="8">
        <v>6.2166751558493383E-2</v>
      </c>
      <c r="M38" s="8">
        <v>5.9124340420208865E-2</v>
      </c>
      <c r="N38" s="8">
        <v>1.0272264538897957E-2</v>
      </c>
      <c r="O38" s="8">
        <v>6.1248516711968737E-2</v>
      </c>
      <c r="P38" s="8">
        <v>4.0539952953678959E-2</v>
      </c>
      <c r="Q38" s="13">
        <f t="shared" ref="Q38" si="41">(((Q36/Q6)^(1/10))-1)</f>
        <v>1.9901747837270722E-2</v>
      </c>
    </row>
    <row r="39" spans="1:17" ht="24.95" customHeight="1" x14ac:dyDescent="0.25">
      <c r="A39" s="21" t="s">
        <v>35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5">
      <c r="A40" s="23" t="s">
        <v>37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7" x14ac:dyDescent="0.25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2020-05-11T09:32:17Z</cp:lastPrinted>
  <dcterms:created xsi:type="dcterms:W3CDTF">2018-10-29T04:00:16Z</dcterms:created>
  <dcterms:modified xsi:type="dcterms:W3CDTF">2020-05-20T09:53:15Z</dcterms:modified>
</cp:coreProperties>
</file>