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2195" windowHeight="9165"/>
  </bookViews>
  <sheets>
    <sheet name="1.02 (IO)" sheetId="1" r:id="rId1"/>
  </sheets>
  <definedNames>
    <definedName name="_xlnm._FilterDatabase" localSheetId="0" hidden="1">'1.02 (IO)'!#REF!</definedName>
    <definedName name="_xlnm.Print_Area" localSheetId="0">'1.02 (IO)'!$A$1:$H$62</definedName>
    <definedName name="_xlnm.Print_Titles" localSheetId="0">'1.02 (IO)'!$3:$6</definedName>
  </definedNames>
  <calcPr calcId="152511"/>
</workbook>
</file>

<file path=xl/calcChain.xml><?xml version="1.0" encoding="utf-8"?>
<calcChain xmlns="http://schemas.openxmlformats.org/spreadsheetml/2006/main">
  <c r="H51" i="1" l="1"/>
  <c r="H43" i="1"/>
  <c r="H35" i="1"/>
  <c r="H27" i="1"/>
  <c r="H19" i="1"/>
  <c r="H11" i="1"/>
  <c r="H8" i="1"/>
  <c r="H9" i="1"/>
  <c r="H10" i="1"/>
  <c r="H12" i="1"/>
  <c r="H13" i="1"/>
  <c r="H14" i="1"/>
  <c r="H15" i="1"/>
  <c r="H16" i="1"/>
  <c r="H17" i="1"/>
  <c r="H18" i="1"/>
  <c r="H20" i="1"/>
  <c r="H21" i="1"/>
  <c r="H22" i="1"/>
  <c r="H23" i="1"/>
  <c r="H24" i="1"/>
  <c r="H25" i="1"/>
  <c r="H26" i="1"/>
  <c r="H28" i="1"/>
  <c r="H29" i="1"/>
  <c r="H30" i="1"/>
  <c r="H31" i="1"/>
  <c r="H32" i="1"/>
  <c r="H33" i="1"/>
  <c r="H34" i="1"/>
  <c r="H36" i="1"/>
  <c r="H37" i="1"/>
  <c r="H38" i="1"/>
  <c r="H39" i="1"/>
  <c r="H40" i="1"/>
  <c r="H41" i="1"/>
  <c r="H42" i="1"/>
  <c r="H44" i="1"/>
  <c r="H45" i="1"/>
  <c r="H46" i="1"/>
  <c r="H47" i="1"/>
  <c r="H48" i="1"/>
  <c r="H49" i="1"/>
  <c r="H50" i="1"/>
  <c r="H52" i="1"/>
  <c r="H53" i="1"/>
  <c r="H54" i="1"/>
  <c r="H55" i="1"/>
  <c r="H56" i="1"/>
  <c r="H57" i="1"/>
  <c r="H58" i="1"/>
  <c r="H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7" i="1"/>
  <c r="D59" i="1" l="1"/>
  <c r="E59" i="1"/>
  <c r="F59" i="1"/>
  <c r="G59" i="1"/>
  <c r="H59" i="1"/>
  <c r="C59" i="1"/>
</calcChain>
</file>

<file path=xl/sharedStrings.xml><?xml version="1.0" encoding="utf-8"?>
<sst xmlns="http://schemas.openxmlformats.org/spreadsheetml/2006/main" count="70" uniqueCount="66">
  <si>
    <t>COUNTRY</t>
  </si>
  <si>
    <t>FREIGHT</t>
  </si>
  <si>
    <t>TO INDIA</t>
  </si>
  <si>
    <t>FROM INDIA</t>
  </si>
  <si>
    <t>TOTAL</t>
  </si>
  <si>
    <t>SL. No.</t>
  </si>
  <si>
    <t>*UNITED ARAB EMIRATES includes Ajman, Dubai, Fujairah, Ras al-Khaimah, Sharjah, Umm al-Quwain.</t>
  </si>
  <si>
    <t>(PASSENGERS IN NUMBER AND FREIGHT IN TONNES)</t>
  </si>
  <si>
    <t>PASSENGERS</t>
  </si>
  <si>
    <t>SOURCE :- MONTHLY TRAFFIC STATISTICS FURNISHED BY ALL SCHEDULED INDIAN AND FOREIGN CARRIERS.</t>
  </si>
  <si>
    <t>सारणी 1.02 (अन्तर्राष्ट्रीय प्रचालन)</t>
  </si>
  <si>
    <t>TABLE 1.02 (INTERNATIONAL OPERATIONS)</t>
  </si>
  <si>
    <t>NOTE: 1. THIS TABLE DOES NOT INCLUDE PASSENGERS AND FREIGHT CARRIED BY SCHEDULED DOMESTIC AIRLINES ENTIRELY OUTSIDE THE
                   INDIAN TERRITORY.</t>
  </si>
  <si>
    <t>AFGHANISTAN</t>
  </si>
  <si>
    <t>AUSTRALIA</t>
  </si>
  <si>
    <t>AUSTRIA</t>
  </si>
  <si>
    <t>BAHRAIN</t>
  </si>
  <si>
    <t>BANGLADESH</t>
  </si>
  <si>
    <t>BHUTAN</t>
  </si>
  <si>
    <t>BURMA</t>
  </si>
  <si>
    <t>CANADA</t>
  </si>
  <si>
    <t>CHINA</t>
  </si>
  <si>
    <t>DENMARK</t>
  </si>
  <si>
    <t>EGYPT</t>
  </si>
  <si>
    <t>ETHIOPIA</t>
  </si>
  <si>
    <t>FINLAND</t>
  </si>
  <si>
    <t>FRANCE</t>
  </si>
  <si>
    <t>GERMANY</t>
  </si>
  <si>
    <t>HONG KONG</t>
  </si>
  <si>
    <t>IRAN</t>
  </si>
  <si>
    <t>IRAQ</t>
  </si>
  <si>
    <t>ISRAEL</t>
  </si>
  <si>
    <t>ITALY</t>
  </si>
  <si>
    <t>JAPAN</t>
  </si>
  <si>
    <t>KAZAKHSTAN</t>
  </si>
  <si>
    <t>KENYA</t>
  </si>
  <si>
    <t>KOREA</t>
  </si>
  <si>
    <t>KUWAIT</t>
  </si>
  <si>
    <t>MALAYSIA</t>
  </si>
  <si>
    <t>MALDIVES</t>
  </si>
  <si>
    <t>MAURITIUS</t>
  </si>
  <si>
    <t>NEPAL</t>
  </si>
  <si>
    <t>NETHERLANDS</t>
  </si>
  <si>
    <t>OMAN</t>
  </si>
  <si>
    <t>QATAR</t>
  </si>
  <si>
    <t>REUNION</t>
  </si>
  <si>
    <t>RUSSIA</t>
  </si>
  <si>
    <t>RWANDA</t>
  </si>
  <si>
    <t>SAUDI ARABIA</t>
  </si>
  <si>
    <t>SEYCHELLES</t>
  </si>
  <si>
    <t>SINGAPORE</t>
  </si>
  <si>
    <t>SPAIN</t>
  </si>
  <si>
    <t>SRI LANKA</t>
  </si>
  <si>
    <t>SWEDEN</t>
  </si>
  <si>
    <t>SWITZERLAND</t>
  </si>
  <si>
    <t>TAIWAN</t>
  </si>
  <si>
    <t>THAILAND</t>
  </si>
  <si>
    <t>TURKEY</t>
  </si>
  <si>
    <t>TURKMENISTAN</t>
  </si>
  <si>
    <t>UNITED ARAB EMIRATES</t>
  </si>
  <si>
    <t>UNITED KINGDOM</t>
  </si>
  <si>
    <t>UNITED STATES</t>
  </si>
  <si>
    <t>UZBEKISTAN</t>
  </si>
  <si>
    <t>YEMEN</t>
  </si>
  <si>
    <t>VIETNAM</t>
  </si>
  <si>
    <t>COUNTRY WISE SCHEDULED INTERNATIONAL PASSENGERS AND FREIGHT CARRIED BY ALL SCHEDULED DOMESTIC AND FOREIGN AIRLINES DURING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</si>
</sst>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4"/>
      <name val="APS-C-DV-Akanksha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" fontId="0" fillId="0" borderId="0" xfId="0" applyNumberForma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vertical="center"/>
    </xf>
    <xf numFmtId="3" fontId="7" fillId="4" borderId="1" xfId="0" applyNumberFormat="1" applyFont="1" applyFill="1" applyBorder="1" applyAlignment="1">
      <alignment vertical="center"/>
    </xf>
    <xf numFmtId="0" fontId="2" fillId="5" borderId="6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6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7" fillId="4" borderId="5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6" xfId="0" applyFont="1" applyBorder="1" applyAlignment="1">
      <alignment horizontal="righ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8"/>
  <sheetViews>
    <sheetView tabSelected="1" view="pageBreakPreview" zoomScale="85" zoomScaleNormal="85" zoomScaleSheetLayoutView="85" workbookViewId="0">
      <selection activeCell="A3" sqref="A3:H3"/>
    </sheetView>
  </sheetViews>
  <sheetFormatPr defaultRowHeight="15"/>
  <cols>
    <col min="1" max="1" width="8.7109375" customWidth="1"/>
    <col min="2" max="2" width="30.140625" customWidth="1"/>
    <col min="3" max="3" width="20.140625" style="1" customWidth="1"/>
    <col min="4" max="8" width="20.140625" customWidth="1"/>
    <col min="10" max="13" width="16.7109375" customWidth="1"/>
  </cols>
  <sheetData>
    <row r="1" spans="1:8" ht="39" customHeight="1">
      <c r="A1" s="26" t="s">
        <v>10</v>
      </c>
      <c r="B1" s="27"/>
      <c r="C1" s="27"/>
      <c r="D1" s="27"/>
      <c r="E1" s="27"/>
      <c r="F1" s="27"/>
      <c r="G1" s="27"/>
      <c r="H1" s="28"/>
    </row>
    <row r="2" spans="1:8" ht="32.25" customHeight="1">
      <c r="A2" s="29" t="s">
        <v>11</v>
      </c>
      <c r="B2" s="30"/>
      <c r="C2" s="30"/>
      <c r="D2" s="30"/>
      <c r="E2" s="30"/>
      <c r="F2" s="30"/>
      <c r="G2" s="30"/>
      <c r="H2" s="31"/>
    </row>
    <row r="3" spans="1:8" ht="47.25" customHeight="1">
      <c r="A3" s="23" t="s">
        <v>65</v>
      </c>
      <c r="B3" s="24"/>
      <c r="C3" s="24"/>
      <c r="D3" s="24"/>
      <c r="E3" s="24"/>
      <c r="F3" s="24"/>
      <c r="G3" s="24"/>
      <c r="H3" s="25"/>
    </row>
    <row r="4" spans="1:8" ht="26.25" customHeight="1">
      <c r="A4" s="32" t="s">
        <v>7</v>
      </c>
      <c r="B4" s="33"/>
      <c r="C4" s="33"/>
      <c r="D4" s="33"/>
      <c r="E4" s="33"/>
      <c r="F4" s="33"/>
      <c r="G4" s="33"/>
      <c r="H4" s="34"/>
    </row>
    <row r="5" spans="1:8" s="2" customFormat="1" ht="27" customHeight="1">
      <c r="A5" s="37" t="s">
        <v>5</v>
      </c>
      <c r="B5" s="38" t="s">
        <v>0</v>
      </c>
      <c r="C5" s="35" t="s">
        <v>8</v>
      </c>
      <c r="D5" s="35"/>
      <c r="E5" s="35"/>
      <c r="F5" s="35" t="s">
        <v>1</v>
      </c>
      <c r="G5" s="35"/>
      <c r="H5" s="36"/>
    </row>
    <row r="6" spans="1:8" s="3" customFormat="1" ht="27" customHeight="1">
      <c r="A6" s="37"/>
      <c r="B6" s="38"/>
      <c r="C6" s="5" t="s">
        <v>2</v>
      </c>
      <c r="D6" s="6" t="s">
        <v>3</v>
      </c>
      <c r="E6" s="6" t="s">
        <v>4</v>
      </c>
      <c r="F6" s="6" t="s">
        <v>2</v>
      </c>
      <c r="G6" s="6" t="s">
        <v>3</v>
      </c>
      <c r="H6" s="9" t="s">
        <v>4</v>
      </c>
    </row>
    <row r="7" spans="1:8" s="4" customFormat="1" ht="21" customHeight="1">
      <c r="A7" s="10">
        <v>1</v>
      </c>
      <c r="B7" s="14" t="s">
        <v>13</v>
      </c>
      <c r="C7" s="11">
        <v>60190</v>
      </c>
      <c r="D7" s="11">
        <v>70583</v>
      </c>
      <c r="E7" s="11">
        <f>C7+D7</f>
        <v>130773</v>
      </c>
      <c r="F7" s="12">
        <v>874.74029000000019</v>
      </c>
      <c r="G7" s="12">
        <v>3153.6626799999999</v>
      </c>
      <c r="H7" s="13">
        <f>F7+G7</f>
        <v>4028.4029700000001</v>
      </c>
    </row>
    <row r="8" spans="1:8" s="4" customFormat="1" ht="21" customHeight="1">
      <c r="A8" s="10">
        <v>2</v>
      </c>
      <c r="B8" s="14" t="s">
        <v>14</v>
      </c>
      <c r="C8" s="11">
        <v>85466</v>
      </c>
      <c r="D8" s="11">
        <v>92380</v>
      </c>
      <c r="E8" s="11">
        <f t="shared" ref="E8:E58" si="0">C8+D8</f>
        <v>177846</v>
      </c>
      <c r="F8" s="12">
        <v>1300.7153000000001</v>
      </c>
      <c r="G8" s="12">
        <v>1489.6631999999997</v>
      </c>
      <c r="H8" s="13">
        <f t="shared" ref="H8:H58" si="1">F8+G8</f>
        <v>2790.3784999999998</v>
      </c>
    </row>
    <row r="9" spans="1:8" s="4" customFormat="1" ht="21" customHeight="1">
      <c r="A9" s="10">
        <v>3</v>
      </c>
      <c r="B9" s="14" t="s">
        <v>15</v>
      </c>
      <c r="C9" s="11">
        <v>39803</v>
      </c>
      <c r="D9" s="11">
        <v>35339</v>
      </c>
      <c r="E9" s="11">
        <f t="shared" si="0"/>
        <v>75142</v>
      </c>
      <c r="F9" s="12">
        <v>899.50760000000002</v>
      </c>
      <c r="G9" s="12">
        <v>700.34769999999992</v>
      </c>
      <c r="H9" s="13">
        <f t="shared" si="1"/>
        <v>1599.8552999999999</v>
      </c>
    </row>
    <row r="10" spans="1:8" s="4" customFormat="1" ht="21" customHeight="1">
      <c r="A10" s="10">
        <v>4</v>
      </c>
      <c r="B10" s="14" t="s">
        <v>16</v>
      </c>
      <c r="C10" s="11">
        <v>646795</v>
      </c>
      <c r="D10" s="11">
        <v>629659</v>
      </c>
      <c r="E10" s="11">
        <f t="shared" si="0"/>
        <v>1276454</v>
      </c>
      <c r="F10" s="12">
        <v>4092.9969999999998</v>
      </c>
      <c r="G10" s="12">
        <v>9548.4794999999995</v>
      </c>
      <c r="H10" s="13">
        <f t="shared" si="1"/>
        <v>13641.476499999999</v>
      </c>
    </row>
    <row r="11" spans="1:8" s="4" customFormat="1" ht="21" customHeight="1">
      <c r="A11" s="10">
        <v>5</v>
      </c>
      <c r="B11" s="14" t="s">
        <v>17</v>
      </c>
      <c r="C11" s="11">
        <v>535323</v>
      </c>
      <c r="D11" s="11">
        <v>537316</v>
      </c>
      <c r="E11" s="11">
        <f t="shared" si="0"/>
        <v>1072639</v>
      </c>
      <c r="F11" s="12">
        <v>2301.5128200000004</v>
      </c>
      <c r="G11" s="12">
        <v>7527.7989000000007</v>
      </c>
      <c r="H11" s="13">
        <f t="shared" si="1"/>
        <v>9829.3117200000015</v>
      </c>
    </row>
    <row r="12" spans="1:8" s="4" customFormat="1" ht="21" customHeight="1">
      <c r="A12" s="10">
        <v>6</v>
      </c>
      <c r="B12" s="14" t="s">
        <v>18</v>
      </c>
      <c r="C12" s="11">
        <v>50604</v>
      </c>
      <c r="D12" s="11">
        <v>50906</v>
      </c>
      <c r="E12" s="11">
        <f t="shared" si="0"/>
        <v>101510</v>
      </c>
      <c r="F12" s="12">
        <v>3.4676099999999996</v>
      </c>
      <c r="G12" s="12">
        <v>73.614500000000007</v>
      </c>
      <c r="H12" s="13">
        <f t="shared" si="1"/>
        <v>77.08211</v>
      </c>
    </row>
    <row r="13" spans="1:8" s="4" customFormat="1" ht="21" customHeight="1">
      <c r="A13" s="10">
        <v>7</v>
      </c>
      <c r="B13" s="14" t="s">
        <v>19</v>
      </c>
      <c r="C13" s="11">
        <v>48009</v>
      </c>
      <c r="D13" s="11">
        <v>47757</v>
      </c>
      <c r="E13" s="11">
        <f t="shared" si="0"/>
        <v>95766</v>
      </c>
      <c r="F13" s="12">
        <v>21.025500000000001</v>
      </c>
      <c r="G13" s="12">
        <v>401.62579999999997</v>
      </c>
      <c r="H13" s="13">
        <f t="shared" si="1"/>
        <v>422.65129999999999</v>
      </c>
    </row>
    <row r="14" spans="1:8" s="4" customFormat="1" ht="21" customHeight="1">
      <c r="A14" s="10">
        <v>8</v>
      </c>
      <c r="B14" s="14" t="s">
        <v>20</v>
      </c>
      <c r="C14" s="11">
        <v>201180</v>
      </c>
      <c r="D14" s="11">
        <v>163304</v>
      </c>
      <c r="E14" s="11">
        <f t="shared" si="0"/>
        <v>364484</v>
      </c>
      <c r="F14" s="12">
        <v>2356.7221999999992</v>
      </c>
      <c r="G14" s="12">
        <v>2225.4584</v>
      </c>
      <c r="H14" s="13">
        <f t="shared" si="1"/>
        <v>4582.1805999999997</v>
      </c>
    </row>
    <row r="15" spans="1:8" s="4" customFormat="1" ht="21" customHeight="1">
      <c r="A15" s="10">
        <v>9</v>
      </c>
      <c r="B15" s="14" t="s">
        <v>21</v>
      </c>
      <c r="C15" s="11">
        <v>386762</v>
      </c>
      <c r="D15" s="11">
        <v>386705</v>
      </c>
      <c r="E15" s="11">
        <f t="shared" si="0"/>
        <v>773467</v>
      </c>
      <c r="F15" s="12">
        <v>20288.265299999999</v>
      </c>
      <c r="G15" s="12">
        <v>9728.8675799999983</v>
      </c>
      <c r="H15" s="13">
        <f t="shared" si="1"/>
        <v>30017.132879999997</v>
      </c>
    </row>
    <row r="16" spans="1:8" s="4" customFormat="1" ht="21" customHeight="1">
      <c r="A16" s="10">
        <v>10</v>
      </c>
      <c r="B16" s="14" t="s">
        <v>22</v>
      </c>
      <c r="C16" s="11">
        <v>37376</v>
      </c>
      <c r="D16" s="11">
        <v>35706</v>
      </c>
      <c r="E16" s="11">
        <f t="shared" si="0"/>
        <v>73082</v>
      </c>
      <c r="F16" s="12">
        <v>882.51970000000006</v>
      </c>
      <c r="G16" s="12">
        <v>1345.0175000000002</v>
      </c>
      <c r="H16" s="13">
        <f t="shared" si="1"/>
        <v>2227.5372000000002</v>
      </c>
    </row>
    <row r="17" spans="1:8" s="4" customFormat="1" ht="21" customHeight="1">
      <c r="A17" s="10">
        <v>11</v>
      </c>
      <c r="B17" s="14" t="s">
        <v>23</v>
      </c>
      <c r="C17" s="11">
        <v>29344</v>
      </c>
      <c r="D17" s="11">
        <v>30705</v>
      </c>
      <c r="E17" s="11">
        <f t="shared" si="0"/>
        <v>60049</v>
      </c>
      <c r="F17" s="12">
        <v>85.733999999999995</v>
      </c>
      <c r="G17" s="12">
        <v>61.908000000000001</v>
      </c>
      <c r="H17" s="13">
        <f t="shared" si="1"/>
        <v>147.642</v>
      </c>
    </row>
    <row r="18" spans="1:8" s="4" customFormat="1" ht="21" customHeight="1">
      <c r="A18" s="10">
        <v>12</v>
      </c>
      <c r="B18" s="14" t="s">
        <v>24</v>
      </c>
      <c r="C18" s="11">
        <v>177106</v>
      </c>
      <c r="D18" s="11">
        <v>184990</v>
      </c>
      <c r="E18" s="11">
        <f t="shared" si="0"/>
        <v>362096</v>
      </c>
      <c r="F18" s="12">
        <v>504.14299999999997</v>
      </c>
      <c r="G18" s="12">
        <v>3208.7910000000002</v>
      </c>
      <c r="H18" s="13">
        <f t="shared" si="1"/>
        <v>3712.9340000000002</v>
      </c>
    </row>
    <row r="19" spans="1:8" s="4" customFormat="1" ht="21" customHeight="1">
      <c r="A19" s="10">
        <v>13</v>
      </c>
      <c r="B19" s="14" t="s">
        <v>25</v>
      </c>
      <c r="C19" s="11">
        <v>63319</v>
      </c>
      <c r="D19" s="11">
        <v>60872</v>
      </c>
      <c r="E19" s="11">
        <f t="shared" si="0"/>
        <v>124191</v>
      </c>
      <c r="F19" s="12">
        <v>2384.8449999999998</v>
      </c>
      <c r="G19" s="12">
        <v>2774.6640000000002</v>
      </c>
      <c r="H19" s="13">
        <f t="shared" si="1"/>
        <v>5159.509</v>
      </c>
    </row>
    <row r="20" spans="1:8" s="4" customFormat="1" ht="21" customHeight="1">
      <c r="A20" s="10">
        <v>14</v>
      </c>
      <c r="B20" s="14" t="s">
        <v>26</v>
      </c>
      <c r="C20" s="11">
        <v>336465</v>
      </c>
      <c r="D20" s="11">
        <v>347414</v>
      </c>
      <c r="E20" s="11">
        <f t="shared" si="0"/>
        <v>683879</v>
      </c>
      <c r="F20" s="12">
        <v>11963.870379999998</v>
      </c>
      <c r="G20" s="12">
        <v>20904.89572</v>
      </c>
      <c r="H20" s="13">
        <f t="shared" si="1"/>
        <v>32868.766100000001</v>
      </c>
    </row>
    <row r="21" spans="1:8" s="4" customFormat="1" ht="21" customHeight="1">
      <c r="A21" s="10">
        <v>15</v>
      </c>
      <c r="B21" s="14" t="s">
        <v>27</v>
      </c>
      <c r="C21" s="11">
        <v>736395</v>
      </c>
      <c r="D21" s="11">
        <v>739974</v>
      </c>
      <c r="E21" s="11">
        <f t="shared" si="0"/>
        <v>1476369</v>
      </c>
      <c r="F21" s="12">
        <v>59974.091800000002</v>
      </c>
      <c r="G21" s="12">
        <v>79744.725552999953</v>
      </c>
      <c r="H21" s="13">
        <f t="shared" si="1"/>
        <v>139718.81735299996</v>
      </c>
    </row>
    <row r="22" spans="1:8" s="4" customFormat="1" ht="21" customHeight="1">
      <c r="A22" s="10">
        <v>16</v>
      </c>
      <c r="B22" s="14" t="s">
        <v>28</v>
      </c>
      <c r="C22" s="11">
        <v>642865</v>
      </c>
      <c r="D22" s="11">
        <v>846651</v>
      </c>
      <c r="E22" s="11">
        <f t="shared" si="0"/>
        <v>1489516</v>
      </c>
      <c r="F22" s="12">
        <v>88807.833009999973</v>
      </c>
      <c r="G22" s="12">
        <v>62721.901689999992</v>
      </c>
      <c r="H22" s="13">
        <f t="shared" si="1"/>
        <v>151529.73469999997</v>
      </c>
    </row>
    <row r="23" spans="1:8" s="4" customFormat="1" ht="21" customHeight="1">
      <c r="A23" s="10">
        <v>17</v>
      </c>
      <c r="B23" s="14" t="s">
        <v>29</v>
      </c>
      <c r="C23" s="11">
        <v>39674</v>
      </c>
      <c r="D23" s="11">
        <v>37260</v>
      </c>
      <c r="E23" s="11">
        <f t="shared" si="0"/>
        <v>76934</v>
      </c>
      <c r="F23" s="12">
        <v>208.08799999999999</v>
      </c>
      <c r="G23" s="12">
        <v>1703.4380000000001</v>
      </c>
      <c r="H23" s="13">
        <f t="shared" si="1"/>
        <v>1911.5260000000001</v>
      </c>
    </row>
    <row r="24" spans="1:8" s="4" customFormat="1" ht="21" customHeight="1">
      <c r="A24" s="10">
        <v>18</v>
      </c>
      <c r="B24" s="14" t="s">
        <v>30</v>
      </c>
      <c r="C24" s="11">
        <v>39621</v>
      </c>
      <c r="D24" s="11">
        <v>41029</v>
      </c>
      <c r="E24" s="11">
        <f t="shared" si="0"/>
        <v>80650</v>
      </c>
      <c r="F24" s="12">
        <v>0</v>
      </c>
      <c r="G24" s="12">
        <v>0</v>
      </c>
      <c r="H24" s="13">
        <f t="shared" si="1"/>
        <v>0</v>
      </c>
    </row>
    <row r="25" spans="1:8" s="4" customFormat="1" ht="21" customHeight="1">
      <c r="A25" s="10">
        <v>19</v>
      </c>
      <c r="B25" s="14" t="s">
        <v>31</v>
      </c>
      <c r="C25" s="11">
        <v>69528</v>
      </c>
      <c r="D25" s="11">
        <v>75226</v>
      </c>
      <c r="E25" s="11">
        <f t="shared" si="0"/>
        <v>144754</v>
      </c>
      <c r="F25" s="12">
        <v>1756.8524</v>
      </c>
      <c r="G25" s="12">
        <v>3187.9430000000007</v>
      </c>
      <c r="H25" s="13">
        <f t="shared" si="1"/>
        <v>4944.7954000000009</v>
      </c>
    </row>
    <row r="26" spans="1:8" s="4" customFormat="1" ht="21" customHeight="1">
      <c r="A26" s="10">
        <v>20</v>
      </c>
      <c r="B26" s="14" t="s">
        <v>32</v>
      </c>
      <c r="C26" s="11">
        <v>78452</v>
      </c>
      <c r="D26" s="11">
        <v>69930</v>
      </c>
      <c r="E26" s="11">
        <f t="shared" si="0"/>
        <v>148382</v>
      </c>
      <c r="F26" s="12">
        <v>3638.7469999999985</v>
      </c>
      <c r="G26" s="12">
        <v>6733.9607000000005</v>
      </c>
      <c r="H26" s="13">
        <f t="shared" si="1"/>
        <v>10372.707699999999</v>
      </c>
    </row>
    <row r="27" spans="1:8" s="4" customFormat="1" ht="21" customHeight="1">
      <c r="A27" s="10">
        <v>21</v>
      </c>
      <c r="B27" s="14" t="s">
        <v>33</v>
      </c>
      <c r="C27" s="11">
        <v>142376</v>
      </c>
      <c r="D27" s="11">
        <v>166719</v>
      </c>
      <c r="E27" s="11">
        <f t="shared" si="0"/>
        <v>309095</v>
      </c>
      <c r="F27" s="12">
        <v>10274.823699999999</v>
      </c>
      <c r="G27" s="12">
        <v>8913.0633099999995</v>
      </c>
      <c r="H27" s="13">
        <f t="shared" si="1"/>
        <v>19187.887009999999</v>
      </c>
    </row>
    <row r="28" spans="1:8" s="4" customFormat="1" ht="21" customHeight="1">
      <c r="A28" s="10">
        <v>22</v>
      </c>
      <c r="B28" s="14" t="s">
        <v>34</v>
      </c>
      <c r="C28" s="11">
        <v>51348</v>
      </c>
      <c r="D28" s="11">
        <v>54876</v>
      </c>
      <c r="E28" s="11">
        <f t="shared" si="0"/>
        <v>106224</v>
      </c>
      <c r="F28" s="12">
        <v>88.087000000000003</v>
      </c>
      <c r="G28" s="12">
        <v>440.87299999999999</v>
      </c>
      <c r="H28" s="13">
        <f t="shared" si="1"/>
        <v>528.96</v>
      </c>
    </row>
    <row r="29" spans="1:8" s="4" customFormat="1" ht="21" customHeight="1">
      <c r="A29" s="10">
        <v>23</v>
      </c>
      <c r="B29" s="14" t="s">
        <v>35</v>
      </c>
      <c r="C29" s="11">
        <v>92162</v>
      </c>
      <c r="D29" s="11">
        <v>92644</v>
      </c>
      <c r="E29" s="11">
        <f t="shared" si="0"/>
        <v>184806</v>
      </c>
      <c r="F29" s="12">
        <v>169.09899999999999</v>
      </c>
      <c r="G29" s="12">
        <v>451.88390000000004</v>
      </c>
      <c r="H29" s="13">
        <f t="shared" si="1"/>
        <v>620.98289999999997</v>
      </c>
    </row>
    <row r="30" spans="1:8" s="4" customFormat="1" ht="21" customHeight="1">
      <c r="A30" s="10">
        <v>24</v>
      </c>
      <c r="B30" s="14" t="s">
        <v>36</v>
      </c>
      <c r="C30" s="11">
        <v>113005</v>
      </c>
      <c r="D30" s="11">
        <v>123969</v>
      </c>
      <c r="E30" s="11">
        <f t="shared" si="0"/>
        <v>236974</v>
      </c>
      <c r="F30" s="12">
        <v>3609.0837000000001</v>
      </c>
      <c r="G30" s="12">
        <v>3475.4234000000001</v>
      </c>
      <c r="H30" s="13">
        <f t="shared" si="1"/>
        <v>7084.5071000000007</v>
      </c>
    </row>
    <row r="31" spans="1:8" s="4" customFormat="1" ht="21" customHeight="1">
      <c r="A31" s="10">
        <v>25</v>
      </c>
      <c r="B31" s="14" t="s">
        <v>37</v>
      </c>
      <c r="C31" s="11">
        <v>683727</v>
      </c>
      <c r="D31" s="11">
        <v>693076</v>
      </c>
      <c r="E31" s="11">
        <f t="shared" si="0"/>
        <v>1376803</v>
      </c>
      <c r="F31" s="12">
        <v>3710.9528999999993</v>
      </c>
      <c r="G31" s="12">
        <v>17533.054899999996</v>
      </c>
      <c r="H31" s="13">
        <f t="shared" si="1"/>
        <v>21244.007799999996</v>
      </c>
    </row>
    <row r="32" spans="1:8" s="4" customFormat="1" ht="21" customHeight="1">
      <c r="A32" s="10">
        <v>26</v>
      </c>
      <c r="B32" s="14" t="s">
        <v>38</v>
      </c>
      <c r="C32" s="11">
        <v>1546556</v>
      </c>
      <c r="D32" s="11">
        <v>1527093</v>
      </c>
      <c r="E32" s="11">
        <f t="shared" si="0"/>
        <v>3073649</v>
      </c>
      <c r="F32" s="12">
        <v>17414.985000000001</v>
      </c>
      <c r="G32" s="12">
        <v>23497.255000000001</v>
      </c>
      <c r="H32" s="13">
        <f t="shared" si="1"/>
        <v>40912.240000000005</v>
      </c>
    </row>
    <row r="33" spans="1:8" s="4" customFormat="1" ht="21" customHeight="1">
      <c r="A33" s="10">
        <v>27</v>
      </c>
      <c r="B33" s="14" t="s">
        <v>39</v>
      </c>
      <c r="C33" s="11">
        <v>230567</v>
      </c>
      <c r="D33" s="11">
        <v>233676</v>
      </c>
      <c r="E33" s="11">
        <f t="shared" si="0"/>
        <v>464243</v>
      </c>
      <c r="F33" s="12">
        <v>12.9664</v>
      </c>
      <c r="G33" s="12">
        <v>3678.96191</v>
      </c>
      <c r="H33" s="13">
        <f t="shared" si="1"/>
        <v>3691.9283099999998</v>
      </c>
    </row>
    <row r="34" spans="1:8" s="4" customFormat="1" ht="21" customHeight="1">
      <c r="A34" s="10">
        <v>28</v>
      </c>
      <c r="B34" s="14" t="s">
        <v>40</v>
      </c>
      <c r="C34" s="11">
        <v>101400</v>
      </c>
      <c r="D34" s="11">
        <v>106318</v>
      </c>
      <c r="E34" s="11">
        <f t="shared" si="0"/>
        <v>207718</v>
      </c>
      <c r="F34" s="12">
        <v>266.34500000000003</v>
      </c>
      <c r="G34" s="12">
        <v>4630.5680000000002</v>
      </c>
      <c r="H34" s="13">
        <f t="shared" si="1"/>
        <v>4896.9130000000005</v>
      </c>
    </row>
    <row r="35" spans="1:8" s="4" customFormat="1" ht="21" customHeight="1">
      <c r="A35" s="10">
        <v>29</v>
      </c>
      <c r="B35" s="14" t="s">
        <v>41</v>
      </c>
      <c r="C35" s="11">
        <v>381578</v>
      </c>
      <c r="D35" s="11">
        <v>379939</v>
      </c>
      <c r="E35" s="11">
        <f t="shared" si="0"/>
        <v>761517</v>
      </c>
      <c r="F35" s="12">
        <v>232.77600000000001</v>
      </c>
      <c r="G35" s="12">
        <v>1647.4031999999997</v>
      </c>
      <c r="H35" s="13">
        <f t="shared" si="1"/>
        <v>1880.1791999999998</v>
      </c>
    </row>
    <row r="36" spans="1:8" s="4" customFormat="1" ht="21" customHeight="1">
      <c r="A36" s="10">
        <v>30</v>
      </c>
      <c r="B36" s="14" t="s">
        <v>42</v>
      </c>
      <c r="C36" s="11">
        <v>186063</v>
      </c>
      <c r="D36" s="11">
        <v>192520</v>
      </c>
      <c r="E36" s="11">
        <f t="shared" si="0"/>
        <v>378583</v>
      </c>
      <c r="F36" s="12">
        <v>7097.72624</v>
      </c>
      <c r="G36" s="12">
        <v>10231.439749999998</v>
      </c>
      <c r="H36" s="13">
        <f t="shared" si="1"/>
        <v>17329.165989999998</v>
      </c>
    </row>
    <row r="37" spans="1:8" s="4" customFormat="1" ht="21" customHeight="1">
      <c r="A37" s="10">
        <v>31</v>
      </c>
      <c r="B37" s="14" t="s">
        <v>43</v>
      </c>
      <c r="C37" s="11">
        <v>1456433</v>
      </c>
      <c r="D37" s="11">
        <v>1460097</v>
      </c>
      <c r="E37" s="11">
        <f t="shared" si="0"/>
        <v>2916530</v>
      </c>
      <c r="F37" s="12">
        <v>2166.3562900000002</v>
      </c>
      <c r="G37" s="12">
        <v>22452.184087999995</v>
      </c>
      <c r="H37" s="13">
        <f t="shared" si="1"/>
        <v>24618.540377999994</v>
      </c>
    </row>
    <row r="38" spans="1:8" s="4" customFormat="1" ht="21" customHeight="1">
      <c r="A38" s="10">
        <v>32</v>
      </c>
      <c r="B38" s="14" t="s">
        <v>44</v>
      </c>
      <c r="C38" s="11">
        <v>1686530</v>
      </c>
      <c r="D38" s="11">
        <v>1723093</v>
      </c>
      <c r="E38" s="11">
        <f t="shared" si="0"/>
        <v>3409623</v>
      </c>
      <c r="F38" s="12">
        <v>80568.615000000005</v>
      </c>
      <c r="G38" s="12">
        <v>121633.98610000001</v>
      </c>
      <c r="H38" s="13">
        <f t="shared" si="1"/>
        <v>202202.60110000003</v>
      </c>
    </row>
    <row r="39" spans="1:8" s="4" customFormat="1" ht="21" customHeight="1">
      <c r="A39" s="10">
        <v>33</v>
      </c>
      <c r="B39" s="14" t="s">
        <v>45</v>
      </c>
      <c r="C39" s="11">
        <v>8073</v>
      </c>
      <c r="D39" s="11">
        <v>7729</v>
      </c>
      <c r="E39" s="11">
        <f t="shared" si="0"/>
        <v>15802</v>
      </c>
      <c r="F39" s="12">
        <v>1.331</v>
      </c>
      <c r="G39" s="12">
        <v>24</v>
      </c>
      <c r="H39" s="13">
        <f t="shared" si="1"/>
        <v>25.331</v>
      </c>
    </row>
    <row r="40" spans="1:8" s="4" customFormat="1" ht="21" customHeight="1">
      <c r="A40" s="10">
        <v>34</v>
      </c>
      <c r="B40" s="14" t="s">
        <v>46</v>
      </c>
      <c r="C40" s="11">
        <v>221518</v>
      </c>
      <c r="D40" s="11">
        <v>237664</v>
      </c>
      <c r="E40" s="11">
        <f t="shared" si="0"/>
        <v>459182</v>
      </c>
      <c r="F40" s="12">
        <v>993.33630000000005</v>
      </c>
      <c r="G40" s="12">
        <v>3508.4789999999998</v>
      </c>
      <c r="H40" s="13">
        <f t="shared" si="1"/>
        <v>4501.8153000000002</v>
      </c>
    </row>
    <row r="41" spans="1:8" s="4" customFormat="1" ht="21" customHeight="1">
      <c r="A41" s="10">
        <v>35</v>
      </c>
      <c r="B41" s="14" t="s">
        <v>47</v>
      </c>
      <c r="C41" s="11">
        <v>12842</v>
      </c>
      <c r="D41" s="11">
        <v>14845</v>
      </c>
      <c r="E41" s="11">
        <f t="shared" si="0"/>
        <v>27687</v>
      </c>
      <c r="F41" s="12">
        <v>0</v>
      </c>
      <c r="G41" s="12">
        <v>0</v>
      </c>
      <c r="H41" s="13">
        <f t="shared" si="1"/>
        <v>0</v>
      </c>
    </row>
    <row r="42" spans="1:8" s="4" customFormat="1" ht="21" customHeight="1">
      <c r="A42" s="10">
        <v>36</v>
      </c>
      <c r="B42" s="14" t="s">
        <v>48</v>
      </c>
      <c r="C42" s="11">
        <v>1488328</v>
      </c>
      <c r="D42" s="11">
        <v>1575102</v>
      </c>
      <c r="E42" s="11">
        <f t="shared" si="0"/>
        <v>3063430</v>
      </c>
      <c r="F42" s="12">
        <v>7564.6260000000002</v>
      </c>
      <c r="G42" s="12">
        <v>35479.733319999999</v>
      </c>
      <c r="H42" s="13">
        <f t="shared" si="1"/>
        <v>43044.359320000003</v>
      </c>
    </row>
    <row r="43" spans="1:8" s="4" customFormat="1" ht="21" customHeight="1">
      <c r="A43" s="10">
        <v>37</v>
      </c>
      <c r="B43" s="14" t="s">
        <v>49</v>
      </c>
      <c r="C43" s="11">
        <v>27066</v>
      </c>
      <c r="D43" s="11">
        <v>30080</v>
      </c>
      <c r="E43" s="11">
        <f t="shared" si="0"/>
        <v>57146</v>
      </c>
      <c r="F43" s="12">
        <v>5.08</v>
      </c>
      <c r="G43" s="12">
        <v>195.00800000000001</v>
      </c>
      <c r="H43" s="13">
        <f t="shared" si="1"/>
        <v>200.08800000000002</v>
      </c>
    </row>
    <row r="44" spans="1:8" s="4" customFormat="1" ht="21" customHeight="1">
      <c r="A44" s="10">
        <v>38</v>
      </c>
      <c r="B44" s="14" t="s">
        <v>50</v>
      </c>
      <c r="C44" s="11">
        <v>2191229</v>
      </c>
      <c r="D44" s="11">
        <v>2274373</v>
      </c>
      <c r="E44" s="11">
        <f t="shared" si="0"/>
        <v>4465602</v>
      </c>
      <c r="F44" s="12">
        <v>50552.41337100001</v>
      </c>
      <c r="G44" s="12">
        <v>56573.001900000003</v>
      </c>
      <c r="H44" s="13">
        <f t="shared" si="1"/>
        <v>107125.41527100001</v>
      </c>
    </row>
    <row r="45" spans="1:8" s="4" customFormat="1" ht="21" customHeight="1">
      <c r="A45" s="10">
        <v>39</v>
      </c>
      <c r="B45" s="14" t="s">
        <v>51</v>
      </c>
      <c r="C45" s="11">
        <v>26285</v>
      </c>
      <c r="D45" s="11">
        <v>26100</v>
      </c>
      <c r="E45" s="11">
        <f t="shared" si="0"/>
        <v>52385</v>
      </c>
      <c r="F45" s="12">
        <v>440.10740000000004</v>
      </c>
      <c r="G45" s="12">
        <v>1150.9312999999997</v>
      </c>
      <c r="H45" s="13">
        <f t="shared" si="1"/>
        <v>1591.0386999999998</v>
      </c>
    </row>
    <row r="46" spans="1:8" s="4" customFormat="1" ht="21" customHeight="1">
      <c r="A46" s="10">
        <v>40</v>
      </c>
      <c r="B46" s="14" t="s">
        <v>52</v>
      </c>
      <c r="C46" s="11">
        <v>1245162</v>
      </c>
      <c r="D46" s="11">
        <v>1250276</v>
      </c>
      <c r="E46" s="11">
        <f t="shared" si="0"/>
        <v>2495438</v>
      </c>
      <c r="F46" s="12">
        <v>11644.675360000001</v>
      </c>
      <c r="G46" s="12">
        <v>20060.30342</v>
      </c>
      <c r="H46" s="13">
        <f t="shared" si="1"/>
        <v>31704.978780000001</v>
      </c>
    </row>
    <row r="47" spans="1:8" s="4" customFormat="1" ht="21" customHeight="1">
      <c r="A47" s="10">
        <v>41</v>
      </c>
      <c r="B47" s="14" t="s">
        <v>53</v>
      </c>
      <c r="C47" s="11">
        <v>31852</v>
      </c>
      <c r="D47" s="11">
        <v>30674</v>
      </c>
      <c r="E47" s="11">
        <f t="shared" si="0"/>
        <v>62526</v>
      </c>
      <c r="F47" s="12">
        <v>663.32190000000003</v>
      </c>
      <c r="G47" s="12">
        <v>734.46119999999996</v>
      </c>
      <c r="H47" s="13">
        <f t="shared" si="1"/>
        <v>1397.7831000000001</v>
      </c>
    </row>
    <row r="48" spans="1:8" s="4" customFormat="1" ht="21" customHeight="1">
      <c r="A48" s="10">
        <v>42</v>
      </c>
      <c r="B48" s="14" t="s">
        <v>54</v>
      </c>
      <c r="C48" s="11">
        <v>120782</v>
      </c>
      <c r="D48" s="11">
        <v>128145</v>
      </c>
      <c r="E48" s="11">
        <f t="shared" si="0"/>
        <v>248927</v>
      </c>
      <c r="F48" s="12">
        <v>7127.4660000000003</v>
      </c>
      <c r="G48" s="12">
        <v>9157.9650000000001</v>
      </c>
      <c r="H48" s="13">
        <f t="shared" si="1"/>
        <v>16285.431</v>
      </c>
    </row>
    <row r="49" spans="1:9" s="4" customFormat="1" ht="21" customHeight="1">
      <c r="A49" s="10">
        <v>43</v>
      </c>
      <c r="B49" s="14" t="s">
        <v>55</v>
      </c>
      <c r="C49" s="11">
        <v>30805</v>
      </c>
      <c r="D49" s="11">
        <v>31413</v>
      </c>
      <c r="E49" s="11">
        <f t="shared" si="0"/>
        <v>62218</v>
      </c>
      <c r="F49" s="12">
        <v>4282.9440000000004</v>
      </c>
      <c r="G49" s="12">
        <v>1936.3330000000001</v>
      </c>
      <c r="H49" s="13">
        <f t="shared" si="1"/>
        <v>6219.277</v>
      </c>
    </row>
    <row r="50" spans="1:9" s="4" customFormat="1" ht="21" customHeight="1">
      <c r="A50" s="10">
        <v>44</v>
      </c>
      <c r="B50" s="14" t="s">
        <v>56</v>
      </c>
      <c r="C50" s="11">
        <v>2140192</v>
      </c>
      <c r="D50" s="11">
        <v>2142909</v>
      </c>
      <c r="E50" s="11">
        <f t="shared" si="0"/>
        <v>4283101</v>
      </c>
      <c r="F50" s="12">
        <v>37725.125750000007</v>
      </c>
      <c r="G50" s="12">
        <v>33281.193457554997</v>
      </c>
      <c r="H50" s="13">
        <f t="shared" si="1"/>
        <v>71006.319207555003</v>
      </c>
    </row>
    <row r="51" spans="1:9" s="4" customFormat="1" ht="21" customHeight="1">
      <c r="A51" s="10">
        <v>45</v>
      </c>
      <c r="B51" s="14" t="s">
        <v>57</v>
      </c>
      <c r="C51" s="11">
        <v>243419</v>
      </c>
      <c r="D51" s="11">
        <v>256802</v>
      </c>
      <c r="E51" s="11">
        <f t="shared" si="0"/>
        <v>500221</v>
      </c>
      <c r="F51" s="12">
        <v>17312.843810000002</v>
      </c>
      <c r="G51" s="12">
        <v>21276.446</v>
      </c>
      <c r="H51" s="13">
        <f t="shared" si="1"/>
        <v>38589.289810000002</v>
      </c>
    </row>
    <row r="52" spans="1:9" s="4" customFormat="1" ht="21" customHeight="1">
      <c r="A52" s="10">
        <v>46</v>
      </c>
      <c r="B52" s="14" t="s">
        <v>58</v>
      </c>
      <c r="C52" s="11">
        <v>17142</v>
      </c>
      <c r="D52" s="11">
        <v>16515</v>
      </c>
      <c r="E52" s="11">
        <f t="shared" si="0"/>
        <v>33657</v>
      </c>
      <c r="F52" s="12">
        <v>0</v>
      </c>
      <c r="G52" s="12">
        <v>606.86019999999996</v>
      </c>
      <c r="H52" s="13">
        <f t="shared" si="1"/>
        <v>606.86019999999996</v>
      </c>
    </row>
    <row r="53" spans="1:9" s="4" customFormat="1" ht="21" customHeight="1">
      <c r="A53" s="10">
        <v>47</v>
      </c>
      <c r="B53" s="14" t="s">
        <v>59</v>
      </c>
      <c r="C53" s="11">
        <v>9348819</v>
      </c>
      <c r="D53" s="11">
        <v>9402571</v>
      </c>
      <c r="E53" s="11">
        <f t="shared" si="0"/>
        <v>18751390</v>
      </c>
      <c r="F53" s="12">
        <v>82233.98616</v>
      </c>
      <c r="G53" s="12">
        <v>269126.73204999982</v>
      </c>
      <c r="H53" s="13">
        <f t="shared" si="1"/>
        <v>351360.71820999985</v>
      </c>
    </row>
    <row r="54" spans="1:9" s="4" customFormat="1" ht="21" customHeight="1">
      <c r="A54" s="10">
        <v>48</v>
      </c>
      <c r="B54" s="14" t="s">
        <v>60</v>
      </c>
      <c r="C54" s="11">
        <v>1261634</v>
      </c>
      <c r="D54" s="11">
        <v>1393079</v>
      </c>
      <c r="E54" s="11">
        <f t="shared" si="0"/>
        <v>2654713</v>
      </c>
      <c r="F54" s="12">
        <v>29578.099600000005</v>
      </c>
      <c r="G54" s="12">
        <v>65686.603800000012</v>
      </c>
      <c r="H54" s="13">
        <f t="shared" si="1"/>
        <v>95264.703400000013</v>
      </c>
    </row>
    <row r="55" spans="1:9" s="4" customFormat="1" ht="21" customHeight="1">
      <c r="A55" s="10">
        <v>49</v>
      </c>
      <c r="B55" s="14" t="s">
        <v>61</v>
      </c>
      <c r="C55" s="11">
        <v>544109</v>
      </c>
      <c r="D55" s="11">
        <v>553205</v>
      </c>
      <c r="E55" s="11">
        <f t="shared" si="0"/>
        <v>1097314</v>
      </c>
      <c r="F55" s="12">
        <v>6583.3918999999996</v>
      </c>
      <c r="G55" s="12">
        <v>11197.753299999997</v>
      </c>
      <c r="H55" s="13">
        <f t="shared" si="1"/>
        <v>17781.145199999995</v>
      </c>
    </row>
    <row r="56" spans="1:9" s="4" customFormat="1" ht="21" customHeight="1">
      <c r="A56" s="10">
        <v>50</v>
      </c>
      <c r="B56" s="14" t="s">
        <v>62</v>
      </c>
      <c r="C56" s="11">
        <v>56141</v>
      </c>
      <c r="D56" s="11">
        <v>60035</v>
      </c>
      <c r="E56" s="11">
        <f t="shared" si="0"/>
        <v>116176</v>
      </c>
      <c r="F56" s="12">
        <v>155.482</v>
      </c>
      <c r="G56" s="12">
        <v>1224.2429999999999</v>
      </c>
      <c r="H56" s="13">
        <f t="shared" si="1"/>
        <v>1379.7249999999999</v>
      </c>
    </row>
    <row r="57" spans="1:9" s="4" customFormat="1" ht="21" customHeight="1">
      <c r="A57" s="10">
        <v>51</v>
      </c>
      <c r="B57" s="14" t="s">
        <v>64</v>
      </c>
      <c r="C57" s="11">
        <v>28633</v>
      </c>
      <c r="D57" s="11">
        <v>28518</v>
      </c>
      <c r="E57" s="11">
        <f t="shared" si="0"/>
        <v>57151</v>
      </c>
      <c r="F57" s="12">
        <v>686.0865</v>
      </c>
      <c r="G57" s="12">
        <v>255.14453</v>
      </c>
      <c r="H57" s="13">
        <f t="shared" si="1"/>
        <v>941.23103000000003</v>
      </c>
    </row>
    <row r="58" spans="1:9" s="4" customFormat="1" ht="21" customHeight="1">
      <c r="A58" s="10">
        <v>52</v>
      </c>
      <c r="B58" s="14" t="s">
        <v>63</v>
      </c>
      <c r="C58" s="11">
        <v>11889</v>
      </c>
      <c r="D58" s="11">
        <v>12568</v>
      </c>
      <c r="E58" s="11">
        <f t="shared" si="0"/>
        <v>24457</v>
      </c>
      <c r="F58" s="12">
        <v>0</v>
      </c>
      <c r="G58" s="12">
        <v>65.901499999999999</v>
      </c>
      <c r="H58" s="13">
        <f t="shared" si="1"/>
        <v>65.901499999999999</v>
      </c>
    </row>
    <row r="59" spans="1:9" ht="24.75" customHeight="1">
      <c r="A59" s="21" t="s">
        <v>4</v>
      </c>
      <c r="B59" s="22"/>
      <c r="C59" s="8">
        <f t="shared" ref="C59:H59" si="2">SUM(C7:C58)</f>
        <v>30031942</v>
      </c>
      <c r="D59" s="8">
        <f t="shared" si="2"/>
        <v>30710329</v>
      </c>
      <c r="E59" s="8">
        <f t="shared" si="2"/>
        <v>60742271</v>
      </c>
      <c r="F59" s="7">
        <f t="shared" si="2"/>
        <v>585507.81119099993</v>
      </c>
      <c r="G59" s="7">
        <f t="shared" si="2"/>
        <v>967363.95395855501</v>
      </c>
      <c r="H59" s="7">
        <f t="shared" si="2"/>
        <v>1552871.7651495549</v>
      </c>
      <c r="I59" s="4"/>
    </row>
    <row r="60" spans="1:9" ht="27" customHeight="1">
      <c r="A60" s="18" t="s">
        <v>6</v>
      </c>
      <c r="B60" s="19"/>
      <c r="C60" s="19"/>
      <c r="D60" s="19"/>
      <c r="E60" s="19"/>
      <c r="F60" s="19"/>
      <c r="G60" s="19"/>
      <c r="H60" s="20"/>
      <c r="I60" s="4"/>
    </row>
    <row r="61" spans="1:9" ht="37.5" customHeight="1">
      <c r="A61" s="18" t="s">
        <v>12</v>
      </c>
      <c r="B61" s="19"/>
      <c r="C61" s="19"/>
      <c r="D61" s="19"/>
      <c r="E61" s="19"/>
      <c r="F61" s="19"/>
      <c r="G61" s="19"/>
      <c r="H61" s="20"/>
      <c r="I61" s="4"/>
    </row>
    <row r="62" spans="1:9" ht="25.5" customHeight="1" thickBot="1">
      <c r="A62" s="15" t="s">
        <v>9</v>
      </c>
      <c r="B62" s="16"/>
      <c r="C62" s="16"/>
      <c r="D62" s="16"/>
      <c r="E62" s="16"/>
      <c r="F62" s="16"/>
      <c r="G62" s="16"/>
      <c r="H62" s="17"/>
      <c r="I62" s="4"/>
    </row>
    <row r="63" spans="1:9" ht="15.75">
      <c r="I63" s="4"/>
    </row>
    <row r="64" spans="1:9" ht="15.75">
      <c r="I64" s="4"/>
    </row>
    <row r="65" spans="9:9" ht="15.75">
      <c r="I65" s="4"/>
    </row>
    <row r="66" spans="9:9" ht="15.75">
      <c r="I66" s="4"/>
    </row>
    <row r="67" spans="9:9" ht="15.75">
      <c r="I67" s="4"/>
    </row>
    <row r="68" spans="9:9" ht="15.75">
      <c r="I68" s="4"/>
    </row>
    <row r="69" spans="9:9" ht="15.75">
      <c r="I69" s="4"/>
    </row>
    <row r="70" spans="9:9" ht="15.75">
      <c r="I70" s="4"/>
    </row>
    <row r="71" spans="9:9" ht="15.75">
      <c r="I71" s="4"/>
    </row>
    <row r="72" spans="9:9" ht="15.75">
      <c r="I72" s="4"/>
    </row>
    <row r="73" spans="9:9" ht="15.75">
      <c r="I73" s="4"/>
    </row>
    <row r="74" spans="9:9" ht="15.75">
      <c r="I74" s="4"/>
    </row>
    <row r="75" spans="9:9" ht="15.75">
      <c r="I75" s="4"/>
    </row>
    <row r="76" spans="9:9" ht="15.75">
      <c r="I76" s="4"/>
    </row>
    <row r="77" spans="9:9" ht="15.75">
      <c r="I77" s="4"/>
    </row>
    <row r="78" spans="9:9" ht="15.75">
      <c r="I78" s="4"/>
    </row>
    <row r="79" spans="9:9" ht="15.75">
      <c r="I79" s="4"/>
    </row>
    <row r="80" spans="9:9" ht="15.75">
      <c r="I80" s="4"/>
    </row>
    <row r="81" spans="9:9" ht="15.75">
      <c r="I81" s="4"/>
    </row>
    <row r="82" spans="9:9" ht="15.75">
      <c r="I82" s="4"/>
    </row>
    <row r="83" spans="9:9" ht="15.75">
      <c r="I83" s="4"/>
    </row>
    <row r="84" spans="9:9" ht="15.75">
      <c r="I84" s="4"/>
    </row>
    <row r="85" spans="9:9" ht="15.75">
      <c r="I85" s="4"/>
    </row>
    <row r="86" spans="9:9" ht="15.75">
      <c r="I86" s="4"/>
    </row>
    <row r="87" spans="9:9" ht="15.75">
      <c r="I87" s="4"/>
    </row>
    <row r="88" spans="9:9" ht="15.75">
      <c r="I88" s="4"/>
    </row>
    <row r="89" spans="9:9" ht="15.75">
      <c r="I89" s="4"/>
    </row>
    <row r="90" spans="9:9" ht="15.75">
      <c r="I90" s="4"/>
    </row>
    <row r="91" spans="9:9" ht="15.75">
      <c r="I91" s="4"/>
    </row>
    <row r="92" spans="9:9" ht="15.75">
      <c r="I92" s="4"/>
    </row>
    <row r="93" spans="9:9" ht="15.75">
      <c r="I93" s="4"/>
    </row>
    <row r="94" spans="9:9" ht="15.75">
      <c r="I94" s="4"/>
    </row>
    <row r="95" spans="9:9" ht="15.75">
      <c r="I95" s="4"/>
    </row>
    <row r="96" spans="9:9" ht="15.75">
      <c r="I96" s="4"/>
    </row>
    <row r="97" spans="9:9" ht="15.75">
      <c r="I97" s="4"/>
    </row>
    <row r="98" spans="9:9" ht="15.75">
      <c r="I98" s="4"/>
    </row>
    <row r="99" spans="9:9" ht="15.75">
      <c r="I99" s="4"/>
    </row>
    <row r="100" spans="9:9" ht="15.75">
      <c r="I100" s="4"/>
    </row>
    <row r="101" spans="9:9" ht="15.75">
      <c r="I101" s="4"/>
    </row>
    <row r="102" spans="9:9" ht="15.75">
      <c r="I102" s="4"/>
    </row>
    <row r="103" spans="9:9" ht="15.75">
      <c r="I103" s="4"/>
    </row>
    <row r="104" spans="9:9" ht="15.75">
      <c r="I104" s="4"/>
    </row>
    <row r="105" spans="9:9" ht="15.75">
      <c r="I105" s="4"/>
    </row>
    <row r="106" spans="9:9" ht="15.75">
      <c r="I106" s="4"/>
    </row>
    <row r="107" spans="9:9" ht="15.75">
      <c r="I107" s="4"/>
    </row>
    <row r="108" spans="9:9" ht="15.75">
      <c r="I108" s="4"/>
    </row>
  </sheetData>
  <mergeCells count="12">
    <mergeCell ref="A1:H1"/>
    <mergeCell ref="A2:H2"/>
    <mergeCell ref="A4:H4"/>
    <mergeCell ref="C5:E5"/>
    <mergeCell ref="F5:H5"/>
    <mergeCell ref="A5:A6"/>
    <mergeCell ref="B5:B6"/>
    <mergeCell ref="A62:H62"/>
    <mergeCell ref="A61:H61"/>
    <mergeCell ref="A59:B59"/>
    <mergeCell ref="A3:H3"/>
    <mergeCell ref="A60:H60"/>
  </mergeCells>
  <printOptions horizontalCentered="1"/>
  <pageMargins left="0" right="0" top="0.19685039370078741" bottom="0.19685039370078741" header="0.31496062992125984" footer="0.31496062992125984"/>
  <pageSetup paperSize="9" scale="54" orientation="portrait" r:id="rId1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1.02 (IO)</vt:lpstr>
      <vt:lpstr>'1.02 (IO)'!Print_Area</vt:lpstr>
      <vt:lpstr>'1.02 (IO)'!Print_Titles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2021-09-16T20:12:00Z</dcterms:modified>
</cp:coreProperties>
</file>