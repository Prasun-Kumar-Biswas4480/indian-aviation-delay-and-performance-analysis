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i\Desktop\Annual Handbook International Table\"/>
    </mc:Choice>
  </mc:AlternateContent>
  <bookViews>
    <workbookView xWindow="0" yWindow="0" windowWidth="19200" windowHeight="7230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7" i="1"/>
  <c r="O18" i="1"/>
  <c r="O19" i="1"/>
  <c r="O20" i="1"/>
  <c r="O21" i="1"/>
  <c r="O22" i="1"/>
  <c r="O23" i="1"/>
  <c r="O24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5" i="1"/>
  <c r="O46" i="1"/>
  <c r="O48" i="1"/>
  <c r="O49" i="1"/>
  <c r="O51" i="1"/>
  <c r="O53" i="1"/>
  <c r="O54" i="1"/>
  <c r="O55" i="1"/>
  <c r="O56" i="1"/>
  <c r="O57" i="1"/>
  <c r="O58" i="1"/>
  <c r="O59" i="1"/>
  <c r="O60" i="1"/>
  <c r="O61" i="1"/>
  <c r="O62" i="1"/>
  <c r="O64" i="1"/>
  <c r="O65" i="1"/>
  <c r="N7" i="1"/>
  <c r="N8" i="1"/>
  <c r="N9" i="1"/>
  <c r="N10" i="1"/>
  <c r="N11" i="1"/>
  <c r="N12" i="1"/>
  <c r="N13" i="1"/>
  <c r="N14" i="1"/>
  <c r="N15" i="1"/>
  <c r="N17" i="1"/>
  <c r="N18" i="1"/>
  <c r="N19" i="1"/>
  <c r="N20" i="1"/>
  <c r="N22" i="1"/>
  <c r="N24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5" i="1"/>
  <c r="N46" i="1"/>
  <c r="N47" i="1"/>
  <c r="N48" i="1"/>
  <c r="N49" i="1"/>
  <c r="N51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M7" i="1"/>
  <c r="M8" i="1"/>
  <c r="M9" i="1"/>
  <c r="M10" i="1"/>
  <c r="M11" i="1"/>
  <c r="M12" i="1"/>
  <c r="M13" i="1"/>
  <c r="M14" i="1"/>
  <c r="M15" i="1"/>
  <c r="M17" i="1"/>
  <c r="M18" i="1"/>
  <c r="M19" i="1"/>
  <c r="M20" i="1"/>
  <c r="M22" i="1"/>
  <c r="M24" i="1"/>
  <c r="M26" i="1"/>
  <c r="M27" i="1"/>
  <c r="M28" i="1"/>
  <c r="M29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51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L7" i="1"/>
  <c r="L8" i="1"/>
  <c r="L9" i="1"/>
  <c r="L10" i="1"/>
  <c r="L11" i="1"/>
  <c r="L12" i="1"/>
  <c r="L13" i="1"/>
  <c r="L14" i="1"/>
  <c r="L15" i="1"/>
  <c r="L17" i="1"/>
  <c r="L18" i="1"/>
  <c r="L19" i="1"/>
  <c r="L20" i="1"/>
  <c r="L22" i="1"/>
  <c r="L24" i="1"/>
  <c r="L25" i="1"/>
  <c r="L26" i="1"/>
  <c r="L27" i="1"/>
  <c r="L28" i="1"/>
  <c r="L29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50" i="1"/>
  <c r="L51" i="1"/>
  <c r="L53" i="1"/>
  <c r="L54" i="1"/>
  <c r="L55" i="1"/>
  <c r="L56" i="1"/>
  <c r="L57" i="1"/>
  <c r="L58" i="1"/>
  <c r="L59" i="1"/>
  <c r="L60" i="1"/>
  <c r="L61" i="1"/>
  <c r="L62" i="1"/>
  <c r="L64" i="1"/>
  <c r="L65" i="1"/>
  <c r="J11" i="1"/>
  <c r="K11" i="1"/>
  <c r="J12" i="1"/>
  <c r="K12" i="1"/>
  <c r="J13" i="1"/>
  <c r="K13" i="1"/>
  <c r="J14" i="1"/>
  <c r="K14" i="1"/>
  <c r="J15" i="1"/>
  <c r="K15" i="1"/>
  <c r="J16" i="1"/>
  <c r="K16" i="1"/>
  <c r="K10" i="1"/>
  <c r="J10" i="1"/>
  <c r="J7" i="1"/>
  <c r="K7" i="1"/>
  <c r="J8" i="1"/>
  <c r="K8" i="1"/>
  <c r="J9" i="1"/>
  <c r="J17" i="1"/>
  <c r="J18" i="1"/>
  <c r="J19" i="1"/>
  <c r="J20" i="1"/>
  <c r="J22" i="1"/>
  <c r="J24" i="1"/>
  <c r="J25" i="1"/>
  <c r="J26" i="1"/>
  <c r="J27" i="1"/>
  <c r="J28" i="1"/>
  <c r="J29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4" i="1"/>
  <c r="O6" i="1"/>
  <c r="N6" i="1"/>
  <c r="M6" i="1"/>
  <c r="L6" i="1"/>
  <c r="C65" i="1" l="1"/>
  <c r="J6" i="1"/>
  <c r="K17" i="1" l="1"/>
  <c r="K18" i="1"/>
  <c r="K19" i="1"/>
  <c r="K20" i="1"/>
  <c r="K25" i="1"/>
  <c r="K26" i="1"/>
  <c r="K27" i="1"/>
  <c r="K28" i="1"/>
  <c r="K29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51" i="1"/>
  <c r="K52" i="1"/>
  <c r="K53" i="1"/>
  <c r="K54" i="1"/>
  <c r="K55" i="1"/>
  <c r="K56" i="1"/>
  <c r="K57" i="1"/>
  <c r="K58" i="1"/>
  <c r="K60" i="1"/>
  <c r="K61" i="1"/>
  <c r="K62" i="1"/>
  <c r="K6" i="1"/>
  <c r="D65" i="1"/>
  <c r="K65" i="1" s="1"/>
  <c r="J65" i="1" l="1"/>
</calcChain>
</file>

<file path=xl/sharedStrings.xml><?xml version="1.0" encoding="utf-8"?>
<sst xmlns="http://schemas.openxmlformats.org/spreadsheetml/2006/main" count="122" uniqueCount="84">
  <si>
    <t>TABLE - 1.04 (INTERNATIONAL OPERATIONS)</t>
  </si>
  <si>
    <t>COUNTRY WISE SCHEDULED INTERNATIONAL FREIGHT CARRIED BY  ALL SCHEDULED DOMESTIC AND FOREIGN AIRLINES FOR THE LAST SEVEN YEARS</t>
  </si>
  <si>
    <t>COUNTRY</t>
  </si>
  <si>
    <t>FREIGHT (IN TONNES)</t>
  </si>
  <si>
    <t>PERCENTAGE VARIATION</t>
  </si>
  <si>
    <t>2017-18</t>
  </si>
  <si>
    <t>2016-17</t>
  </si>
  <si>
    <t>2015-16</t>
  </si>
  <si>
    <t>2014-15</t>
  </si>
  <si>
    <t>2013-14</t>
  </si>
  <si>
    <t>AFGHANISTAN</t>
  </si>
  <si>
    <t>AUSTRALIA</t>
  </si>
  <si>
    <t>-</t>
  </si>
  <si>
    <t>AUSTRIA</t>
  </si>
  <si>
    <t>BAHRAIN</t>
  </si>
  <si>
    <t>BANGLADESH</t>
  </si>
  <si>
    <t>BELGIUM</t>
  </si>
  <si>
    <t>BHUTAN</t>
  </si>
  <si>
    <t>BURMA</t>
  </si>
  <si>
    <t>CANADA</t>
  </si>
  <si>
    <t>CHINA</t>
  </si>
  <si>
    <t>DENMARK</t>
  </si>
  <si>
    <t>EGYPT</t>
  </si>
  <si>
    <t>ETHIOPIA</t>
  </si>
  <si>
    <t>FINLAND</t>
  </si>
  <si>
    <t>FRANCE</t>
  </si>
  <si>
    <t>GEORGIA</t>
  </si>
  <si>
    <t>GERMANY</t>
  </si>
  <si>
    <t>GREECE</t>
  </si>
  <si>
    <t>HONG KONG</t>
  </si>
  <si>
    <t>INDONESIA</t>
  </si>
  <si>
    <t>IRAN</t>
  </si>
  <si>
    <t>ISRAEL</t>
  </si>
  <si>
    <t>ITALY</t>
  </si>
  <si>
    <t>JAPAN</t>
  </si>
  <si>
    <t>JORDAN</t>
  </si>
  <si>
    <t>KAZAKHSTAN</t>
  </si>
  <si>
    <t>KENYA</t>
  </si>
  <si>
    <t>KOREA</t>
  </si>
  <si>
    <t>KUWAIT</t>
  </si>
  <si>
    <t>KYRGYZSTAN</t>
  </si>
  <si>
    <t>MALAYSIA</t>
  </si>
  <si>
    <t>MALDIVES</t>
  </si>
  <si>
    <t>MAURITIUS</t>
  </si>
  <si>
    <t>NEPAL</t>
  </si>
  <si>
    <t>NETHERLANDS</t>
  </si>
  <si>
    <t>OMAN</t>
  </si>
  <si>
    <t>PAKISTAN</t>
  </si>
  <si>
    <t>QATAR</t>
  </si>
  <si>
    <t>REUNION</t>
  </si>
  <si>
    <t>RUSSIA</t>
  </si>
  <si>
    <t>SAUDI ARABIA</t>
  </si>
  <si>
    <t>SEYCHELLES</t>
  </si>
  <si>
    <t>SINGAPORE</t>
  </si>
  <si>
    <t>SOUTH AFRICA</t>
  </si>
  <si>
    <t>SPAIN</t>
  </si>
  <si>
    <t>SRI LANKA</t>
  </si>
  <si>
    <t>SWEDEN</t>
  </si>
  <si>
    <t>SWITZERLAND</t>
  </si>
  <si>
    <t>TAIWAN</t>
  </si>
  <si>
    <t>TAJIKISTAN</t>
  </si>
  <si>
    <t>THAILAND</t>
  </si>
  <si>
    <t>TURKEY</t>
  </si>
  <si>
    <t>TURKMENISTAN</t>
  </si>
  <si>
    <t>UNITED ARAB EMIRATES</t>
  </si>
  <si>
    <t>UNITED KINGDOM</t>
  </si>
  <si>
    <t>UNITED STATES</t>
  </si>
  <si>
    <t>UZBEKISTAN</t>
  </si>
  <si>
    <t>VIETNAM</t>
  </si>
  <si>
    <t>YEMEN</t>
  </si>
  <si>
    <t>GRAND TOTAL</t>
  </si>
  <si>
    <t>*UNITED ARAB EMIRATES includes Ajman, Dubai, Fujairah, Ras al-Khaimah, Sharjah, Umm al-Quwain.</t>
  </si>
  <si>
    <t>SOURCE :- MONTHLY TRAFFIC STATISTICS FURNISHED BY ALL SCHEDULED DOMESTIC AND FOREIGN  AIRLINES.</t>
  </si>
  <si>
    <r>
      <rPr>
        <b/>
        <sz val="11"/>
        <rFont val="Calibri"/>
        <family val="2"/>
        <scheme val="minor"/>
      </rPr>
      <t>Sl.
No.</t>
    </r>
  </si>
  <si>
    <t>2018-19</t>
  </si>
  <si>
    <t>2018-19 OVER 2017-18</t>
  </si>
  <si>
    <t>सारणी 1.04 (अन्तर्राष्ट्रीय प्रचालन)</t>
  </si>
  <si>
    <t xml:space="preserve">NOTE:  THIS TABLE DOES NOT INCLUDE PASSENGERS AND FREIGHT CARRIED BY ALL SCHEDULED DOMESTIC AIRLINES ENTIRELY OUTSIDE THE INDIAN TERRITORY.
</t>
  </si>
  <si>
    <t>2019-20</t>
  </si>
  <si>
    <t>2019-20 OVER 2018-19</t>
  </si>
  <si>
    <r>
      <rPr>
        <b/>
        <sz val="10"/>
        <rFont val="Calibri"/>
        <family val="2"/>
        <scheme val="minor"/>
      </rPr>
      <t>2017-18
OVER 2016-17</t>
    </r>
  </si>
  <si>
    <r>
      <rPr>
        <b/>
        <sz val="10"/>
        <rFont val="Calibri"/>
        <family val="2"/>
        <scheme val="minor"/>
      </rPr>
      <t>2016-17
OVER 2015-16</t>
    </r>
  </si>
  <si>
    <r>
      <rPr>
        <b/>
        <sz val="10"/>
        <rFont val="Calibri"/>
        <family val="2"/>
        <scheme val="minor"/>
      </rPr>
      <t>2015-16
OVER 2014-15</t>
    </r>
  </si>
  <si>
    <r>
      <rPr>
        <b/>
        <sz val="10"/>
        <rFont val="Calibri"/>
        <family val="2"/>
        <scheme val="minor"/>
      </rPr>
      <t>2014-15
OVER 2013-14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</si>
</sst>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9" x14ac:knownFonts="1">
    <font>
      <sz val="10"/>
      <color rgb="FF000000"/>
      <name val="Times New Roman"/>
      <charset val="204"/>
    </font>
    <font>
      <sz val="9.5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" fontId="4" fillId="0" borderId="10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65" fontId="8" fillId="0" borderId="4" xfId="0" applyNumberFormat="1" applyFont="1" applyFill="1" applyBorder="1" applyAlignment="1">
      <alignment horizontal="right" vertical="center" wrapText="1"/>
    </xf>
    <xf numFmtId="165" fontId="7" fillId="0" borderId="4" xfId="0" applyNumberFormat="1" applyFont="1" applyFill="1" applyBorder="1" applyAlignment="1">
      <alignment horizontal="right" vertical="center" shrinkToFit="1"/>
    </xf>
    <xf numFmtId="164" fontId="7" fillId="0" borderId="4" xfId="0" applyNumberFormat="1" applyFont="1" applyFill="1" applyBorder="1" applyAlignment="1">
      <alignment horizontal="right" vertical="center" shrinkToFit="1"/>
    </xf>
    <xf numFmtId="165" fontId="8" fillId="0" borderId="1" xfId="0" applyNumberFormat="1" applyFont="1" applyFill="1" applyBorder="1" applyAlignment="1">
      <alignment horizontal="right" vertical="center" wrapText="1"/>
    </xf>
    <xf numFmtId="165" fontId="7" fillId="0" borderId="1" xfId="0" applyNumberFormat="1" applyFont="1" applyFill="1" applyBorder="1" applyAlignment="1">
      <alignment horizontal="right" vertical="center" shrinkToFit="1"/>
    </xf>
    <xf numFmtId="164" fontId="7" fillId="0" borderId="1" xfId="0" applyNumberFormat="1" applyFont="1" applyFill="1" applyBorder="1" applyAlignment="1">
      <alignment horizontal="right" vertical="center" shrinkToFit="1"/>
    </xf>
    <xf numFmtId="165" fontId="8" fillId="0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 shrinkToFit="1"/>
    </xf>
    <xf numFmtId="164" fontId="7" fillId="5" borderId="4" xfId="0" applyNumberFormat="1" applyFont="1" applyFill="1" applyBorder="1" applyAlignment="1">
      <alignment horizontal="right" vertical="center" shrinkToFit="1"/>
    </xf>
    <xf numFmtId="165" fontId="7" fillId="5" borderId="1" xfId="0" applyNumberFormat="1" applyFont="1" applyFill="1" applyBorder="1" applyAlignment="1">
      <alignment horizontal="right" vertical="center" shrinkToFit="1"/>
    </xf>
    <xf numFmtId="164" fontId="7" fillId="0" borderId="4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tabSelected="1" topLeftCell="A39" zoomScale="85" zoomScaleNormal="85" workbookViewId="0">
      <selection activeCell="F58" sqref="F58"/>
    </sheetView>
  </sheetViews>
  <sheetFormatPr defaultColWidth="8.83203125" defaultRowHeight="12.75" x14ac:dyDescent="0.2"/>
  <cols>
    <col min="1" max="1" width="6.5" style="1" customWidth="1"/>
    <col min="2" max="2" width="24.5" style="2" customWidth="1"/>
    <col min="3" max="3" width="16.83203125" style="2" customWidth="1"/>
    <col min="4" max="4" width="17.33203125" style="2" customWidth="1"/>
    <col min="5" max="5" width="13.6640625" style="2" customWidth="1"/>
    <col min="6" max="6" width="13.5" style="2" customWidth="1"/>
    <col min="7" max="7" width="14.6640625" style="2" customWidth="1"/>
    <col min="8" max="8" width="13.33203125" style="2" customWidth="1"/>
    <col min="9" max="9" width="14" style="2" customWidth="1"/>
    <col min="10" max="10" width="11.5" style="2" customWidth="1"/>
    <col min="11" max="15" width="11.33203125" style="2" customWidth="1"/>
    <col min="16" max="16" width="10.33203125" style="2" customWidth="1"/>
    <col min="17" max="16384" width="8.83203125" style="2"/>
  </cols>
  <sheetData>
    <row r="1" spans="1:15" ht="22.5" customHeight="1" x14ac:dyDescent="0.2">
      <c r="A1" s="23" t="s">
        <v>76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9.5" customHeight="1" x14ac:dyDescent="0.2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ht="21.75" customHeight="1" x14ac:dyDescent="0.2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21" customHeight="1" x14ac:dyDescent="0.2">
      <c r="A4" s="29" t="s">
        <v>73</v>
      </c>
      <c r="B4" s="31" t="s">
        <v>2</v>
      </c>
      <c r="C4" s="8"/>
      <c r="D4" s="32" t="s">
        <v>3</v>
      </c>
      <c r="E4" s="32"/>
      <c r="F4" s="32"/>
      <c r="G4" s="32"/>
      <c r="H4" s="32"/>
      <c r="I4" s="32"/>
      <c r="J4" s="6"/>
      <c r="K4" s="32" t="s">
        <v>4</v>
      </c>
      <c r="L4" s="32"/>
      <c r="M4" s="32"/>
      <c r="N4" s="32"/>
      <c r="O4" s="32"/>
    </row>
    <row r="5" spans="1:15" s="1" customFormat="1" ht="67.900000000000006" customHeight="1" x14ac:dyDescent="0.2">
      <c r="A5" s="30"/>
      <c r="B5" s="31"/>
      <c r="C5" s="9" t="s">
        <v>78</v>
      </c>
      <c r="D5" s="10" t="s">
        <v>74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79</v>
      </c>
      <c r="K5" s="10" t="s">
        <v>75</v>
      </c>
      <c r="L5" s="11" t="s">
        <v>80</v>
      </c>
      <c r="M5" s="11" t="s">
        <v>81</v>
      </c>
      <c r="N5" s="11" t="s">
        <v>82</v>
      </c>
      <c r="O5" s="11" t="s">
        <v>83</v>
      </c>
    </row>
    <row r="6" spans="1:15" ht="18" customHeight="1" x14ac:dyDescent="0.2">
      <c r="A6" s="3">
        <v>1</v>
      </c>
      <c r="B6" s="7" t="s">
        <v>10</v>
      </c>
      <c r="C6" s="12">
        <v>4028.4029700000001</v>
      </c>
      <c r="D6" s="13">
        <v>6534.3279127349997</v>
      </c>
      <c r="E6" s="13">
        <v>4797.1000000000004</v>
      </c>
      <c r="F6" s="13">
        <v>6321.3</v>
      </c>
      <c r="G6" s="13">
        <v>3920.5</v>
      </c>
      <c r="H6" s="13">
        <v>3256.7</v>
      </c>
      <c r="I6" s="13">
        <v>3799.1</v>
      </c>
      <c r="J6" s="14">
        <f t="shared" ref="J6:O6" si="0">(C6-D6)/D6*100</f>
        <v>-38.350155918118332</v>
      </c>
      <c r="K6" s="14">
        <f t="shared" si="0"/>
        <v>36.214127550707701</v>
      </c>
      <c r="L6" s="14">
        <f t="shared" si="0"/>
        <v>-24.112128834258773</v>
      </c>
      <c r="M6" s="14">
        <f t="shared" si="0"/>
        <v>61.237087106236451</v>
      </c>
      <c r="N6" s="14">
        <f t="shared" si="0"/>
        <v>20.382595879264294</v>
      </c>
      <c r="O6" s="14">
        <f t="shared" si="0"/>
        <v>-14.27706562080493</v>
      </c>
    </row>
    <row r="7" spans="1:15" ht="18" customHeight="1" x14ac:dyDescent="0.2">
      <c r="A7" s="3">
        <v>2</v>
      </c>
      <c r="B7" s="4" t="s">
        <v>11</v>
      </c>
      <c r="C7" s="15">
        <v>2790.3784999999998</v>
      </c>
      <c r="D7" s="16">
        <v>3100.4738000000002</v>
      </c>
      <c r="E7" s="16">
        <v>2536.6</v>
      </c>
      <c r="F7" s="16">
        <v>1448</v>
      </c>
      <c r="G7" s="16">
        <v>2070.1</v>
      </c>
      <c r="H7" s="16">
        <v>2020.1</v>
      </c>
      <c r="I7" s="16">
        <v>1179.5999999999999</v>
      </c>
      <c r="J7" s="14">
        <f t="shared" ref="J7:J8" si="1">(C7-D7)/D7*100</f>
        <v>-10.001545570228666</v>
      </c>
      <c r="K7" s="14">
        <f t="shared" ref="K7:K8" si="2">(D7-E7)/E7*100</f>
        <v>22.229511945123406</v>
      </c>
      <c r="L7" s="14">
        <f t="shared" ref="L7:L65" si="3">(E7-F7)/F7*100</f>
        <v>75.179558011049721</v>
      </c>
      <c r="M7" s="14">
        <f t="shared" ref="M7:M65" si="4">(F7-G7)/G7*100</f>
        <v>-30.051688324235542</v>
      </c>
      <c r="N7" s="14">
        <f t="shared" ref="N7:N65" si="5">(G7-H7)/H7*100</f>
        <v>2.4751249938121873</v>
      </c>
      <c r="O7" s="14">
        <f t="shared" ref="O7:O65" si="6">(H7-I7)/I7*100</f>
        <v>71.252967107494072</v>
      </c>
    </row>
    <row r="8" spans="1:15" ht="18" customHeight="1" x14ac:dyDescent="0.2">
      <c r="A8" s="3">
        <v>3</v>
      </c>
      <c r="B8" s="4" t="s">
        <v>13</v>
      </c>
      <c r="C8" s="15">
        <v>1599.8552999999999</v>
      </c>
      <c r="D8" s="16">
        <v>1660.1471999999999</v>
      </c>
      <c r="E8" s="16">
        <v>1599</v>
      </c>
      <c r="F8" s="16">
        <v>980.1</v>
      </c>
      <c r="G8" s="16">
        <v>4528.3999999999996</v>
      </c>
      <c r="H8" s="16">
        <v>5163.6000000000004</v>
      </c>
      <c r="I8" s="16">
        <v>3645.8</v>
      </c>
      <c r="J8" s="14">
        <f t="shared" si="1"/>
        <v>-3.6317201269863264</v>
      </c>
      <c r="K8" s="14">
        <f t="shared" si="2"/>
        <v>3.8240900562851712</v>
      </c>
      <c r="L8" s="14">
        <f t="shared" si="3"/>
        <v>63.14661769207224</v>
      </c>
      <c r="M8" s="14">
        <f t="shared" si="4"/>
        <v>-78.35659394046462</v>
      </c>
      <c r="N8" s="14">
        <f t="shared" si="5"/>
        <v>-12.301495080951288</v>
      </c>
      <c r="O8" s="14">
        <f t="shared" si="6"/>
        <v>41.631466344835154</v>
      </c>
    </row>
    <row r="9" spans="1:15" ht="18" customHeight="1" x14ac:dyDescent="0.2">
      <c r="A9" s="3">
        <v>4</v>
      </c>
      <c r="B9" s="4" t="s">
        <v>14</v>
      </c>
      <c r="C9" s="15">
        <v>13641.476499999999</v>
      </c>
      <c r="D9" s="16">
        <v>15333.212599999999</v>
      </c>
      <c r="E9" s="16">
        <v>10715.2</v>
      </c>
      <c r="F9" s="16">
        <v>10122.1</v>
      </c>
      <c r="G9" s="16">
        <v>10331.299999999999</v>
      </c>
      <c r="H9" s="16">
        <v>10299.1</v>
      </c>
      <c r="I9" s="16">
        <v>9081.9</v>
      </c>
      <c r="J9" s="14">
        <f t="shared" ref="J9:J65" si="7">(C9-D9)/D9*100</f>
        <v>-11.033148395790196</v>
      </c>
      <c r="K9" s="17">
        <v>0</v>
      </c>
      <c r="L9" s="14">
        <f t="shared" si="3"/>
        <v>5.859456041730474</v>
      </c>
      <c r="M9" s="14">
        <f t="shared" si="4"/>
        <v>-2.0249145799657247</v>
      </c>
      <c r="N9" s="14">
        <f t="shared" si="5"/>
        <v>0.31264867803981811</v>
      </c>
      <c r="O9" s="14">
        <f t="shared" si="6"/>
        <v>13.402481859522798</v>
      </c>
    </row>
    <row r="10" spans="1:15" ht="18" customHeight="1" x14ac:dyDescent="0.2">
      <c r="A10" s="3">
        <v>5</v>
      </c>
      <c r="B10" s="4" t="s">
        <v>15</v>
      </c>
      <c r="C10" s="15">
        <v>9829.3117200000015</v>
      </c>
      <c r="D10" s="16">
        <v>9283.6609599999992</v>
      </c>
      <c r="E10" s="16">
        <v>6508.1</v>
      </c>
      <c r="F10" s="16">
        <v>6621.6</v>
      </c>
      <c r="G10" s="16">
        <v>6438.6</v>
      </c>
      <c r="H10" s="16">
        <v>7680.1</v>
      </c>
      <c r="I10" s="16">
        <v>6356.7</v>
      </c>
      <c r="J10" s="14">
        <f t="shared" si="7"/>
        <v>5.8775386385933066</v>
      </c>
      <c r="K10" s="14">
        <f t="shared" ref="K10" si="8">(D10-E10)/E10*100</f>
        <v>42.647792135953637</v>
      </c>
      <c r="L10" s="14">
        <f t="shared" si="3"/>
        <v>-1.7140872296725869</v>
      </c>
      <c r="M10" s="14">
        <f t="shared" si="4"/>
        <v>2.8422327835243686</v>
      </c>
      <c r="N10" s="14">
        <f t="shared" si="5"/>
        <v>-16.165154099555995</v>
      </c>
      <c r="O10" s="14">
        <f t="shared" si="6"/>
        <v>20.818978400742534</v>
      </c>
    </row>
    <row r="11" spans="1:15" ht="18" customHeight="1" x14ac:dyDescent="0.2">
      <c r="A11" s="3">
        <v>6</v>
      </c>
      <c r="B11" s="4" t="s">
        <v>16</v>
      </c>
      <c r="C11" s="15">
        <v>0</v>
      </c>
      <c r="D11" s="16">
        <v>3852.6940000000004</v>
      </c>
      <c r="E11" s="16">
        <v>5979.7</v>
      </c>
      <c r="F11" s="16">
        <v>10.9</v>
      </c>
      <c r="G11" s="16">
        <v>9912.2999999999993</v>
      </c>
      <c r="H11" s="16">
        <v>12593.9</v>
      </c>
      <c r="I11" s="16">
        <v>12547.5</v>
      </c>
      <c r="J11" s="14">
        <f t="shared" si="7"/>
        <v>-100</v>
      </c>
      <c r="K11" s="17">
        <f t="shared" ref="K11:K20" si="9">(D11-E11)/E11*100</f>
        <v>-35.570446677926974</v>
      </c>
      <c r="L11" s="14">
        <f t="shared" si="3"/>
        <v>54759.633027522934</v>
      </c>
      <c r="M11" s="14">
        <f t="shared" si="4"/>
        <v>-99.890035612320048</v>
      </c>
      <c r="N11" s="14">
        <f t="shared" si="5"/>
        <v>-21.292848124885861</v>
      </c>
      <c r="O11" s="14">
        <f t="shared" si="6"/>
        <v>0.36979477983661796</v>
      </c>
    </row>
    <row r="12" spans="1:15" ht="18" customHeight="1" x14ac:dyDescent="0.2">
      <c r="A12" s="3">
        <v>7</v>
      </c>
      <c r="B12" s="4" t="s">
        <v>17</v>
      </c>
      <c r="C12" s="15">
        <v>77.08211</v>
      </c>
      <c r="D12" s="16">
        <v>95.29</v>
      </c>
      <c r="E12" s="16">
        <v>97.9</v>
      </c>
      <c r="F12" s="16">
        <v>81.3</v>
      </c>
      <c r="G12" s="16">
        <v>72.8</v>
      </c>
      <c r="H12" s="16">
        <v>49.5</v>
      </c>
      <c r="I12" s="16">
        <v>56.3</v>
      </c>
      <c r="J12" s="14">
        <f t="shared" si="7"/>
        <v>-19.107870710462805</v>
      </c>
      <c r="K12" s="17">
        <f t="shared" si="9"/>
        <v>-2.665985699693564</v>
      </c>
      <c r="L12" s="14">
        <f t="shared" si="3"/>
        <v>20.418204182041833</v>
      </c>
      <c r="M12" s="14">
        <f t="shared" si="4"/>
        <v>11.675824175824175</v>
      </c>
      <c r="N12" s="14">
        <f t="shared" si="5"/>
        <v>47.070707070707066</v>
      </c>
      <c r="O12" s="14">
        <f t="shared" si="6"/>
        <v>-12.078152753108345</v>
      </c>
    </row>
    <row r="13" spans="1:15" ht="18" customHeight="1" x14ac:dyDescent="0.2">
      <c r="A13" s="3">
        <v>8</v>
      </c>
      <c r="B13" s="4" t="s">
        <v>18</v>
      </c>
      <c r="C13" s="15">
        <v>422.65129999999999</v>
      </c>
      <c r="D13" s="16">
        <v>244.57049999999998</v>
      </c>
      <c r="E13" s="16">
        <v>254.5</v>
      </c>
      <c r="F13" s="16">
        <v>93.1</v>
      </c>
      <c r="G13" s="16">
        <v>76.7</v>
      </c>
      <c r="H13" s="16">
        <v>99.7</v>
      </c>
      <c r="I13" s="16">
        <v>31.9</v>
      </c>
      <c r="J13" s="14">
        <f t="shared" si="7"/>
        <v>72.813687668790806</v>
      </c>
      <c r="K13" s="17">
        <f t="shared" si="9"/>
        <v>-3.9015717092337989</v>
      </c>
      <c r="L13" s="14">
        <f t="shared" si="3"/>
        <v>173.36197636949518</v>
      </c>
      <c r="M13" s="14">
        <f t="shared" si="4"/>
        <v>21.382007822685779</v>
      </c>
      <c r="N13" s="14">
        <f t="shared" si="5"/>
        <v>-23.069207622868603</v>
      </c>
      <c r="O13" s="14">
        <f t="shared" si="6"/>
        <v>212.53918495297813</v>
      </c>
    </row>
    <row r="14" spans="1:15" ht="18" customHeight="1" x14ac:dyDescent="0.2">
      <c r="A14" s="3">
        <v>9</v>
      </c>
      <c r="B14" s="4" t="s">
        <v>19</v>
      </c>
      <c r="C14" s="15">
        <v>4582.1805999999997</v>
      </c>
      <c r="D14" s="16">
        <v>6384.7891</v>
      </c>
      <c r="E14" s="16">
        <v>5313.7</v>
      </c>
      <c r="F14" s="16">
        <v>3353.7</v>
      </c>
      <c r="G14" s="16">
        <v>3395.6</v>
      </c>
      <c r="H14" s="16">
        <v>609.79999999999995</v>
      </c>
      <c r="I14" s="16">
        <v>461.3</v>
      </c>
      <c r="J14" s="14">
        <f t="shared" si="7"/>
        <v>-28.232858936562216</v>
      </c>
      <c r="K14" s="17">
        <f t="shared" si="9"/>
        <v>20.157124037864392</v>
      </c>
      <c r="L14" s="14">
        <f t="shared" si="3"/>
        <v>58.442913796702157</v>
      </c>
      <c r="M14" s="14">
        <f t="shared" si="4"/>
        <v>-1.2339498174107697</v>
      </c>
      <c r="N14" s="14">
        <f t="shared" si="5"/>
        <v>456.83830764184989</v>
      </c>
      <c r="O14" s="14">
        <f t="shared" si="6"/>
        <v>32.1916323433774</v>
      </c>
    </row>
    <row r="15" spans="1:15" ht="18" customHeight="1" x14ac:dyDescent="0.2">
      <c r="A15" s="3">
        <v>10</v>
      </c>
      <c r="B15" s="4" t="s">
        <v>20</v>
      </c>
      <c r="C15" s="15">
        <v>30017.132879999997</v>
      </c>
      <c r="D15" s="16">
        <v>41377.903300000005</v>
      </c>
      <c r="E15" s="16">
        <v>33552.800000000003</v>
      </c>
      <c r="F15" s="16">
        <v>24427.8</v>
      </c>
      <c r="G15" s="16">
        <v>22539</v>
      </c>
      <c r="H15" s="16">
        <v>32434.5</v>
      </c>
      <c r="I15" s="16">
        <v>31674.3</v>
      </c>
      <c r="J15" s="14">
        <f t="shared" si="7"/>
        <v>-27.45612878842995</v>
      </c>
      <c r="K15" s="17">
        <f t="shared" si="9"/>
        <v>23.32175943587421</v>
      </c>
      <c r="L15" s="14">
        <f t="shared" si="3"/>
        <v>37.354980800563311</v>
      </c>
      <c r="M15" s="14">
        <f t="shared" si="4"/>
        <v>8.3801410887794461</v>
      </c>
      <c r="N15" s="14">
        <f t="shared" si="5"/>
        <v>-30.509180039772467</v>
      </c>
      <c r="O15" s="14">
        <f t="shared" si="6"/>
        <v>2.4000530398461866</v>
      </c>
    </row>
    <row r="16" spans="1:15" ht="18" customHeight="1" x14ac:dyDescent="0.2">
      <c r="A16" s="3">
        <v>11</v>
      </c>
      <c r="B16" s="4" t="s">
        <v>21</v>
      </c>
      <c r="C16" s="15">
        <v>2227.5372000000002</v>
      </c>
      <c r="D16" s="16">
        <v>2397.4117999999999</v>
      </c>
      <c r="E16" s="16">
        <v>828.8</v>
      </c>
      <c r="F16" s="16">
        <v>0</v>
      </c>
      <c r="G16" s="16">
        <v>0</v>
      </c>
      <c r="H16" s="16">
        <v>0</v>
      </c>
      <c r="I16" s="16">
        <v>0</v>
      </c>
      <c r="J16" s="14">
        <f t="shared" si="7"/>
        <v>-7.0857497239314355</v>
      </c>
      <c r="K16" s="17">
        <f t="shared" si="9"/>
        <v>189.26300675675677</v>
      </c>
      <c r="L16" s="22" t="s">
        <v>12</v>
      </c>
      <c r="M16" s="22" t="s">
        <v>12</v>
      </c>
      <c r="N16" s="22" t="s">
        <v>12</v>
      </c>
      <c r="O16" s="22" t="s">
        <v>12</v>
      </c>
    </row>
    <row r="17" spans="1:15" ht="18" customHeight="1" x14ac:dyDescent="0.2">
      <c r="A17" s="3">
        <v>12</v>
      </c>
      <c r="B17" s="4" t="s">
        <v>22</v>
      </c>
      <c r="C17" s="15">
        <v>147.642</v>
      </c>
      <c r="D17" s="16">
        <v>814.904</v>
      </c>
      <c r="E17" s="16">
        <v>1047</v>
      </c>
      <c r="F17" s="16">
        <v>305.2</v>
      </c>
      <c r="G17" s="16">
        <v>201.5</v>
      </c>
      <c r="H17" s="16">
        <v>255</v>
      </c>
      <c r="I17" s="16">
        <v>213.5</v>
      </c>
      <c r="J17" s="14">
        <f t="shared" si="7"/>
        <v>-81.882283066471629</v>
      </c>
      <c r="K17" s="17">
        <f t="shared" si="9"/>
        <v>-22.167717287488063</v>
      </c>
      <c r="L17" s="14">
        <f t="shared" si="3"/>
        <v>243.05373525557013</v>
      </c>
      <c r="M17" s="14">
        <f t="shared" si="4"/>
        <v>51.464019851116618</v>
      </c>
      <c r="N17" s="14">
        <f t="shared" si="5"/>
        <v>-20.980392156862745</v>
      </c>
      <c r="O17" s="14">
        <f t="shared" si="6"/>
        <v>19.437939110070257</v>
      </c>
    </row>
    <row r="18" spans="1:15" ht="18" customHeight="1" x14ac:dyDescent="0.2">
      <c r="A18" s="3">
        <v>13</v>
      </c>
      <c r="B18" s="4" t="s">
        <v>23</v>
      </c>
      <c r="C18" s="15">
        <v>3712.9340000000002</v>
      </c>
      <c r="D18" s="16">
        <v>21065.929</v>
      </c>
      <c r="E18" s="16">
        <v>17685.599999999999</v>
      </c>
      <c r="F18" s="16">
        <v>9135.6</v>
      </c>
      <c r="G18" s="16">
        <v>4612</v>
      </c>
      <c r="H18" s="16">
        <v>11447.5</v>
      </c>
      <c r="I18" s="16">
        <v>1267.3</v>
      </c>
      <c r="J18" s="14">
        <f t="shared" si="7"/>
        <v>-82.374696126622283</v>
      </c>
      <c r="K18" s="17">
        <f t="shared" si="9"/>
        <v>19.113453883385365</v>
      </c>
      <c r="L18" s="14">
        <f t="shared" si="3"/>
        <v>93.589911992644133</v>
      </c>
      <c r="M18" s="14">
        <f t="shared" si="4"/>
        <v>98.083261058109287</v>
      </c>
      <c r="N18" s="14">
        <f t="shared" si="5"/>
        <v>-59.711727451408606</v>
      </c>
      <c r="O18" s="14">
        <f t="shared" si="6"/>
        <v>803.29835082458771</v>
      </c>
    </row>
    <row r="19" spans="1:15" ht="18" customHeight="1" x14ac:dyDescent="0.2">
      <c r="A19" s="3">
        <v>14</v>
      </c>
      <c r="B19" s="4" t="s">
        <v>24</v>
      </c>
      <c r="C19" s="15">
        <v>5159.509</v>
      </c>
      <c r="D19" s="16">
        <v>5163.777</v>
      </c>
      <c r="E19" s="16">
        <v>4341.3999999999996</v>
      </c>
      <c r="F19" s="16">
        <v>4076.4</v>
      </c>
      <c r="G19" s="16">
        <v>4568.6000000000004</v>
      </c>
      <c r="H19" s="16">
        <v>4853.2</v>
      </c>
      <c r="I19" s="16">
        <v>5494.1</v>
      </c>
      <c r="J19" s="14">
        <f t="shared" si="7"/>
        <v>-8.2652678456099651E-2</v>
      </c>
      <c r="K19" s="17">
        <f t="shared" si="9"/>
        <v>18.942668263693751</v>
      </c>
      <c r="L19" s="14">
        <f t="shared" si="3"/>
        <v>6.5008340692768023</v>
      </c>
      <c r="M19" s="14">
        <f t="shared" si="4"/>
        <v>-10.77354112857331</v>
      </c>
      <c r="N19" s="14">
        <f t="shared" si="5"/>
        <v>-5.8641720926398966</v>
      </c>
      <c r="O19" s="14">
        <f t="shared" si="6"/>
        <v>-11.665240894778044</v>
      </c>
    </row>
    <row r="20" spans="1:15" ht="18" customHeight="1" x14ac:dyDescent="0.2">
      <c r="A20" s="3">
        <v>15</v>
      </c>
      <c r="B20" s="4" t="s">
        <v>25</v>
      </c>
      <c r="C20" s="15">
        <v>32868.766100000001</v>
      </c>
      <c r="D20" s="16">
        <v>49684.870900000002</v>
      </c>
      <c r="E20" s="16">
        <v>41360.1</v>
      </c>
      <c r="F20" s="16">
        <v>37140.400000000001</v>
      </c>
      <c r="G20" s="16">
        <v>37657.300000000003</v>
      </c>
      <c r="H20" s="16">
        <v>37252.800000000003</v>
      </c>
      <c r="I20" s="16">
        <v>41269.599999999999</v>
      </c>
      <c r="J20" s="14">
        <f t="shared" si="7"/>
        <v>-33.845523789013207</v>
      </c>
      <c r="K20" s="17">
        <f t="shared" si="9"/>
        <v>20.12754055236811</v>
      </c>
      <c r="L20" s="14">
        <f t="shared" si="3"/>
        <v>11.361482374987876</v>
      </c>
      <c r="M20" s="14">
        <f t="shared" si="4"/>
        <v>-1.3726422234201638</v>
      </c>
      <c r="N20" s="14">
        <f t="shared" si="5"/>
        <v>1.0858244212515569</v>
      </c>
      <c r="O20" s="14">
        <f t="shared" si="6"/>
        <v>-9.7330722856533516</v>
      </c>
    </row>
    <row r="21" spans="1:15" ht="18" customHeight="1" x14ac:dyDescent="0.2">
      <c r="A21" s="3">
        <v>16</v>
      </c>
      <c r="B21" s="4" t="s">
        <v>26</v>
      </c>
      <c r="C21" s="15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0.4</v>
      </c>
      <c r="J21" s="14" t="s">
        <v>12</v>
      </c>
      <c r="K21" s="17" t="s">
        <v>12</v>
      </c>
      <c r="L21" s="22" t="s">
        <v>12</v>
      </c>
      <c r="M21" s="22" t="s">
        <v>12</v>
      </c>
      <c r="N21" s="22" t="s">
        <v>12</v>
      </c>
      <c r="O21" s="14">
        <f t="shared" si="6"/>
        <v>-100</v>
      </c>
    </row>
    <row r="22" spans="1:15" ht="18" customHeight="1" x14ac:dyDescent="0.2">
      <c r="A22" s="3">
        <v>17</v>
      </c>
      <c r="B22" s="4" t="s">
        <v>27</v>
      </c>
      <c r="C22" s="15">
        <v>139718.81735299996</v>
      </c>
      <c r="D22" s="16">
        <v>136199.769</v>
      </c>
      <c r="E22" s="16">
        <v>122405.8</v>
      </c>
      <c r="F22" s="16">
        <v>109224.9</v>
      </c>
      <c r="G22" s="16">
        <v>103162.1</v>
      </c>
      <c r="H22" s="16">
        <v>107671.4</v>
      </c>
      <c r="I22" s="16">
        <v>112555.2</v>
      </c>
      <c r="J22" s="14">
        <f t="shared" si="7"/>
        <v>2.5837403241116821</v>
      </c>
      <c r="K22" s="17">
        <v>0</v>
      </c>
      <c r="L22" s="14">
        <f t="shared" si="3"/>
        <v>12.067669551539996</v>
      </c>
      <c r="M22" s="14">
        <f t="shared" si="4"/>
        <v>5.8769645053755095</v>
      </c>
      <c r="N22" s="14">
        <f t="shared" si="5"/>
        <v>-4.1880202170678453</v>
      </c>
      <c r="O22" s="14">
        <f t="shared" si="6"/>
        <v>-4.3390265398666639</v>
      </c>
    </row>
    <row r="23" spans="1:15" ht="18" customHeight="1" x14ac:dyDescent="0.2">
      <c r="A23" s="3">
        <v>18</v>
      </c>
      <c r="B23" s="4" t="s">
        <v>28</v>
      </c>
      <c r="C23" s="15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4" t="s">
        <v>12</v>
      </c>
      <c r="K23" s="17" t="s">
        <v>12</v>
      </c>
      <c r="L23" s="22" t="s">
        <v>12</v>
      </c>
      <c r="M23" s="22" t="s">
        <v>12</v>
      </c>
      <c r="N23" s="22" t="s">
        <v>12</v>
      </c>
      <c r="O23" s="14" t="e">
        <f t="shared" si="6"/>
        <v>#DIV/0!</v>
      </c>
    </row>
    <row r="24" spans="1:15" ht="18" customHeight="1" x14ac:dyDescent="0.2">
      <c r="A24" s="3">
        <v>19</v>
      </c>
      <c r="B24" s="4" t="s">
        <v>29</v>
      </c>
      <c r="C24" s="15">
        <v>151529.73469999997</v>
      </c>
      <c r="D24" s="16">
        <v>188199.68182</v>
      </c>
      <c r="E24" s="16">
        <v>179862.9</v>
      </c>
      <c r="F24" s="16">
        <v>155941.6</v>
      </c>
      <c r="G24" s="16">
        <v>169373.6</v>
      </c>
      <c r="H24" s="16">
        <v>154526.70000000001</v>
      </c>
      <c r="I24" s="16">
        <v>135130.1</v>
      </c>
      <c r="J24" s="14">
        <f t="shared" si="7"/>
        <v>-19.484595704615643</v>
      </c>
      <c r="K24" s="17">
        <v>0</v>
      </c>
      <c r="L24" s="14">
        <f t="shared" si="3"/>
        <v>15.339909299378734</v>
      </c>
      <c r="M24" s="14">
        <f t="shared" si="4"/>
        <v>-7.9303976534713785</v>
      </c>
      <c r="N24" s="14">
        <f t="shared" si="5"/>
        <v>9.6079836041279556</v>
      </c>
      <c r="O24" s="14">
        <f t="shared" si="6"/>
        <v>14.354018830741639</v>
      </c>
    </row>
    <row r="25" spans="1:15" ht="18" customHeight="1" x14ac:dyDescent="0.2">
      <c r="A25" s="3">
        <v>20</v>
      </c>
      <c r="B25" s="4" t="s">
        <v>30</v>
      </c>
      <c r="C25" s="15">
        <v>0</v>
      </c>
      <c r="D25" s="16">
        <v>2307.2979999999998</v>
      </c>
      <c r="E25" s="16">
        <v>379.3</v>
      </c>
      <c r="F25" s="16">
        <v>94</v>
      </c>
      <c r="G25" s="16">
        <v>0</v>
      </c>
      <c r="H25" s="16">
        <v>0</v>
      </c>
      <c r="I25" s="16">
        <v>0</v>
      </c>
      <c r="J25" s="14">
        <f t="shared" si="7"/>
        <v>-100</v>
      </c>
      <c r="K25" s="17">
        <f>(D25-E25)/E25*100</f>
        <v>508.30424466121798</v>
      </c>
      <c r="L25" s="14">
        <f t="shared" si="3"/>
        <v>303.51063829787239</v>
      </c>
      <c r="M25" s="22" t="s">
        <v>12</v>
      </c>
      <c r="N25" s="22" t="s">
        <v>12</v>
      </c>
      <c r="O25" s="22" t="s">
        <v>12</v>
      </c>
    </row>
    <row r="26" spans="1:15" ht="18" customHeight="1" x14ac:dyDescent="0.2">
      <c r="A26" s="3">
        <v>21</v>
      </c>
      <c r="B26" s="4" t="s">
        <v>31</v>
      </c>
      <c r="C26" s="15">
        <v>1911.5260000000001</v>
      </c>
      <c r="D26" s="16">
        <v>1964.2449999999999</v>
      </c>
      <c r="E26" s="16">
        <v>1358.2</v>
      </c>
      <c r="F26" s="16">
        <v>1204.7</v>
      </c>
      <c r="G26" s="16">
        <v>1444.8</v>
      </c>
      <c r="H26" s="16">
        <v>2513.9</v>
      </c>
      <c r="I26" s="16">
        <v>2281.6</v>
      </c>
      <c r="J26" s="14">
        <f t="shared" si="7"/>
        <v>-2.6839319942267807</v>
      </c>
      <c r="K26" s="17">
        <f>(D26-E26)/E26*100</f>
        <v>44.621189810042686</v>
      </c>
      <c r="L26" s="14">
        <f t="shared" si="3"/>
        <v>12.741761434382004</v>
      </c>
      <c r="M26" s="14">
        <f t="shared" si="4"/>
        <v>-16.61821705426356</v>
      </c>
      <c r="N26" s="14">
        <f t="shared" si="5"/>
        <v>-42.527546839571983</v>
      </c>
      <c r="O26" s="14">
        <f t="shared" si="6"/>
        <v>10.181451612903235</v>
      </c>
    </row>
    <row r="27" spans="1:15" ht="18" customHeight="1" x14ac:dyDescent="0.2">
      <c r="A27" s="3">
        <v>22</v>
      </c>
      <c r="B27" s="4" t="s">
        <v>32</v>
      </c>
      <c r="C27" s="15">
        <v>4944.7954000000009</v>
      </c>
      <c r="D27" s="16">
        <v>4906.2121999999999</v>
      </c>
      <c r="E27" s="16">
        <v>2306.4</v>
      </c>
      <c r="F27" s="16">
        <v>1984.7</v>
      </c>
      <c r="G27" s="16">
        <v>2006.2</v>
      </c>
      <c r="H27" s="16">
        <v>2194.6</v>
      </c>
      <c r="I27" s="16">
        <v>2033.9</v>
      </c>
      <c r="J27" s="14">
        <f t="shared" si="7"/>
        <v>0.78641523087812915</v>
      </c>
      <c r="K27" s="17">
        <f>(D27-E27)/E27*100</f>
        <v>112.7216527922303</v>
      </c>
      <c r="L27" s="14">
        <f t="shared" si="3"/>
        <v>16.208998841134683</v>
      </c>
      <c r="M27" s="14">
        <f t="shared" si="4"/>
        <v>-1.0716777988236468</v>
      </c>
      <c r="N27" s="14">
        <f t="shared" si="5"/>
        <v>-8.5847079194386176</v>
      </c>
      <c r="O27" s="14">
        <f t="shared" si="6"/>
        <v>7.9010767491026996</v>
      </c>
    </row>
    <row r="28" spans="1:15" ht="18" customHeight="1" x14ac:dyDescent="0.2">
      <c r="A28" s="3">
        <v>23</v>
      </c>
      <c r="B28" s="4" t="s">
        <v>33</v>
      </c>
      <c r="C28" s="15">
        <v>10372.707699999999</v>
      </c>
      <c r="D28" s="16">
        <v>8666.7786000000015</v>
      </c>
      <c r="E28" s="16">
        <v>5095.8</v>
      </c>
      <c r="F28" s="16">
        <v>3721.7</v>
      </c>
      <c r="G28" s="16">
        <v>2004.1</v>
      </c>
      <c r="H28" s="16">
        <v>2233.3000000000002</v>
      </c>
      <c r="I28" s="16">
        <v>1195.4000000000001</v>
      </c>
      <c r="J28" s="14">
        <f t="shared" si="7"/>
        <v>19.683543087162711</v>
      </c>
      <c r="K28" s="17">
        <f>(D28-E28)/E28*100</f>
        <v>70.076898622394936</v>
      </c>
      <c r="L28" s="14">
        <f t="shared" si="3"/>
        <v>36.921299406185362</v>
      </c>
      <c r="M28" s="14">
        <f t="shared" si="4"/>
        <v>85.704306172346691</v>
      </c>
      <c r="N28" s="14">
        <f t="shared" si="5"/>
        <v>-10.262839743876786</v>
      </c>
      <c r="O28" s="14">
        <f t="shared" si="6"/>
        <v>86.824493893257497</v>
      </c>
    </row>
    <row r="29" spans="1:15" ht="18" customHeight="1" x14ac:dyDescent="0.2">
      <c r="A29" s="3">
        <v>24</v>
      </c>
      <c r="B29" s="4" t="s">
        <v>34</v>
      </c>
      <c r="C29" s="15">
        <v>19187.887009999999</v>
      </c>
      <c r="D29" s="16">
        <v>22767.637299999999</v>
      </c>
      <c r="E29" s="16">
        <v>23512.799999999999</v>
      </c>
      <c r="F29" s="16">
        <v>19171.400000000001</v>
      </c>
      <c r="G29" s="16">
        <v>16402.900000000001</v>
      </c>
      <c r="H29" s="16">
        <v>13113.4</v>
      </c>
      <c r="I29" s="16">
        <v>8525.4</v>
      </c>
      <c r="J29" s="14">
        <f t="shared" si="7"/>
        <v>-15.722976621733164</v>
      </c>
      <c r="K29" s="17">
        <f>(D29-E29)/E29*100</f>
        <v>-3.1691789153142151</v>
      </c>
      <c r="L29" s="14">
        <f t="shared" si="3"/>
        <v>22.645190231282001</v>
      </c>
      <c r="M29" s="14">
        <f t="shared" si="4"/>
        <v>16.878113016600722</v>
      </c>
      <c r="N29" s="14">
        <f t="shared" si="5"/>
        <v>25.08502752909239</v>
      </c>
      <c r="O29" s="14">
        <f t="shared" si="6"/>
        <v>53.815656743378618</v>
      </c>
    </row>
    <row r="30" spans="1:15" ht="18" customHeight="1" x14ac:dyDescent="0.2">
      <c r="A30" s="3">
        <v>25</v>
      </c>
      <c r="B30" s="4" t="s">
        <v>35</v>
      </c>
      <c r="C30" s="15">
        <v>0</v>
      </c>
      <c r="D30" s="16">
        <v>0</v>
      </c>
      <c r="E30" s="16">
        <v>0</v>
      </c>
      <c r="F30" s="16">
        <v>0</v>
      </c>
      <c r="G30" s="16">
        <v>0</v>
      </c>
      <c r="H30" s="16">
        <v>220.1</v>
      </c>
      <c r="I30" s="16">
        <v>417.7</v>
      </c>
      <c r="J30" s="14" t="s">
        <v>12</v>
      </c>
      <c r="K30" s="22" t="s">
        <v>12</v>
      </c>
      <c r="L30" s="22" t="s">
        <v>12</v>
      </c>
      <c r="M30" s="22" t="s">
        <v>12</v>
      </c>
      <c r="N30" s="14">
        <f t="shared" si="5"/>
        <v>-100</v>
      </c>
      <c r="O30" s="14">
        <f t="shared" si="6"/>
        <v>-47.3066794350012</v>
      </c>
    </row>
    <row r="31" spans="1:15" ht="18" customHeight="1" x14ac:dyDescent="0.2">
      <c r="A31" s="3">
        <v>26</v>
      </c>
      <c r="B31" s="4" t="s">
        <v>36</v>
      </c>
      <c r="C31" s="15">
        <v>528.96</v>
      </c>
      <c r="D31" s="16">
        <v>1075.7049999999999</v>
      </c>
      <c r="E31" s="16">
        <v>693.8</v>
      </c>
      <c r="F31" s="16">
        <v>561.1</v>
      </c>
      <c r="G31" s="16">
        <v>392.2</v>
      </c>
      <c r="H31" s="16">
        <v>481.8</v>
      </c>
      <c r="I31" s="16">
        <v>501.2</v>
      </c>
      <c r="J31" s="14">
        <f t="shared" si="7"/>
        <v>-50.826667162465547</v>
      </c>
      <c r="K31" s="17">
        <v>0</v>
      </c>
      <c r="L31" s="14">
        <f t="shared" si="3"/>
        <v>23.64997326679735</v>
      </c>
      <c r="M31" s="14">
        <f t="shared" si="4"/>
        <v>43.064762876083641</v>
      </c>
      <c r="N31" s="14">
        <f t="shared" si="5"/>
        <v>-18.596928185969286</v>
      </c>
      <c r="O31" s="14">
        <f t="shared" si="6"/>
        <v>-3.8707102952912962</v>
      </c>
    </row>
    <row r="32" spans="1:15" ht="18" customHeight="1" x14ac:dyDescent="0.2">
      <c r="A32" s="3">
        <v>27</v>
      </c>
      <c r="B32" s="4" t="s">
        <v>37</v>
      </c>
      <c r="C32" s="15">
        <v>620.98289999999997</v>
      </c>
      <c r="D32" s="16">
        <v>792.88</v>
      </c>
      <c r="E32" s="16">
        <v>1025.4000000000001</v>
      </c>
      <c r="F32" s="16">
        <v>189.8</v>
      </c>
      <c r="G32" s="16">
        <v>2879.1</v>
      </c>
      <c r="H32" s="16">
        <v>4850.3999999999996</v>
      </c>
      <c r="I32" s="16">
        <v>4364.6000000000004</v>
      </c>
      <c r="J32" s="14">
        <f t="shared" si="7"/>
        <v>-21.680090303702958</v>
      </c>
      <c r="K32" s="17">
        <f t="shared" ref="K32:K48" si="10">(D32-E32)/E32*100</f>
        <v>-22.6760288667837</v>
      </c>
      <c r="L32" s="14">
        <f t="shared" si="3"/>
        <v>440.25289778714443</v>
      </c>
      <c r="M32" s="14">
        <f t="shared" si="4"/>
        <v>-93.407662116633659</v>
      </c>
      <c r="N32" s="14">
        <f t="shared" si="5"/>
        <v>-40.642008906481934</v>
      </c>
      <c r="O32" s="14">
        <f t="shared" si="6"/>
        <v>11.130458690372524</v>
      </c>
    </row>
    <row r="33" spans="1:15" ht="18" customHeight="1" x14ac:dyDescent="0.2">
      <c r="A33" s="3">
        <v>28</v>
      </c>
      <c r="B33" s="4" t="s">
        <v>38</v>
      </c>
      <c r="C33" s="15">
        <v>7084.5071000000007</v>
      </c>
      <c r="D33" s="16">
        <v>8666.2165999999997</v>
      </c>
      <c r="E33" s="16">
        <v>9069.2000000000007</v>
      </c>
      <c r="F33" s="16">
        <v>5922.1</v>
      </c>
      <c r="G33" s="16">
        <v>3610.2</v>
      </c>
      <c r="H33" s="16">
        <v>5724.4</v>
      </c>
      <c r="I33" s="16">
        <v>3006.8</v>
      </c>
      <c r="J33" s="14">
        <f t="shared" si="7"/>
        <v>-18.251442042194039</v>
      </c>
      <c r="K33" s="17">
        <f t="shared" si="10"/>
        <v>-4.4434283067966405</v>
      </c>
      <c r="L33" s="14">
        <f t="shared" si="3"/>
        <v>53.141622059742325</v>
      </c>
      <c r="M33" s="14">
        <f t="shared" si="4"/>
        <v>64.038003434712778</v>
      </c>
      <c r="N33" s="14">
        <f t="shared" si="5"/>
        <v>-36.933128362797845</v>
      </c>
      <c r="O33" s="14">
        <f t="shared" si="6"/>
        <v>90.381801250498853</v>
      </c>
    </row>
    <row r="34" spans="1:15" ht="18" customHeight="1" x14ac:dyDescent="0.2">
      <c r="A34" s="3">
        <v>29</v>
      </c>
      <c r="B34" s="4" t="s">
        <v>39</v>
      </c>
      <c r="C34" s="15">
        <v>21244.007799999996</v>
      </c>
      <c r="D34" s="16">
        <v>21702.032800000004</v>
      </c>
      <c r="E34" s="16">
        <v>32907.1</v>
      </c>
      <c r="F34" s="16">
        <v>23361.5</v>
      </c>
      <c r="G34" s="16">
        <v>16895.900000000001</v>
      </c>
      <c r="H34" s="16">
        <v>21012</v>
      </c>
      <c r="I34" s="16">
        <v>15185.8</v>
      </c>
      <c r="J34" s="14">
        <f t="shared" si="7"/>
        <v>-2.1105165779677959</v>
      </c>
      <c r="K34" s="17">
        <f t="shared" si="10"/>
        <v>-34.050606707974858</v>
      </c>
      <c r="L34" s="14">
        <f t="shared" si="3"/>
        <v>40.86038995783661</v>
      </c>
      <c r="M34" s="14">
        <f t="shared" si="4"/>
        <v>38.267271941713659</v>
      </c>
      <c r="N34" s="14">
        <f t="shared" si="5"/>
        <v>-19.589282314867688</v>
      </c>
      <c r="O34" s="14">
        <f t="shared" si="6"/>
        <v>38.366105177205029</v>
      </c>
    </row>
    <row r="35" spans="1:15" ht="18" customHeight="1" x14ac:dyDescent="0.2">
      <c r="A35" s="3">
        <v>30</v>
      </c>
      <c r="B35" s="4" t="s">
        <v>40</v>
      </c>
      <c r="C35" s="15">
        <v>0</v>
      </c>
      <c r="D35" s="16">
        <v>172.67200000000003</v>
      </c>
      <c r="E35" s="16">
        <v>257</v>
      </c>
      <c r="F35" s="16">
        <v>235.6</v>
      </c>
      <c r="G35" s="16">
        <v>499.2</v>
      </c>
      <c r="H35" s="16">
        <v>131.19999999999999</v>
      </c>
      <c r="I35" s="16">
        <v>0.2</v>
      </c>
      <c r="J35" s="14">
        <f t="shared" si="7"/>
        <v>-100</v>
      </c>
      <c r="K35" s="17">
        <f t="shared" si="10"/>
        <v>-32.812451361867694</v>
      </c>
      <c r="L35" s="14">
        <f t="shared" si="3"/>
        <v>9.0831918505942291</v>
      </c>
      <c r="M35" s="14">
        <f t="shared" si="4"/>
        <v>-52.804487179487182</v>
      </c>
      <c r="N35" s="14">
        <f t="shared" si="5"/>
        <v>280.48780487804879</v>
      </c>
      <c r="O35" s="14">
        <f t="shared" si="6"/>
        <v>65500</v>
      </c>
    </row>
    <row r="36" spans="1:15" ht="18" customHeight="1" x14ac:dyDescent="0.2">
      <c r="A36" s="3">
        <v>31</v>
      </c>
      <c r="B36" s="4" t="s">
        <v>41</v>
      </c>
      <c r="C36" s="15">
        <v>40912.240000000005</v>
      </c>
      <c r="D36" s="16">
        <v>38963.845000000001</v>
      </c>
      <c r="E36" s="16">
        <v>38278.400000000001</v>
      </c>
      <c r="F36" s="16">
        <v>35400.699999999997</v>
      </c>
      <c r="G36" s="16">
        <v>30553.5</v>
      </c>
      <c r="H36" s="16">
        <v>35316.5</v>
      </c>
      <c r="I36" s="16">
        <v>30985.9</v>
      </c>
      <c r="J36" s="14">
        <f t="shared" si="7"/>
        <v>5.0005203541899013</v>
      </c>
      <c r="K36" s="17">
        <f t="shared" si="10"/>
        <v>1.7906835186423669</v>
      </c>
      <c r="L36" s="14">
        <f t="shared" si="3"/>
        <v>8.1289353035392082</v>
      </c>
      <c r="M36" s="14">
        <f t="shared" si="4"/>
        <v>15.864630893350999</v>
      </c>
      <c r="N36" s="14">
        <f t="shared" si="5"/>
        <v>-13.48661390568148</v>
      </c>
      <c r="O36" s="14">
        <f t="shared" si="6"/>
        <v>13.976034260744397</v>
      </c>
    </row>
    <row r="37" spans="1:15" ht="18" customHeight="1" x14ac:dyDescent="0.2">
      <c r="A37" s="3">
        <v>32</v>
      </c>
      <c r="B37" s="4" t="s">
        <v>42</v>
      </c>
      <c r="C37" s="15">
        <v>3691.9283099999998</v>
      </c>
      <c r="D37" s="16">
        <v>2765.71056</v>
      </c>
      <c r="E37" s="16">
        <v>2451.1</v>
      </c>
      <c r="F37" s="16">
        <v>1875.5</v>
      </c>
      <c r="G37" s="16">
        <v>1875.7</v>
      </c>
      <c r="H37" s="16">
        <v>1790.8</v>
      </c>
      <c r="I37" s="16">
        <v>1495.8</v>
      </c>
      <c r="J37" s="14">
        <f t="shared" si="7"/>
        <v>33.489323264542904</v>
      </c>
      <c r="K37" s="17">
        <f t="shared" si="10"/>
        <v>12.835484476357559</v>
      </c>
      <c r="L37" s="14">
        <f t="shared" si="3"/>
        <v>30.690482537989865</v>
      </c>
      <c r="M37" s="14">
        <f t="shared" si="4"/>
        <v>-1.0662685930588339E-2</v>
      </c>
      <c r="N37" s="14">
        <f t="shared" si="5"/>
        <v>4.7408979227161101</v>
      </c>
      <c r="O37" s="14">
        <f t="shared" si="6"/>
        <v>19.721887952934885</v>
      </c>
    </row>
    <row r="38" spans="1:15" ht="18" customHeight="1" x14ac:dyDescent="0.2">
      <c r="A38" s="3">
        <v>33</v>
      </c>
      <c r="B38" s="4" t="s">
        <v>43</v>
      </c>
      <c r="C38" s="15">
        <v>4896.9130000000005</v>
      </c>
      <c r="D38" s="16">
        <v>5455.1620000000003</v>
      </c>
      <c r="E38" s="16">
        <v>4287.5</v>
      </c>
      <c r="F38" s="16">
        <v>2648.1</v>
      </c>
      <c r="G38" s="16">
        <v>3037</v>
      </c>
      <c r="H38" s="16">
        <v>3642.7</v>
      </c>
      <c r="I38" s="16">
        <v>4369.6000000000004</v>
      </c>
      <c r="J38" s="14">
        <f t="shared" si="7"/>
        <v>-10.233408283750322</v>
      </c>
      <c r="K38" s="17">
        <f t="shared" si="10"/>
        <v>27.234099125364438</v>
      </c>
      <c r="L38" s="14">
        <f t="shared" si="3"/>
        <v>61.908538197197991</v>
      </c>
      <c r="M38" s="14">
        <f t="shared" si="4"/>
        <v>-12.805400065854464</v>
      </c>
      <c r="N38" s="14">
        <f t="shared" si="5"/>
        <v>-16.627776100145493</v>
      </c>
      <c r="O38" s="14">
        <f t="shared" si="6"/>
        <v>-16.63538996704505</v>
      </c>
    </row>
    <row r="39" spans="1:15" ht="18" customHeight="1" x14ac:dyDescent="0.2">
      <c r="A39" s="3">
        <v>34</v>
      </c>
      <c r="B39" s="4" t="s">
        <v>44</v>
      </c>
      <c r="C39" s="15">
        <v>1880.1791999999998</v>
      </c>
      <c r="D39" s="16">
        <v>2757.7228399999999</v>
      </c>
      <c r="E39" s="16">
        <v>2693.5</v>
      </c>
      <c r="F39" s="16">
        <v>1982.2</v>
      </c>
      <c r="G39" s="16">
        <v>2342.8000000000002</v>
      </c>
      <c r="H39" s="16">
        <v>3327.8</v>
      </c>
      <c r="I39" s="16">
        <v>2832.2</v>
      </c>
      <c r="J39" s="14">
        <f t="shared" si="7"/>
        <v>-31.821313848929073</v>
      </c>
      <c r="K39" s="17">
        <f t="shared" si="10"/>
        <v>2.3843638388713533</v>
      </c>
      <c r="L39" s="14">
        <f t="shared" si="3"/>
        <v>35.884370901019068</v>
      </c>
      <c r="M39" s="14">
        <f t="shared" si="4"/>
        <v>-15.391838825337208</v>
      </c>
      <c r="N39" s="14">
        <f t="shared" si="5"/>
        <v>-29.599134563375202</v>
      </c>
      <c r="O39" s="14">
        <f t="shared" si="6"/>
        <v>17.498764211566993</v>
      </c>
    </row>
    <row r="40" spans="1:15" ht="18" customHeight="1" x14ac:dyDescent="0.2">
      <c r="A40" s="3">
        <v>35</v>
      </c>
      <c r="B40" s="4" t="s">
        <v>45</v>
      </c>
      <c r="C40" s="15">
        <v>17329.165989999998</v>
      </c>
      <c r="D40" s="16">
        <v>46327.460330000002</v>
      </c>
      <c r="E40" s="16">
        <v>39275.300000000003</v>
      </c>
      <c r="F40" s="16">
        <v>23761.200000000001</v>
      </c>
      <c r="G40" s="16">
        <v>7624.8</v>
      </c>
      <c r="H40" s="16">
        <v>31338.9</v>
      </c>
      <c r="I40" s="16">
        <v>20165</v>
      </c>
      <c r="J40" s="14">
        <f t="shared" si="7"/>
        <v>-62.594180931653078</v>
      </c>
      <c r="K40" s="17">
        <f t="shared" si="10"/>
        <v>17.955713463678187</v>
      </c>
      <c r="L40" s="14">
        <f t="shared" si="3"/>
        <v>65.291736107604009</v>
      </c>
      <c r="M40" s="14">
        <f t="shared" si="4"/>
        <v>211.6304689959081</v>
      </c>
      <c r="N40" s="14">
        <f t="shared" si="5"/>
        <v>-75.669854398207974</v>
      </c>
      <c r="O40" s="14">
        <f t="shared" si="6"/>
        <v>55.412348127944469</v>
      </c>
    </row>
    <row r="41" spans="1:15" ht="18" customHeight="1" x14ac:dyDescent="0.2">
      <c r="A41" s="3">
        <v>36</v>
      </c>
      <c r="B41" s="4" t="s">
        <v>46</v>
      </c>
      <c r="C41" s="15">
        <v>24618.540377999994</v>
      </c>
      <c r="D41" s="16">
        <v>24115.215579999996</v>
      </c>
      <c r="E41" s="16">
        <v>33011.4</v>
      </c>
      <c r="F41" s="16">
        <v>21533.1</v>
      </c>
      <c r="G41" s="16">
        <v>16810</v>
      </c>
      <c r="H41" s="16">
        <v>15971.5</v>
      </c>
      <c r="I41" s="16">
        <v>14222.8</v>
      </c>
      <c r="J41" s="14">
        <f t="shared" si="7"/>
        <v>2.0871669022831845</v>
      </c>
      <c r="K41" s="17">
        <f t="shared" si="10"/>
        <v>-26.948825011965578</v>
      </c>
      <c r="L41" s="14">
        <f t="shared" si="3"/>
        <v>53.305376374047405</v>
      </c>
      <c r="M41" s="14">
        <f t="shared" si="4"/>
        <v>28.096966091612124</v>
      </c>
      <c r="N41" s="14">
        <f t="shared" si="5"/>
        <v>5.2499765206774569</v>
      </c>
      <c r="O41" s="14">
        <f t="shared" si="6"/>
        <v>12.295047388699839</v>
      </c>
    </row>
    <row r="42" spans="1:15" ht="18" customHeight="1" x14ac:dyDescent="0.2">
      <c r="A42" s="3">
        <v>37</v>
      </c>
      <c r="B42" s="4" t="s">
        <v>47</v>
      </c>
      <c r="C42" s="15">
        <v>0</v>
      </c>
      <c r="D42" s="16">
        <v>1.288</v>
      </c>
      <c r="E42" s="16">
        <v>26.3</v>
      </c>
      <c r="F42" s="16">
        <v>180.7</v>
      </c>
      <c r="G42" s="16">
        <v>391.7</v>
      </c>
      <c r="H42" s="16">
        <v>641.1</v>
      </c>
      <c r="I42" s="16">
        <v>650.1</v>
      </c>
      <c r="J42" s="14">
        <f t="shared" si="7"/>
        <v>-100</v>
      </c>
      <c r="K42" s="17">
        <f t="shared" si="10"/>
        <v>-95.102661596958171</v>
      </c>
      <c r="L42" s="14">
        <f t="shared" si="3"/>
        <v>-85.445489762036516</v>
      </c>
      <c r="M42" s="14">
        <f t="shared" si="4"/>
        <v>-53.867755935665052</v>
      </c>
      <c r="N42" s="14">
        <f t="shared" si="5"/>
        <v>-38.901887381063801</v>
      </c>
      <c r="O42" s="14">
        <f t="shared" si="6"/>
        <v>-1.3844023996308261</v>
      </c>
    </row>
    <row r="43" spans="1:15" ht="18" customHeight="1" x14ac:dyDescent="0.2">
      <c r="A43" s="3">
        <v>38</v>
      </c>
      <c r="B43" s="4" t="s">
        <v>48</v>
      </c>
      <c r="C43" s="15">
        <v>202202.60110000003</v>
      </c>
      <c r="D43" s="16">
        <v>202759.59482</v>
      </c>
      <c r="E43" s="16">
        <v>195114.7</v>
      </c>
      <c r="F43" s="16">
        <v>161506.20000000001</v>
      </c>
      <c r="G43" s="16">
        <v>128029</v>
      </c>
      <c r="H43" s="16">
        <v>89981.3</v>
      </c>
      <c r="I43" s="16">
        <v>77455.8</v>
      </c>
      <c r="J43" s="14">
        <f t="shared" si="7"/>
        <v>-0.2747064672793616</v>
      </c>
      <c r="K43" s="17">
        <f t="shared" si="10"/>
        <v>3.9181542036555861</v>
      </c>
      <c r="L43" s="14">
        <f t="shared" si="3"/>
        <v>20.809417842782505</v>
      </c>
      <c r="M43" s="14">
        <f t="shared" si="4"/>
        <v>26.148138312413604</v>
      </c>
      <c r="N43" s="14">
        <f t="shared" si="5"/>
        <v>42.284007899419095</v>
      </c>
      <c r="O43" s="14">
        <f t="shared" si="6"/>
        <v>16.171158260582164</v>
      </c>
    </row>
    <row r="44" spans="1:15" ht="18" customHeight="1" x14ac:dyDescent="0.2">
      <c r="A44" s="3">
        <v>39</v>
      </c>
      <c r="B44" s="4" t="s">
        <v>49</v>
      </c>
      <c r="C44" s="15">
        <v>25.331</v>
      </c>
      <c r="D44" s="16">
        <v>45.93</v>
      </c>
      <c r="E44" s="16">
        <v>49</v>
      </c>
      <c r="F44" s="16">
        <v>44.3</v>
      </c>
      <c r="G44" s="16">
        <v>16.600000000000001</v>
      </c>
      <c r="H44" s="16">
        <v>0</v>
      </c>
      <c r="I44" s="16">
        <v>0</v>
      </c>
      <c r="J44" s="14">
        <f t="shared" si="7"/>
        <v>-44.848682778140649</v>
      </c>
      <c r="K44" s="17">
        <f t="shared" si="10"/>
        <v>-6.2653061224489797</v>
      </c>
      <c r="L44" s="14">
        <f t="shared" si="3"/>
        <v>10.60948081264109</v>
      </c>
      <c r="M44" s="14">
        <f t="shared" si="4"/>
        <v>166.86746987951804</v>
      </c>
      <c r="N44" s="22" t="s">
        <v>12</v>
      </c>
      <c r="O44" s="22" t="s">
        <v>12</v>
      </c>
    </row>
    <row r="45" spans="1:15" ht="18" customHeight="1" x14ac:dyDescent="0.2">
      <c r="A45" s="3">
        <v>40</v>
      </c>
      <c r="B45" s="4" t="s">
        <v>50</v>
      </c>
      <c r="C45" s="15">
        <v>4501.8153000000002</v>
      </c>
      <c r="D45" s="16">
        <v>5023.1030000000001</v>
      </c>
      <c r="E45" s="16">
        <v>7622</v>
      </c>
      <c r="F45" s="16">
        <v>2586.1999999999998</v>
      </c>
      <c r="G45" s="16">
        <v>4715.5</v>
      </c>
      <c r="H45" s="16">
        <v>5077</v>
      </c>
      <c r="I45" s="16">
        <v>5311.8</v>
      </c>
      <c r="J45" s="14">
        <f t="shared" si="7"/>
        <v>-10.377802326569849</v>
      </c>
      <c r="K45" s="17">
        <f t="shared" si="10"/>
        <v>-34.097310417213329</v>
      </c>
      <c r="L45" s="14">
        <f t="shared" si="3"/>
        <v>194.718119248318</v>
      </c>
      <c r="M45" s="14">
        <f t="shared" si="4"/>
        <v>-45.155338776375785</v>
      </c>
      <c r="N45" s="14">
        <f t="shared" si="5"/>
        <v>-7.1203466614142217</v>
      </c>
      <c r="O45" s="14">
        <f t="shared" si="6"/>
        <v>-4.4203471516246884</v>
      </c>
    </row>
    <row r="46" spans="1:15" ht="18" customHeight="1" x14ac:dyDescent="0.2">
      <c r="A46" s="3">
        <v>41</v>
      </c>
      <c r="B46" s="4" t="s">
        <v>51</v>
      </c>
      <c r="C46" s="15">
        <v>43044.359320000003</v>
      </c>
      <c r="D46" s="16">
        <v>50751.068040000006</v>
      </c>
      <c r="E46" s="16">
        <v>64404.1</v>
      </c>
      <c r="F46" s="16">
        <v>60092.3</v>
      </c>
      <c r="G46" s="16">
        <v>53784.7</v>
      </c>
      <c r="H46" s="16">
        <v>53032.1</v>
      </c>
      <c r="I46" s="16">
        <v>50943.199999999997</v>
      </c>
      <c r="J46" s="14">
        <f t="shared" si="7"/>
        <v>-15.185313369022849</v>
      </c>
      <c r="K46" s="17">
        <f t="shared" si="10"/>
        <v>-21.199010559886705</v>
      </c>
      <c r="L46" s="14">
        <f t="shared" si="3"/>
        <v>7.1752953373393851</v>
      </c>
      <c r="M46" s="14">
        <f t="shared" si="4"/>
        <v>11.727498712459131</v>
      </c>
      <c r="N46" s="14">
        <f t="shared" si="5"/>
        <v>1.4191404828396359</v>
      </c>
      <c r="O46" s="14">
        <f t="shared" si="6"/>
        <v>4.1004491276559021</v>
      </c>
    </row>
    <row r="47" spans="1:15" ht="18" customHeight="1" x14ac:dyDescent="0.2">
      <c r="A47" s="3">
        <v>42</v>
      </c>
      <c r="B47" s="4" t="s">
        <v>52</v>
      </c>
      <c r="C47" s="15">
        <v>200.1</v>
      </c>
      <c r="D47" s="16">
        <v>307.31399999999996</v>
      </c>
      <c r="E47" s="16">
        <v>328.6</v>
      </c>
      <c r="F47" s="16">
        <v>81.400000000000006</v>
      </c>
      <c r="G47" s="16">
        <v>37.799999999999997</v>
      </c>
      <c r="H47" s="16">
        <v>4.3</v>
      </c>
      <c r="I47" s="16">
        <v>0</v>
      </c>
      <c r="J47" s="14">
        <f t="shared" si="7"/>
        <v>-34.887444112536357</v>
      </c>
      <c r="K47" s="17">
        <f t="shared" si="10"/>
        <v>-6.477784540474758</v>
      </c>
      <c r="L47" s="14">
        <f t="shared" si="3"/>
        <v>303.6855036855037</v>
      </c>
      <c r="M47" s="14">
        <f t="shared" si="4"/>
        <v>115.34391534391537</v>
      </c>
      <c r="N47" s="14">
        <f t="shared" si="5"/>
        <v>779.06976744186056</v>
      </c>
      <c r="O47" s="22" t="s">
        <v>12</v>
      </c>
    </row>
    <row r="48" spans="1:15" ht="18" customHeight="1" x14ac:dyDescent="0.2">
      <c r="A48" s="3">
        <v>43</v>
      </c>
      <c r="B48" s="4" t="s">
        <v>53</v>
      </c>
      <c r="C48" s="15">
        <v>107125.41527100001</v>
      </c>
      <c r="D48" s="16">
        <v>128970.49834999999</v>
      </c>
      <c r="E48" s="16">
        <v>124371</v>
      </c>
      <c r="F48" s="16">
        <v>119933.3</v>
      </c>
      <c r="G48" s="16">
        <v>103880.4</v>
      </c>
      <c r="H48" s="16">
        <v>90740.4</v>
      </c>
      <c r="I48" s="16">
        <v>91749.7</v>
      </c>
      <c r="J48" s="14">
        <f t="shared" si="7"/>
        <v>-16.938046575362396</v>
      </c>
      <c r="K48" s="17">
        <f t="shared" si="10"/>
        <v>3.6982080629728751</v>
      </c>
      <c r="L48" s="14">
        <f t="shared" si="3"/>
        <v>3.7001399944802631</v>
      </c>
      <c r="M48" s="14">
        <f t="shared" si="4"/>
        <v>15.453252009041178</v>
      </c>
      <c r="N48" s="14">
        <f t="shared" si="5"/>
        <v>14.480870703677745</v>
      </c>
      <c r="O48" s="14">
        <f t="shared" si="6"/>
        <v>-1.1000580928330042</v>
      </c>
    </row>
    <row r="49" spans="1:15" ht="18" customHeight="1" x14ac:dyDescent="0.2">
      <c r="A49" s="3">
        <v>44</v>
      </c>
      <c r="B49" s="4" t="s">
        <v>54</v>
      </c>
      <c r="C49" s="15">
        <v>0</v>
      </c>
      <c r="D49" s="16">
        <v>0</v>
      </c>
      <c r="E49" s="16">
        <v>0</v>
      </c>
      <c r="F49" s="16">
        <v>0</v>
      </c>
      <c r="G49" s="16">
        <v>0</v>
      </c>
      <c r="H49" s="16">
        <v>4169.3</v>
      </c>
      <c r="I49" s="16">
        <v>4680.2</v>
      </c>
      <c r="J49" s="14" t="s">
        <v>12</v>
      </c>
      <c r="K49" s="17" t="s">
        <v>12</v>
      </c>
      <c r="L49" s="22" t="s">
        <v>12</v>
      </c>
      <c r="M49" s="22" t="s">
        <v>12</v>
      </c>
      <c r="N49" s="14">
        <f t="shared" si="5"/>
        <v>-100</v>
      </c>
      <c r="O49" s="14">
        <f t="shared" si="6"/>
        <v>-10.916200162386215</v>
      </c>
    </row>
    <row r="50" spans="1:15" ht="18" customHeight="1" x14ac:dyDescent="0.2">
      <c r="A50" s="3">
        <v>45</v>
      </c>
      <c r="B50" s="4" t="s">
        <v>55</v>
      </c>
      <c r="C50" s="15">
        <v>1591.0386999999998</v>
      </c>
      <c r="D50" s="16">
        <v>1979.4167000000002</v>
      </c>
      <c r="E50" s="16">
        <v>1555.2</v>
      </c>
      <c r="F50" s="16">
        <v>381.2</v>
      </c>
      <c r="G50" s="16">
        <v>0</v>
      </c>
      <c r="H50" s="16">
        <v>0</v>
      </c>
      <c r="I50" s="16">
        <v>0</v>
      </c>
      <c r="J50" s="14">
        <f t="shared" si="7"/>
        <v>-19.620830722505289</v>
      </c>
      <c r="K50" s="17">
        <v>0</v>
      </c>
      <c r="L50" s="14">
        <f t="shared" si="3"/>
        <v>307.97481636935993</v>
      </c>
      <c r="M50" s="22" t="s">
        <v>12</v>
      </c>
      <c r="N50" s="22" t="s">
        <v>12</v>
      </c>
      <c r="O50" s="22" t="s">
        <v>12</v>
      </c>
    </row>
    <row r="51" spans="1:15" ht="18" customHeight="1" x14ac:dyDescent="0.2">
      <c r="A51" s="3">
        <v>46</v>
      </c>
      <c r="B51" s="4" t="s">
        <v>56</v>
      </c>
      <c r="C51" s="15">
        <v>31704.978780000001</v>
      </c>
      <c r="D51" s="16">
        <v>37183.142169999999</v>
      </c>
      <c r="E51" s="16">
        <v>39261.5</v>
      </c>
      <c r="F51" s="16">
        <v>31694.1</v>
      </c>
      <c r="G51" s="16">
        <v>27008.9</v>
      </c>
      <c r="H51" s="16">
        <v>27033.200000000001</v>
      </c>
      <c r="I51" s="16">
        <v>22642.2</v>
      </c>
      <c r="J51" s="14">
        <f t="shared" si="7"/>
        <v>-14.732922153146797</v>
      </c>
      <c r="K51" s="17">
        <f t="shared" ref="K51:K58" si="11">(D51-E51)/E51*100</f>
        <v>-5.293628185372441</v>
      </c>
      <c r="L51" s="14">
        <f t="shared" si="3"/>
        <v>23.876368156849388</v>
      </c>
      <c r="M51" s="14">
        <f t="shared" si="4"/>
        <v>17.346874548759843</v>
      </c>
      <c r="N51" s="14">
        <f t="shared" si="5"/>
        <v>-8.9889469245221704E-2</v>
      </c>
      <c r="O51" s="14">
        <f t="shared" si="6"/>
        <v>19.392991847081998</v>
      </c>
    </row>
    <row r="52" spans="1:15" ht="18" customHeight="1" x14ac:dyDescent="0.2">
      <c r="A52" s="3">
        <v>47</v>
      </c>
      <c r="B52" s="4" t="s">
        <v>57</v>
      </c>
      <c r="C52" s="15">
        <v>1397.7831000000001</v>
      </c>
      <c r="D52" s="16">
        <v>1531.8439000000001</v>
      </c>
      <c r="E52" s="16">
        <v>647</v>
      </c>
      <c r="F52" s="16">
        <v>0</v>
      </c>
      <c r="G52" s="16">
        <v>0</v>
      </c>
      <c r="H52" s="16">
        <v>0</v>
      </c>
      <c r="I52" s="16">
        <v>0</v>
      </c>
      <c r="J52" s="14">
        <f t="shared" si="7"/>
        <v>-8.7515966868425661</v>
      </c>
      <c r="K52" s="17">
        <f t="shared" si="11"/>
        <v>136.76103554868627</v>
      </c>
      <c r="L52" s="22" t="s">
        <v>12</v>
      </c>
      <c r="M52" s="22" t="s">
        <v>12</v>
      </c>
      <c r="N52" s="22" t="s">
        <v>12</v>
      </c>
      <c r="O52" s="22" t="s">
        <v>12</v>
      </c>
    </row>
    <row r="53" spans="1:15" ht="18" customHeight="1" x14ac:dyDescent="0.2">
      <c r="A53" s="3">
        <v>48</v>
      </c>
      <c r="B53" s="4" t="s">
        <v>58</v>
      </c>
      <c r="C53" s="15">
        <v>16285.431</v>
      </c>
      <c r="D53" s="16">
        <v>20226.353999999999</v>
      </c>
      <c r="E53" s="16">
        <v>22557</v>
      </c>
      <c r="F53" s="16">
        <v>20440</v>
      </c>
      <c r="G53" s="16">
        <v>20149.2</v>
      </c>
      <c r="H53" s="16">
        <v>20907.7</v>
      </c>
      <c r="I53" s="16">
        <v>19833.3</v>
      </c>
      <c r="J53" s="14">
        <f t="shared" si="7"/>
        <v>-19.4840998036522</v>
      </c>
      <c r="K53" s="17">
        <f t="shared" si="11"/>
        <v>-10.332251629206015</v>
      </c>
      <c r="L53" s="14">
        <f t="shared" si="3"/>
        <v>10.357142857142858</v>
      </c>
      <c r="M53" s="14">
        <f t="shared" si="4"/>
        <v>1.4432334782522347</v>
      </c>
      <c r="N53" s="14">
        <f t="shared" si="5"/>
        <v>-3.6278500265452442</v>
      </c>
      <c r="O53" s="14">
        <f t="shared" si="6"/>
        <v>5.4171519615999433</v>
      </c>
    </row>
    <row r="54" spans="1:15" ht="18" customHeight="1" x14ac:dyDescent="0.2">
      <c r="A54" s="3">
        <v>49</v>
      </c>
      <c r="B54" s="4" t="s">
        <v>59</v>
      </c>
      <c r="C54" s="15">
        <v>6219.277</v>
      </c>
      <c r="D54" s="16">
        <v>4766.7470000000003</v>
      </c>
      <c r="E54" s="16">
        <v>4975.8999999999996</v>
      </c>
      <c r="F54" s="16">
        <v>3049.4</v>
      </c>
      <c r="G54" s="16">
        <v>1860.2</v>
      </c>
      <c r="H54" s="16">
        <v>1735.4</v>
      </c>
      <c r="I54" s="16">
        <v>2060.8000000000002</v>
      </c>
      <c r="J54" s="14">
        <f t="shared" si="7"/>
        <v>30.47214379114309</v>
      </c>
      <c r="K54" s="17">
        <f t="shared" si="11"/>
        <v>-4.2033200024116111</v>
      </c>
      <c r="L54" s="14">
        <f t="shared" si="3"/>
        <v>63.176362563127157</v>
      </c>
      <c r="M54" s="14">
        <f t="shared" si="4"/>
        <v>63.928609826900328</v>
      </c>
      <c r="N54" s="14">
        <f t="shared" si="5"/>
        <v>7.1914256079290046</v>
      </c>
      <c r="O54" s="14">
        <f t="shared" si="6"/>
        <v>-15.789984472049692</v>
      </c>
    </row>
    <row r="55" spans="1:15" ht="18" customHeight="1" x14ac:dyDescent="0.2">
      <c r="A55" s="3">
        <v>50</v>
      </c>
      <c r="B55" s="4" t="s">
        <v>60</v>
      </c>
      <c r="C55" s="15">
        <v>0</v>
      </c>
      <c r="D55" s="16">
        <v>80.352000000000004</v>
      </c>
      <c r="E55" s="16">
        <v>168.9</v>
      </c>
      <c r="F55" s="16">
        <v>145.4</v>
      </c>
      <c r="G55" s="16">
        <v>41</v>
      </c>
      <c r="H55" s="16">
        <v>63.4</v>
      </c>
      <c r="I55" s="16">
        <v>67.5</v>
      </c>
      <c r="J55" s="14">
        <f t="shared" si="7"/>
        <v>-100</v>
      </c>
      <c r="K55" s="17">
        <f t="shared" si="11"/>
        <v>-52.426287744227352</v>
      </c>
      <c r="L55" s="14">
        <f t="shared" si="3"/>
        <v>16.162310866574963</v>
      </c>
      <c r="M55" s="14">
        <f t="shared" si="4"/>
        <v>254.63414634146341</v>
      </c>
      <c r="N55" s="14">
        <f t="shared" si="5"/>
        <v>-35.331230283911665</v>
      </c>
      <c r="O55" s="14">
        <f t="shared" si="6"/>
        <v>-6.0740740740740762</v>
      </c>
    </row>
    <row r="56" spans="1:15" ht="18" customHeight="1" x14ac:dyDescent="0.2">
      <c r="A56" s="3">
        <v>51</v>
      </c>
      <c r="B56" s="4" t="s">
        <v>61</v>
      </c>
      <c r="C56" s="15">
        <v>71006.319207555003</v>
      </c>
      <c r="D56" s="16">
        <v>86323.118260000003</v>
      </c>
      <c r="E56" s="16">
        <v>78106</v>
      </c>
      <c r="F56" s="16">
        <v>67105.600000000006</v>
      </c>
      <c r="G56" s="16">
        <v>63363.7</v>
      </c>
      <c r="H56" s="16">
        <v>62906.3</v>
      </c>
      <c r="I56" s="16">
        <v>67645.899999999994</v>
      </c>
      <c r="J56" s="14">
        <f t="shared" si="7"/>
        <v>-17.743565525878861</v>
      </c>
      <c r="K56" s="17">
        <f t="shared" si="11"/>
        <v>10.52046995109211</v>
      </c>
      <c r="L56" s="14">
        <f t="shared" si="3"/>
        <v>16.392670656398263</v>
      </c>
      <c r="M56" s="14">
        <f t="shared" si="4"/>
        <v>5.9054316588204427</v>
      </c>
      <c r="N56" s="14">
        <f t="shared" si="5"/>
        <v>0.72711318262239899</v>
      </c>
      <c r="O56" s="14">
        <f t="shared" si="6"/>
        <v>-7.006485241529778</v>
      </c>
    </row>
    <row r="57" spans="1:15" ht="18" customHeight="1" x14ac:dyDescent="0.2">
      <c r="A57" s="3">
        <v>52</v>
      </c>
      <c r="B57" s="4" t="s">
        <v>62</v>
      </c>
      <c r="C57" s="15">
        <v>38589.289810000002</v>
      </c>
      <c r="D57" s="16">
        <v>40079.050000000003</v>
      </c>
      <c r="E57" s="16">
        <v>31148.400000000001</v>
      </c>
      <c r="F57" s="16">
        <v>22485.4</v>
      </c>
      <c r="G57" s="16">
        <v>23227.3</v>
      </c>
      <c r="H57" s="16">
        <v>21724.1</v>
      </c>
      <c r="I57" s="16">
        <v>24180.6</v>
      </c>
      <c r="J57" s="14">
        <f t="shared" si="7"/>
        <v>-3.7170546457563258</v>
      </c>
      <c r="K57" s="17">
        <f t="shared" si="11"/>
        <v>28.671296117938645</v>
      </c>
      <c r="L57" s="14">
        <f t="shared" si="3"/>
        <v>38.527222108568225</v>
      </c>
      <c r="M57" s="14">
        <f t="shared" si="4"/>
        <v>-3.1940862691746257</v>
      </c>
      <c r="N57" s="14">
        <f t="shared" si="5"/>
        <v>6.9195041451659725</v>
      </c>
      <c r="O57" s="14">
        <f t="shared" si="6"/>
        <v>-10.158970414299066</v>
      </c>
    </row>
    <row r="58" spans="1:15" ht="18" customHeight="1" x14ac:dyDescent="0.2">
      <c r="A58" s="3">
        <v>53</v>
      </c>
      <c r="B58" s="4" t="s">
        <v>63</v>
      </c>
      <c r="C58" s="15">
        <v>606.86019999999996</v>
      </c>
      <c r="D58" s="16">
        <v>552.31999999999994</v>
      </c>
      <c r="E58" s="16">
        <v>369.8</v>
      </c>
      <c r="F58" s="16">
        <v>181.7</v>
      </c>
      <c r="G58" s="16">
        <v>213.3</v>
      </c>
      <c r="H58" s="16">
        <v>357.3</v>
      </c>
      <c r="I58" s="16">
        <v>477</v>
      </c>
      <c r="J58" s="14">
        <f t="shared" si="7"/>
        <v>9.8747465237543519</v>
      </c>
      <c r="K58" s="17">
        <f t="shared" si="11"/>
        <v>49.356408869659255</v>
      </c>
      <c r="L58" s="14">
        <f t="shared" si="3"/>
        <v>103.52228948816733</v>
      </c>
      <c r="M58" s="14">
        <f t="shared" si="4"/>
        <v>-14.814814814814826</v>
      </c>
      <c r="N58" s="14">
        <f t="shared" si="5"/>
        <v>-40.302267002518889</v>
      </c>
      <c r="O58" s="14">
        <f t="shared" si="6"/>
        <v>-25.09433962264151</v>
      </c>
    </row>
    <row r="59" spans="1:15" ht="30" customHeight="1" x14ac:dyDescent="0.2">
      <c r="A59" s="3">
        <v>54</v>
      </c>
      <c r="B59" s="4" t="s">
        <v>64</v>
      </c>
      <c r="C59" s="15">
        <v>351360.71820999985</v>
      </c>
      <c r="D59" s="16">
        <v>368754.48611</v>
      </c>
      <c r="E59" s="16">
        <v>362241.3</v>
      </c>
      <c r="F59" s="16">
        <v>359072.2</v>
      </c>
      <c r="G59" s="16">
        <v>342648.2</v>
      </c>
      <c r="H59" s="16">
        <v>311175.90000000002</v>
      </c>
      <c r="I59" s="16">
        <v>261150.1</v>
      </c>
      <c r="J59" s="14">
        <f t="shared" si="7"/>
        <v>-4.7168966223265318</v>
      </c>
      <c r="K59" s="17">
        <v>0</v>
      </c>
      <c r="L59" s="14">
        <f t="shared" si="3"/>
        <v>0.88258016075874901</v>
      </c>
      <c r="M59" s="14">
        <f t="shared" si="4"/>
        <v>4.7932544224659575</v>
      </c>
      <c r="N59" s="14">
        <f t="shared" si="5"/>
        <v>10.113990190114333</v>
      </c>
      <c r="O59" s="14">
        <f t="shared" si="6"/>
        <v>19.155956670129559</v>
      </c>
    </row>
    <row r="60" spans="1:15" ht="19.149999999999999" customHeight="1" x14ac:dyDescent="0.2">
      <c r="A60" s="3">
        <v>55</v>
      </c>
      <c r="B60" s="5" t="s">
        <v>65</v>
      </c>
      <c r="C60" s="18">
        <v>95264.703400000013</v>
      </c>
      <c r="D60" s="16">
        <v>138489.17219999997</v>
      </c>
      <c r="E60" s="16">
        <v>136053.6</v>
      </c>
      <c r="F60" s="16">
        <v>125980.9</v>
      </c>
      <c r="G60" s="16">
        <v>116405.3</v>
      </c>
      <c r="H60" s="16">
        <v>116358.7</v>
      </c>
      <c r="I60" s="16">
        <v>130781</v>
      </c>
      <c r="J60" s="14">
        <f t="shared" si="7"/>
        <v>-31.211442824986406</v>
      </c>
      <c r="K60" s="17">
        <f>(D60-E60)/E60*100</f>
        <v>1.7901563795445072</v>
      </c>
      <c r="L60" s="14">
        <f t="shared" si="3"/>
        <v>7.9954183530995664</v>
      </c>
      <c r="M60" s="14">
        <f t="shared" si="4"/>
        <v>8.2260859256408345</v>
      </c>
      <c r="N60" s="14">
        <f t="shared" si="5"/>
        <v>4.0048573935602426E-2</v>
      </c>
      <c r="O60" s="14">
        <f t="shared" si="6"/>
        <v>-11.027825142795974</v>
      </c>
    </row>
    <row r="61" spans="1:15" ht="18" customHeight="1" x14ac:dyDescent="0.2">
      <c r="A61" s="3">
        <v>56</v>
      </c>
      <c r="B61" s="4" t="s">
        <v>66</v>
      </c>
      <c r="C61" s="15">
        <v>17781.145199999995</v>
      </c>
      <c r="D61" s="16">
        <v>23845.195600000006</v>
      </c>
      <c r="E61" s="16">
        <v>20515.8</v>
      </c>
      <c r="F61" s="16">
        <v>14414.2</v>
      </c>
      <c r="G61" s="16">
        <v>12950.7</v>
      </c>
      <c r="H61" s="16">
        <v>16747.8</v>
      </c>
      <c r="I61" s="16">
        <v>16013.4</v>
      </c>
      <c r="J61" s="14">
        <f t="shared" si="7"/>
        <v>-25.430910703034908</v>
      </c>
      <c r="K61" s="17">
        <f>(D61-E61)/E61*100</f>
        <v>16.228446368165059</v>
      </c>
      <c r="L61" s="14">
        <f t="shared" si="3"/>
        <v>42.330479665885015</v>
      </c>
      <c r="M61" s="14">
        <f t="shared" si="4"/>
        <v>11.300547460755016</v>
      </c>
      <c r="N61" s="14">
        <f t="shared" si="5"/>
        <v>-22.672231576684691</v>
      </c>
      <c r="O61" s="14">
        <f t="shared" si="6"/>
        <v>4.5861590917606483</v>
      </c>
    </row>
    <row r="62" spans="1:15" ht="18" customHeight="1" x14ac:dyDescent="0.2">
      <c r="A62" s="3">
        <v>57</v>
      </c>
      <c r="B62" s="4" t="s">
        <v>67</v>
      </c>
      <c r="C62" s="15">
        <v>1379.7249999999999</v>
      </c>
      <c r="D62" s="16">
        <v>2742.4870000000001</v>
      </c>
      <c r="E62" s="16">
        <v>8733.9</v>
      </c>
      <c r="F62" s="16">
        <v>10597.1</v>
      </c>
      <c r="G62" s="16">
        <v>13640.1</v>
      </c>
      <c r="H62" s="16">
        <v>10169.4</v>
      </c>
      <c r="I62" s="16">
        <v>9015.9</v>
      </c>
      <c r="J62" s="14">
        <f t="shared" si="7"/>
        <v>-49.690736911423834</v>
      </c>
      <c r="K62" s="17">
        <f>(D62-E62)/E62*100</f>
        <v>-68.599514535316402</v>
      </c>
      <c r="L62" s="14">
        <f t="shared" si="3"/>
        <v>-17.582168706532926</v>
      </c>
      <c r="M62" s="14">
        <f t="shared" si="4"/>
        <v>-22.309220606887045</v>
      </c>
      <c r="N62" s="14">
        <f t="shared" si="5"/>
        <v>34.12885715971445</v>
      </c>
      <c r="O62" s="14">
        <f t="shared" si="6"/>
        <v>12.794063820583638</v>
      </c>
    </row>
    <row r="63" spans="1:15" ht="18" customHeight="1" x14ac:dyDescent="0.2">
      <c r="A63" s="3">
        <v>58</v>
      </c>
      <c r="B63" s="4" t="s">
        <v>68</v>
      </c>
      <c r="C63" s="15">
        <v>941.23103000000003</v>
      </c>
      <c r="D63" s="16">
        <v>0</v>
      </c>
      <c r="E63" s="16">
        <v>0</v>
      </c>
      <c r="F63" s="16">
        <v>0</v>
      </c>
      <c r="G63" s="16">
        <v>229.2</v>
      </c>
      <c r="H63" s="16">
        <v>95.4</v>
      </c>
      <c r="I63" s="16">
        <v>0</v>
      </c>
      <c r="J63" s="14" t="s">
        <v>12</v>
      </c>
      <c r="K63" s="17" t="s">
        <v>12</v>
      </c>
      <c r="L63" s="22" t="s">
        <v>12</v>
      </c>
      <c r="M63" s="14">
        <f t="shared" si="4"/>
        <v>-100</v>
      </c>
      <c r="N63" s="14">
        <f t="shared" si="5"/>
        <v>140.25157232704399</v>
      </c>
      <c r="O63" s="22" t="s">
        <v>12</v>
      </c>
    </row>
    <row r="64" spans="1:15" ht="18" customHeight="1" x14ac:dyDescent="0.2">
      <c r="A64" s="3">
        <v>59</v>
      </c>
      <c r="B64" s="4" t="s">
        <v>69</v>
      </c>
      <c r="C64" s="15">
        <v>65.901499999999999</v>
      </c>
      <c r="D64" s="16">
        <v>34.216999999999999</v>
      </c>
      <c r="E64" s="16">
        <v>30.8</v>
      </c>
      <c r="F64" s="16">
        <v>28.1</v>
      </c>
      <c r="G64" s="16">
        <v>6.8</v>
      </c>
      <c r="H64" s="16">
        <v>561.70000000000005</v>
      </c>
      <c r="I64" s="16">
        <v>534.79999999999995</v>
      </c>
      <c r="J64" s="14">
        <f t="shared" si="7"/>
        <v>92.598708244439905</v>
      </c>
      <c r="K64" s="17">
        <v>0</v>
      </c>
      <c r="L64" s="14">
        <f t="shared" si="3"/>
        <v>9.608540925266901</v>
      </c>
      <c r="M64" s="14">
        <f t="shared" si="4"/>
        <v>313.23529411764707</v>
      </c>
      <c r="N64" s="14">
        <f t="shared" si="5"/>
        <v>-98.789389353747552</v>
      </c>
      <c r="O64" s="14">
        <f t="shared" si="6"/>
        <v>5.0299177262528225</v>
      </c>
    </row>
    <row r="65" spans="1:16" ht="18" customHeight="1" x14ac:dyDescent="0.2">
      <c r="A65" s="33" t="s">
        <v>70</v>
      </c>
      <c r="B65" s="34"/>
      <c r="C65" s="19">
        <f>SUM(C6:C64)</f>
        <v>1552871.7771495548</v>
      </c>
      <c r="D65" s="19">
        <f>SUM(D6:D64)</f>
        <v>1799246.9048527346</v>
      </c>
      <c r="E65" s="19">
        <v>1733769.3</v>
      </c>
      <c r="F65" s="19">
        <v>1512931.4</v>
      </c>
      <c r="G65" s="19">
        <v>1403838.3</v>
      </c>
      <c r="H65" s="19">
        <v>1367558.7</v>
      </c>
      <c r="I65" s="19">
        <v>1261541.7</v>
      </c>
      <c r="J65" s="20">
        <f t="shared" si="7"/>
        <v>-13.693236155565055</v>
      </c>
      <c r="K65" s="21">
        <f t="shared" ref="K65" si="12">(D65-E65)/E65*100</f>
        <v>3.7766042375265609</v>
      </c>
      <c r="L65" s="20">
        <f t="shared" si="3"/>
        <v>14.596689578919451</v>
      </c>
      <c r="M65" s="20">
        <f t="shared" si="4"/>
        <v>7.7710588178139792</v>
      </c>
      <c r="N65" s="20">
        <f t="shared" si="5"/>
        <v>2.6528733282161925</v>
      </c>
      <c r="O65" s="20">
        <f t="shared" si="6"/>
        <v>8.4037650122861578</v>
      </c>
    </row>
    <row r="66" spans="1:16" ht="22.15" customHeight="1" x14ac:dyDescent="0.2">
      <c r="A66" s="35" t="s">
        <v>71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1:16" ht="18" customHeight="1" x14ac:dyDescent="0.2">
      <c r="A67" s="37" t="s">
        <v>77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spans="1:16" ht="18" customHeight="1" x14ac:dyDescent="0.2">
      <c r="A68" s="39" t="s">
        <v>72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1:16" ht="13.5" customHeight="1" x14ac:dyDescent="0.2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</sheetData>
  <mergeCells count="12">
    <mergeCell ref="A65:B65"/>
    <mergeCell ref="A66:O66"/>
    <mergeCell ref="A67:O67"/>
    <mergeCell ref="A68:O68"/>
    <mergeCell ref="A69:P69"/>
    <mergeCell ref="A1:O1"/>
    <mergeCell ref="A2:O2"/>
    <mergeCell ref="A3:O3"/>
    <mergeCell ref="A4:A5"/>
    <mergeCell ref="B4:B5"/>
    <mergeCell ref="D4:I4"/>
    <mergeCell ref="K4:O4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Windows User</cp:lastModifiedBy>
  <cp:lastPrinted>2020-05-15T06:54:25Z</cp:lastPrinted>
  <dcterms:created xsi:type="dcterms:W3CDTF">2020-03-23T05:49:16Z</dcterms:created>
  <dcterms:modified xsi:type="dcterms:W3CDTF">2021-08-27T11:32:17Z</dcterms:modified>
</cp:coreProperties>
</file>