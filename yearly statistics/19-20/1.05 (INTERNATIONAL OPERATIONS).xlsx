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i\Desktop\Annual Handbook International Table\"/>
    </mc:Choice>
  </mc:AlternateContent>
  <bookViews>
    <workbookView showHorizontalScroll="0" showVerticalScroll="0" showSheetTabs="0" xWindow="0" yWindow="0" windowWidth="19200" windowHeight="7230"/>
  </bookViews>
  <sheets>
    <sheet name="Table 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D97" i="1" l="1"/>
  <c r="E97" i="1"/>
  <c r="F97" i="1"/>
  <c r="C97" i="1"/>
  <c r="D98" i="1" l="1"/>
  <c r="E98" i="1"/>
  <c r="F98" i="1"/>
  <c r="C98" i="1"/>
</calcChain>
</file>

<file path=xl/sharedStrings.xml><?xml version="1.0" encoding="utf-8"?>
<sst xmlns="http://schemas.openxmlformats.org/spreadsheetml/2006/main" count="105" uniqueCount="105">
  <si>
    <t>TABLE - 1.05 (INTERNATIONAL OPERATIONS)</t>
  </si>
  <si>
    <t>(PASSENGERS IN NUMBER AND FREIGHT IN TONNES)</t>
  </si>
  <si>
    <t>SL.NO.</t>
  </si>
  <si>
    <t>NAME OF THE AIRLINE</t>
  </si>
  <si>
    <t>PASSENGERS TO INDIA</t>
  </si>
  <si>
    <t>PASSENGERS FROM INDIA</t>
  </si>
  <si>
    <t>FREIGHT TO INDIA</t>
  </si>
  <si>
    <t>FREIGHT FROM INDIA</t>
  </si>
  <si>
    <t>DOMESTIC CARRIERS</t>
  </si>
  <si>
    <t>AIR INDIA</t>
  </si>
  <si>
    <t>AIR INDIA EXPRESS</t>
  </si>
  <si>
    <t>INDIGO</t>
  </si>
  <si>
    <t>JET AIRWAYS</t>
  </si>
  <si>
    <t>SPICEJET</t>
  </si>
  <si>
    <t>TOTAL (DOMESTIC CARRIERS)</t>
  </si>
  <si>
    <t>FOREIGN CARRIERS</t>
  </si>
  <si>
    <t>AEROFLOT</t>
  </si>
  <si>
    <t>AEROLOGIC</t>
  </si>
  <si>
    <t>AIR ARABIA</t>
  </si>
  <si>
    <t>AIR ASIA BERHAD</t>
  </si>
  <si>
    <t>AIR ASIA X</t>
  </si>
  <si>
    <t>AIR ASTANA</t>
  </si>
  <si>
    <t>AIR AUSTRAL</t>
  </si>
  <si>
    <t>AIR CANADA</t>
  </si>
  <si>
    <t>AIR CHINA</t>
  </si>
  <si>
    <t>AIR FRANCE</t>
  </si>
  <si>
    <t>AIR MAURITIUS</t>
  </si>
  <si>
    <t>AIR SEYCHELLES</t>
  </si>
  <si>
    <t>ALL NIPPON AIRWAYS</t>
  </si>
  <si>
    <t>ARIANA AFGHAN</t>
  </si>
  <si>
    <t>ASIANA AIRLINES</t>
  </si>
  <si>
    <t>BANGKOK AIRWAYS</t>
  </si>
  <si>
    <t>BATIK AIR</t>
  </si>
  <si>
    <t>BHUTAN AIRLINES</t>
  </si>
  <si>
    <t>BIMAN BANGLADESH</t>
  </si>
  <si>
    <t>BRITISH AIRWAYS</t>
  </si>
  <si>
    <t>CATHAY PACIFIC</t>
  </si>
  <si>
    <t>CHINA AIRLINES LTD</t>
  </si>
  <si>
    <t>CHINA EASTERN AIRLINES</t>
  </si>
  <si>
    <t>DRAGON AIR</t>
  </si>
  <si>
    <t>DRUK AIR</t>
  </si>
  <si>
    <t>EGYPT AIR</t>
  </si>
  <si>
    <t>EL-AL-ISRAEL</t>
  </si>
  <si>
    <t>EMIRATES AIRLINE</t>
  </si>
  <si>
    <t>ETHIOPIAN AIRLINES</t>
  </si>
  <si>
    <t>ETIHAD AIRLINES</t>
  </si>
  <si>
    <t>FEDERAL EXPRESS</t>
  </si>
  <si>
    <t>FINN AIR</t>
  </si>
  <si>
    <t>FLY DUBAI</t>
  </si>
  <si>
    <t>GULF AIR</t>
  </si>
  <si>
    <t>IRAN AIR</t>
  </si>
  <si>
    <t>IRAQI AIRWAYS</t>
  </si>
  <si>
    <t>ISLAND AVIATION SERVICES</t>
  </si>
  <si>
    <t>JAPAN AIRLINES</t>
  </si>
  <si>
    <t>KALITTA AIR</t>
  </si>
  <si>
    <t>KAM AIR</t>
  </si>
  <si>
    <t>KENYA AIRWAYS</t>
  </si>
  <si>
    <t>KLM AIRLINES</t>
  </si>
  <si>
    <t>KOREAN AIR</t>
  </si>
  <si>
    <t>KUWAIT AIRWAYS</t>
  </si>
  <si>
    <t>LUFTHANSA</t>
  </si>
  <si>
    <t>MAHAN AIR</t>
  </si>
  <si>
    <t>MALAYSIA AIRLINES</t>
  </si>
  <si>
    <t>MALINDO AIRWAYS</t>
  </si>
  <si>
    <t>MYANMAR AIRLINES</t>
  </si>
  <si>
    <t>NEPAL AIRLINES CORPORATION</t>
  </si>
  <si>
    <t>NOVO AIR</t>
  </si>
  <si>
    <t>OMAN AIR</t>
  </si>
  <si>
    <t>QATAR AIRWAYS</t>
  </si>
  <si>
    <t>REGENT AIRWAYS</t>
  </si>
  <si>
    <t>ROSSIYA AIRLINES</t>
  </si>
  <si>
    <t>RWANDAIR</t>
  </si>
  <si>
    <t>SAUDIA</t>
  </si>
  <si>
    <t>SCAT AIRLINES</t>
  </si>
  <si>
    <t>SCOOT TIGER AIR</t>
  </si>
  <si>
    <t>SHANDONG AIRLINES</t>
  </si>
  <si>
    <t>SILK AIR</t>
  </si>
  <si>
    <t>SINGAPORE AIRLINES</t>
  </si>
  <si>
    <t>SWISS AIR</t>
  </si>
  <si>
    <t>THAI AIR ASIA</t>
  </si>
  <si>
    <t>THAI AIRWAYS</t>
  </si>
  <si>
    <t>THAI LION AIR</t>
  </si>
  <si>
    <t>THAI SMILE AIRWAYS</t>
  </si>
  <si>
    <t>TURKISH AIRLINES</t>
  </si>
  <si>
    <t>TURKMENISTAN AIRLINES</t>
  </si>
  <si>
    <t>UNITED AIRLINES</t>
  </si>
  <si>
    <t>UNITED PARCEL SERVICES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</si>
  <si>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</si>
  <si>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</si>
  <si>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</si>
  <si>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</si>
  <si>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</si>
  <si>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SOURCE :- MONTHLY TRAFFIC STATISTICS FURNISHED BY ALL SCHEDULED DOMESTIC AND FOREIGN AIRLINES.</t>
  </si>
  <si>
    <t>GO AIR</t>
  </si>
  <si>
    <t>BUDDHA AIR</t>
  </si>
  <si>
    <t xml:space="preserve">CHINA SOUTHERN </t>
  </si>
  <si>
    <t>FLYNAS</t>
  </si>
  <si>
    <t>SRILANKAN AIRWAYS</t>
  </si>
  <si>
    <t>THOMAS COOK AIRLINES</t>
  </si>
  <si>
    <t>US BANGLA AIRLINES</t>
  </si>
  <si>
    <t> NOTE: THIS TABLE DOES NOT INCLUDES PASSENGERS AND FREIGHT CARRIED BY DOMESTIC CARRIERS ENTIRELY OUTSIDE THE INDIAN TERRITORY.                                         </t>
  </si>
  <si>
    <r>
      <rPr>
        <b/>
        <sz val="12"/>
        <rFont val="Nirmala UI"/>
        <family val="2"/>
      </rPr>
      <t xml:space="preserve">सारणी </t>
    </r>
    <r>
      <rPr>
        <b/>
        <sz val="12"/>
        <rFont val="Arial"/>
        <family val="2"/>
      </rPr>
      <t>1.05 (</t>
    </r>
    <r>
      <rPr>
        <b/>
        <sz val="12"/>
        <rFont val="Nirmala UI"/>
        <family val="2"/>
      </rPr>
      <t>अन्तर्राष्ट्रीय प्रचालन</t>
    </r>
    <r>
      <rPr>
        <b/>
        <sz val="12"/>
        <rFont val="Arial"/>
        <family val="2"/>
      </rPr>
      <t>)</t>
    </r>
  </si>
  <si>
    <t>ALLIANCE AIR</t>
  </si>
  <si>
    <t>VISTARA AIRLINES</t>
  </si>
  <si>
    <t>AIRLINE WISE SCHEDULED INTERNATIONAL PASSENGERS AND FREIGHT CARRIED TO &amp; FROM INDIA BY ALL SCHEDULED DOMESTIC AND FOREIGN AIRLINES FOR THE YEAR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</si>
</sst>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#,##0.0"/>
    <numFmt numFmtId="166" formatCode="0.0"/>
    <numFmt numFmtId="167" formatCode="_(* #,##0.0_);_(* \(#,##0.0\);_(* &quot;-&quot;??_);_(@_)"/>
    <numFmt numFmtId="168" formatCode="_(* #,##0_);_(* \(#,##0\);_(* &quot;-&quot;??_);_(@_)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b/>
      <sz val="12"/>
      <name val="Nirmala UI"/>
      <family val="2"/>
    </font>
    <font>
      <b/>
      <sz val="12"/>
      <name val="Arial"/>
      <family val="2"/>
    </font>
    <font>
      <sz val="12"/>
      <color rgb="FF000000"/>
      <name val="Times New Roman"/>
      <family val="1"/>
    </font>
    <font>
      <b/>
      <sz val="12"/>
      <name val="Calibri"/>
      <family val="2"/>
    </font>
    <font>
      <b/>
      <i/>
      <sz val="12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09FC6"/>
      </patternFill>
    </fill>
    <fill>
      <patternFill patternType="solid">
        <fgColor rgb="FFF9BE8F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center" vertical="top" shrinkToFit="1"/>
    </xf>
    <xf numFmtId="0" fontId="9" fillId="0" borderId="1" xfId="0" applyFont="1" applyFill="1" applyBorder="1" applyAlignment="1">
      <alignment horizontal="left" vertical="top" wrapText="1"/>
    </xf>
    <xf numFmtId="3" fontId="8" fillId="0" borderId="1" xfId="0" applyNumberFormat="1" applyFont="1" applyFill="1" applyBorder="1" applyAlignment="1">
      <alignment horizontal="right" vertical="top" shrinkToFit="1"/>
    </xf>
    <xf numFmtId="165" fontId="8" fillId="0" borderId="1" xfId="0" applyNumberFormat="1" applyFont="1" applyFill="1" applyBorder="1" applyAlignment="1">
      <alignment horizontal="right" vertical="top" shrinkToFit="1"/>
    </xf>
    <xf numFmtId="166" fontId="8" fillId="0" borderId="1" xfId="0" applyNumberFormat="1" applyFont="1" applyFill="1" applyBorder="1" applyAlignment="1">
      <alignment horizontal="right" vertical="top" shrinkToFit="1"/>
    </xf>
    <xf numFmtId="3" fontId="10" fillId="4" borderId="1" xfId="0" applyNumberFormat="1" applyFont="1" applyFill="1" applyBorder="1" applyAlignment="1">
      <alignment horizontal="right" vertical="top" shrinkToFit="1"/>
    </xf>
    <xf numFmtId="3" fontId="8" fillId="6" borderId="1" xfId="0" applyNumberFormat="1" applyFont="1" applyFill="1" applyBorder="1" applyAlignment="1">
      <alignment horizontal="right" vertical="top" shrinkToFit="1"/>
    </xf>
    <xf numFmtId="165" fontId="8" fillId="6" borderId="1" xfId="0" applyNumberFormat="1" applyFont="1" applyFill="1" applyBorder="1" applyAlignment="1">
      <alignment horizontal="right" vertical="top" shrinkToFi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168" fontId="6" fillId="5" borderId="2" xfId="1" applyNumberFormat="1" applyFont="1" applyFill="1" applyBorder="1" applyAlignment="1">
      <alignment horizontal="right" vertical="top" wrapText="1"/>
    </xf>
    <xf numFmtId="167" fontId="6" fillId="5" borderId="2" xfId="1" applyNumberFormat="1" applyFont="1" applyFill="1" applyBorder="1" applyAlignment="1">
      <alignment horizontal="right" vertical="top" wrapText="1"/>
    </xf>
    <xf numFmtId="0" fontId="9" fillId="0" borderId="4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right" vertical="top" wrapText="1"/>
    </xf>
    <xf numFmtId="0" fontId="7" fillId="0" borderId="3" xfId="0" applyFont="1" applyFill="1" applyBorder="1" applyAlignment="1">
      <alignment horizontal="right" vertical="top" wrapText="1"/>
    </xf>
    <xf numFmtId="0" fontId="7" fillId="0" borderId="4" xfId="0" applyFont="1" applyFill="1" applyBorder="1" applyAlignment="1">
      <alignment horizontal="righ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11" fillId="0" borderId="8" xfId="0" applyFont="1" applyFill="1" applyBorder="1" applyAlignment="1">
      <alignment horizontal="left" vertical="top" wrapText="1"/>
    </xf>
    <xf numFmtId="0" fontId="11" fillId="0" borderId="9" xfId="0" applyFont="1" applyFill="1" applyBorder="1" applyAlignment="1">
      <alignment horizontal="left" vertical="top" wrapText="1"/>
    </xf>
    <xf numFmtId="0" fontId="11" fillId="0" borderId="10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left" vertical="top" wrapText="1"/>
    </xf>
    <xf numFmtId="0" fontId="11" fillId="0" borderId="5" xfId="0" applyFont="1" applyFill="1" applyBorder="1" applyAlignment="1">
      <alignment horizontal="left" vertical="top" wrapText="1"/>
    </xf>
    <xf numFmtId="0" fontId="11" fillId="0" borderId="6" xfId="0" applyFont="1" applyFill="1" applyBorder="1" applyAlignment="1">
      <alignment horizontal="left" vertical="top" wrapText="1"/>
    </xf>
    <xf numFmtId="0" fontId="11" fillId="0" borderId="7" xfId="0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0"/>
  <sheetViews>
    <sheetView tabSelected="1" zoomScaleNormal="100" workbookViewId="0">
      <selection activeCell="E5" sqref="E5"/>
    </sheetView>
  </sheetViews>
  <sheetFormatPr defaultColWidth="8.83203125" defaultRowHeight="15.75" x14ac:dyDescent="0.2"/>
  <cols>
    <col min="1" max="1" width="13.33203125" style="1" customWidth="1"/>
    <col min="2" max="2" width="33.5" style="1" customWidth="1"/>
    <col min="3" max="3" width="29" style="1" customWidth="1"/>
    <col min="4" max="4" width="22.5" style="1" customWidth="1"/>
    <col min="5" max="5" width="24" style="1" customWidth="1"/>
    <col min="6" max="6" width="25.6640625" style="1" customWidth="1"/>
    <col min="7" max="16384" width="8.83203125" style="1"/>
  </cols>
  <sheetData>
    <row r="1" spans="1:6" ht="17.25" customHeight="1" x14ac:dyDescent="0.2">
      <c r="A1" s="15" t="s">
        <v>101</v>
      </c>
      <c r="B1" s="16"/>
      <c r="C1" s="16"/>
      <c r="D1" s="16"/>
      <c r="E1" s="16"/>
      <c r="F1" s="17"/>
    </row>
    <row r="2" spans="1:6" ht="17.25" customHeight="1" x14ac:dyDescent="0.2">
      <c r="A2" s="18" t="s">
        <v>0</v>
      </c>
      <c r="B2" s="19"/>
      <c r="C2" s="19"/>
      <c r="D2" s="19"/>
      <c r="E2" s="19"/>
      <c r="F2" s="20"/>
    </row>
    <row r="3" spans="1:6" ht="33" customHeight="1" x14ac:dyDescent="0.2">
      <c r="A3" s="21" t="s">
        <v>104</v>
      </c>
      <c r="B3" s="22"/>
      <c r="C3" s="22"/>
      <c r="D3" s="22"/>
      <c r="E3" s="22"/>
      <c r="F3" s="23"/>
    </row>
    <row r="4" spans="1:6" ht="16.5" customHeight="1" x14ac:dyDescent="0.2">
      <c r="A4" s="24" t="s">
        <v>1</v>
      </c>
      <c r="B4" s="25"/>
      <c r="C4" s="25"/>
      <c r="D4" s="25"/>
      <c r="E4" s="25"/>
      <c r="F4" s="26"/>
    </row>
    <row r="5" spans="1:6" s="11" customFormat="1" ht="31.5" customHeight="1" x14ac:dyDescent="0.2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</row>
    <row r="6" spans="1:6" ht="18" customHeight="1" x14ac:dyDescent="0.2">
      <c r="A6" s="27" t="s">
        <v>8</v>
      </c>
      <c r="B6" s="28"/>
      <c r="C6" s="28"/>
      <c r="D6" s="28"/>
      <c r="E6" s="28"/>
      <c r="F6" s="29"/>
    </row>
    <row r="7" spans="1:6" ht="18" customHeight="1" x14ac:dyDescent="0.2">
      <c r="A7" s="2">
        <v>1</v>
      </c>
      <c r="B7" s="3" t="s">
        <v>9</v>
      </c>
      <c r="C7" s="4">
        <v>3586190</v>
      </c>
      <c r="D7" s="4">
        <v>3448271</v>
      </c>
      <c r="E7" s="5">
        <v>47120.550199999998</v>
      </c>
      <c r="F7" s="5">
        <v>82261.503500000021</v>
      </c>
    </row>
    <row r="8" spans="1:6" ht="18" customHeight="1" x14ac:dyDescent="0.2">
      <c r="A8" s="2">
        <v>2</v>
      </c>
      <c r="B8" s="3" t="s">
        <v>10</v>
      </c>
      <c r="C8" s="4">
        <v>2327722</v>
      </c>
      <c r="D8" s="4">
        <v>2320440</v>
      </c>
      <c r="E8" s="6">
        <v>825.14700000000005</v>
      </c>
      <c r="F8" s="5">
        <v>21727.514999999999</v>
      </c>
    </row>
    <row r="9" spans="1:6" ht="18" customHeight="1" x14ac:dyDescent="0.2">
      <c r="A9" s="2">
        <v>3</v>
      </c>
      <c r="B9" s="3" t="s">
        <v>102</v>
      </c>
      <c r="C9" s="4">
        <v>2220</v>
      </c>
      <c r="D9" s="4">
        <v>2074</v>
      </c>
      <c r="E9" s="5">
        <v>0</v>
      </c>
      <c r="F9" s="5">
        <v>0</v>
      </c>
    </row>
    <row r="10" spans="1:6" ht="18" customHeight="1" x14ac:dyDescent="0.2">
      <c r="A10" s="2">
        <v>4</v>
      </c>
      <c r="B10" s="3" t="s">
        <v>93</v>
      </c>
      <c r="C10" s="4">
        <v>465008</v>
      </c>
      <c r="D10" s="4">
        <v>497912</v>
      </c>
      <c r="E10" s="5">
        <v>0.502</v>
      </c>
      <c r="F10" s="5">
        <v>36.042000000000002</v>
      </c>
    </row>
    <row r="11" spans="1:6" ht="18" customHeight="1" x14ac:dyDescent="0.2">
      <c r="A11" s="2">
        <v>5</v>
      </c>
      <c r="B11" s="3" t="s">
        <v>11</v>
      </c>
      <c r="C11" s="4">
        <v>3474914</v>
      </c>
      <c r="D11" s="4">
        <v>3492160</v>
      </c>
      <c r="E11" s="5">
        <v>4305.317</v>
      </c>
      <c r="F11" s="5">
        <v>31371.29</v>
      </c>
    </row>
    <row r="12" spans="1:6" ht="18" customHeight="1" x14ac:dyDescent="0.2">
      <c r="A12" s="2">
        <v>6</v>
      </c>
      <c r="B12" s="3" t="s">
        <v>12</v>
      </c>
      <c r="C12" s="4">
        <v>25709</v>
      </c>
      <c r="D12" s="4">
        <v>31926</v>
      </c>
      <c r="E12" s="5">
        <v>735.91219999999998</v>
      </c>
      <c r="F12" s="5">
        <v>1123.3209999999999</v>
      </c>
    </row>
    <row r="13" spans="1:6" ht="18" customHeight="1" x14ac:dyDescent="0.2">
      <c r="A13" s="2">
        <v>7</v>
      </c>
      <c r="B13" s="14" t="s">
        <v>13</v>
      </c>
      <c r="C13" s="4">
        <v>1401504</v>
      </c>
      <c r="D13" s="4">
        <v>1392045</v>
      </c>
      <c r="E13" s="5">
        <v>6691.8383399999984</v>
      </c>
      <c r="F13" s="5">
        <v>18297.791987554992</v>
      </c>
    </row>
    <row r="14" spans="1:6" ht="18" customHeight="1" x14ac:dyDescent="0.2">
      <c r="A14" s="2">
        <v>8</v>
      </c>
      <c r="B14" s="14" t="s">
        <v>103</v>
      </c>
      <c r="C14" s="4">
        <v>106918</v>
      </c>
      <c r="D14" s="4">
        <v>116988</v>
      </c>
      <c r="E14" s="5">
        <v>0</v>
      </c>
      <c r="F14" s="5">
        <v>0.56540000000000001</v>
      </c>
    </row>
    <row r="15" spans="1:6" ht="18" customHeight="1" x14ac:dyDescent="0.2">
      <c r="A15" s="33" t="s">
        <v>14</v>
      </c>
      <c r="B15" s="34"/>
      <c r="C15" s="7">
        <f>SUM(C7:C14)</f>
        <v>11390185</v>
      </c>
      <c r="D15" s="7">
        <f>SUM(D7:D14)</f>
        <v>11301816</v>
      </c>
      <c r="E15" s="7">
        <f>SUM(E7:E14)</f>
        <v>59679.266739999992</v>
      </c>
      <c r="F15" s="7">
        <f>SUM(F7:F14)</f>
        <v>154818.028887555</v>
      </c>
    </row>
    <row r="16" spans="1:6" ht="18" customHeight="1" x14ac:dyDescent="0.2">
      <c r="A16" s="27" t="s">
        <v>15</v>
      </c>
      <c r="B16" s="28"/>
      <c r="C16" s="28"/>
      <c r="D16" s="28"/>
      <c r="E16" s="28"/>
      <c r="F16" s="29"/>
    </row>
    <row r="17" spans="1:6" ht="18" customHeight="1" x14ac:dyDescent="0.2">
      <c r="A17" s="2">
        <v>1</v>
      </c>
      <c r="B17" s="3" t="s">
        <v>16</v>
      </c>
      <c r="C17" s="4">
        <v>173983</v>
      </c>
      <c r="D17" s="4">
        <v>189257</v>
      </c>
      <c r="E17" s="5">
        <v>973.37</v>
      </c>
      <c r="F17" s="5">
        <v>3506.433</v>
      </c>
    </row>
    <row r="18" spans="1:6" ht="18" customHeight="1" x14ac:dyDescent="0.2">
      <c r="A18" s="2">
        <v>2</v>
      </c>
      <c r="B18" s="3" t="s">
        <v>17</v>
      </c>
      <c r="C18" s="4">
        <v>0</v>
      </c>
      <c r="D18" s="4">
        <v>0</v>
      </c>
      <c r="E18" s="5">
        <v>28889.937571000002</v>
      </c>
      <c r="F18" s="5">
        <v>23920.271153000002</v>
      </c>
    </row>
    <row r="19" spans="1:6" ht="18" customHeight="1" x14ac:dyDescent="0.2">
      <c r="A19" s="2">
        <v>3</v>
      </c>
      <c r="B19" s="3" t="s">
        <v>18</v>
      </c>
      <c r="C19" s="4">
        <v>866730</v>
      </c>
      <c r="D19" s="4">
        <v>854588</v>
      </c>
      <c r="E19" s="5">
        <v>1469.5309999999999</v>
      </c>
      <c r="F19" s="5">
        <v>14418.828</v>
      </c>
    </row>
    <row r="20" spans="1:6" ht="18" customHeight="1" x14ac:dyDescent="0.2">
      <c r="A20" s="2">
        <v>4</v>
      </c>
      <c r="B20" s="3" t="s">
        <v>19</v>
      </c>
      <c r="C20" s="4">
        <v>525701</v>
      </c>
      <c r="D20" s="4">
        <v>506394</v>
      </c>
      <c r="E20" s="5">
        <v>2024.002</v>
      </c>
      <c r="F20" s="5">
        <v>4401.6750000000002</v>
      </c>
    </row>
    <row r="21" spans="1:6" ht="18" customHeight="1" x14ac:dyDescent="0.2">
      <c r="A21" s="2">
        <v>5</v>
      </c>
      <c r="B21" s="3" t="s">
        <v>20</v>
      </c>
      <c r="C21" s="4">
        <v>114891</v>
      </c>
      <c r="D21" s="4">
        <v>113503</v>
      </c>
      <c r="E21" s="5">
        <v>1778.5909999999999</v>
      </c>
      <c r="F21" s="5">
        <v>2856.7669999999998</v>
      </c>
    </row>
    <row r="22" spans="1:6" ht="18" customHeight="1" x14ac:dyDescent="0.2">
      <c r="A22" s="2">
        <v>6</v>
      </c>
      <c r="B22" s="3" t="s">
        <v>21</v>
      </c>
      <c r="C22" s="4">
        <v>46756</v>
      </c>
      <c r="D22" s="4">
        <v>50151</v>
      </c>
      <c r="E22" s="5">
        <v>88.087000000000003</v>
      </c>
      <c r="F22" s="5">
        <v>440.87299999999999</v>
      </c>
    </row>
    <row r="23" spans="1:6" ht="18" customHeight="1" x14ac:dyDescent="0.2">
      <c r="A23" s="2">
        <v>7</v>
      </c>
      <c r="B23" s="3" t="s">
        <v>22</v>
      </c>
      <c r="C23" s="4">
        <v>8073</v>
      </c>
      <c r="D23" s="4">
        <v>7729</v>
      </c>
      <c r="E23" s="5">
        <v>1.331</v>
      </c>
      <c r="F23" s="5">
        <v>24</v>
      </c>
    </row>
    <row r="24" spans="1:6" ht="18" customHeight="1" x14ac:dyDescent="0.2">
      <c r="A24" s="2">
        <v>8</v>
      </c>
      <c r="B24" s="3" t="s">
        <v>23</v>
      </c>
      <c r="C24" s="4">
        <v>176003</v>
      </c>
      <c r="D24" s="4">
        <v>139052</v>
      </c>
      <c r="E24" s="5">
        <v>2053.6419999999998</v>
      </c>
      <c r="F24" s="5">
        <v>1899.029</v>
      </c>
    </row>
    <row r="25" spans="1:6" ht="18" customHeight="1" x14ac:dyDescent="0.2">
      <c r="A25" s="2">
        <v>9</v>
      </c>
      <c r="B25" s="3" t="s">
        <v>24</v>
      </c>
      <c r="C25" s="4">
        <v>31548</v>
      </c>
      <c r="D25" s="4">
        <v>34819</v>
      </c>
      <c r="E25" s="5">
        <v>905.12800000000004</v>
      </c>
      <c r="F25" s="5">
        <v>1347.1959999999999</v>
      </c>
    </row>
    <row r="26" spans="1:6" ht="18" customHeight="1" x14ac:dyDescent="0.2">
      <c r="A26" s="2">
        <v>10</v>
      </c>
      <c r="B26" s="3" t="s">
        <v>25</v>
      </c>
      <c r="C26" s="4">
        <v>256319</v>
      </c>
      <c r="D26" s="4">
        <v>273146</v>
      </c>
      <c r="E26" s="5">
        <v>7760.2657800000006</v>
      </c>
      <c r="F26" s="5">
        <v>13302.53752</v>
      </c>
    </row>
    <row r="27" spans="1:6" ht="18" customHeight="1" x14ac:dyDescent="0.2">
      <c r="A27" s="2">
        <v>11</v>
      </c>
      <c r="B27" s="3" t="s">
        <v>26</v>
      </c>
      <c r="C27" s="4">
        <v>101400</v>
      </c>
      <c r="D27" s="4">
        <v>106318</v>
      </c>
      <c r="E27" s="5">
        <v>266.34500000000003</v>
      </c>
      <c r="F27" s="5">
        <v>4630.5680000000002</v>
      </c>
    </row>
    <row r="28" spans="1:6" ht="18" customHeight="1" x14ac:dyDescent="0.2">
      <c r="A28" s="2">
        <v>12</v>
      </c>
      <c r="B28" s="3" t="s">
        <v>27</v>
      </c>
      <c r="C28" s="4">
        <v>27066</v>
      </c>
      <c r="D28" s="4">
        <v>30080</v>
      </c>
      <c r="E28" s="5">
        <v>5.08</v>
      </c>
      <c r="F28" s="5">
        <v>195.00800000000001</v>
      </c>
    </row>
    <row r="29" spans="1:6" ht="18" customHeight="1" x14ac:dyDescent="0.2">
      <c r="A29" s="2">
        <v>13</v>
      </c>
      <c r="B29" s="3" t="s">
        <v>28</v>
      </c>
      <c r="C29" s="4">
        <v>61023</v>
      </c>
      <c r="D29" s="4">
        <v>73716</v>
      </c>
      <c r="E29" s="5">
        <v>4628.3153000000002</v>
      </c>
      <c r="F29" s="5">
        <v>4729.5451099999991</v>
      </c>
    </row>
    <row r="30" spans="1:6" ht="18" customHeight="1" x14ac:dyDescent="0.2">
      <c r="A30" s="2">
        <v>14</v>
      </c>
      <c r="B30" s="3" t="s">
        <v>29</v>
      </c>
      <c r="C30" s="4">
        <v>12388</v>
      </c>
      <c r="D30" s="4">
        <v>11873</v>
      </c>
      <c r="E30" s="5">
        <v>102.997</v>
      </c>
      <c r="F30" s="5">
        <v>336.678</v>
      </c>
    </row>
    <row r="31" spans="1:6" ht="18" customHeight="1" x14ac:dyDescent="0.2">
      <c r="A31" s="2">
        <v>15</v>
      </c>
      <c r="B31" s="3" t="s">
        <v>30</v>
      </c>
      <c r="C31" s="4">
        <v>11357</v>
      </c>
      <c r="D31" s="4">
        <v>17340</v>
      </c>
      <c r="E31" s="5">
        <v>320.27699999999999</v>
      </c>
      <c r="F31" s="5">
        <v>309.267</v>
      </c>
    </row>
    <row r="32" spans="1:6" ht="18" customHeight="1" x14ac:dyDescent="0.2">
      <c r="A32" s="2">
        <v>16</v>
      </c>
      <c r="B32" s="3" t="s">
        <v>31</v>
      </c>
      <c r="C32" s="4">
        <v>35409</v>
      </c>
      <c r="D32" s="4">
        <v>34185</v>
      </c>
      <c r="E32" s="5">
        <v>185.09299999999999</v>
      </c>
      <c r="F32" s="5">
        <v>1236.1538</v>
      </c>
    </row>
    <row r="33" spans="1:6" ht="18" customHeight="1" x14ac:dyDescent="0.2">
      <c r="A33" s="2">
        <v>17</v>
      </c>
      <c r="B33" s="3" t="s">
        <v>32</v>
      </c>
      <c r="C33" s="4">
        <v>48581</v>
      </c>
      <c r="D33" s="4">
        <v>48727</v>
      </c>
      <c r="E33" s="5">
        <v>19.352</v>
      </c>
      <c r="F33" s="5">
        <v>159.62299999999999</v>
      </c>
    </row>
    <row r="34" spans="1:6" ht="18" customHeight="1" x14ac:dyDescent="0.2">
      <c r="A34" s="2">
        <v>18</v>
      </c>
      <c r="B34" s="3" t="s">
        <v>33</v>
      </c>
      <c r="C34" s="4">
        <v>23146</v>
      </c>
      <c r="D34" s="4">
        <v>21681</v>
      </c>
      <c r="E34" s="5">
        <v>0</v>
      </c>
      <c r="F34" s="5">
        <v>5.165</v>
      </c>
    </row>
    <row r="35" spans="1:6" ht="18" customHeight="1" x14ac:dyDescent="0.2">
      <c r="A35" s="2">
        <v>19</v>
      </c>
      <c r="B35" s="3" t="s">
        <v>34</v>
      </c>
      <c r="C35" s="4">
        <v>62682</v>
      </c>
      <c r="D35" s="4">
        <v>69415</v>
      </c>
      <c r="E35" s="5">
        <v>38.188000000000002</v>
      </c>
      <c r="F35" s="5">
        <v>784.44600000000003</v>
      </c>
    </row>
    <row r="36" spans="1:6" ht="18" customHeight="1" x14ac:dyDescent="0.2">
      <c r="A36" s="2">
        <v>20</v>
      </c>
      <c r="B36" s="3" t="s">
        <v>35</v>
      </c>
      <c r="C36" s="4">
        <v>755104</v>
      </c>
      <c r="D36" s="4">
        <v>875602</v>
      </c>
      <c r="E36" s="5">
        <v>17508.810000000001</v>
      </c>
      <c r="F36" s="5">
        <v>41026.870000000003</v>
      </c>
    </row>
    <row r="37" spans="1:6" ht="18" customHeight="1" x14ac:dyDescent="0.2">
      <c r="A37" s="2">
        <v>21</v>
      </c>
      <c r="B37" s="3" t="s">
        <v>94</v>
      </c>
      <c r="C37" s="4">
        <v>4843</v>
      </c>
      <c r="D37" s="4">
        <v>4387</v>
      </c>
      <c r="E37" s="5">
        <v>0</v>
      </c>
      <c r="F37" s="5">
        <v>0</v>
      </c>
    </row>
    <row r="38" spans="1:6" ht="18" customHeight="1" x14ac:dyDescent="0.2">
      <c r="A38" s="2">
        <v>22</v>
      </c>
      <c r="B38" s="3" t="s">
        <v>36</v>
      </c>
      <c r="C38" s="4">
        <v>416752</v>
      </c>
      <c r="D38" s="4">
        <v>614358</v>
      </c>
      <c r="E38" s="5">
        <v>67519.146670000002</v>
      </c>
      <c r="F38" s="5">
        <v>56027.261730000006</v>
      </c>
    </row>
    <row r="39" spans="1:6" ht="18" customHeight="1" x14ac:dyDescent="0.2">
      <c r="A39" s="2">
        <v>23</v>
      </c>
      <c r="B39" s="3" t="s">
        <v>37</v>
      </c>
      <c r="C39" s="4">
        <v>30805</v>
      </c>
      <c r="D39" s="4">
        <v>31413</v>
      </c>
      <c r="E39" s="5">
        <v>4412.3940000000002</v>
      </c>
      <c r="F39" s="5">
        <v>5560.634</v>
      </c>
    </row>
    <row r="40" spans="1:6" ht="18" customHeight="1" x14ac:dyDescent="0.2">
      <c r="A40" s="2">
        <v>24</v>
      </c>
      <c r="B40" s="3" t="s">
        <v>38</v>
      </c>
      <c r="C40" s="4">
        <v>102307</v>
      </c>
      <c r="D40" s="4">
        <v>105951</v>
      </c>
      <c r="E40" s="5">
        <v>2575.5194999999999</v>
      </c>
      <c r="F40" s="5">
        <v>2429.0767800000003</v>
      </c>
    </row>
    <row r="41" spans="1:6" ht="18" customHeight="1" x14ac:dyDescent="0.2">
      <c r="A41" s="2">
        <v>25</v>
      </c>
      <c r="B41" s="3" t="s">
        <v>95</v>
      </c>
      <c r="C41" s="4">
        <v>143998</v>
      </c>
      <c r="D41" s="4">
        <v>145095</v>
      </c>
      <c r="E41" s="5">
        <v>6364.5029999999997</v>
      </c>
      <c r="F41" s="5">
        <v>1351.5489000000002</v>
      </c>
    </row>
    <row r="42" spans="1:6" ht="18" customHeight="1" x14ac:dyDescent="0.2">
      <c r="A42" s="2">
        <v>26</v>
      </c>
      <c r="B42" s="3" t="s">
        <v>39</v>
      </c>
      <c r="C42" s="4">
        <v>98872</v>
      </c>
      <c r="D42" s="4">
        <v>105309</v>
      </c>
      <c r="E42" s="5">
        <v>2111.7930000000001</v>
      </c>
      <c r="F42" s="5">
        <v>2661.17</v>
      </c>
    </row>
    <row r="43" spans="1:6" ht="18" customHeight="1" x14ac:dyDescent="0.2">
      <c r="A43" s="2">
        <v>27</v>
      </c>
      <c r="B43" s="3" t="s">
        <v>40</v>
      </c>
      <c r="C43" s="4">
        <v>46352</v>
      </c>
      <c r="D43" s="4">
        <v>47849</v>
      </c>
      <c r="E43" s="5">
        <v>3.8086099999999998</v>
      </c>
      <c r="F43" s="5">
        <v>91.9148</v>
      </c>
    </row>
    <row r="44" spans="1:6" ht="18" customHeight="1" x14ac:dyDescent="0.2">
      <c r="A44" s="2">
        <v>28</v>
      </c>
      <c r="B44" s="3" t="s">
        <v>41</v>
      </c>
      <c r="C44" s="4">
        <v>29344</v>
      </c>
      <c r="D44" s="4">
        <v>30705</v>
      </c>
      <c r="E44" s="5">
        <v>85.733999999999995</v>
      </c>
      <c r="F44" s="5">
        <v>61.908000000000001</v>
      </c>
    </row>
    <row r="45" spans="1:6" ht="18" customHeight="1" x14ac:dyDescent="0.2">
      <c r="A45" s="2">
        <v>29</v>
      </c>
      <c r="B45" s="3" t="s">
        <v>42</v>
      </c>
      <c r="C45" s="4">
        <v>22768</v>
      </c>
      <c r="D45" s="4">
        <v>26311</v>
      </c>
      <c r="E45" s="5">
        <v>1078.0319999999999</v>
      </c>
      <c r="F45" s="5">
        <v>1533.115</v>
      </c>
    </row>
    <row r="46" spans="1:6" ht="18" customHeight="1" x14ac:dyDescent="0.2">
      <c r="A46" s="2">
        <v>30</v>
      </c>
      <c r="B46" s="3" t="s">
        <v>43</v>
      </c>
      <c r="C46" s="4">
        <v>2805490</v>
      </c>
      <c r="D46" s="4">
        <v>2898800</v>
      </c>
      <c r="E46" s="5">
        <v>58675.273380000006</v>
      </c>
      <c r="F46" s="5">
        <v>155132.18272000001</v>
      </c>
    </row>
    <row r="47" spans="1:6" ht="18" customHeight="1" x14ac:dyDescent="0.2">
      <c r="A47" s="2">
        <v>31</v>
      </c>
      <c r="B47" s="3" t="s">
        <v>44</v>
      </c>
      <c r="C47" s="4">
        <v>177106</v>
      </c>
      <c r="D47" s="4">
        <v>184990</v>
      </c>
      <c r="E47" s="5">
        <v>905.86099999999999</v>
      </c>
      <c r="F47" s="5">
        <v>3320.93</v>
      </c>
    </row>
    <row r="48" spans="1:6" ht="18" customHeight="1" x14ac:dyDescent="0.2">
      <c r="A48" s="2">
        <v>32</v>
      </c>
      <c r="B48" s="3" t="s">
        <v>45</v>
      </c>
      <c r="C48" s="4">
        <v>1307034</v>
      </c>
      <c r="D48" s="4">
        <v>1346996</v>
      </c>
      <c r="E48" s="5">
        <v>12475.0314</v>
      </c>
      <c r="F48" s="5">
        <v>25802.951300000001</v>
      </c>
    </row>
    <row r="49" spans="1:6" ht="18" customHeight="1" x14ac:dyDescent="0.2">
      <c r="A49" s="2">
        <v>33</v>
      </c>
      <c r="B49" s="3" t="s">
        <v>46</v>
      </c>
      <c r="C49" s="4">
        <v>0</v>
      </c>
      <c r="D49" s="4">
        <v>0</v>
      </c>
      <c r="E49" s="5">
        <v>13868.172</v>
      </c>
      <c r="F49" s="5">
        <v>33831.805999999997</v>
      </c>
    </row>
    <row r="50" spans="1:6" ht="18" customHeight="1" x14ac:dyDescent="0.2">
      <c r="A50" s="2">
        <v>34</v>
      </c>
      <c r="B50" s="3" t="s">
        <v>47</v>
      </c>
      <c r="C50" s="4">
        <v>63319</v>
      </c>
      <c r="D50" s="4">
        <v>60872</v>
      </c>
      <c r="E50" s="5">
        <v>2384.8449999999998</v>
      </c>
      <c r="F50" s="5">
        <v>2774.6640000000002</v>
      </c>
    </row>
    <row r="51" spans="1:6" ht="18" customHeight="1" x14ac:dyDescent="0.2">
      <c r="A51" s="2">
        <v>35</v>
      </c>
      <c r="B51" s="3" t="s">
        <v>48</v>
      </c>
      <c r="C51" s="4">
        <v>238816</v>
      </c>
      <c r="D51" s="4">
        <v>245838</v>
      </c>
      <c r="E51" s="5">
        <v>215.65700000000001</v>
      </c>
      <c r="F51" s="5">
        <v>2367.3850000000002</v>
      </c>
    </row>
    <row r="52" spans="1:6" ht="18" customHeight="1" x14ac:dyDescent="0.2">
      <c r="A52" s="2">
        <v>36</v>
      </c>
      <c r="B52" s="3" t="s">
        <v>96</v>
      </c>
      <c r="C52" s="4">
        <v>59960</v>
      </c>
      <c r="D52" s="4">
        <v>79866</v>
      </c>
      <c r="E52" s="5">
        <v>37.779000000000003</v>
      </c>
      <c r="F52" s="5">
        <v>482.42500000000001</v>
      </c>
    </row>
    <row r="53" spans="1:6" ht="18" customHeight="1" x14ac:dyDescent="0.2">
      <c r="A53" s="2">
        <v>37</v>
      </c>
      <c r="B53" s="3" t="s">
        <v>49</v>
      </c>
      <c r="C53" s="4">
        <v>538484</v>
      </c>
      <c r="D53" s="4">
        <v>529800</v>
      </c>
      <c r="E53" s="5">
        <v>463.38400000000001</v>
      </c>
      <c r="F53" s="5">
        <v>8522.6270000000004</v>
      </c>
    </row>
    <row r="54" spans="1:6" ht="18" customHeight="1" x14ac:dyDescent="0.2">
      <c r="A54" s="2">
        <v>38</v>
      </c>
      <c r="B54" s="3" t="s">
        <v>50</v>
      </c>
      <c r="C54" s="4">
        <v>14938</v>
      </c>
      <c r="D54" s="4">
        <v>13444</v>
      </c>
      <c r="E54" s="5">
        <v>37.433999999999997</v>
      </c>
      <c r="F54" s="5">
        <v>375.03300000000002</v>
      </c>
    </row>
    <row r="55" spans="1:6" ht="18" customHeight="1" x14ac:dyDescent="0.2">
      <c r="A55" s="2">
        <v>39</v>
      </c>
      <c r="B55" s="3" t="s">
        <v>51</v>
      </c>
      <c r="C55" s="4">
        <v>38381</v>
      </c>
      <c r="D55" s="4">
        <v>39890</v>
      </c>
      <c r="E55" s="5">
        <v>0</v>
      </c>
      <c r="F55" s="5">
        <v>0</v>
      </c>
    </row>
    <row r="56" spans="1:6" ht="18" customHeight="1" x14ac:dyDescent="0.2">
      <c r="A56" s="2">
        <v>40</v>
      </c>
      <c r="B56" s="3" t="s">
        <v>52</v>
      </c>
      <c r="C56" s="4">
        <v>34290</v>
      </c>
      <c r="D56" s="4">
        <v>37033</v>
      </c>
      <c r="E56" s="5">
        <v>68.831999999999994</v>
      </c>
      <c r="F56" s="5">
        <v>682.72900000000004</v>
      </c>
    </row>
    <row r="57" spans="1:6" ht="18" customHeight="1" x14ac:dyDescent="0.2">
      <c r="A57" s="2">
        <v>41</v>
      </c>
      <c r="B57" s="3" t="s">
        <v>53</v>
      </c>
      <c r="C57" s="4">
        <v>49596</v>
      </c>
      <c r="D57" s="4">
        <v>57441</v>
      </c>
      <c r="E57" s="5">
        <v>4712.7470000000003</v>
      </c>
      <c r="F57" s="5">
        <v>3467.5149999999999</v>
      </c>
    </row>
    <row r="58" spans="1:6" ht="18" customHeight="1" x14ac:dyDescent="0.2">
      <c r="A58" s="2">
        <v>42</v>
      </c>
      <c r="B58" s="3" t="s">
        <v>54</v>
      </c>
      <c r="C58" s="4">
        <v>0</v>
      </c>
      <c r="D58" s="4">
        <v>0</v>
      </c>
      <c r="E58" s="5">
        <v>18754.547999999999</v>
      </c>
      <c r="F58" s="5">
        <v>15806.441999999999</v>
      </c>
    </row>
    <row r="59" spans="1:6" ht="18" customHeight="1" x14ac:dyDescent="0.2">
      <c r="A59" s="2">
        <v>43</v>
      </c>
      <c r="B59" s="3" t="s">
        <v>55</v>
      </c>
      <c r="C59" s="4">
        <v>20584</v>
      </c>
      <c r="D59" s="4">
        <v>33427</v>
      </c>
      <c r="E59" s="5">
        <v>0</v>
      </c>
      <c r="F59" s="5">
        <v>1737.7670000000001</v>
      </c>
    </row>
    <row r="60" spans="1:6" ht="18" customHeight="1" x14ac:dyDescent="0.2">
      <c r="A60" s="2">
        <v>44</v>
      </c>
      <c r="B60" s="3" t="s">
        <v>56</v>
      </c>
      <c r="C60" s="4">
        <v>84019</v>
      </c>
      <c r="D60" s="4">
        <v>84304</v>
      </c>
      <c r="E60" s="5">
        <v>166.946</v>
      </c>
      <c r="F60" s="5">
        <v>226.858</v>
      </c>
    </row>
    <row r="61" spans="1:6" ht="18" customHeight="1" x14ac:dyDescent="0.2">
      <c r="A61" s="2">
        <v>45</v>
      </c>
      <c r="B61" s="3" t="s">
        <v>57</v>
      </c>
      <c r="C61" s="4">
        <v>180474</v>
      </c>
      <c r="D61" s="4">
        <v>184516</v>
      </c>
      <c r="E61" s="5">
        <v>6366.5739400000002</v>
      </c>
      <c r="F61" s="5">
        <v>9250.3555500000002</v>
      </c>
    </row>
    <row r="62" spans="1:6" ht="18" customHeight="1" x14ac:dyDescent="0.2">
      <c r="A62" s="2">
        <v>46</v>
      </c>
      <c r="B62" s="3" t="s">
        <v>58</v>
      </c>
      <c r="C62" s="4">
        <v>78861</v>
      </c>
      <c r="D62" s="4">
        <v>84998</v>
      </c>
      <c r="E62" s="5">
        <v>2232.4169999999999</v>
      </c>
      <c r="F62" s="5">
        <v>2190.5954999999999</v>
      </c>
    </row>
    <row r="63" spans="1:6" ht="18" customHeight="1" x14ac:dyDescent="0.2">
      <c r="A63" s="2">
        <v>47</v>
      </c>
      <c r="B63" s="3" t="s">
        <v>59</v>
      </c>
      <c r="C63" s="4">
        <v>351475</v>
      </c>
      <c r="D63" s="4">
        <v>343536</v>
      </c>
      <c r="E63" s="5">
        <v>3467.3528999999994</v>
      </c>
      <c r="F63" s="5">
        <v>14803.060699999998</v>
      </c>
    </row>
    <row r="64" spans="1:6" ht="18" customHeight="1" x14ac:dyDescent="0.2">
      <c r="A64" s="2">
        <v>48</v>
      </c>
      <c r="B64" s="3" t="s">
        <v>60</v>
      </c>
      <c r="C64" s="4">
        <v>617652</v>
      </c>
      <c r="D64" s="4">
        <v>632129</v>
      </c>
      <c r="E64" s="5">
        <v>37762.402999999998</v>
      </c>
      <c r="F64" s="5">
        <v>38360.705000000002</v>
      </c>
    </row>
    <row r="65" spans="1:6" ht="18" customHeight="1" x14ac:dyDescent="0.2">
      <c r="A65" s="2">
        <v>49</v>
      </c>
      <c r="B65" s="3" t="s">
        <v>61</v>
      </c>
      <c r="C65" s="4">
        <v>25960</v>
      </c>
      <c r="D65" s="4">
        <v>24659</v>
      </c>
      <c r="E65" s="5">
        <v>174.53200000000001</v>
      </c>
      <c r="F65" s="5">
        <v>1385.73</v>
      </c>
    </row>
    <row r="66" spans="1:6" ht="18" customHeight="1" x14ac:dyDescent="0.2">
      <c r="A66" s="2">
        <v>50</v>
      </c>
      <c r="B66" s="3" t="s">
        <v>62</v>
      </c>
      <c r="C66" s="4">
        <v>447746</v>
      </c>
      <c r="D66" s="4">
        <v>465502</v>
      </c>
      <c r="E66" s="5">
        <v>12624.036</v>
      </c>
      <c r="F66" s="5">
        <v>14930.521000000001</v>
      </c>
    </row>
    <row r="67" spans="1:6" ht="18" customHeight="1" x14ac:dyDescent="0.2">
      <c r="A67" s="2">
        <v>51</v>
      </c>
      <c r="B67" s="3" t="s">
        <v>63</v>
      </c>
      <c r="C67" s="4">
        <v>273787</v>
      </c>
      <c r="D67" s="4">
        <v>264571</v>
      </c>
      <c r="E67" s="5">
        <v>416.4</v>
      </c>
      <c r="F67" s="5">
        <v>731.09699999999998</v>
      </c>
    </row>
    <row r="68" spans="1:6" ht="18" customHeight="1" x14ac:dyDescent="0.2">
      <c r="A68" s="2">
        <v>52</v>
      </c>
      <c r="B68" s="3" t="s">
        <v>64</v>
      </c>
      <c r="C68" s="4">
        <v>12623</v>
      </c>
      <c r="D68" s="4">
        <v>13537</v>
      </c>
      <c r="E68" s="5">
        <v>1.25</v>
      </c>
      <c r="F68" s="5">
        <v>43.41</v>
      </c>
    </row>
    <row r="69" spans="1:6" ht="18" customHeight="1" x14ac:dyDescent="0.2">
      <c r="A69" s="2">
        <v>53</v>
      </c>
      <c r="B69" s="3" t="s">
        <v>65</v>
      </c>
      <c r="C69" s="4">
        <v>119060</v>
      </c>
      <c r="D69" s="4">
        <v>114133</v>
      </c>
      <c r="E69" s="5">
        <v>169.833</v>
      </c>
      <c r="F69" s="5">
        <v>659.97799999999995</v>
      </c>
    </row>
    <row r="70" spans="1:6" ht="18" customHeight="1" x14ac:dyDescent="0.2">
      <c r="A70" s="2">
        <v>54</v>
      </c>
      <c r="B70" s="3" t="s">
        <v>66</v>
      </c>
      <c r="C70" s="4">
        <v>22310</v>
      </c>
      <c r="D70" s="4">
        <v>25428</v>
      </c>
      <c r="E70" s="5">
        <v>0</v>
      </c>
      <c r="F70" s="5">
        <v>0</v>
      </c>
    </row>
    <row r="71" spans="1:6" ht="18" customHeight="1" x14ac:dyDescent="0.2">
      <c r="A71" s="2">
        <v>55</v>
      </c>
      <c r="B71" s="3" t="s">
        <v>67</v>
      </c>
      <c r="C71" s="4">
        <v>862188</v>
      </c>
      <c r="D71" s="4">
        <v>906882</v>
      </c>
      <c r="E71" s="5">
        <v>1952.4494900000002</v>
      </c>
      <c r="F71" s="5">
        <v>16768.116798000003</v>
      </c>
    </row>
    <row r="72" spans="1:6" ht="18" customHeight="1" x14ac:dyDescent="0.2">
      <c r="A72" s="2">
        <v>56</v>
      </c>
      <c r="B72" s="3" t="s">
        <v>68</v>
      </c>
      <c r="C72" s="4">
        <v>1010448</v>
      </c>
      <c r="D72" s="4">
        <v>1015291</v>
      </c>
      <c r="E72" s="5">
        <v>80541.850000000006</v>
      </c>
      <c r="F72" s="5">
        <v>113689.54</v>
      </c>
    </row>
    <row r="73" spans="1:6" ht="18" customHeight="1" x14ac:dyDescent="0.2">
      <c r="A73" s="2">
        <v>57</v>
      </c>
      <c r="B73" s="3" t="s">
        <v>69</v>
      </c>
      <c r="C73" s="4">
        <v>100632</v>
      </c>
      <c r="D73" s="4">
        <v>100879</v>
      </c>
      <c r="E73" s="5">
        <v>124.7152</v>
      </c>
      <c r="F73" s="5">
        <v>458.64640000000003</v>
      </c>
    </row>
    <row r="74" spans="1:6" ht="18" customHeight="1" x14ac:dyDescent="0.2">
      <c r="A74" s="2">
        <v>58</v>
      </c>
      <c r="B74" s="3" t="s">
        <v>70</v>
      </c>
      <c r="C74" s="4">
        <v>47535</v>
      </c>
      <c r="D74" s="4">
        <v>48407</v>
      </c>
      <c r="E74" s="5">
        <v>19.9663</v>
      </c>
      <c r="F74" s="5">
        <v>2.0459999999999998</v>
      </c>
    </row>
    <row r="75" spans="1:6" ht="18" customHeight="1" x14ac:dyDescent="0.2">
      <c r="A75" s="2">
        <v>59</v>
      </c>
      <c r="B75" s="3" t="s">
        <v>71</v>
      </c>
      <c r="C75" s="4">
        <v>20967</v>
      </c>
      <c r="D75" s="4">
        <v>21626</v>
      </c>
      <c r="E75" s="5">
        <v>0</v>
      </c>
      <c r="F75" s="5">
        <v>0</v>
      </c>
    </row>
    <row r="76" spans="1:6" ht="18" customHeight="1" x14ac:dyDescent="0.2">
      <c r="A76" s="2">
        <v>60</v>
      </c>
      <c r="B76" s="3" t="s">
        <v>72</v>
      </c>
      <c r="C76" s="4">
        <v>710603</v>
      </c>
      <c r="D76" s="4">
        <v>725713</v>
      </c>
      <c r="E76" s="5">
        <v>7003.9049999999997</v>
      </c>
      <c r="F76" s="5">
        <v>25670.432499999999</v>
      </c>
    </row>
    <row r="77" spans="1:6" ht="18" customHeight="1" x14ac:dyDescent="0.2">
      <c r="A77" s="2">
        <v>61</v>
      </c>
      <c r="B77" s="3" t="s">
        <v>73</v>
      </c>
      <c r="C77" s="4">
        <v>4592</v>
      </c>
      <c r="D77" s="4">
        <v>4725</v>
      </c>
      <c r="E77" s="5">
        <v>0</v>
      </c>
      <c r="F77" s="5">
        <v>0</v>
      </c>
    </row>
    <row r="78" spans="1:6" ht="18" customHeight="1" x14ac:dyDescent="0.2">
      <c r="A78" s="2">
        <v>62</v>
      </c>
      <c r="B78" s="3" t="s">
        <v>74</v>
      </c>
      <c r="C78" s="4">
        <v>414935</v>
      </c>
      <c r="D78" s="4">
        <v>415672</v>
      </c>
      <c r="E78" s="5">
        <v>2886.4839999999999</v>
      </c>
      <c r="F78" s="5">
        <v>5463.8450000000003</v>
      </c>
    </row>
    <row r="79" spans="1:6" ht="18" customHeight="1" x14ac:dyDescent="0.2">
      <c r="A79" s="2">
        <v>63</v>
      </c>
      <c r="B79" s="3" t="s">
        <v>75</v>
      </c>
      <c r="C79" s="4">
        <v>17173</v>
      </c>
      <c r="D79" s="4">
        <v>19057</v>
      </c>
      <c r="E79" s="5">
        <v>0</v>
      </c>
      <c r="F79" s="5">
        <v>0</v>
      </c>
    </row>
    <row r="80" spans="1:6" ht="18" customHeight="1" x14ac:dyDescent="0.2">
      <c r="A80" s="2">
        <v>64</v>
      </c>
      <c r="B80" s="3" t="s">
        <v>76</v>
      </c>
      <c r="C80" s="4">
        <v>240045</v>
      </c>
      <c r="D80" s="4">
        <v>270190</v>
      </c>
      <c r="E80" s="5">
        <v>970.67899999999997</v>
      </c>
      <c r="F80" s="5">
        <v>2205.413</v>
      </c>
    </row>
    <row r="81" spans="1:6" ht="18" customHeight="1" x14ac:dyDescent="0.2">
      <c r="A81" s="2">
        <v>65</v>
      </c>
      <c r="B81" s="3" t="s">
        <v>77</v>
      </c>
      <c r="C81" s="4">
        <v>768597</v>
      </c>
      <c r="D81" s="4">
        <v>820988</v>
      </c>
      <c r="E81" s="5">
        <v>33634.345000000001</v>
      </c>
      <c r="F81" s="5">
        <v>37244.39</v>
      </c>
    </row>
    <row r="82" spans="1:6" ht="18" customHeight="1" x14ac:dyDescent="0.2">
      <c r="A82" s="2">
        <v>66</v>
      </c>
      <c r="B82" s="3" t="s">
        <v>97</v>
      </c>
      <c r="C82" s="4">
        <v>894435</v>
      </c>
      <c r="D82" s="4">
        <v>893579</v>
      </c>
      <c r="E82" s="5">
        <v>8938.6907999999985</v>
      </c>
      <c r="F82" s="5">
        <v>18302.88841</v>
      </c>
    </row>
    <row r="83" spans="1:6" ht="18" customHeight="1" x14ac:dyDescent="0.2">
      <c r="A83" s="2">
        <v>67</v>
      </c>
      <c r="B83" s="3" t="s">
        <v>78</v>
      </c>
      <c r="C83" s="4">
        <v>120782</v>
      </c>
      <c r="D83" s="4">
        <v>128145</v>
      </c>
      <c r="E83" s="5">
        <v>7127.4660000000003</v>
      </c>
      <c r="F83" s="5">
        <v>9157.9650000000001</v>
      </c>
    </row>
    <row r="84" spans="1:6" ht="18" customHeight="1" x14ac:dyDescent="0.2">
      <c r="A84" s="2">
        <v>68</v>
      </c>
      <c r="B84" s="3" t="s">
        <v>79</v>
      </c>
      <c r="C84" s="4">
        <v>290318</v>
      </c>
      <c r="D84" s="4">
        <v>274035</v>
      </c>
      <c r="E84" s="5">
        <v>1814.9559999999999</v>
      </c>
      <c r="F84" s="5">
        <v>1534.498</v>
      </c>
    </row>
    <row r="85" spans="1:6" ht="18" customHeight="1" x14ac:dyDescent="0.2">
      <c r="A85" s="2">
        <v>69</v>
      </c>
      <c r="B85" s="3" t="s">
        <v>80</v>
      </c>
      <c r="C85" s="4">
        <v>670921</v>
      </c>
      <c r="D85" s="4">
        <v>721766</v>
      </c>
      <c r="E85" s="5">
        <v>26907.365000000002</v>
      </c>
      <c r="F85" s="5">
        <v>22083.357</v>
      </c>
    </row>
    <row r="86" spans="1:6" ht="18" customHeight="1" x14ac:dyDescent="0.2">
      <c r="A86" s="2">
        <v>70</v>
      </c>
      <c r="B86" s="3" t="s">
        <v>81</v>
      </c>
      <c r="C86" s="4">
        <v>36097</v>
      </c>
      <c r="D86" s="4">
        <v>34790</v>
      </c>
      <c r="E86" s="5">
        <v>350.58100000000002</v>
      </c>
      <c r="F86" s="5">
        <v>450.8347</v>
      </c>
    </row>
    <row r="87" spans="1:6" ht="18" customHeight="1" x14ac:dyDescent="0.2">
      <c r="A87" s="2">
        <v>71</v>
      </c>
      <c r="B87" s="3" t="s">
        <v>82</v>
      </c>
      <c r="C87" s="4">
        <v>119985</v>
      </c>
      <c r="D87" s="4">
        <v>124108</v>
      </c>
      <c r="E87" s="5">
        <v>0</v>
      </c>
      <c r="F87" s="5">
        <v>0</v>
      </c>
    </row>
    <row r="88" spans="1:6" ht="18" customHeight="1" x14ac:dyDescent="0.2">
      <c r="A88" s="2">
        <v>72</v>
      </c>
      <c r="B88" s="3" t="s">
        <v>98</v>
      </c>
      <c r="C88" s="4">
        <v>2631</v>
      </c>
      <c r="D88" s="4">
        <v>4038</v>
      </c>
      <c r="E88" s="5">
        <v>0</v>
      </c>
      <c r="F88" s="5">
        <v>0</v>
      </c>
    </row>
    <row r="89" spans="1:6" ht="18" customHeight="1" x14ac:dyDescent="0.2">
      <c r="A89" s="2">
        <v>73</v>
      </c>
      <c r="B89" s="3" t="s">
        <v>83</v>
      </c>
      <c r="C89" s="4">
        <v>169645</v>
      </c>
      <c r="D89" s="4">
        <v>184413</v>
      </c>
      <c r="E89" s="5">
        <v>17375.306810000002</v>
      </c>
      <c r="F89" s="5">
        <v>21011.993999999999</v>
      </c>
    </row>
    <row r="90" spans="1:6" ht="18" customHeight="1" x14ac:dyDescent="0.2">
      <c r="A90" s="2">
        <v>74</v>
      </c>
      <c r="B90" s="3" t="s">
        <v>84</v>
      </c>
      <c r="C90" s="4">
        <v>17142</v>
      </c>
      <c r="D90" s="4">
        <v>16515</v>
      </c>
      <c r="E90" s="5">
        <v>0</v>
      </c>
      <c r="F90" s="5">
        <v>606.86019999999996</v>
      </c>
    </row>
    <row r="91" spans="1:6" ht="18" customHeight="1" x14ac:dyDescent="0.2">
      <c r="A91" s="2">
        <v>75</v>
      </c>
      <c r="B91" s="3" t="s">
        <v>85</v>
      </c>
      <c r="C91" s="4">
        <v>123934</v>
      </c>
      <c r="D91" s="4">
        <v>130327</v>
      </c>
      <c r="E91" s="5">
        <v>734.14380000000006</v>
      </c>
      <c r="F91" s="5">
        <v>2193.1819999999998</v>
      </c>
    </row>
    <row r="92" spans="1:6" ht="18" customHeight="1" x14ac:dyDescent="0.2">
      <c r="A92" s="2">
        <v>76</v>
      </c>
      <c r="B92" s="3" t="s">
        <v>86</v>
      </c>
      <c r="C92" s="4">
        <v>0</v>
      </c>
      <c r="D92" s="4">
        <v>0</v>
      </c>
      <c r="E92" s="5">
        <v>2978.1970000000001</v>
      </c>
      <c r="F92" s="5">
        <v>2566.5250000000001</v>
      </c>
    </row>
    <row r="93" spans="1:6" ht="18" customHeight="1" x14ac:dyDescent="0.2">
      <c r="A93" s="2">
        <v>77</v>
      </c>
      <c r="B93" s="3" t="s">
        <v>99</v>
      </c>
      <c r="C93" s="4">
        <v>53124</v>
      </c>
      <c r="D93" s="4">
        <v>53002</v>
      </c>
      <c r="E93" s="5">
        <v>0.67</v>
      </c>
      <c r="F93" s="5">
        <v>437.36599999999999</v>
      </c>
    </row>
    <row r="94" spans="1:6" ht="18" customHeight="1" x14ac:dyDescent="0.2">
      <c r="A94" s="2">
        <v>78</v>
      </c>
      <c r="B94" s="3" t="s">
        <v>87</v>
      </c>
      <c r="C94" s="4">
        <v>56141</v>
      </c>
      <c r="D94" s="4">
        <v>60035</v>
      </c>
      <c r="E94" s="5">
        <v>72.167000000000002</v>
      </c>
      <c r="F94" s="5">
        <v>1224.2429999999999</v>
      </c>
    </row>
    <row r="95" spans="1:6" ht="18" customHeight="1" x14ac:dyDescent="0.2">
      <c r="A95" s="2">
        <v>79</v>
      </c>
      <c r="B95" s="3" t="s">
        <v>88</v>
      </c>
      <c r="C95" s="4">
        <v>80832</v>
      </c>
      <c r="D95" s="4">
        <v>87098</v>
      </c>
      <c r="E95" s="5">
        <v>3244.0259999999998</v>
      </c>
      <c r="F95" s="5">
        <v>5273.55</v>
      </c>
    </row>
    <row r="96" spans="1:6" ht="18" customHeight="1" x14ac:dyDescent="0.2">
      <c r="A96" s="2">
        <v>80</v>
      </c>
      <c r="B96" s="3" t="s">
        <v>89</v>
      </c>
      <c r="C96" s="4">
        <v>11889</v>
      </c>
      <c r="D96" s="4">
        <v>12568</v>
      </c>
      <c r="E96" s="5">
        <v>0</v>
      </c>
      <c r="F96" s="5">
        <v>65.901499999999999</v>
      </c>
    </row>
    <row r="97" spans="1:6" ht="18" customHeight="1" x14ac:dyDescent="0.2">
      <c r="A97" s="33" t="s">
        <v>90</v>
      </c>
      <c r="B97" s="34"/>
      <c r="C97" s="8">
        <f>SUM(C17:C96)</f>
        <v>18641757</v>
      </c>
      <c r="D97" s="8">
        <f>SUM(D17:D96)</f>
        <v>19408513</v>
      </c>
      <c r="E97" s="9">
        <f>SUM(E17:E96)</f>
        <v>525828.54445100005</v>
      </c>
      <c r="F97" s="9">
        <f>SUM(F17:F96)</f>
        <v>812545.92507099989</v>
      </c>
    </row>
    <row r="98" spans="1:6" ht="18" customHeight="1" x14ac:dyDescent="0.2">
      <c r="A98" s="35" t="s">
        <v>91</v>
      </c>
      <c r="B98" s="36"/>
      <c r="C98" s="12">
        <f>C97+C15</f>
        <v>30031942</v>
      </c>
      <c r="D98" s="12">
        <f>D97+D15</f>
        <v>30710329</v>
      </c>
      <c r="E98" s="13">
        <f>E97+E15</f>
        <v>585507.81119100004</v>
      </c>
      <c r="F98" s="13">
        <f>F97+F15</f>
        <v>967363.95395855489</v>
      </c>
    </row>
    <row r="99" spans="1:6" ht="18" customHeight="1" x14ac:dyDescent="0.2">
      <c r="A99" s="37" t="s">
        <v>100</v>
      </c>
      <c r="B99" s="38"/>
      <c r="C99" s="38"/>
      <c r="D99" s="38"/>
      <c r="E99" s="38"/>
      <c r="F99" s="39"/>
    </row>
    <row r="100" spans="1:6" ht="18" customHeight="1" x14ac:dyDescent="0.2">
      <c r="A100" s="30" t="s">
        <v>92</v>
      </c>
      <c r="B100" s="31"/>
      <c r="C100" s="31"/>
      <c r="D100" s="31"/>
      <c r="E100" s="31"/>
      <c r="F100" s="32"/>
    </row>
  </sheetData>
  <mergeCells count="11">
    <mergeCell ref="A100:F100"/>
    <mergeCell ref="A15:B15"/>
    <mergeCell ref="A16:F16"/>
    <mergeCell ref="A97:B97"/>
    <mergeCell ref="A98:B98"/>
    <mergeCell ref="A99:F99"/>
    <mergeCell ref="A1:F1"/>
    <mergeCell ref="A2:F2"/>
    <mergeCell ref="A3:F3"/>
    <mergeCell ref="A4:F4"/>
    <mergeCell ref="A6:F6"/>
  </mergeCells>
  <pageMargins left="0.7" right="0.7" top="0.75" bottom="0.75" header="0.3" footer="0.3"/>
  <pageSetup paperSize="9" scale="6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Savitri-dgca</dc:creator>
  <cp:lastModifiedBy>Windows User</cp:lastModifiedBy>
  <cp:lastPrinted>2020-05-15T07:49:27Z</cp:lastPrinted>
  <dcterms:created xsi:type="dcterms:W3CDTF">2020-03-23T05:55:23Z</dcterms:created>
  <dcterms:modified xsi:type="dcterms:W3CDTF">2021-07-12T11:05:17Z</dcterms:modified>
</cp:coreProperties>
</file>