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24000" windowHeight="10725"/>
  </bookViews>
  <sheets>
    <sheet name="INDIGO" sheetId="5" r:id="rId1"/>
  </sheets>
  <definedNames>
    <definedName name="_xlnm._FilterDatabase" localSheetId="0" hidden="1">INDIGO!$A$6:$Q$40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" i="5" l="1"/>
  <c r="O37" i="5"/>
  <c r="M37" i="5"/>
  <c r="L37" i="5"/>
  <c r="K37" i="5"/>
  <c r="I37" i="5"/>
  <c r="G37" i="5"/>
  <c r="F37" i="5"/>
  <c r="E37" i="5"/>
  <c r="D37" i="5"/>
  <c r="C37" i="5"/>
  <c r="B37" i="5"/>
  <c r="P34" i="5"/>
  <c r="O34" i="5"/>
  <c r="M34" i="5"/>
  <c r="L34" i="5"/>
  <c r="K34" i="5"/>
  <c r="I34" i="5"/>
  <c r="G34" i="5"/>
  <c r="F34" i="5"/>
  <c r="E34" i="5"/>
  <c r="D34" i="5"/>
  <c r="C34" i="5"/>
  <c r="B34" i="5"/>
  <c r="P31" i="5"/>
  <c r="O31" i="5"/>
  <c r="M31" i="5"/>
  <c r="L31" i="5"/>
  <c r="K31" i="5"/>
  <c r="I31" i="5"/>
  <c r="G31" i="5"/>
  <c r="F31" i="5"/>
  <c r="E31" i="5"/>
  <c r="D31" i="5"/>
  <c r="C31" i="5"/>
  <c r="B31" i="5"/>
  <c r="P28" i="5"/>
  <c r="O28" i="5"/>
  <c r="M28" i="5"/>
  <c r="L28" i="5"/>
  <c r="K28" i="5"/>
  <c r="I28" i="5"/>
  <c r="G28" i="5"/>
  <c r="F28" i="5"/>
  <c r="E28" i="5"/>
  <c r="D28" i="5"/>
  <c r="C28" i="5"/>
  <c r="B28" i="5"/>
  <c r="P25" i="5"/>
  <c r="O25" i="5"/>
  <c r="M25" i="5"/>
  <c r="L25" i="5"/>
  <c r="K25" i="5"/>
  <c r="I25" i="5"/>
  <c r="G25" i="5"/>
  <c r="F25" i="5"/>
  <c r="E25" i="5"/>
  <c r="D25" i="5"/>
  <c r="C25" i="5"/>
  <c r="B25" i="5"/>
  <c r="P22" i="5"/>
  <c r="O22" i="5"/>
  <c r="M22" i="5"/>
  <c r="L22" i="5"/>
  <c r="K22" i="5"/>
  <c r="I22" i="5"/>
  <c r="G22" i="5"/>
  <c r="F22" i="5"/>
  <c r="E22" i="5"/>
  <c r="D22" i="5"/>
  <c r="C22" i="5"/>
  <c r="B22" i="5"/>
  <c r="P19" i="5"/>
  <c r="O19" i="5"/>
  <c r="M19" i="5"/>
  <c r="L19" i="5"/>
  <c r="K19" i="5"/>
  <c r="I19" i="5"/>
  <c r="G19" i="5"/>
  <c r="F19" i="5"/>
  <c r="E19" i="5"/>
  <c r="D19" i="5"/>
  <c r="C19" i="5"/>
  <c r="B19" i="5"/>
  <c r="P16" i="5"/>
  <c r="O16" i="5"/>
  <c r="M16" i="5"/>
  <c r="L16" i="5"/>
  <c r="K16" i="5"/>
  <c r="I16" i="5"/>
  <c r="G16" i="5"/>
  <c r="F16" i="5"/>
  <c r="E16" i="5"/>
  <c r="D16" i="5"/>
  <c r="C16" i="5"/>
  <c r="B16" i="5"/>
  <c r="Q33" i="5" l="1"/>
  <c r="Q30" i="5"/>
  <c r="Q31" i="5" s="1"/>
  <c r="Q27" i="5"/>
  <c r="Q24" i="5"/>
  <c r="Q21" i="5"/>
  <c r="Q18" i="5"/>
  <c r="Q15" i="5"/>
  <c r="Q12" i="5"/>
  <c r="H33" i="5"/>
  <c r="H30" i="5"/>
  <c r="H27" i="5"/>
  <c r="H24" i="5"/>
  <c r="H21" i="5"/>
  <c r="H18" i="5"/>
  <c r="H15" i="5"/>
  <c r="H12" i="5"/>
  <c r="H28" i="5" l="1"/>
  <c r="Q25" i="5"/>
  <c r="Q22" i="5"/>
  <c r="Q19" i="5"/>
  <c r="H25" i="5"/>
  <c r="Q28" i="5"/>
  <c r="Q16" i="5"/>
  <c r="H22" i="5"/>
  <c r="H16" i="5"/>
  <c r="H19" i="5"/>
  <c r="H31" i="5"/>
  <c r="H37" i="5"/>
  <c r="H34" i="5"/>
  <c r="Q34" i="5"/>
  <c r="Q37" i="5"/>
</calcChain>
</file>

<file path=xl/sharedStrings.xml><?xml version="1.0" encoding="utf-8"?>
<sst xmlns="http://schemas.openxmlformats.org/spreadsheetml/2006/main" count="235" uniqueCount="38">
  <si>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</si>
  <si>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</si>
  <si>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</si>
  <si>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</si>
  <si>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</si>
  <si>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</si>
  <si>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</si>
  <si>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</si>
  <si>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</si>
  <si>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</si>
  <si>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</si>
  <si>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</si>
  <si>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</si>
  <si>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</si>
  <si>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</si>
  <si>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</si>
  <si>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</si>
  <si>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</si>
  <si>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</si>
  <si>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</si>
  <si>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</si>
  <si>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</si>
  <si>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</si>
  <si>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</si>
  <si>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</si>
  <si>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</si>
  <si>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</si>
  <si>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</si>
  <si>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</si>
  <si>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</si>
  <si>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</si>
  <si>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</si>
  <si>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(इंडिगो) </t>
  </si>
  <si>
    <t>TABLE - 1.05 (INDIGO)</t>
  </si>
  <si>
    <t>SOURCE: ICAO ATR FORM 'A' FURNISHED BY INDIGO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</si>
  <si>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</si>
  <si>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</si>
  <si>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INDIGO ON SCHEDULED INTERNATIONAL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</si>
</sst>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7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4" applyFont="1" applyBorder="1" applyAlignment="1" applyProtection="1">
      <alignment horizontal="center" vertical="center" wrapText="1"/>
    </xf>
    <xf numFmtId="165" fontId="3" fillId="5" borderId="1" xfId="1" applyNumberForma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A3" sqref="A3:Q3"/>
    </sheetView>
  </sheetViews>
  <sheetFormatPr defaultRowHeight="15" x14ac:dyDescent="0.25"/>
  <cols>
    <col min="1" max="1" width="8" customWidth="1"/>
    <col min="2" max="2" width="7.7109375" customWidth="1"/>
    <col min="8" max="8" width="6.85546875" customWidth="1"/>
    <col min="10" max="10" width="5.42578125" customWidth="1"/>
    <col min="14" max="14" width="5.140625" customWidth="1"/>
    <col min="17" max="17" width="6.85546875" customWidth="1"/>
  </cols>
  <sheetData>
    <row r="1" spans="1:17" x14ac:dyDescent="0.25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37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7.75" customHeight="1" x14ac:dyDescent="0.25">
      <c r="A5" s="25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9"/>
      <c r="H5" s="19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19"/>
      <c r="Q5" s="19"/>
    </row>
    <row r="6" spans="1:17" s="5" customFormat="1" ht="17.100000000000001" customHeight="1" x14ac:dyDescent="0.25">
      <c r="A6" s="1" t="s">
        <v>19</v>
      </c>
      <c r="B6" s="2"/>
      <c r="C6" s="2"/>
      <c r="D6" s="2"/>
      <c r="E6" s="2"/>
      <c r="F6" s="2"/>
      <c r="G6" s="2"/>
      <c r="H6" s="7"/>
      <c r="I6" s="3"/>
      <c r="J6" s="3"/>
      <c r="K6" s="3"/>
      <c r="L6" s="3"/>
      <c r="M6" s="3"/>
      <c r="N6" s="3"/>
      <c r="O6" s="3"/>
      <c r="P6" s="3"/>
      <c r="Q6" s="7"/>
    </row>
    <row r="7" spans="1:17" s="5" customFormat="1" ht="17.100000000000001" customHeight="1" x14ac:dyDescent="0.25">
      <c r="A7" s="4" t="s">
        <v>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s="5" customFormat="1" ht="17.100000000000001" customHeight="1" x14ac:dyDescent="0.25">
      <c r="A8" s="11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5" customFormat="1" ht="17.100000000000001" customHeight="1" x14ac:dyDescent="0.25">
      <c r="A9" s="1" t="s">
        <v>20</v>
      </c>
      <c r="B9" s="2"/>
      <c r="C9" s="2"/>
      <c r="D9" s="2"/>
      <c r="E9" s="2"/>
      <c r="F9" s="2"/>
      <c r="G9" s="2"/>
      <c r="H9" s="7"/>
      <c r="I9" s="3"/>
      <c r="J9" s="3"/>
      <c r="K9" s="3"/>
      <c r="L9" s="3"/>
      <c r="M9" s="3"/>
      <c r="N9" s="3"/>
      <c r="O9" s="3"/>
      <c r="P9" s="3"/>
      <c r="Q9" s="7"/>
    </row>
    <row r="10" spans="1:17" s="5" customFormat="1" ht="17.100000000000001" customHeight="1" x14ac:dyDescent="0.25">
      <c r="A10" s="4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s="5" customFormat="1" ht="17.100000000000001" customHeight="1" x14ac:dyDescent="0.25">
      <c r="A11" s="11" t="s">
        <v>29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5" customFormat="1" ht="17.100000000000001" customHeight="1" x14ac:dyDescent="0.25">
      <c r="A12" s="1" t="s">
        <v>21</v>
      </c>
      <c r="B12" s="2">
        <v>2822</v>
      </c>
      <c r="C12" s="2">
        <v>11469.22</v>
      </c>
      <c r="D12" s="2">
        <v>7514</v>
      </c>
      <c r="E12" s="2">
        <v>414668</v>
      </c>
      <c r="F12" s="2">
        <v>1106.8689999999999</v>
      </c>
      <c r="G12" s="2">
        <v>1345.4860000000001</v>
      </c>
      <c r="H12" s="8">
        <f t="shared" ref="H12:H33" si="0">F12/G12*100</f>
        <v>82.265367309656128</v>
      </c>
      <c r="I12" s="3">
        <v>1585</v>
      </c>
      <c r="J12" s="3">
        <v>0</v>
      </c>
      <c r="K12" s="3">
        <v>1585</v>
      </c>
      <c r="L12" s="3">
        <v>99.192999999999998</v>
      </c>
      <c r="M12" s="3">
        <v>3.996</v>
      </c>
      <c r="N12" s="3">
        <v>0</v>
      </c>
      <c r="O12" s="3">
        <v>103.18899999999999</v>
      </c>
      <c r="P12" s="3">
        <v>136.751</v>
      </c>
      <c r="Q12" s="8">
        <f t="shared" ref="Q12:Q33" si="1">O12/P12*100</f>
        <v>75.457583491162765</v>
      </c>
    </row>
    <row r="13" spans="1:17" s="5" customFormat="1" ht="17.100000000000001" customHeight="1" x14ac:dyDescent="0.25">
      <c r="A13" s="4" t="s">
        <v>28</v>
      </c>
      <c r="B13" s="12" t="s">
        <v>30</v>
      </c>
      <c r="C13" s="12" t="s">
        <v>30</v>
      </c>
      <c r="D13" s="12" t="s">
        <v>30</v>
      </c>
      <c r="E13" s="12" t="s">
        <v>30</v>
      </c>
      <c r="F13" s="12" t="s">
        <v>30</v>
      </c>
      <c r="G13" s="12" t="s">
        <v>30</v>
      </c>
      <c r="H13" s="12" t="s">
        <v>30</v>
      </c>
      <c r="I13" s="12" t="s">
        <v>30</v>
      </c>
      <c r="J13" s="12" t="s">
        <v>30</v>
      </c>
      <c r="K13" s="12" t="s">
        <v>30</v>
      </c>
      <c r="L13" s="12" t="s">
        <v>30</v>
      </c>
      <c r="M13" s="12" t="s">
        <v>30</v>
      </c>
      <c r="N13" s="12" t="s">
        <v>30</v>
      </c>
      <c r="O13" s="12" t="s">
        <v>30</v>
      </c>
      <c r="P13" s="12" t="s">
        <v>30</v>
      </c>
      <c r="Q13" s="12" t="s">
        <v>30</v>
      </c>
    </row>
    <row r="14" spans="1:17" s="5" customFormat="1" ht="17.100000000000001" customHeight="1" x14ac:dyDescent="0.25">
      <c r="A14" s="11" t="s">
        <v>29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</row>
    <row r="15" spans="1:17" s="5" customFormat="1" ht="17.100000000000001" customHeight="1" x14ac:dyDescent="0.25">
      <c r="A15" s="1" t="s">
        <v>22</v>
      </c>
      <c r="B15" s="2">
        <v>8015</v>
      </c>
      <c r="C15" s="2">
        <v>31317.97</v>
      </c>
      <c r="D15" s="2">
        <v>20686</v>
      </c>
      <c r="E15" s="2">
        <v>1202121</v>
      </c>
      <c r="F15" s="2">
        <v>3083.9070000000002</v>
      </c>
      <c r="G15" s="2">
        <v>3713.8969999999999</v>
      </c>
      <c r="H15" s="8">
        <f t="shared" si="0"/>
        <v>83.036955521383604</v>
      </c>
      <c r="I15" s="3">
        <v>6404</v>
      </c>
      <c r="J15" s="3">
        <v>0</v>
      </c>
      <c r="K15" s="3">
        <v>6404</v>
      </c>
      <c r="L15" s="3">
        <v>276.33100000000002</v>
      </c>
      <c r="M15" s="3">
        <v>16.731000000000002</v>
      </c>
      <c r="N15" s="3">
        <v>0</v>
      </c>
      <c r="O15" s="3">
        <v>293.06200000000001</v>
      </c>
      <c r="P15" s="3">
        <v>376.476</v>
      </c>
      <c r="Q15" s="8">
        <f t="shared" si="1"/>
        <v>77.843474750050461</v>
      </c>
    </row>
    <row r="16" spans="1:17" s="5" customFormat="1" ht="17.100000000000001" customHeight="1" x14ac:dyDescent="0.25">
      <c r="A16" s="4" t="s">
        <v>28</v>
      </c>
      <c r="B16" s="9">
        <f t="shared" ref="B16:Q16" si="2">(B15-B12)/B12</f>
        <v>1.8401842664776753</v>
      </c>
      <c r="C16" s="9">
        <f t="shared" si="2"/>
        <v>1.7306102768976444</v>
      </c>
      <c r="D16" s="9">
        <f t="shared" si="2"/>
        <v>1.7529944104338568</v>
      </c>
      <c r="E16" s="9">
        <f t="shared" si="2"/>
        <v>1.8989963054781174</v>
      </c>
      <c r="F16" s="9">
        <f t="shared" si="2"/>
        <v>1.7861535556601553</v>
      </c>
      <c r="G16" s="9">
        <f t="shared" si="2"/>
        <v>1.7602643208476341</v>
      </c>
      <c r="H16" s="9">
        <f t="shared" si="2"/>
        <v>9.3792593038955364E-3</v>
      </c>
      <c r="I16" s="9">
        <f t="shared" si="2"/>
        <v>3.040378548895899</v>
      </c>
      <c r="J16" s="9" t="s">
        <v>30</v>
      </c>
      <c r="K16" s="9">
        <f t="shared" si="2"/>
        <v>3.040378548895899</v>
      </c>
      <c r="L16" s="9">
        <f t="shared" si="2"/>
        <v>1.7857913360821835</v>
      </c>
      <c r="M16" s="9">
        <f t="shared" si="2"/>
        <v>3.1869369369369371</v>
      </c>
      <c r="N16" s="9" t="s">
        <v>30</v>
      </c>
      <c r="O16" s="9">
        <f t="shared" si="2"/>
        <v>1.8400507806064603</v>
      </c>
      <c r="P16" s="9">
        <f t="shared" si="2"/>
        <v>1.7530036343427104</v>
      </c>
      <c r="Q16" s="9">
        <f t="shared" si="2"/>
        <v>3.1618972520729087E-2</v>
      </c>
    </row>
    <row r="17" spans="1:17" s="5" customFormat="1" ht="17.100000000000001" customHeight="1" x14ac:dyDescent="0.25">
      <c r="A17" s="11" t="s">
        <v>29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4" t="s">
        <v>30</v>
      </c>
      <c r="I17" s="14" t="s">
        <v>30</v>
      </c>
      <c r="J17" s="14" t="s">
        <v>30</v>
      </c>
      <c r="K17" s="14" t="s">
        <v>30</v>
      </c>
      <c r="L17" s="14" t="s">
        <v>30</v>
      </c>
      <c r="M17" s="14" t="s">
        <v>30</v>
      </c>
      <c r="N17" s="14" t="s">
        <v>30</v>
      </c>
      <c r="O17" s="14" t="s">
        <v>30</v>
      </c>
      <c r="P17" s="14" t="s">
        <v>30</v>
      </c>
      <c r="Q17" s="14" t="s">
        <v>30</v>
      </c>
    </row>
    <row r="18" spans="1:17" s="5" customFormat="1" ht="17.100000000000001" customHeight="1" x14ac:dyDescent="0.25">
      <c r="A18" s="1" t="s">
        <v>23</v>
      </c>
      <c r="B18" s="2">
        <v>10146</v>
      </c>
      <c r="C18" s="2">
        <v>35700.050000000003</v>
      </c>
      <c r="D18" s="2">
        <v>23373</v>
      </c>
      <c r="E18" s="2">
        <v>1490507</v>
      </c>
      <c r="F18" s="2">
        <v>3434.7910000000002</v>
      </c>
      <c r="G18" s="2">
        <v>4207.21</v>
      </c>
      <c r="H18" s="8">
        <f t="shared" si="0"/>
        <v>81.640588418453092</v>
      </c>
      <c r="I18" s="3">
        <v>11011</v>
      </c>
      <c r="J18" s="3">
        <v>0</v>
      </c>
      <c r="K18" s="3">
        <v>11011</v>
      </c>
      <c r="L18" s="3">
        <v>307.92399999999998</v>
      </c>
      <c r="M18" s="3">
        <v>25.861000000000001</v>
      </c>
      <c r="N18" s="3">
        <v>0</v>
      </c>
      <c r="O18" s="3">
        <v>333.78500000000003</v>
      </c>
      <c r="P18" s="3">
        <v>425.39499999999998</v>
      </c>
      <c r="Q18" s="8">
        <f t="shared" si="1"/>
        <v>78.464721023989483</v>
      </c>
    </row>
    <row r="19" spans="1:17" s="5" customFormat="1" ht="17.100000000000001" customHeight="1" x14ac:dyDescent="0.25">
      <c r="A19" s="4" t="s">
        <v>28</v>
      </c>
      <c r="B19" s="9">
        <f t="shared" ref="B19:Q19" si="3">(B18-B15)/B15</f>
        <v>0.26587648159700561</v>
      </c>
      <c r="C19" s="9">
        <f t="shared" si="3"/>
        <v>0.13992222356685322</v>
      </c>
      <c r="D19" s="9">
        <f t="shared" si="3"/>
        <v>0.12989461471526637</v>
      </c>
      <c r="E19" s="9">
        <f t="shared" si="3"/>
        <v>0.2398976475745786</v>
      </c>
      <c r="F19" s="9">
        <f t="shared" si="3"/>
        <v>0.11377904716322509</v>
      </c>
      <c r="G19" s="9">
        <f t="shared" si="3"/>
        <v>0.13282893952093988</v>
      </c>
      <c r="H19" s="9">
        <f t="shared" si="3"/>
        <v>-1.6816212662938018E-2</v>
      </c>
      <c r="I19" s="9">
        <f t="shared" si="3"/>
        <v>0.71939412866958152</v>
      </c>
      <c r="J19" s="9" t="s">
        <v>30</v>
      </c>
      <c r="K19" s="9">
        <f t="shared" si="3"/>
        <v>0.71939412866958152</v>
      </c>
      <c r="L19" s="9">
        <f t="shared" si="3"/>
        <v>0.11433027781899228</v>
      </c>
      <c r="M19" s="9">
        <f t="shared" si="3"/>
        <v>0.5456936226166994</v>
      </c>
      <c r="N19" s="9" t="s">
        <v>30</v>
      </c>
      <c r="O19" s="9">
        <f t="shared" si="3"/>
        <v>0.13895694426435365</v>
      </c>
      <c r="P19" s="9">
        <f t="shared" si="3"/>
        <v>0.12993922587362802</v>
      </c>
      <c r="Q19" s="9">
        <f t="shared" si="3"/>
        <v>7.9807109835962082E-3</v>
      </c>
    </row>
    <row r="20" spans="1:17" s="5" customFormat="1" ht="17.100000000000001" customHeight="1" x14ac:dyDescent="0.25">
      <c r="A20" s="11" t="s">
        <v>29</v>
      </c>
      <c r="B20" s="14" t="s">
        <v>30</v>
      </c>
      <c r="C20" s="14" t="s">
        <v>30</v>
      </c>
      <c r="D20" s="14" t="s">
        <v>30</v>
      </c>
      <c r="E20" s="14" t="s">
        <v>30</v>
      </c>
      <c r="F20" s="14" t="s">
        <v>30</v>
      </c>
      <c r="G20" s="14" t="s">
        <v>30</v>
      </c>
      <c r="H20" s="14" t="s">
        <v>30</v>
      </c>
      <c r="I20" s="14" t="s">
        <v>30</v>
      </c>
      <c r="J20" s="14" t="s">
        <v>30</v>
      </c>
      <c r="K20" s="14" t="s">
        <v>30</v>
      </c>
      <c r="L20" s="14" t="s">
        <v>30</v>
      </c>
      <c r="M20" s="14" t="s">
        <v>30</v>
      </c>
      <c r="N20" s="14" t="s">
        <v>30</v>
      </c>
      <c r="O20" s="14" t="s">
        <v>30</v>
      </c>
      <c r="P20" s="14" t="s">
        <v>30</v>
      </c>
      <c r="Q20" s="14" t="s">
        <v>30</v>
      </c>
    </row>
    <row r="21" spans="1:17" s="5" customFormat="1" ht="17.100000000000001" customHeight="1" x14ac:dyDescent="0.25">
      <c r="A21" s="1" t="s">
        <v>24</v>
      </c>
      <c r="B21" s="2">
        <v>9771</v>
      </c>
      <c r="C21" s="2">
        <v>29401.99</v>
      </c>
      <c r="D21" s="2">
        <v>21723</v>
      </c>
      <c r="E21" s="2">
        <v>1453290</v>
      </c>
      <c r="F21" s="2">
        <v>3220.2930000000001</v>
      </c>
      <c r="G21" s="2">
        <v>3910.22</v>
      </c>
      <c r="H21" s="8">
        <f t="shared" si="0"/>
        <v>82.355800952376086</v>
      </c>
      <c r="I21" s="3">
        <v>11456</v>
      </c>
      <c r="J21" s="3">
        <v>0</v>
      </c>
      <c r="K21" s="3">
        <v>11456</v>
      </c>
      <c r="L21" s="3">
        <v>288.83199999999999</v>
      </c>
      <c r="M21" s="3">
        <v>26.439</v>
      </c>
      <c r="N21" s="3">
        <v>0</v>
      </c>
      <c r="O21" s="3">
        <v>315.27100000000002</v>
      </c>
      <c r="P21" s="3">
        <v>395.36599999999999</v>
      </c>
      <c r="Q21" s="8">
        <f t="shared" si="1"/>
        <v>79.741555925395716</v>
      </c>
    </row>
    <row r="22" spans="1:17" s="5" customFormat="1" ht="17.100000000000001" customHeight="1" x14ac:dyDescent="0.25">
      <c r="A22" s="4" t="s">
        <v>28</v>
      </c>
      <c r="B22" s="9">
        <f t="shared" ref="B22:Q22" si="4">(B21-B18)/B18</f>
        <v>-3.6960378474275579E-2</v>
      </c>
      <c r="C22" s="9">
        <f t="shared" si="4"/>
        <v>-0.1764159994173678</v>
      </c>
      <c r="D22" s="9">
        <f t="shared" si="4"/>
        <v>-7.0594275446027463E-2</v>
      </c>
      <c r="E22" s="9">
        <f t="shared" si="4"/>
        <v>-2.4969356064748437E-2</v>
      </c>
      <c r="F22" s="9">
        <f t="shared" si="4"/>
        <v>-6.2448632245746552E-2</v>
      </c>
      <c r="G22" s="9">
        <f t="shared" si="4"/>
        <v>-7.0590724019005527E-2</v>
      </c>
      <c r="H22" s="9">
        <f t="shared" si="4"/>
        <v>8.7605019485789953E-3</v>
      </c>
      <c r="I22" s="9">
        <f t="shared" si="4"/>
        <v>4.0414131323222233E-2</v>
      </c>
      <c r="J22" s="9" t="s">
        <v>30</v>
      </c>
      <c r="K22" s="9">
        <f t="shared" si="4"/>
        <v>4.0414131323222233E-2</v>
      </c>
      <c r="L22" s="9">
        <f t="shared" si="4"/>
        <v>-6.2002312258869027E-2</v>
      </c>
      <c r="M22" s="9">
        <f t="shared" si="4"/>
        <v>2.2350257143961928E-2</v>
      </c>
      <c r="N22" s="9" t="s">
        <v>30</v>
      </c>
      <c r="O22" s="9">
        <f t="shared" si="4"/>
        <v>-5.5466842428509397E-2</v>
      </c>
      <c r="P22" s="9">
        <f t="shared" si="4"/>
        <v>-7.0590862610044783E-2</v>
      </c>
      <c r="Q22" s="9">
        <f t="shared" si="4"/>
        <v>1.627272594285855E-2</v>
      </c>
    </row>
    <row r="23" spans="1:17" s="5" customFormat="1" ht="17.100000000000001" customHeight="1" x14ac:dyDescent="0.25">
      <c r="A23" s="11" t="s">
        <v>29</v>
      </c>
      <c r="B23" s="14" t="s">
        <v>30</v>
      </c>
      <c r="C23" s="14" t="s">
        <v>30</v>
      </c>
      <c r="D23" s="14" t="s">
        <v>30</v>
      </c>
      <c r="E23" s="14" t="s">
        <v>30</v>
      </c>
      <c r="F23" s="14" t="s">
        <v>30</v>
      </c>
      <c r="G23" s="14" t="s">
        <v>30</v>
      </c>
      <c r="H23" s="14" t="s">
        <v>30</v>
      </c>
      <c r="I23" s="14" t="s">
        <v>30</v>
      </c>
      <c r="J23" s="14" t="s">
        <v>30</v>
      </c>
      <c r="K23" s="14" t="s">
        <v>30</v>
      </c>
      <c r="L23" s="14" t="s">
        <v>30</v>
      </c>
      <c r="M23" s="14" t="s">
        <v>30</v>
      </c>
      <c r="N23" s="14" t="s">
        <v>30</v>
      </c>
      <c r="O23" s="14" t="s">
        <v>30</v>
      </c>
      <c r="P23" s="14" t="s">
        <v>30</v>
      </c>
      <c r="Q23" s="14" t="s">
        <v>30</v>
      </c>
    </row>
    <row r="24" spans="1:17" s="5" customFormat="1" ht="17.100000000000001" customHeight="1" x14ac:dyDescent="0.25">
      <c r="A24" s="1" t="s">
        <v>25</v>
      </c>
      <c r="B24" s="2">
        <v>11044</v>
      </c>
      <c r="C24" s="2">
        <v>37932.97</v>
      </c>
      <c r="D24" s="2">
        <v>24516</v>
      </c>
      <c r="E24" s="2">
        <v>1650235</v>
      </c>
      <c r="F24" s="2">
        <v>3652.355</v>
      </c>
      <c r="G24" s="2">
        <v>4411.5879999999997</v>
      </c>
      <c r="H24" s="8">
        <f t="shared" si="0"/>
        <v>82.790029349975569</v>
      </c>
      <c r="I24" s="3">
        <v>11238.2209</v>
      </c>
      <c r="J24" s="3">
        <v>0</v>
      </c>
      <c r="K24" s="3">
        <v>11238.2209</v>
      </c>
      <c r="L24" s="3">
        <v>328.71</v>
      </c>
      <c r="M24" s="3">
        <v>26.623999999999999</v>
      </c>
      <c r="N24" s="3">
        <v>0</v>
      </c>
      <c r="O24" s="3">
        <v>355.334</v>
      </c>
      <c r="P24" s="3">
        <v>500.14800000000002</v>
      </c>
      <c r="Q24" s="8">
        <f t="shared" si="1"/>
        <v>71.045770451946225</v>
      </c>
    </row>
    <row r="25" spans="1:17" s="5" customFormat="1" ht="17.100000000000001" customHeight="1" x14ac:dyDescent="0.25">
      <c r="A25" s="4" t="s">
        <v>28</v>
      </c>
      <c r="B25" s="9">
        <f t="shared" ref="B25:Q25" si="5">(B24-B21)/B21</f>
        <v>0.1302834919660219</v>
      </c>
      <c r="C25" s="9">
        <f t="shared" si="5"/>
        <v>0.2901497483673724</v>
      </c>
      <c r="D25" s="9">
        <f t="shared" si="5"/>
        <v>0.12857340146388621</v>
      </c>
      <c r="E25" s="9">
        <f t="shared" si="5"/>
        <v>0.13551665531311713</v>
      </c>
      <c r="F25" s="9">
        <f t="shared" si="5"/>
        <v>0.13416853683810756</v>
      </c>
      <c r="G25" s="9">
        <f t="shared" si="5"/>
        <v>0.12821989555574878</v>
      </c>
      <c r="H25" s="9">
        <f t="shared" si="5"/>
        <v>5.2725903042407972E-3</v>
      </c>
      <c r="I25" s="9">
        <f t="shared" si="5"/>
        <v>-1.9010047136871485E-2</v>
      </c>
      <c r="J25" s="9" t="s">
        <v>30</v>
      </c>
      <c r="K25" s="9">
        <f t="shared" si="5"/>
        <v>-1.9010047136871485E-2</v>
      </c>
      <c r="L25" s="9">
        <f t="shared" si="5"/>
        <v>0.13806641923332591</v>
      </c>
      <c r="M25" s="9">
        <f t="shared" si="5"/>
        <v>6.9972389273421356E-3</v>
      </c>
      <c r="N25" s="9" t="s">
        <v>30</v>
      </c>
      <c r="O25" s="9">
        <f t="shared" si="5"/>
        <v>0.12707480231293072</v>
      </c>
      <c r="P25" s="9">
        <f t="shared" si="5"/>
        <v>0.26502531831265219</v>
      </c>
      <c r="Q25" s="9">
        <f t="shared" si="5"/>
        <v>-0.10904960873330662</v>
      </c>
    </row>
    <row r="26" spans="1:17" s="5" customFormat="1" ht="17.100000000000001" customHeight="1" x14ac:dyDescent="0.25">
      <c r="A26" s="11" t="s">
        <v>29</v>
      </c>
      <c r="B26" s="14" t="s">
        <v>30</v>
      </c>
      <c r="C26" s="14" t="s">
        <v>30</v>
      </c>
      <c r="D26" s="14" t="s">
        <v>30</v>
      </c>
      <c r="E26" s="14" t="s">
        <v>30</v>
      </c>
      <c r="F26" s="14" t="s">
        <v>30</v>
      </c>
      <c r="G26" s="14" t="s">
        <v>30</v>
      </c>
      <c r="H26" s="14" t="s">
        <v>30</v>
      </c>
      <c r="I26" s="14" t="s">
        <v>30</v>
      </c>
      <c r="J26" s="14" t="s">
        <v>30</v>
      </c>
      <c r="K26" s="14" t="s">
        <v>30</v>
      </c>
      <c r="L26" s="14" t="s">
        <v>30</v>
      </c>
      <c r="M26" s="14" t="s">
        <v>30</v>
      </c>
      <c r="N26" s="14" t="s">
        <v>30</v>
      </c>
      <c r="O26" s="14" t="s">
        <v>30</v>
      </c>
      <c r="P26" s="14" t="s">
        <v>30</v>
      </c>
      <c r="Q26" s="14" t="s">
        <v>30</v>
      </c>
    </row>
    <row r="27" spans="1:17" s="5" customFormat="1" ht="17.100000000000001" customHeight="1" x14ac:dyDescent="0.25">
      <c r="A27" s="1" t="s">
        <v>26</v>
      </c>
      <c r="B27" s="2">
        <v>13245</v>
      </c>
      <c r="C27" s="2">
        <v>46126.152699999991</v>
      </c>
      <c r="D27" s="2">
        <v>29834.574000000001</v>
      </c>
      <c r="E27" s="2">
        <v>1931864</v>
      </c>
      <c r="F27" s="2">
        <v>4351.4939999999997</v>
      </c>
      <c r="G27" s="2">
        <v>5370.1310000000003</v>
      </c>
      <c r="H27" s="8">
        <f t="shared" si="0"/>
        <v>81.031431076821022</v>
      </c>
      <c r="I27" s="3">
        <v>13769</v>
      </c>
      <c r="J27" s="3">
        <v>0</v>
      </c>
      <c r="K27" s="3">
        <v>13769</v>
      </c>
      <c r="L27" s="3">
        <v>391.63463999999999</v>
      </c>
      <c r="M27" s="3">
        <v>33.360012000000005</v>
      </c>
      <c r="N27" s="3">
        <v>0</v>
      </c>
      <c r="O27" s="3">
        <v>424.99465199999997</v>
      </c>
      <c r="P27" s="3">
        <v>608.70627600000012</v>
      </c>
      <c r="Q27" s="8">
        <f t="shared" si="1"/>
        <v>69.819331384715326</v>
      </c>
    </row>
    <row r="28" spans="1:17" s="5" customFormat="1" ht="17.100000000000001" customHeight="1" x14ac:dyDescent="0.25">
      <c r="A28" s="4" t="s">
        <v>28</v>
      </c>
      <c r="B28" s="9">
        <f t="shared" ref="B28:Q28" si="6">(B27-B24)/B24</f>
        <v>0.19929373415429191</v>
      </c>
      <c r="C28" s="9">
        <f t="shared" si="6"/>
        <v>0.21599106792850625</v>
      </c>
      <c r="D28" s="9">
        <f t="shared" si="6"/>
        <v>0.21694297601566326</v>
      </c>
      <c r="E28" s="9">
        <f t="shared" si="6"/>
        <v>0.170659936312101</v>
      </c>
      <c r="F28" s="9">
        <f t="shared" si="6"/>
        <v>0.1914214253543261</v>
      </c>
      <c r="G28" s="9">
        <f t="shared" si="6"/>
        <v>0.21727844939282648</v>
      </c>
      <c r="H28" s="9">
        <f t="shared" si="6"/>
        <v>-2.1241667468439737E-2</v>
      </c>
      <c r="I28" s="9">
        <f t="shared" si="6"/>
        <v>0.22519392727010729</v>
      </c>
      <c r="J28" s="9" t="s">
        <v>30</v>
      </c>
      <c r="K28" s="9">
        <f t="shared" si="6"/>
        <v>0.22519392727010729</v>
      </c>
      <c r="L28" s="9">
        <f t="shared" si="6"/>
        <v>0.19142904079583833</v>
      </c>
      <c r="M28" s="9">
        <f t="shared" si="6"/>
        <v>0.25300525841346178</v>
      </c>
      <c r="N28" s="9" t="s">
        <v>30</v>
      </c>
      <c r="O28" s="9">
        <f t="shared" si="6"/>
        <v>0.1960427428841596</v>
      </c>
      <c r="P28" s="9">
        <f t="shared" si="6"/>
        <v>0.21705230451786289</v>
      </c>
      <c r="Q28" s="9">
        <f t="shared" si="6"/>
        <v>-1.726266123133164E-2</v>
      </c>
    </row>
    <row r="29" spans="1:17" s="5" customFormat="1" ht="17.100000000000001" customHeight="1" x14ac:dyDescent="0.25">
      <c r="A29" s="11" t="s">
        <v>29</v>
      </c>
      <c r="B29" s="14" t="s">
        <v>30</v>
      </c>
      <c r="C29" s="14" t="s">
        <v>30</v>
      </c>
      <c r="D29" s="14" t="s">
        <v>30</v>
      </c>
      <c r="E29" s="14" t="s">
        <v>30</v>
      </c>
      <c r="F29" s="14" t="s">
        <v>30</v>
      </c>
      <c r="G29" s="14" t="s">
        <v>30</v>
      </c>
      <c r="H29" s="14" t="s">
        <v>30</v>
      </c>
      <c r="I29" s="14" t="s">
        <v>30</v>
      </c>
      <c r="J29" s="14" t="s">
        <v>30</v>
      </c>
      <c r="K29" s="14" t="s">
        <v>30</v>
      </c>
      <c r="L29" s="14" t="s">
        <v>30</v>
      </c>
      <c r="M29" s="14" t="s">
        <v>30</v>
      </c>
      <c r="N29" s="14" t="s">
        <v>30</v>
      </c>
      <c r="O29" s="14" t="s">
        <v>30</v>
      </c>
      <c r="P29" s="14" t="s">
        <v>30</v>
      </c>
      <c r="Q29" s="14" t="s">
        <v>30</v>
      </c>
    </row>
    <row r="30" spans="1:17" s="5" customFormat="1" ht="17.100000000000001" customHeight="1" x14ac:dyDescent="0.25">
      <c r="A30" s="1" t="s">
        <v>27</v>
      </c>
      <c r="B30" s="2">
        <v>21407</v>
      </c>
      <c r="C30" s="2">
        <v>77412.275899999993</v>
      </c>
      <c r="D30" s="2">
        <v>51180.947</v>
      </c>
      <c r="E30" s="2">
        <v>3185861</v>
      </c>
      <c r="F30" s="2">
        <v>7624.1750000000002</v>
      </c>
      <c r="G30" s="2">
        <v>9211.9979999999996</v>
      </c>
      <c r="H30" s="8">
        <f t="shared" si="0"/>
        <v>82.763532949095307</v>
      </c>
      <c r="I30" s="3">
        <v>22179.82</v>
      </c>
      <c r="J30" s="3">
        <v>0</v>
      </c>
      <c r="K30" s="3">
        <v>22179.82</v>
      </c>
      <c r="L30" s="3">
        <v>686.17681000000005</v>
      </c>
      <c r="M30" s="3">
        <v>55.226930000000003</v>
      </c>
      <c r="N30" s="3">
        <v>0</v>
      </c>
      <c r="O30" s="3">
        <v>741.40373999999997</v>
      </c>
      <c r="P30" s="3">
        <v>1021.20615</v>
      </c>
      <c r="Q30" s="8">
        <f t="shared" si="1"/>
        <v>72.600790741418862</v>
      </c>
    </row>
    <row r="31" spans="1:17" s="5" customFormat="1" ht="17.100000000000001" customHeight="1" x14ac:dyDescent="0.25">
      <c r="A31" s="4" t="s">
        <v>28</v>
      </c>
      <c r="B31" s="9">
        <f t="shared" ref="B31:Q31" si="7">(B30-B27)/B27</f>
        <v>0.61623254058135146</v>
      </c>
      <c r="C31" s="9">
        <f t="shared" si="7"/>
        <v>0.67827298330042618</v>
      </c>
      <c r="D31" s="9">
        <f t="shared" si="7"/>
        <v>0.71549112784382307</v>
      </c>
      <c r="E31" s="9">
        <f t="shared" si="7"/>
        <v>0.64911246340322093</v>
      </c>
      <c r="F31" s="9">
        <f t="shared" si="7"/>
        <v>0.752082158449489</v>
      </c>
      <c r="G31" s="9">
        <f t="shared" si="7"/>
        <v>0.71541401876416033</v>
      </c>
      <c r="H31" s="9">
        <f t="shared" si="7"/>
        <v>2.1375679156303971E-2</v>
      </c>
      <c r="I31" s="9">
        <f t="shared" si="7"/>
        <v>0.61085191371922432</v>
      </c>
      <c r="J31" s="9" t="s">
        <v>30</v>
      </c>
      <c r="K31" s="9">
        <f t="shared" si="7"/>
        <v>0.61085191371922432</v>
      </c>
      <c r="L31" s="9">
        <f t="shared" si="7"/>
        <v>0.75208405977571358</v>
      </c>
      <c r="M31" s="9">
        <f t="shared" si="7"/>
        <v>0.65548291769199585</v>
      </c>
      <c r="N31" s="9" t="s">
        <v>30</v>
      </c>
      <c r="O31" s="9">
        <f t="shared" si="7"/>
        <v>0.74450134021921766</v>
      </c>
      <c r="P31" s="9">
        <f t="shared" si="7"/>
        <v>0.67766653682407541</v>
      </c>
      <c r="Q31" s="9">
        <f t="shared" si="7"/>
        <v>3.9837954640058987E-2</v>
      </c>
    </row>
    <row r="32" spans="1:17" s="5" customFormat="1" ht="17.100000000000001" customHeight="1" x14ac:dyDescent="0.25">
      <c r="A32" s="11" t="s">
        <v>29</v>
      </c>
      <c r="B32" s="14" t="s">
        <v>30</v>
      </c>
      <c r="C32" s="14" t="s">
        <v>30</v>
      </c>
      <c r="D32" s="14" t="s">
        <v>30</v>
      </c>
      <c r="E32" s="14" t="s">
        <v>30</v>
      </c>
      <c r="F32" s="14" t="s">
        <v>30</v>
      </c>
      <c r="G32" s="14" t="s">
        <v>30</v>
      </c>
      <c r="H32" s="14" t="s">
        <v>30</v>
      </c>
      <c r="I32" s="14" t="s">
        <v>30</v>
      </c>
      <c r="J32" s="14" t="s">
        <v>30</v>
      </c>
      <c r="K32" s="14" t="s">
        <v>30</v>
      </c>
      <c r="L32" s="14" t="s">
        <v>30</v>
      </c>
      <c r="M32" s="14" t="s">
        <v>30</v>
      </c>
      <c r="N32" s="14" t="s">
        <v>30</v>
      </c>
      <c r="O32" s="14" t="s">
        <v>30</v>
      </c>
      <c r="P32" s="14" t="s">
        <v>30</v>
      </c>
      <c r="Q32" s="14" t="s">
        <v>30</v>
      </c>
    </row>
    <row r="33" spans="1:17" s="5" customFormat="1" ht="17.100000000000001" customHeight="1" x14ac:dyDescent="0.25">
      <c r="A33" s="6" t="s">
        <v>31</v>
      </c>
      <c r="B33" s="2">
        <v>31485</v>
      </c>
      <c r="C33" s="2">
        <v>113001.13222999999</v>
      </c>
      <c r="D33" s="2">
        <v>74224.200000000012</v>
      </c>
      <c r="E33" s="2">
        <v>4704773</v>
      </c>
      <c r="F33" s="2">
        <v>11122.737639000001</v>
      </c>
      <c r="G33" s="2">
        <v>13384.865487999999</v>
      </c>
      <c r="H33" s="8">
        <f t="shared" si="0"/>
        <v>83.099360609726887</v>
      </c>
      <c r="I33" s="3">
        <v>24928.402999999998</v>
      </c>
      <c r="J33" s="3">
        <v>0</v>
      </c>
      <c r="K33" s="3">
        <v>24928.402999999998</v>
      </c>
      <c r="L33" s="3">
        <v>1000.637525</v>
      </c>
      <c r="M33" s="3">
        <v>62.215654300000004</v>
      </c>
      <c r="N33" s="3">
        <v>0</v>
      </c>
      <c r="O33" s="3">
        <v>1062.8531793000002</v>
      </c>
      <c r="P33" s="3">
        <v>1507.5712666999998</v>
      </c>
      <c r="Q33" s="8">
        <f t="shared" si="1"/>
        <v>70.501023916868235</v>
      </c>
    </row>
    <row r="34" spans="1:17" s="5" customFormat="1" ht="17.100000000000001" customHeight="1" x14ac:dyDescent="0.25">
      <c r="A34" s="4" t="s">
        <v>28</v>
      </c>
      <c r="B34" s="9">
        <f>(B33-B30)/B30</f>
        <v>0.47078058578969495</v>
      </c>
      <c r="C34" s="9">
        <f t="shared" ref="C34:Q34" si="8">(C33-C30)/C30</f>
        <v>0.45973143039965836</v>
      </c>
      <c r="D34" s="9">
        <f t="shared" si="8"/>
        <v>0.45023107915529603</v>
      </c>
      <c r="E34" s="9">
        <f t="shared" si="8"/>
        <v>0.47676656326186234</v>
      </c>
      <c r="F34" s="9">
        <f t="shared" si="8"/>
        <v>0.45887753612685972</v>
      </c>
      <c r="G34" s="9">
        <f t="shared" si="8"/>
        <v>0.45298180568428259</v>
      </c>
      <c r="H34" s="9">
        <f t="shared" si="8"/>
        <v>4.0576767166057848E-3</v>
      </c>
      <c r="I34" s="9">
        <f t="shared" si="8"/>
        <v>0.12392269188839218</v>
      </c>
      <c r="J34" s="9" t="s">
        <v>30</v>
      </c>
      <c r="K34" s="9">
        <f t="shared" si="8"/>
        <v>0.12392269188839218</v>
      </c>
      <c r="L34" s="9">
        <f t="shared" si="8"/>
        <v>0.45827942655188231</v>
      </c>
      <c r="M34" s="9">
        <f t="shared" si="8"/>
        <v>0.12654558745162914</v>
      </c>
      <c r="N34" s="9" t="s">
        <v>30</v>
      </c>
      <c r="O34" s="9">
        <f t="shared" si="8"/>
        <v>0.4335686778434652</v>
      </c>
      <c r="P34" s="9">
        <f t="shared" si="8"/>
        <v>0.47626536199375596</v>
      </c>
      <c r="Q34" s="9">
        <f t="shared" si="8"/>
        <v>-2.892209303930773E-2</v>
      </c>
    </row>
    <row r="35" spans="1:17" s="5" customFormat="1" ht="17.100000000000001" customHeight="1" x14ac:dyDescent="0.25">
      <c r="A35" s="11" t="s">
        <v>29</v>
      </c>
      <c r="B35" s="14" t="s">
        <v>30</v>
      </c>
      <c r="C35" s="14" t="s">
        <v>30</v>
      </c>
      <c r="D35" s="14" t="s">
        <v>30</v>
      </c>
      <c r="E35" s="14" t="s">
        <v>30</v>
      </c>
      <c r="F35" s="14" t="s">
        <v>30</v>
      </c>
      <c r="G35" s="14" t="s">
        <v>30</v>
      </c>
      <c r="H35" s="14" t="s">
        <v>30</v>
      </c>
      <c r="I35" s="14" t="s">
        <v>30</v>
      </c>
      <c r="J35" s="14" t="s">
        <v>30</v>
      </c>
      <c r="K35" s="14" t="s">
        <v>30</v>
      </c>
      <c r="L35" s="14" t="s">
        <v>30</v>
      </c>
      <c r="M35" s="14" t="s">
        <v>30</v>
      </c>
      <c r="N35" s="14" t="s">
        <v>30</v>
      </c>
      <c r="O35" s="14" t="s">
        <v>30</v>
      </c>
      <c r="P35" s="14" t="s">
        <v>30</v>
      </c>
      <c r="Q35" s="14" t="s">
        <v>30</v>
      </c>
    </row>
    <row r="36" spans="1:17" x14ac:dyDescent="0.25">
      <c r="A36" s="6" t="s">
        <v>35</v>
      </c>
      <c r="B36" s="2">
        <v>46985</v>
      </c>
      <c r="C36" s="2">
        <v>178727.13333333333</v>
      </c>
      <c r="D36" s="2">
        <v>116278.166</v>
      </c>
      <c r="E36" s="2">
        <v>6967074</v>
      </c>
      <c r="F36" s="2">
        <v>17183.677</v>
      </c>
      <c r="G36" s="2">
        <v>21188.975770000001</v>
      </c>
      <c r="H36" s="8">
        <v>81.09725163936038</v>
      </c>
      <c r="I36" s="3">
        <v>35676.603999999992</v>
      </c>
      <c r="J36" s="3">
        <v>0</v>
      </c>
      <c r="K36" s="3">
        <v>35676.603999999992</v>
      </c>
      <c r="L36" s="3">
        <v>1546.1133310800003</v>
      </c>
      <c r="M36" s="3">
        <v>88.266259199000004</v>
      </c>
      <c r="N36" s="3">
        <v>0</v>
      </c>
      <c r="O36" s="3">
        <v>1634.379590279</v>
      </c>
      <c r="P36" s="3">
        <v>2410.2792157920003</v>
      </c>
      <c r="Q36" s="8">
        <v>67.80872438224776</v>
      </c>
    </row>
    <row r="37" spans="1:17" ht="27.75" customHeight="1" x14ac:dyDescent="0.25">
      <c r="A37" s="4" t="s">
        <v>28</v>
      </c>
      <c r="B37" s="9">
        <f>(B36-B33)/B33</f>
        <v>0.49229791964427505</v>
      </c>
      <c r="C37" s="9">
        <f t="shared" ref="C37:Q37" si="9">(C36-C33)/C33</f>
        <v>0.58164019958274493</v>
      </c>
      <c r="D37" s="9">
        <f t="shared" si="9"/>
        <v>0.56658025280164659</v>
      </c>
      <c r="E37" s="9">
        <f t="shared" si="9"/>
        <v>0.48085231742317852</v>
      </c>
      <c r="F37" s="9">
        <f t="shared" si="9"/>
        <v>0.54491435091917828</v>
      </c>
      <c r="G37" s="9">
        <f t="shared" si="9"/>
        <v>0.58305481582886731</v>
      </c>
      <c r="H37" s="9">
        <f t="shared" si="9"/>
        <v>-2.4092952769749199E-2</v>
      </c>
      <c r="I37" s="9">
        <f t="shared" si="9"/>
        <v>0.43116283863029631</v>
      </c>
      <c r="J37" s="9" t="s">
        <v>30</v>
      </c>
      <c r="K37" s="9">
        <f t="shared" si="9"/>
        <v>0.43116283863029631</v>
      </c>
      <c r="L37" s="9">
        <f t="shared" si="9"/>
        <v>0.54512827317764279</v>
      </c>
      <c r="M37" s="9">
        <f t="shared" si="9"/>
        <v>0.41871463367379547</v>
      </c>
      <c r="N37" s="9" t="s">
        <v>30</v>
      </c>
      <c r="O37" s="9">
        <f t="shared" si="9"/>
        <v>0.53772846721445533</v>
      </c>
      <c r="P37" s="9">
        <f t="shared" si="9"/>
        <v>0.5987829358594664</v>
      </c>
      <c r="Q37" s="9">
        <f t="shared" si="9"/>
        <v>-3.8188091250917405E-2</v>
      </c>
    </row>
    <row r="38" spans="1:17" x14ac:dyDescent="0.25">
      <c r="A38" s="11" t="s">
        <v>29</v>
      </c>
      <c r="B38" s="14" t="s">
        <v>30</v>
      </c>
      <c r="C38" s="14" t="s">
        <v>30</v>
      </c>
      <c r="D38" s="14" t="s">
        <v>30</v>
      </c>
      <c r="E38" s="14" t="s">
        <v>30</v>
      </c>
      <c r="F38" s="14" t="s">
        <v>30</v>
      </c>
      <c r="G38" s="14" t="s">
        <v>30</v>
      </c>
      <c r="H38" s="14" t="s">
        <v>30</v>
      </c>
      <c r="I38" s="14" t="s">
        <v>30</v>
      </c>
      <c r="J38" s="14" t="s">
        <v>30</v>
      </c>
      <c r="K38" s="14" t="s">
        <v>30</v>
      </c>
      <c r="L38" s="14" t="s">
        <v>30</v>
      </c>
      <c r="M38" s="14" t="s">
        <v>30</v>
      </c>
      <c r="N38" s="14" t="s">
        <v>30</v>
      </c>
      <c r="O38" s="14" t="s">
        <v>30</v>
      </c>
      <c r="P38" s="14" t="s">
        <v>30</v>
      </c>
      <c r="Q38" s="14" t="s">
        <v>30</v>
      </c>
    </row>
    <row r="39" spans="1:17" x14ac:dyDescent="0.25">
      <c r="A39" s="20" t="s">
        <v>34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25">
      <c r="A40" s="16" t="s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2021-08-27T23:41:15Z</cp:lastPrinted>
  <dcterms:created xsi:type="dcterms:W3CDTF">2018-10-29T04:00:15Z</dcterms:created>
  <dcterms:modified xsi:type="dcterms:W3CDTF">2021-08-27T23:41:30Z</dcterms:modified>
</cp:coreProperties>
</file>