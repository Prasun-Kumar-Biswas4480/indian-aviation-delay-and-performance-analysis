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5. SPICEJET\"/>
    </mc:Choice>
  </mc:AlternateContent>
  <bookViews>
    <workbookView xWindow="0" yWindow="0" windowWidth="24000" windowHeight="10725"/>
  </bookViews>
  <sheets>
    <sheet name="SPICEJET" sheetId="6" r:id="rId1"/>
  </sheets>
  <definedNames>
    <definedName name="_xlnm._FilterDatabase" localSheetId="0" hidden="1">SPICEJET!$A$6:$Q$40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6" l="1"/>
  <c r="P38" i="6"/>
  <c r="O38" i="6"/>
  <c r="M38" i="6"/>
  <c r="L38" i="6"/>
  <c r="K38" i="6"/>
  <c r="I38" i="6"/>
  <c r="H38" i="6"/>
  <c r="G38" i="6"/>
  <c r="F38" i="6"/>
  <c r="E38" i="6"/>
  <c r="D38" i="6"/>
  <c r="C38" i="6"/>
  <c r="B38" i="6"/>
  <c r="P37" i="6"/>
  <c r="O37" i="6"/>
  <c r="M37" i="6"/>
  <c r="L37" i="6"/>
  <c r="K37" i="6"/>
  <c r="I37" i="6"/>
  <c r="G37" i="6"/>
  <c r="F37" i="6"/>
  <c r="E37" i="6"/>
  <c r="D37" i="6"/>
  <c r="C37" i="6"/>
  <c r="B37" i="6"/>
  <c r="P35" i="6"/>
  <c r="O35" i="6"/>
  <c r="M35" i="6"/>
  <c r="L35" i="6"/>
  <c r="K35" i="6"/>
  <c r="I35" i="6"/>
  <c r="G35" i="6"/>
  <c r="F35" i="6"/>
  <c r="E35" i="6"/>
  <c r="D35" i="6"/>
  <c r="C35" i="6"/>
  <c r="B35" i="6"/>
  <c r="P34" i="6"/>
  <c r="O34" i="6"/>
  <c r="M34" i="6"/>
  <c r="L34" i="6"/>
  <c r="K34" i="6"/>
  <c r="I34" i="6"/>
  <c r="G34" i="6"/>
  <c r="F34" i="6"/>
  <c r="E34" i="6"/>
  <c r="D34" i="6"/>
  <c r="C34" i="6"/>
  <c r="B34" i="6"/>
  <c r="P32" i="6"/>
  <c r="O32" i="6"/>
  <c r="M32" i="6"/>
  <c r="L32" i="6"/>
  <c r="K32" i="6"/>
  <c r="I32" i="6"/>
  <c r="G32" i="6"/>
  <c r="F32" i="6"/>
  <c r="E32" i="6"/>
  <c r="D32" i="6"/>
  <c r="C32" i="6"/>
  <c r="B32" i="6"/>
  <c r="P31" i="6"/>
  <c r="O31" i="6"/>
  <c r="M31" i="6"/>
  <c r="L31" i="6"/>
  <c r="K31" i="6"/>
  <c r="I31" i="6"/>
  <c r="G31" i="6"/>
  <c r="F31" i="6"/>
  <c r="E31" i="6"/>
  <c r="D31" i="6"/>
  <c r="C31" i="6"/>
  <c r="B31" i="6"/>
  <c r="P29" i="6"/>
  <c r="O29" i="6"/>
  <c r="M29" i="6"/>
  <c r="L29" i="6"/>
  <c r="K29" i="6"/>
  <c r="I29" i="6"/>
  <c r="G29" i="6"/>
  <c r="F29" i="6"/>
  <c r="E29" i="6"/>
  <c r="D29" i="6"/>
  <c r="C29" i="6"/>
  <c r="B29" i="6"/>
  <c r="P28" i="6"/>
  <c r="O28" i="6"/>
  <c r="M28" i="6"/>
  <c r="L28" i="6"/>
  <c r="K28" i="6"/>
  <c r="I28" i="6"/>
  <c r="G28" i="6"/>
  <c r="F28" i="6"/>
  <c r="E28" i="6"/>
  <c r="D28" i="6"/>
  <c r="C28" i="6"/>
  <c r="B28" i="6"/>
  <c r="P26" i="6"/>
  <c r="O26" i="6"/>
  <c r="M26" i="6"/>
  <c r="L26" i="6"/>
  <c r="K26" i="6"/>
  <c r="I26" i="6"/>
  <c r="G26" i="6"/>
  <c r="F26" i="6"/>
  <c r="E26" i="6"/>
  <c r="D26" i="6"/>
  <c r="C26" i="6"/>
  <c r="B26" i="6"/>
  <c r="P25" i="6"/>
  <c r="O25" i="6"/>
  <c r="M25" i="6"/>
  <c r="L25" i="6"/>
  <c r="K25" i="6"/>
  <c r="I25" i="6"/>
  <c r="G25" i="6"/>
  <c r="F25" i="6"/>
  <c r="E25" i="6"/>
  <c r="D25" i="6"/>
  <c r="C25" i="6"/>
  <c r="B25" i="6"/>
  <c r="P23" i="6"/>
  <c r="O23" i="6"/>
  <c r="M23" i="6"/>
  <c r="L23" i="6"/>
  <c r="K23" i="6"/>
  <c r="I23" i="6"/>
  <c r="G23" i="6"/>
  <c r="F23" i="6"/>
  <c r="E23" i="6"/>
  <c r="D23" i="6"/>
  <c r="C23" i="6"/>
  <c r="B23" i="6"/>
  <c r="P22" i="6"/>
  <c r="O22" i="6"/>
  <c r="M22" i="6"/>
  <c r="L22" i="6"/>
  <c r="K22" i="6"/>
  <c r="I22" i="6"/>
  <c r="G22" i="6"/>
  <c r="F22" i="6"/>
  <c r="E22" i="6"/>
  <c r="D22" i="6"/>
  <c r="C22" i="6"/>
  <c r="B22" i="6"/>
  <c r="P20" i="6"/>
  <c r="O20" i="6"/>
  <c r="M20" i="6"/>
  <c r="L20" i="6"/>
  <c r="K20" i="6"/>
  <c r="I20" i="6"/>
  <c r="G20" i="6"/>
  <c r="F20" i="6"/>
  <c r="E20" i="6"/>
  <c r="D20" i="6"/>
  <c r="C20" i="6"/>
  <c r="B20" i="6"/>
  <c r="P19" i="6"/>
  <c r="O19" i="6"/>
  <c r="M19" i="6"/>
  <c r="L19" i="6"/>
  <c r="K19" i="6"/>
  <c r="I19" i="6"/>
  <c r="G19" i="6"/>
  <c r="F19" i="6"/>
  <c r="E19" i="6"/>
  <c r="D19" i="6"/>
  <c r="C19" i="6"/>
  <c r="B19" i="6"/>
  <c r="P17" i="6"/>
  <c r="O17" i="6"/>
  <c r="M17" i="6"/>
  <c r="L17" i="6"/>
  <c r="K17" i="6"/>
  <c r="I17" i="6"/>
  <c r="G17" i="6"/>
  <c r="F17" i="6"/>
  <c r="E17" i="6"/>
  <c r="D17" i="6"/>
  <c r="C17" i="6"/>
  <c r="B17" i="6"/>
  <c r="P16" i="6"/>
  <c r="O16" i="6"/>
  <c r="M16" i="6"/>
  <c r="L16" i="6"/>
  <c r="K16" i="6"/>
  <c r="I16" i="6"/>
  <c r="G16" i="6"/>
  <c r="F16" i="6"/>
  <c r="E16" i="6"/>
  <c r="D16" i="6"/>
  <c r="C16" i="6"/>
  <c r="B16" i="6"/>
  <c r="P14" i="6"/>
  <c r="O14" i="6"/>
  <c r="M14" i="6"/>
  <c r="L14" i="6"/>
  <c r="K14" i="6"/>
  <c r="I14" i="6"/>
  <c r="G14" i="6"/>
  <c r="F14" i="6"/>
  <c r="E14" i="6"/>
  <c r="D14" i="6"/>
  <c r="C14" i="6"/>
  <c r="B14" i="6"/>
  <c r="P13" i="6"/>
  <c r="O13" i="6"/>
  <c r="M13" i="6"/>
  <c r="L13" i="6"/>
  <c r="K13" i="6"/>
  <c r="I13" i="6"/>
  <c r="G13" i="6"/>
  <c r="F13" i="6"/>
  <c r="E13" i="6"/>
  <c r="D13" i="6"/>
  <c r="C13" i="6"/>
  <c r="B13" i="6"/>
  <c r="P11" i="6"/>
  <c r="O11" i="6"/>
  <c r="M11" i="6"/>
  <c r="L11" i="6"/>
  <c r="K11" i="6"/>
  <c r="I11" i="6"/>
  <c r="G11" i="6"/>
  <c r="F11" i="6"/>
  <c r="E11" i="6"/>
  <c r="D11" i="6"/>
  <c r="C11" i="6"/>
  <c r="B11" i="6"/>
  <c r="P10" i="6"/>
  <c r="O10" i="6"/>
  <c r="M10" i="6"/>
  <c r="L10" i="6"/>
  <c r="K10" i="6"/>
  <c r="I10" i="6"/>
  <c r="G10" i="6"/>
  <c r="F10" i="6"/>
  <c r="E10" i="6"/>
  <c r="D10" i="6"/>
  <c r="C10" i="6"/>
  <c r="B10" i="6"/>
  <c r="Q33" i="6" l="1"/>
  <c r="Q30" i="6"/>
  <c r="Q27" i="6"/>
  <c r="Q24" i="6"/>
  <c r="Q21" i="6"/>
  <c r="Q18" i="6"/>
  <c r="Q15" i="6"/>
  <c r="Q12" i="6"/>
  <c r="Q9" i="6"/>
  <c r="Q6" i="6"/>
  <c r="H33" i="6"/>
  <c r="H30" i="6"/>
  <c r="H27" i="6"/>
  <c r="H24" i="6"/>
  <c r="H21" i="6"/>
  <c r="H18" i="6"/>
  <c r="H15" i="6"/>
  <c r="H12" i="6"/>
  <c r="H9" i="6"/>
  <c r="H6" i="6"/>
  <c r="H20" i="6" l="1"/>
  <c r="H19" i="6"/>
  <c r="H25" i="6"/>
  <c r="H26" i="6"/>
  <c r="Q26" i="6"/>
  <c r="Q25" i="6"/>
  <c r="Q14" i="6"/>
  <c r="Q13" i="6"/>
  <c r="H28" i="6"/>
  <c r="H29" i="6"/>
  <c r="H34" i="6"/>
  <c r="H35" i="6"/>
  <c r="H37" i="6"/>
  <c r="Q17" i="6"/>
  <c r="Q16" i="6"/>
  <c r="Q23" i="6"/>
  <c r="Q22" i="6"/>
  <c r="H14" i="6"/>
  <c r="H13" i="6"/>
  <c r="Q32" i="6"/>
  <c r="Q31" i="6"/>
  <c r="H22" i="6"/>
  <c r="H23" i="6"/>
  <c r="Q20" i="6"/>
  <c r="Q19" i="6"/>
  <c r="H31" i="6"/>
  <c r="H32" i="6"/>
  <c r="H10" i="6"/>
  <c r="H11" i="6"/>
  <c r="Q29" i="6"/>
  <c r="Q28" i="6"/>
  <c r="H16" i="6"/>
  <c r="H17" i="6"/>
  <c r="Q10" i="6"/>
  <c r="Q11" i="6"/>
  <c r="Q34" i="6"/>
  <c r="Q35" i="6"/>
  <c r="Q37" i="6"/>
</calcChain>
</file>

<file path=xl/sharedStrings.xml><?xml version="1.0" encoding="utf-8"?>
<sst xmlns="http://schemas.openxmlformats.org/spreadsheetml/2006/main" count="131" uniqueCount="38">
  <si>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</si>
  <si>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</si>
  <si>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</si>
  <si>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</si>
  <si>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</si>
  <si>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</si>
  <si>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</si>
  <si>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</si>
  <si>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</si>
  <si>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</si>
  <si>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</si>
  <si>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</si>
  <si>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</si>
  <si>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</si>
  <si>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</si>
  <si>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</si>
  <si>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</si>
  <si>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</si>
  <si>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</si>
  <si>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</si>
  <si>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</si>
  <si>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</si>
  <si>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</si>
  <si>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</si>
  <si>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</si>
  <si>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</si>
  <si>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</si>
  <si>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</si>
  <si>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</si>
  <si>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</si>
  <si>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</si>
  <si>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</si>
  <si>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(SPICEJET)</t>
  </si>
  <si>
    <t>SOURCE: ICAO ATR FORM 'A' FURNISHED BY SPICEJET</t>
  </si>
  <si>
    <t xml:space="preserve"> तालिका- 1.06 (स्पाइसजेट) 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</si>
  <si>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</si>
  <si>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</si>
  <si>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 SPICEJET ON TOTAL (DOMESTIC + INTERNATIONAL) SCHEDULED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</si>
</sst>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0" fontId="3" fillId="3" borderId="1" xfId="2" applyFont="1" applyBorder="1" applyAlignment="1" applyProtection="1">
      <alignment horizontal="center" vertical="center" textRotation="90" wrapText="1"/>
    </xf>
    <xf numFmtId="0" fontId="5" fillId="6" borderId="1" xfId="5" applyFont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8" fontId="6" fillId="7" borderId="1" xfId="1" applyNumberFormat="1" applyFont="1" applyFill="1" applyBorder="1" applyAlignment="1" applyProtection="1">
      <alignment horizontal="center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0" fontId="4" fillId="4" borderId="1" xfId="3" applyFont="1" applyBorder="1" applyAlignment="1" applyProtection="1">
      <alignment horizontal="center" vertical="center" wrapText="1"/>
    </xf>
    <xf numFmtId="165" fontId="4" fillId="4" borderId="1" xfId="1" applyNumberFormat="1" applyFont="1" applyFill="1" applyBorder="1" applyAlignment="1" applyProtection="1">
      <alignment horizontal="center" vertical="center" wrapText="1"/>
    </xf>
    <xf numFmtId="165" fontId="4" fillId="8" borderId="1" xfId="1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center" vertical="center" wrapText="1"/>
    </xf>
    <xf numFmtId="165" fontId="4" fillId="4" borderId="1" xfId="1" applyNumberFormat="1" applyFont="1" applyFill="1" applyBorder="1" applyAlignment="1" applyProtection="1">
      <alignment horizontal="right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4" fillId="4" borderId="1" xfId="3" applyNumberFormat="1" applyFont="1" applyBorder="1" applyAlignment="1" applyProtection="1">
      <alignment horizontal="righ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7" fillId="2" borderId="2" xfId="0" applyFont="1" applyFill="1" applyBorder="1" applyAlignment="1" applyProtection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zoomScale="115" zoomScaleNormal="115" workbookViewId="0">
      <selection activeCell="S5" sqref="S5"/>
    </sheetView>
  </sheetViews>
  <sheetFormatPr defaultRowHeight="12.75" x14ac:dyDescent="0.2"/>
  <cols>
    <col min="1" max="1" width="7.5703125" style="1" customWidth="1"/>
    <col min="2" max="2" width="8" style="1" customWidth="1"/>
    <col min="3" max="3" width="9.7109375" style="1" customWidth="1"/>
    <col min="4" max="4" width="9.85546875" style="1" customWidth="1"/>
    <col min="5" max="5" width="10.42578125" style="1" customWidth="1"/>
    <col min="6" max="6" width="8.42578125" style="1" customWidth="1"/>
    <col min="7" max="7" width="8" style="1" customWidth="1"/>
    <col min="8" max="8" width="5.7109375" style="1" customWidth="1"/>
    <col min="9" max="9" width="9" style="1" customWidth="1"/>
    <col min="10" max="10" width="4.28515625" style="1" customWidth="1"/>
    <col min="11" max="11" width="9.28515625" style="1" customWidth="1"/>
    <col min="12" max="12" width="7" style="1" customWidth="1"/>
    <col min="13" max="13" width="7.28515625" style="1" customWidth="1"/>
    <col min="14" max="14" width="4.28515625" style="1" customWidth="1"/>
    <col min="15" max="15" width="6.85546875" style="1" customWidth="1"/>
    <col min="16" max="16" width="8.42578125" style="1" customWidth="1"/>
    <col min="17" max="17" width="7.28515625" style="1" customWidth="1"/>
    <col min="18" max="16384" width="9.140625" style="1"/>
  </cols>
  <sheetData>
    <row r="1" spans="1:17" x14ac:dyDescent="0.2">
      <c r="A1" s="22" t="s">
        <v>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">
      <c r="A2" s="23" t="s">
        <v>32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">
      <c r="A3" s="25" t="s">
        <v>37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">
      <c r="A4" s="25" t="s">
        <v>0</v>
      </c>
      <c r="B4" s="25" t="s">
        <v>1</v>
      </c>
      <c r="C4" s="25"/>
      <c r="D4" s="25"/>
      <c r="E4" s="25" t="s">
        <v>2</v>
      </c>
      <c r="F4" s="26"/>
      <c r="G4" s="17" t="s">
        <v>3</v>
      </c>
      <c r="H4" s="17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7" t="s">
        <v>7</v>
      </c>
      <c r="Q4" s="17" t="s">
        <v>8</v>
      </c>
    </row>
    <row r="5" spans="1:17" ht="117" customHeight="1" x14ac:dyDescent="0.2">
      <c r="A5" s="25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18"/>
      <c r="H5" s="18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18"/>
      <c r="Q5" s="18"/>
    </row>
    <row r="6" spans="1:17" x14ac:dyDescent="0.2">
      <c r="A6" s="3" t="s">
        <v>19</v>
      </c>
      <c r="B6" s="4">
        <v>44609</v>
      </c>
      <c r="C6" s="4">
        <v>74242</v>
      </c>
      <c r="D6" s="4">
        <v>44979.204000000005</v>
      </c>
      <c r="E6" s="4">
        <v>5692049</v>
      </c>
      <c r="F6" s="4">
        <v>6712.6885159999993</v>
      </c>
      <c r="G6" s="4">
        <v>8760.3131970000013</v>
      </c>
      <c r="H6" s="5">
        <f>F6/G6*100</f>
        <v>76.626124717764455</v>
      </c>
      <c r="I6" s="6">
        <v>25771</v>
      </c>
      <c r="J6" s="6">
        <v>0</v>
      </c>
      <c r="K6" s="6">
        <v>25771</v>
      </c>
      <c r="L6" s="6">
        <v>590.52082799999994</v>
      </c>
      <c r="M6" s="6">
        <v>33.714064</v>
      </c>
      <c r="N6" s="6">
        <v>0</v>
      </c>
      <c r="O6" s="6">
        <v>624.23489199999995</v>
      </c>
      <c r="P6" s="6">
        <v>827.63430199999993</v>
      </c>
      <c r="Q6" s="5">
        <f>O6/P6*100</f>
        <v>75.423999523886337</v>
      </c>
    </row>
    <row r="7" spans="1:17" x14ac:dyDescent="0.2">
      <c r="A7" s="7" t="s">
        <v>28</v>
      </c>
      <c r="B7" s="8" t="s">
        <v>29</v>
      </c>
      <c r="C7" s="8" t="s">
        <v>29</v>
      </c>
      <c r="D7" s="8" t="s">
        <v>29</v>
      </c>
      <c r="E7" s="8" t="s">
        <v>29</v>
      </c>
      <c r="F7" s="8" t="s">
        <v>29</v>
      </c>
      <c r="G7" s="8" t="s">
        <v>29</v>
      </c>
      <c r="H7" s="9" t="s">
        <v>29</v>
      </c>
      <c r="I7" s="8" t="s">
        <v>29</v>
      </c>
      <c r="J7" s="8" t="s">
        <v>29</v>
      </c>
      <c r="K7" s="8" t="s">
        <v>29</v>
      </c>
      <c r="L7" s="8" t="s">
        <v>29</v>
      </c>
      <c r="M7" s="8" t="s">
        <v>29</v>
      </c>
      <c r="N7" s="8" t="s">
        <v>29</v>
      </c>
      <c r="O7" s="8" t="s">
        <v>29</v>
      </c>
      <c r="P7" s="8" t="s">
        <v>29</v>
      </c>
      <c r="Q7" s="9" t="s">
        <v>29</v>
      </c>
    </row>
    <row r="8" spans="1:17" x14ac:dyDescent="0.2">
      <c r="A8" s="10" t="s">
        <v>30</v>
      </c>
      <c r="B8" s="11" t="s">
        <v>29</v>
      </c>
      <c r="C8" s="11" t="s">
        <v>29</v>
      </c>
      <c r="D8" s="11" t="s">
        <v>29</v>
      </c>
      <c r="E8" s="11" t="s">
        <v>29</v>
      </c>
      <c r="F8" s="11" t="s">
        <v>29</v>
      </c>
      <c r="G8" s="11" t="s">
        <v>29</v>
      </c>
      <c r="H8" s="11" t="s">
        <v>29</v>
      </c>
      <c r="I8" s="11" t="s">
        <v>29</v>
      </c>
      <c r="J8" s="11" t="s">
        <v>29</v>
      </c>
      <c r="K8" s="11" t="s">
        <v>29</v>
      </c>
      <c r="L8" s="11" t="s">
        <v>29</v>
      </c>
      <c r="M8" s="11" t="s">
        <v>29</v>
      </c>
      <c r="N8" s="11" t="s">
        <v>29</v>
      </c>
      <c r="O8" s="11" t="s">
        <v>29</v>
      </c>
      <c r="P8" s="11" t="s">
        <v>29</v>
      </c>
      <c r="Q8" s="11" t="s">
        <v>29</v>
      </c>
    </row>
    <row r="9" spans="1:17" x14ac:dyDescent="0.2">
      <c r="A9" s="3" t="s">
        <v>20</v>
      </c>
      <c r="B9" s="4">
        <v>53937</v>
      </c>
      <c r="C9" s="4">
        <v>85216</v>
      </c>
      <c r="D9" s="4">
        <v>53666.788269851</v>
      </c>
      <c r="E9" s="4">
        <v>7384010</v>
      </c>
      <c r="F9" s="4">
        <v>8485.097237</v>
      </c>
      <c r="G9" s="4">
        <v>10434.448784</v>
      </c>
      <c r="H9" s="5">
        <f t="shared" ref="H9:H33" si="0">F9/G9*100</f>
        <v>81.318116679157015</v>
      </c>
      <c r="I9" s="6">
        <v>46599</v>
      </c>
      <c r="J9" s="6">
        <v>0</v>
      </c>
      <c r="K9" s="6">
        <v>46599</v>
      </c>
      <c r="L9" s="6">
        <v>636.42819059999999</v>
      </c>
      <c r="M9" s="6">
        <v>61.092424000000001</v>
      </c>
      <c r="N9" s="6">
        <v>0</v>
      </c>
      <c r="O9" s="6">
        <v>697.52061459999993</v>
      </c>
      <c r="P9" s="6">
        <v>895.72793100000001</v>
      </c>
      <c r="Q9" s="5">
        <f t="shared" ref="Q9:Q33" si="1">O9/P9*100</f>
        <v>77.871928568899335</v>
      </c>
    </row>
    <row r="10" spans="1:17" x14ac:dyDescent="0.2">
      <c r="A10" s="7" t="s">
        <v>28</v>
      </c>
      <c r="B10" s="12">
        <f>(B9-B6)/B6</f>
        <v>0.20910578582797193</v>
      </c>
      <c r="C10" s="12">
        <f t="shared" ref="C10:Q10" si="2">(C9-C6)/C6</f>
        <v>0.14781390587538051</v>
      </c>
      <c r="D10" s="12">
        <f t="shared" si="2"/>
        <v>0.19314668774153926</v>
      </c>
      <c r="E10" s="12">
        <f t="shared" si="2"/>
        <v>0.29724990069481133</v>
      </c>
      <c r="F10" s="12">
        <f t="shared" si="2"/>
        <v>0.26403857661135083</v>
      </c>
      <c r="G10" s="12">
        <f t="shared" si="2"/>
        <v>0.1911045358028195</v>
      </c>
      <c r="H10" s="9">
        <f t="shared" si="2"/>
        <v>6.1232275267403706E-2</v>
      </c>
      <c r="I10" s="12">
        <f t="shared" si="2"/>
        <v>0.80819525823600169</v>
      </c>
      <c r="J10" s="12" t="s">
        <v>29</v>
      </c>
      <c r="K10" s="12">
        <f t="shared" si="2"/>
        <v>0.80819525823600169</v>
      </c>
      <c r="L10" s="12">
        <f t="shared" si="2"/>
        <v>7.7740463034099899E-2</v>
      </c>
      <c r="M10" s="12">
        <f t="shared" si="2"/>
        <v>0.8120753404276625</v>
      </c>
      <c r="N10" s="12" t="s">
        <v>29</v>
      </c>
      <c r="O10" s="12">
        <f t="shared" si="2"/>
        <v>0.11740087511801565</v>
      </c>
      <c r="P10" s="12">
        <f t="shared" si="2"/>
        <v>8.2275020302384816E-2</v>
      </c>
      <c r="Q10" s="9">
        <f t="shared" si="2"/>
        <v>3.2455571972655112E-2</v>
      </c>
    </row>
    <row r="11" spans="1:17" x14ac:dyDescent="0.2">
      <c r="A11" s="10" t="s">
        <v>30</v>
      </c>
      <c r="B11" s="13">
        <f>(((B9/B6)^(1/1))-1)</f>
        <v>0.2091057858279719</v>
      </c>
      <c r="C11" s="13">
        <f t="shared" ref="C11:Q11" si="3">(((C9/C6)^(1/1))-1)</f>
        <v>0.14781390587538046</v>
      </c>
      <c r="D11" s="13">
        <f t="shared" si="3"/>
        <v>0.19314668774153931</v>
      </c>
      <c r="E11" s="13">
        <f t="shared" si="3"/>
        <v>0.29724990069481128</v>
      </c>
      <c r="F11" s="13">
        <f t="shared" si="3"/>
        <v>0.26403857661135088</v>
      </c>
      <c r="G11" s="13">
        <f t="shared" si="3"/>
        <v>0.19110453580281939</v>
      </c>
      <c r="H11" s="11">
        <f t="shared" si="3"/>
        <v>6.1232275267403713E-2</v>
      </c>
      <c r="I11" s="13">
        <f t="shared" si="3"/>
        <v>0.80819525823600169</v>
      </c>
      <c r="J11" s="13" t="s">
        <v>29</v>
      </c>
      <c r="K11" s="13">
        <f t="shared" si="3"/>
        <v>0.80819525823600169</v>
      </c>
      <c r="L11" s="13">
        <f t="shared" si="3"/>
        <v>7.7740463034099871E-2</v>
      </c>
      <c r="M11" s="13">
        <f t="shared" si="3"/>
        <v>0.81207534042766238</v>
      </c>
      <c r="N11" s="13" t="s">
        <v>29</v>
      </c>
      <c r="O11" s="13">
        <f t="shared" si="3"/>
        <v>0.11740087511801556</v>
      </c>
      <c r="P11" s="13">
        <f t="shared" si="3"/>
        <v>8.227502030238476E-2</v>
      </c>
      <c r="Q11" s="11">
        <f t="shared" si="3"/>
        <v>3.2455571972655139E-2</v>
      </c>
    </row>
    <row r="12" spans="1:17" x14ac:dyDescent="0.2">
      <c r="A12" s="3" t="s">
        <v>21</v>
      </c>
      <c r="B12" s="4">
        <v>81034</v>
      </c>
      <c r="C12" s="4">
        <v>117173</v>
      </c>
      <c r="D12" s="4">
        <v>75409.953209999992</v>
      </c>
      <c r="E12" s="4">
        <v>9572842</v>
      </c>
      <c r="F12" s="4">
        <v>10223.659045</v>
      </c>
      <c r="G12" s="4">
        <v>13729.761013999998</v>
      </c>
      <c r="H12" s="5">
        <f t="shared" si="0"/>
        <v>74.46348872769974</v>
      </c>
      <c r="I12" s="6">
        <v>51863.199000000001</v>
      </c>
      <c r="J12" s="6">
        <v>0</v>
      </c>
      <c r="K12" s="6">
        <v>51863.199000000001</v>
      </c>
      <c r="L12" s="6">
        <v>766.77401099999997</v>
      </c>
      <c r="M12" s="6">
        <v>66.988570867999996</v>
      </c>
      <c r="N12" s="6">
        <v>0</v>
      </c>
      <c r="O12" s="6">
        <v>833.76258186799998</v>
      </c>
      <c r="P12" s="6">
        <v>1180.204097</v>
      </c>
      <c r="Q12" s="5">
        <f t="shared" si="1"/>
        <v>70.645626801954748</v>
      </c>
    </row>
    <row r="13" spans="1:17" x14ac:dyDescent="0.2">
      <c r="A13" s="7" t="s">
        <v>28</v>
      </c>
      <c r="B13" s="12">
        <f>(B12-B9)/B9</f>
        <v>0.502382409106921</v>
      </c>
      <c r="C13" s="12">
        <f t="shared" ref="C13:Q13" si="4">(C12-C9)/C9</f>
        <v>0.37501173488546752</v>
      </c>
      <c r="D13" s="12">
        <f t="shared" si="4"/>
        <v>0.40515122371062207</v>
      </c>
      <c r="E13" s="12">
        <f t="shared" si="4"/>
        <v>0.29642863430574984</v>
      </c>
      <c r="F13" s="12">
        <f t="shared" si="4"/>
        <v>0.2048959203930924</v>
      </c>
      <c r="G13" s="12">
        <f t="shared" si="4"/>
        <v>0.31581085864861125</v>
      </c>
      <c r="H13" s="9">
        <f t="shared" si="4"/>
        <v>-8.4293983080085427E-2</v>
      </c>
      <c r="I13" s="12">
        <f t="shared" si="4"/>
        <v>0.11296806798429151</v>
      </c>
      <c r="J13" s="12" t="s">
        <v>29</v>
      </c>
      <c r="K13" s="12">
        <f t="shared" si="4"/>
        <v>0.11296806798429151</v>
      </c>
      <c r="L13" s="12">
        <f t="shared" si="4"/>
        <v>0.20480837009610614</v>
      </c>
      <c r="M13" s="12">
        <f t="shared" si="4"/>
        <v>9.6511915585474159E-2</v>
      </c>
      <c r="N13" s="12" t="s">
        <v>29</v>
      </c>
      <c r="O13" s="12">
        <f t="shared" si="4"/>
        <v>0.19532321255641935</v>
      </c>
      <c r="P13" s="12">
        <f t="shared" si="4"/>
        <v>0.31759215734448282</v>
      </c>
      <c r="Q13" s="9">
        <f t="shared" si="4"/>
        <v>-9.2797262116744897E-2</v>
      </c>
    </row>
    <row r="14" spans="1:17" x14ac:dyDescent="0.2">
      <c r="A14" s="10" t="s">
        <v>30</v>
      </c>
      <c r="B14" s="13">
        <f>(((B12/B6)^(1/2))-1)</f>
        <v>0.34779051168100494</v>
      </c>
      <c r="C14" s="13">
        <f t="shared" ref="C14:Q14" si="5">(((C12/C6)^(1/2))-1)</f>
        <v>0.25628722434138118</v>
      </c>
      <c r="D14" s="13">
        <f t="shared" si="5"/>
        <v>0.29481717950693698</v>
      </c>
      <c r="E14" s="13">
        <f t="shared" si="5"/>
        <v>0.29683920248851359</v>
      </c>
      <c r="F14" s="13">
        <f t="shared" si="5"/>
        <v>0.23411301110494254</v>
      </c>
      <c r="G14" s="13">
        <f t="shared" si="5"/>
        <v>0.25190585987723679</v>
      </c>
      <c r="H14" s="11">
        <f t="shared" si="5"/>
        <v>-1.4212609224497852E-2</v>
      </c>
      <c r="I14" s="13">
        <f t="shared" si="5"/>
        <v>0.41861326058136084</v>
      </c>
      <c r="J14" s="13" t="s">
        <v>29</v>
      </c>
      <c r="K14" s="13">
        <f t="shared" si="5"/>
        <v>0.41861326058136084</v>
      </c>
      <c r="L14" s="13">
        <f t="shared" si="5"/>
        <v>0.13950459878612897</v>
      </c>
      <c r="M14" s="13">
        <f t="shared" si="5"/>
        <v>0.40959646804237426</v>
      </c>
      <c r="N14" s="13" t="s">
        <v>29</v>
      </c>
      <c r="O14" s="13">
        <f t="shared" si="5"/>
        <v>0.15570550044525655</v>
      </c>
      <c r="P14" s="13">
        <f t="shared" si="5"/>
        <v>0.19415119597154162</v>
      </c>
      <c r="Q14" s="11">
        <f t="shared" si="5"/>
        <v>-3.2194998134223884E-2</v>
      </c>
    </row>
    <row r="15" spans="1:17" x14ac:dyDescent="0.2">
      <c r="A15" s="3" t="s">
        <v>22</v>
      </c>
      <c r="B15" s="4">
        <v>109238</v>
      </c>
      <c r="C15" s="4">
        <v>150789</v>
      </c>
      <c r="D15" s="4">
        <v>94977.811000000002</v>
      </c>
      <c r="E15" s="4">
        <v>11681066</v>
      </c>
      <c r="F15" s="4">
        <v>12033.715024000001</v>
      </c>
      <c r="G15" s="4">
        <v>16105.504767</v>
      </c>
      <c r="H15" s="5">
        <f t="shared" si="0"/>
        <v>74.718024663573104</v>
      </c>
      <c r="I15" s="6">
        <v>67185.058999999994</v>
      </c>
      <c r="J15" s="6">
        <v>0</v>
      </c>
      <c r="K15" s="6">
        <v>67185.058999999994</v>
      </c>
      <c r="L15" s="6">
        <v>902.54224600000009</v>
      </c>
      <c r="M15" s="6">
        <v>79.945281402000006</v>
      </c>
      <c r="N15" s="6">
        <v>0</v>
      </c>
      <c r="O15" s="6">
        <v>982.48752740199996</v>
      </c>
      <c r="P15" s="6">
        <v>1391.8565600000004</v>
      </c>
      <c r="Q15" s="5">
        <f t="shared" si="1"/>
        <v>70.588274369450815</v>
      </c>
    </row>
    <row r="16" spans="1:17" x14ac:dyDescent="0.2">
      <c r="A16" s="7" t="s">
        <v>28</v>
      </c>
      <c r="B16" s="12">
        <f>(B15-B12)/B12</f>
        <v>0.34805143520003951</v>
      </c>
      <c r="C16" s="12">
        <f t="shared" ref="C16:Q16" si="6">(C15-C12)/C12</f>
        <v>0.28689203144069025</v>
      </c>
      <c r="D16" s="12">
        <f t="shared" si="6"/>
        <v>0.25948640672813927</v>
      </c>
      <c r="E16" s="12">
        <f t="shared" si="6"/>
        <v>0.22022968727573275</v>
      </c>
      <c r="F16" s="12">
        <f t="shared" si="6"/>
        <v>0.17704580826032434</v>
      </c>
      <c r="G16" s="12">
        <f t="shared" si="6"/>
        <v>0.1730360601744996</v>
      </c>
      <c r="H16" s="9">
        <f t="shared" si="6"/>
        <v>3.4182649808976568E-3</v>
      </c>
      <c r="I16" s="12">
        <f t="shared" si="6"/>
        <v>0.2954283633757338</v>
      </c>
      <c r="J16" s="12" t="s">
        <v>29</v>
      </c>
      <c r="K16" s="12">
        <f t="shared" si="6"/>
        <v>0.2954283633757338</v>
      </c>
      <c r="L16" s="12">
        <f t="shared" si="6"/>
        <v>0.17706421064393654</v>
      </c>
      <c r="M16" s="12">
        <f t="shared" si="6"/>
        <v>0.19341673312498364</v>
      </c>
      <c r="N16" s="12" t="s">
        <v>29</v>
      </c>
      <c r="O16" s="12">
        <f t="shared" si="6"/>
        <v>0.17837805241965857</v>
      </c>
      <c r="P16" s="12">
        <f t="shared" si="6"/>
        <v>0.17933547556563037</v>
      </c>
      <c r="Q16" s="9">
        <f t="shared" si="6"/>
        <v>-8.1183273615382558E-4</v>
      </c>
    </row>
    <row r="17" spans="1:17" x14ac:dyDescent="0.2">
      <c r="A17" s="10" t="s">
        <v>30</v>
      </c>
      <c r="B17" s="13">
        <f>(((B15/B6)^(1/3))-1)</f>
        <v>0.34787748057538614</v>
      </c>
      <c r="C17" s="13">
        <f t="shared" ref="C17:Q17" si="7">(((C15/C6)^(1/3))-1)</f>
        <v>0.26640708852159167</v>
      </c>
      <c r="D17" s="13">
        <f t="shared" si="7"/>
        <v>0.28293148508645594</v>
      </c>
      <c r="E17" s="13">
        <f t="shared" si="7"/>
        <v>0.27078266698023512</v>
      </c>
      <c r="F17" s="13">
        <f t="shared" si="7"/>
        <v>0.21478962941181501</v>
      </c>
      <c r="G17" s="13">
        <f t="shared" si="7"/>
        <v>0.2250436659704147</v>
      </c>
      <c r="H17" s="11">
        <f t="shared" si="7"/>
        <v>-8.3703437219740939E-3</v>
      </c>
      <c r="I17" s="13">
        <f t="shared" si="7"/>
        <v>0.376302220783858</v>
      </c>
      <c r="J17" s="13" t="s">
        <v>29</v>
      </c>
      <c r="K17" s="13">
        <f t="shared" si="7"/>
        <v>0.376302220783858</v>
      </c>
      <c r="L17" s="13">
        <f t="shared" si="7"/>
        <v>0.15188937700213101</v>
      </c>
      <c r="M17" s="13">
        <f t="shared" si="7"/>
        <v>0.33350273126810404</v>
      </c>
      <c r="N17" s="13" t="s">
        <v>29</v>
      </c>
      <c r="O17" s="13">
        <f t="shared" si="7"/>
        <v>0.16321412850316608</v>
      </c>
      <c r="P17" s="13">
        <f t="shared" si="7"/>
        <v>0.18919205641259906</v>
      </c>
      <c r="Q17" s="11">
        <f t="shared" si="7"/>
        <v>-2.1845023072051051E-2</v>
      </c>
    </row>
    <row r="18" spans="1:17" x14ac:dyDescent="0.2">
      <c r="A18" s="3" t="s">
        <v>23</v>
      </c>
      <c r="B18" s="4">
        <v>121738</v>
      </c>
      <c r="C18" s="4">
        <v>174079</v>
      </c>
      <c r="D18" s="4">
        <v>107618.33799999999</v>
      </c>
      <c r="E18" s="4">
        <v>12610917</v>
      </c>
      <c r="F18" s="4">
        <v>13366.902354</v>
      </c>
      <c r="G18" s="4">
        <v>18494.116624000002</v>
      </c>
      <c r="H18" s="5">
        <f t="shared" si="0"/>
        <v>72.276511637509827</v>
      </c>
      <c r="I18" s="6">
        <v>80431.520600000003</v>
      </c>
      <c r="J18" s="6">
        <v>0</v>
      </c>
      <c r="K18" s="6">
        <v>80431.520600000003</v>
      </c>
      <c r="L18" s="6">
        <v>1001.3792419999999</v>
      </c>
      <c r="M18" s="6">
        <v>105.14817649499997</v>
      </c>
      <c r="N18" s="6">
        <v>0</v>
      </c>
      <c r="O18" s="6">
        <v>1106.5274184949999</v>
      </c>
      <c r="P18" s="6">
        <v>1582.6904880000002</v>
      </c>
      <c r="Q18" s="5">
        <f t="shared" si="1"/>
        <v>69.914327967768756</v>
      </c>
    </row>
    <row r="19" spans="1:17" x14ac:dyDescent="0.2">
      <c r="A19" s="7" t="s">
        <v>28</v>
      </c>
      <c r="B19" s="14">
        <f>(B18-B15)/B15</f>
        <v>0.11442904483787693</v>
      </c>
      <c r="C19" s="14">
        <f t="shared" ref="C19:Q19" si="8">(C18-C15)/C15</f>
        <v>0.15445423737805808</v>
      </c>
      <c r="D19" s="14">
        <f t="shared" si="8"/>
        <v>0.13308926439671248</v>
      </c>
      <c r="E19" s="14">
        <f t="shared" si="8"/>
        <v>7.960326566085664E-2</v>
      </c>
      <c r="F19" s="14">
        <f t="shared" si="8"/>
        <v>0.11078767673499784</v>
      </c>
      <c r="G19" s="14">
        <f t="shared" si="8"/>
        <v>0.14831027599297855</v>
      </c>
      <c r="H19" s="9">
        <f t="shared" si="8"/>
        <v>-3.2676359379901737E-2</v>
      </c>
      <c r="I19" s="14">
        <f t="shared" si="8"/>
        <v>0.19716380095759103</v>
      </c>
      <c r="J19" s="12" t="s">
        <v>29</v>
      </c>
      <c r="K19" s="14">
        <f t="shared" si="8"/>
        <v>0.19716380095759103</v>
      </c>
      <c r="L19" s="14">
        <f t="shared" si="8"/>
        <v>0.10950955086926729</v>
      </c>
      <c r="M19" s="14">
        <f t="shared" si="8"/>
        <v>0.31525181537943103</v>
      </c>
      <c r="N19" s="12" t="s">
        <v>29</v>
      </c>
      <c r="O19" s="14">
        <f t="shared" si="8"/>
        <v>0.1262508557447031</v>
      </c>
      <c r="P19" s="14">
        <f t="shared" si="8"/>
        <v>0.13710746745339888</v>
      </c>
      <c r="Q19" s="9">
        <f t="shared" si="8"/>
        <v>-9.5475687386080872E-3</v>
      </c>
    </row>
    <row r="20" spans="1:17" x14ac:dyDescent="0.2">
      <c r="A20" s="10" t="s">
        <v>30</v>
      </c>
      <c r="B20" s="13">
        <f>(((B18/B6)^(1/4))-1)</f>
        <v>0.28528937882292293</v>
      </c>
      <c r="C20" s="13">
        <f t="shared" ref="C20:Q20" si="9">(((C18/C6)^(1/4))-1)</f>
        <v>0.23744008465585686</v>
      </c>
      <c r="D20" s="13">
        <f t="shared" si="9"/>
        <v>0.24370857546081992</v>
      </c>
      <c r="E20" s="13">
        <f t="shared" si="9"/>
        <v>0.22002718911671759</v>
      </c>
      <c r="F20" s="13">
        <f t="shared" si="9"/>
        <v>0.1879100867819028</v>
      </c>
      <c r="G20" s="13">
        <f t="shared" si="9"/>
        <v>0.2053925131398584</v>
      </c>
      <c r="H20" s="11">
        <f t="shared" si="9"/>
        <v>-1.4503513309881755E-2</v>
      </c>
      <c r="I20" s="13">
        <f t="shared" si="9"/>
        <v>0.3291492547384387</v>
      </c>
      <c r="J20" s="13" t="s">
        <v>29</v>
      </c>
      <c r="K20" s="13">
        <f t="shared" si="9"/>
        <v>0.3291492547384387</v>
      </c>
      <c r="L20" s="13">
        <f t="shared" si="9"/>
        <v>0.14114502471427959</v>
      </c>
      <c r="M20" s="13">
        <f t="shared" si="9"/>
        <v>0.3289163957236505</v>
      </c>
      <c r="N20" s="13" t="s">
        <v>29</v>
      </c>
      <c r="O20" s="13">
        <f t="shared" si="9"/>
        <v>0.15386110694600941</v>
      </c>
      <c r="P20" s="13">
        <f t="shared" si="9"/>
        <v>0.1759514109948912</v>
      </c>
      <c r="Q20" s="11">
        <f t="shared" si="9"/>
        <v>-1.8785048295654416E-2</v>
      </c>
    </row>
    <row r="21" spans="1:17" x14ac:dyDescent="0.2">
      <c r="A21" s="3" t="s">
        <v>24</v>
      </c>
      <c r="B21" s="4">
        <v>102615</v>
      </c>
      <c r="C21" s="4">
        <v>139259</v>
      </c>
      <c r="D21" s="4">
        <v>86019.104999999996</v>
      </c>
      <c r="E21" s="4">
        <v>11700059</v>
      </c>
      <c r="F21" s="4">
        <v>11832.673454</v>
      </c>
      <c r="G21" s="4">
        <v>14540.973821</v>
      </c>
      <c r="H21" s="5">
        <f t="shared" si="0"/>
        <v>81.37469745603498</v>
      </c>
      <c r="I21" s="6">
        <v>71445.77622</v>
      </c>
      <c r="J21" s="6">
        <v>0</v>
      </c>
      <c r="K21" s="6">
        <v>71445.77622</v>
      </c>
      <c r="L21" s="6">
        <v>886.74105099999997</v>
      </c>
      <c r="M21" s="6">
        <v>90.370049386769992</v>
      </c>
      <c r="N21" s="6">
        <v>0</v>
      </c>
      <c r="O21" s="6">
        <v>977.11110038676998</v>
      </c>
      <c r="P21" s="6">
        <v>1264.218102</v>
      </c>
      <c r="Q21" s="5">
        <f t="shared" si="1"/>
        <v>77.289757110816154</v>
      </c>
    </row>
    <row r="22" spans="1:17" x14ac:dyDescent="0.2">
      <c r="A22" s="7" t="s">
        <v>28</v>
      </c>
      <c r="B22" s="14">
        <f>(B21-B18)/B18</f>
        <v>-0.15708324434441176</v>
      </c>
      <c r="C22" s="14">
        <f t="shared" ref="C22:Q22" si="10">(C21-C18)/C18</f>
        <v>-0.20002412697683236</v>
      </c>
      <c r="D22" s="14">
        <f t="shared" si="10"/>
        <v>-0.2007021610015943</v>
      </c>
      <c r="E22" s="14">
        <f t="shared" si="10"/>
        <v>-7.2227737285084026E-2</v>
      </c>
      <c r="F22" s="14">
        <f t="shared" si="10"/>
        <v>-0.11477819313469342</v>
      </c>
      <c r="G22" s="14">
        <f t="shared" si="10"/>
        <v>-0.21375137203741698</v>
      </c>
      <c r="H22" s="9">
        <f t="shared" si="10"/>
        <v>0.12588025642625794</v>
      </c>
      <c r="I22" s="14">
        <f t="shared" si="10"/>
        <v>-0.11171919059802039</v>
      </c>
      <c r="J22" s="12" t="s">
        <v>29</v>
      </c>
      <c r="K22" s="14">
        <f t="shared" si="10"/>
        <v>-0.11171919059802039</v>
      </c>
      <c r="L22" s="14">
        <f t="shared" si="10"/>
        <v>-0.11448029496900626</v>
      </c>
      <c r="M22" s="14">
        <f t="shared" si="10"/>
        <v>-0.14054572890222888</v>
      </c>
      <c r="N22" s="12" t="s">
        <v>29</v>
      </c>
      <c r="O22" s="14">
        <f t="shared" si="10"/>
        <v>-0.11695717245240111</v>
      </c>
      <c r="P22" s="14">
        <f t="shared" si="10"/>
        <v>-0.20122215203456767</v>
      </c>
      <c r="Q22" s="9">
        <f t="shared" si="10"/>
        <v>0.10549238414259735</v>
      </c>
    </row>
    <row r="23" spans="1:17" x14ac:dyDescent="0.2">
      <c r="A23" s="10" t="s">
        <v>30</v>
      </c>
      <c r="B23" s="13">
        <f>(((B21/B6)^(1/5))-1)</f>
        <v>0.18129311389845992</v>
      </c>
      <c r="C23" s="13">
        <f t="shared" ref="C23:Q23" si="11">(((C21/C6)^(1/5))-1)</f>
        <v>0.13405657766420465</v>
      </c>
      <c r="D23" s="13">
        <f t="shared" si="11"/>
        <v>0.13845699750755669</v>
      </c>
      <c r="E23" s="13">
        <f t="shared" si="11"/>
        <v>0.155005053342399</v>
      </c>
      <c r="F23" s="13">
        <f t="shared" si="11"/>
        <v>0.12004965551933888</v>
      </c>
      <c r="G23" s="13">
        <f t="shared" si="11"/>
        <v>0.1066614247265032</v>
      </c>
      <c r="H23" s="11">
        <f t="shared" si="11"/>
        <v>1.2097856213018732E-2</v>
      </c>
      <c r="I23" s="13">
        <f t="shared" si="11"/>
        <v>0.22622186995947424</v>
      </c>
      <c r="J23" s="13" t="s">
        <v>29</v>
      </c>
      <c r="K23" s="13">
        <f t="shared" si="11"/>
        <v>0.22622186995947424</v>
      </c>
      <c r="L23" s="13">
        <f t="shared" si="11"/>
        <v>8.4706690353703262E-2</v>
      </c>
      <c r="M23" s="13">
        <f t="shared" si="11"/>
        <v>0.21798708300624114</v>
      </c>
      <c r="N23" s="13" t="s">
        <v>29</v>
      </c>
      <c r="O23" s="13">
        <f t="shared" si="11"/>
        <v>9.3752808962674683E-2</v>
      </c>
      <c r="P23" s="13">
        <f t="shared" si="11"/>
        <v>8.8420478801338298E-2</v>
      </c>
      <c r="Q23" s="11">
        <f t="shared" si="11"/>
        <v>4.8991453810285357E-3</v>
      </c>
    </row>
    <row r="24" spans="1:17" x14ac:dyDescent="0.2">
      <c r="A24" s="3" t="s">
        <v>25</v>
      </c>
      <c r="B24" s="4">
        <v>95755</v>
      </c>
      <c r="C24" s="4">
        <v>133905</v>
      </c>
      <c r="D24" s="4">
        <v>79635.166999999987</v>
      </c>
      <c r="E24" s="4">
        <v>11914456</v>
      </c>
      <c r="F24" s="4">
        <v>11699.948880999998</v>
      </c>
      <c r="G24" s="4">
        <v>12916.360223</v>
      </c>
      <c r="H24" s="5">
        <f t="shared" si="0"/>
        <v>90.582398438888745</v>
      </c>
      <c r="I24" s="6">
        <v>63209.987910000003</v>
      </c>
      <c r="J24" s="6">
        <v>0</v>
      </c>
      <c r="K24" s="6">
        <v>63209.987910000003</v>
      </c>
      <c r="L24" s="6">
        <v>877.56996242000025</v>
      </c>
      <c r="M24" s="6">
        <v>73.100768559999977</v>
      </c>
      <c r="N24" s="6">
        <v>0</v>
      </c>
      <c r="O24" s="6">
        <v>950.67073098000003</v>
      </c>
      <c r="P24" s="6">
        <v>1128.4691620000001</v>
      </c>
      <c r="Q24" s="5">
        <f t="shared" si="1"/>
        <v>84.244280924355465</v>
      </c>
    </row>
    <row r="25" spans="1:17" x14ac:dyDescent="0.2">
      <c r="A25" s="7" t="s">
        <v>28</v>
      </c>
      <c r="B25" s="14">
        <f>(B24-B21)/B21</f>
        <v>-6.6851824781951952E-2</v>
      </c>
      <c r="C25" s="14">
        <f t="shared" ref="C25:Q25" si="12">(C24-C21)/C21</f>
        <v>-3.844634817139287E-2</v>
      </c>
      <c r="D25" s="14">
        <f t="shared" si="12"/>
        <v>-7.4215350182962367E-2</v>
      </c>
      <c r="E25" s="14">
        <f t="shared" si="12"/>
        <v>1.8324437509246748E-2</v>
      </c>
      <c r="F25" s="14">
        <f t="shared" si="12"/>
        <v>-1.1216786596534883E-2</v>
      </c>
      <c r="G25" s="14">
        <f t="shared" si="12"/>
        <v>-0.11172660222066705</v>
      </c>
      <c r="H25" s="9">
        <f t="shared" si="12"/>
        <v>0.11315189205868927</v>
      </c>
      <c r="I25" s="14">
        <f t="shared" si="12"/>
        <v>-0.11527327080385938</v>
      </c>
      <c r="J25" s="12" t="s">
        <v>29</v>
      </c>
      <c r="K25" s="14">
        <f t="shared" si="12"/>
        <v>-0.11527327080385938</v>
      </c>
      <c r="L25" s="14">
        <f t="shared" si="12"/>
        <v>-1.0342465333771627E-2</v>
      </c>
      <c r="M25" s="14">
        <f t="shared" si="12"/>
        <v>-0.1910951796967614</v>
      </c>
      <c r="N25" s="12" t="s">
        <v>29</v>
      </c>
      <c r="O25" s="14">
        <f t="shared" si="12"/>
        <v>-2.7059737010769861E-2</v>
      </c>
      <c r="P25" s="14">
        <f t="shared" si="12"/>
        <v>-0.10737778535621692</v>
      </c>
      <c r="Q25" s="9">
        <f t="shared" si="12"/>
        <v>8.9979889619372005E-2</v>
      </c>
    </row>
    <row r="26" spans="1:17" x14ac:dyDescent="0.2">
      <c r="A26" s="10" t="s">
        <v>30</v>
      </c>
      <c r="B26" s="13">
        <f>(((B24/B6)^(1/6))-1)</f>
        <v>0.1357685241737272</v>
      </c>
      <c r="C26" s="13">
        <f t="shared" ref="C26:Q26" si="13">(((C24/C6)^(1/6))-1)</f>
        <v>0.1032938275731341</v>
      </c>
      <c r="D26" s="13">
        <f t="shared" si="13"/>
        <v>9.9888990544335865E-2</v>
      </c>
      <c r="E26" s="13">
        <f t="shared" si="13"/>
        <v>0.13101300303194763</v>
      </c>
      <c r="F26" s="13">
        <f t="shared" si="13"/>
        <v>9.7020082803648267E-2</v>
      </c>
      <c r="G26" s="13">
        <f t="shared" si="13"/>
        <v>6.6850141637672778E-2</v>
      </c>
      <c r="H26" s="11">
        <f t="shared" si="13"/>
        <v>2.8279455556581734E-2</v>
      </c>
      <c r="I26" s="13">
        <f t="shared" si="13"/>
        <v>0.16129459858877926</v>
      </c>
      <c r="J26" s="13" t="s">
        <v>29</v>
      </c>
      <c r="K26" s="13">
        <f t="shared" si="13"/>
        <v>0.16129459858877926</v>
      </c>
      <c r="L26" s="13">
        <f t="shared" si="13"/>
        <v>6.8253739120912593E-2</v>
      </c>
      <c r="M26" s="13">
        <f t="shared" si="13"/>
        <v>0.13767567575211448</v>
      </c>
      <c r="N26" s="13" t="s">
        <v>29</v>
      </c>
      <c r="O26" s="13">
        <f t="shared" si="13"/>
        <v>7.2622774338623186E-2</v>
      </c>
      <c r="P26" s="13">
        <f t="shared" si="13"/>
        <v>5.3032727373331312E-2</v>
      </c>
      <c r="Q26" s="11">
        <f t="shared" si="13"/>
        <v>1.8603455007668135E-2</v>
      </c>
    </row>
    <row r="27" spans="1:17" x14ac:dyDescent="0.2">
      <c r="A27" s="3" t="s">
        <v>26</v>
      </c>
      <c r="B27" s="4">
        <v>115207</v>
      </c>
      <c r="C27" s="4">
        <v>163596</v>
      </c>
      <c r="D27" s="4">
        <v>99039.251000000004</v>
      </c>
      <c r="E27" s="4">
        <v>14914804</v>
      </c>
      <c r="F27" s="4">
        <v>15056.481735999996</v>
      </c>
      <c r="G27" s="4">
        <v>16438.449419999997</v>
      </c>
      <c r="H27" s="5">
        <f t="shared" si="0"/>
        <v>91.59307761522436</v>
      </c>
      <c r="I27" s="6">
        <v>60481.887840000003</v>
      </c>
      <c r="J27" s="6">
        <v>0</v>
      </c>
      <c r="K27" s="6">
        <v>60481.887840000003</v>
      </c>
      <c r="L27" s="6">
        <v>1125.3011659999997</v>
      </c>
      <c r="M27" s="6">
        <v>72.234873530000002</v>
      </c>
      <c r="N27" s="6">
        <v>0</v>
      </c>
      <c r="O27" s="6">
        <v>1197.5360395299999</v>
      </c>
      <c r="P27" s="6">
        <v>1434.8214310000001</v>
      </c>
      <c r="Q27" s="5">
        <f t="shared" si="1"/>
        <v>83.462374735745072</v>
      </c>
    </row>
    <row r="28" spans="1:17" x14ac:dyDescent="0.2">
      <c r="A28" s="7" t="s">
        <v>28</v>
      </c>
      <c r="B28" s="14">
        <f>(B27-B24)/B24</f>
        <v>0.20314343898490941</v>
      </c>
      <c r="C28" s="14">
        <f t="shared" ref="C28:Q28" si="14">(C27-C24)/C24</f>
        <v>0.22173182480116502</v>
      </c>
      <c r="D28" s="14">
        <f t="shared" si="14"/>
        <v>0.24366225037237657</v>
      </c>
      <c r="E28" s="14">
        <f t="shared" si="14"/>
        <v>0.25182417057060769</v>
      </c>
      <c r="F28" s="14">
        <f t="shared" si="14"/>
        <v>0.2868844034396425</v>
      </c>
      <c r="G28" s="14">
        <f t="shared" si="14"/>
        <v>0.27268434266243657</v>
      </c>
      <c r="H28" s="9">
        <f t="shared" si="14"/>
        <v>1.1157566963933585E-2</v>
      </c>
      <c r="I28" s="14">
        <f t="shared" si="14"/>
        <v>-4.3159319598104325E-2</v>
      </c>
      <c r="J28" s="12" t="s">
        <v>29</v>
      </c>
      <c r="K28" s="14">
        <f t="shared" si="14"/>
        <v>-4.3159319598104325E-2</v>
      </c>
      <c r="L28" s="14">
        <f t="shared" si="14"/>
        <v>0.28229225496375487</v>
      </c>
      <c r="M28" s="14">
        <f t="shared" si="14"/>
        <v>-1.1845224709084456E-2</v>
      </c>
      <c r="N28" s="12" t="s">
        <v>29</v>
      </c>
      <c r="O28" s="14">
        <f t="shared" si="14"/>
        <v>0.25967488059248284</v>
      </c>
      <c r="P28" s="14">
        <f t="shared" si="14"/>
        <v>0.27147597764838161</v>
      </c>
      <c r="Q28" s="9">
        <f t="shared" si="14"/>
        <v>-9.2814156644352008E-3</v>
      </c>
    </row>
    <row r="29" spans="1:17" x14ac:dyDescent="0.2">
      <c r="A29" s="10" t="s">
        <v>30</v>
      </c>
      <c r="B29" s="13">
        <f>(((B27/B6)^(1/7))-1)</f>
        <v>0.14515743505208545</v>
      </c>
      <c r="C29" s="13">
        <f t="shared" ref="C29:Q29" si="15">(((C27/C6)^(1/7))-1)</f>
        <v>0.11948318312925732</v>
      </c>
      <c r="D29" s="13">
        <f t="shared" si="15"/>
        <v>0.11936261336163856</v>
      </c>
      <c r="E29" s="13">
        <f t="shared" si="15"/>
        <v>0.1475302201899793</v>
      </c>
      <c r="F29" s="13">
        <f t="shared" si="15"/>
        <v>0.12232372528321611</v>
      </c>
      <c r="G29" s="13">
        <f t="shared" si="15"/>
        <v>9.407915880732598E-2</v>
      </c>
      <c r="H29" s="11">
        <f t="shared" si="15"/>
        <v>2.58158344837498E-2</v>
      </c>
      <c r="I29" s="13">
        <f t="shared" si="15"/>
        <v>0.12960790765511399</v>
      </c>
      <c r="J29" s="13" t="s">
        <v>29</v>
      </c>
      <c r="K29" s="13">
        <f t="shared" si="15"/>
        <v>0.12960790765511399</v>
      </c>
      <c r="L29" s="13">
        <f t="shared" si="15"/>
        <v>9.6490296483787041E-2</v>
      </c>
      <c r="M29" s="13">
        <f t="shared" si="15"/>
        <v>0.11500430519923199</v>
      </c>
      <c r="N29" s="13" t="s">
        <v>29</v>
      </c>
      <c r="O29" s="13">
        <f t="shared" si="15"/>
        <v>9.7539296797308772E-2</v>
      </c>
      <c r="P29" s="13">
        <f t="shared" si="15"/>
        <v>8.1775280590680177E-2</v>
      </c>
      <c r="Q29" s="11">
        <f t="shared" si="15"/>
        <v>1.4572357576909001E-2</v>
      </c>
    </row>
    <row r="30" spans="1:17" x14ac:dyDescent="0.2">
      <c r="A30" s="3" t="s">
        <v>27</v>
      </c>
      <c r="B30" s="4">
        <v>138311</v>
      </c>
      <c r="C30" s="4">
        <v>197708</v>
      </c>
      <c r="D30" s="4">
        <v>118614.7</v>
      </c>
      <c r="E30" s="4">
        <v>18090019</v>
      </c>
      <c r="F30" s="4">
        <v>18254.3001</v>
      </c>
      <c r="G30" s="4">
        <v>19510.000899999999</v>
      </c>
      <c r="H30" s="5">
        <f t="shared" si="0"/>
        <v>93.563809625452151</v>
      </c>
      <c r="I30" s="6">
        <v>74646.979319999999</v>
      </c>
      <c r="J30" s="6">
        <v>0</v>
      </c>
      <c r="K30" s="6">
        <v>74646.979319999999</v>
      </c>
      <c r="L30" s="6">
        <v>1369.0691999999999</v>
      </c>
      <c r="M30" s="6">
        <v>85.585700000000003</v>
      </c>
      <c r="N30" s="6">
        <v>0</v>
      </c>
      <c r="O30" s="6">
        <v>1454.6549</v>
      </c>
      <c r="P30" s="6">
        <v>1692.9860000000001</v>
      </c>
      <c r="Q30" s="5">
        <f t="shared" si="1"/>
        <v>85.922441177895152</v>
      </c>
    </row>
    <row r="31" spans="1:17" x14ac:dyDescent="0.2">
      <c r="A31" s="7" t="s">
        <v>28</v>
      </c>
      <c r="B31" s="14">
        <f>(B30-B27)/B27</f>
        <v>0.20054336976051804</v>
      </c>
      <c r="C31" s="14">
        <f t="shared" ref="C31:Q31" si="16">(C30-C27)/C27</f>
        <v>0.20851365559060123</v>
      </c>
      <c r="D31" s="14">
        <f t="shared" si="16"/>
        <v>0.19765344348171607</v>
      </c>
      <c r="E31" s="14">
        <f t="shared" si="16"/>
        <v>0.21289015933430971</v>
      </c>
      <c r="F31" s="14">
        <f t="shared" si="16"/>
        <v>0.21238815415649404</v>
      </c>
      <c r="G31" s="14">
        <f t="shared" si="16"/>
        <v>0.186851655014552</v>
      </c>
      <c r="H31" s="9">
        <f t="shared" si="16"/>
        <v>2.1516167613743573E-2</v>
      </c>
      <c r="I31" s="14">
        <f t="shared" si="16"/>
        <v>0.23420385814465006</v>
      </c>
      <c r="J31" s="12" t="s">
        <v>29</v>
      </c>
      <c r="K31" s="14">
        <f t="shared" si="16"/>
        <v>0.23420385814465006</v>
      </c>
      <c r="L31" s="14">
        <f t="shared" si="16"/>
        <v>0.21662470578120793</v>
      </c>
      <c r="M31" s="14">
        <f t="shared" si="16"/>
        <v>0.18482522108182614</v>
      </c>
      <c r="N31" s="12" t="s">
        <v>29</v>
      </c>
      <c r="O31" s="14">
        <f t="shared" si="16"/>
        <v>0.21470657415113134</v>
      </c>
      <c r="P31" s="14">
        <f t="shared" si="16"/>
        <v>0.17992801293752073</v>
      </c>
      <c r="Q31" s="9">
        <f t="shared" si="16"/>
        <v>2.9475155121562673E-2</v>
      </c>
    </row>
    <row r="32" spans="1:17" x14ac:dyDescent="0.2">
      <c r="A32" s="10" t="s">
        <v>30</v>
      </c>
      <c r="B32" s="13">
        <f>(((B30/B6)^(1/8))-1)</f>
        <v>0.15193846211554551</v>
      </c>
      <c r="C32" s="13">
        <f t="shared" ref="C32:Q32" si="17">(((C30/C6)^(1/8))-1)</f>
        <v>0.13024299097394554</v>
      </c>
      <c r="D32" s="13">
        <f t="shared" si="17"/>
        <v>0.1288619732229912</v>
      </c>
      <c r="E32" s="13">
        <f t="shared" si="17"/>
        <v>0.15550359001239489</v>
      </c>
      <c r="F32" s="13">
        <f t="shared" si="17"/>
        <v>0.13320527203220944</v>
      </c>
      <c r="G32" s="13">
        <f t="shared" si="17"/>
        <v>0.10526700904143071</v>
      </c>
      <c r="H32" s="11">
        <f t="shared" si="17"/>
        <v>2.5277387963483111E-2</v>
      </c>
      <c r="I32" s="13">
        <f t="shared" si="17"/>
        <v>0.14218149820691983</v>
      </c>
      <c r="J32" s="13" t="s">
        <v>29</v>
      </c>
      <c r="K32" s="13">
        <f t="shared" si="17"/>
        <v>0.14218149820691983</v>
      </c>
      <c r="L32" s="13">
        <f t="shared" si="17"/>
        <v>0.11083299866932328</v>
      </c>
      <c r="M32" s="13">
        <f t="shared" si="17"/>
        <v>0.12350177404919616</v>
      </c>
      <c r="N32" s="13" t="s">
        <v>29</v>
      </c>
      <c r="O32" s="13">
        <f t="shared" si="17"/>
        <v>0.1115435726184244</v>
      </c>
      <c r="P32" s="13">
        <f t="shared" si="17"/>
        <v>9.3583277447634172E-2</v>
      </c>
      <c r="Q32" s="11">
        <f t="shared" si="17"/>
        <v>1.6423344743080381E-2</v>
      </c>
    </row>
    <row r="33" spans="1:17" x14ac:dyDescent="0.2">
      <c r="A33" s="3" t="s">
        <v>31</v>
      </c>
      <c r="B33" s="4">
        <v>156182</v>
      </c>
      <c r="C33" s="4">
        <v>232545</v>
      </c>
      <c r="D33" s="4">
        <v>137048.258</v>
      </c>
      <c r="E33" s="4">
        <v>19895114</v>
      </c>
      <c r="F33" s="4">
        <v>20503.949322</v>
      </c>
      <c r="G33" s="4">
        <v>22316.526798999999</v>
      </c>
      <c r="H33" s="5">
        <f t="shared" si="0"/>
        <v>91.877869287969943</v>
      </c>
      <c r="I33" s="6">
        <v>107404.21004000001</v>
      </c>
      <c r="J33" s="6">
        <v>0</v>
      </c>
      <c r="K33" s="6">
        <v>107404.21004000001</v>
      </c>
      <c r="L33" s="6">
        <v>1537.7947525000002</v>
      </c>
      <c r="M33" s="6">
        <v>112.8786422</v>
      </c>
      <c r="N33" s="6">
        <v>0</v>
      </c>
      <c r="O33" s="6">
        <v>1650.6733947</v>
      </c>
      <c r="P33" s="6">
        <v>1936.391615</v>
      </c>
      <c r="Q33" s="5">
        <f t="shared" si="1"/>
        <v>85.244812150252997</v>
      </c>
    </row>
    <row r="34" spans="1:17" x14ac:dyDescent="0.2">
      <c r="A34" s="7" t="s">
        <v>28</v>
      </c>
      <c r="B34" s="14">
        <f>(B33-B30)/B30</f>
        <v>0.12920881202507392</v>
      </c>
      <c r="C34" s="14">
        <f t="shared" ref="C34:Q34" si="18">(C33-C30)/C30</f>
        <v>0.17620430129281567</v>
      </c>
      <c r="D34" s="14">
        <f t="shared" si="18"/>
        <v>0.15540702796533654</v>
      </c>
      <c r="E34" s="14">
        <f t="shared" si="18"/>
        <v>9.9784030077580355E-2</v>
      </c>
      <c r="F34" s="14">
        <f t="shared" si="18"/>
        <v>0.12323941261379832</v>
      </c>
      <c r="G34" s="14">
        <f t="shared" si="18"/>
        <v>0.14385062888438926</v>
      </c>
      <c r="H34" s="9">
        <f t="shared" si="18"/>
        <v>-1.8019150184577157E-2</v>
      </c>
      <c r="I34" s="14">
        <f t="shared" si="18"/>
        <v>0.43882861729173056</v>
      </c>
      <c r="J34" s="12" t="s">
        <v>29</v>
      </c>
      <c r="K34" s="14">
        <f t="shared" si="18"/>
        <v>0.43882861729173056</v>
      </c>
      <c r="L34" s="14">
        <f t="shared" si="18"/>
        <v>0.12324106955294903</v>
      </c>
      <c r="M34" s="14">
        <f t="shared" si="18"/>
        <v>0.31889605623369321</v>
      </c>
      <c r="N34" s="12" t="s">
        <v>29</v>
      </c>
      <c r="O34" s="14">
        <f t="shared" si="18"/>
        <v>0.13475257581712338</v>
      </c>
      <c r="P34" s="14">
        <f t="shared" si="18"/>
        <v>0.14377296386384758</v>
      </c>
      <c r="Q34" s="9">
        <f t="shared" si="18"/>
        <v>-7.8865197304995235E-3</v>
      </c>
    </row>
    <row r="35" spans="1:17" x14ac:dyDescent="0.2">
      <c r="A35" s="10" t="s">
        <v>30</v>
      </c>
      <c r="B35" s="13">
        <f>(((B33/B6)^(1/9))-1)</f>
        <v>0.1493905184693658</v>
      </c>
      <c r="C35" s="13">
        <f t="shared" ref="C35:Q35" si="19">(((C33/C6)^(1/9))-1)</f>
        <v>0.1352598020371496</v>
      </c>
      <c r="D35" s="13">
        <f t="shared" si="19"/>
        <v>0.13178104764220611</v>
      </c>
      <c r="E35" s="13">
        <f t="shared" si="19"/>
        <v>0.1491756694046702</v>
      </c>
      <c r="F35" s="13">
        <f t="shared" si="19"/>
        <v>0.13209360211407106</v>
      </c>
      <c r="G35" s="13">
        <f t="shared" si="19"/>
        <v>0.1094889898863769</v>
      </c>
      <c r="H35" s="11">
        <f t="shared" si="19"/>
        <v>2.0373895039741852E-2</v>
      </c>
      <c r="I35" s="13">
        <f t="shared" si="19"/>
        <v>0.17186253660548423</v>
      </c>
      <c r="J35" s="13" t="s">
        <v>29</v>
      </c>
      <c r="K35" s="13">
        <f t="shared" si="19"/>
        <v>0.17186253660548423</v>
      </c>
      <c r="L35" s="13">
        <f t="shared" si="19"/>
        <v>0.11220487657381861</v>
      </c>
      <c r="M35" s="13">
        <f t="shared" si="19"/>
        <v>0.14369753619917569</v>
      </c>
      <c r="N35" s="13" t="s">
        <v>29</v>
      </c>
      <c r="O35" s="13">
        <f t="shared" si="19"/>
        <v>0.11409872966232615</v>
      </c>
      <c r="P35" s="13">
        <f t="shared" si="19"/>
        <v>9.9049340894614479E-2</v>
      </c>
      <c r="Q35" s="11">
        <f t="shared" si="19"/>
        <v>1.369309657695772E-2</v>
      </c>
    </row>
    <row r="36" spans="1:17" x14ac:dyDescent="0.2">
      <c r="A36" s="3" t="s">
        <v>35</v>
      </c>
      <c r="B36" s="4">
        <v>195976</v>
      </c>
      <c r="C36" s="4">
        <v>316834.66666666669</v>
      </c>
      <c r="D36" s="4">
        <v>194606.98099999997</v>
      </c>
      <c r="E36" s="4">
        <v>24783266</v>
      </c>
      <c r="F36" s="4">
        <v>28070.615241000003</v>
      </c>
      <c r="G36" s="4">
        <v>31324.449610000003</v>
      </c>
      <c r="H36" s="5">
        <v>89.612477124063346</v>
      </c>
      <c r="I36" s="6">
        <v>156259.624093608</v>
      </c>
      <c r="J36" s="6">
        <v>0</v>
      </c>
      <c r="K36" s="6">
        <v>156259.627583608</v>
      </c>
      <c r="L36" s="6">
        <v>2105.2959753250002</v>
      </c>
      <c r="M36" s="6">
        <v>169.41628550999991</v>
      </c>
      <c r="N36" s="6">
        <v>0</v>
      </c>
      <c r="O36" s="6">
        <v>2274.7122608350001</v>
      </c>
      <c r="P36" s="6">
        <v>2778.0563829999996</v>
      </c>
      <c r="Q36" s="5">
        <v>81.881428856334352</v>
      </c>
    </row>
    <row r="37" spans="1:17" ht="31.5" customHeight="1" x14ac:dyDescent="0.2">
      <c r="A37" s="7" t="s">
        <v>28</v>
      </c>
      <c r="B37" s="14">
        <f>(B36-B33)/B33</f>
        <v>0.2547924856897722</v>
      </c>
      <c r="C37" s="14">
        <f t="shared" ref="C37:Q37" si="20">(C36-C33)/C33</f>
        <v>0.36246604599826565</v>
      </c>
      <c r="D37" s="14">
        <f t="shared" si="20"/>
        <v>0.41998872397196008</v>
      </c>
      <c r="E37" s="14">
        <f t="shared" si="20"/>
        <v>0.2456961040786195</v>
      </c>
      <c r="F37" s="14">
        <f t="shared" si="20"/>
        <v>0.36903456013136171</v>
      </c>
      <c r="G37" s="14">
        <f t="shared" si="20"/>
        <v>0.40364358182311988</v>
      </c>
      <c r="H37" s="9">
        <f t="shared" si="20"/>
        <v>-2.465655964230351E-2</v>
      </c>
      <c r="I37" s="14">
        <f t="shared" si="20"/>
        <v>0.45487429250131833</v>
      </c>
      <c r="J37" s="12" t="s">
        <v>29</v>
      </c>
      <c r="K37" s="14">
        <f t="shared" si="20"/>
        <v>0.4548743249953891</v>
      </c>
      <c r="L37" s="14">
        <f t="shared" si="20"/>
        <v>0.36903573893876968</v>
      </c>
      <c r="M37" s="14">
        <f t="shared" si="20"/>
        <v>0.5008710435214635</v>
      </c>
      <c r="N37" s="12" t="s">
        <v>29</v>
      </c>
      <c r="O37" s="14">
        <f t="shared" si="20"/>
        <v>0.3780510839628668</v>
      </c>
      <c r="P37" s="14">
        <f t="shared" si="20"/>
        <v>0.43465627586907291</v>
      </c>
      <c r="Q37" s="9">
        <f t="shared" si="20"/>
        <v>-3.9455577519372391E-2</v>
      </c>
    </row>
    <row r="38" spans="1:17" x14ac:dyDescent="0.2">
      <c r="A38" s="10" t="s">
        <v>30</v>
      </c>
      <c r="B38" s="13">
        <f>(((B36/B6)^(1/10))-1)</f>
        <v>0.15951945578807947</v>
      </c>
      <c r="C38" s="13">
        <f t="shared" ref="C38:Q38" si="21">(((C36/C6)^(1/10))-1)</f>
        <v>0.15616096701509097</v>
      </c>
      <c r="D38" s="13">
        <f t="shared" si="21"/>
        <v>0.15774966764331921</v>
      </c>
      <c r="E38" s="13">
        <f t="shared" si="21"/>
        <v>0.15848120113685837</v>
      </c>
      <c r="F38" s="13">
        <f t="shared" si="21"/>
        <v>0.15381330755177891</v>
      </c>
      <c r="G38" s="13">
        <f t="shared" si="21"/>
        <v>0.13589027564406742</v>
      </c>
      <c r="H38" s="11">
        <f t="shared" si="21"/>
        <v>1.5778840872239019E-2</v>
      </c>
      <c r="I38" s="13">
        <f t="shared" si="21"/>
        <v>0.19748904881273233</v>
      </c>
      <c r="J38" s="13" t="s">
        <v>29</v>
      </c>
      <c r="K38" s="13">
        <f t="shared" si="21"/>
        <v>0.19748905148727913</v>
      </c>
      <c r="L38" s="13">
        <f t="shared" si="21"/>
        <v>0.13555400675821616</v>
      </c>
      <c r="M38" s="13">
        <f t="shared" si="21"/>
        <v>0.17520709535805556</v>
      </c>
      <c r="N38" s="13" t="s">
        <v>29</v>
      </c>
      <c r="O38" s="13">
        <f t="shared" si="21"/>
        <v>0.13804082768476311</v>
      </c>
      <c r="P38" s="13">
        <f t="shared" si="21"/>
        <v>0.12873049190358565</v>
      </c>
      <c r="Q38" s="11">
        <f t="shared" si="21"/>
        <v>8.2485020542641951E-3</v>
      </c>
    </row>
    <row r="39" spans="1:17" x14ac:dyDescent="0.2">
      <c r="A39" s="19" t="s">
        <v>33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</row>
    <row r="40" spans="1:17" x14ac:dyDescent="0.2">
      <c r="A40" s="15" t="s">
        <v>36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2021-08-28T00:02:15Z</cp:lastPrinted>
  <dcterms:created xsi:type="dcterms:W3CDTF">2018-10-29T04:00:16Z</dcterms:created>
  <dcterms:modified xsi:type="dcterms:W3CDTF">2021-09-15T01:16:38Z</dcterms:modified>
</cp:coreProperties>
</file>