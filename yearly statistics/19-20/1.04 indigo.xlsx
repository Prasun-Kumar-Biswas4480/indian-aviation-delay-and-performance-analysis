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xWindow="0" yWindow="0" windowWidth="24000" windowHeight="10725"/>
  </bookViews>
  <sheets>
    <sheet name="INDIGO" sheetId="11" r:id="rId1"/>
  </sheets>
  <definedNames>
    <definedName name="_xlnm._FilterDatabase" localSheetId="0" hidden="1">INDIGO!$A$6:$Q$40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8" i="11" l="1"/>
  <c r="O38" i="11"/>
  <c r="M38" i="11"/>
  <c r="L38" i="11"/>
  <c r="K38" i="11"/>
  <c r="I38" i="11"/>
  <c r="G38" i="11"/>
  <c r="F38" i="11"/>
  <c r="E38" i="11"/>
  <c r="D38" i="11"/>
  <c r="C38" i="11"/>
  <c r="B38" i="11"/>
  <c r="P37" i="11"/>
  <c r="O37" i="11"/>
  <c r="N37" i="11"/>
  <c r="M37" i="11"/>
  <c r="L37" i="11"/>
  <c r="K37" i="11"/>
  <c r="J37" i="11"/>
  <c r="I37" i="11"/>
  <c r="G37" i="11"/>
  <c r="F37" i="11"/>
  <c r="E37" i="11"/>
  <c r="D37" i="11"/>
  <c r="C37" i="11"/>
  <c r="B37" i="11"/>
  <c r="P35" i="11"/>
  <c r="O35" i="11"/>
  <c r="M35" i="11"/>
  <c r="L35" i="11"/>
  <c r="K35" i="11"/>
  <c r="I35" i="11"/>
  <c r="G35" i="11"/>
  <c r="F35" i="11"/>
  <c r="E35" i="11"/>
  <c r="D35" i="11"/>
  <c r="C35" i="11"/>
  <c r="B35" i="11"/>
  <c r="P34" i="11"/>
  <c r="O34" i="11"/>
  <c r="N34" i="11"/>
  <c r="M34" i="11"/>
  <c r="L34" i="11"/>
  <c r="K34" i="11"/>
  <c r="J34" i="11"/>
  <c r="I34" i="11"/>
  <c r="G34" i="11"/>
  <c r="F34" i="11"/>
  <c r="E34" i="11"/>
  <c r="D34" i="11"/>
  <c r="C34" i="11"/>
  <c r="B34" i="11"/>
  <c r="P32" i="11"/>
  <c r="O32" i="11"/>
  <c r="M32" i="11"/>
  <c r="L32" i="11"/>
  <c r="K32" i="11"/>
  <c r="I32" i="11"/>
  <c r="G32" i="11"/>
  <c r="F32" i="11"/>
  <c r="E32" i="11"/>
  <c r="D32" i="11"/>
  <c r="C32" i="11"/>
  <c r="B32" i="11"/>
  <c r="P31" i="11"/>
  <c r="O31" i="11"/>
  <c r="N31" i="11"/>
  <c r="M31" i="11"/>
  <c r="L31" i="11"/>
  <c r="K31" i="11"/>
  <c r="J31" i="11"/>
  <c r="I31" i="11"/>
  <c r="G31" i="11"/>
  <c r="F31" i="11"/>
  <c r="E31" i="11"/>
  <c r="D31" i="11"/>
  <c r="C31" i="11"/>
  <c r="B31" i="11"/>
  <c r="P29" i="11"/>
  <c r="O29" i="11"/>
  <c r="M29" i="11"/>
  <c r="L29" i="11"/>
  <c r="K29" i="11"/>
  <c r="I29" i="11"/>
  <c r="G29" i="11"/>
  <c r="F29" i="11"/>
  <c r="E29" i="11"/>
  <c r="D29" i="11"/>
  <c r="C29" i="11"/>
  <c r="B29" i="11"/>
  <c r="P28" i="11"/>
  <c r="O28" i="11"/>
  <c r="N28" i="11"/>
  <c r="M28" i="11"/>
  <c r="L28" i="11"/>
  <c r="K28" i="11"/>
  <c r="J28" i="11"/>
  <c r="I28" i="11"/>
  <c r="G28" i="11"/>
  <c r="F28" i="11"/>
  <c r="E28" i="11"/>
  <c r="D28" i="11"/>
  <c r="C28" i="11"/>
  <c r="B28" i="11"/>
  <c r="P26" i="11"/>
  <c r="O26" i="11"/>
  <c r="M26" i="11"/>
  <c r="L26" i="11"/>
  <c r="K26" i="11"/>
  <c r="I26" i="11"/>
  <c r="G26" i="11"/>
  <c r="F26" i="11"/>
  <c r="E26" i="11"/>
  <c r="D26" i="11"/>
  <c r="C26" i="11"/>
  <c r="B26" i="11"/>
  <c r="P25" i="11"/>
  <c r="O25" i="11"/>
  <c r="N25" i="11"/>
  <c r="M25" i="11"/>
  <c r="L25" i="11"/>
  <c r="K25" i="11"/>
  <c r="I25" i="11"/>
  <c r="G25" i="11"/>
  <c r="F25" i="11"/>
  <c r="E25" i="11"/>
  <c r="D25" i="11"/>
  <c r="C25" i="11"/>
  <c r="B25" i="11"/>
  <c r="P23" i="11"/>
  <c r="O23" i="11"/>
  <c r="M23" i="11"/>
  <c r="L23" i="11"/>
  <c r="K23" i="11"/>
  <c r="I23" i="11"/>
  <c r="G23" i="11"/>
  <c r="F23" i="11"/>
  <c r="E23" i="11"/>
  <c r="D23" i="11"/>
  <c r="C23" i="11"/>
  <c r="B23" i="11"/>
  <c r="P22" i="11"/>
  <c r="O22" i="11"/>
  <c r="M22" i="11"/>
  <c r="L22" i="11"/>
  <c r="K22" i="11"/>
  <c r="I22" i="11"/>
  <c r="G22" i="11"/>
  <c r="F22" i="11"/>
  <c r="E22" i="11"/>
  <c r="D22" i="11"/>
  <c r="C22" i="11"/>
  <c r="B22" i="11"/>
  <c r="P20" i="11"/>
  <c r="O20" i="11"/>
  <c r="M20" i="11"/>
  <c r="L20" i="11"/>
  <c r="K20" i="11"/>
  <c r="I20" i="11"/>
  <c r="G20" i="11"/>
  <c r="F20" i="11"/>
  <c r="E20" i="11"/>
  <c r="D20" i="11"/>
  <c r="C20" i="11"/>
  <c r="B20" i="11"/>
  <c r="P19" i="11"/>
  <c r="O19" i="11"/>
  <c r="M19" i="11"/>
  <c r="L19" i="11"/>
  <c r="K19" i="11"/>
  <c r="I19" i="11"/>
  <c r="G19" i="11"/>
  <c r="F19" i="11"/>
  <c r="E19" i="11"/>
  <c r="D19" i="11"/>
  <c r="C19" i="11"/>
  <c r="B19" i="11"/>
  <c r="P17" i="11"/>
  <c r="O17" i="11"/>
  <c r="M17" i="11"/>
  <c r="L17" i="11"/>
  <c r="K17" i="11"/>
  <c r="I17" i="11"/>
  <c r="G17" i="11"/>
  <c r="F17" i="11"/>
  <c r="E17" i="11"/>
  <c r="D17" i="11"/>
  <c r="C17" i="11"/>
  <c r="B17" i="11"/>
  <c r="P16" i="11"/>
  <c r="O16" i="11"/>
  <c r="M16" i="11"/>
  <c r="L16" i="11"/>
  <c r="K16" i="11"/>
  <c r="I16" i="11"/>
  <c r="G16" i="11"/>
  <c r="F16" i="11"/>
  <c r="E16" i="11"/>
  <c r="D16" i="11"/>
  <c r="C16" i="11"/>
  <c r="B16" i="11"/>
  <c r="P14" i="11"/>
  <c r="O14" i="11"/>
  <c r="M14" i="11"/>
  <c r="L14" i="11"/>
  <c r="K14" i="11"/>
  <c r="I14" i="11"/>
  <c r="G14" i="11"/>
  <c r="F14" i="11"/>
  <c r="E14" i="11"/>
  <c r="D14" i="11"/>
  <c r="C14" i="11"/>
  <c r="B14" i="11"/>
  <c r="P13" i="11"/>
  <c r="O13" i="11"/>
  <c r="M13" i="11"/>
  <c r="L13" i="11"/>
  <c r="K13" i="11"/>
  <c r="I13" i="11"/>
  <c r="G13" i="11"/>
  <c r="F13" i="11"/>
  <c r="E13" i="11"/>
  <c r="D13" i="11"/>
  <c r="C13" i="11"/>
  <c r="B13" i="11"/>
  <c r="P11" i="11"/>
  <c r="O11" i="11"/>
  <c r="M11" i="11"/>
  <c r="L11" i="11"/>
  <c r="K11" i="11"/>
  <c r="I11" i="11"/>
  <c r="G11" i="11"/>
  <c r="F11" i="11"/>
  <c r="E11" i="11"/>
  <c r="D11" i="11"/>
  <c r="C11" i="11"/>
  <c r="B11" i="11"/>
  <c r="P10" i="11"/>
  <c r="O10" i="11"/>
  <c r="M10" i="11"/>
  <c r="L10" i="11"/>
  <c r="K10" i="11"/>
  <c r="I10" i="11"/>
  <c r="G10" i="11"/>
  <c r="F10" i="11"/>
  <c r="E10" i="11"/>
  <c r="D10" i="11"/>
  <c r="C10" i="11"/>
  <c r="B10" i="11"/>
  <c r="Q33" i="11" l="1"/>
  <c r="Q30" i="11"/>
  <c r="Q27" i="11"/>
  <c r="Q24" i="11"/>
  <c r="Q21" i="11"/>
  <c r="Q18" i="11"/>
  <c r="Q15" i="11"/>
  <c r="Q12" i="11"/>
  <c r="Q9" i="11"/>
  <c r="Q6" i="11"/>
  <c r="Q38" i="11" s="1"/>
  <c r="H33" i="11"/>
  <c r="H30" i="11"/>
  <c r="H27" i="11"/>
  <c r="H24" i="11"/>
  <c r="H21" i="11"/>
  <c r="H18" i="11"/>
  <c r="H15" i="11"/>
  <c r="H12" i="11"/>
  <c r="H9" i="11"/>
  <c r="H6" i="11"/>
  <c r="H38" i="11" s="1"/>
  <c r="H20" i="11" l="1"/>
  <c r="H19" i="11"/>
  <c r="H10" i="11"/>
  <c r="H11" i="11"/>
  <c r="Q28" i="11"/>
  <c r="Q29" i="11"/>
  <c r="Q13" i="11"/>
  <c r="Q14" i="11"/>
  <c r="Q16" i="11"/>
  <c r="Q17" i="11"/>
  <c r="Q20" i="11"/>
  <c r="Q19" i="11"/>
  <c r="Q22" i="11"/>
  <c r="Q23" i="11"/>
  <c r="Q31" i="11"/>
  <c r="Q32" i="11"/>
  <c r="H22" i="11"/>
  <c r="H23" i="11"/>
  <c r="H26" i="11"/>
  <c r="H25" i="11"/>
  <c r="H29" i="11"/>
  <c r="H28" i="11"/>
  <c r="H32" i="11"/>
  <c r="H31" i="11"/>
  <c r="Q26" i="11"/>
  <c r="Q25" i="11"/>
  <c r="H37" i="11"/>
  <c r="H35" i="11"/>
  <c r="H34" i="11"/>
  <c r="H14" i="11"/>
  <c r="H13" i="11"/>
  <c r="H16" i="11"/>
  <c r="H17" i="11"/>
  <c r="Q10" i="11"/>
  <c r="Q11" i="11"/>
  <c r="Q34" i="11"/>
  <c r="Q37" i="11"/>
  <c r="Q35" i="11"/>
</calcChain>
</file>

<file path=xl/sharedStrings.xml><?xml version="1.0" encoding="utf-8"?>
<sst xmlns="http://schemas.openxmlformats.org/spreadsheetml/2006/main" count="122" uniqueCount="39">
  <si>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</si>
  <si>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</si>
  <si>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</si>
  <si>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</si>
  <si>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</si>
  <si>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</si>
  <si>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</si>
  <si>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</si>
  <si>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</si>
  <si>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</si>
  <si>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</si>
  <si>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</si>
  <si>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</si>
  <si>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</si>
  <si>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</si>
  <si>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</si>
  <si>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</si>
  <si>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</si>
  <si>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</si>
  <si>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</si>
  <si>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</si>
  <si>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</si>
  <si>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</si>
  <si>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</si>
  <si>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</si>
  <si>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</si>
  <si>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</si>
  <si>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</si>
  <si>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</si>
  <si>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</si>
  <si>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</si>
  <si>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</si>
  <si>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</si>
  <si>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(इंडिगो) </t>
  </si>
  <si>
    <t>TABLE - 1.04 (INDIGO)</t>
  </si>
  <si>
    <t>SOURCE: ICAO ATR FORM 'A' FURNISHED BY INDIGO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</si>
  <si>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</si>
  <si>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</si>
  <si>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INDIGO ON SCHEDULED DOMESTIC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</si>
</sst>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8" fillId="7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9" fillId="8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4" fontId="7" fillId="6" borderId="1" xfId="1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workbookViewId="0">
      <selection activeCell="A3" sqref="A3:Q3"/>
    </sheetView>
  </sheetViews>
  <sheetFormatPr defaultRowHeight="15" x14ac:dyDescent="0.25"/>
  <cols>
    <col min="1" max="1" width="7.42578125" customWidth="1"/>
    <col min="2" max="2" width="8" customWidth="1"/>
    <col min="3" max="3" width="8.5703125" customWidth="1"/>
    <col min="4" max="4" width="7.85546875" customWidth="1"/>
    <col min="5" max="5" width="10.5703125" customWidth="1"/>
    <col min="6" max="6" width="7.140625" customWidth="1"/>
    <col min="7" max="7" width="8" customWidth="1"/>
    <col min="8" max="8" width="6" customWidth="1"/>
    <col min="9" max="9" width="10.140625" customWidth="1"/>
    <col min="10" max="10" width="8.140625" customWidth="1"/>
    <col min="11" max="11" width="9.85546875" customWidth="1"/>
    <col min="12" max="12" width="7.42578125" customWidth="1"/>
    <col min="13" max="13" width="7" customWidth="1"/>
    <col min="14" max="14" width="6.5703125" customWidth="1"/>
    <col min="15" max="15" width="7.85546875" customWidth="1"/>
    <col min="16" max="16" width="7.42578125" customWidth="1"/>
    <col min="17" max="17" width="6.28515625" customWidth="1"/>
  </cols>
  <sheetData>
    <row r="1" spans="1:17" x14ac:dyDescent="0.25">
      <c r="A1" s="20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0" customHeight="1" x14ac:dyDescent="0.25">
      <c r="A3" s="23" t="s">
        <v>38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6.6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9.25" customHeight="1" x14ac:dyDescent="0.25">
      <c r="A5" s="23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7"/>
      <c r="H5" s="17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7"/>
      <c r="Q5" s="17"/>
    </row>
    <row r="6" spans="1:17" ht="17.100000000000001" customHeight="1" x14ac:dyDescent="0.25">
      <c r="A6" s="7" t="s">
        <v>19</v>
      </c>
      <c r="B6" s="10">
        <v>51520</v>
      </c>
      <c r="C6" s="10">
        <v>93488.200000000012</v>
      </c>
      <c r="D6" s="10">
        <v>51611</v>
      </c>
      <c r="E6" s="10">
        <v>6554908</v>
      </c>
      <c r="F6" s="10">
        <v>7428.6639999999998</v>
      </c>
      <c r="G6" s="10">
        <v>9285.9599999999991</v>
      </c>
      <c r="H6" s="8">
        <f t="shared" ref="H6:H33" si="0">F6/G6*100</f>
        <v>79.99888002963614</v>
      </c>
      <c r="I6" s="11">
        <v>50296</v>
      </c>
      <c r="J6" s="11">
        <v>0</v>
      </c>
      <c r="K6" s="11">
        <v>50296</v>
      </c>
      <c r="L6" s="11">
        <v>668.35500000000002</v>
      </c>
      <c r="M6" s="11">
        <v>54.825000000000003</v>
      </c>
      <c r="N6" s="11">
        <v>0</v>
      </c>
      <c r="O6" s="11">
        <v>723.18</v>
      </c>
      <c r="P6" s="11">
        <v>939.33199999999999</v>
      </c>
      <c r="Q6" s="8">
        <f t="shared" ref="Q6:Q33" si="1">O6/P6*100</f>
        <v>76.98875371008333</v>
      </c>
    </row>
    <row r="7" spans="1:17" ht="17.100000000000001" customHeight="1" x14ac:dyDescent="0.25">
      <c r="A7" s="1" t="s">
        <v>31</v>
      </c>
      <c r="B7" s="4" t="s">
        <v>30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 t="s">
        <v>30</v>
      </c>
      <c r="K7" s="4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</row>
    <row r="8" spans="1:17" ht="17.100000000000001" customHeight="1" x14ac:dyDescent="0.25">
      <c r="A8" s="2" t="s">
        <v>29</v>
      </c>
      <c r="B8" s="6" t="s">
        <v>30</v>
      </c>
      <c r="C8" s="6" t="s">
        <v>30</v>
      </c>
      <c r="D8" s="6" t="s">
        <v>30</v>
      </c>
      <c r="E8" s="6" t="s">
        <v>30</v>
      </c>
      <c r="F8" s="6" t="s">
        <v>30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 t="s">
        <v>30</v>
      </c>
      <c r="O8" s="6" t="s">
        <v>30</v>
      </c>
      <c r="P8" s="6" t="s">
        <v>30</v>
      </c>
      <c r="Q8" s="6" t="s">
        <v>30</v>
      </c>
    </row>
    <row r="9" spans="1:17" ht="17.100000000000001" customHeight="1" x14ac:dyDescent="0.25">
      <c r="A9" s="7" t="s">
        <v>20</v>
      </c>
      <c r="B9" s="10">
        <v>70217</v>
      </c>
      <c r="C9" s="10">
        <v>125551.67</v>
      </c>
      <c r="D9" s="10">
        <v>69424</v>
      </c>
      <c r="E9" s="10">
        <v>9466897</v>
      </c>
      <c r="F9" s="10">
        <v>10633.906999999999</v>
      </c>
      <c r="G9" s="10">
        <v>12491.392</v>
      </c>
      <c r="H9" s="8">
        <f t="shared" si="0"/>
        <v>85.129879840453327</v>
      </c>
      <c r="I9" s="11">
        <v>77793</v>
      </c>
      <c r="J9" s="11">
        <v>0</v>
      </c>
      <c r="K9" s="11">
        <v>77793</v>
      </c>
      <c r="L9" s="11">
        <v>954.47</v>
      </c>
      <c r="M9" s="11">
        <v>84.308999999999997</v>
      </c>
      <c r="N9" s="11">
        <v>0</v>
      </c>
      <c r="O9" s="11">
        <v>1038.779</v>
      </c>
      <c r="P9" s="11">
        <v>1263.5060000000001</v>
      </c>
      <c r="Q9" s="8">
        <f t="shared" si="1"/>
        <v>82.214014021302631</v>
      </c>
    </row>
    <row r="10" spans="1:17" ht="17.100000000000001" customHeight="1" x14ac:dyDescent="0.25">
      <c r="A10" s="1" t="s">
        <v>31</v>
      </c>
      <c r="B10" s="5">
        <f>(B9-B6)/B6</f>
        <v>0.3629076086956522</v>
      </c>
      <c r="C10" s="5">
        <f t="shared" ref="C10:Q10" si="2">(C9-C6)/C6</f>
        <v>0.34296809650843618</v>
      </c>
      <c r="D10" s="5">
        <f t="shared" si="2"/>
        <v>0.34513960202282457</v>
      </c>
      <c r="E10" s="5">
        <f t="shared" si="2"/>
        <v>0.44424559429361937</v>
      </c>
      <c r="F10" s="5">
        <f t="shared" si="2"/>
        <v>0.43146964245522473</v>
      </c>
      <c r="G10" s="5">
        <f t="shared" si="2"/>
        <v>0.34519123493962939</v>
      </c>
      <c r="H10" s="5">
        <f t="shared" si="2"/>
        <v>6.4138395548992339E-2</v>
      </c>
      <c r="I10" s="5">
        <f t="shared" si="2"/>
        <v>0.54670351519007476</v>
      </c>
      <c r="J10" s="13" t="s">
        <v>30</v>
      </c>
      <c r="K10" s="5">
        <f t="shared" si="2"/>
        <v>0.54670351519007476</v>
      </c>
      <c r="L10" s="5">
        <f t="shared" si="2"/>
        <v>0.42808836621256668</v>
      </c>
      <c r="M10" s="5">
        <f t="shared" si="2"/>
        <v>0.53778385772913806</v>
      </c>
      <c r="N10" s="13" t="s">
        <v>30</v>
      </c>
      <c r="O10" s="5">
        <f t="shared" si="2"/>
        <v>0.4364044912746482</v>
      </c>
      <c r="P10" s="5">
        <f t="shared" si="2"/>
        <v>0.34511120668730555</v>
      </c>
      <c r="Q10" s="5">
        <f t="shared" si="2"/>
        <v>6.7870436387320571E-2</v>
      </c>
    </row>
    <row r="11" spans="1:17" ht="17.100000000000001" customHeight="1" x14ac:dyDescent="0.25">
      <c r="A11" s="2" t="s">
        <v>29</v>
      </c>
      <c r="B11" s="3">
        <f t="shared" ref="B11:Q11" si="3">(((B9/B6)^(1/1))-1)</f>
        <v>0.3629076086956522</v>
      </c>
      <c r="C11" s="3">
        <f t="shared" si="3"/>
        <v>0.34296809650843607</v>
      </c>
      <c r="D11" s="3">
        <f t="shared" si="3"/>
        <v>0.34513960202282457</v>
      </c>
      <c r="E11" s="3">
        <f t="shared" si="3"/>
        <v>0.44424559429361943</v>
      </c>
      <c r="F11" s="3">
        <f t="shared" si="3"/>
        <v>0.43146964245522468</v>
      </c>
      <c r="G11" s="3">
        <f t="shared" si="3"/>
        <v>0.34519123493962933</v>
      </c>
      <c r="H11" s="3">
        <f t="shared" si="3"/>
        <v>6.4138395548992255E-2</v>
      </c>
      <c r="I11" s="3">
        <f t="shared" si="3"/>
        <v>0.54670351519007476</v>
      </c>
      <c r="J11" s="3" t="s">
        <v>30</v>
      </c>
      <c r="K11" s="3">
        <f t="shared" si="3"/>
        <v>0.54670351519007476</v>
      </c>
      <c r="L11" s="3">
        <f t="shared" si="3"/>
        <v>0.42808836621256674</v>
      </c>
      <c r="M11" s="3">
        <f t="shared" si="3"/>
        <v>0.53778385772913806</v>
      </c>
      <c r="N11" s="3" t="s">
        <v>30</v>
      </c>
      <c r="O11" s="3">
        <f t="shared" si="3"/>
        <v>0.43640449127464809</v>
      </c>
      <c r="P11" s="3">
        <f t="shared" si="3"/>
        <v>0.34511120668730544</v>
      </c>
      <c r="Q11" s="3">
        <f t="shared" si="3"/>
        <v>6.7870436387320598E-2</v>
      </c>
    </row>
    <row r="12" spans="1:17" ht="17.100000000000001" customHeight="1" x14ac:dyDescent="0.25">
      <c r="A12" s="7" t="s">
        <v>21</v>
      </c>
      <c r="B12" s="10">
        <v>95594</v>
      </c>
      <c r="C12" s="10">
        <v>167785.74000000002</v>
      </c>
      <c r="D12" s="10">
        <v>92581</v>
      </c>
      <c r="E12" s="10">
        <v>12336876</v>
      </c>
      <c r="F12" s="10">
        <v>13719.424000000001</v>
      </c>
      <c r="G12" s="10">
        <v>16660.874</v>
      </c>
      <c r="H12" s="8">
        <f t="shared" si="0"/>
        <v>82.345163885159934</v>
      </c>
      <c r="I12" s="11">
        <v>74564</v>
      </c>
      <c r="J12" s="11">
        <v>0</v>
      </c>
      <c r="K12" s="11">
        <v>74564</v>
      </c>
      <c r="L12" s="11">
        <v>1229.5840000000001</v>
      </c>
      <c r="M12" s="11">
        <v>79.697000000000003</v>
      </c>
      <c r="N12" s="11">
        <v>0</v>
      </c>
      <c r="O12" s="11">
        <v>1309.2809999999999</v>
      </c>
      <c r="P12" s="11">
        <v>1684.9949999999999</v>
      </c>
      <c r="Q12" s="8">
        <f t="shared" si="1"/>
        <v>77.702367069338479</v>
      </c>
    </row>
    <row r="13" spans="1:17" ht="17.100000000000001" customHeight="1" x14ac:dyDescent="0.25">
      <c r="A13" s="1" t="s">
        <v>31</v>
      </c>
      <c r="B13" s="5">
        <f>(B12-B9)/B9</f>
        <v>0.3614082059900024</v>
      </c>
      <c r="C13" s="5">
        <f t="shared" ref="C13:Q13" si="4">(C12-C9)/C9</f>
        <v>0.336387958837983</v>
      </c>
      <c r="D13" s="5">
        <f t="shared" si="4"/>
        <v>0.33355899976953213</v>
      </c>
      <c r="E13" s="5">
        <f t="shared" si="4"/>
        <v>0.30315941960707926</v>
      </c>
      <c r="F13" s="5">
        <f t="shared" si="4"/>
        <v>0.29015835854122118</v>
      </c>
      <c r="G13" s="5">
        <f t="shared" si="4"/>
        <v>0.33378842005758846</v>
      </c>
      <c r="H13" s="5">
        <f t="shared" si="4"/>
        <v>-3.2711381250770999E-2</v>
      </c>
      <c r="I13" s="5">
        <f t="shared" si="4"/>
        <v>-4.1507590657257079E-2</v>
      </c>
      <c r="J13" s="13" t="s">
        <v>30</v>
      </c>
      <c r="K13" s="5">
        <f t="shared" si="4"/>
        <v>-4.1507590657257079E-2</v>
      </c>
      <c r="L13" s="5">
        <f t="shared" si="4"/>
        <v>0.28823745115090055</v>
      </c>
      <c r="M13" s="5">
        <f t="shared" si="4"/>
        <v>-5.470353105836856E-2</v>
      </c>
      <c r="N13" s="13" t="s">
        <v>30</v>
      </c>
      <c r="O13" s="5">
        <f t="shared" si="4"/>
        <v>0.26040380100098282</v>
      </c>
      <c r="P13" s="5">
        <f t="shared" si="4"/>
        <v>0.33358686068764198</v>
      </c>
      <c r="Q13" s="5">
        <f t="shared" si="4"/>
        <v>-5.4876860176114636E-2</v>
      </c>
    </row>
    <row r="14" spans="1:17" ht="17.100000000000001" customHeight="1" x14ac:dyDescent="0.25">
      <c r="A14" s="2" t="s">
        <v>29</v>
      </c>
      <c r="B14" s="3">
        <f t="shared" ref="B14:Q14" si="5">(((B12/B6)^(1/2))-1)</f>
        <v>0.36215770103335387</v>
      </c>
      <c r="C14" s="3">
        <f t="shared" si="5"/>
        <v>0.33967398768410839</v>
      </c>
      <c r="D14" s="3">
        <f t="shared" si="5"/>
        <v>0.33933678446608218</v>
      </c>
      <c r="E14" s="3">
        <f t="shared" si="5"/>
        <v>0.37189002854811748</v>
      </c>
      <c r="F14" s="3">
        <f t="shared" si="5"/>
        <v>0.35897848555877498</v>
      </c>
      <c r="G14" s="3">
        <f t="shared" si="5"/>
        <v>0.33947769370208047</v>
      </c>
      <c r="H14" s="3">
        <f t="shared" si="5"/>
        <v>1.4558504369563519E-2</v>
      </c>
      <c r="I14" s="3">
        <f t="shared" si="5"/>
        <v>0.21758103583023347</v>
      </c>
      <c r="J14" s="3" t="s">
        <v>30</v>
      </c>
      <c r="K14" s="3">
        <f t="shared" si="5"/>
        <v>0.21758103583023347</v>
      </c>
      <c r="L14" s="3">
        <f t="shared" si="5"/>
        <v>0.35636164679923432</v>
      </c>
      <c r="M14" s="3">
        <f t="shared" si="5"/>
        <v>0.20567891692058482</v>
      </c>
      <c r="N14" s="3" t="s">
        <v>30</v>
      </c>
      <c r="O14" s="3">
        <f t="shared" si="5"/>
        <v>0.34552951679903687</v>
      </c>
      <c r="P14" s="3">
        <f t="shared" si="5"/>
        <v>0.33933663856473717</v>
      </c>
      <c r="Q14" s="3">
        <f t="shared" si="5"/>
        <v>4.6238399338764946E-3</v>
      </c>
    </row>
    <row r="15" spans="1:17" ht="17.100000000000001" customHeight="1" x14ac:dyDescent="0.25">
      <c r="A15" s="7" t="s">
        <v>22</v>
      </c>
      <c r="B15" s="10">
        <v>123222</v>
      </c>
      <c r="C15" s="10">
        <v>214824.62</v>
      </c>
      <c r="D15" s="10">
        <v>118127</v>
      </c>
      <c r="E15" s="10">
        <v>15685848</v>
      </c>
      <c r="F15" s="10">
        <v>17175.834999999999</v>
      </c>
      <c r="G15" s="10">
        <v>21262.816999999999</v>
      </c>
      <c r="H15" s="8">
        <f t="shared" si="0"/>
        <v>80.778736890789219</v>
      </c>
      <c r="I15" s="11">
        <v>74564</v>
      </c>
      <c r="J15" s="11">
        <v>0</v>
      </c>
      <c r="K15" s="11">
        <v>74564</v>
      </c>
      <c r="L15" s="11">
        <v>1537.8610000000001</v>
      </c>
      <c r="M15" s="11">
        <v>98.066000000000003</v>
      </c>
      <c r="N15" s="11">
        <v>0</v>
      </c>
      <c r="O15" s="11">
        <v>1635.9269999999999</v>
      </c>
      <c r="P15" s="11">
        <v>2149.904</v>
      </c>
      <c r="Q15" s="8">
        <f t="shared" si="1"/>
        <v>76.093025549047766</v>
      </c>
    </row>
    <row r="16" spans="1:17" ht="17.100000000000001" customHeight="1" x14ac:dyDescent="0.25">
      <c r="A16" s="1" t="s">
        <v>31</v>
      </c>
      <c r="B16" s="5">
        <f>(B15-B12)/B12</f>
        <v>0.28901395485072284</v>
      </c>
      <c r="C16" s="5">
        <f t="shared" ref="C16:Q16" si="6">(C15-C12)/C12</f>
        <v>0.28035088083170817</v>
      </c>
      <c r="D16" s="5">
        <f t="shared" si="6"/>
        <v>0.2759313466045949</v>
      </c>
      <c r="E16" s="5">
        <f t="shared" si="6"/>
        <v>0.271460295134684</v>
      </c>
      <c r="F16" s="5">
        <f t="shared" si="6"/>
        <v>0.25193557688719281</v>
      </c>
      <c r="G16" s="5">
        <f t="shared" si="6"/>
        <v>0.27621258044445923</v>
      </c>
      <c r="H16" s="5">
        <f t="shared" si="6"/>
        <v>-1.9022695692916258E-2</v>
      </c>
      <c r="I16" s="5">
        <f t="shared" si="6"/>
        <v>0</v>
      </c>
      <c r="J16" s="13" t="s">
        <v>30</v>
      </c>
      <c r="K16" s="5">
        <f t="shared" si="6"/>
        <v>0</v>
      </c>
      <c r="L16" s="5">
        <f t="shared" si="6"/>
        <v>0.2507165024918997</v>
      </c>
      <c r="M16" s="5">
        <f t="shared" si="6"/>
        <v>0.23048546369374004</v>
      </c>
      <c r="N16" s="13" t="s">
        <v>30</v>
      </c>
      <c r="O16" s="5">
        <f t="shared" si="6"/>
        <v>0.24948502269566272</v>
      </c>
      <c r="P16" s="5">
        <f t="shared" si="6"/>
        <v>0.27591120448428641</v>
      </c>
      <c r="Q16" s="5">
        <f t="shared" si="6"/>
        <v>-2.0711615115336198E-2</v>
      </c>
    </row>
    <row r="17" spans="1:17" ht="17.100000000000001" customHeight="1" x14ac:dyDescent="0.25">
      <c r="A17" s="2" t="s">
        <v>29</v>
      </c>
      <c r="B17" s="3">
        <f t="shared" ref="B17:Q17" si="7">(((B15/B6)^(1/3))-1)</f>
        <v>0.33732654883350288</v>
      </c>
      <c r="C17" s="3">
        <f t="shared" si="7"/>
        <v>0.31960033785169606</v>
      </c>
      <c r="D17" s="3">
        <f t="shared" si="7"/>
        <v>0.31785906087258931</v>
      </c>
      <c r="E17" s="3">
        <f t="shared" si="7"/>
        <v>0.33756162592094885</v>
      </c>
      <c r="F17" s="3">
        <f t="shared" si="7"/>
        <v>0.32231740571426482</v>
      </c>
      <c r="G17" s="3">
        <f t="shared" si="7"/>
        <v>0.318048317104209</v>
      </c>
      <c r="H17" s="3">
        <f t="shared" si="7"/>
        <v>3.2389469753546507E-3</v>
      </c>
      <c r="I17" s="3">
        <f t="shared" si="7"/>
        <v>0.14024606846172993</v>
      </c>
      <c r="J17" s="3" t="s">
        <v>30</v>
      </c>
      <c r="K17" s="3">
        <f t="shared" si="7"/>
        <v>0.14024606846172993</v>
      </c>
      <c r="L17" s="3">
        <f t="shared" si="7"/>
        <v>0.32019057316795663</v>
      </c>
      <c r="M17" s="3">
        <f t="shared" si="7"/>
        <v>0.21389169545962239</v>
      </c>
      <c r="N17" s="3" t="s">
        <v>30</v>
      </c>
      <c r="O17" s="3">
        <f t="shared" si="7"/>
        <v>0.31272121639215</v>
      </c>
      <c r="P17" s="3">
        <f t="shared" si="7"/>
        <v>0.3178520304621566</v>
      </c>
      <c r="Q17" s="3">
        <f t="shared" si="7"/>
        <v>-3.893315752761084E-3</v>
      </c>
    </row>
    <row r="18" spans="1:17" ht="17.100000000000001" customHeight="1" x14ac:dyDescent="0.25">
      <c r="A18" s="7" t="s">
        <v>23</v>
      </c>
      <c r="B18" s="10">
        <v>148342</v>
      </c>
      <c r="C18" s="10">
        <v>261951.44999999998</v>
      </c>
      <c r="D18" s="10">
        <v>143117</v>
      </c>
      <c r="E18" s="10">
        <v>18078096</v>
      </c>
      <c r="F18" s="10">
        <v>19700.616000000002</v>
      </c>
      <c r="G18" s="10">
        <v>25760.406999999999</v>
      </c>
      <c r="H18" s="8">
        <f t="shared" si="0"/>
        <v>76.476338281456506</v>
      </c>
      <c r="I18" s="11">
        <v>95627</v>
      </c>
      <c r="J18" s="11">
        <v>0</v>
      </c>
      <c r="K18" s="11">
        <v>95627</v>
      </c>
      <c r="L18" s="11">
        <v>1766.326</v>
      </c>
      <c r="M18" s="11">
        <v>105.187</v>
      </c>
      <c r="N18" s="11">
        <v>0</v>
      </c>
      <c r="O18" s="11">
        <v>1871.5129999999999</v>
      </c>
      <c r="P18" s="11">
        <v>2604.7109999999998</v>
      </c>
      <c r="Q18" s="8">
        <f t="shared" si="1"/>
        <v>71.851080599728718</v>
      </c>
    </row>
    <row r="19" spans="1:17" ht="17.100000000000001" customHeight="1" x14ac:dyDescent="0.25">
      <c r="A19" s="1" t="s">
        <v>31</v>
      </c>
      <c r="B19" s="5">
        <f>(B18-B15)/B15</f>
        <v>0.20385970037817921</v>
      </c>
      <c r="C19" s="5">
        <f t="shared" ref="C19:Q19" si="8">(C18-C15)/C15</f>
        <v>0.21937350569967254</v>
      </c>
      <c r="D19" s="5">
        <f t="shared" si="8"/>
        <v>0.21155197372319623</v>
      </c>
      <c r="E19" s="5">
        <f t="shared" si="8"/>
        <v>0.15250995674572393</v>
      </c>
      <c r="F19" s="5">
        <f t="shared" si="8"/>
        <v>0.14699611401716439</v>
      </c>
      <c r="G19" s="5">
        <f t="shared" si="8"/>
        <v>0.21152371296804184</v>
      </c>
      <c r="H19" s="5">
        <f t="shared" si="8"/>
        <v>-5.3261523699602346E-2</v>
      </c>
      <c r="I19" s="5">
        <f t="shared" si="8"/>
        <v>0.28248216297408935</v>
      </c>
      <c r="J19" s="13" t="s">
        <v>30</v>
      </c>
      <c r="K19" s="5">
        <f t="shared" si="8"/>
        <v>0.28248216297408935</v>
      </c>
      <c r="L19" s="5">
        <f t="shared" si="8"/>
        <v>0.14856024048987515</v>
      </c>
      <c r="M19" s="5">
        <f t="shared" si="8"/>
        <v>7.2614361756368109E-2</v>
      </c>
      <c r="N19" s="13" t="s">
        <v>30</v>
      </c>
      <c r="O19" s="5">
        <f t="shared" si="8"/>
        <v>0.14400764826303375</v>
      </c>
      <c r="P19" s="5">
        <f t="shared" si="8"/>
        <v>0.21154758538055643</v>
      </c>
      <c r="Q19" s="5">
        <f t="shared" si="8"/>
        <v>-5.5746829866618865E-2</v>
      </c>
    </row>
    <row r="20" spans="1:17" ht="17.100000000000001" customHeight="1" x14ac:dyDescent="0.25">
      <c r="A20" s="2" t="s">
        <v>29</v>
      </c>
      <c r="B20" s="3">
        <f t="shared" ref="B20:Q20" si="9">(((B18/B6)^(1/4))-1)</f>
        <v>0.30263297848523063</v>
      </c>
      <c r="C20" s="3">
        <f t="shared" si="9"/>
        <v>0.29379659006962755</v>
      </c>
      <c r="D20" s="3">
        <f t="shared" si="9"/>
        <v>0.2904382796939069</v>
      </c>
      <c r="E20" s="3">
        <f t="shared" si="9"/>
        <v>0.28868425360163186</v>
      </c>
      <c r="F20" s="3">
        <f t="shared" si="9"/>
        <v>0.27612222547613086</v>
      </c>
      <c r="G20" s="3">
        <f t="shared" si="9"/>
        <v>0.29056973988037105</v>
      </c>
      <c r="H20" s="3">
        <f t="shared" si="9"/>
        <v>-1.1194679340288394E-2</v>
      </c>
      <c r="I20" s="3">
        <f t="shared" si="9"/>
        <v>0.17425325038134987</v>
      </c>
      <c r="J20" s="3" t="s">
        <v>30</v>
      </c>
      <c r="K20" s="3">
        <f t="shared" si="9"/>
        <v>0.17425325038134987</v>
      </c>
      <c r="L20" s="3">
        <f t="shared" si="9"/>
        <v>0.27501682314567422</v>
      </c>
      <c r="M20" s="3">
        <f t="shared" si="9"/>
        <v>0.176917057115765</v>
      </c>
      <c r="N20" s="3" t="s">
        <v>30</v>
      </c>
      <c r="O20" s="3">
        <f t="shared" si="9"/>
        <v>0.26834269024640833</v>
      </c>
      <c r="P20" s="3">
        <f t="shared" si="9"/>
        <v>0.29043194807853046</v>
      </c>
      <c r="Q20" s="3">
        <f t="shared" si="9"/>
        <v>-1.7117723925708095E-2</v>
      </c>
    </row>
    <row r="21" spans="1:17" ht="17.100000000000001" customHeight="1" x14ac:dyDescent="0.25">
      <c r="A21" s="7" t="s">
        <v>24</v>
      </c>
      <c r="B21" s="10">
        <v>183149</v>
      </c>
      <c r="C21" s="10">
        <v>324875.06</v>
      </c>
      <c r="D21" s="10">
        <v>174544</v>
      </c>
      <c r="E21" s="10">
        <v>23727080</v>
      </c>
      <c r="F21" s="10">
        <v>24957.178</v>
      </c>
      <c r="G21" s="10">
        <v>31416.634999999998</v>
      </c>
      <c r="H21" s="8">
        <f t="shared" si="0"/>
        <v>79.439373440217267</v>
      </c>
      <c r="I21" s="11">
        <v>118076</v>
      </c>
      <c r="J21" s="11">
        <v>8111</v>
      </c>
      <c r="K21" s="11">
        <v>126187</v>
      </c>
      <c r="L21" s="11">
        <v>2244.1579999999999</v>
      </c>
      <c r="M21" s="11">
        <v>145.73400000000001</v>
      </c>
      <c r="N21" s="11">
        <v>9.532</v>
      </c>
      <c r="O21" s="11">
        <v>2399.424</v>
      </c>
      <c r="P21" s="11">
        <v>3176.7069999999999</v>
      </c>
      <c r="Q21" s="8">
        <f t="shared" si="1"/>
        <v>75.531800698018429</v>
      </c>
    </row>
    <row r="22" spans="1:17" ht="17.100000000000001" customHeight="1" x14ac:dyDescent="0.25">
      <c r="A22" s="1" t="s">
        <v>31</v>
      </c>
      <c r="B22" s="5">
        <f>(B21-B18)/B18</f>
        <v>0.23464022326785403</v>
      </c>
      <c r="C22" s="5">
        <f t="shared" ref="C22:Q22" si="10">(C21-C18)/C18</f>
        <v>0.2402109627566483</v>
      </c>
      <c r="D22" s="5">
        <f t="shared" si="10"/>
        <v>0.2195895665783939</v>
      </c>
      <c r="E22" s="5">
        <f t="shared" si="10"/>
        <v>0.31247671214933254</v>
      </c>
      <c r="F22" s="5">
        <f t="shared" si="10"/>
        <v>0.26682221510230936</v>
      </c>
      <c r="G22" s="5">
        <f t="shared" si="10"/>
        <v>0.21957059917570398</v>
      </c>
      <c r="H22" s="5">
        <f t="shared" si="10"/>
        <v>3.8744469535869741E-2</v>
      </c>
      <c r="I22" s="5">
        <f t="shared" si="10"/>
        <v>0.23475587438694093</v>
      </c>
      <c r="J22" s="13" t="s">
        <v>30</v>
      </c>
      <c r="K22" s="5">
        <f t="shared" si="10"/>
        <v>0.319575015424514</v>
      </c>
      <c r="L22" s="5">
        <f t="shared" si="10"/>
        <v>0.27052310841826471</v>
      </c>
      <c r="M22" s="5">
        <f t="shared" si="10"/>
        <v>0.38547539144571108</v>
      </c>
      <c r="N22" s="13" t="s">
        <v>30</v>
      </c>
      <c r="O22" s="5">
        <f t="shared" si="10"/>
        <v>0.28207712155886711</v>
      </c>
      <c r="P22" s="5">
        <f t="shared" si="10"/>
        <v>0.21960056221208424</v>
      </c>
      <c r="Q22" s="5">
        <f t="shared" si="10"/>
        <v>5.1227066699169564E-2</v>
      </c>
    </row>
    <row r="23" spans="1:17" ht="17.100000000000001" customHeight="1" x14ac:dyDescent="0.25">
      <c r="A23" s="2" t="s">
        <v>29</v>
      </c>
      <c r="B23" s="3">
        <f t="shared" ref="B23:Q23" si="11">(((B21/B6)^(1/5))-1)</f>
        <v>0.28874127922919501</v>
      </c>
      <c r="C23" s="3">
        <f t="shared" si="11"/>
        <v>0.28289737035545048</v>
      </c>
      <c r="D23" s="3">
        <f t="shared" si="11"/>
        <v>0.275946691410621</v>
      </c>
      <c r="E23" s="3">
        <f t="shared" si="11"/>
        <v>0.29340798798668954</v>
      </c>
      <c r="F23" s="3">
        <f t="shared" si="11"/>
        <v>0.27425677750782462</v>
      </c>
      <c r="G23" s="3">
        <f t="shared" si="11"/>
        <v>0.27604670833984524</v>
      </c>
      <c r="H23" s="3">
        <f t="shared" si="11"/>
        <v>-1.4027157629279419E-3</v>
      </c>
      <c r="I23" s="3">
        <f t="shared" si="11"/>
        <v>0.18611182870060872</v>
      </c>
      <c r="J23" s="3" t="s">
        <v>30</v>
      </c>
      <c r="K23" s="3">
        <f t="shared" si="11"/>
        <v>0.20197721079168574</v>
      </c>
      <c r="L23" s="3">
        <f t="shared" si="11"/>
        <v>0.27411681048957059</v>
      </c>
      <c r="M23" s="3">
        <f t="shared" si="11"/>
        <v>0.21595204924167555</v>
      </c>
      <c r="N23" s="3" t="s">
        <v>30</v>
      </c>
      <c r="O23" s="3">
        <f t="shared" si="11"/>
        <v>0.27107775521012845</v>
      </c>
      <c r="P23" s="3">
        <f t="shared" si="11"/>
        <v>0.27594398372982276</v>
      </c>
      <c r="Q23" s="3">
        <f t="shared" si="11"/>
        <v>-3.8138261410735064E-3</v>
      </c>
    </row>
    <row r="24" spans="1:17" ht="17.100000000000001" customHeight="1" x14ac:dyDescent="0.25">
      <c r="A24" s="7" t="s">
        <v>25</v>
      </c>
      <c r="B24" s="10">
        <v>225341</v>
      </c>
      <c r="C24" s="10">
        <v>398809.04999999993</v>
      </c>
      <c r="D24" s="10">
        <v>213509</v>
      </c>
      <c r="E24" s="10">
        <v>31453451</v>
      </c>
      <c r="F24" s="10">
        <v>32315.911</v>
      </c>
      <c r="G24" s="10">
        <v>38414.086000000003</v>
      </c>
      <c r="H24" s="8">
        <f t="shared" si="0"/>
        <v>84.12515919290648</v>
      </c>
      <c r="I24" s="11">
        <v>127073</v>
      </c>
      <c r="J24" s="11">
        <v>11899.743924999999</v>
      </c>
      <c r="K24" s="11">
        <v>138972.74392500002</v>
      </c>
      <c r="L24" s="11">
        <v>2908.2080000000001</v>
      </c>
      <c r="M24" s="11">
        <v>157.23500000000001</v>
      </c>
      <c r="N24" s="11">
        <v>14.86</v>
      </c>
      <c r="O24" s="11">
        <v>3080.3029999999999</v>
      </c>
      <c r="P24" s="11">
        <v>4094.9520000000002</v>
      </c>
      <c r="Q24" s="8">
        <f t="shared" si="1"/>
        <v>75.22195620363803</v>
      </c>
    </row>
    <row r="25" spans="1:17" ht="17.100000000000001" customHeight="1" x14ac:dyDescent="0.25">
      <c r="A25" s="1" t="s">
        <v>31</v>
      </c>
      <c r="B25" s="5">
        <f>(B24-B21)/B21</f>
        <v>0.23036980818896091</v>
      </c>
      <c r="C25" s="5">
        <f t="shared" ref="C25:Q25" si="12">(C24-C21)/C21</f>
        <v>0.22757668748102711</v>
      </c>
      <c r="D25" s="5">
        <f t="shared" si="12"/>
        <v>0.22323883949032908</v>
      </c>
      <c r="E25" s="5">
        <f t="shared" si="12"/>
        <v>0.32563513925860238</v>
      </c>
      <c r="F25" s="5">
        <f t="shared" si="12"/>
        <v>0.2948543701535486</v>
      </c>
      <c r="G25" s="5">
        <f t="shared" si="12"/>
        <v>0.22273076031217234</v>
      </c>
      <c r="H25" s="5">
        <f t="shared" si="12"/>
        <v>5.8985683670019613E-2</v>
      </c>
      <c r="I25" s="5">
        <f t="shared" si="12"/>
        <v>7.6196686879636849E-2</v>
      </c>
      <c r="J25" s="13" t="s">
        <v>30</v>
      </c>
      <c r="K25" s="5">
        <f t="shared" si="12"/>
        <v>0.10132378077773477</v>
      </c>
      <c r="L25" s="5">
        <f t="shared" si="12"/>
        <v>0.29590162546487375</v>
      </c>
      <c r="M25" s="5">
        <f t="shared" si="12"/>
        <v>7.8917754264619125E-2</v>
      </c>
      <c r="N25" s="5">
        <f t="shared" si="12"/>
        <v>0.55895929500629449</v>
      </c>
      <c r="O25" s="5">
        <f t="shared" si="12"/>
        <v>0.28376768757835208</v>
      </c>
      <c r="P25" s="5">
        <f t="shared" si="12"/>
        <v>0.28905561639773525</v>
      </c>
      <c r="Q25" s="5">
        <f t="shared" si="12"/>
        <v>-4.1021727473330117E-3</v>
      </c>
    </row>
    <row r="26" spans="1:17" ht="17.100000000000001" customHeight="1" x14ac:dyDescent="0.25">
      <c r="A26" s="2" t="s">
        <v>29</v>
      </c>
      <c r="B26" s="3">
        <f t="shared" ref="B26:Q26" si="13">(((B24/B6)^(1/6))-1)</f>
        <v>0.27882384972459962</v>
      </c>
      <c r="C26" s="3">
        <f t="shared" si="13"/>
        <v>0.27350709196367839</v>
      </c>
      <c r="D26" s="3">
        <f t="shared" si="13"/>
        <v>0.26700691578002189</v>
      </c>
      <c r="E26" s="3">
        <f t="shared" si="13"/>
        <v>0.29872425128949409</v>
      </c>
      <c r="F26" s="3">
        <f t="shared" si="13"/>
        <v>0.2776668140649392</v>
      </c>
      <c r="G26" s="3">
        <f t="shared" si="13"/>
        <v>0.26700194805297328</v>
      </c>
      <c r="H26" s="3">
        <f t="shared" si="13"/>
        <v>8.417403010591018E-3</v>
      </c>
      <c r="I26" s="3">
        <f t="shared" si="13"/>
        <v>0.16704241218904015</v>
      </c>
      <c r="J26" s="3" t="s">
        <v>30</v>
      </c>
      <c r="K26" s="3">
        <f t="shared" si="13"/>
        <v>0.18458445949001945</v>
      </c>
      <c r="L26" s="3">
        <f t="shared" si="13"/>
        <v>0.27772201362490834</v>
      </c>
      <c r="M26" s="3">
        <f t="shared" si="13"/>
        <v>0.1919602266752154</v>
      </c>
      <c r="N26" s="3" t="s">
        <v>30</v>
      </c>
      <c r="O26" s="3">
        <f t="shared" si="13"/>
        <v>0.27318399923789349</v>
      </c>
      <c r="P26" s="3">
        <f t="shared" si="13"/>
        <v>0.27811995754469532</v>
      </c>
      <c r="Q26" s="3">
        <f t="shared" si="13"/>
        <v>-3.86188970578627E-3</v>
      </c>
    </row>
    <row r="27" spans="1:17" ht="17.100000000000001" customHeight="1" x14ac:dyDescent="0.25">
      <c r="A27" s="7" t="s">
        <v>26</v>
      </c>
      <c r="B27" s="10">
        <v>287281</v>
      </c>
      <c r="C27" s="10">
        <v>512440.59499999997</v>
      </c>
      <c r="D27" s="10">
        <v>273660</v>
      </c>
      <c r="E27" s="10">
        <v>41600088</v>
      </c>
      <c r="F27" s="10">
        <v>41936.813000000002</v>
      </c>
      <c r="G27" s="10">
        <v>49212.411</v>
      </c>
      <c r="H27" s="8">
        <f t="shared" si="0"/>
        <v>85.215928559159607</v>
      </c>
      <c r="I27" s="11">
        <v>149408</v>
      </c>
      <c r="J27" s="11">
        <v>14204</v>
      </c>
      <c r="K27" s="11">
        <v>163612</v>
      </c>
      <c r="L27" s="11">
        <v>3774.4513459999998</v>
      </c>
      <c r="M27" s="11">
        <v>182.554925</v>
      </c>
      <c r="N27" s="11">
        <v>15.645637000000001</v>
      </c>
      <c r="O27" s="11">
        <v>3972.6519079999998</v>
      </c>
      <c r="P27" s="11">
        <v>5326.489223999999</v>
      </c>
      <c r="Q27" s="8">
        <f t="shared" si="1"/>
        <v>74.582933353175605</v>
      </c>
    </row>
    <row r="28" spans="1:17" ht="17.100000000000001" customHeight="1" x14ac:dyDescent="0.25">
      <c r="A28" s="1" t="s">
        <v>31</v>
      </c>
      <c r="B28" s="5">
        <f>(B27-B24)/B24</f>
        <v>0.27487230464052259</v>
      </c>
      <c r="C28" s="5">
        <f t="shared" ref="C28:Q28" si="14">(C27-C24)/C24</f>
        <v>0.28492719761499913</v>
      </c>
      <c r="D28" s="5">
        <f t="shared" si="14"/>
        <v>0.2817258288877752</v>
      </c>
      <c r="E28" s="5">
        <f t="shared" si="14"/>
        <v>0.32259216961598269</v>
      </c>
      <c r="F28" s="5">
        <f t="shared" si="14"/>
        <v>0.29771408888952572</v>
      </c>
      <c r="G28" s="5">
        <f t="shared" si="14"/>
        <v>0.28110326508874883</v>
      </c>
      <c r="H28" s="5">
        <f t="shared" si="14"/>
        <v>1.2966030337629388E-2</v>
      </c>
      <c r="I28" s="5">
        <f t="shared" si="14"/>
        <v>0.17576511139266407</v>
      </c>
      <c r="J28" s="5">
        <f t="shared" si="14"/>
        <v>0.19363913118827902</v>
      </c>
      <c r="K28" s="5">
        <f t="shared" si="14"/>
        <v>0.17729560041138104</v>
      </c>
      <c r="L28" s="5">
        <f t="shared" si="14"/>
        <v>0.2978615511682795</v>
      </c>
      <c r="M28" s="5">
        <f t="shared" si="14"/>
        <v>0.16103237192736974</v>
      </c>
      <c r="N28" s="5">
        <f t="shared" si="14"/>
        <v>5.286924629878878E-2</v>
      </c>
      <c r="O28" s="5">
        <f t="shared" si="14"/>
        <v>0.28969517219572227</v>
      </c>
      <c r="P28" s="5">
        <f t="shared" si="14"/>
        <v>0.30074521606114035</v>
      </c>
      <c r="Q28" s="5">
        <f t="shared" si="14"/>
        <v>-8.4951639483090043E-3</v>
      </c>
    </row>
    <row r="29" spans="1:17" ht="17.100000000000001" customHeight="1" x14ac:dyDescent="0.25">
      <c r="A29" s="2" t="s">
        <v>29</v>
      </c>
      <c r="B29" s="3">
        <f t="shared" ref="B29:Q29" si="15">(((B27/B6)^(1/7))-1)</f>
        <v>0.27825859428696242</v>
      </c>
      <c r="C29" s="3">
        <f t="shared" si="15"/>
        <v>0.27513230026335189</v>
      </c>
      <c r="D29" s="3">
        <f t="shared" si="15"/>
        <v>0.26909922350157767</v>
      </c>
      <c r="E29" s="3">
        <f t="shared" si="15"/>
        <v>0.30210739973484935</v>
      </c>
      <c r="F29" s="3">
        <f t="shared" si="15"/>
        <v>0.28051163714332383</v>
      </c>
      <c r="G29" s="3">
        <f t="shared" si="15"/>
        <v>0.26900687883802665</v>
      </c>
      <c r="H29" s="3">
        <f t="shared" si="15"/>
        <v>9.0659542490671985E-3</v>
      </c>
      <c r="I29" s="3">
        <f t="shared" si="15"/>
        <v>0.16828453890706174</v>
      </c>
      <c r="J29" s="3" t="s">
        <v>30</v>
      </c>
      <c r="K29" s="3">
        <f t="shared" si="15"/>
        <v>0.18354043754291283</v>
      </c>
      <c r="L29" s="3">
        <f t="shared" si="15"/>
        <v>0.28057984280021864</v>
      </c>
      <c r="M29" s="3">
        <f t="shared" si="15"/>
        <v>0.1874920257703796</v>
      </c>
      <c r="N29" s="3" t="s">
        <v>30</v>
      </c>
      <c r="O29" s="3">
        <f t="shared" si="15"/>
        <v>0.27552973289888527</v>
      </c>
      <c r="P29" s="3">
        <f t="shared" si="15"/>
        <v>0.28132788155247956</v>
      </c>
      <c r="Q29" s="3">
        <f t="shared" si="15"/>
        <v>-4.525109253510573E-3</v>
      </c>
    </row>
    <row r="30" spans="1:17" ht="17.100000000000001" customHeight="1" x14ac:dyDescent="0.25">
      <c r="A30" s="7" t="s">
        <v>27</v>
      </c>
      <c r="B30" s="10">
        <v>326233</v>
      </c>
      <c r="C30" s="10">
        <v>576628.04463000002</v>
      </c>
      <c r="D30" s="10">
        <v>302623.00100000005</v>
      </c>
      <c r="E30" s="10">
        <v>48955983</v>
      </c>
      <c r="F30" s="10">
        <v>47899.64</v>
      </c>
      <c r="G30" s="10">
        <v>54298.065999999999</v>
      </c>
      <c r="H30" s="8">
        <f t="shared" si="0"/>
        <v>88.216106997254755</v>
      </c>
      <c r="I30" s="11">
        <v>170287.51</v>
      </c>
      <c r="J30" s="11">
        <v>15237.461000000001</v>
      </c>
      <c r="K30" s="11">
        <v>185524.97100000002</v>
      </c>
      <c r="L30" s="11">
        <v>4310.8915099999995</v>
      </c>
      <c r="M30" s="11">
        <v>205.79885999999999</v>
      </c>
      <c r="N30" s="11">
        <v>16.439809999999998</v>
      </c>
      <c r="O30" s="11">
        <v>4533.1301800000001</v>
      </c>
      <c r="P30" s="11">
        <v>5869.2875999999997</v>
      </c>
      <c r="Q30" s="8">
        <f t="shared" si="1"/>
        <v>77.234759802876255</v>
      </c>
    </row>
    <row r="31" spans="1:17" ht="17.100000000000001" customHeight="1" x14ac:dyDescent="0.25">
      <c r="A31" s="1" t="s">
        <v>31</v>
      </c>
      <c r="B31" s="5">
        <f>(B30-B27)/B27</f>
        <v>0.13558850045773999</v>
      </c>
      <c r="C31" s="5">
        <f t="shared" ref="C31:Q31" si="16">(C30-C27)/C27</f>
        <v>0.12525832312328816</v>
      </c>
      <c r="D31" s="5">
        <f t="shared" si="16"/>
        <v>0.10583571219761766</v>
      </c>
      <c r="E31" s="5">
        <f t="shared" si="16"/>
        <v>0.17682402498763944</v>
      </c>
      <c r="F31" s="5">
        <f t="shared" si="16"/>
        <v>0.14218598346994077</v>
      </c>
      <c r="G31" s="5">
        <f t="shared" si="16"/>
        <v>0.10334090317176289</v>
      </c>
      <c r="H31" s="5">
        <f t="shared" si="16"/>
        <v>3.5206779868769821E-2</v>
      </c>
      <c r="I31" s="5">
        <f t="shared" si="16"/>
        <v>0.13974827318483621</v>
      </c>
      <c r="J31" s="5">
        <f t="shared" si="16"/>
        <v>7.2758448324415734E-2</v>
      </c>
      <c r="K31" s="5">
        <f t="shared" si="16"/>
        <v>0.13393254162286397</v>
      </c>
      <c r="L31" s="5">
        <f t="shared" si="16"/>
        <v>0.14212401083630227</v>
      </c>
      <c r="M31" s="5">
        <f t="shared" si="16"/>
        <v>0.12732570759183842</v>
      </c>
      <c r="N31" s="5">
        <f t="shared" si="16"/>
        <v>5.0760029776991317E-2</v>
      </c>
      <c r="O31" s="5">
        <f t="shared" si="16"/>
        <v>0.14108416367196103</v>
      </c>
      <c r="P31" s="5">
        <f t="shared" si="16"/>
        <v>0.10190546778059167</v>
      </c>
      <c r="Q31" s="5">
        <f t="shared" si="16"/>
        <v>3.5555405646803241E-2</v>
      </c>
    </row>
    <row r="32" spans="1:17" ht="17.100000000000001" customHeight="1" x14ac:dyDescent="0.25">
      <c r="A32" s="2" t="s">
        <v>29</v>
      </c>
      <c r="B32" s="3">
        <f>(((B30/B6)^(1/8))-1)</f>
        <v>0.25948791416666217</v>
      </c>
      <c r="C32" s="3">
        <f t="shared" ref="C32:Q32" si="17">(((C30/C6)^(1/8))-1)</f>
        <v>0.25535735190193165</v>
      </c>
      <c r="D32" s="3">
        <f t="shared" si="17"/>
        <v>0.24744083754439772</v>
      </c>
      <c r="E32" s="3">
        <f t="shared" si="17"/>
        <v>0.28574515608371609</v>
      </c>
      <c r="F32" s="3">
        <f t="shared" si="17"/>
        <v>0.26234391736920037</v>
      </c>
      <c r="G32" s="3">
        <f t="shared" si="17"/>
        <v>0.247009304798121</v>
      </c>
      <c r="H32" s="3">
        <f t="shared" si="17"/>
        <v>1.2297111586959675E-2</v>
      </c>
      <c r="I32" s="3">
        <f t="shared" si="17"/>
        <v>0.16467879504228544</v>
      </c>
      <c r="J32" s="3" t="s">
        <v>30</v>
      </c>
      <c r="K32" s="3">
        <f t="shared" si="17"/>
        <v>0.17722266682822507</v>
      </c>
      <c r="L32" s="3">
        <f t="shared" si="17"/>
        <v>0.26239418827096972</v>
      </c>
      <c r="M32" s="3">
        <f t="shared" si="17"/>
        <v>0.17979904569369465</v>
      </c>
      <c r="N32" s="3" t="s">
        <v>30</v>
      </c>
      <c r="O32" s="3">
        <f t="shared" si="17"/>
        <v>0.25789378977667377</v>
      </c>
      <c r="P32" s="3">
        <f t="shared" si="17"/>
        <v>0.2573922642659654</v>
      </c>
      <c r="Q32" s="3">
        <f t="shared" si="17"/>
        <v>3.9886161618873928E-4</v>
      </c>
    </row>
    <row r="33" spans="1:17" ht="17.100000000000001" customHeight="1" x14ac:dyDescent="0.25">
      <c r="A33" s="9" t="s">
        <v>32</v>
      </c>
      <c r="B33" s="10">
        <v>417419</v>
      </c>
      <c r="C33" s="10">
        <v>740551.19860000012</v>
      </c>
      <c r="D33" s="10">
        <v>382121.826</v>
      </c>
      <c r="E33" s="10">
        <v>60038171</v>
      </c>
      <c r="F33" s="10">
        <v>58688.678999999996</v>
      </c>
      <c r="G33" s="10">
        <v>67643.506999999998</v>
      </c>
      <c r="H33" s="8">
        <f t="shared" si="0"/>
        <v>86.761733095831346</v>
      </c>
      <c r="I33" s="11">
        <v>163256.30495000002</v>
      </c>
      <c r="J33" s="11">
        <v>21163.398409999998</v>
      </c>
      <c r="K33" s="11">
        <v>184419.70335999998</v>
      </c>
      <c r="L33" s="11">
        <v>5281.9677139999994</v>
      </c>
      <c r="M33" s="11">
        <v>195.54945129999999</v>
      </c>
      <c r="N33" s="11">
        <v>21.825904699999995</v>
      </c>
      <c r="O33" s="11">
        <v>5499.3430699999999</v>
      </c>
      <c r="P33" s="11">
        <v>7452.3593386000002</v>
      </c>
      <c r="Q33" s="8">
        <f t="shared" si="1"/>
        <v>73.793315916957738</v>
      </c>
    </row>
    <row r="34" spans="1:17" ht="17.100000000000001" customHeight="1" x14ac:dyDescent="0.25">
      <c r="A34" s="1" t="s">
        <v>28</v>
      </c>
      <c r="B34" s="5">
        <f>(B33-B30)/B30</f>
        <v>0.27951188261150772</v>
      </c>
      <c r="C34" s="5">
        <f t="shared" ref="C34:Q34" si="18">(C33-C30)/C30</f>
        <v>0.28427884404266751</v>
      </c>
      <c r="D34" s="5">
        <f t="shared" si="18"/>
        <v>0.26269921564884602</v>
      </c>
      <c r="E34" s="5">
        <f t="shared" si="18"/>
        <v>0.22637045200379288</v>
      </c>
      <c r="F34" s="5">
        <f t="shared" si="18"/>
        <v>0.22524259054974102</v>
      </c>
      <c r="G34" s="5">
        <f t="shared" si="18"/>
        <v>0.24578114807993343</v>
      </c>
      <c r="H34" s="5">
        <f t="shared" si="18"/>
        <v>-1.6486489269682561E-2</v>
      </c>
      <c r="I34" s="5">
        <f t="shared" si="18"/>
        <v>-4.1290198265274941E-2</v>
      </c>
      <c r="J34" s="5">
        <f t="shared" si="18"/>
        <v>0.38890582952107283</v>
      </c>
      <c r="K34" s="5">
        <f t="shared" si="18"/>
        <v>-5.9575141504807699E-3</v>
      </c>
      <c r="L34" s="5">
        <f t="shared" si="18"/>
        <v>0.2252611093894126</v>
      </c>
      <c r="M34" s="5">
        <f t="shared" si="18"/>
        <v>-4.9803039239381619E-2</v>
      </c>
      <c r="N34" s="5">
        <f t="shared" si="18"/>
        <v>0.32762511853847448</v>
      </c>
      <c r="O34" s="5">
        <f t="shared" si="18"/>
        <v>0.21314474802927449</v>
      </c>
      <c r="P34" s="5">
        <f t="shared" si="18"/>
        <v>0.26972127564510567</v>
      </c>
      <c r="Q34" s="5">
        <f t="shared" si="18"/>
        <v>-4.4558226046174043E-2</v>
      </c>
    </row>
    <row r="35" spans="1:17" ht="17.100000000000001" customHeight="1" x14ac:dyDescent="0.25">
      <c r="A35" s="2" t="s">
        <v>29</v>
      </c>
      <c r="B35" s="3">
        <f>(((B33/B6)^(1/9))-1)</f>
        <v>0.26169723409475587</v>
      </c>
      <c r="C35" s="3">
        <f t="shared" ref="C35:Q35" si="19">(((C33/C6)^(1/9))-1)</f>
        <v>0.25853841649984943</v>
      </c>
      <c r="D35" s="3">
        <f t="shared" si="19"/>
        <v>0.24912706662805717</v>
      </c>
      <c r="E35" s="3">
        <f t="shared" si="19"/>
        <v>0.27900849228646329</v>
      </c>
      <c r="F35" s="3">
        <f t="shared" si="19"/>
        <v>0.25816668076816152</v>
      </c>
      <c r="G35" s="3">
        <f t="shared" si="19"/>
        <v>0.24687278317067984</v>
      </c>
      <c r="H35" s="3">
        <f t="shared" si="19"/>
        <v>9.0577785880949779E-3</v>
      </c>
      <c r="I35" s="3">
        <f t="shared" si="19"/>
        <v>0.13976461127920392</v>
      </c>
      <c r="J35" s="3" t="s">
        <v>30</v>
      </c>
      <c r="K35" s="3">
        <f t="shared" si="19"/>
        <v>0.15530618099541948</v>
      </c>
      <c r="L35" s="3">
        <f t="shared" si="19"/>
        <v>0.25821333104872712</v>
      </c>
      <c r="M35" s="3">
        <f t="shared" si="19"/>
        <v>0.15176590417210578</v>
      </c>
      <c r="N35" s="3" t="s">
        <v>30</v>
      </c>
      <c r="O35" s="3">
        <f t="shared" si="19"/>
        <v>0.25284125289856418</v>
      </c>
      <c r="P35" s="3">
        <f t="shared" si="19"/>
        <v>0.25875622120321262</v>
      </c>
      <c r="Q35" s="3">
        <f t="shared" si="19"/>
        <v>-4.6990578517217552E-3</v>
      </c>
    </row>
    <row r="36" spans="1:17" ht="30" x14ac:dyDescent="0.25">
      <c r="A36" s="9" t="s">
        <v>36</v>
      </c>
      <c r="B36" s="10">
        <v>475868</v>
      </c>
      <c r="C36" s="10">
        <v>843787.93333333323</v>
      </c>
      <c r="D36" s="10">
        <v>425681.72399999999</v>
      </c>
      <c r="E36" s="10">
        <v>68058886</v>
      </c>
      <c r="F36" s="10">
        <v>65356.184999999998</v>
      </c>
      <c r="G36" s="10">
        <v>75051.152000000002</v>
      </c>
      <c r="H36" s="8">
        <v>87.082187625847496</v>
      </c>
      <c r="I36" s="11">
        <v>242078.62299999999</v>
      </c>
      <c r="J36" s="11">
        <v>17195.88</v>
      </c>
      <c r="K36" s="11">
        <v>259274.49999999997</v>
      </c>
      <c r="L36" s="11">
        <v>5880.5194268000005</v>
      </c>
      <c r="M36" s="11">
        <v>284.03334021899997</v>
      </c>
      <c r="N36" s="11">
        <v>17.485200213000002</v>
      </c>
      <c r="O36" s="11">
        <v>6182.0379672319996</v>
      </c>
      <c r="P36" s="11">
        <v>8291.4056345040026</v>
      </c>
      <c r="Q36" s="8">
        <v>74.559589046107661</v>
      </c>
    </row>
    <row r="37" spans="1:17" x14ac:dyDescent="0.25">
      <c r="A37" s="1" t="s">
        <v>28</v>
      </c>
      <c r="B37" s="5">
        <f>(B36-B33)/B33</f>
        <v>0.14002477127298948</v>
      </c>
      <c r="C37" s="5">
        <f t="shared" ref="C37:Q37" si="20">(C36-C33)/C33</f>
        <v>0.13940526317221613</v>
      </c>
      <c r="D37" s="5">
        <f t="shared" si="20"/>
        <v>0.11399479180757392</v>
      </c>
      <c r="E37" s="5">
        <f t="shared" si="20"/>
        <v>0.13359359331582568</v>
      </c>
      <c r="F37" s="5">
        <f t="shared" si="20"/>
        <v>0.11360804355470332</v>
      </c>
      <c r="G37" s="5">
        <f t="shared" si="20"/>
        <v>0.10951006724119144</v>
      </c>
      <c r="H37" s="5">
        <f t="shared" si="20"/>
        <v>3.6935007932840246E-3</v>
      </c>
      <c r="I37" s="5">
        <f t="shared" si="20"/>
        <v>0.48281331660753091</v>
      </c>
      <c r="J37" s="5">
        <f t="shared" si="20"/>
        <v>-0.18747076122355139</v>
      </c>
      <c r="K37" s="5">
        <f t="shared" si="20"/>
        <v>0.40589370482761411</v>
      </c>
      <c r="L37" s="5">
        <f t="shared" si="20"/>
        <v>0.11331983556308446</v>
      </c>
      <c r="M37" s="5">
        <f t="shared" si="20"/>
        <v>0.45248855637673674</v>
      </c>
      <c r="N37" s="5">
        <f t="shared" si="20"/>
        <v>-0.19887855952197911</v>
      </c>
      <c r="O37" s="5">
        <f t="shared" si="20"/>
        <v>0.12414117259863908</v>
      </c>
      <c r="P37" s="5">
        <f t="shared" si="20"/>
        <v>0.11258800841206157</v>
      </c>
      <c r="Q37" s="5">
        <f t="shared" si="20"/>
        <v>1.0384045216401948E-2</v>
      </c>
    </row>
    <row r="38" spans="1:17" x14ac:dyDescent="0.25">
      <c r="A38" s="2" t="s">
        <v>29</v>
      </c>
      <c r="B38" s="3">
        <f>(((B36/B6)^(1/10))-1)</f>
        <v>0.24896729056949618</v>
      </c>
      <c r="C38" s="3">
        <f t="shared" ref="C38:Q38" si="21">(((C36/C6)^(1/10))-1)</f>
        <v>0.24608495149097287</v>
      </c>
      <c r="D38" s="3">
        <f t="shared" si="21"/>
        <v>0.23490705880629092</v>
      </c>
      <c r="E38" s="3">
        <f t="shared" si="21"/>
        <v>0.26366461198902447</v>
      </c>
      <c r="F38" s="3">
        <f t="shared" si="21"/>
        <v>0.24290403460101029</v>
      </c>
      <c r="G38" s="3">
        <f t="shared" si="21"/>
        <v>0.2324038756940987</v>
      </c>
      <c r="H38" s="3">
        <f t="shared" si="21"/>
        <v>8.5200631984365671E-3</v>
      </c>
      <c r="I38" s="3">
        <f t="shared" si="21"/>
        <v>0.17015205402904177</v>
      </c>
      <c r="J38" s="3" t="s">
        <v>30</v>
      </c>
      <c r="K38" s="3">
        <f t="shared" si="21"/>
        <v>0.1782098137263235</v>
      </c>
      <c r="L38" s="3">
        <f t="shared" si="21"/>
        <v>0.24291333858717423</v>
      </c>
      <c r="M38" s="3">
        <f t="shared" si="21"/>
        <v>0.17879712529816372</v>
      </c>
      <c r="N38" s="3" t="s">
        <v>30</v>
      </c>
      <c r="O38" s="3">
        <f t="shared" si="21"/>
        <v>0.23933446163666439</v>
      </c>
      <c r="P38" s="3">
        <f t="shared" si="21"/>
        <v>0.24331423058075474</v>
      </c>
      <c r="Q38" s="3">
        <f t="shared" si="21"/>
        <v>-3.2009357298448116E-3</v>
      </c>
    </row>
    <row r="39" spans="1:17" x14ac:dyDescent="0.25">
      <c r="A39" s="18" t="s">
        <v>35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32.25" customHeight="1" x14ac:dyDescent="0.25">
      <c r="A40" s="14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2020-06-11T07:59:44Z</cp:lastPrinted>
  <dcterms:created xsi:type="dcterms:W3CDTF">2018-10-29T04:00:14Z</dcterms:created>
  <dcterms:modified xsi:type="dcterms:W3CDTF">2021-09-15T00:32:29Z</dcterms:modified>
</cp:coreProperties>
</file>