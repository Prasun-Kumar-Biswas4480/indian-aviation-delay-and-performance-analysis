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pivotCache/pivotCacheDefinition4.xml" ContentType="application/vnd.openxmlformats-officedocument.spreadsheetml.pivotCacheDefinition+xml"/>
  <Override PartName="/xl/pivotCache/pivotCacheRecords4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hidePivotFieldList="1" defaultThemeVersion="124226"/>
  <mc:AlternateContent xmlns:mc="http://schemas.openxmlformats.org/markup-compatibility/2006">
    <mc:Choice Requires="x15">
      <x15ac:absPath xmlns:x15ac="http://schemas.microsoft.com/office/spreadsheetml/2010/11/ac" url="C:\Users\acer\Desktop\PUBLICATION FY2019-20\D &amp; EF Pub 2019-20 - (29-11-2021)\EXCELL\INDIGO\"/>
    </mc:Choice>
  </mc:AlternateContent>
  <bookViews>
    <workbookView xWindow="0" yWindow="0" windowWidth="24000" windowHeight="11025" firstSheet="3" activeTab="3"/>
  </bookViews>
  <sheets>
    <sheet name="Form D-Fleet _Process" sheetId="16" state="hidden" r:id="rId1"/>
    <sheet name="Form D -Personnel processing" sheetId="17" state="hidden" r:id="rId2"/>
    <sheet name="FormEF_Processing" sheetId="15" state="hidden" r:id="rId3"/>
    <sheet name="1.13" sheetId="5" r:id="rId4"/>
  </sheets>
  <definedNames>
    <definedName name="\a" localSheetId="3">'1.13'!#REF!</definedName>
    <definedName name="\a">#REF!</definedName>
    <definedName name="\b">#REF!</definedName>
    <definedName name="_Regression_Int" localSheetId="3" hidden="1">1</definedName>
    <definedName name="D_Fleet">OFFSET(#REF!,COUNTA(#REF!)-1,COUNTA(#REF!),0,0)</definedName>
    <definedName name="name_Operator">OFFSET(#REF!,0,0,20,0)</definedName>
    <definedName name="Operator">#REF!</definedName>
    <definedName name="_xlnm.Print_Area" localSheetId="3">'1.13'!$A$1:$I$17</definedName>
    <definedName name="Print_Area_MI" localSheetId="3">'1.13'!$B$7:$I$17</definedName>
  </definedNames>
  <calcPr calcId="152511"/>
  <pivotCaches>
    <pivotCache cacheId="0" r:id="rId5"/>
    <pivotCache cacheId="1" r:id="rId6"/>
    <pivotCache cacheId="2" r:id="rId7"/>
    <pivotCache cacheId="3" r:id="rId8"/>
  </pivotCaches>
</workbook>
</file>

<file path=xl/calcChain.xml><?xml version="1.0" encoding="utf-8"?>
<calcChain xmlns="http://schemas.openxmlformats.org/spreadsheetml/2006/main">
  <c r="B2" i="16" l="1"/>
  <c r="T1972" i="16" l="1"/>
  <c r="T1973" i="16"/>
  <c r="T1974" i="16"/>
  <c r="T1975" i="16"/>
  <c r="T1976" i="16"/>
  <c r="T1977" i="16"/>
  <c r="T1978" i="16"/>
  <c r="T1979" i="16"/>
  <c r="T1980" i="16"/>
  <c r="T1981" i="16"/>
  <c r="T1982" i="16"/>
  <c r="T1983" i="16"/>
  <c r="T1984" i="16"/>
  <c r="T1985" i="16"/>
  <c r="T1986" i="16"/>
  <c r="T1987" i="16"/>
  <c r="T1988" i="16"/>
  <c r="T1989" i="16"/>
  <c r="T1990" i="16"/>
  <c r="T1991" i="16"/>
  <c r="T1992" i="16"/>
  <c r="T1993" i="16"/>
  <c r="T1994" i="16"/>
  <c r="T1995" i="16"/>
  <c r="T1996" i="16"/>
  <c r="T1997" i="16"/>
  <c r="T1998" i="16"/>
  <c r="T1999" i="16"/>
  <c r="T2000" i="16"/>
  <c r="T2001" i="16"/>
  <c r="T2002" i="16"/>
  <c r="T2003" i="16"/>
  <c r="T1958" i="16"/>
  <c r="T1959" i="16"/>
  <c r="T1960" i="16"/>
  <c r="T1961" i="16"/>
  <c r="T1962" i="16"/>
  <c r="T1963" i="16"/>
  <c r="T1964" i="16"/>
  <c r="T1965" i="16"/>
  <c r="T1966" i="16"/>
  <c r="T1967" i="16"/>
  <c r="T1968" i="16"/>
  <c r="T1969" i="16"/>
  <c r="T1970" i="16"/>
  <c r="T1971" i="16"/>
  <c r="T1942" i="16"/>
  <c r="T1943" i="16"/>
  <c r="T1944" i="16"/>
  <c r="T1945" i="16"/>
  <c r="T1946" i="16"/>
  <c r="T1947" i="16"/>
  <c r="T1948" i="16"/>
  <c r="T1949" i="16"/>
  <c r="T1950" i="16"/>
  <c r="T1951" i="16"/>
  <c r="T1952" i="16"/>
  <c r="T1953" i="16"/>
  <c r="T1954" i="16"/>
  <c r="T1955" i="16"/>
  <c r="T1956" i="16"/>
  <c r="T1957" i="16"/>
  <c r="T1423" i="16"/>
  <c r="T1424" i="16"/>
  <c r="T1425" i="16"/>
  <c r="T1426" i="16"/>
  <c r="T1427" i="16"/>
  <c r="T1428" i="16"/>
  <c r="T1429" i="16"/>
  <c r="T1430" i="16"/>
  <c r="T1431" i="16"/>
  <c r="T1432" i="16"/>
  <c r="T1433" i="16"/>
  <c r="T1434" i="16"/>
  <c r="T1435" i="16"/>
  <c r="T1436" i="16"/>
  <c r="T1437" i="16"/>
  <c r="T1438" i="16"/>
  <c r="T1439" i="16"/>
  <c r="T1440" i="16"/>
  <c r="T1441" i="16"/>
  <c r="T1442" i="16"/>
  <c r="T1443" i="16"/>
  <c r="T1444" i="16"/>
  <c r="T1445" i="16"/>
  <c r="T1446" i="16"/>
  <c r="T1447" i="16"/>
  <c r="T1448" i="16"/>
  <c r="T1449" i="16"/>
  <c r="T1450" i="16"/>
  <c r="T1451" i="16"/>
  <c r="T1452" i="16"/>
  <c r="T1453" i="16"/>
  <c r="T1454" i="16"/>
  <c r="T1455" i="16"/>
  <c r="T1456" i="16"/>
  <c r="T1457" i="16"/>
  <c r="T1458" i="16"/>
  <c r="T1459" i="16"/>
  <c r="T1460" i="16"/>
  <c r="T1461" i="16"/>
  <c r="T1462" i="16"/>
  <c r="T1463" i="16"/>
  <c r="T1464" i="16"/>
  <c r="T1465" i="16"/>
  <c r="T1466" i="16"/>
  <c r="T1467" i="16"/>
  <c r="T1468" i="16"/>
  <c r="T1469" i="16"/>
  <c r="T1470" i="16"/>
  <c r="T1471" i="16"/>
  <c r="T1472" i="16"/>
  <c r="T1473" i="16"/>
  <c r="T1474" i="16"/>
  <c r="T1475" i="16"/>
  <c r="T1476" i="16"/>
  <c r="T1477" i="16"/>
  <c r="T1478" i="16"/>
  <c r="T1479" i="16"/>
  <c r="T1480" i="16"/>
  <c r="T1481" i="16"/>
  <c r="T1482" i="16"/>
  <c r="T1483" i="16"/>
  <c r="T1484" i="16"/>
  <c r="T1485" i="16"/>
  <c r="T1486" i="16"/>
  <c r="T1487" i="16"/>
  <c r="T1488" i="16"/>
  <c r="T1489" i="16"/>
  <c r="T1490" i="16"/>
  <c r="T1491" i="16"/>
  <c r="T1492" i="16"/>
  <c r="T1493" i="16"/>
  <c r="T1494" i="16"/>
  <c r="T1495" i="16"/>
  <c r="T1496" i="16"/>
  <c r="T1497" i="16"/>
  <c r="T1498" i="16"/>
  <c r="T1499" i="16"/>
  <c r="T1500" i="16"/>
  <c r="T1501" i="16"/>
  <c r="T1502" i="16"/>
  <c r="T1503" i="16"/>
  <c r="T1504" i="16"/>
  <c r="T1505" i="16"/>
  <c r="T1506" i="16"/>
  <c r="T1507" i="16"/>
  <c r="T1508" i="16"/>
  <c r="T1509" i="16"/>
  <c r="T1510" i="16"/>
  <c r="T1511" i="16"/>
  <c r="T1512" i="16"/>
  <c r="T1513" i="16"/>
  <c r="T1514" i="16"/>
  <c r="T1515" i="16"/>
  <c r="T1516" i="16"/>
  <c r="T1517" i="16"/>
  <c r="T1518" i="16"/>
  <c r="T1519" i="16"/>
  <c r="T1520" i="16"/>
  <c r="T1521" i="16"/>
  <c r="T1522" i="16"/>
  <c r="T1523" i="16"/>
  <c r="T1524" i="16"/>
  <c r="T1525" i="16"/>
  <c r="T1526" i="16"/>
  <c r="T1527" i="16"/>
  <c r="T1528" i="16"/>
  <c r="T1529" i="16"/>
  <c r="T1530" i="16"/>
  <c r="T1531" i="16"/>
  <c r="T1532" i="16"/>
  <c r="T1533" i="16"/>
  <c r="T1534" i="16"/>
  <c r="T1535" i="16"/>
  <c r="T1536" i="16"/>
  <c r="T1537" i="16"/>
  <c r="T1538" i="16"/>
  <c r="T1539" i="16"/>
  <c r="T1540" i="16"/>
  <c r="T1541" i="16"/>
  <c r="T1542" i="16"/>
  <c r="T1543" i="16"/>
  <c r="T1544" i="16"/>
  <c r="T1545" i="16"/>
  <c r="T1546" i="16"/>
  <c r="T1547" i="16"/>
  <c r="T1548" i="16"/>
  <c r="T1549" i="16"/>
  <c r="T1550" i="16"/>
  <c r="T1551" i="16"/>
  <c r="T1552" i="16"/>
  <c r="T1553" i="16"/>
  <c r="T1554" i="16"/>
  <c r="T1555" i="16"/>
  <c r="T1556" i="16"/>
  <c r="T1557" i="16"/>
  <c r="T1558" i="16"/>
  <c r="T1559" i="16"/>
  <c r="T1560" i="16"/>
  <c r="T1561" i="16"/>
  <c r="T1562" i="16"/>
  <c r="T1563" i="16"/>
  <c r="T1564" i="16"/>
  <c r="T1565" i="16"/>
  <c r="T1566" i="16"/>
  <c r="T1567" i="16"/>
  <c r="T1568" i="16"/>
  <c r="T1569" i="16"/>
  <c r="T1570" i="16"/>
  <c r="T1571" i="16"/>
  <c r="T1572" i="16"/>
  <c r="T1573" i="16"/>
  <c r="T1574" i="16"/>
  <c r="T1575" i="16"/>
  <c r="T1576" i="16"/>
  <c r="T1577" i="16"/>
  <c r="T1578" i="16"/>
  <c r="T1579" i="16"/>
  <c r="T1580" i="16"/>
  <c r="T1581" i="16"/>
  <c r="T1582" i="16"/>
  <c r="T1583" i="16"/>
  <c r="T1584" i="16"/>
  <c r="T1585" i="16"/>
  <c r="T1586" i="16"/>
  <c r="T1587" i="16"/>
  <c r="T1588" i="16"/>
  <c r="T1589" i="16"/>
  <c r="T1590" i="16"/>
  <c r="T1591" i="16"/>
  <c r="T1592" i="16"/>
  <c r="T1593" i="16"/>
  <c r="T1594" i="16"/>
  <c r="T1595" i="16"/>
  <c r="T1596" i="16"/>
  <c r="T1597" i="16"/>
  <c r="T1598" i="16"/>
  <c r="T1599" i="16"/>
  <c r="T1600" i="16"/>
  <c r="T1601" i="16"/>
  <c r="T1602" i="16"/>
  <c r="T1603" i="16"/>
  <c r="T1604" i="16"/>
  <c r="T1605" i="16"/>
  <c r="T1606" i="16"/>
  <c r="T1607" i="16"/>
  <c r="T1608" i="16"/>
  <c r="T1609" i="16"/>
  <c r="T1610" i="16"/>
  <c r="T1611" i="16"/>
  <c r="T1612" i="16"/>
  <c r="T1613" i="16"/>
  <c r="T1614" i="16"/>
  <c r="T1615" i="16"/>
  <c r="T1616" i="16"/>
  <c r="T1617" i="16"/>
  <c r="T1618" i="16"/>
  <c r="T1619" i="16"/>
  <c r="T1620" i="16"/>
  <c r="T1621" i="16"/>
  <c r="T1622" i="16"/>
  <c r="T1623" i="16"/>
  <c r="T1624" i="16"/>
  <c r="T1625" i="16"/>
  <c r="T1626" i="16"/>
  <c r="T1627" i="16"/>
  <c r="T1628" i="16"/>
  <c r="T1629" i="16"/>
  <c r="T1630" i="16"/>
  <c r="T1631" i="16"/>
  <c r="T1632" i="16"/>
  <c r="T1633" i="16"/>
  <c r="T1634" i="16"/>
  <c r="T1635" i="16"/>
  <c r="T1636" i="16"/>
  <c r="T1637" i="16"/>
  <c r="T1638" i="16"/>
  <c r="T1639" i="16"/>
  <c r="T1640" i="16"/>
  <c r="T1641" i="16"/>
  <c r="T1642" i="16"/>
  <c r="T1643" i="16"/>
  <c r="T1644" i="16"/>
  <c r="T1645" i="16"/>
  <c r="T1646" i="16"/>
  <c r="T1647" i="16"/>
  <c r="T1648" i="16"/>
  <c r="T1649" i="16"/>
  <c r="T1650" i="16"/>
  <c r="T1651" i="16"/>
  <c r="T1652" i="16"/>
  <c r="T1653" i="16"/>
  <c r="T1654" i="16"/>
  <c r="T1655" i="16"/>
  <c r="T1656" i="16"/>
  <c r="T1657" i="16"/>
  <c r="T1658" i="16"/>
  <c r="T1659" i="16"/>
  <c r="T1660" i="16"/>
  <c r="T1661" i="16"/>
  <c r="T1662" i="16"/>
  <c r="T1663" i="16"/>
  <c r="T1664" i="16"/>
  <c r="T1665" i="16"/>
  <c r="T1666" i="16"/>
  <c r="T1667" i="16"/>
  <c r="T1668" i="16"/>
  <c r="T1669" i="16"/>
  <c r="T1670" i="16"/>
  <c r="T1671" i="16"/>
  <c r="T1672" i="16"/>
  <c r="T1673" i="16"/>
  <c r="T1674" i="16"/>
  <c r="T1675" i="16"/>
  <c r="T1676" i="16"/>
  <c r="T1677" i="16"/>
  <c r="T1678" i="16"/>
  <c r="T1679" i="16"/>
  <c r="T1680" i="16"/>
  <c r="T1681" i="16"/>
  <c r="T1682" i="16"/>
  <c r="T1683" i="16"/>
  <c r="T1684" i="16"/>
  <c r="T1685" i="16"/>
  <c r="T1686" i="16"/>
  <c r="T1687" i="16"/>
  <c r="T1688" i="16"/>
  <c r="T1689" i="16"/>
  <c r="T1690" i="16"/>
  <c r="T1691" i="16"/>
  <c r="T1692" i="16"/>
  <c r="T1693" i="16"/>
  <c r="T1694" i="16"/>
  <c r="T1695" i="16"/>
  <c r="T1696" i="16"/>
  <c r="T1697" i="16"/>
  <c r="T1698" i="16"/>
  <c r="T1699" i="16"/>
  <c r="T1700" i="16"/>
  <c r="T1701" i="16"/>
  <c r="T1702" i="16"/>
  <c r="T1703" i="16"/>
  <c r="T1704" i="16"/>
  <c r="T1705" i="16"/>
  <c r="T1706" i="16"/>
  <c r="T1707" i="16"/>
  <c r="T1708" i="16"/>
  <c r="T1709" i="16"/>
  <c r="T1710" i="16"/>
  <c r="T1711" i="16"/>
  <c r="T1712" i="16"/>
  <c r="T1713" i="16"/>
  <c r="T1714" i="16"/>
  <c r="T1715" i="16"/>
  <c r="T1716" i="16"/>
  <c r="T1717" i="16"/>
  <c r="T1718" i="16"/>
  <c r="T1719" i="16"/>
  <c r="T1720" i="16"/>
  <c r="T1721" i="16"/>
  <c r="T1722" i="16"/>
  <c r="T1723" i="16"/>
  <c r="T1724" i="16"/>
  <c r="T1725" i="16"/>
  <c r="T1726" i="16"/>
  <c r="T1727" i="16"/>
  <c r="T1728" i="16"/>
  <c r="T1729" i="16"/>
  <c r="T1730" i="16"/>
  <c r="T1731" i="16"/>
  <c r="T1732" i="16"/>
  <c r="T1733" i="16"/>
  <c r="T1734" i="16"/>
  <c r="T1735" i="16"/>
  <c r="T1736" i="16"/>
  <c r="T1737" i="16"/>
  <c r="T1738" i="16"/>
  <c r="T1739" i="16"/>
  <c r="T1740" i="16"/>
  <c r="T1741" i="16"/>
  <c r="T1742" i="16"/>
  <c r="T1743" i="16"/>
  <c r="T1744" i="16"/>
  <c r="T1745" i="16"/>
  <c r="T1746" i="16"/>
  <c r="T1747" i="16"/>
  <c r="T1748" i="16"/>
  <c r="T1749" i="16"/>
  <c r="T1750" i="16"/>
  <c r="T1751" i="16"/>
  <c r="T1752" i="16"/>
  <c r="T1753" i="16"/>
  <c r="T1754" i="16"/>
  <c r="T1755" i="16"/>
  <c r="T1756" i="16"/>
  <c r="T1757" i="16"/>
  <c r="T1758" i="16"/>
  <c r="T1759" i="16"/>
  <c r="T1760" i="16"/>
  <c r="T1761" i="16"/>
  <c r="T1762" i="16"/>
  <c r="T1763" i="16"/>
  <c r="T1764" i="16"/>
  <c r="T1765" i="16"/>
  <c r="T1766" i="16"/>
  <c r="T1767" i="16"/>
  <c r="T1768" i="16"/>
  <c r="T1769" i="16"/>
  <c r="T1770" i="16"/>
  <c r="T1771" i="16"/>
  <c r="T1772" i="16"/>
  <c r="T1773" i="16"/>
  <c r="T1774" i="16"/>
  <c r="T1775" i="16"/>
  <c r="T1776" i="16"/>
  <c r="T1777" i="16"/>
  <c r="T1778" i="16"/>
  <c r="T1779" i="16"/>
  <c r="T1780" i="16"/>
  <c r="T1781" i="16"/>
  <c r="T1782" i="16"/>
  <c r="T1783" i="16"/>
  <c r="T1784" i="16"/>
  <c r="T1785" i="16"/>
  <c r="T1786" i="16"/>
  <c r="T1787" i="16"/>
  <c r="T1788" i="16"/>
  <c r="T1789" i="16"/>
  <c r="T1790" i="16"/>
  <c r="T1791" i="16"/>
  <c r="T1792" i="16"/>
  <c r="T1793" i="16"/>
  <c r="T1794" i="16"/>
  <c r="T1795" i="16"/>
  <c r="T1796" i="16"/>
  <c r="T1797" i="16"/>
  <c r="T1798" i="16"/>
  <c r="T1799" i="16"/>
  <c r="T1800" i="16"/>
  <c r="T1801" i="16"/>
  <c r="T1802" i="16"/>
  <c r="T1803" i="16"/>
  <c r="T1804" i="16"/>
  <c r="T1805" i="16"/>
  <c r="T1806" i="16"/>
  <c r="T1807" i="16"/>
  <c r="T1808" i="16"/>
  <c r="T1809" i="16"/>
  <c r="T1810" i="16"/>
  <c r="T1811" i="16"/>
  <c r="T1812" i="16"/>
  <c r="T1813" i="16"/>
  <c r="T1814" i="16"/>
  <c r="T1815" i="16"/>
  <c r="T1816" i="16"/>
  <c r="T1817" i="16"/>
  <c r="T1818" i="16"/>
  <c r="T1819" i="16"/>
  <c r="T1820" i="16"/>
  <c r="T1821" i="16"/>
  <c r="T1822" i="16"/>
  <c r="T1823" i="16"/>
  <c r="T1824" i="16"/>
  <c r="T1825" i="16"/>
  <c r="T1826" i="16"/>
  <c r="T1827" i="16"/>
  <c r="T1828" i="16"/>
  <c r="T1829" i="16"/>
  <c r="T1830" i="16"/>
  <c r="T1831" i="16"/>
  <c r="T1832" i="16"/>
  <c r="T1833" i="16"/>
  <c r="T1834" i="16"/>
  <c r="T1835" i="16"/>
  <c r="T1836" i="16"/>
  <c r="T1837" i="16"/>
  <c r="T1838" i="16"/>
  <c r="T1839" i="16"/>
  <c r="T1840" i="16"/>
  <c r="T1841" i="16"/>
  <c r="T1842" i="16"/>
  <c r="T1843" i="16"/>
  <c r="T1844" i="16"/>
  <c r="T1845" i="16"/>
  <c r="T1846" i="16"/>
  <c r="T1847" i="16"/>
  <c r="T1848" i="16"/>
  <c r="T1849" i="16"/>
  <c r="T1850" i="16"/>
  <c r="T1851" i="16"/>
  <c r="T1852" i="16"/>
  <c r="T1853" i="16"/>
  <c r="T1854" i="16"/>
  <c r="T1855" i="16"/>
  <c r="T1856" i="16"/>
  <c r="T1857" i="16"/>
  <c r="T1858" i="16"/>
  <c r="T1859" i="16"/>
  <c r="T1860" i="16"/>
  <c r="T1861" i="16"/>
  <c r="T1862" i="16"/>
  <c r="T1863" i="16"/>
  <c r="T1864" i="16"/>
  <c r="T1865" i="16"/>
  <c r="T1866" i="16"/>
  <c r="T1867" i="16"/>
  <c r="T1868" i="16"/>
  <c r="T1869" i="16"/>
  <c r="T1870" i="16"/>
  <c r="T1871" i="16"/>
  <c r="T1872" i="16"/>
  <c r="T1873" i="16"/>
  <c r="T1874" i="16"/>
  <c r="T1875" i="16"/>
  <c r="T1876" i="16"/>
  <c r="T1877" i="16"/>
  <c r="T1878" i="16"/>
  <c r="T1879" i="16"/>
  <c r="T1880" i="16"/>
  <c r="T1881" i="16"/>
  <c r="T1882" i="16"/>
  <c r="T1883" i="16"/>
  <c r="T1884" i="16"/>
  <c r="T1885" i="16"/>
  <c r="T1886" i="16"/>
  <c r="T1887" i="16"/>
  <c r="T1888" i="16"/>
  <c r="T1889" i="16"/>
  <c r="T1890" i="16"/>
  <c r="T1891" i="16"/>
  <c r="T1892" i="16"/>
  <c r="T1893" i="16"/>
  <c r="T1894" i="16"/>
  <c r="T1895" i="16"/>
  <c r="T1896" i="16"/>
  <c r="T1897" i="16"/>
  <c r="T1898" i="16"/>
  <c r="T1899" i="16"/>
  <c r="T1900" i="16"/>
  <c r="T1901" i="16"/>
  <c r="T1902" i="16"/>
  <c r="T1903" i="16"/>
  <c r="T1904" i="16"/>
  <c r="T1905" i="16"/>
  <c r="T1906" i="16"/>
  <c r="T1907" i="16"/>
  <c r="T1908" i="16"/>
  <c r="T1909" i="16"/>
  <c r="T1910" i="16"/>
  <c r="T1911" i="16"/>
  <c r="T1912" i="16"/>
  <c r="T1913" i="16"/>
  <c r="T1914" i="16"/>
  <c r="T1915" i="16"/>
  <c r="T1916" i="16"/>
  <c r="T1917" i="16"/>
  <c r="T1918" i="16"/>
  <c r="T1919" i="16"/>
  <c r="T1920" i="16"/>
  <c r="T1921" i="16"/>
  <c r="T1922" i="16"/>
  <c r="T1923" i="16"/>
  <c r="T1924" i="16"/>
  <c r="T1925" i="16"/>
  <c r="T1926" i="16"/>
  <c r="T1927" i="16"/>
  <c r="T1928" i="16"/>
  <c r="T1929" i="16"/>
  <c r="T1930" i="16"/>
  <c r="T1931" i="16"/>
  <c r="T1932" i="16"/>
  <c r="T1933" i="16"/>
  <c r="T1934" i="16"/>
  <c r="T1935" i="16"/>
  <c r="T1936" i="16"/>
  <c r="T1937" i="16"/>
  <c r="T1938" i="16"/>
  <c r="T1939" i="16"/>
  <c r="T1940" i="16"/>
  <c r="T1941" i="16"/>
  <c r="T22" i="16"/>
  <c r="T23" i="16"/>
  <c r="T24" i="16"/>
  <c r="T25" i="16"/>
  <c r="T26" i="16"/>
  <c r="T27" i="16"/>
  <c r="T28" i="16"/>
  <c r="T29" i="16"/>
  <c r="T30" i="16"/>
  <c r="T31" i="16"/>
  <c r="T32" i="16"/>
  <c r="T33" i="16"/>
  <c r="T34" i="16"/>
  <c r="T35" i="16"/>
  <c r="T36" i="16"/>
  <c r="T37" i="16"/>
  <c r="T38" i="16"/>
  <c r="T39" i="16"/>
  <c r="T40" i="16"/>
  <c r="T41" i="16"/>
  <c r="T42" i="16"/>
  <c r="T43" i="16"/>
  <c r="T44" i="16"/>
  <c r="T45" i="16"/>
  <c r="T46" i="16"/>
  <c r="T47" i="16"/>
  <c r="T48" i="16"/>
  <c r="T49" i="16"/>
  <c r="T50" i="16"/>
  <c r="T51" i="16"/>
  <c r="T52" i="16"/>
  <c r="T53" i="16"/>
  <c r="T54" i="16"/>
  <c r="T55" i="16"/>
  <c r="T56" i="16"/>
  <c r="T57" i="16"/>
  <c r="T58" i="16"/>
  <c r="T59" i="16"/>
  <c r="T60" i="16"/>
  <c r="T61" i="16"/>
  <c r="T62" i="16"/>
  <c r="T63" i="16"/>
  <c r="T64" i="16"/>
  <c r="T65" i="16"/>
  <c r="T66" i="16"/>
  <c r="T67" i="16"/>
  <c r="T68" i="16"/>
  <c r="T69" i="16"/>
  <c r="T70" i="16"/>
  <c r="T71" i="16"/>
  <c r="T72" i="16"/>
  <c r="T73" i="16"/>
  <c r="T74" i="16"/>
  <c r="T75" i="16"/>
  <c r="T76" i="16"/>
  <c r="T77" i="16"/>
  <c r="T78" i="16"/>
  <c r="T79" i="16"/>
  <c r="T80" i="16"/>
  <c r="T81" i="16"/>
  <c r="T82" i="16"/>
  <c r="T83" i="16"/>
  <c r="T84" i="16"/>
  <c r="T85" i="16"/>
  <c r="T86" i="16"/>
  <c r="T87" i="16"/>
  <c r="T88" i="16"/>
  <c r="T89" i="16"/>
  <c r="T90" i="16"/>
  <c r="T91" i="16"/>
  <c r="T92" i="16"/>
  <c r="T93" i="16"/>
  <c r="T94" i="16"/>
  <c r="T95" i="16"/>
  <c r="T96" i="16"/>
  <c r="T97" i="16"/>
  <c r="T98" i="16"/>
  <c r="T99" i="16"/>
  <c r="T100" i="16"/>
  <c r="T101" i="16"/>
  <c r="T102" i="16"/>
  <c r="T103" i="16"/>
  <c r="T104" i="16"/>
  <c r="T105" i="16"/>
  <c r="T106" i="16"/>
  <c r="T107" i="16"/>
  <c r="T108" i="16"/>
  <c r="T109" i="16"/>
  <c r="T110" i="16"/>
  <c r="T111" i="16"/>
  <c r="T112" i="16"/>
  <c r="T113" i="16"/>
  <c r="T114" i="16"/>
  <c r="T115" i="16"/>
  <c r="T116" i="16"/>
  <c r="T117" i="16"/>
  <c r="T118" i="16"/>
  <c r="T119" i="16"/>
  <c r="T120" i="16"/>
  <c r="T121" i="16"/>
  <c r="T122" i="16"/>
  <c r="T123" i="16"/>
  <c r="T124" i="16"/>
  <c r="T125" i="16"/>
  <c r="T126" i="16"/>
  <c r="T127" i="16"/>
  <c r="T128" i="16"/>
  <c r="T129" i="16"/>
  <c r="T130" i="16"/>
  <c r="T131" i="16"/>
  <c r="T132" i="16"/>
  <c r="T133" i="16"/>
  <c r="T134" i="16"/>
  <c r="T135" i="16"/>
  <c r="T136" i="16"/>
  <c r="T137" i="16"/>
  <c r="T138" i="16"/>
  <c r="T139" i="16"/>
  <c r="T140" i="16"/>
  <c r="T141" i="16"/>
  <c r="T142" i="16"/>
  <c r="T143" i="16"/>
  <c r="T144" i="16"/>
  <c r="T145" i="16"/>
  <c r="T146" i="16"/>
  <c r="T147" i="16"/>
  <c r="T148" i="16"/>
  <c r="T149" i="16"/>
  <c r="T150" i="16"/>
  <c r="T151" i="16"/>
  <c r="T152" i="16"/>
  <c r="T153" i="16"/>
  <c r="T154" i="16"/>
  <c r="T155" i="16"/>
  <c r="T156" i="16"/>
  <c r="T157" i="16"/>
  <c r="T158" i="16"/>
  <c r="T159" i="16"/>
  <c r="T160" i="16"/>
  <c r="T161" i="16"/>
  <c r="T162" i="16"/>
  <c r="T163" i="16"/>
  <c r="T164" i="16"/>
  <c r="T165" i="16"/>
  <c r="T166" i="16"/>
  <c r="T167" i="16"/>
  <c r="T168" i="16"/>
  <c r="T169" i="16"/>
  <c r="T170" i="16"/>
  <c r="T171" i="16"/>
  <c r="T172" i="16"/>
  <c r="T173" i="16"/>
  <c r="T174" i="16"/>
  <c r="T175" i="16"/>
  <c r="T176" i="16"/>
  <c r="T177" i="16"/>
  <c r="T178" i="16"/>
  <c r="T179" i="16"/>
  <c r="T180" i="16"/>
  <c r="T181" i="16"/>
  <c r="T182" i="16"/>
  <c r="T183" i="16"/>
  <c r="T184" i="16"/>
  <c r="T185" i="16"/>
  <c r="T186" i="16"/>
  <c r="T187" i="16"/>
  <c r="T188" i="16"/>
  <c r="T189" i="16"/>
  <c r="T190" i="16"/>
  <c r="T191" i="16"/>
  <c r="T192" i="16"/>
  <c r="T193" i="16"/>
  <c r="T194" i="16"/>
  <c r="T195" i="16"/>
  <c r="T196" i="16"/>
  <c r="T197" i="16"/>
  <c r="T198" i="16"/>
  <c r="T199" i="16"/>
  <c r="T200" i="16"/>
  <c r="T201" i="16"/>
  <c r="T202" i="16"/>
  <c r="T203" i="16"/>
  <c r="T204" i="16"/>
  <c r="T205" i="16"/>
  <c r="T206" i="16"/>
  <c r="T207" i="16"/>
  <c r="T208" i="16"/>
  <c r="T209" i="16"/>
  <c r="T210" i="16"/>
  <c r="T211" i="16"/>
  <c r="T212" i="16"/>
  <c r="T213" i="16"/>
  <c r="T214" i="16"/>
  <c r="T215" i="16"/>
  <c r="T216" i="16"/>
  <c r="T217" i="16"/>
  <c r="T218" i="16"/>
  <c r="T219" i="16"/>
  <c r="T220" i="16"/>
  <c r="T221" i="16"/>
  <c r="T222" i="16"/>
  <c r="T223" i="16"/>
  <c r="T224" i="16"/>
  <c r="T225" i="16"/>
  <c r="T226" i="16"/>
  <c r="T227" i="16"/>
  <c r="T228" i="16"/>
  <c r="T229" i="16"/>
  <c r="T230" i="16"/>
  <c r="T231" i="16"/>
  <c r="T232" i="16"/>
  <c r="T233" i="16"/>
  <c r="T234" i="16"/>
  <c r="T235" i="16"/>
  <c r="T236" i="16"/>
  <c r="T237" i="16"/>
  <c r="T238" i="16"/>
  <c r="T239" i="16"/>
  <c r="T240" i="16"/>
  <c r="T241" i="16"/>
  <c r="T242" i="16"/>
  <c r="T243" i="16"/>
  <c r="T244" i="16"/>
  <c r="T245" i="16"/>
  <c r="T246" i="16"/>
  <c r="T247" i="16"/>
  <c r="T248" i="16"/>
  <c r="T249" i="16"/>
  <c r="T250" i="16"/>
  <c r="T251" i="16"/>
  <c r="T252" i="16"/>
  <c r="T253" i="16"/>
  <c r="T254" i="16"/>
  <c r="T255" i="16"/>
  <c r="T256" i="16"/>
  <c r="T257" i="16"/>
  <c r="T258" i="16"/>
  <c r="T259" i="16"/>
  <c r="T260" i="16"/>
  <c r="T261" i="16"/>
  <c r="T262" i="16"/>
  <c r="T263" i="16"/>
  <c r="T264" i="16"/>
  <c r="T265" i="16"/>
  <c r="T266" i="16"/>
  <c r="T267" i="16"/>
  <c r="T268" i="16"/>
  <c r="T269" i="16"/>
  <c r="T270" i="16"/>
  <c r="T271" i="16"/>
  <c r="T272" i="16"/>
  <c r="T273" i="16"/>
  <c r="T274" i="16"/>
  <c r="T275" i="16"/>
  <c r="T276" i="16"/>
  <c r="T277" i="16"/>
  <c r="T278" i="16"/>
  <c r="T279" i="16"/>
  <c r="T280" i="16"/>
  <c r="T281" i="16"/>
  <c r="T282" i="16"/>
  <c r="T283" i="16"/>
  <c r="T284" i="16"/>
  <c r="T285" i="16"/>
  <c r="T286" i="16"/>
  <c r="T287" i="16"/>
  <c r="T288" i="16"/>
  <c r="T289" i="16"/>
  <c r="T290" i="16"/>
  <c r="T291" i="16"/>
  <c r="T292" i="16"/>
  <c r="T293" i="16"/>
  <c r="T294" i="16"/>
  <c r="T295" i="16"/>
  <c r="T296" i="16"/>
  <c r="T297" i="16"/>
  <c r="T298" i="16"/>
  <c r="T299" i="16"/>
  <c r="T300" i="16"/>
  <c r="T301" i="16"/>
  <c r="T302" i="16"/>
  <c r="T303" i="16"/>
  <c r="T304" i="16"/>
  <c r="T305" i="16"/>
  <c r="T306" i="16"/>
  <c r="T307" i="16"/>
  <c r="T308" i="16"/>
  <c r="T309" i="16"/>
  <c r="T310" i="16"/>
  <c r="T311" i="16"/>
  <c r="T312" i="16"/>
  <c r="T313" i="16"/>
  <c r="T314" i="16"/>
  <c r="T315" i="16"/>
  <c r="T316" i="16"/>
  <c r="T317" i="16"/>
  <c r="T318" i="16"/>
  <c r="T319" i="16"/>
  <c r="T320" i="16"/>
  <c r="T321" i="16"/>
  <c r="T322" i="16"/>
  <c r="T323" i="16"/>
  <c r="T324" i="16"/>
  <c r="T325" i="16"/>
  <c r="T326" i="16"/>
  <c r="T327" i="16"/>
  <c r="T328" i="16"/>
  <c r="T329" i="16"/>
  <c r="T330" i="16"/>
  <c r="T331" i="16"/>
  <c r="T332" i="16"/>
  <c r="T333" i="16"/>
  <c r="T334" i="16"/>
  <c r="T335" i="16"/>
  <c r="T336" i="16"/>
  <c r="T337" i="16"/>
  <c r="T338" i="16"/>
  <c r="T339" i="16"/>
  <c r="T340" i="16"/>
  <c r="T341" i="16"/>
  <c r="T342" i="16"/>
  <c r="T343" i="16"/>
  <c r="T344" i="16"/>
  <c r="T345" i="16"/>
  <c r="T346" i="16"/>
  <c r="T347" i="16"/>
  <c r="T348" i="16"/>
  <c r="T349" i="16"/>
  <c r="T350" i="16"/>
  <c r="T351" i="16"/>
  <c r="T352" i="16"/>
  <c r="T353" i="16"/>
  <c r="T354" i="16"/>
  <c r="T355" i="16"/>
  <c r="T356" i="16"/>
  <c r="T357" i="16"/>
  <c r="T358" i="16"/>
  <c r="T359" i="16"/>
  <c r="T360" i="16"/>
  <c r="T361" i="16"/>
  <c r="T362" i="16"/>
  <c r="T363" i="16"/>
  <c r="T364" i="16"/>
  <c r="T365" i="16"/>
  <c r="T366" i="16"/>
  <c r="T367" i="16"/>
  <c r="T368" i="16"/>
  <c r="T369" i="16"/>
  <c r="T370" i="16"/>
  <c r="T371" i="16"/>
  <c r="T372" i="16"/>
  <c r="T373" i="16"/>
  <c r="T374" i="16"/>
  <c r="T375" i="16"/>
  <c r="T376" i="16"/>
  <c r="T377" i="16"/>
  <c r="T378" i="16"/>
  <c r="T379" i="16"/>
  <c r="T380" i="16"/>
  <c r="T381" i="16"/>
  <c r="T382" i="16"/>
  <c r="T383" i="16"/>
  <c r="T384" i="16"/>
  <c r="T385" i="16"/>
  <c r="T386" i="16"/>
  <c r="T387" i="16"/>
  <c r="T388" i="16"/>
  <c r="T389" i="16"/>
  <c r="T390" i="16"/>
  <c r="T391" i="16"/>
  <c r="T392" i="16"/>
  <c r="T393" i="16"/>
  <c r="T394" i="16"/>
  <c r="T395" i="16"/>
  <c r="T396" i="16"/>
  <c r="T397" i="16"/>
  <c r="T398" i="16"/>
  <c r="T399" i="16"/>
  <c r="T400" i="16"/>
  <c r="T401" i="16"/>
  <c r="T402" i="16"/>
  <c r="T403" i="16"/>
  <c r="T404" i="16"/>
  <c r="T405" i="16"/>
  <c r="T406" i="16"/>
  <c r="T407" i="16"/>
  <c r="T408" i="16"/>
  <c r="T409" i="16"/>
  <c r="T410" i="16"/>
  <c r="T411" i="16"/>
  <c r="T412" i="16"/>
  <c r="T413" i="16"/>
  <c r="T414" i="16"/>
  <c r="T415" i="16"/>
  <c r="T416" i="16"/>
  <c r="T417" i="16"/>
  <c r="T418" i="16"/>
  <c r="T419" i="16"/>
  <c r="T420" i="16"/>
  <c r="T421" i="16"/>
  <c r="T422" i="16"/>
  <c r="T423" i="16"/>
  <c r="T424" i="16"/>
  <c r="T425" i="16"/>
  <c r="T426" i="16"/>
  <c r="T427" i="16"/>
  <c r="T428" i="16"/>
  <c r="T429" i="16"/>
  <c r="T430" i="16"/>
  <c r="T431" i="16"/>
  <c r="T432" i="16"/>
  <c r="T433" i="16"/>
  <c r="T434" i="16"/>
  <c r="T435" i="16"/>
  <c r="T436" i="16"/>
  <c r="T437" i="16"/>
  <c r="T438" i="16"/>
  <c r="T439" i="16"/>
  <c r="T440" i="16"/>
  <c r="T441" i="16"/>
  <c r="T442" i="16"/>
  <c r="T443" i="16"/>
  <c r="T444" i="16"/>
  <c r="T445" i="16"/>
  <c r="T446" i="16"/>
  <c r="T447" i="16"/>
  <c r="T448" i="16"/>
  <c r="T449" i="16"/>
  <c r="T450" i="16"/>
  <c r="T451" i="16"/>
  <c r="T452" i="16"/>
  <c r="T453" i="16"/>
  <c r="T454" i="16"/>
  <c r="T455" i="16"/>
  <c r="T456" i="16"/>
  <c r="T457" i="16"/>
  <c r="T458" i="16"/>
  <c r="T459" i="16"/>
  <c r="T460" i="16"/>
  <c r="T461" i="16"/>
  <c r="T462" i="16"/>
  <c r="T463" i="16"/>
  <c r="T464" i="16"/>
  <c r="T465" i="16"/>
  <c r="T466" i="16"/>
  <c r="T467" i="16"/>
  <c r="T468" i="16"/>
  <c r="T469" i="16"/>
  <c r="T470" i="16"/>
  <c r="T471" i="16"/>
  <c r="T472" i="16"/>
  <c r="T473" i="16"/>
  <c r="T474" i="16"/>
  <c r="T475" i="16"/>
  <c r="T476" i="16"/>
  <c r="T477" i="16"/>
  <c r="T478" i="16"/>
  <c r="T479" i="16"/>
  <c r="T480" i="16"/>
  <c r="T481" i="16"/>
  <c r="T482" i="16"/>
  <c r="T483" i="16"/>
  <c r="T484" i="16"/>
  <c r="T485" i="16"/>
  <c r="T486" i="16"/>
  <c r="T487" i="16"/>
  <c r="T488" i="16"/>
  <c r="T489" i="16"/>
  <c r="T490" i="16"/>
  <c r="T491" i="16"/>
  <c r="T492" i="16"/>
  <c r="T493" i="16"/>
  <c r="T494" i="16"/>
  <c r="T495" i="16"/>
  <c r="T496" i="16"/>
  <c r="T497" i="16"/>
  <c r="T498" i="16"/>
  <c r="T499" i="16"/>
  <c r="T500" i="16"/>
  <c r="T501" i="16"/>
  <c r="T502" i="16"/>
  <c r="T503" i="16"/>
  <c r="T504" i="16"/>
  <c r="T505" i="16"/>
  <c r="T506" i="16"/>
  <c r="T507" i="16"/>
  <c r="T508" i="16"/>
  <c r="T509" i="16"/>
  <c r="T510" i="16"/>
  <c r="T511" i="16"/>
  <c r="T512" i="16"/>
  <c r="T513" i="16"/>
  <c r="T514" i="16"/>
  <c r="T515" i="16"/>
  <c r="T516" i="16"/>
  <c r="T517" i="16"/>
  <c r="T518" i="16"/>
  <c r="T519" i="16"/>
  <c r="T520" i="16"/>
  <c r="T521" i="16"/>
  <c r="T522" i="16"/>
  <c r="T523" i="16"/>
  <c r="T524" i="16"/>
  <c r="T525" i="16"/>
  <c r="T526" i="16"/>
  <c r="T527" i="16"/>
  <c r="T528" i="16"/>
  <c r="T529" i="16"/>
  <c r="T530" i="16"/>
  <c r="T531" i="16"/>
  <c r="T532" i="16"/>
  <c r="T533" i="16"/>
  <c r="T534" i="16"/>
  <c r="T535" i="16"/>
  <c r="T536" i="16"/>
  <c r="T537" i="16"/>
  <c r="T538" i="16"/>
  <c r="T539" i="16"/>
  <c r="T540" i="16"/>
  <c r="T541" i="16"/>
  <c r="T542" i="16"/>
  <c r="T543" i="16"/>
  <c r="T544" i="16"/>
  <c r="T545" i="16"/>
  <c r="T546" i="16"/>
  <c r="T547" i="16"/>
  <c r="T548" i="16"/>
  <c r="T549" i="16"/>
  <c r="T550" i="16"/>
  <c r="T551" i="16"/>
  <c r="T552" i="16"/>
  <c r="T553" i="16"/>
  <c r="T554" i="16"/>
  <c r="T555" i="16"/>
  <c r="T556" i="16"/>
  <c r="T557" i="16"/>
  <c r="T558" i="16"/>
  <c r="T559" i="16"/>
  <c r="T560" i="16"/>
  <c r="T561" i="16"/>
  <c r="T562" i="16"/>
  <c r="T563" i="16"/>
  <c r="T564" i="16"/>
  <c r="T565" i="16"/>
  <c r="T566" i="16"/>
  <c r="T567" i="16"/>
  <c r="T568" i="16"/>
  <c r="T569" i="16"/>
  <c r="T570" i="16"/>
  <c r="T571" i="16"/>
  <c r="T572" i="16"/>
  <c r="T573" i="16"/>
  <c r="T574" i="16"/>
  <c r="T575" i="16"/>
  <c r="T576" i="16"/>
  <c r="T577" i="16"/>
  <c r="T578" i="16"/>
  <c r="T579" i="16"/>
  <c r="T580" i="16"/>
  <c r="T581" i="16"/>
  <c r="T582" i="16"/>
  <c r="T583" i="16"/>
  <c r="T584" i="16"/>
  <c r="T585" i="16"/>
  <c r="T586" i="16"/>
  <c r="T587" i="16"/>
  <c r="T588" i="16"/>
  <c r="T589" i="16"/>
  <c r="T590" i="16"/>
  <c r="T591" i="16"/>
  <c r="T592" i="16"/>
  <c r="T593" i="16"/>
  <c r="T594" i="16"/>
  <c r="T595" i="16"/>
  <c r="T596" i="16"/>
  <c r="T597" i="16"/>
  <c r="T598" i="16"/>
  <c r="T599" i="16"/>
  <c r="T600" i="16"/>
  <c r="T601" i="16"/>
  <c r="T602" i="16"/>
  <c r="T603" i="16"/>
  <c r="T604" i="16"/>
  <c r="T605" i="16"/>
  <c r="T606" i="16"/>
  <c r="T607" i="16"/>
  <c r="T608" i="16"/>
  <c r="T609" i="16"/>
  <c r="T610" i="16"/>
  <c r="T611" i="16"/>
  <c r="T612" i="16"/>
  <c r="T613" i="16"/>
  <c r="T614" i="16"/>
  <c r="T615" i="16"/>
  <c r="T616" i="16"/>
  <c r="T617" i="16"/>
  <c r="T618" i="16"/>
  <c r="T619" i="16"/>
  <c r="T620" i="16"/>
  <c r="T621" i="16"/>
  <c r="T622" i="16"/>
  <c r="T623" i="16"/>
  <c r="T624" i="16"/>
  <c r="T625" i="16"/>
  <c r="T626" i="16"/>
  <c r="T627" i="16"/>
  <c r="T628" i="16"/>
  <c r="T629" i="16"/>
  <c r="T630" i="16"/>
  <c r="T631" i="16"/>
  <c r="T632" i="16"/>
  <c r="T633" i="16"/>
  <c r="T634" i="16"/>
  <c r="T635" i="16"/>
  <c r="T636" i="16"/>
  <c r="T637" i="16"/>
  <c r="T638" i="16"/>
  <c r="T639" i="16"/>
  <c r="T640" i="16"/>
  <c r="T641" i="16"/>
  <c r="T642" i="16"/>
  <c r="T643" i="16"/>
  <c r="T644" i="16"/>
  <c r="T645" i="16"/>
  <c r="T646" i="16"/>
  <c r="T647" i="16"/>
  <c r="T648" i="16"/>
  <c r="T649" i="16"/>
  <c r="T650" i="16"/>
  <c r="T651" i="16"/>
  <c r="T652" i="16"/>
  <c r="T653" i="16"/>
  <c r="T654" i="16"/>
  <c r="T655" i="16"/>
  <c r="T656" i="16"/>
  <c r="T657" i="16"/>
  <c r="T658" i="16"/>
  <c r="T659" i="16"/>
  <c r="T660" i="16"/>
  <c r="T661" i="16"/>
  <c r="T662" i="16"/>
  <c r="T663" i="16"/>
  <c r="T664" i="16"/>
  <c r="T665" i="16"/>
  <c r="T666" i="16"/>
  <c r="T667" i="16"/>
  <c r="T668" i="16"/>
  <c r="T669" i="16"/>
  <c r="T670" i="16"/>
  <c r="T671" i="16"/>
  <c r="T672" i="16"/>
  <c r="T673" i="16"/>
  <c r="T674" i="16"/>
  <c r="T675" i="16"/>
  <c r="T676" i="16"/>
  <c r="T677" i="16"/>
  <c r="T678" i="16"/>
  <c r="T679" i="16"/>
  <c r="T680" i="16"/>
  <c r="T681" i="16"/>
  <c r="T682" i="16"/>
  <c r="T683" i="16"/>
  <c r="T684" i="16"/>
  <c r="T685" i="16"/>
  <c r="T686" i="16"/>
  <c r="T687" i="16"/>
  <c r="T688" i="16"/>
  <c r="T689" i="16"/>
  <c r="T690" i="16"/>
  <c r="T691" i="16"/>
  <c r="T692" i="16"/>
  <c r="T693" i="16"/>
  <c r="T694" i="16"/>
  <c r="T695" i="16"/>
  <c r="T696" i="16"/>
  <c r="T697" i="16"/>
  <c r="T698" i="16"/>
  <c r="T699" i="16"/>
  <c r="T700" i="16"/>
  <c r="T701" i="16"/>
  <c r="T702" i="16"/>
  <c r="T703" i="16"/>
  <c r="T704" i="16"/>
  <c r="T705" i="16"/>
  <c r="T706" i="16"/>
  <c r="T707" i="16"/>
  <c r="T708" i="16"/>
  <c r="T709" i="16"/>
  <c r="T710" i="16"/>
  <c r="T711" i="16"/>
  <c r="T712" i="16"/>
  <c r="T713" i="16"/>
  <c r="T714" i="16"/>
  <c r="T715" i="16"/>
  <c r="T716" i="16"/>
  <c r="T717" i="16"/>
  <c r="T718" i="16"/>
  <c r="T719" i="16"/>
  <c r="T720" i="16"/>
  <c r="T721" i="16"/>
  <c r="T722" i="16"/>
  <c r="T723" i="16"/>
  <c r="T724" i="16"/>
  <c r="T725" i="16"/>
  <c r="T726" i="16"/>
  <c r="T727" i="16"/>
  <c r="T728" i="16"/>
  <c r="T729" i="16"/>
  <c r="T730" i="16"/>
  <c r="T731" i="16"/>
  <c r="T732" i="16"/>
  <c r="T733" i="16"/>
  <c r="T734" i="16"/>
  <c r="T735" i="16"/>
  <c r="T736" i="16"/>
  <c r="T737" i="16"/>
  <c r="T738" i="16"/>
  <c r="T739" i="16"/>
  <c r="T740" i="16"/>
  <c r="T741" i="16"/>
  <c r="T742" i="16"/>
  <c r="T743" i="16"/>
  <c r="T744" i="16"/>
  <c r="T745" i="16"/>
  <c r="T746" i="16"/>
  <c r="T747" i="16"/>
  <c r="T748" i="16"/>
  <c r="T749" i="16"/>
  <c r="T750" i="16"/>
  <c r="T751" i="16"/>
  <c r="T752" i="16"/>
  <c r="T753" i="16"/>
  <c r="T754" i="16"/>
  <c r="T755" i="16"/>
  <c r="T756" i="16"/>
  <c r="T757" i="16"/>
  <c r="T758" i="16"/>
  <c r="T759" i="16"/>
  <c r="T760" i="16"/>
  <c r="T761" i="16"/>
  <c r="T762" i="16"/>
  <c r="T763" i="16"/>
  <c r="T764" i="16"/>
  <c r="T765" i="16"/>
  <c r="T766" i="16"/>
  <c r="T767" i="16"/>
  <c r="T768" i="16"/>
  <c r="T769" i="16"/>
  <c r="T770" i="16"/>
  <c r="T771" i="16"/>
  <c r="T772" i="16"/>
  <c r="T773" i="16"/>
  <c r="T774" i="16"/>
  <c r="T775" i="16"/>
  <c r="T776" i="16"/>
  <c r="T777" i="16"/>
  <c r="T778" i="16"/>
  <c r="T779" i="16"/>
  <c r="T780" i="16"/>
  <c r="T781" i="16"/>
  <c r="T782" i="16"/>
  <c r="T783" i="16"/>
  <c r="T784" i="16"/>
  <c r="T785" i="16"/>
  <c r="T786" i="16"/>
  <c r="T787" i="16"/>
  <c r="T788" i="16"/>
  <c r="T789" i="16"/>
  <c r="T790" i="16"/>
  <c r="T791" i="16"/>
  <c r="T792" i="16"/>
  <c r="T793" i="16"/>
  <c r="T794" i="16"/>
  <c r="T795" i="16"/>
  <c r="T796" i="16"/>
  <c r="T797" i="16"/>
  <c r="T798" i="16"/>
  <c r="T799" i="16"/>
  <c r="T800" i="16"/>
  <c r="T801" i="16"/>
  <c r="T802" i="16"/>
  <c r="T803" i="16"/>
  <c r="T804" i="16"/>
  <c r="T805" i="16"/>
  <c r="T806" i="16"/>
  <c r="T807" i="16"/>
  <c r="T808" i="16"/>
  <c r="T809" i="16"/>
  <c r="T810" i="16"/>
  <c r="T811" i="16"/>
  <c r="T812" i="16"/>
  <c r="T813" i="16"/>
  <c r="T814" i="16"/>
  <c r="T815" i="16"/>
  <c r="T816" i="16"/>
  <c r="T817" i="16"/>
  <c r="T818" i="16"/>
  <c r="T819" i="16"/>
  <c r="T820" i="16"/>
  <c r="T821" i="16"/>
  <c r="T822" i="16"/>
  <c r="T823" i="16"/>
  <c r="T824" i="16"/>
  <c r="T825" i="16"/>
  <c r="T826" i="16"/>
  <c r="T827" i="16"/>
  <c r="T828" i="16"/>
  <c r="T829" i="16"/>
  <c r="T830" i="16"/>
  <c r="T831" i="16"/>
  <c r="T832" i="16"/>
  <c r="T833" i="16"/>
  <c r="T834" i="16"/>
  <c r="T835" i="16"/>
  <c r="T836" i="16"/>
  <c r="T837" i="16"/>
  <c r="T838" i="16"/>
  <c r="T839" i="16"/>
  <c r="T840" i="16"/>
  <c r="T841" i="16"/>
  <c r="T842" i="16"/>
  <c r="T843" i="16"/>
  <c r="T844" i="16"/>
  <c r="T845" i="16"/>
  <c r="T846" i="16"/>
  <c r="T847" i="16"/>
  <c r="T848" i="16"/>
  <c r="T849" i="16"/>
  <c r="T850" i="16"/>
  <c r="T851" i="16"/>
  <c r="T852" i="16"/>
  <c r="T853" i="16"/>
  <c r="T854" i="16"/>
  <c r="T855" i="16"/>
  <c r="T856" i="16"/>
  <c r="T857" i="16"/>
  <c r="T858" i="16"/>
  <c r="T859" i="16"/>
  <c r="T860" i="16"/>
  <c r="T861" i="16"/>
  <c r="T862" i="16"/>
  <c r="T863" i="16"/>
  <c r="T864" i="16"/>
  <c r="T865" i="16"/>
  <c r="T866" i="16"/>
  <c r="T867" i="16"/>
  <c r="T868" i="16"/>
  <c r="T869" i="16"/>
  <c r="T870" i="16"/>
  <c r="T871" i="16"/>
  <c r="T872" i="16"/>
  <c r="T873" i="16"/>
  <c r="T874" i="16"/>
  <c r="T875" i="16"/>
  <c r="T876" i="16"/>
  <c r="T877" i="16"/>
  <c r="T878" i="16"/>
  <c r="T879" i="16"/>
  <c r="T880" i="16"/>
  <c r="T881" i="16"/>
  <c r="T882" i="16"/>
  <c r="T883" i="16"/>
  <c r="T884" i="16"/>
  <c r="T885" i="16"/>
  <c r="T886" i="16"/>
  <c r="T887" i="16"/>
  <c r="T888" i="16"/>
  <c r="T889" i="16"/>
  <c r="T890" i="16"/>
  <c r="T891" i="16"/>
  <c r="T892" i="16"/>
  <c r="T893" i="16"/>
  <c r="T894" i="16"/>
  <c r="T895" i="16"/>
  <c r="T896" i="16"/>
  <c r="T897" i="16"/>
  <c r="T898" i="16"/>
  <c r="T899" i="16"/>
  <c r="T900" i="16"/>
  <c r="T901" i="16"/>
  <c r="T902" i="16"/>
  <c r="T903" i="16"/>
  <c r="T904" i="16"/>
  <c r="T905" i="16"/>
  <c r="T906" i="16"/>
  <c r="T907" i="16"/>
  <c r="T908" i="16"/>
  <c r="T909" i="16"/>
  <c r="T910" i="16"/>
  <c r="T911" i="16"/>
  <c r="T912" i="16"/>
  <c r="T913" i="16"/>
  <c r="T914" i="16"/>
  <c r="T915" i="16"/>
  <c r="T916" i="16"/>
  <c r="T917" i="16"/>
  <c r="T918" i="16"/>
  <c r="T919" i="16"/>
  <c r="T920" i="16"/>
  <c r="T921" i="16"/>
  <c r="T922" i="16"/>
  <c r="T923" i="16"/>
  <c r="T924" i="16"/>
  <c r="T925" i="16"/>
  <c r="T926" i="16"/>
  <c r="T927" i="16"/>
  <c r="T928" i="16"/>
  <c r="T929" i="16"/>
  <c r="T930" i="16"/>
  <c r="T931" i="16"/>
  <c r="T932" i="16"/>
  <c r="T933" i="16"/>
  <c r="T934" i="16"/>
  <c r="T935" i="16"/>
  <c r="T936" i="16"/>
  <c r="T937" i="16"/>
  <c r="T938" i="16"/>
  <c r="T939" i="16"/>
  <c r="T940" i="16"/>
  <c r="T941" i="16"/>
  <c r="T942" i="16"/>
  <c r="T943" i="16"/>
  <c r="T944" i="16"/>
  <c r="T945" i="16"/>
  <c r="T946" i="16"/>
  <c r="T947" i="16"/>
  <c r="T948" i="16"/>
  <c r="T949" i="16"/>
  <c r="T950" i="16"/>
  <c r="T951" i="16"/>
  <c r="T952" i="16"/>
  <c r="T953" i="16"/>
  <c r="T954" i="16"/>
  <c r="T955" i="16"/>
  <c r="T956" i="16"/>
  <c r="T957" i="16"/>
  <c r="T958" i="16"/>
  <c r="T959" i="16"/>
  <c r="T960" i="16"/>
  <c r="T961" i="16"/>
  <c r="T962" i="16"/>
  <c r="T963" i="16"/>
  <c r="T964" i="16"/>
  <c r="T965" i="16"/>
  <c r="T966" i="16"/>
  <c r="T967" i="16"/>
  <c r="T968" i="16"/>
  <c r="T969" i="16"/>
  <c r="T970" i="16"/>
  <c r="T971" i="16"/>
  <c r="T972" i="16"/>
  <c r="T973" i="16"/>
  <c r="T974" i="16"/>
  <c r="T975" i="16"/>
  <c r="T976" i="16"/>
  <c r="T977" i="16"/>
  <c r="T978" i="16"/>
  <c r="T979" i="16"/>
  <c r="T980" i="16"/>
  <c r="T981" i="16"/>
  <c r="T982" i="16"/>
  <c r="T983" i="16"/>
  <c r="T984" i="16"/>
  <c r="T985" i="16"/>
  <c r="T986" i="16"/>
  <c r="T987" i="16"/>
  <c r="T988" i="16"/>
  <c r="T989" i="16"/>
  <c r="T990" i="16"/>
  <c r="T991" i="16"/>
  <c r="T992" i="16"/>
  <c r="T993" i="16"/>
  <c r="T994" i="16"/>
  <c r="T995" i="16"/>
  <c r="T996" i="16"/>
  <c r="T997" i="16"/>
  <c r="T998" i="16"/>
  <c r="T999" i="16"/>
  <c r="T1000" i="16"/>
  <c r="T1001" i="16"/>
  <c r="T1002" i="16"/>
  <c r="T1003" i="16"/>
  <c r="T1004" i="16"/>
  <c r="T1005" i="16"/>
  <c r="T1006" i="16"/>
  <c r="T1007" i="16"/>
  <c r="T1008" i="16"/>
  <c r="T1009" i="16"/>
  <c r="T1010" i="16"/>
  <c r="T1011" i="16"/>
  <c r="T1012" i="16"/>
  <c r="T1013" i="16"/>
  <c r="T1014" i="16"/>
  <c r="T1015" i="16"/>
  <c r="T1016" i="16"/>
  <c r="T1017" i="16"/>
  <c r="T1018" i="16"/>
  <c r="T1019" i="16"/>
  <c r="T1020" i="16"/>
  <c r="T1021" i="16"/>
  <c r="T1022" i="16"/>
  <c r="T1023" i="16"/>
  <c r="T1024" i="16"/>
  <c r="T1025" i="16"/>
  <c r="T1026" i="16"/>
  <c r="T1027" i="16"/>
  <c r="T1028" i="16"/>
  <c r="T1029" i="16"/>
  <c r="T1030" i="16"/>
  <c r="T1031" i="16"/>
  <c r="T1032" i="16"/>
  <c r="T1033" i="16"/>
  <c r="T1034" i="16"/>
  <c r="T1035" i="16"/>
  <c r="T1036" i="16"/>
  <c r="T1037" i="16"/>
  <c r="T1038" i="16"/>
  <c r="T1039" i="16"/>
  <c r="T1040" i="16"/>
  <c r="T1041" i="16"/>
  <c r="T1042" i="16"/>
  <c r="T1043" i="16"/>
  <c r="T1044" i="16"/>
  <c r="T1045" i="16"/>
  <c r="T1046" i="16"/>
  <c r="T1047" i="16"/>
  <c r="T1048" i="16"/>
  <c r="T1049" i="16"/>
  <c r="T1050" i="16"/>
  <c r="T1051" i="16"/>
  <c r="T1052" i="16"/>
  <c r="T1053" i="16"/>
  <c r="T1054" i="16"/>
  <c r="T1055" i="16"/>
  <c r="T1056" i="16"/>
  <c r="T1057" i="16"/>
  <c r="T1058" i="16"/>
  <c r="T1059" i="16"/>
  <c r="T1060" i="16"/>
  <c r="T1061" i="16"/>
  <c r="T1062" i="16"/>
  <c r="T1063" i="16"/>
  <c r="T1064" i="16"/>
  <c r="T1065" i="16"/>
  <c r="T1066" i="16"/>
  <c r="T1067" i="16"/>
  <c r="T1068" i="16"/>
  <c r="T1069" i="16"/>
  <c r="T1070" i="16"/>
  <c r="T1071" i="16"/>
  <c r="T1072" i="16"/>
  <c r="T1073" i="16"/>
  <c r="T1074" i="16"/>
  <c r="T1075" i="16"/>
  <c r="T1076" i="16"/>
  <c r="T1077" i="16"/>
  <c r="T1078" i="16"/>
  <c r="T1079" i="16"/>
  <c r="T1080" i="16"/>
  <c r="T1081" i="16"/>
  <c r="T1082" i="16"/>
  <c r="T1083" i="16"/>
  <c r="T1084" i="16"/>
  <c r="T1085" i="16"/>
  <c r="T1086" i="16"/>
  <c r="T1087" i="16"/>
  <c r="T1088" i="16"/>
  <c r="T1089" i="16"/>
  <c r="T1090" i="16"/>
  <c r="T1091" i="16"/>
  <c r="T1092" i="16"/>
  <c r="T1093" i="16"/>
  <c r="T1094" i="16"/>
  <c r="T1095" i="16"/>
  <c r="T1096" i="16"/>
  <c r="T1097" i="16"/>
  <c r="T1098" i="16"/>
  <c r="T1099" i="16"/>
  <c r="T1100" i="16"/>
  <c r="T1101" i="16"/>
  <c r="T1102" i="16"/>
  <c r="T1103" i="16"/>
  <c r="T1104" i="16"/>
  <c r="T1105" i="16"/>
  <c r="T1106" i="16"/>
  <c r="T1107" i="16"/>
  <c r="T1108" i="16"/>
  <c r="T1109" i="16"/>
  <c r="T1110" i="16"/>
  <c r="T1111" i="16"/>
  <c r="T1112" i="16"/>
  <c r="T1113" i="16"/>
  <c r="T1114" i="16"/>
  <c r="T1115" i="16"/>
  <c r="T1116" i="16"/>
  <c r="T1117" i="16"/>
  <c r="T1118" i="16"/>
  <c r="T1119" i="16"/>
  <c r="T1120" i="16"/>
  <c r="T1121" i="16"/>
  <c r="T1122" i="16"/>
  <c r="T1123" i="16"/>
  <c r="T1124" i="16"/>
  <c r="T1125" i="16"/>
  <c r="T1126" i="16"/>
  <c r="T1127" i="16"/>
  <c r="T1128" i="16"/>
  <c r="T1129" i="16"/>
  <c r="T1130" i="16"/>
  <c r="T1131" i="16"/>
  <c r="T1132" i="16"/>
  <c r="T1133" i="16"/>
  <c r="T1134" i="16"/>
  <c r="T1135" i="16"/>
  <c r="T1136" i="16"/>
  <c r="T1137" i="16"/>
  <c r="T1138" i="16"/>
  <c r="T1139" i="16"/>
  <c r="T1140" i="16"/>
  <c r="T1141" i="16"/>
  <c r="T1142" i="16"/>
  <c r="T1143" i="16"/>
  <c r="T1144" i="16"/>
  <c r="T1145" i="16"/>
  <c r="T1146" i="16"/>
  <c r="T1147" i="16"/>
  <c r="T1148" i="16"/>
  <c r="T1149" i="16"/>
  <c r="T1150" i="16"/>
  <c r="T1151" i="16"/>
  <c r="T1152" i="16"/>
  <c r="T1153" i="16"/>
  <c r="T1154" i="16"/>
  <c r="T1155" i="16"/>
  <c r="T1156" i="16"/>
  <c r="T1157" i="16"/>
  <c r="T1158" i="16"/>
  <c r="T1159" i="16"/>
  <c r="T1160" i="16"/>
  <c r="T1161" i="16"/>
  <c r="T1162" i="16"/>
  <c r="T1163" i="16"/>
  <c r="T1164" i="16"/>
  <c r="T1165" i="16"/>
  <c r="T1166" i="16"/>
  <c r="T1167" i="16"/>
  <c r="T1168" i="16"/>
  <c r="T1169" i="16"/>
  <c r="T1170" i="16"/>
  <c r="T1171" i="16"/>
  <c r="T1172" i="16"/>
  <c r="T1173" i="16"/>
  <c r="T1174" i="16"/>
  <c r="T1175" i="16"/>
  <c r="T1176" i="16"/>
  <c r="T1177" i="16"/>
  <c r="T1178" i="16"/>
  <c r="T1179" i="16"/>
  <c r="T1180" i="16"/>
  <c r="T1181" i="16"/>
  <c r="T1182" i="16"/>
  <c r="T1183" i="16"/>
  <c r="T1184" i="16"/>
  <c r="T1185" i="16"/>
  <c r="T1186" i="16"/>
  <c r="T1187" i="16"/>
  <c r="T1188" i="16"/>
  <c r="T1189" i="16"/>
  <c r="T1190" i="16"/>
  <c r="T1191" i="16"/>
  <c r="T1192" i="16"/>
  <c r="T1193" i="16"/>
  <c r="T1194" i="16"/>
  <c r="T1195" i="16"/>
  <c r="T1196" i="16"/>
  <c r="T1197" i="16"/>
  <c r="T1198" i="16"/>
  <c r="T1199" i="16"/>
  <c r="T1200" i="16"/>
  <c r="T1201" i="16"/>
  <c r="T1202" i="16"/>
  <c r="T1203" i="16"/>
  <c r="T1204" i="16"/>
  <c r="T1205" i="16"/>
  <c r="T1206" i="16"/>
  <c r="T1207" i="16"/>
  <c r="T1208" i="16"/>
  <c r="T1209" i="16"/>
  <c r="T1210" i="16"/>
  <c r="T1211" i="16"/>
  <c r="T1212" i="16"/>
  <c r="T1213" i="16"/>
  <c r="T1214" i="16"/>
  <c r="T1215" i="16"/>
  <c r="T1216" i="16"/>
  <c r="T1217" i="16"/>
  <c r="T1218" i="16"/>
  <c r="T1219" i="16"/>
  <c r="T1220" i="16"/>
  <c r="T1221" i="16"/>
  <c r="T1222" i="16"/>
  <c r="T1223" i="16"/>
  <c r="T1224" i="16"/>
  <c r="T1225" i="16"/>
  <c r="T1226" i="16"/>
  <c r="T1227" i="16"/>
  <c r="T1228" i="16"/>
  <c r="T1229" i="16"/>
  <c r="T1230" i="16"/>
  <c r="T1231" i="16"/>
  <c r="T1232" i="16"/>
  <c r="T1233" i="16"/>
  <c r="T1234" i="16"/>
  <c r="T1235" i="16"/>
  <c r="T1236" i="16"/>
  <c r="T1237" i="16"/>
  <c r="T1238" i="16"/>
  <c r="T1239" i="16"/>
  <c r="T1240" i="16"/>
  <c r="T1241" i="16"/>
  <c r="T1242" i="16"/>
  <c r="T1243" i="16"/>
  <c r="T1244" i="16"/>
  <c r="T1245" i="16"/>
  <c r="T1246" i="16"/>
  <c r="T1247" i="16"/>
  <c r="T1248" i="16"/>
  <c r="T1249" i="16"/>
  <c r="T1250" i="16"/>
  <c r="T1251" i="16"/>
  <c r="T1252" i="16"/>
  <c r="T1253" i="16"/>
  <c r="T1254" i="16"/>
  <c r="T1255" i="16"/>
  <c r="T1256" i="16"/>
  <c r="T1257" i="16"/>
  <c r="T1258" i="16"/>
  <c r="T1259" i="16"/>
  <c r="T1260" i="16"/>
  <c r="T1261" i="16"/>
  <c r="T1262" i="16"/>
  <c r="T1263" i="16"/>
  <c r="T1264" i="16"/>
  <c r="T1265" i="16"/>
  <c r="T1266" i="16"/>
  <c r="T1267" i="16"/>
  <c r="T1268" i="16"/>
  <c r="T1269" i="16"/>
  <c r="T1270" i="16"/>
  <c r="T1271" i="16"/>
  <c r="T1272" i="16"/>
  <c r="T1273" i="16"/>
  <c r="T1274" i="16"/>
  <c r="T1275" i="16"/>
  <c r="T1276" i="16"/>
  <c r="T1277" i="16"/>
  <c r="T1278" i="16"/>
  <c r="T1279" i="16"/>
  <c r="T1280" i="16"/>
  <c r="T1281" i="16"/>
  <c r="T1282" i="16"/>
  <c r="T1283" i="16"/>
  <c r="T1284" i="16"/>
  <c r="T1285" i="16"/>
  <c r="T1286" i="16"/>
  <c r="T1287" i="16"/>
  <c r="T1288" i="16"/>
  <c r="T1289" i="16"/>
  <c r="T1290" i="16"/>
  <c r="T1291" i="16"/>
  <c r="T1292" i="16"/>
  <c r="T1293" i="16"/>
  <c r="T1294" i="16"/>
  <c r="T1295" i="16"/>
  <c r="T1296" i="16"/>
  <c r="T1297" i="16"/>
  <c r="T1298" i="16"/>
  <c r="T1299" i="16"/>
  <c r="T1300" i="16"/>
  <c r="T1301" i="16"/>
  <c r="T1302" i="16"/>
  <c r="T1303" i="16"/>
  <c r="T1304" i="16"/>
  <c r="T1305" i="16"/>
  <c r="T1306" i="16"/>
  <c r="T1307" i="16"/>
  <c r="T1308" i="16"/>
  <c r="T1309" i="16"/>
  <c r="T1310" i="16"/>
  <c r="T1311" i="16"/>
  <c r="T1312" i="16"/>
  <c r="T1313" i="16"/>
  <c r="T1314" i="16"/>
  <c r="T1315" i="16"/>
  <c r="T1316" i="16"/>
  <c r="T1317" i="16"/>
  <c r="T1318" i="16"/>
  <c r="T1319" i="16"/>
  <c r="T1320" i="16"/>
  <c r="T1321" i="16"/>
  <c r="T1322" i="16"/>
  <c r="T1323" i="16"/>
  <c r="T1324" i="16"/>
  <c r="T1325" i="16"/>
  <c r="T1326" i="16"/>
  <c r="T1327" i="16"/>
  <c r="T1328" i="16"/>
  <c r="T1329" i="16"/>
  <c r="T1330" i="16"/>
  <c r="T1331" i="16"/>
  <c r="T1332" i="16"/>
  <c r="T1333" i="16"/>
  <c r="T1334" i="16"/>
  <c r="T1335" i="16"/>
  <c r="T1336" i="16"/>
  <c r="T1337" i="16"/>
  <c r="T1338" i="16"/>
  <c r="T1339" i="16"/>
  <c r="T1340" i="16"/>
  <c r="T1341" i="16"/>
  <c r="T1342" i="16"/>
  <c r="T1343" i="16"/>
  <c r="T1344" i="16"/>
  <c r="T1345" i="16"/>
  <c r="T1346" i="16"/>
  <c r="T1347" i="16"/>
  <c r="T1348" i="16"/>
  <c r="T1349" i="16"/>
  <c r="T1350" i="16"/>
  <c r="T1351" i="16"/>
  <c r="T1352" i="16"/>
  <c r="T1353" i="16"/>
  <c r="T1354" i="16"/>
  <c r="T1355" i="16"/>
  <c r="T1356" i="16"/>
  <c r="T1357" i="16"/>
  <c r="T1358" i="16"/>
  <c r="T1359" i="16"/>
  <c r="T1360" i="16"/>
  <c r="T1361" i="16"/>
  <c r="T1362" i="16"/>
  <c r="T1363" i="16"/>
  <c r="T1364" i="16"/>
  <c r="T1365" i="16"/>
  <c r="T1366" i="16"/>
  <c r="T1367" i="16"/>
  <c r="T1368" i="16"/>
  <c r="T1369" i="16"/>
  <c r="T1370" i="16"/>
  <c r="T1371" i="16"/>
  <c r="T1372" i="16"/>
  <c r="T1373" i="16"/>
  <c r="T1374" i="16"/>
  <c r="T1375" i="16"/>
  <c r="T1376" i="16"/>
  <c r="T1377" i="16"/>
  <c r="T1378" i="16"/>
  <c r="T1379" i="16"/>
  <c r="T1380" i="16"/>
  <c r="T1381" i="16"/>
  <c r="T1382" i="16"/>
  <c r="T1383" i="16"/>
  <c r="T1384" i="16"/>
  <c r="T1385" i="16"/>
  <c r="T1386" i="16"/>
  <c r="T1387" i="16"/>
  <c r="T1388" i="16"/>
  <c r="T1389" i="16"/>
  <c r="T1390" i="16"/>
  <c r="T1391" i="16"/>
  <c r="T1392" i="16"/>
  <c r="T1393" i="16"/>
  <c r="T1394" i="16"/>
  <c r="T1395" i="16"/>
  <c r="T1396" i="16"/>
  <c r="T1397" i="16"/>
  <c r="T1398" i="16"/>
  <c r="T1399" i="16"/>
  <c r="T1400" i="16"/>
  <c r="T1401" i="16"/>
  <c r="T1402" i="16"/>
  <c r="T1403" i="16"/>
  <c r="T1404" i="16"/>
  <c r="T1405" i="16"/>
  <c r="T1406" i="16"/>
  <c r="T1407" i="16"/>
  <c r="T1408" i="16"/>
  <c r="T1409" i="16"/>
  <c r="T1410" i="16"/>
  <c r="T1411" i="16"/>
  <c r="T1412" i="16"/>
  <c r="T1413" i="16"/>
  <c r="T1414" i="16"/>
  <c r="T1415" i="16"/>
  <c r="T1416" i="16"/>
  <c r="T1417" i="16"/>
  <c r="T1418" i="16"/>
  <c r="T1419" i="16"/>
  <c r="T1420" i="16"/>
  <c r="T1421" i="16"/>
  <c r="T1422" i="16"/>
  <c r="T5" i="16"/>
  <c r="T6" i="16"/>
  <c r="T7" i="16"/>
  <c r="T8" i="16"/>
  <c r="T9" i="16"/>
  <c r="T10" i="16"/>
  <c r="T11" i="16"/>
  <c r="T12" i="16"/>
  <c r="T13" i="16"/>
  <c r="T14" i="16"/>
  <c r="T15" i="16"/>
  <c r="T16" i="16"/>
  <c r="T17" i="16"/>
  <c r="T18" i="16"/>
  <c r="T19" i="16"/>
  <c r="T20" i="16"/>
  <c r="T21" i="16"/>
  <c r="T4" i="16"/>
  <c r="V141" i="17"/>
  <c r="V142" i="17"/>
  <c r="V143" i="17"/>
  <c r="V144" i="17"/>
  <c r="V145" i="17"/>
  <c r="V146" i="17"/>
  <c r="V147" i="17"/>
  <c r="V148" i="17"/>
  <c r="V149" i="17"/>
  <c r="V150" i="17"/>
  <c r="V151" i="17"/>
  <c r="V152" i="17"/>
  <c r="V153" i="17"/>
  <c r="V154" i="17"/>
  <c r="V155" i="17"/>
  <c r="V156" i="17"/>
  <c r="V157" i="17"/>
  <c r="V158" i="17"/>
  <c r="V159" i="17"/>
  <c r="V160" i="17"/>
  <c r="V161" i="17"/>
  <c r="V162" i="17"/>
  <c r="V163" i="17"/>
  <c r="V164" i="17"/>
  <c r="V165" i="17"/>
  <c r="V166" i="17"/>
  <c r="V167" i="17"/>
  <c r="V168" i="17"/>
  <c r="V169" i="17"/>
  <c r="V170" i="17"/>
  <c r="V171" i="17"/>
  <c r="V172" i="17"/>
  <c r="V173" i="17"/>
  <c r="V174" i="17"/>
  <c r="V175" i="17"/>
  <c r="V176" i="17"/>
  <c r="V177" i="17"/>
  <c r="V178" i="17"/>
  <c r="V179" i="17"/>
  <c r="V180" i="17"/>
  <c r="V181" i="17"/>
  <c r="V182" i="17"/>
  <c r="V183" i="17"/>
  <c r="V184" i="17"/>
  <c r="V185" i="17"/>
  <c r="V186" i="17"/>
  <c r="V187" i="17"/>
  <c r="V188" i="17"/>
  <c r="V189" i="17"/>
  <c r="V190" i="17"/>
  <c r="V191" i="17"/>
  <c r="V192" i="17"/>
  <c r="V193" i="17"/>
  <c r="V194" i="17"/>
  <c r="V195" i="17"/>
  <c r="V196" i="17"/>
  <c r="V197" i="17"/>
  <c r="V198" i="17"/>
  <c r="V199" i="17"/>
  <c r="V200" i="17"/>
  <c r="V201" i="17"/>
  <c r="V202" i="17"/>
  <c r="V203" i="17"/>
  <c r="V204" i="17"/>
  <c r="V205" i="17"/>
  <c r="V206" i="17"/>
  <c r="V207" i="17"/>
  <c r="V208" i="17"/>
  <c r="V209" i="17"/>
  <c r="V210" i="17"/>
  <c r="V211" i="17"/>
  <c r="V212" i="17"/>
  <c r="V213" i="17"/>
  <c r="V214" i="17"/>
  <c r="V215" i="17"/>
  <c r="V216" i="17"/>
  <c r="V217" i="17"/>
  <c r="V218" i="17"/>
  <c r="V219" i="17"/>
  <c r="V220" i="17"/>
  <c r="V221" i="17"/>
  <c r="V222" i="17"/>
  <c r="V223" i="17"/>
  <c r="V224" i="17"/>
  <c r="V225" i="17"/>
  <c r="V226" i="17"/>
  <c r="V227" i="17"/>
  <c r="V228" i="17"/>
  <c r="V229" i="17"/>
  <c r="V230" i="17"/>
  <c r="V231" i="17"/>
  <c r="V232" i="17"/>
  <c r="V233" i="17"/>
  <c r="V234" i="17"/>
  <c r="V235" i="17"/>
  <c r="V236" i="17"/>
  <c r="V237" i="17"/>
  <c r="V238" i="17"/>
  <c r="V239" i="17"/>
  <c r="V240" i="17"/>
  <c r="V241" i="17"/>
  <c r="V242" i="17"/>
  <c r="V243" i="17"/>
  <c r="V244" i="17"/>
  <c r="V245" i="17"/>
  <c r="V246" i="17"/>
  <c r="V247" i="17"/>
  <c r="V248" i="17"/>
  <c r="V249" i="17"/>
  <c r="V250" i="17"/>
  <c r="V251" i="17"/>
  <c r="V252" i="17"/>
  <c r="V253" i="17"/>
  <c r="V254" i="17"/>
  <c r="V255" i="17"/>
  <c r="V256" i="17"/>
  <c r="V257" i="17"/>
  <c r="V258" i="17"/>
  <c r="V259" i="17"/>
  <c r="V260" i="17"/>
  <c r="V261" i="17"/>
  <c r="V262" i="17"/>
  <c r="V263" i="17"/>
  <c r="V264" i="17"/>
  <c r="V265" i="17"/>
  <c r="V266" i="17"/>
  <c r="V267" i="17"/>
  <c r="V268" i="17"/>
  <c r="V269" i="17"/>
  <c r="V270" i="17"/>
  <c r="V271" i="17"/>
  <c r="V272" i="17"/>
  <c r="V273" i="17"/>
  <c r="V274" i="17"/>
  <c r="V275" i="17"/>
  <c r="V276" i="17"/>
  <c r="V277" i="17"/>
  <c r="V278" i="17"/>
  <c r="V279" i="17"/>
  <c r="V280" i="17"/>
  <c r="V281" i="17"/>
  <c r="V282" i="17"/>
  <c r="V283" i="17"/>
  <c r="V284" i="17"/>
  <c r="V285" i="17"/>
  <c r="V286" i="17"/>
  <c r="V287" i="17"/>
  <c r="V288" i="17"/>
  <c r="V289" i="17"/>
  <c r="V290" i="17"/>
  <c r="V291" i="17"/>
  <c r="V292" i="17"/>
  <c r="V293" i="17"/>
  <c r="V294" i="17"/>
  <c r="V295" i="17"/>
  <c r="V296" i="17"/>
  <c r="V297" i="17"/>
  <c r="V298" i="17"/>
  <c r="V299" i="17"/>
  <c r="V300" i="17"/>
  <c r="V301" i="17"/>
  <c r="V302" i="17"/>
  <c r="V303" i="17"/>
  <c r="V304" i="17"/>
  <c r="V305" i="17"/>
  <c r="V306" i="17"/>
  <c r="V307" i="17"/>
  <c r="V308" i="17"/>
  <c r="V309" i="17"/>
  <c r="V310" i="17"/>
  <c r="V311" i="17"/>
  <c r="V312" i="17"/>
  <c r="V313" i="17"/>
  <c r="V314" i="17"/>
  <c r="V315" i="17"/>
  <c r="V316" i="17"/>
  <c r="V317" i="17"/>
  <c r="V318" i="17"/>
  <c r="V319" i="17"/>
  <c r="V320" i="17"/>
  <c r="V321" i="17"/>
  <c r="V322" i="17"/>
  <c r="V323" i="17"/>
  <c r="V324" i="17"/>
  <c r="V325" i="17"/>
  <c r="V326" i="17"/>
  <c r="V327" i="17"/>
  <c r="V328" i="17"/>
  <c r="V329" i="17"/>
  <c r="V330" i="17"/>
  <c r="V331" i="17"/>
  <c r="V332" i="17"/>
  <c r="V333" i="17"/>
  <c r="V334" i="17"/>
  <c r="V335" i="17"/>
  <c r="V336" i="17"/>
  <c r="V337" i="17"/>
  <c r="V338" i="17"/>
  <c r="V339" i="17"/>
  <c r="V340" i="17"/>
  <c r="V341" i="17"/>
  <c r="V342" i="17"/>
  <c r="V343" i="17"/>
  <c r="V344" i="17"/>
  <c r="V5" i="17"/>
  <c r="V6" i="17"/>
  <c r="V7" i="17"/>
  <c r="V8" i="17"/>
  <c r="V9" i="17"/>
  <c r="V10" i="17"/>
  <c r="V11" i="17"/>
  <c r="V12" i="17"/>
  <c r="V13" i="17"/>
  <c r="V14" i="17"/>
  <c r="V15" i="17"/>
  <c r="V16" i="17"/>
  <c r="V17" i="17"/>
  <c r="V18" i="17"/>
  <c r="V19" i="17"/>
  <c r="V20" i="17"/>
  <c r="V21" i="17"/>
  <c r="V22" i="17"/>
  <c r="V23" i="17"/>
  <c r="V24" i="17"/>
  <c r="V25" i="17"/>
  <c r="V26" i="17"/>
  <c r="V27" i="17"/>
  <c r="V28" i="17"/>
  <c r="V29" i="17"/>
  <c r="V30" i="17"/>
  <c r="V31" i="17"/>
  <c r="V32" i="17"/>
  <c r="V33" i="17"/>
  <c r="V34" i="17"/>
  <c r="V35" i="17"/>
  <c r="V36" i="17"/>
  <c r="V37" i="17"/>
  <c r="V38" i="17"/>
  <c r="V39" i="17"/>
  <c r="V40" i="17"/>
  <c r="V41" i="17"/>
  <c r="V42" i="17"/>
  <c r="V43" i="17"/>
  <c r="V44" i="17"/>
  <c r="V45" i="17"/>
  <c r="V46" i="17"/>
  <c r="V47" i="17"/>
  <c r="V48" i="17"/>
  <c r="V49" i="17"/>
  <c r="V50" i="17"/>
  <c r="V51" i="17"/>
  <c r="V52" i="17"/>
  <c r="V53" i="17"/>
  <c r="V54" i="17"/>
  <c r="V55" i="17"/>
  <c r="V56" i="17"/>
  <c r="V57" i="17"/>
  <c r="V58" i="17"/>
  <c r="V59" i="17"/>
  <c r="V60" i="17"/>
  <c r="V61" i="17"/>
  <c r="V62" i="17"/>
  <c r="V63" i="17"/>
  <c r="V64" i="17"/>
  <c r="V65" i="17"/>
  <c r="V66" i="17"/>
  <c r="V67" i="17"/>
  <c r="V68" i="17"/>
  <c r="V69" i="17"/>
  <c r="V70" i="17"/>
  <c r="V71" i="17"/>
  <c r="V72" i="17"/>
  <c r="V73" i="17"/>
  <c r="V74" i="17"/>
  <c r="V75" i="17"/>
  <c r="V76" i="17"/>
  <c r="V77" i="17"/>
  <c r="V78" i="17"/>
  <c r="V79" i="17"/>
  <c r="V80" i="17"/>
  <c r="V81" i="17"/>
  <c r="V82" i="17"/>
  <c r="V83" i="17"/>
  <c r="V84" i="17"/>
  <c r="V85" i="17"/>
  <c r="V86" i="17"/>
  <c r="V87" i="17"/>
  <c r="V88" i="17"/>
  <c r="V89" i="17"/>
  <c r="V90" i="17"/>
  <c r="V91" i="17"/>
  <c r="V92" i="17"/>
  <c r="V93" i="17"/>
  <c r="V94" i="17"/>
  <c r="V95" i="17"/>
  <c r="V96" i="17"/>
  <c r="V97" i="17"/>
  <c r="V98" i="17"/>
  <c r="V99" i="17"/>
  <c r="V100" i="17"/>
  <c r="V101" i="17"/>
  <c r="V102" i="17"/>
  <c r="V103" i="17"/>
  <c r="V104" i="17"/>
  <c r="V105" i="17"/>
  <c r="V106" i="17"/>
  <c r="V107" i="17"/>
  <c r="V108" i="17"/>
  <c r="V109" i="17"/>
  <c r="V110" i="17"/>
  <c r="V111" i="17"/>
  <c r="V112" i="17"/>
  <c r="V113" i="17"/>
  <c r="V114" i="17"/>
  <c r="V115" i="17"/>
  <c r="V116" i="17"/>
  <c r="V117" i="17"/>
  <c r="V118" i="17"/>
  <c r="V119" i="17"/>
  <c r="V120" i="17"/>
  <c r="V121" i="17"/>
  <c r="V122" i="17"/>
  <c r="V123" i="17"/>
  <c r="V124" i="17"/>
  <c r="V125" i="17"/>
  <c r="V126" i="17"/>
  <c r="V127" i="17"/>
  <c r="V128" i="17"/>
  <c r="V129" i="17"/>
  <c r="V130" i="17"/>
  <c r="V131" i="17"/>
  <c r="V132" i="17"/>
  <c r="V133" i="17"/>
  <c r="V134" i="17"/>
  <c r="V135" i="17"/>
  <c r="V136" i="17"/>
  <c r="V137" i="17"/>
  <c r="V138" i="17"/>
  <c r="V139" i="17"/>
  <c r="V140" i="17"/>
  <c r="V4" i="17"/>
</calcChain>
</file>

<file path=xl/sharedStrings.xml><?xml version="1.0" encoding="utf-8"?>
<sst xmlns="http://schemas.openxmlformats.org/spreadsheetml/2006/main" count="884" uniqueCount="195">
  <si>
    <t>2010-11</t>
  </si>
  <si>
    <t>TOTAL</t>
  </si>
  <si>
    <t>ALL OTHER PERSONNEL</t>
  </si>
  <si>
    <t>TICKETING  AND SALES PERSONNEL</t>
  </si>
  <si>
    <t>MAINTENANCE  AND OVERHAUL PERSONNEL</t>
  </si>
  <si>
    <t xml:space="preserve"> PILOTS  &amp; CO-PILOTS</t>
  </si>
  <si>
    <t xml:space="preserve"> CATEGORY OF STAFF</t>
  </si>
  <si>
    <t xml:space="preserve"> YEAR</t>
  </si>
  <si>
    <t xml:space="preserve"> 2012-13</t>
  </si>
  <si>
    <t>2011-12</t>
  </si>
  <si>
    <t>2014-15</t>
  </si>
  <si>
    <t>P1</t>
  </si>
  <si>
    <t>P2</t>
  </si>
  <si>
    <t>P3</t>
  </si>
  <si>
    <t>P4</t>
  </si>
  <si>
    <t>P5</t>
  </si>
  <si>
    <t>P6</t>
  </si>
  <si>
    <t xml:space="preserve"> 2013-14</t>
  </si>
  <si>
    <t>Passenger</t>
  </si>
  <si>
    <t>Mail</t>
  </si>
  <si>
    <t>INDIGO</t>
  </si>
  <si>
    <t>A320-200</t>
  </si>
  <si>
    <t>2015-16</t>
  </si>
  <si>
    <t>AIR INDIA</t>
  </si>
  <si>
    <t>AIR INDIA EXPRESS</t>
  </si>
  <si>
    <t>ALLIANCE AIR</t>
  </si>
  <si>
    <t>GO AIR</t>
  </si>
  <si>
    <t>JET AIRWAYS</t>
  </si>
  <si>
    <t>JETLITE</t>
  </si>
  <si>
    <t>SPICEJET</t>
  </si>
  <si>
    <t>AIR COSTA</t>
  </si>
  <si>
    <t>AIR ASIA</t>
  </si>
  <si>
    <t>VISTARA</t>
  </si>
  <si>
    <t xml:space="preserve">Blue Dart </t>
  </si>
  <si>
    <t>AIR PEGASUS</t>
  </si>
  <si>
    <t>TRUEJET</t>
  </si>
  <si>
    <t>Name of the Airline</t>
  </si>
  <si>
    <t>Aircraft Type</t>
  </si>
  <si>
    <t>No. of installed passenger seats</t>
  </si>
  <si>
    <t>Avg. payload capacity (Tonnes)</t>
  </si>
  <si>
    <t>Average MCTOM (Tonnes)</t>
  </si>
  <si>
    <t>Name of the Airlines</t>
  </si>
  <si>
    <t>P4.1</t>
  </si>
  <si>
    <t>P4.2</t>
  </si>
  <si>
    <t>SCHEDULED NATIONAL AIRLINES</t>
  </si>
  <si>
    <t>SCHEDULED PRIVATE AIRLINES</t>
  </si>
  <si>
    <t>ALL SCHEDULED INDIAN AIRLINES</t>
  </si>
  <si>
    <t>Row Labels</t>
  </si>
  <si>
    <t>(blank)</t>
  </si>
  <si>
    <t>Grand Total</t>
  </si>
  <si>
    <t>Sum of P1-1.1</t>
  </si>
  <si>
    <t>Number of Aircraft  At the beginning of year</t>
  </si>
  <si>
    <t>Number of Aircraft  Acquired</t>
  </si>
  <si>
    <t>Number of Aircraft  Disposed off</t>
  </si>
  <si>
    <t>Number of Aircraft  At the end of Year</t>
  </si>
  <si>
    <t>No. of aircraft departures Revenue Flights Scheduled</t>
  </si>
  <si>
    <t>No. of aircraft departures Revenue Flights Non scheduled</t>
  </si>
  <si>
    <t>No. of aircraft departures Non Revenue</t>
  </si>
  <si>
    <t>No. of aircraft departures Total All Flights</t>
  </si>
  <si>
    <t>Aircraft hours flown Revenue Flights Scheduled</t>
  </si>
  <si>
    <t>Aircraft hours flown Revenue Flights Non scheduled</t>
  </si>
  <si>
    <t>Aircraft hours flown Non revenue</t>
  </si>
  <si>
    <t>Aircraft hours flown Total All Flights</t>
  </si>
  <si>
    <t>table</t>
  </si>
  <si>
    <t>2016-17</t>
  </si>
  <si>
    <t>Sum of Number of Aircraft  At the end of Year</t>
  </si>
  <si>
    <t>Sum of Number of personnel Year-end</t>
  </si>
  <si>
    <t>Sum of No. of aircraft departures Revenue Flights Scheduled</t>
  </si>
  <si>
    <t>Sum of No. of aircraft departures Revenue Flights Non scheduled</t>
  </si>
  <si>
    <t>Sum of No. of aircraft departures Non Revenue</t>
  </si>
  <si>
    <t>Sum of No. of aircraft departures Total All Flights</t>
  </si>
  <si>
    <t>Sum of Aircraft hours flown Revenue Flights Scheduled</t>
  </si>
  <si>
    <t>Sum of Aircraft hours flown Revenue Flights Non scheduled</t>
  </si>
  <si>
    <t>Sum of Aircraft hours flown Non revenue</t>
  </si>
  <si>
    <t>Sum of Aircraft hours flown Total All Flights</t>
  </si>
  <si>
    <t>Sum of Number of personnel Mid-year</t>
  </si>
  <si>
    <t>Sum of Total annual expenditures for each category (Rs.in Million)</t>
  </si>
  <si>
    <t>key</t>
  </si>
  <si>
    <t>Sum of P1-1.2</t>
  </si>
  <si>
    <t>Sum of P1-1.3</t>
  </si>
  <si>
    <t>Sum of P1-1.4</t>
  </si>
  <si>
    <t>Sum of P1-1.5</t>
  </si>
  <si>
    <t>Sum of P1-2</t>
  </si>
  <si>
    <t>Sum of P1-3</t>
  </si>
  <si>
    <t>Sum of P1-4</t>
  </si>
  <si>
    <t>Sum of P1-5</t>
  </si>
  <si>
    <t>Sum of P1-6</t>
  </si>
  <si>
    <t>Sum of P1-7</t>
  </si>
  <si>
    <t>Sum of P1-8</t>
  </si>
  <si>
    <t>Sum of P1-9</t>
  </si>
  <si>
    <t>Sum of P1-10</t>
  </si>
  <si>
    <t>Sum of P1-11</t>
  </si>
  <si>
    <t>Sum of P1-12</t>
  </si>
  <si>
    <t>Sum of P1-13</t>
  </si>
  <si>
    <t>Sum of P1-14</t>
  </si>
  <si>
    <t>Sum of P1-15</t>
  </si>
  <si>
    <t>Sum of P1-21</t>
  </si>
  <si>
    <t>Sum of P1-22</t>
  </si>
  <si>
    <t>Sum of P1-23</t>
  </si>
  <si>
    <t>Sum of P1-24</t>
  </si>
  <si>
    <t>Sum of P1-26</t>
  </si>
  <si>
    <t/>
  </si>
  <si>
    <t xml:space="preserve">  -</t>
  </si>
  <si>
    <t>Excess baggage</t>
  </si>
  <si>
    <t>Freight, express, and diplomatic bags</t>
  </si>
  <si>
    <t>Revenu Sharing</t>
  </si>
  <si>
    <t>Non-scheduled operations (total)</t>
  </si>
  <si>
    <t>Other operating revenues (total)</t>
  </si>
  <si>
    <t>TOTAL OPERATING REVENUES (sum of lines 1, 2 and 3)</t>
  </si>
  <si>
    <t>Flight operations (total)</t>
  </si>
  <si>
    <t>Flight equipment maintenance and overhaul</t>
  </si>
  <si>
    <t>Depreciation and amortization (total)</t>
  </si>
  <si>
    <t>User charges (total)</t>
  </si>
  <si>
    <t>Station expenses</t>
  </si>
  <si>
    <t>Passenger services (total)</t>
  </si>
  <si>
    <t>Ticketing, sales, and promotion (total)</t>
  </si>
  <si>
    <t>General and administrative</t>
  </si>
  <si>
    <t>Other operating expenses (total)</t>
  </si>
  <si>
    <t>TOTAL OPERATING EXPENSES  (sum of lines 5 through 13 above)</t>
  </si>
  <si>
    <t>OPERATING PROFIT OR (LOSS) (line 4 less line 14)</t>
  </si>
  <si>
    <t>NON-OPERATING ITEMS (sum of items 16 through 20 above)</t>
  </si>
  <si>
    <t>PROFIT OR (LOSS ) BEFORE INCOME TAXES (sum of lines 15 and 21)</t>
  </si>
  <si>
    <t>Taxes</t>
  </si>
  <si>
    <t>PROFIT OR (LOSS) AFTER INCOME TAXES (sum of line 22 and line 23)</t>
  </si>
  <si>
    <t>PROFIT OR (LOSS) AFTER extraordinary items (sum of line 24 and line 25)</t>
  </si>
  <si>
    <t>ATR 42-320</t>
  </si>
  <si>
    <t>CRJ-700</t>
  </si>
  <si>
    <t>ATR-72-212A</t>
  </si>
  <si>
    <t>AIRBUS A320</t>
  </si>
  <si>
    <t>BOEING 757- 200</t>
  </si>
  <si>
    <t>AIR CARNIVAL</t>
  </si>
  <si>
    <t>ZOOM AIR</t>
  </si>
  <si>
    <t>Boeing B 737- 800</t>
  </si>
  <si>
    <t>B-737 - 700</t>
  </si>
  <si>
    <t>B- 737 - 800</t>
  </si>
  <si>
    <t>B- 737 - 900</t>
  </si>
  <si>
    <t>ATR 72 - 500 / 600</t>
  </si>
  <si>
    <t>A 330- 200 / 300</t>
  </si>
  <si>
    <t>B 777- 300 ER</t>
  </si>
  <si>
    <t>Boeing 737 - 700</t>
  </si>
  <si>
    <t>Boeing 737 - 800</t>
  </si>
  <si>
    <t>Airbus Industrie</t>
  </si>
  <si>
    <t>BOEING 747-400</t>
  </si>
  <si>
    <t>777-200LR</t>
  </si>
  <si>
    <t>777-300ER</t>
  </si>
  <si>
    <t>B-787</t>
  </si>
  <si>
    <t>A-319</t>
  </si>
  <si>
    <t xml:space="preserve">A-320 </t>
  </si>
  <si>
    <t>A-321</t>
  </si>
  <si>
    <t>ATR 72-212 A / VT-TMK</t>
  </si>
  <si>
    <t>ATR 72-212 A / VT-TMP</t>
  </si>
  <si>
    <t>ATR 72-212 A / VT-TMU</t>
  </si>
  <si>
    <t>ATR 72-212 A / VT-TMC</t>
  </si>
  <si>
    <t>737 - 700</t>
  </si>
  <si>
    <t>737 - 800</t>
  </si>
  <si>
    <t>737 - 900 ER</t>
  </si>
  <si>
    <t>DH8</t>
  </si>
  <si>
    <t>A319</t>
  </si>
  <si>
    <t>A 320</t>
  </si>
  <si>
    <t>122/144</t>
  </si>
  <si>
    <t>150/162/180</t>
  </si>
  <si>
    <t>186/189</t>
  </si>
  <si>
    <t>166/184</t>
  </si>
  <si>
    <t>254/293</t>
  </si>
  <si>
    <t>70.5/79.0</t>
  </si>
  <si>
    <t>337/351</t>
  </si>
  <si>
    <t>BOMBADIER CRJ200LR ,MSN-7809, VT-ZOA</t>
  </si>
  <si>
    <t>BOMBADIER CRJ200LR ,MSN 7816, VT-ZOB</t>
  </si>
  <si>
    <t>BOMBADIER CRJ200ER ,VT-ZOC. VT-ZOD</t>
  </si>
  <si>
    <t>BOMBADIER CRJ100 ,VT-ARE</t>
  </si>
  <si>
    <t>AIRBUS A320-214</t>
  </si>
  <si>
    <t>AIRBUS A320-271N</t>
  </si>
  <si>
    <t>180/186</t>
  </si>
  <si>
    <t>AIR ODDISA</t>
  </si>
  <si>
    <t>AIR DECCAN</t>
  </si>
  <si>
    <t xml:space="preserve">BLUE DART </t>
  </si>
  <si>
    <t>BOEING 757 - 200</t>
  </si>
  <si>
    <t>17/18</t>
  </si>
  <si>
    <t>AT7-72-600</t>
  </si>
  <si>
    <t>2017-18</t>
  </si>
  <si>
    <t>CESSNA CARAVAN 208B</t>
  </si>
  <si>
    <t>BEECHCRAFT 1900D</t>
  </si>
  <si>
    <t>NON OPERATING ITEMS ADJUSTED</t>
  </si>
  <si>
    <t>STAR AIR</t>
  </si>
  <si>
    <t>AIR HERITAGE</t>
  </si>
  <si>
    <t xml:space="preserve"> AIR HERITAGE</t>
  </si>
  <si>
    <t>2018-19</t>
  </si>
  <si>
    <t>SOURCE : ICAO ATR FORM-D FURNISHED BY  INDIGO</t>
  </si>
  <si>
    <t xml:space="preserve">तालिका 1.13 (इंडिगो) </t>
  </si>
  <si>
    <t>TABLE - 1.13 (INDIGO)</t>
  </si>
  <si>
    <t>2019-20</t>
  </si>
  <si>
    <t>OTHER FLIGHT CREW</t>
  </si>
  <si>
    <t>CABIN CREW</t>
  </si>
  <si>
    <t>TIME SERIES (TEN YEARS) DATA OF STAFF STRENGTH OF INDIGO (AS ON 31ST MARCH)</t>
  </si>
  <si>
    <t>S. No.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</si>
</sst>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5">
    <numFmt numFmtId="165" formatCode="_(* #,##0.00_);_(* \(#,##0.00\);_(* &quot;-&quot;??_);_(@_)"/>
    <numFmt numFmtId="167" formatCode="0.0_)"/>
    <numFmt numFmtId="168" formatCode="#,##0.0_);[Red]\(#,##0.0\)"/>
    <numFmt numFmtId="169" formatCode="_-* #,##0.00_-;\-* #,##0.00_-;_-* &quot;-&quot;??_-;_-@_-"/>
    <numFmt numFmtId="170" formatCode="&quot;$&quot;#,##0;\-&quot;$&quot;#,##0"/>
  </numFmts>
  <fonts count="18">
    <font>
      <sz val="10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4"/>
      <name val="Arial"/>
      <family val="2"/>
    </font>
    <font>
      <sz val="10"/>
      <name val="Arial"/>
      <family val="2"/>
    </font>
    <font>
      <sz val="10"/>
      <name val="Courier"/>
    </font>
    <font>
      <sz val="10"/>
      <name val="Arial"/>
      <family val="2"/>
    </font>
    <font>
      <sz val="12"/>
      <name val="Cambria"/>
      <family val="1"/>
      <scheme val="major"/>
    </font>
    <font>
      <b/>
      <sz val="12"/>
      <name val="Cambria"/>
      <family val="1"/>
      <scheme val="major"/>
    </font>
    <font>
      <sz val="10"/>
      <name val="MS Sans Serif"/>
    </font>
    <font>
      <b/>
      <sz val="12"/>
      <name val="Cambria"/>
      <family val="1"/>
    </font>
    <font>
      <b/>
      <sz val="12"/>
      <color theme="1"/>
      <name val="Cambria"/>
      <family val="1"/>
    </font>
    <font>
      <sz val="11"/>
      <color theme="1"/>
      <name val="Calibri"/>
      <family val="2"/>
      <charset val="1"/>
      <scheme val="minor"/>
    </font>
    <font>
      <sz val="12"/>
      <name val="Cambria"/>
      <family val="1"/>
    </font>
    <font>
      <sz val="10"/>
      <name val="Arial"/>
      <family val="2"/>
    </font>
    <font>
      <sz val="6"/>
      <name val="Helv"/>
    </font>
    <font>
      <sz val="10"/>
      <name val="MS Sans Serif"/>
      <family val="2"/>
    </font>
    <font>
      <b/>
      <sz val="12"/>
      <name val="Aryan_Key"/>
    </font>
  </fonts>
  <fills count="5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3" tint="0.59999389629810485"/>
        <bgColor indexed="64"/>
      </patternFill>
    </fill>
  </fills>
  <borders count="1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8"/>
      </left>
      <right/>
      <top/>
      <bottom style="thin">
        <color indexed="8"/>
      </bottom>
      <diagonal/>
    </border>
    <border>
      <left style="thin">
        <color indexed="8"/>
      </left>
      <right/>
      <top/>
      <bottom/>
      <diagonal/>
    </border>
    <border>
      <left style="thin">
        <color indexed="8"/>
      </left>
      <right/>
      <top style="thin">
        <color indexed="8"/>
      </top>
      <bottom/>
      <diagonal/>
    </border>
  </borders>
  <cellStyleXfs count="15">
    <xf numFmtId="0" fontId="0" fillId="0" borderId="0"/>
    <xf numFmtId="165" fontId="6" fillId="0" borderId="0" applyFont="0" applyFill="0" applyBorder="0" applyAlignment="0" applyProtection="0"/>
    <xf numFmtId="0" fontId="5" fillId="0" borderId="0"/>
    <xf numFmtId="37" fontId="5" fillId="0" borderId="0"/>
    <xf numFmtId="167" fontId="5" fillId="0" borderId="0"/>
    <xf numFmtId="0" fontId="4" fillId="0" borderId="0"/>
    <xf numFmtId="0" fontId="2" fillId="0" borderId="0"/>
    <xf numFmtId="0" fontId="9" fillId="0" borderId="0">
      <alignment vertical="top"/>
    </xf>
    <xf numFmtId="0" fontId="12" fillId="0" borderId="0"/>
    <xf numFmtId="165" fontId="2" fillId="0" borderId="0" applyFont="0" applyFill="0" applyBorder="0" applyAlignment="0" applyProtection="0"/>
    <xf numFmtId="0" fontId="1" fillId="0" borderId="0"/>
    <xf numFmtId="0" fontId="14" fillId="0" borderId="0"/>
    <xf numFmtId="0" fontId="15" fillId="0" borderId="0">
      <alignment vertical="top"/>
    </xf>
    <xf numFmtId="3" fontId="16" fillId="0" borderId="0" applyFont="0" applyFill="0" applyBorder="0" applyAlignment="0" applyProtection="0"/>
    <xf numFmtId="170" fontId="16" fillId="0" borderId="0" applyFont="0" applyFill="0" applyBorder="0" applyAlignment="0" applyProtection="0"/>
  </cellStyleXfs>
  <cellXfs count="44">
    <xf numFmtId="0" fontId="0" fillId="0" borderId="0" xfId="0"/>
    <xf numFmtId="0" fontId="3" fillId="2" borderId="0" xfId="0" applyFont="1" applyFill="1" applyBorder="1" applyAlignment="1">
      <alignment horizontal="left" indent="1"/>
    </xf>
    <xf numFmtId="37" fontId="7" fillId="2" borderId="0" xfId="3" applyFont="1" applyFill="1" applyBorder="1"/>
    <xf numFmtId="37" fontId="8" fillId="2" borderId="1" xfId="3" applyFont="1" applyFill="1" applyBorder="1" applyAlignment="1" applyProtection="1">
      <alignment horizontal="center" vertical="center" wrapText="1"/>
    </xf>
    <xf numFmtId="37" fontId="8" fillId="2" borderId="1" xfId="3" quotePrefix="1" applyFont="1" applyFill="1" applyBorder="1" applyAlignment="1" applyProtection="1">
      <alignment horizontal="center" vertical="center" wrapText="1"/>
    </xf>
    <xf numFmtId="37" fontId="7" fillId="2" borderId="1" xfId="3" applyFont="1" applyFill="1" applyBorder="1" applyAlignment="1" applyProtection="1">
      <alignment horizontal="center" vertical="center" wrapText="1"/>
    </xf>
    <xf numFmtId="37" fontId="7" fillId="2" borderId="1" xfId="3" applyNumberFormat="1" applyFont="1" applyFill="1" applyBorder="1" applyAlignment="1" applyProtection="1">
      <alignment horizontal="center" vertical="center" wrapText="1"/>
    </xf>
    <xf numFmtId="37" fontId="3" fillId="2" borderId="0" xfId="0" applyNumberFormat="1" applyFont="1" applyFill="1" applyBorder="1" applyAlignment="1">
      <alignment horizontal="left" indent="1"/>
    </xf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  <xf numFmtId="0" fontId="4" fillId="3" borderId="0" xfId="0" applyFont="1" applyFill="1"/>
    <xf numFmtId="0" fontId="0" fillId="0" borderId="0" xfId="0" quotePrefix="1"/>
    <xf numFmtId="0" fontId="0" fillId="3" borderId="0" xfId="0" applyFill="1" applyAlignment="1">
      <alignment wrapText="1"/>
    </xf>
    <xf numFmtId="168" fontId="13" fillId="3" borderId="1" xfId="1" applyNumberFormat="1" applyFont="1" applyFill="1" applyBorder="1" applyAlignment="1" applyProtection="1">
      <alignment horizontal="left" wrapText="1"/>
    </xf>
    <xf numFmtId="168" fontId="10" fillId="3" borderId="1" xfId="1" applyNumberFormat="1" applyFont="1" applyFill="1" applyBorder="1" applyAlignment="1" applyProtection="1">
      <alignment horizontal="left" wrapText="1"/>
    </xf>
    <xf numFmtId="168" fontId="11" fillId="3" borderId="1" xfId="1" applyNumberFormat="1" applyFont="1" applyFill="1" applyBorder="1" applyAlignment="1" applyProtection="1">
      <alignment horizontal="left" wrapText="1"/>
    </xf>
    <xf numFmtId="168" fontId="10" fillId="3" borderId="1" xfId="1" applyNumberFormat="1" applyFont="1" applyFill="1" applyBorder="1" applyAlignment="1" applyProtection="1">
      <alignment horizontal="left" vertical="top" wrapText="1"/>
    </xf>
    <xf numFmtId="168" fontId="10" fillId="4" borderId="12" xfId="7" applyNumberFormat="1" applyFont="1" applyFill="1" applyBorder="1" applyAlignment="1" applyProtection="1">
      <alignment horizontal="left" vertical="center"/>
    </xf>
    <xf numFmtId="168" fontId="10" fillId="4" borderId="12" xfId="7" applyNumberFormat="1" applyFont="1" applyFill="1" applyBorder="1" applyAlignment="1" applyProtection="1">
      <alignment vertical="center"/>
    </xf>
    <xf numFmtId="168" fontId="11" fillId="4" borderId="11" xfId="7" applyNumberFormat="1" applyFont="1" applyFill="1" applyBorder="1" applyAlignment="1" applyProtection="1">
      <alignment vertical="center"/>
    </xf>
    <xf numFmtId="168" fontId="10" fillId="4" borderId="13" xfId="7" applyNumberFormat="1" applyFont="1" applyFill="1" applyBorder="1" applyAlignment="1" applyProtection="1">
      <alignment vertical="center"/>
    </xf>
    <xf numFmtId="0" fontId="0" fillId="0" borderId="1" xfId="0" applyBorder="1" applyAlignment="1">
      <alignment horizontal="center" vertical="center"/>
    </xf>
    <xf numFmtId="0" fontId="0" fillId="0" borderId="1" xfId="0" applyNumberFormat="1" applyBorder="1" applyAlignment="1">
      <alignment horizontal="center" vertical="center"/>
    </xf>
    <xf numFmtId="0" fontId="0" fillId="0" borderId="1" xfId="0" applyBorder="1" applyAlignment="1">
      <alignment horizontal="left" vertical="center"/>
    </xf>
    <xf numFmtId="0" fontId="0" fillId="3" borderId="1" xfId="0" quotePrefix="1" applyFill="1" applyBorder="1"/>
    <xf numFmtId="0" fontId="0" fillId="3" borderId="1" xfId="0" applyFill="1" applyBorder="1"/>
    <xf numFmtId="0" fontId="0" fillId="3" borderId="0" xfId="0" applyFill="1"/>
    <xf numFmtId="0" fontId="0" fillId="0" borderId="0" xfId="0" applyNumberFormat="1" applyFill="1" applyBorder="1" applyAlignment="1">
      <alignment horizontal="center" vertical="center"/>
    </xf>
    <xf numFmtId="0" fontId="0" fillId="3" borderId="0" xfId="0" quotePrefix="1" applyFill="1"/>
    <xf numFmtId="37" fontId="8" fillId="2" borderId="1" xfId="3" applyFont="1" applyFill="1" applyBorder="1" applyAlignment="1" applyProtection="1">
      <alignment horizontal="center" vertical="center" wrapText="1"/>
    </xf>
    <xf numFmtId="37" fontId="8" fillId="2" borderId="1" xfId="3" applyFont="1" applyFill="1" applyBorder="1" applyAlignment="1" applyProtection="1">
      <alignment horizontal="center" vertical="center" wrapText="1"/>
    </xf>
    <xf numFmtId="37" fontId="8" fillId="2" borderId="1" xfId="3" applyFont="1" applyFill="1" applyBorder="1" applyAlignment="1">
      <alignment horizontal="center" vertical="center"/>
    </xf>
    <xf numFmtId="37" fontId="17" fillId="2" borderId="7" xfId="3" applyFont="1" applyFill="1" applyBorder="1" applyAlignment="1">
      <alignment horizontal="center" vertical="center"/>
    </xf>
    <xf numFmtId="37" fontId="17" fillId="2" borderId="8" xfId="3" applyFont="1" applyFill="1" applyBorder="1" applyAlignment="1">
      <alignment horizontal="center" vertical="center"/>
    </xf>
    <xf numFmtId="37" fontId="17" fillId="2" borderId="9" xfId="3" applyFont="1" applyFill="1" applyBorder="1" applyAlignment="1">
      <alignment horizontal="center" vertical="center"/>
    </xf>
    <xf numFmtId="37" fontId="8" fillId="2" borderId="5" xfId="3" quotePrefix="1" applyFont="1" applyFill="1" applyBorder="1" applyAlignment="1" applyProtection="1">
      <alignment horizontal="center" vertical="center" wrapText="1"/>
    </xf>
    <xf numFmtId="37" fontId="8" fillId="2" borderId="6" xfId="3" quotePrefix="1" applyFont="1" applyFill="1" applyBorder="1" applyAlignment="1" applyProtection="1">
      <alignment horizontal="center" vertical="center" wrapText="1"/>
    </xf>
    <xf numFmtId="37" fontId="8" fillId="2" borderId="10" xfId="3" quotePrefix="1" applyFont="1" applyFill="1" applyBorder="1" applyAlignment="1" applyProtection="1">
      <alignment horizontal="center" vertical="center" wrapText="1"/>
    </xf>
    <xf numFmtId="37" fontId="8" fillId="2" borderId="3" xfId="3" applyFont="1" applyFill="1" applyBorder="1" applyAlignment="1" applyProtection="1">
      <alignment horizontal="center" vertical="center" wrapText="1"/>
    </xf>
    <xf numFmtId="37" fontId="8" fillId="2" borderId="4" xfId="3" applyFont="1" applyFill="1" applyBorder="1" applyAlignment="1" applyProtection="1">
      <alignment horizontal="center" vertical="center" wrapText="1"/>
    </xf>
    <xf numFmtId="37" fontId="8" fillId="2" borderId="2" xfId="3" applyFont="1" applyFill="1" applyBorder="1" applyAlignment="1" applyProtection="1">
      <alignment horizontal="center" vertical="center" wrapText="1"/>
    </xf>
    <xf numFmtId="37" fontId="8" fillId="2" borderId="1" xfId="3" applyFont="1" applyFill="1" applyBorder="1" applyAlignment="1" applyProtection="1">
      <alignment horizontal="center" vertical="center" wrapText="1"/>
    </xf>
    <xf numFmtId="0" fontId="8" fillId="2" borderId="0" xfId="2" applyFont="1" applyFill="1" applyBorder="1" applyAlignment="1" applyProtection="1">
      <alignment horizontal="left" vertical="center" wrapText="1"/>
    </xf>
  </cellXfs>
  <cellStyles count="15">
    <cellStyle name="Comma 2" xfId="1"/>
    <cellStyle name="Comma 3" xfId="9"/>
    <cellStyle name="Comma0" xfId="13"/>
    <cellStyle name="Currency0" xfId="14"/>
    <cellStyle name="Normal" xfId="0" builtinId="0"/>
    <cellStyle name="Normal 2" xfId="2"/>
    <cellStyle name="Normal 2 2" xfId="11"/>
    <cellStyle name="Normal 3" xfId="3"/>
    <cellStyle name="Normal 4" xfId="4"/>
    <cellStyle name="Normal 5" xfId="5"/>
    <cellStyle name="Normal 5 2" xfId="8"/>
    <cellStyle name="Normal 6" xfId="6"/>
    <cellStyle name="Normal 7" xfId="10"/>
    <cellStyle name="Normal 8" xfId="12"/>
    <cellStyle name="Normal_ICAO elec formEF_0405" xfId="7"/>
  </cellStyles>
  <dxfs count="9">
    <dxf>
      <alignment horizontal="left" readingOrder="0"/>
    </dxf>
    <dxf>
      <alignment horizontal="left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horizontal="center" readingOrder="0"/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4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3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2.xml"/><Relationship Id="rId11" Type="http://schemas.openxmlformats.org/officeDocument/2006/relationships/sharedStrings" Target="sharedStrings.xml"/><Relationship Id="rId5" Type="http://schemas.openxmlformats.org/officeDocument/2006/relationships/pivotCacheDefinition" Target="pivotCache/pivotCacheDefinition1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pivotCache/_rels/pivotCacheDefinition1.xml.rels><?xml version="1.0" encoding="UTF-8" standalone="yes"?>
<Relationships xmlns="http://schemas.openxmlformats.org/package/2006/relationships"><Relationship Id="rId2" Type="http://schemas.openxmlformats.org/officeDocument/2006/relationships/externalLinkPath" Target="/Users/AD%20AT2/Downloads/Reports%20generator%20-%20Copy%20(1).xlsm" TargetMode="External"/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_rels/pivotCacheDefinition4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AD AT2" refreshedDate="43503.552048148151" createdVersion="5" refreshedVersion="4" minRefreshableVersion="3" recordCount="80">
  <cacheSource type="worksheet">
    <worksheetSource ref="A5:V1048576" sheet="Form D-Fleet1" r:id="rId2"/>
  </cacheSource>
  <cacheFields count="22">
    <cacheField name="Name of the Airline" numFmtId="0">
      <sharedItems containsBlank="1" count="22">
        <s v="AIR INDIA"/>
        <s v="AIR INDIA EXPRESS"/>
        <s v="ALLIANCE AIR"/>
        <s v="BLUE DART "/>
        <s v="GO AIR"/>
        <s v="INDIGO"/>
        <s v="JET AIRWAYS"/>
        <s v="JETLITE"/>
        <s v="SPICEJET"/>
        <s v="AIR COSTA"/>
        <s v="AIR ASIA"/>
        <s v="VISTARA"/>
        <s v="AIR PEGASUS"/>
        <s v="TRUEJET"/>
        <s v="AIR CARNIVAL"/>
        <s v="ZOOM AIR"/>
        <s v="AIR ODDISA"/>
        <s v="AIR DECCAN"/>
        <m/>
        <s v="SCHEDULED NATIONAL AIRLINES"/>
        <s v="SCHEDULED PRIVATE AIRLINES"/>
        <s v="ALL SCHEDULED INDIAN AIRLINES"/>
      </sharedItems>
    </cacheField>
    <cacheField name="Aircraft Type" numFmtId="0">
      <sharedItems containsBlank="1" count="45">
        <s v="BOEING 747-400"/>
        <s v="777-200LR"/>
        <s v="777-300ER"/>
        <s v="B-787"/>
        <s v="A-319"/>
        <s v="A-320 "/>
        <s v="A-321"/>
        <s v="Boeing B 737- 800"/>
        <s v="ATR 42-320"/>
        <s v="CRJ-700"/>
        <s v="ATR-72-212A"/>
        <s v="BOEING 757 - 200"/>
        <s v="AIRBUS A320-214"/>
        <s v="AIRBUS A320-271N"/>
        <s v="A320-200"/>
        <s v="AT7-72-600"/>
        <s v="B-737 - 700"/>
        <s v="B- 737 - 800"/>
        <s v="B- 737 - 900"/>
        <s v="ATR 72 - 500 / 600"/>
        <s v="A 330- 200 / 300"/>
        <s v="B 777- 300 ER"/>
        <s v="Boeing 737 - 700"/>
        <s v="Boeing 737 - 800"/>
        <s v="737 - 700"/>
        <s v="737 - 800"/>
        <s v="737 - 900 ER"/>
        <s v="DH8"/>
        <s v="A319"/>
        <s v="A 320"/>
        <m/>
        <s v="AIRBUS A320"/>
        <s v="Airbus Industrie"/>
        <s v="BOEING 757- 200"/>
        <s v="ATR 72-212 A / VT-TMK"/>
        <s v="ATR 72-212 A / VT-TMP"/>
        <s v="ATR 72-212 A / VT-TMU"/>
        <s v="ATR 72-212 A / VT-TMC"/>
        <s v="BOMBADIER CRJ200LR ,MSN-7809, VT-ZOA"/>
        <s v="BOMBADIER CRJ200LR ,MSN 7816, VT-ZOB"/>
        <s v="BOMBADIER CRJ200ER ,VT-ZOC. VT-ZOD"/>
        <s v="BOMBADIER CRJ100 ,VT-ARE"/>
        <s v="CESSNA CARAVAN 208B"/>
        <s v="BEECHCRAFT 1900D"/>
        <s v="A320-600" u="1"/>
      </sharedItems>
    </cacheField>
    <cacheField name="Number of Aircraft  At the beginning of year" numFmtId="0">
      <sharedItems containsString="0" containsBlank="1" containsNumber="1" containsInteger="1" minValue="0" maxValue="479" count="31">
        <n v="5"/>
        <n v="3"/>
        <n v="12"/>
        <n v="23"/>
        <n v="22"/>
        <n v="18"/>
        <n v="20"/>
        <m/>
        <n v="6"/>
        <n v="131"/>
        <n v="0"/>
        <n v="2"/>
        <n v="59"/>
        <n v="8"/>
        <n v="10"/>
        <n v="26"/>
        <n v="4"/>
        <n v="17"/>
        <n v="13"/>
        <n v="1"/>
        <n v="126"/>
        <n v="263"/>
        <n v="479"/>
        <n v="138" u="1"/>
        <n v="294" u="1"/>
        <n v="107" u="1"/>
        <n v="19" u="1"/>
        <n v="60" u="1"/>
        <n v="234" u="1"/>
        <n v="27" u="1"/>
        <n v="148" u="1"/>
      </sharedItems>
    </cacheField>
    <cacheField name="Number of Aircraft  Acquired" numFmtId="3">
      <sharedItems containsString="0" containsBlank="1" containsNumber="1" containsInteger="1" minValue="0" maxValue="104" count="19">
        <m/>
        <n v="3"/>
        <n v="4"/>
        <n v="14"/>
        <n v="0"/>
        <n v="1"/>
        <n v="8"/>
        <n v="25"/>
        <n v="6"/>
        <n v="5"/>
        <n v="21"/>
        <n v="48"/>
        <n v="104"/>
        <n v="2" u="1"/>
        <n v="35" u="1"/>
        <n v="24" u="1"/>
        <n v="9" u="1"/>
        <n v="47" u="1"/>
        <n v="32" u="1"/>
      </sharedItems>
    </cacheField>
    <cacheField name="Number of Aircraft  Disposed off" numFmtId="3">
      <sharedItems containsString="0" containsBlank="1" containsNumber="1" containsInteger="1" minValue="0" maxValue="10" count="9">
        <m/>
        <n v="3"/>
        <n v="0"/>
        <n v="1"/>
        <n v="2"/>
        <n v="9"/>
        <n v="5" u="1"/>
        <n v="7" u="1"/>
        <n v="10" u="1"/>
      </sharedItems>
    </cacheField>
    <cacheField name="Number of Aircraft  At the end of Year" numFmtId="3">
      <sharedItems containsString="0" containsBlank="1" containsNumber="1" containsInteger="1" minValue="0" maxValue="574" count="34">
        <n v="5"/>
        <n v="3"/>
        <n v="15"/>
        <n v="27"/>
        <n v="22"/>
        <n v="29"/>
        <n v="20"/>
        <n v="23"/>
        <m/>
        <n v="6"/>
        <n v="19"/>
        <n v="13"/>
        <n v="153"/>
        <n v="2"/>
        <n v="67"/>
        <n v="18"/>
        <n v="8"/>
        <n v="10"/>
        <n v="32"/>
        <n v="4"/>
        <n v="16"/>
        <n v="1"/>
        <n v="144"/>
        <n v="308"/>
        <n v="574"/>
        <n v="0" u="1"/>
        <n v="59" u="1"/>
        <n v="330" u="1"/>
        <n v="178" u="1"/>
        <n v="258" u="1"/>
        <n v="131" u="1"/>
        <n v="33" u="1"/>
        <n v="168" u="1"/>
        <n v="9" u="1"/>
      </sharedItems>
    </cacheField>
    <cacheField name="No. of installed passenger seats" numFmtId="3">
      <sharedItems containsBlank="1" containsMixedTypes="1" containsNumber="1" minValue="0" maxValue="4189" count="41">
        <n v="423"/>
        <n v="238"/>
        <n v="342"/>
        <n v="256"/>
        <s v="122/144"/>
        <s v="150/162/180"/>
        <n v="182"/>
        <s v="186/189"/>
        <m/>
        <s v="180/186"/>
        <n v="74"/>
        <n v="134"/>
        <n v="168"/>
        <s v="166/184"/>
        <n v="72"/>
        <s v="254/293"/>
        <n v="346"/>
        <n v="149"/>
        <n v="189"/>
        <n v="212"/>
        <n v="78"/>
        <n v="180"/>
        <n v="158"/>
        <n v="0"/>
        <n v="70"/>
        <n v="50"/>
        <n v="18"/>
        <n v="8"/>
        <s v="17/18"/>
        <n v="1441"/>
        <n v="794"/>
        <n v="4189"/>
        <n v="0.967741935483871" u="1"/>
        <n v="360.9677419354839" u="1"/>
        <n v="293" u="1"/>
        <n v="1377.9677419354839" u="1"/>
        <n v="184" u="1"/>
        <n v="2292.9677419354839" u="1"/>
        <n v="47" u="1"/>
        <n v="477.9677419354839" u="1"/>
        <n v="117" u="1"/>
      </sharedItems>
    </cacheField>
    <cacheField name="Avg. payload capacity (Tonnes)" numFmtId="0">
      <sharedItems containsString="0" containsBlank="1" containsNumber="1" minValue="0" maxValue="798.95100000000014" count="44">
        <n v="53.4"/>
        <n v="40.54"/>
        <n v="57.59"/>
        <n v="34.82"/>
        <n v="13.18"/>
        <n v="15.66"/>
        <n v="21.17"/>
        <n v="14.96"/>
        <m/>
        <n v="36"/>
        <n v="12.2"/>
        <n v="14.9"/>
        <n v="5.3"/>
        <n v="13"/>
        <n v="17"/>
        <n v="19"/>
        <n v="6"/>
        <n v="43"/>
        <n v="55"/>
        <n v="14"/>
        <n v="0.74"/>
        <n v="14.26"/>
        <n v="9.4700000000000006"/>
        <n v="5.75"/>
        <n v="153"/>
        <n v="15.7"/>
        <n v="8"/>
        <n v="3"/>
        <n v="2"/>
        <n v="0.21199999999999999"/>
        <n v="0.39900000000000002"/>
        <n v="0"/>
        <n v="251.32000000000002"/>
        <n v="221.4"/>
        <n v="798.95100000000014"/>
        <n v="4.1500000000000004" u="1"/>
        <n v="172" u="1"/>
        <n v="72.804000000000002" u="1"/>
        <n v="266.93650000000002" u="1"/>
        <n v="35.804000000000002" u="1"/>
        <n v="10.1325" u="1"/>
        <n v="18" u="1"/>
        <n v="1.2024999999999999" u="1"/>
        <n v="4.78" u="1"/>
      </sharedItems>
    </cacheField>
    <cacheField name="Average MCTOM (Tonnes)" numFmtId="169">
      <sharedItems containsBlank="1" containsMixedTypes="1" containsNumber="1" minValue="0" maxValue="3217.9050000000002" count="40">
        <n v="378"/>
        <n v="347"/>
        <n v="351"/>
        <n v="228"/>
        <n v="70"/>
        <n v="76"/>
        <n v="89"/>
        <n v="79.02"/>
        <m/>
        <n v="109"/>
        <n v="73.5"/>
        <n v="74.599999999999994"/>
        <n v="23"/>
        <n v="60"/>
        <s v="70.5/79.0"/>
        <n v="74.3"/>
        <n v="22.5"/>
        <n v="233"/>
        <s v="337/351"/>
        <n v="62.19"/>
        <n v="70.53"/>
        <n v="62"/>
        <n v="75.75"/>
        <n v="29.26"/>
        <n v="24"/>
        <n v="3.97"/>
        <n v="7.7649999999999997"/>
        <n v="0"/>
        <n v="1618.02"/>
        <n v="669.90000000000009"/>
        <n v="3217.9050000000002"/>
        <n v="108.86199999999999" u="1"/>
        <n v="9.0150000000000006" u="1"/>
        <n v="74" u="1"/>
        <n v="33.99" u="1"/>
        <n v="463.79999999999995" u="1"/>
        <n v="256.36199999999997" u="1"/>
        <n v="82.905000000000001" u="1"/>
        <n v="16.899999999999999" u="1"/>
        <n v="861.78699999999992" u="1"/>
      </sharedItems>
    </cacheField>
    <cacheField name="No. of aircraft departures Revenue Flights Scheduled" numFmtId="0">
      <sharedItems containsString="0" containsBlank="1" containsNumber="1" containsInteger="1" minValue="0" maxValue="1058493" count="61">
        <n v="982"/>
        <n v="1174"/>
        <n v="6359"/>
        <n v="20838"/>
        <n v="44988"/>
        <n v="39842"/>
        <n v="39315"/>
        <n v="28850"/>
        <m/>
        <n v="6023"/>
        <n v="69136"/>
        <n v="345282"/>
        <n v="2358"/>
        <n v="4844"/>
        <n v="135957"/>
        <n v="11060"/>
        <n v="43416"/>
        <n v="8780"/>
        <n v="6761"/>
        <n v="9355"/>
        <n v="12735"/>
        <n v="5303"/>
        <n v="67004"/>
        <n v="9373"/>
        <n v="56631"/>
        <n v="32904"/>
        <n v="28058"/>
        <n v="4820"/>
        <n v="1794"/>
        <n v="2212"/>
        <n v="2546"/>
        <n v="2374"/>
        <n v="711"/>
        <n v="125"/>
        <n v="249"/>
        <n v="0"/>
        <n v="44"/>
        <n v="267"/>
        <n v="182348"/>
        <n v="633617"/>
        <n v="1058493"/>
        <n v="17510" u="1"/>
        <n v="126466" u="1"/>
        <n v="300526" u="1"/>
        <n v="41380" u="1"/>
        <n v="3734" u="1"/>
        <n v="10038" u="1"/>
        <n v="324280" u="1"/>
        <n v="4601" u="1"/>
        <n v="6244" u="1"/>
        <n v="10336" u="1"/>
        <n v="47831" u="1"/>
        <n v="1226" u="1"/>
        <n v="26084" u="1"/>
        <n v="502159" u="1"/>
        <n v="4996" u="1"/>
        <n v="614934" u="1"/>
        <n v="13621" u="1"/>
        <n v="7009" u="1"/>
        <n v="10730" u="1"/>
        <n v="23982" u="1"/>
      </sharedItems>
    </cacheField>
    <cacheField name="No. of aircraft departures Revenue Flights Non scheduled" numFmtId="3">
      <sharedItems containsString="0" containsBlank="1" containsNumber="1" containsInteger="1" minValue="0" maxValue="4332" count="35">
        <m/>
        <n v="4"/>
        <n v="1108"/>
        <n v="724"/>
        <n v="9"/>
        <n v="125"/>
        <n v="0"/>
        <n v="299"/>
        <n v="828"/>
        <n v="2"/>
        <n v="15"/>
        <n v="3"/>
        <n v="12"/>
        <n v="6"/>
        <n v="1"/>
        <n v="223"/>
        <n v="158"/>
        <n v="37"/>
        <n v="28"/>
        <n v="46"/>
        <n v="564"/>
        <n v="1845"/>
        <n v="1275"/>
        <n v="4332"/>
        <n v="96" u="1"/>
        <n v="116" u="1"/>
        <n v="17" u="1"/>
        <n v="966" u="1"/>
        <n v="165" u="1"/>
        <n v="56" u="1"/>
        <n v="23" u="1"/>
        <n v="537" u="1"/>
        <n v="679" u="1"/>
        <n v="11" u="1"/>
        <n v="92" u="1"/>
      </sharedItems>
    </cacheField>
    <cacheField name="No. of aircraft departures Non Revenue" numFmtId="3">
      <sharedItems containsString="0" containsBlank="1" containsNumber="1" containsInteger="1" minValue="0" maxValue="0" count="2">
        <m/>
        <n v="0"/>
      </sharedItems>
    </cacheField>
    <cacheField name="No. of aircraft departures Total All Flights" numFmtId="3">
      <sharedItems containsString="0" containsBlank="1" containsNumber="1" containsInteger="1" minValue="0" maxValue="1062825" count="62">
        <n v="982"/>
        <n v="1174"/>
        <n v="6359"/>
        <n v="20842"/>
        <n v="46096"/>
        <n v="40566"/>
        <n v="39324"/>
        <n v="28850"/>
        <m/>
        <n v="6148"/>
        <n v="69140"/>
        <n v="345282"/>
        <n v="2358"/>
        <n v="5143"/>
        <n v="136785"/>
        <n v="11062"/>
        <n v="43431"/>
        <n v="8782"/>
        <n v="6761"/>
        <n v="9358"/>
        <n v="12747"/>
        <n v="5303"/>
        <n v="67010"/>
        <n v="9373"/>
        <n v="56632"/>
        <n v="33127"/>
        <n v="28216"/>
        <n v="4829"/>
        <n v="1794"/>
        <n v="2212"/>
        <n v="2546"/>
        <n v="2374"/>
        <n v="748"/>
        <n v="153"/>
        <n v="295"/>
        <n v="0"/>
        <n v="564"/>
        <n v="44"/>
        <n v="267"/>
        <n v="184193"/>
        <n v="634892"/>
        <n v="1062825"/>
        <n v="502838" u="1"/>
        <n v="5112" u="1"/>
        <n v="17510" u="1"/>
        <n v="47854" u="1"/>
        <n v="615900" u="1"/>
        <n v="7011" u="1"/>
        <n v="127003" u="1"/>
        <n v="300526" u="1"/>
        <n v="1282" u="1"/>
        <n v="10428" u="1"/>
        <n v="4601" u="1"/>
        <n v="41545" u="1"/>
        <n v="13632" u="1"/>
        <n v="26084" u="1"/>
        <n v="10731" u="1"/>
        <n v="6340" u="1"/>
        <n v="23994" u="1"/>
        <n v="10041" u="1"/>
        <n v="324376" u="1"/>
        <n v="3751" u="1"/>
      </sharedItems>
    </cacheField>
    <cacheField name="Aircraft hours flown Revenue Flights Scheduled" numFmtId="3">
      <sharedItems containsString="0" containsBlank="1" containsNumber="1" minValue="0" maxValue="3241778.43" count="61">
        <n v="4010"/>
        <n v="12787"/>
        <n v="48138"/>
        <n v="114151"/>
        <n v="78890"/>
        <n v="89132"/>
        <n v="85103"/>
        <n v="105697"/>
        <m/>
        <n v="8329"/>
        <n v="128085.05"/>
        <n v="650631"/>
        <n v="3408"/>
        <n v="7842"/>
        <n v="309764"/>
        <n v="29406"/>
        <n v="54266"/>
        <n v="39583"/>
        <n v="53165"/>
        <n v="13833"/>
        <n v="21900"/>
        <n v="6894.19"/>
        <n v="1177648.18"/>
        <n v="15278.56"/>
        <n v="57909.02"/>
        <n v="47179"/>
        <n v="47697.52"/>
        <n v="9358"/>
        <n v="2396.56"/>
        <n v="2957.33"/>
        <n v="3312.12"/>
        <n v="3040.53"/>
        <n v="873"/>
        <n v="137"/>
        <n v="329"/>
        <n v="0"/>
        <n v="20.37"/>
        <n v="299"/>
        <n v="537908"/>
        <n v="1284479.05"/>
        <n v="3241778.43"/>
        <n v="558565" u="1"/>
        <n v="289271" u="1"/>
        <n v="594777" u="1"/>
        <n v="60501" u="1"/>
        <n v="40739" u="1"/>
        <n v="14004" u="1"/>
        <n v="102772.32" u="1"/>
        <n v="29597" u="1"/>
        <n v="24495" u="1"/>
        <n v="39723" u="1"/>
        <n v="1730.11" u="1"/>
        <n v="1237450.32" u="1"/>
        <n v="1019228" u="1"/>
        <n v="83495" u="1"/>
        <n v="4363.17" u="1"/>
        <n v="27485" u="1"/>
        <n v="7367" u="1"/>
        <n v="13184.04" u="1"/>
        <n v="8727" u="1"/>
        <n v="34204" u="1"/>
      </sharedItems>
    </cacheField>
    <cacheField name="Aircraft hours flown Revenue Flights Non scheduled" numFmtId="3">
      <sharedItems containsString="0" containsBlank="1" containsNumber="1" minValue="0" maxValue="5409.12" count="39">
        <m/>
        <n v="9"/>
        <n v="1482"/>
        <n v="982"/>
        <n v="20"/>
        <n v="121"/>
        <n v="6.4"/>
        <n v="0"/>
        <n v="437"/>
        <n v="1161"/>
        <n v="1"/>
        <n v="26"/>
        <n v="13"/>
        <n v="7"/>
        <n v="17"/>
        <n v="2.27"/>
        <n v="171"/>
        <n v="34"/>
        <n v="48"/>
        <n v="38"/>
        <n v="28"/>
        <n v="641.45000000000005"/>
        <n v="2493"/>
        <n v="1765.3999999999996"/>
        <n v="5409.12"/>
        <n v="91" u="1"/>
        <n v="1260.71" u="1"/>
        <n v="2" u="1"/>
        <n v="6" u="1"/>
        <n v="921" u="1"/>
        <n v="63.58" u="1"/>
        <n v="39" u="1"/>
        <n v="42.13" u="1"/>
        <n v="114.71000000000001" u="1"/>
        <n v="126" u="1"/>
        <n v="4" u="1"/>
        <n v="12" u="1"/>
        <n v="117" u="1"/>
        <n v="749" u="1"/>
      </sharedItems>
    </cacheField>
    <cacheField name="Aircraft hours flown Non revenue" numFmtId="3">
      <sharedItems containsString="0" containsBlank="1" containsNumber="1" containsInteger="1" minValue="0" maxValue="0" count="2">
        <m/>
        <n v="0"/>
      </sharedItems>
    </cacheField>
    <cacheField name="Aircraft hours flown Total All Flights" numFmtId="3">
      <sharedItems containsString="0" containsBlank="1" containsNumber="1" minValue="0" maxValue="2187191.7200000002" count="58">
        <n v="4010"/>
        <n v="12787"/>
        <n v="48138"/>
        <n v="114160"/>
        <n v="80373"/>
        <n v="90115"/>
        <n v="85123"/>
        <n v="105697"/>
        <m/>
        <n v="8450"/>
        <n v="128091.45"/>
        <n v="650631"/>
        <n v="3408"/>
        <n v="8279"/>
        <n v="310925"/>
        <n v="29407"/>
        <n v="54292"/>
        <n v="39596"/>
        <n v="53165"/>
        <n v="13840"/>
        <n v="21917"/>
        <n v="6894.19"/>
        <n v="117657.07"/>
        <n v="15278.56"/>
        <n v="57911.29"/>
        <n v="47351"/>
        <n v="47732"/>
        <n v="9406"/>
        <n v="2396.56"/>
        <n v="2957.33"/>
        <n v="3312.12"/>
        <n v="3040.53"/>
        <n v="912"/>
        <n v="165"/>
        <n v="363"/>
        <n v="0"/>
        <n v="641.25"/>
        <n v="20.37"/>
        <n v="299"/>
        <n v="540403"/>
        <n v="1286244.45"/>
        <n v="2187191.7200000002"/>
        <n v="558565" u="1"/>
        <n v="8853" u="1"/>
        <n v="290020" u="1"/>
        <n v="40830" u="1"/>
        <n v="1020149" u="1"/>
        <n v="83495" u="1"/>
        <n v="7484" u="1"/>
        <n v="27485" u="1"/>
        <n v="594903" u="1"/>
        <n v="60540" u="1"/>
        <n v="24501" u="1"/>
        <n v="39735" u="1"/>
        <n v="34204" u="1"/>
        <n v="1219319" u="1"/>
        <n v="14006" u="1"/>
        <n v="29601" u="1"/>
      </sharedItems>
    </cacheField>
    <cacheField name="Aircraft kilometers flown (000) Revenue Flights Scheduled" numFmtId="3">
      <sharedItems containsString="0" containsBlank="1" containsNumber="1" minValue="0" maxValue="276205579.39999998"/>
    </cacheField>
    <cacheField name="Aircraft kilometers flown (000) Revenue Flights Non scheduled" numFmtId="3">
      <sharedItems containsString="0" containsBlank="1" containsNumber="1" minValue="0" maxValue="385619.20000000001"/>
    </cacheField>
    <cacheField name="Aircraft kilometers flown (000) Non revenue" numFmtId="3">
      <sharedItems containsString="0" containsBlank="1" containsNumber="1" containsInteger="1" minValue="0" maxValue="0"/>
    </cacheField>
    <cacheField name="Aircraft kilometers flown (000) Total All Flights" numFmtId="0">
      <sharedItems containsString="0" containsBlank="1" containsNumber="1" minValue="0" maxValue="276591202.59999996"/>
    </cacheField>
    <cacheField name="Total A/C days available" numFmtId="0">
      <sharedItems containsString="0" containsBlank="1" containsNumber="1" containsInteger="1" minValue="16" maxValue="118184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r:id="rId1" refreshedBy="Windows User" refreshedDate="44125.713516087962" createdVersion="4" refreshedVersion="5" minRefreshableVersion="3" recordCount="21">
  <cacheSource type="worksheet">
    <worksheetSource ref="A3:DE24" sheet="Form EF"/>
  </cacheSource>
  <cacheFields count="109">
    <cacheField name="Operator" numFmtId="0">
      <sharedItems containsBlank="1" count="26">
        <s v="AIR INDIA"/>
        <s v="AIR INDIA EXPRESS"/>
        <s v="ALLIANCE AIR"/>
        <s v="GO AIR"/>
        <s v="INDIGO"/>
        <s v="JET AIRWAYS"/>
        <s v="JETLITE"/>
        <s v="SPICEJET"/>
        <s v="AIR ASIA"/>
        <s v="VISTARA"/>
        <s v="Blue Dart "/>
        <s v="TRUEJET"/>
        <s v="STAR AIR"/>
        <s v="AIR HERITAGE"/>
        <m/>
        <s v="SCHEDULED NATIONAL AIRLINES"/>
        <s v="SCHEDULED PRIVATE AIRLINES"/>
        <s v="ALL SCHEDULED INDIAN AIRLINES"/>
        <s v="NON OPERATING ITEMS ADJUSTED"/>
        <s v="QUICK JET CARGO" u="1"/>
        <s v="AIR DECCAN" u="1"/>
        <s v="AIR PEGASUS" u="1"/>
        <s v="AIR CARNIVAL" u="1"/>
        <s v="AIR ODDISA" u="1"/>
        <s v="ZOOM AIR" u="1"/>
        <s v="AIR COSTA" u="1"/>
      </sharedItems>
    </cacheField>
    <cacheField name="P1-1" numFmtId="4">
      <sharedItems containsString="0" containsBlank="1" containsNumber="1" minValue="2.9796610000000001" maxValue="751688.18100999994"/>
    </cacheField>
    <cacheField name="P1-1.1" numFmtId="4">
      <sharedItems containsString="0" containsBlank="1" containsNumber="1" minValue="2.9796610000000001" maxValue="705504.080449"/>
    </cacheField>
    <cacheField name="P1-1.2" numFmtId="4">
      <sharedItems containsString="0" containsBlank="1" containsNumber="1" minValue="2.4E-2" maxValue="9227.4195570000011"/>
    </cacheField>
    <cacheField name="P1-1.3" numFmtId="4">
      <sharedItems containsString="0" containsBlank="1" containsNumber="1" minValue="0" maxValue="35326.880000000005"/>
    </cacheField>
    <cacheField name="P1-1.4" numFmtId="4">
      <sharedItems containsString="0" containsBlank="1" containsNumber="1" minValue="0" maxValue="1629.8000000000002"/>
    </cacheField>
    <cacheField name="P1-1.5" numFmtId="4">
      <sharedItems containsString="0" containsBlank="1" containsNumber="1" containsInteger="1" minValue="0" maxValue="0"/>
    </cacheField>
    <cacheField name="P1-1.6" numFmtId="4">
      <sharedItems containsString="0" containsBlank="1" containsNumber="1" containsInteger="1" minValue="0" maxValue="0"/>
    </cacheField>
    <cacheField name="P1-2" numFmtId="4">
      <sharedItems containsString="0" containsBlank="1" containsNumber="1" minValue="0" maxValue="15343.6"/>
    </cacheField>
    <cacheField name="P1-2.1" numFmtId="4">
      <sharedItems containsString="0" containsBlank="1" containsNumber="1" minValue="0" maxValue="15343.6"/>
    </cacheField>
    <cacheField name="P1-2.2" numFmtId="4">
      <sharedItems containsString="0" containsBlank="1" containsNumber="1" containsInteger="1" minValue="0" maxValue="0"/>
    </cacheField>
    <cacheField name="P1-3" numFmtId="4">
      <sharedItems containsString="0" containsBlank="1" containsNumber="1" minValue="27.10033" maxValue="44222.717329999992"/>
    </cacheField>
    <cacheField name="P1-3.1" numFmtId="4">
      <sharedItems containsString="0" containsBlank="1" containsNumber="1" minValue="0" maxValue="27615.415000000001"/>
    </cacheField>
    <cacheField name="P1-3.2" numFmtId="4">
      <sharedItems containsString="0" containsBlank="1" containsNumber="1" minValue="21.030999999999999" maxValue="16607.301329999998"/>
    </cacheField>
    <cacheField name="P1-4" numFmtId="4">
      <sharedItems containsString="0" containsBlank="1" containsNumber="1" minValue="2.9796610000000001" maxValue="811254.39733900002"/>
    </cacheField>
    <cacheField name="P1-5" numFmtId="4">
      <sharedItems containsString="0" containsBlank="1" containsNumber="1" minValue="5.3041840000000002" maxValue="505633.27283000009"/>
    </cacheField>
    <cacheField name="P1-5.1" numFmtId="4">
      <sharedItems containsString="0" containsBlank="1" containsNumber="1" minValue="1.9611149999999999" maxValue="42136.530782999987"/>
    </cacheField>
    <cacheField name="P1-5.2" numFmtId="4">
      <sharedItems containsString="0" containsBlank="1" containsNumber="1" minValue="0.62661100000000003" maxValue="323871.72402000002"/>
    </cacheField>
    <cacheField name="P1-5.3" numFmtId="4">
      <sharedItems containsString="0" containsBlank="1" containsNumber="1" minValue="1.238" maxValue="2277.3981019999997"/>
    </cacheField>
    <cacheField name="P1-5.4" numFmtId="4">
      <sharedItems containsString="0" containsBlank="1" containsNumber="1" minValue="2.8868999999999998" maxValue="127488.28164099999"/>
    </cacheField>
    <cacheField name="P1-5.5" numFmtId="4">
      <sharedItems containsString="0" containsBlank="1" containsNumber="1" minValue="174.2" maxValue="9861.8277259999995"/>
    </cacheField>
    <cacheField name="P1-6" numFmtId="4">
      <sharedItems containsString="0" containsBlank="1" containsNumber="1" minValue="4.6772369999999999" maxValue="76399.343642000022"/>
    </cacheField>
    <cacheField name="P1-7" numFmtId="4">
      <sharedItems containsString="0" containsBlank="1" containsNumber="1" minValue="0.37316500000000002" maxValue="30055.949474000001"/>
    </cacheField>
    <cacheField name="P1-7.1" numFmtId="4">
      <sharedItems containsString="0" containsBlank="1" containsNumber="1" minValue="0" maxValue="5634.1683190000003"/>
    </cacheField>
    <cacheField name="P1-7.2" numFmtId="4">
      <sharedItems containsString="0" containsBlank="1" containsNumber="1" minValue="0" maxValue="5714.96"/>
    </cacheField>
    <cacheField name="P1-7.3" numFmtId="4">
      <sharedItems containsString="0" containsBlank="1" containsNumber="1" minValue="0.01" maxValue="1837.508"/>
    </cacheField>
    <cacheField name="P1-7.4" numFmtId="4">
      <sharedItems containsString="0" containsBlank="1" containsNumber="1" minValue="-14.89" maxValue="784.30316499999992"/>
    </cacheField>
    <cacheField name="P1-8" numFmtId="4">
      <sharedItems containsString="0" containsBlank="1" containsNumber="1" minValue="7.9091999999999996E-2" maxValue="74750.456402999989"/>
    </cacheField>
    <cacheField name="P1-8.1" numFmtId="4">
      <sharedItems containsString="0" containsBlank="1" containsNumber="1" minValue="7.9091999999999996E-2" maxValue="43941.002519000009"/>
    </cacheField>
    <cacheField name="P1-8.2" numFmtId="4">
      <sharedItems containsString="0" containsBlank="1" containsNumber="1" minValue="0" maxValue="11621.353884000002"/>
    </cacheField>
    <cacheField name="P1-9" numFmtId="4">
      <sharedItems containsString="0" containsBlank="1" containsNumber="1" minValue="9.3075000000000005E-2" maxValue="292.50307500000002"/>
    </cacheField>
    <cacheField name="P1-10" numFmtId="4">
      <sharedItems containsString="0" containsBlank="1" containsNumber="1" minValue="0" maxValue="17082.187892999998"/>
    </cacheField>
    <cacheField name="P1-10.1" numFmtId="4">
      <sharedItems containsString="0" containsBlank="1" containsNumber="1" minValue="0.67500000000000004" maxValue="4988.6850000000004"/>
    </cacheField>
    <cacheField name="P1-10.2" numFmtId="4">
      <sharedItems containsString="0" containsBlank="1" containsNumber="1" minValue="0.13489300000000001" maxValue="12093.462893000002"/>
    </cacheField>
    <cacheField name="P1-11" numFmtId="4">
      <sharedItems containsString="0" containsBlank="1" containsNumber="1" minValue="2.2339999999999999E-2" maxValue="20553.243366999999"/>
    </cacheField>
    <cacheField name="P1-11.1" numFmtId="4">
      <sharedItems containsString="0" containsBlank="1" containsNumber="1" minValue="2.2339999999999999E-2" maxValue="13891.936366999998"/>
    </cacheField>
    <cacheField name="P1-11.2" numFmtId="4">
      <sharedItems containsString="0" containsBlank="1" containsNumber="1" minValue="4.3959999999999999" maxValue="6661.3060000000005"/>
    </cacheField>
    <cacheField name="P1-12" numFmtId="4">
      <sharedItems containsString="0" containsBlank="1" containsNumber="1" minValue="0.24388099999999999" maxValue="67398.458880999999"/>
    </cacheField>
    <cacheField name="P1-13" numFmtId="4">
      <sharedItems containsString="0" containsBlank="1" containsNumber="1" minValue="0" maxValue="86175.386041999998"/>
    </cacheField>
    <cacheField name="P1-13.1" numFmtId="0">
      <sharedItems containsString="0" containsBlank="1" containsNumber="1" minValue="0" maxValue="29102.431576999999"/>
    </cacheField>
    <cacheField name="P1-13.2" numFmtId="4">
      <sharedItems containsString="0" containsBlank="1" containsNumber="1" minValue="1.731465" maxValue="27283.454115"/>
    </cacheField>
    <cacheField name="P1-14" numFmtId="4">
      <sharedItems containsString="0" containsBlank="1" containsNumber="1" minValue="20.894957999999999" maxValue="878348.67524200014"/>
    </cacheField>
    <cacheField name="P1-15" numFmtId="4">
      <sharedItems containsString="0" containsBlank="1" containsNumber="1" minValue="-66918.63129695" maxValue="4337.6000000000004"/>
    </cacheField>
    <cacheField name="P1-16" numFmtId="4">
      <sharedItems containsString="0" containsBlank="1" containsNumber="1" minValue="-5089.63" maxValue="51446.939999999995"/>
    </cacheField>
    <cacheField name="P1-16.1" numFmtId="4">
      <sharedItems containsString="0" containsBlank="1" containsNumber="1" minValue="-961.43975239999997" maxValue="5189.1490326000003"/>
    </cacheField>
    <cacheField name="P1-16.2" numFmtId="4">
      <sharedItems containsString="0" containsBlank="1" containsNumber="1" minValue="-4967.4702475999993" maxValue="287.39999999999998"/>
    </cacheField>
    <cacheField name="P1-17" numFmtId="4">
      <sharedItems containsString="0" containsBlank="1" containsNumber="1" minValue="-1333.82" maxValue="-37.200000000000003"/>
    </cacheField>
    <cacheField name="P1-18" numFmtId="4">
      <sharedItems containsString="0" containsBlank="1" containsNumber="1" containsInteger="1" minValue="0" maxValue="0"/>
    </cacheField>
    <cacheField name="P1-19" numFmtId="4">
      <sharedItems containsString="0" containsBlank="1" containsNumber="1" containsInteger="1" minValue="0" maxValue="0"/>
    </cacheField>
    <cacheField name="P1-20" numFmtId="4">
      <sharedItems containsString="0" containsBlank="1" containsNumber="1" minValue="-8439.0299999999988" maxValue="10395.49"/>
    </cacheField>
    <cacheField name="P1-21" numFmtId="4">
      <sharedItems containsString="0" containsBlank="1" containsNumber="1" minValue="-499.74" maxValue="48244.918999999987"/>
    </cacheField>
    <cacheField name="P1-22" numFmtId="4">
      <sharedItems containsString="0" containsBlank="1" containsNumber="1" minValue="-107497.69590295" maxValue="1685.89"/>
    </cacheField>
    <cacheField name="P1-23" numFmtId="4">
      <sharedItems containsString="0" containsBlank="1" containsNumber="1" minValue="-803.71" maxValue="3051.82"/>
    </cacheField>
    <cacheField name="P1-23.1" numFmtId="4">
      <sharedItems containsString="0" containsBlank="1" containsNumber="1" containsInteger="1" minValue="0" maxValue="0"/>
    </cacheField>
    <cacheField name="P1-23.2" numFmtId="4">
      <sharedItems containsString="0" containsBlank="1" containsNumber="1" containsInteger="1" minValue="0" maxValue="0"/>
    </cacheField>
    <cacheField name="P1-24" numFmtId="4">
      <sharedItems containsString="0" containsBlank="1" containsNumber="1" minValue="-97418.119296949997" maxValue="1643.89"/>
    </cacheField>
    <cacheField name="P1-25" numFmtId="4">
      <sharedItems containsString="0" containsBlank="1" containsNumber="1" minValue="-28.01" maxValue="2692.7900000000004"/>
    </cacheField>
    <cacheField name="P1-26" numFmtId="4">
      <sharedItems containsString="0" containsBlank="1" containsNumber="1" minValue="-102645.03342995" maxValue="1615.88"/>
    </cacheField>
    <cacheField name="P2-1" numFmtId="4">
      <sharedItems containsNonDate="0" containsString="0" containsBlank="1"/>
    </cacheField>
    <cacheField name="P2-1.1" numFmtId="4">
      <sharedItems containsNonDate="0" containsString="0" containsBlank="1"/>
    </cacheField>
    <cacheField name="P2-1.2" numFmtId="4">
      <sharedItems containsNonDate="0" containsString="0" containsBlank="1"/>
    </cacheField>
    <cacheField name="P2-1.3" numFmtId="4">
      <sharedItems containsNonDate="0" containsString="0" containsBlank="1"/>
    </cacheField>
    <cacheField name="P2-2" numFmtId="4">
      <sharedItems containsNonDate="0" containsString="0" containsBlank="1"/>
    </cacheField>
    <cacheField name="P2-2.1" numFmtId="4">
      <sharedItems containsNonDate="0" containsString="0" containsBlank="1"/>
    </cacheField>
    <cacheField name="P2-2.2" numFmtId="4">
      <sharedItems containsNonDate="0" containsString="0" containsBlank="1"/>
    </cacheField>
    <cacheField name="P2-2.3" numFmtId="4">
      <sharedItems containsNonDate="0" containsString="0" containsBlank="1"/>
    </cacheField>
    <cacheField name="P2-3" numFmtId="4">
      <sharedItems containsNonDate="0" containsString="0" containsBlank="1"/>
    </cacheField>
    <cacheField name="P2-3.1" numFmtId="4">
      <sharedItems containsNonDate="0" containsString="0" containsBlank="1"/>
    </cacheField>
    <cacheField name="P2-3.1.1" numFmtId="4">
      <sharedItems containsNonDate="0" containsString="0" containsBlank="1"/>
    </cacheField>
    <cacheField name="P2-3.2" numFmtId="4">
      <sharedItems containsNonDate="0" containsString="0" containsBlank="1"/>
    </cacheField>
    <cacheField name="P2-3.2.1" numFmtId="4">
      <sharedItems containsNonDate="0" containsString="0" containsBlank="1"/>
    </cacheField>
    <cacheField name="P2-3.3" numFmtId="4">
      <sharedItems containsNonDate="0" containsString="0" containsBlank="1"/>
    </cacheField>
    <cacheField name="P2-3.3.1" numFmtId="4">
      <sharedItems containsNonDate="0" containsString="0" containsBlank="1"/>
    </cacheField>
    <cacheField name="P2-3.4" numFmtId="4">
      <sharedItems containsNonDate="0" containsString="0" containsBlank="1"/>
    </cacheField>
    <cacheField name="P2-3.4.1" numFmtId="4">
      <sharedItems containsNonDate="0" containsString="0" containsBlank="1"/>
    </cacheField>
    <cacheField name="P2-3.5" numFmtId="4">
      <sharedItems containsNonDate="0" containsString="0" containsBlank="1"/>
    </cacheField>
    <cacheField name="P2-4" numFmtId="4">
      <sharedItems containsNonDate="0" containsString="0" containsBlank="1"/>
    </cacheField>
    <cacheField name="P2-4.1" numFmtId="4">
      <sharedItems containsNonDate="0" containsString="0" containsBlank="1"/>
    </cacheField>
    <cacheField name="P2-4.1.1" numFmtId="4">
      <sharedItems containsNonDate="0" containsString="0" containsBlank="1"/>
    </cacheField>
    <cacheField name="P2-5" numFmtId="4">
      <sharedItems containsNonDate="0" containsString="0" containsBlank="1"/>
    </cacheField>
    <cacheField name="P2-5.1" numFmtId="4">
      <sharedItems containsNonDate="0" containsString="0" containsBlank="1"/>
    </cacheField>
    <cacheField name="P2-5.2" numFmtId="4">
      <sharedItems containsNonDate="0" containsString="0" containsBlank="1"/>
    </cacheField>
    <cacheField name="P2-5.3" numFmtId="4">
      <sharedItems containsNonDate="0" containsString="0" containsBlank="1"/>
    </cacheField>
    <cacheField name="P2-5.4" numFmtId="4">
      <sharedItems containsNonDate="0" containsString="0" containsBlank="1"/>
    </cacheField>
    <cacheField name="P2-6" numFmtId="4">
      <sharedItems containsNonDate="0" containsString="0" containsBlank="1"/>
    </cacheField>
    <cacheField name="P2-7" numFmtId="4">
      <sharedItems containsNonDate="0" containsString="0" containsBlank="1"/>
    </cacheField>
    <cacheField name="P2-7.1" numFmtId="4">
      <sharedItems containsNonDate="0" containsString="0" containsBlank="1"/>
    </cacheField>
    <cacheField name="P2-7.2" numFmtId="4">
      <sharedItems containsNonDate="0" containsString="0" containsBlank="1"/>
    </cacheField>
    <cacheField name="P2-7.3" numFmtId="4">
      <sharedItems containsNonDate="0" containsString="0" containsBlank="1"/>
    </cacheField>
    <cacheField name="P2-8" numFmtId="4">
      <sharedItems containsNonDate="0" containsString="0" containsBlank="1"/>
    </cacheField>
    <cacheField name="P2-8.1" numFmtId="4">
      <sharedItems containsNonDate="0" containsString="0" containsBlank="1"/>
    </cacheField>
    <cacheField name="P2-8.2" numFmtId="4">
      <sharedItems containsNonDate="0" containsString="0" containsBlank="1"/>
    </cacheField>
    <cacheField name="P2-8.3" numFmtId="4">
      <sharedItems containsNonDate="0" containsString="0" containsBlank="1"/>
    </cacheField>
    <cacheField name="P2-8.4" numFmtId="4">
      <sharedItems containsNonDate="0" containsString="0" containsBlank="1"/>
    </cacheField>
    <cacheField name="P2-8.5" numFmtId="4">
      <sharedItems containsNonDate="0" containsString="0" containsBlank="1"/>
    </cacheField>
    <cacheField name="P2-9" numFmtId="4">
      <sharedItems containsNonDate="0" containsString="0" containsBlank="1"/>
    </cacheField>
    <cacheField name="P2-10" numFmtId="4">
      <sharedItems containsNonDate="0" containsString="0" containsBlank="1"/>
    </cacheField>
    <cacheField name="P2-10.1" numFmtId="4">
      <sharedItems containsNonDate="0" containsString="0" containsBlank="1"/>
    </cacheField>
    <cacheField name="P2-10.2" numFmtId="4">
      <sharedItems containsNonDate="0" containsString="0" containsBlank="1"/>
    </cacheField>
    <cacheField name="P2-10.3" numFmtId="4">
      <sharedItems containsNonDate="0" containsString="0" containsBlank="1"/>
    </cacheField>
    <cacheField name="P2-11" numFmtId="4">
      <sharedItems containsNonDate="0" containsString="0" containsBlank="1"/>
    </cacheField>
    <cacheField name="P3-1" numFmtId="4">
      <sharedItems containsNonDate="0" containsString="0" containsBlank="1"/>
    </cacheField>
    <cacheField name="P3-2" numFmtId="4">
      <sharedItems containsNonDate="0" containsString="0" containsBlank="1"/>
    </cacheField>
    <cacheField name="P3-3" numFmtId="4">
      <sharedItems containsNonDate="0" containsString="0" containsBlank="1"/>
    </cacheField>
    <cacheField name="P3-3.1" numFmtId="4">
      <sharedItems containsNonDate="0" containsString="0" containsBlank="1"/>
    </cacheField>
    <cacheField name="P3-3.2" numFmtId="4">
      <sharedItems containsNonDate="0" containsString="0" containsBlank="1"/>
    </cacheField>
    <cacheField name="P3-3.3" numFmtId="4">
      <sharedItems containsNonDate="0" containsString="0" containsBlank="1"/>
    </cacheField>
    <cacheField name="P3-4" numFmtId="4">
      <sharedItems containsNonDate="0" containsString="0" containsBlank="1"/>
    </cacheField>
    <cacheField name="P3-5" numFmtId="4">
      <sharedItems containsNonDate="0" containsString="0"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r:id="rId1" refreshedBy="Windows User" refreshedDate="44125.713516087962" createdVersion="4" refreshedVersion="5" minRefreshableVersion="3" recordCount="55">
  <cacheSource type="worksheet">
    <worksheetSource ref="A5:V1048576" sheet="Form D-Fleet"/>
  </cacheSource>
  <cacheFields count="22">
    <cacheField name="Name of the Airline" numFmtId="0">
      <sharedItems containsBlank="1" count="24">
        <s v="AIR INDIA"/>
        <s v="AIR INDIA EXPRESS"/>
        <s v="ALLIANCE AIR"/>
        <s v="BLUE DART "/>
        <s v="GO AIR"/>
        <s v="INDIGO"/>
        <s v="SPICEJET"/>
        <s v="AIR ASIA"/>
        <s v="VISTARA"/>
        <s v="TRUEJET"/>
        <s v="STAR AIR"/>
        <s v="AIR HERITAGE"/>
        <m/>
        <s v="SCHEDULED NATIONAL AIRLINES"/>
        <s v="SCHEDULED PRIVATE AIRLINES"/>
        <s v="ALL SCHEDULED INDIAN AIRLINES"/>
        <s v="AIR DECCAN" u="1"/>
        <s v="JETLITE" u="1"/>
        <s v="AIR PEGASUS" u="1"/>
        <s v="AIR CARNIVAL" u="1"/>
        <s v="AIR ODDISA" u="1"/>
        <s v="ZOOM AIR" u="1"/>
        <s v="AIR COSTA" u="1"/>
        <s v="JET AIRWAYS" u="1"/>
      </sharedItems>
    </cacheField>
    <cacheField name="Aircraft Type" numFmtId="0">
      <sharedItems containsBlank="1"/>
    </cacheField>
    <cacheField name="Number of Aircraft  At the beginning of year" numFmtId="0">
      <sharedItems containsString="0" containsBlank="1" containsNumber="1" containsInteger="1" minValue="0" maxValue="458"/>
    </cacheField>
    <cacheField name="Number of Aircraft  Acquired" numFmtId="3">
      <sharedItems containsString="0" containsBlank="1" containsNumber="1" containsInteger="1" minValue="0" maxValue="135"/>
    </cacheField>
    <cacheField name="Number of Aircraft  Disposed off" numFmtId="3">
      <sharedItems containsString="0" containsBlank="1" containsNumber="1" containsInteger="1" minValue="0" maxValue="21"/>
    </cacheField>
    <cacheField name="Number of Aircraft  At the end of Year" numFmtId="3">
      <sharedItems containsString="0" containsBlank="1" containsNumber="1" containsInteger="1" minValue="1" maxValue="572"/>
    </cacheField>
    <cacheField name="No. of installed passenger seats" numFmtId="3">
      <sharedItems containsBlank="1" containsMixedTypes="1" containsNumber="1" containsInteger="1" minValue="0" maxValue="2957"/>
    </cacheField>
    <cacheField name="Avg. payload capacity (Tonnes)" numFmtId="0">
      <sharedItems containsString="0" containsBlank="1" containsNumber="1" minValue="0.74" maxValue="456.61299999999994"/>
    </cacheField>
    <cacheField name="Average MCTOM (Tonnes)" numFmtId="169">
      <sharedItems containsString="0" containsBlank="1" containsNumber="1" minValue="7" maxValue="2415.9500000000003"/>
    </cacheField>
    <cacheField name="No. of aircraft departures Revenue Flights Scheduled" numFmtId="0">
      <sharedItems containsString="0" containsBlank="1" containsNumber="1" containsInteger="1" minValue="26" maxValue="1095757"/>
    </cacheField>
    <cacheField name="No. of aircraft departures Revenue Flights Non scheduled" numFmtId="3">
      <sharedItems containsString="0" containsBlank="1" containsNumber="1" containsInteger="1" minValue="0" maxValue="5523"/>
    </cacheField>
    <cacheField name="No. of aircraft departures Non Revenue" numFmtId="3">
      <sharedItems containsString="0" containsBlank="1" containsNumber="1" containsInteger="1" minValue="0" maxValue="0"/>
    </cacheField>
    <cacheField name="No. of aircraft departures Total All Flights" numFmtId="3">
      <sharedItems containsString="0" containsBlank="1" containsNumber="1" containsInteger="1" minValue="26" maxValue="1101280"/>
    </cacheField>
    <cacheField name="Aircraft hours flown Revenue Flights Scheduled" numFmtId="3">
      <sharedItems containsString="0" containsBlank="1" containsNumber="1" containsInteger="1" minValue="48" maxValue="2094936"/>
    </cacheField>
    <cacheField name="Aircraft hours flown Revenue Flights Non scheduled" numFmtId="3">
      <sharedItems containsString="0" containsBlank="1" containsNumber="1" containsInteger="1" minValue="0" maxValue="7769"/>
    </cacheField>
    <cacheField name="Aircraft hours flown Non revenue" numFmtId="3">
      <sharedItems containsString="0" containsBlank="1" containsNumber="1" containsInteger="1" minValue="0" maxValue="0"/>
    </cacheField>
    <cacheField name="Aircraft hours flown Total All Flights" numFmtId="3">
      <sharedItems containsString="0" containsBlank="1" containsNumber="1" containsInteger="1" minValue="48" maxValue="2102705"/>
    </cacheField>
    <cacheField name="Aircraft kilometers flown (000) Revenue Flights Scheduled" numFmtId="3">
      <sharedItems containsString="0" containsBlank="1" containsNumber="1" containsInteger="1" minValue="364" maxValue="322552201"/>
    </cacheField>
    <cacheField name="Aircraft kilometers flown (000) Revenue Flights Non scheduled" numFmtId="3">
      <sharedItems containsString="0" containsBlank="1" containsNumber="1" containsInteger="1" minValue="0" maxValue="48317"/>
    </cacheField>
    <cacheField name="Aircraft kilometers flown (000) Non revenue" numFmtId="3">
      <sharedItems containsString="0" containsBlank="1" containsNumber="1" containsInteger="1" minValue="0" maxValue="0"/>
    </cacheField>
    <cacheField name="Aircraft kilometers flown (000) Total All Flights" numFmtId="0">
      <sharedItems containsString="0" containsBlank="1" containsNumber="1" containsInteger="1" minValue="364" maxValue="322600518"/>
    </cacheField>
    <cacheField name="Total A/C days available" numFmtId="0">
      <sharedItems containsString="0" containsBlank="1" containsNumber="1" containsInteger="1" minValue="26" maxValue="166913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r:id="rId1" refreshedBy="Windows User" refreshedDate="44125.713516087962" createdVersion="5" refreshedVersion="5" minRefreshableVersion="3" recordCount="134">
  <cacheSource type="worksheet">
    <worksheetSource ref="A3:F1048576" sheet="Form D-Personnel"/>
  </cacheSource>
  <cacheFields count="6">
    <cacheField name="Name of the Airlines" numFmtId="0">
      <sharedItems containsBlank="1" count="23">
        <s v="AIR INDIA"/>
        <s v="AIR INDIA EXPRESS"/>
        <s v="ALLIANCE AIR"/>
        <s v="GO AIR"/>
        <s v="INDIGO"/>
        <s v="SPICEJET"/>
        <s v="AIR ASIA"/>
        <s v="VISTARA"/>
        <s v="Blue Dart "/>
        <s v="TRUEJET"/>
        <s v="STAR AIR"/>
        <s v=" AIR HERITAGE"/>
        <m/>
        <s v="SCHEDULED NATIONAL AIRLINES"/>
        <s v="SCHEDULED PRIVATE AIRLINES"/>
        <s v="ALL SCHEDULED INDIAN AIRLINES"/>
        <s v="AIR DECCAN" u="1"/>
        <s v="JETLITE" u="1"/>
        <s v="AIR PEGASUS" u="1"/>
        <s v="AIR ODDISA" u="1"/>
        <s v="ZOOM AIR" u="1"/>
        <s v="AIR COSTA" u="1"/>
        <s v="JET AIRWAYS" u="1"/>
      </sharedItems>
    </cacheField>
    <cacheField name="table" numFmtId="0">
      <sharedItems containsBlank="1" count="9">
        <s v="P1"/>
        <s v="P2"/>
        <s v="P3"/>
        <s v="P4"/>
        <s v="P4.1"/>
        <s v="P4.2"/>
        <s v="P5"/>
        <s v="P6"/>
        <m/>
      </sharedItems>
    </cacheField>
    <cacheField name="Category of personnel" numFmtId="0">
      <sharedItems containsBlank="1"/>
    </cacheField>
    <cacheField name="Number of personnel Mid-year" numFmtId="0">
      <sharedItems containsString="0" containsBlank="1" containsNumber="1" containsInteger="1" minValue="0" maxValue="26982"/>
    </cacheField>
    <cacheField name="Number of personnel Year-end" numFmtId="0">
      <sharedItems containsString="0" containsBlank="1" containsNumber="1" containsInteger="1" minValue="0" maxValue="29796"/>
    </cacheField>
    <cacheField name="Total annual expenditures for each category (Rs.in Million)" numFmtId="0">
      <sharedItems containsString="0" containsBlank="1" containsNumber="1" minValue="0" maxValue="46519.740116999994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80">
  <r>
    <x v="0"/>
    <x v="0"/>
    <x v="0"/>
    <x v="0"/>
    <x v="0"/>
    <x v="0"/>
    <x v="0"/>
    <x v="0"/>
    <x v="0"/>
    <x v="0"/>
    <x v="0"/>
    <x v="0"/>
    <x v="0"/>
    <x v="0"/>
    <x v="0"/>
    <x v="0"/>
    <x v="0"/>
    <n v="3997"/>
    <m/>
    <m/>
    <n v="3997"/>
    <n v="1460"/>
  </r>
  <r>
    <x v="0"/>
    <x v="1"/>
    <x v="1"/>
    <x v="0"/>
    <x v="0"/>
    <x v="1"/>
    <x v="1"/>
    <x v="1"/>
    <x v="1"/>
    <x v="1"/>
    <x v="0"/>
    <x v="0"/>
    <x v="1"/>
    <x v="1"/>
    <x v="0"/>
    <x v="0"/>
    <x v="1"/>
    <n v="18245"/>
    <m/>
    <m/>
    <n v="18245"/>
    <n v="1095"/>
  </r>
  <r>
    <x v="0"/>
    <x v="2"/>
    <x v="2"/>
    <x v="1"/>
    <x v="0"/>
    <x v="2"/>
    <x v="2"/>
    <x v="2"/>
    <x v="2"/>
    <x v="2"/>
    <x v="0"/>
    <x v="0"/>
    <x v="2"/>
    <x v="2"/>
    <x v="0"/>
    <x v="0"/>
    <x v="2"/>
    <n v="69146"/>
    <m/>
    <m/>
    <n v="69146"/>
    <n v="4526"/>
  </r>
  <r>
    <x v="0"/>
    <x v="3"/>
    <x v="3"/>
    <x v="2"/>
    <x v="0"/>
    <x v="3"/>
    <x v="3"/>
    <x v="3"/>
    <x v="3"/>
    <x v="3"/>
    <x v="1"/>
    <x v="0"/>
    <x v="3"/>
    <x v="3"/>
    <x v="1"/>
    <x v="0"/>
    <x v="3"/>
    <n v="115278"/>
    <n v="9"/>
    <m/>
    <n v="115288"/>
    <n v="9308"/>
  </r>
  <r>
    <x v="0"/>
    <x v="4"/>
    <x v="4"/>
    <x v="0"/>
    <x v="0"/>
    <x v="4"/>
    <x v="4"/>
    <x v="4"/>
    <x v="4"/>
    <x v="4"/>
    <x v="2"/>
    <x v="0"/>
    <x v="4"/>
    <x v="4"/>
    <x v="2"/>
    <x v="0"/>
    <x v="4"/>
    <n v="44576"/>
    <n v="577"/>
    <m/>
    <n v="45154"/>
    <n v="8030"/>
  </r>
  <r>
    <x v="0"/>
    <x v="5"/>
    <x v="5"/>
    <x v="3"/>
    <x v="1"/>
    <x v="5"/>
    <x v="5"/>
    <x v="5"/>
    <x v="5"/>
    <x v="5"/>
    <x v="3"/>
    <x v="0"/>
    <x v="5"/>
    <x v="5"/>
    <x v="3"/>
    <x v="0"/>
    <x v="5"/>
    <n v="59862"/>
    <n v="484"/>
    <m/>
    <n v="60347"/>
    <n v="8943"/>
  </r>
  <r>
    <x v="0"/>
    <x v="6"/>
    <x v="6"/>
    <x v="0"/>
    <x v="0"/>
    <x v="6"/>
    <x v="6"/>
    <x v="6"/>
    <x v="6"/>
    <x v="6"/>
    <x v="4"/>
    <x v="0"/>
    <x v="6"/>
    <x v="6"/>
    <x v="4"/>
    <x v="0"/>
    <x v="6"/>
    <n v="54932"/>
    <n v="10"/>
    <m/>
    <n v="54943"/>
    <n v="7300"/>
  </r>
  <r>
    <x v="1"/>
    <x v="7"/>
    <x v="3"/>
    <x v="4"/>
    <x v="2"/>
    <x v="7"/>
    <x v="7"/>
    <x v="7"/>
    <x v="7"/>
    <x v="7"/>
    <x v="0"/>
    <x v="0"/>
    <x v="7"/>
    <x v="7"/>
    <x v="0"/>
    <x v="0"/>
    <x v="7"/>
    <n v="70943500"/>
    <m/>
    <m/>
    <n v="70943500"/>
    <n v="7371"/>
  </r>
  <r>
    <x v="2"/>
    <x v="8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2"/>
    <x v="9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2"/>
    <x v="1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3"/>
    <x v="11"/>
    <x v="8"/>
    <x v="4"/>
    <x v="2"/>
    <x v="9"/>
    <x v="8"/>
    <x v="9"/>
    <x v="9"/>
    <x v="9"/>
    <x v="5"/>
    <x v="0"/>
    <x v="9"/>
    <x v="9"/>
    <x v="5"/>
    <x v="0"/>
    <x v="9"/>
    <n v="6027873"/>
    <n v="40700"/>
    <m/>
    <n v="6068573"/>
    <n v="2072"/>
  </r>
  <r>
    <x v="4"/>
    <x v="12"/>
    <x v="5"/>
    <x v="5"/>
    <x v="2"/>
    <x v="10"/>
    <x v="9"/>
    <x v="10"/>
    <x v="10"/>
    <x v="10"/>
    <x v="1"/>
    <x v="0"/>
    <x v="10"/>
    <x v="10"/>
    <x v="6"/>
    <x v="0"/>
    <x v="10"/>
    <n v="65295"/>
    <n v="3"/>
    <m/>
    <n v="65298"/>
    <n v="9348"/>
  </r>
  <r>
    <x v="4"/>
    <x v="13"/>
    <x v="0"/>
    <x v="6"/>
    <x v="2"/>
    <x v="11"/>
    <x v="8"/>
    <x v="8"/>
    <x v="8"/>
    <x v="8"/>
    <x v="0"/>
    <x v="0"/>
    <x v="8"/>
    <x v="8"/>
    <x v="0"/>
    <x v="0"/>
    <x v="8"/>
    <m/>
    <m/>
    <m/>
    <m/>
    <m/>
  </r>
  <r>
    <x v="5"/>
    <x v="14"/>
    <x v="9"/>
    <x v="7"/>
    <x v="1"/>
    <x v="12"/>
    <x v="9"/>
    <x v="11"/>
    <x v="11"/>
    <x v="11"/>
    <x v="6"/>
    <x v="0"/>
    <x v="11"/>
    <x v="11"/>
    <x v="7"/>
    <x v="0"/>
    <x v="11"/>
    <n v="352727"/>
    <n v="0"/>
    <m/>
    <n v="352727"/>
    <n v="48757"/>
  </r>
  <r>
    <x v="5"/>
    <x v="15"/>
    <x v="10"/>
    <x v="8"/>
    <x v="2"/>
    <x v="9"/>
    <x v="10"/>
    <x v="12"/>
    <x v="12"/>
    <x v="12"/>
    <x v="6"/>
    <x v="0"/>
    <x v="12"/>
    <x v="12"/>
    <x v="7"/>
    <x v="0"/>
    <x v="12"/>
    <n v="1077"/>
    <n v="0"/>
    <m/>
    <n v="1077"/>
    <n v="340"/>
  </r>
  <r>
    <x v="6"/>
    <x v="16"/>
    <x v="11"/>
    <x v="4"/>
    <x v="2"/>
    <x v="13"/>
    <x v="11"/>
    <x v="13"/>
    <x v="13"/>
    <x v="13"/>
    <x v="7"/>
    <x v="0"/>
    <x v="13"/>
    <x v="13"/>
    <x v="8"/>
    <x v="0"/>
    <x v="13"/>
    <n v="6410"/>
    <n v="216"/>
    <m/>
    <n v="6626"/>
    <m/>
  </r>
  <r>
    <x v="6"/>
    <x v="17"/>
    <x v="12"/>
    <x v="6"/>
    <x v="2"/>
    <x v="14"/>
    <x v="12"/>
    <x v="14"/>
    <x v="14"/>
    <x v="14"/>
    <x v="8"/>
    <x v="0"/>
    <x v="14"/>
    <x v="14"/>
    <x v="9"/>
    <x v="0"/>
    <x v="14"/>
    <n v="179902"/>
    <n v="595"/>
    <m/>
    <n v="180497"/>
    <m/>
  </r>
  <r>
    <x v="6"/>
    <x v="18"/>
    <x v="8"/>
    <x v="4"/>
    <x v="2"/>
    <x v="9"/>
    <x v="13"/>
    <x v="15"/>
    <x v="15"/>
    <x v="15"/>
    <x v="9"/>
    <x v="0"/>
    <x v="15"/>
    <x v="15"/>
    <x v="10"/>
    <x v="0"/>
    <x v="15"/>
    <n v="14635"/>
    <n v="2"/>
    <m/>
    <n v="14637"/>
    <m/>
  </r>
  <r>
    <x v="6"/>
    <x v="19"/>
    <x v="5"/>
    <x v="4"/>
    <x v="2"/>
    <x v="15"/>
    <x v="14"/>
    <x v="16"/>
    <x v="16"/>
    <x v="16"/>
    <x v="10"/>
    <x v="0"/>
    <x v="16"/>
    <x v="16"/>
    <x v="11"/>
    <x v="0"/>
    <x v="16"/>
    <n v="57449"/>
    <n v="11"/>
    <m/>
    <n v="57460"/>
    <m/>
  </r>
  <r>
    <x v="6"/>
    <x v="20"/>
    <x v="13"/>
    <x v="4"/>
    <x v="2"/>
    <x v="16"/>
    <x v="15"/>
    <x v="17"/>
    <x v="17"/>
    <x v="17"/>
    <x v="9"/>
    <x v="0"/>
    <x v="17"/>
    <x v="17"/>
    <x v="12"/>
    <x v="0"/>
    <x v="17"/>
    <n v="11618"/>
    <n v="2"/>
    <m/>
    <n v="11620"/>
    <m/>
  </r>
  <r>
    <x v="6"/>
    <x v="21"/>
    <x v="14"/>
    <x v="4"/>
    <x v="2"/>
    <x v="17"/>
    <x v="16"/>
    <x v="18"/>
    <x v="18"/>
    <x v="18"/>
    <x v="6"/>
    <x v="0"/>
    <x v="18"/>
    <x v="18"/>
    <x v="7"/>
    <x v="0"/>
    <x v="18"/>
    <n v="8946"/>
    <n v="0"/>
    <m/>
    <n v="8946"/>
    <m/>
  </r>
  <r>
    <x v="7"/>
    <x v="22"/>
    <x v="1"/>
    <x v="4"/>
    <x v="3"/>
    <x v="13"/>
    <x v="11"/>
    <x v="19"/>
    <x v="19"/>
    <x v="19"/>
    <x v="11"/>
    <x v="0"/>
    <x v="19"/>
    <x v="19"/>
    <x v="13"/>
    <x v="0"/>
    <x v="19"/>
    <n v="7203"/>
    <n v="3"/>
    <m/>
    <n v="7206"/>
    <m/>
  </r>
  <r>
    <x v="7"/>
    <x v="23"/>
    <x v="0"/>
    <x v="4"/>
    <x v="2"/>
    <x v="0"/>
    <x v="12"/>
    <x v="14"/>
    <x v="20"/>
    <x v="20"/>
    <x v="12"/>
    <x v="0"/>
    <x v="20"/>
    <x v="20"/>
    <x v="14"/>
    <x v="0"/>
    <x v="20"/>
    <n v="9806"/>
    <n v="10"/>
    <m/>
    <n v="9816"/>
    <m/>
  </r>
  <r>
    <x v="8"/>
    <x v="24"/>
    <x v="11"/>
    <x v="4"/>
    <x v="2"/>
    <x v="13"/>
    <x v="17"/>
    <x v="20"/>
    <x v="21"/>
    <x v="21"/>
    <x v="6"/>
    <x v="0"/>
    <x v="21"/>
    <x v="21"/>
    <x v="7"/>
    <x v="0"/>
    <x v="21"/>
    <n v="4162923"/>
    <n v="0"/>
    <m/>
    <n v="4162923"/>
    <m/>
  </r>
  <r>
    <x v="8"/>
    <x v="25"/>
    <x v="15"/>
    <x v="6"/>
    <x v="4"/>
    <x v="18"/>
    <x v="18"/>
    <x v="21"/>
    <x v="7"/>
    <x v="22"/>
    <x v="13"/>
    <x v="0"/>
    <x v="22"/>
    <x v="22"/>
    <x v="1"/>
    <x v="0"/>
    <x v="22"/>
    <n v="77915142"/>
    <n v="5739"/>
    <m/>
    <n v="77920881"/>
    <m/>
  </r>
  <r>
    <x v="8"/>
    <x v="26"/>
    <x v="16"/>
    <x v="4"/>
    <x v="2"/>
    <x v="19"/>
    <x v="19"/>
    <x v="22"/>
    <x v="22"/>
    <x v="23"/>
    <x v="6"/>
    <x v="0"/>
    <x v="23"/>
    <x v="23"/>
    <x v="7"/>
    <x v="0"/>
    <x v="23"/>
    <n v="9913743"/>
    <n v="0"/>
    <m/>
    <n v="9913743"/>
    <m/>
  </r>
  <r>
    <x v="8"/>
    <x v="27"/>
    <x v="17"/>
    <x v="9"/>
    <x v="2"/>
    <x v="4"/>
    <x v="20"/>
    <x v="23"/>
    <x v="23"/>
    <x v="24"/>
    <x v="14"/>
    <x v="0"/>
    <x v="24"/>
    <x v="24"/>
    <x v="15"/>
    <x v="0"/>
    <x v="24"/>
    <n v="26621910"/>
    <n v="1141"/>
    <m/>
    <n v="26623051"/>
    <m/>
  </r>
  <r>
    <x v="8"/>
    <x v="28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8"/>
    <x v="29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9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0"/>
    <x v="31"/>
    <x v="13"/>
    <x v="6"/>
    <x v="2"/>
    <x v="20"/>
    <x v="21"/>
    <x v="24"/>
    <x v="10"/>
    <x v="25"/>
    <x v="15"/>
    <x v="0"/>
    <x v="25"/>
    <x v="25"/>
    <x v="16"/>
    <x v="0"/>
    <x v="25"/>
    <n v="31871882"/>
    <m/>
    <m/>
    <n v="31871882"/>
    <n v="4285"/>
  </r>
  <r>
    <x v="11"/>
    <x v="32"/>
    <x v="18"/>
    <x v="4"/>
    <x v="2"/>
    <x v="11"/>
    <x v="22"/>
    <x v="25"/>
    <x v="10"/>
    <x v="26"/>
    <x v="16"/>
    <x v="0"/>
    <x v="26"/>
    <x v="26"/>
    <x v="17"/>
    <x v="0"/>
    <x v="26"/>
    <n v="25450187"/>
    <n v="6284"/>
    <m/>
    <n v="25456471"/>
    <m/>
  </r>
  <r>
    <x v="11"/>
    <x v="32"/>
    <x v="10"/>
    <x v="8"/>
    <x v="2"/>
    <x v="9"/>
    <x v="22"/>
    <x v="25"/>
    <x v="10"/>
    <x v="27"/>
    <x v="4"/>
    <x v="0"/>
    <x v="27"/>
    <x v="27"/>
    <x v="18"/>
    <x v="0"/>
    <x v="27"/>
    <n v="11746813"/>
    <n v="2900"/>
    <m/>
    <n v="11749713"/>
    <m/>
  </r>
  <r>
    <x v="3"/>
    <x v="33"/>
    <x v="8"/>
    <x v="4"/>
    <x v="2"/>
    <x v="9"/>
    <x v="23"/>
    <x v="9"/>
    <x v="9"/>
    <x v="9"/>
    <x v="5"/>
    <x v="0"/>
    <x v="9"/>
    <x v="9"/>
    <x v="5"/>
    <x v="0"/>
    <x v="9"/>
    <n v="6027873"/>
    <n v="40700"/>
    <m/>
    <n v="6068573"/>
    <n v="2072"/>
  </r>
  <r>
    <x v="12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3"/>
    <x v="34"/>
    <x v="19"/>
    <x v="4"/>
    <x v="2"/>
    <x v="21"/>
    <x v="14"/>
    <x v="26"/>
    <x v="12"/>
    <x v="28"/>
    <x v="6"/>
    <x v="0"/>
    <x v="28"/>
    <x v="28"/>
    <x v="0"/>
    <x v="0"/>
    <x v="28"/>
    <n v="710311"/>
    <m/>
    <m/>
    <n v="710311"/>
    <n v="229"/>
  </r>
  <r>
    <x v="13"/>
    <x v="35"/>
    <x v="19"/>
    <x v="4"/>
    <x v="2"/>
    <x v="21"/>
    <x v="14"/>
    <x v="26"/>
    <x v="12"/>
    <x v="29"/>
    <x v="0"/>
    <x v="0"/>
    <x v="29"/>
    <x v="29"/>
    <x v="0"/>
    <x v="0"/>
    <x v="29"/>
    <n v="893224"/>
    <m/>
    <m/>
    <n v="893224"/>
    <n v="259"/>
  </r>
  <r>
    <x v="13"/>
    <x v="36"/>
    <x v="19"/>
    <x v="4"/>
    <x v="2"/>
    <x v="21"/>
    <x v="24"/>
    <x v="26"/>
    <x v="12"/>
    <x v="30"/>
    <x v="0"/>
    <x v="0"/>
    <x v="30"/>
    <x v="30"/>
    <x v="0"/>
    <x v="0"/>
    <x v="30"/>
    <n v="982216"/>
    <m/>
    <m/>
    <n v="982216"/>
    <n v="325"/>
  </r>
  <r>
    <x v="13"/>
    <x v="37"/>
    <x v="19"/>
    <x v="4"/>
    <x v="2"/>
    <x v="21"/>
    <x v="24"/>
    <x v="26"/>
    <x v="12"/>
    <x v="31"/>
    <x v="0"/>
    <x v="0"/>
    <x v="31"/>
    <x v="31"/>
    <x v="0"/>
    <x v="0"/>
    <x v="31"/>
    <n v="926178"/>
    <m/>
    <m/>
    <n v="926178"/>
    <n v="354"/>
  </r>
  <r>
    <x v="14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5"/>
    <x v="38"/>
    <x v="19"/>
    <x v="4"/>
    <x v="2"/>
    <x v="21"/>
    <x v="25"/>
    <x v="27"/>
    <x v="24"/>
    <x v="32"/>
    <x v="17"/>
    <x v="0"/>
    <x v="32"/>
    <x v="32"/>
    <x v="19"/>
    <x v="0"/>
    <x v="32"/>
    <n v="571660"/>
    <n v="29483"/>
    <m/>
    <n v="601143"/>
    <n v="365"/>
  </r>
  <r>
    <x v="15"/>
    <x v="39"/>
    <x v="10"/>
    <x v="5"/>
    <x v="2"/>
    <x v="21"/>
    <x v="25"/>
    <x v="27"/>
    <x v="24"/>
    <x v="33"/>
    <x v="18"/>
    <x v="0"/>
    <x v="33"/>
    <x v="33"/>
    <x v="20"/>
    <x v="0"/>
    <x v="33"/>
    <n v="100220"/>
    <n v="22311"/>
    <m/>
    <n v="122531"/>
    <n v="365"/>
  </r>
  <r>
    <x v="15"/>
    <x v="40"/>
    <x v="10"/>
    <x v="5"/>
    <x v="2"/>
    <x v="21"/>
    <x v="25"/>
    <x v="28"/>
    <x v="12"/>
    <x v="34"/>
    <x v="19"/>
    <x v="0"/>
    <x v="34"/>
    <x v="34"/>
    <x v="17"/>
    <x v="0"/>
    <x v="34"/>
    <n v="199640"/>
    <n v="36655"/>
    <m/>
    <n v="236295"/>
    <n v="365"/>
  </r>
  <r>
    <x v="15"/>
    <x v="40"/>
    <x v="10"/>
    <x v="5"/>
    <x v="2"/>
    <x v="21"/>
    <x v="25"/>
    <x v="28"/>
    <x v="12"/>
    <x v="35"/>
    <x v="6"/>
    <x v="0"/>
    <x v="35"/>
    <x v="35"/>
    <x v="7"/>
    <x v="0"/>
    <x v="35"/>
    <n v="0"/>
    <n v="0"/>
    <m/>
    <n v="0"/>
    <n v="365"/>
  </r>
  <r>
    <x v="15"/>
    <x v="41"/>
    <x v="10"/>
    <x v="5"/>
    <x v="2"/>
    <x v="21"/>
    <x v="26"/>
    <x v="28"/>
    <x v="24"/>
    <x v="35"/>
    <x v="6"/>
    <x v="0"/>
    <x v="35"/>
    <x v="35"/>
    <x v="7"/>
    <x v="0"/>
    <x v="35"/>
    <n v="0"/>
    <n v="0"/>
    <m/>
    <n v="0"/>
    <n v="365"/>
  </r>
  <r>
    <x v="16"/>
    <x v="42"/>
    <x v="19"/>
    <x v="4"/>
    <x v="2"/>
    <x v="21"/>
    <x v="27"/>
    <x v="29"/>
    <x v="25"/>
    <x v="35"/>
    <x v="20"/>
    <x v="0"/>
    <x v="36"/>
    <x v="35"/>
    <x v="21"/>
    <x v="0"/>
    <x v="36"/>
    <n v="0"/>
    <n v="197784.2"/>
    <m/>
    <n v="197784.2"/>
    <n v="170"/>
  </r>
  <r>
    <x v="16"/>
    <x v="43"/>
    <x v="10"/>
    <x v="5"/>
    <x v="2"/>
    <x v="21"/>
    <x v="26"/>
    <x v="30"/>
    <x v="26"/>
    <x v="36"/>
    <x v="6"/>
    <x v="0"/>
    <x v="37"/>
    <x v="36"/>
    <x v="7"/>
    <x v="0"/>
    <x v="37"/>
    <n v="6089.4"/>
    <n v="0"/>
    <m/>
    <n v="6089.4"/>
    <n v="16"/>
  </r>
  <r>
    <x v="17"/>
    <x v="43"/>
    <x v="10"/>
    <x v="1"/>
    <x v="2"/>
    <x v="1"/>
    <x v="28"/>
    <x v="31"/>
    <x v="27"/>
    <x v="37"/>
    <x v="6"/>
    <x v="0"/>
    <x v="38"/>
    <x v="37"/>
    <x v="7"/>
    <x v="0"/>
    <x v="38"/>
    <n v="53091"/>
    <m/>
    <m/>
    <n v="53091"/>
    <n v="99"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9"/>
    <x v="30"/>
    <x v="20"/>
    <x v="10"/>
    <x v="1"/>
    <x v="22"/>
    <x v="29"/>
    <x v="32"/>
    <x v="28"/>
    <x v="38"/>
    <x v="21"/>
    <x v="1"/>
    <x v="39"/>
    <x v="38"/>
    <x v="22"/>
    <x v="1"/>
    <x v="39"/>
    <n v="71309536"/>
    <n v="1080"/>
    <n v="0"/>
    <n v="71310620"/>
    <n v="48033"/>
  </r>
  <r>
    <x v="20"/>
    <x v="30"/>
    <x v="21"/>
    <x v="11"/>
    <x v="1"/>
    <x v="23"/>
    <x v="30"/>
    <x v="33"/>
    <x v="29"/>
    <x v="39"/>
    <x v="22"/>
    <x v="1"/>
    <x v="40"/>
    <x v="39"/>
    <x v="23"/>
    <x v="1"/>
    <x v="40"/>
    <n v="6725932"/>
    <n v="41529"/>
    <n v="0"/>
    <n v="6767461"/>
    <n v="60517"/>
  </r>
  <r>
    <x v="21"/>
    <x v="30"/>
    <x v="22"/>
    <x v="12"/>
    <x v="5"/>
    <x v="24"/>
    <x v="31"/>
    <x v="34"/>
    <x v="30"/>
    <x v="40"/>
    <x v="23"/>
    <x v="1"/>
    <x v="41"/>
    <x v="40"/>
    <x v="24"/>
    <x v="1"/>
    <x v="41"/>
    <n v="276205579.39999998"/>
    <n v="385619.20000000001"/>
    <n v="0"/>
    <n v="276591202.59999996"/>
    <n v="118184"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21">
  <r>
    <x v="0"/>
    <n v="224005.6"/>
    <n v="207741.6"/>
    <n v="1203.8"/>
    <n v="14484"/>
    <n v="576.20000000000005"/>
    <m/>
    <m/>
    <n v="15343.6"/>
    <n v="15343.6"/>
    <m/>
    <n v="15739.1"/>
    <n v="15739.1"/>
    <m/>
    <n v="255088.3"/>
    <n v="146405.4"/>
    <n v="14193.4"/>
    <n v="100344.6"/>
    <n v="941.3"/>
    <n v="30926.1"/>
    <m/>
    <n v="34762.1"/>
    <n v="15879.3"/>
    <m/>
    <m/>
    <m/>
    <m/>
    <n v="19188.2"/>
    <m/>
    <m/>
    <m/>
    <n v="10251.700000000001"/>
    <m/>
    <n v="10251.700000000001"/>
    <n v="6475.6"/>
    <n v="5634.8"/>
    <n v="840.8"/>
    <n v="39568.9"/>
    <n v="29409.7"/>
    <n v="15878.3"/>
    <n v="13531.4"/>
    <n v="301940.90000000002"/>
    <n v="-46852.6"/>
    <n v="47113"/>
    <m/>
    <m/>
    <n v="-1225.5999999999999"/>
    <m/>
    <m/>
    <n v="-7992"/>
    <n v="37895.4"/>
    <n v="-84748"/>
    <m/>
    <m/>
    <m/>
    <n v="-84748"/>
    <n v="815.6"/>
    <n v="-85563.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n v="40944.22"/>
    <n v="39645.03"/>
    <n v="623.95000000000005"/>
    <n v="675.24"/>
    <m/>
    <m/>
    <m/>
    <m/>
    <m/>
    <m/>
    <n v="771.44"/>
    <n v="0"/>
    <n v="771.44"/>
    <n v="41715.660000000003"/>
    <n v="27729.61"/>
    <n v="2930.86"/>
    <n v="15214.58"/>
    <n v="138.18"/>
    <n v="3397.38"/>
    <n v="6048.61"/>
    <n v="866.62"/>
    <n v="2607.8200000000002"/>
    <n v="2622.7"/>
    <m/>
    <n v="0.01"/>
    <n v="-14.89"/>
    <n v="5338.79"/>
    <n v="5338.79"/>
    <n v="0"/>
    <m/>
    <m/>
    <m/>
    <m/>
    <n v="114.2"/>
    <n v="61.06"/>
    <n v="53.14"/>
    <m/>
    <n v="721.02"/>
    <n v="0"/>
    <n v="721.02"/>
    <n v="37378.06"/>
    <n v="4337.6000000000004"/>
    <n v="2951.34"/>
    <n v="2663.94"/>
    <n v="287.39999999999998"/>
    <m/>
    <m/>
    <m/>
    <n v="-299.63"/>
    <n v="2651.71"/>
    <n v="1685.89"/>
    <n v="42"/>
    <m/>
    <m/>
    <n v="1643.89"/>
    <n v="-28.01"/>
    <n v="1615.8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2"/>
    <n v="6990.7999999999993"/>
    <n v="6916"/>
    <n v="0.5"/>
    <n v="2.9"/>
    <n v="71.400000000000006"/>
    <m/>
    <m/>
    <m/>
    <m/>
    <m/>
    <n v="1225.4000000000001"/>
    <n v="1225.4000000000001"/>
    <m/>
    <n v="8216.1"/>
    <n v="5684.1"/>
    <n v="1058.5"/>
    <n v="2065.1"/>
    <n v="38.1"/>
    <n v="2122.5"/>
    <n v="399.9"/>
    <n v="2121.3000000000002"/>
    <n v="15.7"/>
    <n v="0"/>
    <n v="0"/>
    <n v="15.7"/>
    <m/>
    <n v="259.7"/>
    <n v="35.5"/>
    <n v="224.3"/>
    <n v="159.19999999999999"/>
    <n v="331.9"/>
    <n v="125.3"/>
    <n v="206.6"/>
    <n v="164.7"/>
    <n v="164.7"/>
    <m/>
    <n v="50.7"/>
    <n v="1159.2"/>
    <m/>
    <m/>
    <n v="9946.5"/>
    <n v="-1730.4"/>
    <n v="1382.6"/>
    <n v="1382.6"/>
    <m/>
    <m/>
    <m/>
    <m/>
    <n v="-147.4"/>
    <n v="1235.2"/>
    <n v="-2965.6"/>
    <m/>
    <m/>
    <m/>
    <m/>
    <m/>
    <n v="-2965.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3"/>
    <n v="50453.599999999999"/>
    <n v="49058.79"/>
    <n v="333.01"/>
    <n v="1061.8"/>
    <m/>
    <m/>
    <m/>
    <n v="0"/>
    <m/>
    <m/>
    <n v="14304"/>
    <m/>
    <n v="14304"/>
    <n v="64757.599999999999"/>
    <n v="37579.629999999997"/>
    <m/>
    <n v="22640.3"/>
    <n v="134.80000000000001"/>
    <n v="13043.84"/>
    <n v="1760.7"/>
    <n v="9377.4699999999993"/>
    <n v="160.69999999999999"/>
    <m/>
    <m/>
    <n v="160.69999999999999"/>
    <m/>
    <n v="5342.1"/>
    <n v="3967.59"/>
    <n v="1374.51"/>
    <m/>
    <n v="0"/>
    <m/>
    <m/>
    <n v="1285.8"/>
    <n v="1285.8"/>
    <m/>
    <n v="10285.01"/>
    <n v="0"/>
    <m/>
    <m/>
    <n v="64030.71"/>
    <n v="726.89"/>
    <n v="2214.1999999999998"/>
    <n v="2214.1999999999998"/>
    <m/>
    <m/>
    <m/>
    <m/>
    <m/>
    <n v="2214.1999999999998"/>
    <n v="-1487.31"/>
    <n v="-803.71"/>
    <m/>
    <m/>
    <n v="-683.6"/>
    <n v="1913.4"/>
    <n v="1229.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4"/>
    <n v="277674.02"/>
    <n v="263945.3"/>
    <n v="5528.3"/>
    <n v="8200.42"/>
    <m/>
    <m/>
    <m/>
    <m/>
    <m/>
    <m/>
    <n v="7293.7"/>
    <n v="7293.7"/>
    <m/>
    <n v="284967.71999999997"/>
    <n v="188835.81"/>
    <n v="18986.03"/>
    <n v="119427.93"/>
    <n v="427.36"/>
    <n v="49994.49"/>
    <m/>
    <n v="22108.93"/>
    <n v="7595.8"/>
    <n v="2200.5100000000002"/>
    <n v="3671.14"/>
    <n v="1449.91"/>
    <n v="274.24"/>
    <n v="30237.32"/>
    <n v="24473.52"/>
    <n v="5763.8"/>
    <m/>
    <n v="5031.8"/>
    <n v="3694.91"/>
    <n v="1336.89"/>
    <n v="7389.88"/>
    <n v="4961.16"/>
    <n v="2428.7199999999998"/>
    <n v="5839.8"/>
    <n v="22832.69"/>
    <n v="10203.200000000001"/>
    <n v="12629.49"/>
    <n v="289872.03000000003"/>
    <n v="-4904.3100000000004"/>
    <n v="-5089.63"/>
    <n v="-473.56"/>
    <n v="-4616.07"/>
    <n v="-71.02"/>
    <m/>
    <m/>
    <n v="8574.49"/>
    <n v="3413.84"/>
    <n v="-1490.47"/>
    <n v="3051.82"/>
    <m/>
    <m/>
    <n v="1561.35"/>
    <n v="0"/>
    <n v="1561.3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7"/>
    <n v="88374.91"/>
    <n v="84178.174180000002"/>
    <n v="1117.615816"/>
    <n v="3079.12"/>
    <m/>
    <m/>
    <m/>
    <m/>
    <m/>
    <m/>
    <n v="2757.63"/>
    <n v="1914"/>
    <n v="843.63"/>
    <n v="91132.54"/>
    <n v="47781.39"/>
    <m/>
    <n v="34452.519999999997"/>
    <n v="361.71"/>
    <n v="12967.16"/>
    <m/>
    <m/>
    <n v="2562.3000000000002"/>
    <m/>
    <n v="2043.82"/>
    <n v="148.09"/>
    <n v="370.39"/>
    <n v="7520.54"/>
    <n v="4944.307116"/>
    <n v="2576.232884"/>
    <m/>
    <m/>
    <m/>
    <m/>
    <n v="2074.41"/>
    <n v="1060.56"/>
    <n v="1013.85"/>
    <n v="5224.66"/>
    <n v="28630.3"/>
    <m/>
    <m/>
    <n v="93793.600000000006"/>
    <n v="-2661.06"/>
    <n v="-1312.84"/>
    <n v="-961.43975239999997"/>
    <n v="-351.4002476"/>
    <m/>
    <m/>
    <m/>
    <n v="813.1"/>
    <n v="-499.74"/>
    <n v="-3160.8"/>
    <m/>
    <m/>
    <m/>
    <m/>
    <m/>
    <n v="-3160.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8"/>
    <n v="24726.2"/>
    <n v="24105.15"/>
    <n v="228.65"/>
    <n v="392.4"/>
    <m/>
    <m/>
    <m/>
    <m/>
    <m/>
    <m/>
    <n v="390.2"/>
    <n v="267.2"/>
    <n v="123"/>
    <n v="25116.400000000001"/>
    <n v="23205.99"/>
    <n v="1997.2"/>
    <n v="13718.2"/>
    <n v="95.2"/>
    <n v="7395.4"/>
    <m/>
    <n v="1392"/>
    <n v="134.19999999999999"/>
    <n v="97"/>
    <m/>
    <m/>
    <n v="36.799999999999997"/>
    <n v="3197.7"/>
    <n v="2364.1"/>
    <n v="833.6"/>
    <m/>
    <n v="697.74"/>
    <n v="399.7"/>
    <n v="298"/>
    <n v="839.5"/>
    <n v="152.9"/>
    <n v="686.6"/>
    <n v="2679.67"/>
    <m/>
    <m/>
    <m/>
    <n v="32146.799999999999"/>
    <n v="-7030.4"/>
    <n v="35.799999999999997"/>
    <n v="35.799999999999997"/>
    <m/>
    <m/>
    <m/>
    <m/>
    <n v="274"/>
    <n v="310"/>
    <n v="-6720.4"/>
    <n v="0"/>
    <n v="0"/>
    <n v="0"/>
    <n v="-6720.4"/>
    <n v="0"/>
    <n v="-6720.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9"/>
    <n v="28417.200000000001"/>
    <n v="27254.799999999999"/>
    <n v="180.2"/>
    <n v="0"/>
    <n v="982.2"/>
    <m/>
    <m/>
    <n v="0"/>
    <m/>
    <m/>
    <n v="1526.6"/>
    <n v="1159.5"/>
    <n v="367.1"/>
    <n v="29943.8"/>
    <n v="21546.7"/>
    <n v="2040"/>
    <n v="13071.5"/>
    <n v="85.1"/>
    <n v="6175.8"/>
    <n v="174.2"/>
    <n v="4932"/>
    <n v="220.2"/>
    <m/>
    <m/>
    <m/>
    <m/>
    <n v="3095.4"/>
    <n v="2371.3000000000002"/>
    <n v="724.1"/>
    <n v="129.9"/>
    <n v="768.1"/>
    <n v="768.1"/>
    <m/>
    <n v="2185.9"/>
    <n v="552.1"/>
    <n v="1633.8"/>
    <n v="2732.9"/>
    <n v="3337.6"/>
    <n v="2946.6"/>
    <n v="391"/>
    <n v="38948.5"/>
    <n v="-9004.7000000000007"/>
    <m/>
    <m/>
    <m/>
    <n v="-37.200000000000003"/>
    <m/>
    <m/>
    <n v="733.9"/>
    <n v="696.7"/>
    <n v="-8308.1"/>
    <n v="0"/>
    <m/>
    <m/>
    <n v="-8308.1"/>
    <n v="-8.1999999999999993"/>
    <n v="-8316.2000000000007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0"/>
    <n v="7431"/>
    <m/>
    <m/>
    <n v="7431"/>
    <m/>
    <m/>
    <m/>
    <m/>
    <m/>
    <m/>
    <n v="150"/>
    <m/>
    <n v="150"/>
    <n v="7581"/>
    <n v="4848"/>
    <n v="396"/>
    <n v="2384"/>
    <n v="23"/>
    <n v="846"/>
    <n v="1199"/>
    <n v="260.3"/>
    <n v="798.5"/>
    <n v="639"/>
    <m/>
    <n v="57"/>
    <n v="102.5"/>
    <n v="365"/>
    <n v="242"/>
    <n v="123"/>
    <m/>
    <m/>
    <m/>
    <m/>
    <m/>
    <m/>
    <m/>
    <n v="929"/>
    <m/>
    <m/>
    <m/>
    <n v="7201"/>
    <n v="380"/>
    <n v="323"/>
    <n v="323"/>
    <m/>
    <m/>
    <m/>
    <m/>
    <m/>
    <n v="323"/>
    <n v="57"/>
    <n v="-36"/>
    <m/>
    <m/>
    <n v="21"/>
    <m/>
    <n v="2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1"/>
    <n v="2654.824349"/>
    <n v="2643.454608"/>
    <n v="11.369740999999999"/>
    <m/>
    <m/>
    <m/>
    <m/>
    <m/>
    <m/>
    <m/>
    <n v="27.10033"/>
    <m/>
    <n v="27.10033"/>
    <n v="2681.9246779999999"/>
    <n v="1963.269646"/>
    <n v="507.53666800000002"/>
    <n v="530.58040900000003"/>
    <n v="29.010102"/>
    <n v="616.72474099999999"/>
    <n v="279.41772600000002"/>
    <n v="555.29040499999996"/>
    <n v="46.483308999999998"/>
    <n v="46.483319000000002"/>
    <m/>
    <m/>
    <m/>
    <n v="199.820311"/>
    <n v="199.820311"/>
    <m/>
    <m/>
    <m/>
    <m/>
    <m/>
    <n v="18.737027000000001"/>
    <n v="18.737027000000001"/>
    <m/>
    <m/>
    <n v="73.970577000000006"/>
    <n v="73.970577000000006"/>
    <m/>
    <n v="2857.5712840000001"/>
    <m/>
    <m/>
    <m/>
    <m/>
    <m/>
    <m/>
    <m/>
    <m/>
    <m/>
    <n v="-175.64660599999999"/>
    <n v="13.442473"/>
    <m/>
    <m/>
    <m/>
    <m/>
    <n v="-162.2041330000000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2"/>
    <n v="12.827"/>
    <n v="12.802"/>
    <n v="2.4E-2"/>
    <n v="0"/>
    <n v="0"/>
    <m/>
    <m/>
    <n v="0"/>
    <m/>
    <m/>
    <n v="37.546999999999997"/>
    <n v="16.515000000000001"/>
    <n v="21.030999999999999"/>
    <n v="50.372999999999998"/>
    <n v="48.069000000000003"/>
    <n v="25.042999999999999"/>
    <n v="21.786999999999999"/>
    <n v="1.238"/>
    <m/>
    <m/>
    <n v="18.655999999999999"/>
    <n v="34.573"/>
    <n v="28.475000000000001"/>
    <n v="0"/>
    <n v="6.0979999999999999"/>
    <m/>
    <n v="5.8070000000000004"/>
    <n v="3.996"/>
    <n v="1.8109999999999999"/>
    <n v="3.31"/>
    <n v="0.81299999999999994"/>
    <n v="0.67500000000000004"/>
    <n v="0.13800000000000001"/>
    <n v="4.4939999999999998"/>
    <n v="9.7000000000000003E-2"/>
    <n v="4.3959999999999999"/>
    <n v="87.575000000000003"/>
    <n v="8.8130000000000006"/>
    <m/>
    <n v="8.8126499999999997"/>
    <n v="212.10900000000001"/>
    <n v="-161.73599999999999"/>
    <n v="4.609"/>
    <n v="4.6087850000000001"/>
    <m/>
    <m/>
    <m/>
    <m/>
    <m/>
    <n v="4.609"/>
    <n v="-166.34399999999999"/>
    <n v="0"/>
    <m/>
    <m/>
    <n v="-166.34399999999999"/>
    <n v="0"/>
    <n v="-166.3439999999999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3"/>
    <n v="2.9796610000000001"/>
    <n v="2.9796610000000001"/>
    <m/>
    <m/>
    <m/>
    <m/>
    <m/>
    <m/>
    <m/>
    <m/>
    <m/>
    <m/>
    <m/>
    <n v="2.9796610000000001"/>
    <n v="5.3041840000000002"/>
    <n v="1.9611149999999999"/>
    <n v="0.62661100000000003"/>
    <n v="2.4"/>
    <n v="2.8868999999999998"/>
    <m/>
    <n v="4.6772369999999999"/>
    <n v="0.37316500000000002"/>
    <m/>
    <m/>
    <m/>
    <n v="0.37316500000000002"/>
    <n v="7.9091999999999996E-2"/>
    <n v="7.9091999999999996E-2"/>
    <m/>
    <n v="9.3075000000000005E-2"/>
    <n v="0.13489300000000001"/>
    <m/>
    <n v="0.13489300000000001"/>
    <n v="2.2339999999999999E-2"/>
    <n v="2.2339999999999999E-2"/>
    <m/>
    <n v="0.24388099999999999"/>
    <n v="2.0924649999999998"/>
    <n v="0.36099999999999999"/>
    <n v="1.731465"/>
    <n v="20.894957999999999"/>
    <n v="-17.915296949999998"/>
    <m/>
    <m/>
    <m/>
    <m/>
    <m/>
    <m/>
    <m/>
    <m/>
    <n v="-17.915296949999998"/>
    <m/>
    <m/>
    <m/>
    <n v="-17.915296949999998"/>
    <m/>
    <n v="-17.91529694999999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7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4"/>
    <n v="271940.62"/>
    <n v="254302.63"/>
    <n v="1828.25"/>
    <n v="15162.14"/>
    <n v="647.6"/>
    <n v="0"/>
    <n v="0"/>
    <n v="15343.6"/>
    <n v="15343.6"/>
    <n v="0"/>
    <n v="17735.940000000002"/>
    <n v="16964.5"/>
    <n v="771.44"/>
    <n v="305020.05999999994"/>
    <n v="179819.11000000002"/>
    <n v="18182.759999999998"/>
    <n v="117624.28000000001"/>
    <n v="1117.58"/>
    <n v="36445.979999999996"/>
    <n v="6448.5099999999993"/>
    <n v="37750.020000000004"/>
    <n v="18502.82"/>
    <n v="2622.7"/>
    <n v="0"/>
    <n v="15.709999999999999"/>
    <n v="-14.89"/>
    <n v="24786.690000000002"/>
    <n v="5374.29"/>
    <n v="224.3"/>
    <n v="159.19999999999999"/>
    <n v="10583.6"/>
    <n v="125.3"/>
    <n v="10458.300000000001"/>
    <n v="6754.5"/>
    <n v="5860.56"/>
    <n v="893.93999999999994"/>
    <n v="39619.599999999999"/>
    <n v="31289.920000000002"/>
    <n v="15878.3"/>
    <n v="14252.42"/>
    <n v="349265.46"/>
    <n v="-44245.4"/>
    <n v="51446.939999999995"/>
    <n v="4046.54"/>
    <n v="287.39999999999998"/>
    <n v="-1225.5999999999999"/>
    <n v="0"/>
    <n v="0"/>
    <n v="-8439.0299999999988"/>
    <n v="41782.31"/>
    <n v="-86027.71"/>
    <n v="42"/>
    <n v="0"/>
    <n v="0"/>
    <n v="-83104.11"/>
    <n v="787.59"/>
    <n v="-86913.3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4"/>
    <n v="479747.56100999995"/>
    <n v="451201.450449"/>
    <n v="7399.1695570000011"/>
    <n v="20164.740000000005"/>
    <n v="982.20000000000016"/>
    <n v="0"/>
    <n v="0"/>
    <n v="0"/>
    <n v="0"/>
    <n v="0"/>
    <n v="26486.77732999999"/>
    <n v="10650.915000000001"/>
    <n v="15835.861329999998"/>
    <n v="506234.33733900008"/>
    <n v="325814.16283000004"/>
    <n v="23953.770782999989"/>
    <n v="206247.44402"/>
    <n v="1159.8181019999997"/>
    <n v="91042.301640999998"/>
    <n v="3413.3177260000002"/>
    <n v="38649.323642000018"/>
    <n v="11553.129474000001"/>
    <n v="3011.4683190000005"/>
    <n v="5714.96"/>
    <n v="1821.798"/>
    <n v="784.30316499999992"/>
    <n v="49963.766402999987"/>
    <n v="38566.712519000008"/>
    <n v="11397.053884000003"/>
    <n v="133.30307500000004"/>
    <n v="6498.5878929999981"/>
    <n v="4863.3850000000002"/>
    <n v="1635.1628930000006"/>
    <n v="13798.743366999999"/>
    <n v="8031.376366999998"/>
    <n v="5767.3660000000009"/>
    <n v="27778.858881"/>
    <n v="54885.466042"/>
    <n v="13224.131577"/>
    <n v="13031.034115"/>
    <n v="529083.21524200006"/>
    <n v="-22673.231296949998"/>
    <n v="-3824.8609999999971"/>
    <n v="1142.6090326000003"/>
    <n v="-4967.4702475999993"/>
    <n v="-108.22000000000003"/>
    <n v="0"/>
    <n v="0"/>
    <n v="10395.49"/>
    <n v="6462.6089999999895"/>
    <n v="-21469.985902949993"/>
    <n v="2225.5524730000002"/>
    <n v="0"/>
    <n v="0"/>
    <n v="-14314.009296949996"/>
    <n v="1905.2000000000003"/>
    <n v="-15731.71342994998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8"/>
    <n v="751688.18100999994"/>
    <n v="705504.080449"/>
    <n v="9227.4195570000011"/>
    <n v="35326.880000000005"/>
    <n v="1629.8000000000002"/>
    <n v="0"/>
    <n v="0"/>
    <n v="15343.6"/>
    <n v="15343.6"/>
    <n v="0"/>
    <n v="44222.717329999992"/>
    <n v="27615.415000000001"/>
    <n v="16607.301329999998"/>
    <n v="811254.39733900002"/>
    <n v="505633.27283000009"/>
    <n v="42136.530782999987"/>
    <n v="323871.72402000002"/>
    <n v="2277.3981019999997"/>
    <n v="127488.28164099999"/>
    <n v="9861.8277259999995"/>
    <n v="76399.343642000022"/>
    <n v="30055.949474000001"/>
    <n v="5634.1683190000003"/>
    <n v="5714.96"/>
    <n v="1837.508"/>
    <n v="769.41316499999994"/>
    <n v="74750.456402999989"/>
    <n v="43941.002519000009"/>
    <n v="11621.353884000002"/>
    <n v="292.50307500000002"/>
    <n v="17082.187892999998"/>
    <n v="4988.6850000000004"/>
    <n v="12093.462893000002"/>
    <n v="20553.243366999999"/>
    <n v="13891.936366999998"/>
    <n v="6661.3060000000005"/>
    <n v="67398.458880999999"/>
    <n v="86175.386041999998"/>
    <n v="29102.431576999999"/>
    <n v="27283.454115"/>
    <n v="878348.67524200014"/>
    <n v="-66918.63129695"/>
    <n v="47622.078999999998"/>
    <n v="5189.1490326000003"/>
    <n v="-4680.0702475999997"/>
    <n v="-1333.82"/>
    <n v="0"/>
    <n v="0"/>
    <n v="1956.4600000000009"/>
    <n v="48244.918999999987"/>
    <n v="-107497.69590295"/>
    <n v="2267.5524730000002"/>
    <n v="0"/>
    <n v="0"/>
    <n v="-97418.119296949997"/>
    <n v="2692.7900000000004"/>
    <n v="-102645.0334299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count="55">
  <r>
    <x v="0"/>
    <s v="BOEING 747-400"/>
    <n v="5"/>
    <m/>
    <m/>
    <n v="5"/>
    <n v="423"/>
    <n v="53.4"/>
    <n v="378"/>
    <n v="1334"/>
    <m/>
    <m/>
    <n v="1334"/>
    <n v="5684"/>
    <m/>
    <m/>
    <n v="5684"/>
    <n v="5770"/>
    <m/>
    <m/>
    <n v="5770"/>
    <n v="1825"/>
  </r>
  <r>
    <x v="0"/>
    <s v="777-200LR"/>
    <n v="3"/>
    <m/>
    <m/>
    <n v="3"/>
    <n v="238"/>
    <n v="40.54"/>
    <n v="347"/>
    <n v="1634"/>
    <m/>
    <m/>
    <n v="1634"/>
    <n v="21221"/>
    <m/>
    <m/>
    <n v="21221"/>
    <n v="28119"/>
    <m/>
    <m/>
    <n v="28119"/>
    <n v="1095"/>
  </r>
  <r>
    <x v="0"/>
    <s v="777-300ER"/>
    <n v="15"/>
    <m/>
    <m/>
    <n v="15"/>
    <n v="342"/>
    <n v="57.59"/>
    <n v="351"/>
    <n v="9172"/>
    <n v="2"/>
    <m/>
    <n v="9174"/>
    <n v="77769"/>
    <n v="6"/>
    <m/>
    <n v="77775"/>
    <n v="114172"/>
    <n v="4"/>
    <m/>
    <n v="114176"/>
    <n v="5475"/>
  </r>
  <r>
    <x v="0"/>
    <s v="B-787"/>
    <n v="27"/>
    <m/>
    <m/>
    <n v="27"/>
    <n v="256"/>
    <n v="34.82"/>
    <n v="228"/>
    <n v="30735"/>
    <n v="4"/>
    <m/>
    <n v="30739"/>
    <n v="178352"/>
    <n v="6"/>
    <m/>
    <n v="178358"/>
    <n v="170228"/>
    <n v="4"/>
    <m/>
    <n v="170232"/>
    <n v="9855"/>
  </r>
  <r>
    <x v="0"/>
    <s v="A-319"/>
    <n v="22"/>
    <m/>
    <m/>
    <n v="22"/>
    <s v="122/144"/>
    <n v="13.18"/>
    <n v="70"/>
    <n v="57939"/>
    <n v="2746"/>
    <m/>
    <n v="60685"/>
    <n v="101191"/>
    <n v="3968"/>
    <m/>
    <n v="105159"/>
    <n v="56715"/>
    <n v="2125"/>
    <m/>
    <n v="58840"/>
    <n v="8030"/>
  </r>
  <r>
    <x v="0"/>
    <s v="A-320 "/>
    <n v="29"/>
    <n v="11"/>
    <n v="4"/>
    <n v="36"/>
    <s v="162/180"/>
    <n v="15.66"/>
    <n v="76"/>
    <n v="94434"/>
    <n v="2336"/>
    <m/>
    <n v="96770"/>
    <n v="217179"/>
    <n v="3329"/>
    <m/>
    <n v="220508"/>
    <n v="143382"/>
    <n v="1837"/>
    <m/>
    <n v="145219"/>
    <n v="13140"/>
  </r>
  <r>
    <x v="0"/>
    <s v="A-321"/>
    <n v="20"/>
    <m/>
    <m/>
    <n v="20"/>
    <n v="182"/>
    <n v="21.17"/>
    <n v="89"/>
    <n v="47651"/>
    <n v="68"/>
    <m/>
    <n v="47719"/>
    <n v="103890"/>
    <n v="109"/>
    <m/>
    <n v="103999"/>
    <n v="71562"/>
    <n v="56"/>
    <m/>
    <n v="71618"/>
    <n v="7300"/>
  </r>
  <r>
    <x v="1"/>
    <s v="Boeing B 737- 800"/>
    <n v="23"/>
    <n v="2"/>
    <m/>
    <n v="25"/>
    <s v="186/189"/>
    <n v="14.96"/>
    <n v="79.02"/>
    <n v="30864"/>
    <n v="0"/>
    <m/>
    <n v="30864"/>
    <n v="102412"/>
    <n v="0"/>
    <m/>
    <n v="102412"/>
    <n v="76177878"/>
    <n v="0"/>
    <m/>
    <n v="76177878"/>
    <n v="8605"/>
  </r>
  <r>
    <x v="2"/>
    <s v="ATR-72-600"/>
    <n v="14"/>
    <n v="4"/>
    <n v="0"/>
    <n v="18"/>
    <s v="70/72"/>
    <n v="4.2"/>
    <n v="23"/>
    <n v="26862"/>
    <m/>
    <m/>
    <n v="26862"/>
    <n v="47748"/>
    <m/>
    <m/>
    <n v="47748"/>
    <n v="21677"/>
    <m/>
    <m/>
    <n v="21677"/>
    <n v="5013"/>
  </r>
  <r>
    <x v="2"/>
    <s v="ATR 42-320"/>
    <n v="2"/>
    <n v="0"/>
    <n v="1"/>
    <n v="1"/>
    <n v="47"/>
    <n v="1.173"/>
    <n v="16.899999999999999"/>
    <n v="2119"/>
    <m/>
    <m/>
    <n v="2119"/>
    <n v="3945"/>
    <m/>
    <m/>
    <n v="3945"/>
    <n v="2144"/>
    <m/>
    <m/>
    <n v="2144"/>
    <n v="549"/>
  </r>
  <r>
    <x v="3"/>
    <s v="BOEING 757 - 200"/>
    <n v="6"/>
    <n v="0"/>
    <n v="0"/>
    <n v="6"/>
    <m/>
    <n v="36"/>
    <n v="109"/>
    <n v="5806"/>
    <n v="0"/>
    <m/>
    <n v="5806"/>
    <n v="10550"/>
    <n v="0"/>
    <m/>
    <n v="10550"/>
    <n v="5808107"/>
    <n v="0"/>
    <m/>
    <n v="5808107"/>
    <n v="2121"/>
  </r>
  <r>
    <x v="4"/>
    <s v="AIRBUS A320"/>
    <n v="32"/>
    <n v="17"/>
    <n v="0"/>
    <n v="49"/>
    <s v="180/186"/>
    <n v="12.2"/>
    <n v="73.5"/>
    <n v="80002"/>
    <n v="3"/>
    <m/>
    <n v="80005"/>
    <n v="13925"/>
    <n v="5"/>
    <m/>
    <n v="13930"/>
    <n v="79777"/>
    <n v="3"/>
    <m/>
    <n v="79780"/>
    <n v="11397"/>
  </r>
  <r>
    <x v="5"/>
    <s v="A320-200"/>
    <n v="153"/>
    <n v="59"/>
    <n v="11"/>
    <n v="201"/>
    <s v="180/186"/>
    <n v="20"/>
    <n v="63.8"/>
    <n v="419079"/>
    <n v="0"/>
    <m/>
    <n v="419079"/>
    <n v="810544"/>
    <n v="0"/>
    <m/>
    <n v="810544"/>
    <n v="443312"/>
    <n v="0"/>
    <m/>
    <n v="443312"/>
    <n v="62216"/>
  </r>
  <r>
    <x v="5"/>
    <s v="A321-271"/>
    <n v="0"/>
    <n v="1"/>
    <n v="0"/>
    <n v="1"/>
    <n v="222"/>
    <n v="22.4"/>
    <n v="24.7"/>
    <n v="339"/>
    <n v="0"/>
    <m/>
    <n v="339"/>
    <n v="668"/>
    <n v="0"/>
    <m/>
    <n v="668"/>
    <n v="364"/>
    <n v="0"/>
    <m/>
    <n v="364"/>
    <n v="72"/>
  </r>
  <r>
    <x v="5"/>
    <s v="AT7-72-600"/>
    <n v="6"/>
    <n v="9"/>
    <n v="0"/>
    <n v="15"/>
    <n v="74"/>
    <n v="7.4"/>
    <n v="17.5"/>
    <n v="29486"/>
    <n v="0"/>
    <m/>
    <n v="29486"/>
    <n v="42340"/>
    <n v="0"/>
    <m/>
    <n v="42340"/>
    <n v="12670"/>
    <n v="0"/>
    <m/>
    <n v="12670"/>
    <n v="3778"/>
  </r>
  <r>
    <x v="6"/>
    <s v="737 - 700"/>
    <n v="2"/>
    <n v="1"/>
    <n v="0"/>
    <n v="3"/>
    <n v="149"/>
    <n v="0.74"/>
    <n v="62"/>
    <n v="6001"/>
    <n v="0"/>
    <m/>
    <n v="6001"/>
    <n v="7609"/>
    <n v="0"/>
    <m/>
    <n v="7609"/>
    <n v="5887530"/>
    <n v="0"/>
    <m/>
    <n v="5887530"/>
    <m/>
  </r>
  <r>
    <x v="6"/>
    <s v="737 - 800/Max"/>
    <n v="32"/>
    <n v="16"/>
    <n v="5"/>
    <n v="43"/>
    <n v="189"/>
    <n v="14.26"/>
    <n v="79.02"/>
    <n v="74138"/>
    <n v="30"/>
    <m/>
    <n v="74168"/>
    <n v="135523"/>
    <n v="36"/>
    <m/>
    <n v="135559"/>
    <n v="88857092"/>
    <n v="19050"/>
    <m/>
    <n v="88876142"/>
    <m/>
  </r>
  <r>
    <x v="6"/>
    <s v="737 - 900 ER"/>
    <n v="4"/>
    <n v="0"/>
    <n v="0"/>
    <n v="4"/>
    <n v="212"/>
    <n v="9.4700000000000006"/>
    <n v="75.75"/>
    <n v="9447"/>
    <n v="1"/>
    <m/>
    <n v="9448"/>
    <n v="15659"/>
    <n v="2"/>
    <m/>
    <n v="15661"/>
    <n v="10209568"/>
    <n v="1668"/>
    <m/>
    <n v="10211236"/>
    <m/>
  </r>
  <r>
    <x v="6"/>
    <s v="DH8"/>
    <n v="22"/>
    <n v="5"/>
    <n v="0"/>
    <n v="27"/>
    <n v="78"/>
    <n v="5.75"/>
    <n v="29.26"/>
    <n v="66596"/>
    <n v="6"/>
    <m/>
    <n v="66602"/>
    <n v="70652"/>
    <n v="9"/>
    <m/>
    <n v="70661"/>
    <n v="32094449"/>
    <n v="4167"/>
    <m/>
    <n v="32098616"/>
    <m/>
  </r>
  <r>
    <x v="6"/>
    <s v="737-700 F"/>
    <n v="0"/>
    <n v="1"/>
    <n v="0"/>
    <n v="1"/>
    <n v="0"/>
    <n v="18"/>
    <m/>
    <n v="394"/>
    <n v="4"/>
    <m/>
    <n v="398"/>
    <n v="1069"/>
    <n v="9"/>
    <m/>
    <n v="1078"/>
    <n v="733208"/>
    <n v="5704"/>
    <m/>
    <n v="738912"/>
    <m/>
  </r>
  <r>
    <x v="7"/>
    <s v="AIRBUS A320-200"/>
    <n v="16"/>
    <n v="4"/>
    <n v="0"/>
    <n v="20"/>
    <n v="180"/>
    <n v="18"/>
    <n v="75"/>
    <n v="47899"/>
    <n v="270"/>
    <m/>
    <n v="48169"/>
    <n v="71340"/>
    <n v="174"/>
    <m/>
    <n v="71514"/>
    <n v="50277506"/>
    <m/>
    <m/>
    <n v="50277506"/>
    <n v="6538"/>
  </r>
  <r>
    <x v="8"/>
    <s v="A320-200"/>
    <n v="19"/>
    <n v="3"/>
    <n v="0"/>
    <n v="22"/>
    <n v="164"/>
    <n v="15.7"/>
    <n v="73.5"/>
    <n v="40645"/>
    <n v="14"/>
    <m/>
    <n v="40659"/>
    <n v="39537"/>
    <n v="90"/>
    <m/>
    <n v="39627"/>
    <n v="47251825"/>
    <n v="10930"/>
    <m/>
    <n v="47262755"/>
    <n v="7853"/>
  </r>
  <r>
    <x v="9"/>
    <s v="ATR 72-500"/>
    <n v="3"/>
    <n v="0"/>
    <n v="0"/>
    <n v="3"/>
    <n v="72"/>
    <n v="7"/>
    <n v="23"/>
    <n v="9328"/>
    <n v="3"/>
    <m/>
    <n v="9331"/>
    <n v="14792"/>
    <n v="10"/>
    <m/>
    <n v="14802"/>
    <n v="4095266"/>
    <n v="2769"/>
    <m/>
    <n v="4098035"/>
    <n v="11801"/>
  </r>
  <r>
    <x v="9"/>
    <s v="ATR 72-600"/>
    <n v="1"/>
    <n v="1"/>
    <n v="0"/>
    <n v="2"/>
    <n v="70"/>
    <n v="7"/>
    <n v="23"/>
    <n v="2457"/>
    <n v="2"/>
    <m/>
    <n v="2459"/>
    <m/>
    <m/>
    <m/>
    <m/>
    <m/>
    <m/>
    <m/>
    <m/>
    <m/>
  </r>
  <r>
    <x v="10"/>
    <s v="EMB145 LR"/>
    <n v="1"/>
    <n v="1"/>
    <n v="0"/>
    <n v="2"/>
    <n v="50"/>
    <n v="5"/>
    <n v="22"/>
    <n v="1370"/>
    <n v="34"/>
    <m/>
    <n v="1404"/>
    <n v="1289"/>
    <n v="16"/>
    <m/>
    <n v="1305"/>
    <m/>
    <m/>
    <m/>
    <m/>
    <n v="224"/>
  </r>
  <r>
    <x v="11"/>
    <s v="Beachcraft350"/>
    <n v="1"/>
    <n v="0"/>
    <n v="0"/>
    <n v="1"/>
    <n v="9"/>
    <n v="1"/>
    <n v="7"/>
    <n v="26"/>
    <m/>
    <m/>
    <n v="26"/>
    <n v="48"/>
    <m/>
    <m/>
    <n v="48"/>
    <n v="9880"/>
    <m/>
    <m/>
    <n v="9880"/>
    <n v="26"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3"/>
    <m/>
    <n v="160"/>
    <n v="17"/>
    <n v="5"/>
    <n v="172"/>
    <n v="1488"/>
    <n v="256.69300000000004"/>
    <n v="1657.92"/>
    <n v="302744"/>
    <n v="5156"/>
    <n v="0"/>
    <n v="307900"/>
    <n v="859391"/>
    <n v="7418"/>
    <n v="0"/>
    <n v="866809"/>
    <n v="76791647"/>
    <n v="4026"/>
    <n v="0"/>
    <n v="76795673"/>
    <n v="60887"/>
  </r>
  <r>
    <x v="14"/>
    <m/>
    <n v="197"/>
    <n v="86"/>
    <n v="11"/>
    <n v="272"/>
    <n v="296"/>
    <n v="97.999999999999886"/>
    <n v="288.5"/>
    <n v="534712"/>
    <n v="3"/>
    <n v="0"/>
    <n v="534715"/>
    <n v="878027"/>
    <n v="5"/>
    <n v="0"/>
    <n v="878032"/>
    <n v="6344230"/>
    <n v="3"/>
    <n v="0"/>
    <n v="6344233"/>
    <n v="79584"/>
  </r>
  <r>
    <x v="15"/>
    <m/>
    <n v="458"/>
    <n v="135"/>
    <n v="21"/>
    <n v="572"/>
    <n v="2957"/>
    <n v="456.61299999999994"/>
    <n v="2415.9500000000003"/>
    <n v="1095757"/>
    <n v="5523"/>
    <n v="0"/>
    <n v="1101280"/>
    <n v="2094936"/>
    <n v="7769"/>
    <n v="0"/>
    <n v="2102705"/>
    <n v="322552201"/>
    <n v="48317"/>
    <n v="0"/>
    <n v="322600518"/>
    <n v="166913"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</pivotCacheRecords>
</file>

<file path=xl/pivotCache/pivotCacheRecords4.xml><?xml version="1.0" encoding="utf-8"?>
<pivotCacheRecords xmlns="http://schemas.openxmlformats.org/spreadsheetml/2006/main" xmlns:r="http://schemas.openxmlformats.org/officeDocument/2006/relationships" count="134">
  <r>
    <x v="0"/>
    <x v="0"/>
    <s v="Pilots and co -pilots"/>
    <n v="1329"/>
    <n v="1318"/>
    <n v="12079.48"/>
  </r>
  <r>
    <x v="0"/>
    <x v="1"/>
    <s v="Other flight crew"/>
    <m/>
    <m/>
    <m/>
  </r>
  <r>
    <x v="0"/>
    <x v="2"/>
    <s v="Cabin crew"/>
    <n v="1766"/>
    <n v="1703"/>
    <n v="5986.11"/>
  </r>
  <r>
    <x v="0"/>
    <x v="3"/>
    <s v="Maintenance and overhaul personnel"/>
    <n v="577"/>
    <n v="543"/>
    <n v="69.31"/>
  </r>
  <r>
    <x v="0"/>
    <x v="4"/>
    <s v=" a) Licensed aircraft maintenance engineers"/>
    <m/>
    <m/>
    <m/>
  </r>
  <r>
    <x v="0"/>
    <x v="5"/>
    <s v=" b) Other maintenance and overhaul personnel"/>
    <m/>
    <m/>
    <m/>
  </r>
  <r>
    <x v="0"/>
    <x v="6"/>
    <s v="Ticketing and sales personnel"/>
    <n v="2113"/>
    <n v="1989"/>
    <n v="3208.24"/>
  </r>
  <r>
    <x v="0"/>
    <x v="7"/>
    <s v="All other personnel"/>
    <n v="4964"/>
    <n v="4439"/>
    <n v="8709.1299999999992"/>
  </r>
  <r>
    <x v="1"/>
    <x v="0"/>
    <s v="Pilots and co -pilots"/>
    <n v="346"/>
    <n v="335"/>
    <n v="2292.6"/>
  </r>
  <r>
    <x v="1"/>
    <x v="1"/>
    <s v="Other flight crew"/>
    <m/>
    <m/>
    <m/>
  </r>
  <r>
    <x v="1"/>
    <x v="2"/>
    <s v="Cabin crew"/>
    <n v="610"/>
    <n v="621"/>
    <n v="410.7"/>
  </r>
  <r>
    <x v="1"/>
    <x v="3"/>
    <s v="Maintenance and overhaul personnel"/>
    <n v="78"/>
    <n v="80"/>
    <n v="25.2"/>
  </r>
  <r>
    <x v="1"/>
    <x v="4"/>
    <s v=" a) Licensed aircraft maintenance engineers"/>
    <n v="16"/>
    <n v="16"/>
    <n v="11.3"/>
  </r>
  <r>
    <x v="1"/>
    <x v="5"/>
    <s v=" b) Other maintenance and overhaul personnel"/>
    <n v="62"/>
    <n v="64"/>
    <n v="13.9"/>
  </r>
  <r>
    <x v="1"/>
    <x v="6"/>
    <s v="Ticketing and sales personnel"/>
    <m/>
    <m/>
    <m/>
  </r>
  <r>
    <x v="1"/>
    <x v="7"/>
    <s v="All other personnel"/>
    <n v="358"/>
    <n v="356"/>
    <n v="202.4"/>
  </r>
  <r>
    <x v="2"/>
    <x v="0"/>
    <s v="Pilots and co -pilots"/>
    <n v="202"/>
    <n v="184"/>
    <n v="1058.464579"/>
  </r>
  <r>
    <x v="2"/>
    <x v="1"/>
    <s v="Other flight crew"/>
    <m/>
    <m/>
    <m/>
  </r>
  <r>
    <x v="2"/>
    <x v="2"/>
    <s v="Cabin crew"/>
    <n v="144"/>
    <n v="140"/>
    <n v="125.34448999999999"/>
  </r>
  <r>
    <x v="2"/>
    <x v="3"/>
    <s v="Maintenance and overhaul personnel"/>
    <m/>
    <m/>
    <m/>
  </r>
  <r>
    <x v="2"/>
    <x v="4"/>
    <s v=" a) Licensed aircraft maintenance engineers"/>
    <m/>
    <m/>
    <m/>
  </r>
  <r>
    <x v="2"/>
    <x v="5"/>
    <s v=" b) Other maintenance and overhaul personnel"/>
    <m/>
    <m/>
    <m/>
  </r>
  <r>
    <x v="2"/>
    <x v="6"/>
    <s v="Ticketing and sales personnel"/>
    <m/>
    <m/>
    <m/>
  </r>
  <r>
    <x v="2"/>
    <x v="7"/>
    <s v="All other personnel"/>
    <n v="346"/>
    <n v="324"/>
    <n v="208.90748300000001"/>
  </r>
  <r>
    <x v="3"/>
    <x v="0"/>
    <s v="Pilots and co -pilots"/>
    <n v="444"/>
    <n v="513"/>
    <n v="3402"/>
  </r>
  <r>
    <x v="3"/>
    <x v="1"/>
    <s v="Other flight crew"/>
    <m/>
    <m/>
    <m/>
  </r>
  <r>
    <x v="3"/>
    <x v="2"/>
    <s v="Cabin crew"/>
    <n v="753"/>
    <n v="812"/>
    <n v="383"/>
  </r>
  <r>
    <x v="3"/>
    <x v="3"/>
    <s v="Maintenance and overhaul personnel"/>
    <n v="474"/>
    <n v="522"/>
    <n v="729"/>
  </r>
  <r>
    <x v="3"/>
    <x v="4"/>
    <s v=" a) Licensed aircraft maintenance engineers"/>
    <n v="143"/>
    <n v="151"/>
    <n v="450"/>
  </r>
  <r>
    <x v="3"/>
    <x v="5"/>
    <s v=" b) Other maintenance and overhaul personnel"/>
    <n v="331"/>
    <n v="371"/>
    <n v="279"/>
  </r>
  <r>
    <x v="3"/>
    <x v="6"/>
    <s v="Ticketing and sales personnel"/>
    <n v="476"/>
    <n v="522"/>
    <n v="185"/>
  </r>
  <r>
    <x v="3"/>
    <x v="7"/>
    <s v="All other personnel"/>
    <n v="1107"/>
    <n v="1249"/>
    <n v="952"/>
  </r>
  <r>
    <x v="4"/>
    <x v="0"/>
    <s v="Pilots and co -pilots"/>
    <n v="2747"/>
    <n v="3187"/>
    <n v="18986.03"/>
  </r>
  <r>
    <x v="4"/>
    <x v="1"/>
    <s v="Other flight crew"/>
    <n v="195"/>
    <n v="210"/>
    <n v="273.60000000000002"/>
  </r>
  <r>
    <x v="4"/>
    <x v="2"/>
    <s v="Cabin crew"/>
    <n v="5623"/>
    <n v="6248"/>
    <n v="3694.91"/>
  </r>
  <r>
    <x v="4"/>
    <x v="3"/>
    <s v="Maintenance and overhaul personnel"/>
    <n v="1466"/>
    <n v="1718"/>
    <n v="1912.88"/>
  </r>
  <r>
    <x v="4"/>
    <x v="4"/>
    <s v=" a) Licensed aircraft maintenance engineers"/>
    <n v="723"/>
    <n v="829"/>
    <n v="1611.38"/>
  </r>
  <r>
    <x v="4"/>
    <x v="5"/>
    <s v=" b) Other maintenance and overhaul personnel"/>
    <n v="743"/>
    <n v="889"/>
    <n v="301.5"/>
  </r>
  <r>
    <x v="4"/>
    <x v="6"/>
    <s v="Ticketing and sales personnel"/>
    <n v="275"/>
    <n v="305"/>
    <n v="497.03"/>
  </r>
  <r>
    <x v="4"/>
    <x v="7"/>
    <s v="All other personnel"/>
    <n v="10000"/>
    <n v="11815"/>
    <n v="6013.46"/>
  </r>
  <r>
    <x v="5"/>
    <x v="0"/>
    <s v="Pilots and co -pilots"/>
    <n v="779"/>
    <n v="813"/>
    <n v="3644.63"/>
  </r>
  <r>
    <x v="5"/>
    <x v="1"/>
    <s v="Other flight crew"/>
    <n v="64"/>
    <n v="70"/>
    <n v="817.57"/>
  </r>
  <r>
    <x v="5"/>
    <x v="2"/>
    <s v="Cabin crew"/>
    <n v="1341"/>
    <n v="1798"/>
    <n v="813.87"/>
  </r>
  <r>
    <x v="5"/>
    <x v="3"/>
    <s v="Maintenance and overhaul personnel"/>
    <n v="683"/>
    <n v="694"/>
    <n v="726.22"/>
  </r>
  <r>
    <x v="5"/>
    <x v="4"/>
    <s v=" a) Licensed aircraft maintenance engineers"/>
    <n v="307"/>
    <n v="306"/>
    <n v="595.41"/>
  </r>
  <r>
    <x v="5"/>
    <x v="5"/>
    <s v=" b) Other maintenance and overhaul personnel"/>
    <n v="376"/>
    <n v="388"/>
    <n v="130.81"/>
  </r>
  <r>
    <x v="5"/>
    <x v="6"/>
    <s v="Ticketing and sales personnel"/>
    <n v="420"/>
    <n v="443"/>
    <n v="186.72"/>
  </r>
  <r>
    <x v="5"/>
    <x v="7"/>
    <s v="All other personnel"/>
    <n v="6467"/>
    <n v="7582"/>
    <n v="2486.2600000000002"/>
  </r>
  <r>
    <x v="6"/>
    <x v="0"/>
    <s v="Pilots and co -pilots"/>
    <n v="263"/>
    <n v="311"/>
    <n v="1997.191354"/>
  </r>
  <r>
    <x v="6"/>
    <x v="1"/>
    <s v="Other flight crew"/>
    <m/>
    <m/>
    <m/>
  </r>
  <r>
    <x v="6"/>
    <x v="2"/>
    <s v="Cabin crew"/>
    <n v="476"/>
    <n v="488"/>
    <n v="399.74493799999999"/>
  </r>
  <r>
    <x v="6"/>
    <x v="3"/>
    <s v="Maintenance and overhaul personnel"/>
    <n v="180"/>
    <n v="199"/>
    <n v="337.623289"/>
  </r>
  <r>
    <x v="6"/>
    <x v="4"/>
    <s v=" a) Licensed aircraft maintenance engineers"/>
    <n v="180"/>
    <n v="199"/>
    <n v="337.623289"/>
  </r>
  <r>
    <x v="6"/>
    <x v="5"/>
    <s v=" b) Other maintenance and overhaul personnel"/>
    <m/>
    <m/>
    <m/>
  </r>
  <r>
    <x v="6"/>
    <x v="6"/>
    <s v="Ticketing and sales personnel"/>
    <m/>
    <m/>
    <m/>
  </r>
  <r>
    <x v="6"/>
    <x v="7"/>
    <s v="All other personnel"/>
    <n v="1253"/>
    <n v="1270"/>
    <n v="733.95945900000004"/>
  </r>
  <r>
    <x v="7"/>
    <x v="0"/>
    <s v="Pilots and co -pilots"/>
    <n v="355"/>
    <n v="385"/>
    <n v="2236.6999999999998"/>
  </r>
  <r>
    <x v="7"/>
    <x v="1"/>
    <s v="Other flight crew"/>
    <m/>
    <m/>
    <m/>
  </r>
  <r>
    <x v="7"/>
    <x v="2"/>
    <s v="Cabin crew"/>
    <n v="673"/>
    <n v="722"/>
    <n v="342.8"/>
  </r>
  <r>
    <x v="7"/>
    <x v="3"/>
    <s v="Maintenance and overhaul personnel"/>
    <n v="175"/>
    <n v="203"/>
    <n v="309.10000000000002"/>
  </r>
  <r>
    <x v="7"/>
    <x v="4"/>
    <s v=" a) Licensed aircraft maintenance engineers"/>
    <n v="103"/>
    <n v="122"/>
    <n v="273.5"/>
  </r>
  <r>
    <x v="7"/>
    <x v="5"/>
    <s v=" b) Other maintenance and overhaul personnel"/>
    <n v="72"/>
    <n v="81"/>
    <n v="35.6"/>
  </r>
  <r>
    <x v="7"/>
    <x v="6"/>
    <s v="Ticketing and sales personnel"/>
    <n v="42"/>
    <n v="37"/>
    <n v="33.1"/>
  </r>
  <r>
    <x v="7"/>
    <x v="7"/>
    <s v="All other personnel"/>
    <n v="1085"/>
    <n v="1171"/>
    <n v="839.6"/>
  </r>
  <r>
    <x v="8"/>
    <x v="0"/>
    <s v="Pilots and co -pilots"/>
    <n v="58"/>
    <n v="60"/>
    <n v="395.84"/>
  </r>
  <r>
    <x v="8"/>
    <x v="1"/>
    <s v="Other flight crew"/>
    <m/>
    <m/>
    <m/>
  </r>
  <r>
    <x v="8"/>
    <x v="2"/>
    <s v="Cabin crew"/>
    <m/>
    <m/>
    <m/>
  </r>
  <r>
    <x v="8"/>
    <x v="3"/>
    <s v="Maintenance and overhaul personnel"/>
    <n v="156"/>
    <n v="152"/>
    <n v="331.43"/>
  </r>
  <r>
    <x v="8"/>
    <x v="4"/>
    <s v=" a) Licensed aircraft maintenance engineers"/>
    <n v="56"/>
    <n v="56"/>
    <n v="245.26"/>
  </r>
  <r>
    <x v="8"/>
    <x v="5"/>
    <s v=" b) Other maintenance and overhaul personnel"/>
    <n v="100"/>
    <n v="96"/>
    <n v="86.17"/>
  </r>
  <r>
    <x v="8"/>
    <x v="6"/>
    <s v="Ticketing and sales personnel"/>
    <m/>
    <m/>
    <m/>
  </r>
  <r>
    <x v="8"/>
    <x v="7"/>
    <s v="All other personnel"/>
    <n v="937"/>
    <n v="1025"/>
    <n v="558.48"/>
  </r>
  <r>
    <x v="9"/>
    <x v="0"/>
    <s v="Pilots and co -pilots"/>
    <n v="88"/>
    <n v="89"/>
    <n v="421.5"/>
  </r>
  <r>
    <x v="9"/>
    <x v="1"/>
    <s v="Other flight crew"/>
    <m/>
    <m/>
    <m/>
  </r>
  <r>
    <x v="9"/>
    <x v="2"/>
    <s v="Cabin crew"/>
    <n v="68"/>
    <n v="78"/>
    <n v="32.04"/>
  </r>
  <r>
    <x v="9"/>
    <x v="3"/>
    <s v="Maintenance and overhaul personnel"/>
    <n v="36"/>
    <n v="83"/>
    <n v="84.61"/>
  </r>
  <r>
    <x v="9"/>
    <x v="4"/>
    <s v=" a) Licensed aircraft maintenance engineers"/>
    <n v="3"/>
    <n v="22"/>
    <n v="41.032080000000001"/>
  </r>
  <r>
    <x v="9"/>
    <x v="5"/>
    <s v=" b) Other maintenance and overhaul personnel"/>
    <n v="33"/>
    <n v="61"/>
    <n v="43.577784000000001"/>
  </r>
  <r>
    <x v="9"/>
    <x v="6"/>
    <s v="Ticketing and sales personnel"/>
    <n v="25"/>
    <n v="24"/>
    <n v="9.516432"/>
  </r>
  <r>
    <x v="9"/>
    <x v="7"/>
    <s v="All other personnel"/>
    <n v="438"/>
    <n v="538"/>
    <n v="169.60228799999999"/>
  </r>
  <r>
    <x v="10"/>
    <x v="0"/>
    <s v="Pilots and co -pilots"/>
    <m/>
    <m/>
    <m/>
  </r>
  <r>
    <x v="10"/>
    <x v="1"/>
    <s v="Other flight crew"/>
    <m/>
    <m/>
    <m/>
  </r>
  <r>
    <x v="10"/>
    <x v="2"/>
    <s v="Cabin crew"/>
    <m/>
    <m/>
    <m/>
  </r>
  <r>
    <x v="10"/>
    <x v="3"/>
    <s v="Maintenance and overhaul personnel"/>
    <m/>
    <m/>
    <m/>
  </r>
  <r>
    <x v="10"/>
    <x v="4"/>
    <s v=" a) Licensed aircraft maintenance engineers"/>
    <m/>
    <m/>
    <m/>
  </r>
  <r>
    <x v="10"/>
    <x v="5"/>
    <s v=" b) Other maintenance and overhaul personnel"/>
    <m/>
    <m/>
    <m/>
  </r>
  <r>
    <x v="10"/>
    <x v="6"/>
    <s v="Ticketing and sales personnel"/>
    <m/>
    <m/>
    <m/>
  </r>
  <r>
    <x v="10"/>
    <x v="7"/>
    <s v="All other personnel"/>
    <m/>
    <m/>
    <m/>
  </r>
  <r>
    <x v="11"/>
    <x v="0"/>
    <s v="Pilots and co -pilots"/>
    <n v="4"/>
    <n v="4"/>
    <n v="5.3041840000000002"/>
  </r>
  <r>
    <x v="11"/>
    <x v="1"/>
    <s v="Other flight crew"/>
    <m/>
    <m/>
    <m/>
  </r>
  <r>
    <x v="11"/>
    <x v="2"/>
    <s v="Cabin crew"/>
    <m/>
    <m/>
    <m/>
  </r>
  <r>
    <x v="11"/>
    <x v="3"/>
    <s v="Maintenance and overhaul personnel"/>
    <m/>
    <m/>
    <m/>
  </r>
  <r>
    <x v="11"/>
    <x v="4"/>
    <s v=" a) Licensed aircraft maintenance engineers"/>
    <m/>
    <m/>
    <m/>
  </r>
  <r>
    <x v="11"/>
    <x v="5"/>
    <s v=" b) Other maintenance and overhaul personnel"/>
    <m/>
    <m/>
    <m/>
  </r>
  <r>
    <x v="11"/>
    <x v="6"/>
    <s v="Ticketing and sales personnel"/>
    <n v="2"/>
    <n v="2"/>
    <n v="0.24"/>
  </r>
  <r>
    <x v="11"/>
    <x v="7"/>
    <s v="All other personnel"/>
    <n v="27"/>
    <n v="27"/>
    <n v="1.4697"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3"/>
    <x v="0"/>
    <s v="Pilots and co -pilots"/>
    <n v="1877"/>
    <n v="1837"/>
    <n v="15430.544578999999"/>
  </r>
  <r>
    <x v="13"/>
    <x v="1"/>
    <s v="Other flight crew"/>
    <n v="0"/>
    <n v="0"/>
    <n v="0"/>
  </r>
  <r>
    <x v="13"/>
    <x v="2"/>
    <s v="Cabin crew"/>
    <n v="2520"/>
    <n v="2464"/>
    <n v="6522.1544899999999"/>
  </r>
  <r>
    <x v="13"/>
    <x v="3"/>
    <s v="Maintenance and overhaul personnel"/>
    <n v="655"/>
    <n v="623"/>
    <n v="94.51"/>
  </r>
  <r>
    <x v="13"/>
    <x v="4"/>
    <s v=" a) Licensed aircraft maintenance engineers"/>
    <n v="16"/>
    <n v="16"/>
    <n v="11.3"/>
  </r>
  <r>
    <x v="13"/>
    <x v="5"/>
    <s v=" b) Other maintenance and overhaul personnel"/>
    <n v="62"/>
    <n v="64"/>
    <n v="13.9"/>
  </r>
  <r>
    <x v="13"/>
    <x v="6"/>
    <s v="Ticketing and sales personnel"/>
    <n v="2113"/>
    <n v="1989"/>
    <n v="3208.24"/>
  </r>
  <r>
    <x v="13"/>
    <x v="7"/>
    <s v="All other personnel"/>
    <n v="5668"/>
    <n v="5119"/>
    <n v="9120.4374829999997"/>
  </r>
  <r>
    <x v="12"/>
    <x v="8"/>
    <m/>
    <m/>
    <m/>
    <m/>
  </r>
  <r>
    <x v="14"/>
    <x v="0"/>
    <s v="Pilots and co -pilots"/>
    <n v="4738"/>
    <n v="5362"/>
    <n v="31089.195537999993"/>
  </r>
  <r>
    <x v="14"/>
    <x v="1"/>
    <s v="Other flight crew"/>
    <n v="259"/>
    <n v="280"/>
    <n v="1091.17"/>
  </r>
  <r>
    <x v="14"/>
    <x v="2"/>
    <s v="Cabin crew"/>
    <n v="8934"/>
    <n v="10146"/>
    <n v="5666.3649380000015"/>
  </r>
  <r>
    <x v="14"/>
    <x v="3"/>
    <s v="Maintenance and overhaul personnel"/>
    <n v="3170"/>
    <n v="3571"/>
    <n v="4430.8632890000008"/>
  </r>
  <r>
    <x v="14"/>
    <x v="4"/>
    <s v=" a) Licensed aircraft maintenance engineers"/>
    <n v="1515"/>
    <n v="1685"/>
    <n v="3554.2053690000002"/>
  </r>
  <r>
    <x v="14"/>
    <x v="5"/>
    <s v=" b) Other maintenance and overhaul personnel"/>
    <n v="1655"/>
    <n v="1886"/>
    <n v="876.65778399999999"/>
  </r>
  <r>
    <x v="14"/>
    <x v="6"/>
    <s v="Ticketing and sales personnel"/>
    <n v="1240"/>
    <n v="1333"/>
    <n v="911.60643199999959"/>
  </r>
  <r>
    <x v="14"/>
    <x v="7"/>
    <s v="All other personnel"/>
    <n v="21314"/>
    <n v="24677"/>
    <n v="11754.831447000002"/>
  </r>
  <r>
    <x v="12"/>
    <x v="8"/>
    <m/>
    <m/>
    <m/>
    <m/>
  </r>
  <r>
    <x v="15"/>
    <x v="0"/>
    <s v="Pilots and co -pilots"/>
    <n v="6615"/>
    <n v="7199"/>
    <n v="46519.740116999994"/>
  </r>
  <r>
    <x v="15"/>
    <x v="1"/>
    <s v="Other flight crew"/>
    <n v="259"/>
    <n v="280"/>
    <n v="1091.17"/>
  </r>
  <r>
    <x v="15"/>
    <x v="2"/>
    <s v="Cabin crew"/>
    <n v="11454"/>
    <n v="12610"/>
    <n v="12188.519428000001"/>
  </r>
  <r>
    <x v="15"/>
    <x v="3"/>
    <s v="Maintenance and overhaul personnel"/>
    <n v="3825"/>
    <n v="4194"/>
    <n v="4525.373289000001"/>
  </r>
  <r>
    <x v="15"/>
    <x v="4"/>
    <s v=" a) Licensed aircraft maintenance engineers"/>
    <n v="1531"/>
    <n v="1701"/>
    <n v="3565.5053690000004"/>
  </r>
  <r>
    <x v="15"/>
    <x v="5"/>
    <s v=" b) Other maintenance and overhaul personnel"/>
    <n v="1717"/>
    <n v="1950"/>
    <n v="890.55778399999997"/>
  </r>
  <r>
    <x v="15"/>
    <x v="6"/>
    <s v="Ticketing and sales personnel"/>
    <n v="3353"/>
    <n v="3322"/>
    <n v="4119.8464319999994"/>
  </r>
  <r>
    <x v="15"/>
    <x v="7"/>
    <s v="All other personnel"/>
    <n v="26982"/>
    <n v="29796"/>
    <n v="20875.268930000002"/>
  </r>
  <r>
    <x v="12"/>
    <x v="8"/>
    <m/>
    <m/>
    <m/>
    <m/>
  </r>
  <r>
    <x v="12"/>
    <x v="8"/>
    <m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name="PivotTable4" cacheId="0" applyNumberFormats="0" applyBorderFormats="0" applyFontFormats="0" applyPatternFormats="0" applyAlignmentFormats="0" applyWidthHeightFormats="1" dataCaption="Values" showMissing="0" updatedVersion="5" minRefreshableVersion="3" useAutoFormatting="1" rowGrandTotals="0" colGrandTotals="0" itemPrintTitles="1" createdVersion="5" indent="0" compact="0" compactData="0" multipleFieldFilters="0">
  <location ref="U3:AK56" firstHeaderRow="1" firstDataRow="1" firstDataCol="17"/>
  <pivotFields count="22">
    <pivotField axis="axisRow" compact="0" outline="0" showAll="0" defaultSubtotal="0">
      <items count="22">
        <item x="5"/>
        <item x="18"/>
        <item x="4"/>
        <item x="0"/>
        <item x="1"/>
        <item x="2"/>
        <item x="6"/>
        <item x="7"/>
        <item x="8"/>
        <item x="9"/>
        <item x="10"/>
        <item x="11"/>
        <item x="3"/>
        <item x="12"/>
        <item x="13"/>
        <item x="19"/>
        <item x="20"/>
        <item x="21"/>
        <item x="14"/>
        <item x="15"/>
        <item x="16"/>
        <item x="17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5">
        <item x="14"/>
        <item x="30"/>
        <item m="1" x="44"/>
        <item x="8"/>
        <item x="9"/>
        <item x="10"/>
        <item x="31"/>
        <item x="33"/>
        <item x="7"/>
        <item x="16"/>
        <item x="17"/>
        <item x="18"/>
        <item x="19"/>
        <item x="20"/>
        <item x="21"/>
        <item x="22"/>
        <item x="23"/>
        <item x="32"/>
        <item x="0"/>
        <item x="1"/>
        <item x="2"/>
        <item x="3"/>
        <item x="4"/>
        <item x="5"/>
        <item x="6"/>
        <item x="11"/>
        <item x="12"/>
        <item x="13"/>
        <item x="15"/>
        <item x="24"/>
        <item x="25"/>
        <item x="26"/>
        <item x="27"/>
        <item x="28"/>
        <item x="29"/>
        <item x="34"/>
        <item x="35"/>
        <item x="36"/>
        <item x="37"/>
        <item x="38"/>
        <item x="39"/>
        <item x="40"/>
        <item x="41"/>
        <item x="42"/>
        <item x="4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1">
        <item m="1" x="25"/>
        <item x="7"/>
        <item x="11"/>
        <item x="1"/>
        <item x="0"/>
        <item m="1" x="26"/>
        <item x="8"/>
        <item x="14"/>
        <item m="1" x="23"/>
        <item m="1" x="30"/>
        <item x="17"/>
        <item m="1" x="27"/>
        <item x="5"/>
        <item x="2"/>
        <item x="18"/>
        <item x="10"/>
        <item m="1" x="29"/>
        <item m="1" x="28"/>
        <item m="1" x="24"/>
        <item x="3"/>
        <item x="4"/>
        <item x="6"/>
        <item x="9"/>
        <item x="12"/>
        <item x="13"/>
        <item x="15"/>
        <item x="16"/>
        <item x="19"/>
        <item x="20"/>
        <item x="21"/>
        <item x="2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9">
        <item m="1" x="15"/>
        <item x="0"/>
        <item x="4"/>
        <item x="1"/>
        <item x="8"/>
        <item m="1" x="13"/>
        <item m="1" x="18"/>
        <item m="1" x="14"/>
        <item x="5"/>
        <item x="2"/>
        <item m="1" x="16"/>
        <item m="1" x="17"/>
        <item x="3"/>
        <item x="6"/>
        <item x="7"/>
        <item x="9"/>
        <item x="10"/>
        <item x="11"/>
        <item x="1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9">
        <item x="2"/>
        <item x="0"/>
        <item x="1"/>
        <item x="4"/>
        <item m="1" x="6"/>
        <item m="1" x="7"/>
        <item m="1" x="8"/>
        <item x="3"/>
        <item x="5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4">
        <item m="1" x="30"/>
        <item x="8"/>
        <item x="13"/>
        <item m="1" x="25"/>
        <item x="16"/>
        <item x="7"/>
        <item x="9"/>
        <item x="17"/>
        <item m="1" x="32"/>
        <item m="1" x="28"/>
        <item m="1" x="26"/>
        <item x="15"/>
        <item m="1" x="33"/>
        <item x="1"/>
        <item x="0"/>
        <item x="11"/>
        <item x="19"/>
        <item m="1" x="31"/>
        <item m="1" x="29"/>
        <item m="1" x="27"/>
        <item x="2"/>
        <item x="3"/>
        <item x="4"/>
        <item x="5"/>
        <item x="6"/>
        <item x="10"/>
        <item x="12"/>
        <item x="14"/>
        <item x="18"/>
        <item x="20"/>
        <item x="21"/>
        <item x="22"/>
        <item x="23"/>
        <item x="2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1">
        <item x="21"/>
        <item x="8"/>
        <item m="1" x="38"/>
        <item x="24"/>
        <item m="1" x="32"/>
        <item m="1" x="40"/>
        <item m="1" x="33"/>
        <item m="1" x="39"/>
        <item x="11"/>
        <item x="12"/>
        <item m="1" x="36"/>
        <item x="14"/>
        <item m="1" x="34"/>
        <item x="16"/>
        <item x="22"/>
        <item m="1" x="35"/>
        <item m="1" x="37"/>
        <item x="0"/>
        <item x="1"/>
        <item x="2"/>
        <item x="3"/>
        <item x="4"/>
        <item x="5"/>
        <item x="6"/>
        <item x="7"/>
        <item x="9"/>
        <item x="10"/>
        <item x="13"/>
        <item x="15"/>
        <item x="17"/>
        <item x="18"/>
        <item x="19"/>
        <item x="20"/>
        <item x="23"/>
        <item x="25"/>
        <item x="26"/>
        <item x="27"/>
        <item x="28"/>
        <item x="29"/>
        <item x="30"/>
        <item x="3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4">
        <item x="15"/>
        <item x="8"/>
        <item m="1" x="41"/>
        <item m="1" x="39"/>
        <item x="31"/>
        <item m="1" x="37"/>
        <item m="1" x="42"/>
        <item m="1" x="43"/>
        <item m="1" x="35"/>
        <item x="13"/>
        <item x="14"/>
        <item x="16"/>
        <item x="17"/>
        <item x="18"/>
        <item x="19"/>
        <item m="1" x="40"/>
        <item m="1" x="36"/>
        <item m="1" x="38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20"/>
        <item x="21"/>
        <item x="22"/>
        <item x="23"/>
        <item x="24"/>
        <item x="25"/>
        <item x="26"/>
        <item x="27"/>
        <item x="28"/>
        <item x="29"/>
        <item x="30"/>
        <item x="32"/>
        <item x="33"/>
        <item x="3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0">
        <item m="1" x="33"/>
        <item x="8"/>
        <item x="10"/>
        <item m="1" x="31"/>
        <item x="27"/>
        <item m="1" x="36"/>
        <item m="1" x="32"/>
        <item m="1" x="38"/>
        <item m="1" x="34"/>
        <item x="12"/>
        <item x="13"/>
        <item x="15"/>
        <item x="16"/>
        <item x="17"/>
        <item x="19"/>
        <item x="20"/>
        <item m="1" x="37"/>
        <item m="1" x="35"/>
        <item m="1" x="39"/>
        <item x="0"/>
        <item x="1"/>
        <item x="2"/>
        <item x="3"/>
        <item x="4"/>
        <item x="5"/>
        <item x="6"/>
        <item x="7"/>
        <item x="9"/>
        <item x="11"/>
        <item x="14"/>
        <item x="18"/>
        <item x="21"/>
        <item x="22"/>
        <item x="23"/>
        <item x="24"/>
        <item x="25"/>
        <item x="26"/>
        <item x="28"/>
        <item x="29"/>
        <item x="3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1">
        <item m="1" x="43"/>
        <item x="8"/>
        <item m="1" x="41"/>
        <item m="1" x="49"/>
        <item x="35"/>
        <item m="1" x="47"/>
        <item m="1" x="53"/>
        <item m="1" x="45"/>
        <item m="1" x="52"/>
        <item m="1" x="50"/>
        <item m="1" x="55"/>
        <item m="1" x="42"/>
        <item m="1" x="59"/>
        <item m="1" x="51"/>
        <item m="1" x="58"/>
        <item m="1" x="48"/>
        <item m="1" x="46"/>
        <item m="1" x="57"/>
        <item m="1" x="60"/>
        <item m="1" x="44"/>
        <item m="1" x="54"/>
        <item m="1" x="56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5">
        <item n="  -" x="0"/>
        <item m="1" x="24"/>
        <item x="6"/>
        <item m="1" x="26"/>
        <item m="1" x="29"/>
        <item m="1" x="34"/>
        <item m="1" x="25"/>
        <item m="1" x="31"/>
        <item x="14"/>
        <item m="1" x="30"/>
        <item x="9"/>
        <item x="11"/>
        <item m="1" x="33"/>
        <item x="12"/>
        <item m="1" x="28"/>
        <item m="1" x="32"/>
        <item m="1" x="27"/>
        <item x="1"/>
        <item x="2"/>
        <item x="3"/>
        <item x="4"/>
        <item x="5"/>
        <item x="7"/>
        <item x="8"/>
        <item x="10"/>
        <item x="13"/>
        <item x="15"/>
        <item x="16"/>
        <item x="17"/>
        <item x="18"/>
        <item x="19"/>
        <item x="20"/>
        <item x="21"/>
        <item x="22"/>
        <item x="2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">
        <item n="  -"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2">
        <item m="1" x="49"/>
        <item x="8"/>
        <item m="1" x="44"/>
        <item m="1" x="57"/>
        <item x="35"/>
        <item m="1" x="60"/>
        <item m="1" x="55"/>
        <item m="1" x="61"/>
        <item m="1" x="50"/>
        <item m="1" x="51"/>
        <item m="1" x="43"/>
        <item m="1" x="48"/>
        <item m="1" x="56"/>
        <item m="1" x="45"/>
        <item m="1" x="47"/>
        <item m="1" x="52"/>
        <item m="1" x="59"/>
        <item m="1" x="54"/>
        <item m="1" x="58"/>
        <item m="1" x="53"/>
        <item m="1" x="42"/>
        <item m="1" x="46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  <item x="4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1">
        <item m="1" x="41"/>
        <item x="8"/>
        <item m="1" x="56"/>
        <item m="1" x="59"/>
        <item x="35"/>
        <item m="1" x="43"/>
        <item m="1" x="54"/>
        <item m="1" x="55"/>
        <item m="1" x="51"/>
        <item m="1" x="58"/>
        <item m="1" x="57"/>
        <item m="1" x="42"/>
        <item m="1" x="48"/>
        <item m="1" x="44"/>
        <item m="1" x="50"/>
        <item m="1" x="60"/>
        <item m="1" x="46"/>
        <item m="1" x="49"/>
        <item m="1" x="45"/>
        <item m="1" x="47"/>
        <item m="1" x="53"/>
        <item m="1" x="52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9">
        <item n="  -" x="0"/>
        <item m="1" x="34"/>
        <item x="7"/>
        <item x="1"/>
        <item m="1" x="30"/>
        <item m="1" x="32"/>
        <item m="1" x="37"/>
        <item m="1" x="38"/>
        <item m="1" x="35"/>
        <item m="1" x="31"/>
        <item m="1" x="36"/>
        <item m="1" x="27"/>
        <item m="1" x="28"/>
        <item m="1" x="25"/>
        <item m="1" x="33"/>
        <item m="1" x="29"/>
        <item m="1" x="26"/>
        <item x="2"/>
        <item x="3"/>
        <item x="4"/>
        <item x="5"/>
        <item x="6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">
        <item n="  -"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58">
        <item m="1" x="42"/>
        <item x="8"/>
        <item m="1" x="49"/>
        <item m="1" x="43"/>
        <item x="35"/>
        <item m="1" x="50"/>
        <item m="1" x="47"/>
        <item m="1" x="48"/>
        <item m="1" x="44"/>
        <item m="1" x="57"/>
        <item m="1" x="51"/>
        <item m="1" x="53"/>
        <item m="1" x="54"/>
        <item m="1" x="56"/>
        <item m="1" x="52"/>
        <item m="1" x="45"/>
        <item m="1" x="46"/>
        <item m="1" x="55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  <item x="4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17">
    <field x="0"/>
    <field x="1"/>
    <field x="2"/>
    <field x="3"/>
    <field x="4"/>
    <field x="5"/>
    <field x="6"/>
    <field x="7"/>
    <field x="8"/>
    <field x="9"/>
    <field x="10"/>
    <field x="11"/>
    <field x="12"/>
    <field x="13"/>
    <field x="14"/>
    <field x="15"/>
    <field x="16"/>
  </rowFields>
  <rowItems count="53">
    <i>
      <x/>
      <x/>
      <x v="22"/>
      <x v="14"/>
      <x v="2"/>
      <x v="26"/>
      <x v="25"/>
      <x v="28"/>
      <x v="28"/>
      <x v="32"/>
      <x v="2"/>
      <x/>
      <x v="32"/>
      <x v="32"/>
      <x v="2"/>
      <x/>
      <x v="28"/>
    </i>
    <i r="1">
      <x v="28"/>
      <x v="15"/>
      <x v="4"/>
      <x/>
      <x v="6"/>
      <x v="26"/>
      <x v="29"/>
      <x v="9"/>
      <x v="33"/>
      <x v="2"/>
      <x/>
      <x v="33"/>
      <x v="33"/>
      <x v="2"/>
      <x/>
      <x v="29"/>
    </i>
    <i>
      <x v="1"/>
      <x v="1"/>
      <x v="1"/>
      <x v="1"/>
      <x v="1"/>
      <x v="1"/>
      <x v="1"/>
      <x v="1"/>
      <x v="1"/>
      <x v="1"/>
      <x/>
      <x/>
      <x v="1"/>
      <x v="1"/>
      <x/>
      <x/>
      <x v="1"/>
    </i>
    <i>
      <x v="2"/>
      <x v="26"/>
      <x v="12"/>
      <x v="8"/>
      <x/>
      <x v="25"/>
      <x v="25"/>
      <x v="27"/>
      <x v="2"/>
      <x v="31"/>
      <x v="17"/>
      <x/>
      <x v="31"/>
      <x v="31"/>
      <x v="21"/>
      <x/>
      <x v="27"/>
    </i>
    <i r="1">
      <x v="27"/>
      <x v="4"/>
      <x v="13"/>
      <x/>
      <x v="15"/>
      <x v="1"/>
      <x v="1"/>
      <x v="1"/>
      <x v="1"/>
      <x/>
      <x/>
      <x v="1"/>
      <x v="1"/>
      <x/>
      <x/>
      <x v="1"/>
    </i>
    <i>
      <x v="3"/>
      <x v="18"/>
      <x v="4"/>
      <x v="1"/>
      <x v="1"/>
      <x v="14"/>
      <x v="17"/>
      <x v="18"/>
      <x v="19"/>
      <x v="22"/>
      <x/>
      <x/>
      <x v="22"/>
      <x v="22"/>
      <x/>
      <x/>
      <x v="18"/>
    </i>
    <i r="1">
      <x v="19"/>
      <x v="3"/>
      <x v="1"/>
      <x v="1"/>
      <x v="13"/>
      <x v="18"/>
      <x v="19"/>
      <x v="20"/>
      <x v="23"/>
      <x/>
      <x/>
      <x v="23"/>
      <x v="23"/>
      <x/>
      <x/>
      <x v="19"/>
    </i>
    <i r="1">
      <x v="20"/>
      <x v="13"/>
      <x v="3"/>
      <x v="1"/>
      <x v="20"/>
      <x v="19"/>
      <x v="20"/>
      <x v="21"/>
      <x v="24"/>
      <x/>
      <x/>
      <x v="24"/>
      <x v="24"/>
      <x/>
      <x/>
      <x v="20"/>
    </i>
    <i r="1">
      <x v="21"/>
      <x v="19"/>
      <x v="9"/>
      <x v="1"/>
      <x v="21"/>
      <x v="20"/>
      <x v="21"/>
      <x v="22"/>
      <x v="25"/>
      <x v="17"/>
      <x/>
      <x v="25"/>
      <x v="25"/>
      <x v="3"/>
      <x/>
      <x v="21"/>
    </i>
    <i r="1">
      <x v="22"/>
      <x v="20"/>
      <x v="1"/>
      <x v="1"/>
      <x v="22"/>
      <x v="21"/>
      <x v="22"/>
      <x v="23"/>
      <x v="26"/>
      <x v="18"/>
      <x/>
      <x v="26"/>
      <x v="26"/>
      <x v="17"/>
      <x/>
      <x v="22"/>
    </i>
    <i r="1">
      <x v="23"/>
      <x v="12"/>
      <x v="12"/>
      <x v="2"/>
      <x v="23"/>
      <x v="22"/>
      <x v="23"/>
      <x v="24"/>
      <x v="27"/>
      <x v="19"/>
      <x/>
      <x v="27"/>
      <x v="27"/>
      <x v="18"/>
      <x/>
      <x v="23"/>
    </i>
    <i r="1">
      <x v="24"/>
      <x v="21"/>
      <x v="1"/>
      <x v="1"/>
      <x v="24"/>
      <x v="23"/>
      <x v="24"/>
      <x v="25"/>
      <x v="28"/>
      <x v="20"/>
      <x/>
      <x v="28"/>
      <x v="28"/>
      <x v="19"/>
      <x/>
      <x v="24"/>
    </i>
    <i>
      <x v="4"/>
      <x v="8"/>
      <x v="19"/>
      <x v="2"/>
      <x/>
      <x v="5"/>
      <x v="24"/>
      <x v="25"/>
      <x v="26"/>
      <x v="29"/>
      <x/>
      <x/>
      <x v="29"/>
      <x v="29"/>
      <x/>
      <x/>
      <x v="25"/>
    </i>
    <i>
      <x v="5"/>
      <x v="3"/>
      <x v="1"/>
      <x v="1"/>
      <x v="1"/>
      <x v="1"/>
      <x v="1"/>
      <x v="1"/>
      <x v="1"/>
      <x v="1"/>
      <x/>
      <x/>
      <x v="1"/>
      <x v="1"/>
      <x/>
      <x/>
      <x v="1"/>
    </i>
    <i r="1">
      <x v="4"/>
      <x v="1"/>
      <x v="1"/>
      <x v="1"/>
      <x v="1"/>
      <x v="1"/>
      <x v="1"/>
      <x v="1"/>
      <x v="1"/>
      <x/>
      <x/>
      <x v="1"/>
      <x v="1"/>
      <x/>
      <x/>
      <x v="1"/>
    </i>
    <i r="1">
      <x v="5"/>
      <x v="1"/>
      <x v="1"/>
      <x v="1"/>
      <x v="1"/>
      <x v="1"/>
      <x v="1"/>
      <x v="1"/>
      <x v="1"/>
      <x/>
      <x/>
      <x v="1"/>
      <x v="1"/>
      <x/>
      <x/>
      <x v="1"/>
    </i>
    <i>
      <x v="6"/>
      <x v="9"/>
      <x v="2"/>
      <x v="2"/>
      <x/>
      <x v="2"/>
      <x v="8"/>
      <x v="9"/>
      <x v="10"/>
      <x v="34"/>
      <x v="22"/>
      <x/>
      <x v="34"/>
      <x v="34"/>
      <x v="22"/>
      <x/>
      <x v="30"/>
    </i>
    <i r="1">
      <x v="10"/>
      <x v="23"/>
      <x v="13"/>
      <x/>
      <x v="27"/>
      <x v="9"/>
      <x v="10"/>
      <x v="29"/>
      <x v="35"/>
      <x v="23"/>
      <x/>
      <x v="35"/>
      <x v="35"/>
      <x v="23"/>
      <x/>
      <x v="31"/>
    </i>
    <i r="1">
      <x v="11"/>
      <x v="6"/>
      <x v="2"/>
      <x/>
      <x v="6"/>
      <x v="27"/>
      <x/>
      <x v="11"/>
      <x v="36"/>
      <x v="10"/>
      <x/>
      <x v="36"/>
      <x v="36"/>
      <x v="24"/>
      <x/>
      <x v="32"/>
    </i>
    <i r="1">
      <x v="12"/>
      <x v="12"/>
      <x v="2"/>
      <x/>
      <x v="11"/>
      <x v="11"/>
      <x v="11"/>
      <x v="12"/>
      <x v="37"/>
      <x v="24"/>
      <x/>
      <x v="37"/>
      <x v="37"/>
      <x v="25"/>
      <x/>
      <x v="33"/>
    </i>
    <i r="1">
      <x v="13"/>
      <x v="24"/>
      <x v="2"/>
      <x/>
      <x v="4"/>
      <x v="28"/>
      <x v="12"/>
      <x v="13"/>
      <x v="38"/>
      <x v="10"/>
      <x/>
      <x v="38"/>
      <x v="38"/>
      <x v="26"/>
      <x/>
      <x v="34"/>
    </i>
    <i r="1">
      <x v="14"/>
      <x v="7"/>
      <x v="2"/>
      <x/>
      <x v="7"/>
      <x v="13"/>
      <x v="13"/>
      <x v="30"/>
      <x v="39"/>
      <x v="2"/>
      <x/>
      <x v="39"/>
      <x v="39"/>
      <x v="2"/>
      <x/>
      <x v="35"/>
    </i>
    <i>
      <x v="7"/>
      <x v="15"/>
      <x v="3"/>
      <x v="2"/>
      <x v="7"/>
      <x v="2"/>
      <x v="8"/>
      <x v="14"/>
      <x v="14"/>
      <x v="40"/>
      <x v="11"/>
      <x/>
      <x v="40"/>
      <x v="40"/>
      <x v="27"/>
      <x/>
      <x v="36"/>
    </i>
    <i r="1">
      <x v="16"/>
      <x v="4"/>
      <x v="2"/>
      <x/>
      <x v="14"/>
      <x v="9"/>
      <x v="10"/>
      <x v="15"/>
      <x v="41"/>
      <x v="13"/>
      <x/>
      <x v="41"/>
      <x v="41"/>
      <x v="28"/>
      <x/>
      <x v="37"/>
    </i>
    <i>
      <x v="8"/>
      <x v="29"/>
      <x v="2"/>
      <x v="2"/>
      <x/>
      <x v="2"/>
      <x v="29"/>
      <x v="30"/>
      <x v="31"/>
      <x v="42"/>
      <x v="2"/>
      <x/>
      <x v="42"/>
      <x v="42"/>
      <x v="2"/>
      <x/>
      <x v="38"/>
    </i>
    <i r="1">
      <x v="30"/>
      <x v="25"/>
      <x v="13"/>
      <x v="3"/>
      <x v="28"/>
      <x v="30"/>
      <x v="31"/>
      <x v="26"/>
      <x v="43"/>
      <x v="25"/>
      <x/>
      <x v="43"/>
      <x v="43"/>
      <x v="3"/>
      <x/>
      <x v="39"/>
    </i>
    <i r="1">
      <x v="31"/>
      <x v="26"/>
      <x v="2"/>
      <x/>
      <x v="16"/>
      <x v="31"/>
      <x v="32"/>
      <x v="32"/>
      <x v="44"/>
      <x v="2"/>
      <x/>
      <x v="44"/>
      <x v="44"/>
      <x v="2"/>
      <x/>
      <x v="40"/>
    </i>
    <i r="1">
      <x v="32"/>
      <x v="10"/>
      <x v="15"/>
      <x/>
      <x v="22"/>
      <x v="32"/>
      <x v="33"/>
      <x v="33"/>
      <x v="45"/>
      <x v="8"/>
      <x/>
      <x v="45"/>
      <x v="45"/>
      <x v="29"/>
      <x/>
      <x v="41"/>
    </i>
    <i r="1">
      <x v="33"/>
      <x v="1"/>
      <x v="1"/>
      <x v="1"/>
      <x v="1"/>
      <x v="1"/>
      <x v="1"/>
      <x v="1"/>
      <x v="1"/>
      <x/>
      <x/>
      <x v="1"/>
      <x v="1"/>
      <x/>
      <x/>
      <x v="1"/>
    </i>
    <i r="1">
      <x v="34"/>
      <x v="1"/>
      <x v="1"/>
      <x v="1"/>
      <x v="1"/>
      <x v="1"/>
      <x v="1"/>
      <x v="1"/>
      <x v="1"/>
      <x/>
      <x/>
      <x v="1"/>
      <x v="1"/>
      <x/>
      <x/>
      <x v="1"/>
    </i>
    <i>
      <x v="9"/>
      <x v="1"/>
      <x v="1"/>
      <x v="1"/>
      <x v="1"/>
      <x v="1"/>
      <x v="1"/>
      <x v="1"/>
      <x v="1"/>
      <x v="1"/>
      <x/>
      <x/>
      <x v="1"/>
      <x v="1"/>
      <x/>
      <x/>
      <x v="1"/>
    </i>
    <i>
      <x v="10"/>
      <x v="6"/>
      <x v="24"/>
      <x v="13"/>
      <x/>
      <x v="29"/>
      <x/>
      <x v="34"/>
      <x v="2"/>
      <x v="46"/>
      <x v="26"/>
      <x/>
      <x v="46"/>
      <x v="46"/>
      <x v="30"/>
      <x/>
      <x v="42"/>
    </i>
    <i>
      <x v="11"/>
      <x v="17"/>
      <x v="14"/>
      <x v="2"/>
      <x/>
      <x v="15"/>
      <x v="14"/>
      <x v="35"/>
      <x v="2"/>
      <x v="47"/>
      <x v="27"/>
      <x/>
      <x v="47"/>
      <x v="47"/>
      <x v="31"/>
      <x/>
      <x v="43"/>
    </i>
    <i r="2">
      <x v="15"/>
      <x v="4"/>
      <x/>
      <x v="6"/>
      <x v="14"/>
      <x v="35"/>
      <x v="2"/>
      <x v="48"/>
      <x v="20"/>
      <x/>
      <x v="48"/>
      <x v="48"/>
      <x v="32"/>
      <x/>
      <x v="44"/>
    </i>
    <i>
      <x v="12"/>
      <x v="7"/>
      <x v="6"/>
      <x v="2"/>
      <x/>
      <x v="6"/>
      <x v="33"/>
      <x v="26"/>
      <x v="27"/>
      <x v="30"/>
      <x v="21"/>
      <x/>
      <x v="30"/>
      <x v="30"/>
      <x v="20"/>
      <x/>
      <x v="26"/>
    </i>
    <i r="1">
      <x v="25"/>
      <x v="6"/>
      <x v="2"/>
      <x/>
      <x v="6"/>
      <x v="1"/>
      <x v="26"/>
      <x v="27"/>
      <x v="30"/>
      <x v="21"/>
      <x/>
      <x v="30"/>
      <x v="30"/>
      <x v="20"/>
      <x/>
      <x v="26"/>
    </i>
    <i>
      <x v="13"/>
      <x v="1"/>
      <x v="1"/>
      <x v="1"/>
      <x v="1"/>
      <x v="1"/>
      <x v="1"/>
      <x v="1"/>
      <x v="1"/>
      <x v="1"/>
      <x/>
      <x/>
      <x v="1"/>
      <x v="1"/>
      <x/>
      <x/>
      <x v="1"/>
    </i>
    <i>
      <x v="14"/>
      <x v="35"/>
      <x v="27"/>
      <x v="2"/>
      <x/>
      <x v="30"/>
      <x v="11"/>
      <x v="36"/>
      <x v="9"/>
      <x v="49"/>
      <x v="2"/>
      <x/>
      <x v="49"/>
      <x v="49"/>
      <x/>
      <x/>
      <x v="45"/>
    </i>
    <i r="1">
      <x v="36"/>
      <x v="27"/>
      <x v="2"/>
      <x/>
      <x v="30"/>
      <x v="11"/>
      <x v="36"/>
      <x v="9"/>
      <x v="50"/>
      <x/>
      <x/>
      <x v="50"/>
      <x v="50"/>
      <x/>
      <x/>
      <x v="46"/>
    </i>
    <i r="1">
      <x v="37"/>
      <x v="27"/>
      <x v="2"/>
      <x/>
      <x v="30"/>
      <x v="3"/>
      <x v="36"/>
      <x v="9"/>
      <x v="51"/>
      <x/>
      <x/>
      <x v="51"/>
      <x v="51"/>
      <x/>
      <x/>
      <x v="47"/>
    </i>
    <i r="1">
      <x v="38"/>
      <x v="27"/>
      <x v="2"/>
      <x/>
      <x v="30"/>
      <x v="3"/>
      <x v="36"/>
      <x v="9"/>
      <x v="52"/>
      <x/>
      <x/>
      <x v="52"/>
      <x v="52"/>
      <x/>
      <x/>
      <x v="48"/>
    </i>
    <i>
      <x v="15"/>
      <x v="1"/>
      <x v="28"/>
      <x v="16"/>
      <x v="2"/>
      <x v="31"/>
      <x v="38"/>
      <x v="41"/>
      <x v="37"/>
      <x v="58"/>
      <x v="32"/>
      <x v="1"/>
      <x v="59"/>
      <x v="58"/>
      <x v="36"/>
      <x v="1"/>
      <x v="55"/>
    </i>
    <i>
      <x v="16"/>
      <x v="1"/>
      <x v="29"/>
      <x v="17"/>
      <x v="2"/>
      <x v="32"/>
      <x v="39"/>
      <x v="42"/>
      <x v="38"/>
      <x v="59"/>
      <x v="33"/>
      <x v="1"/>
      <x v="60"/>
      <x v="59"/>
      <x v="37"/>
      <x v="1"/>
      <x v="56"/>
    </i>
    <i>
      <x v="17"/>
      <x v="1"/>
      <x v="30"/>
      <x v="18"/>
      <x v="8"/>
      <x v="33"/>
      <x v="40"/>
      <x v="43"/>
      <x v="39"/>
      <x v="60"/>
      <x v="34"/>
      <x v="1"/>
      <x v="61"/>
      <x v="60"/>
      <x v="38"/>
      <x v="1"/>
      <x v="57"/>
    </i>
    <i>
      <x v="18"/>
      <x v="1"/>
      <x v="1"/>
      <x v="1"/>
      <x v="1"/>
      <x v="1"/>
      <x v="1"/>
      <x v="1"/>
      <x v="1"/>
      <x v="1"/>
      <x/>
      <x/>
      <x v="1"/>
      <x v="1"/>
      <x/>
      <x/>
      <x v="1"/>
    </i>
    <i>
      <x v="19"/>
      <x v="39"/>
      <x v="27"/>
      <x v="2"/>
      <x/>
      <x v="30"/>
      <x v="34"/>
      <x v="37"/>
      <x v="34"/>
      <x v="53"/>
      <x v="28"/>
      <x/>
      <x v="53"/>
      <x v="53"/>
      <x v="33"/>
      <x/>
      <x v="49"/>
    </i>
    <i r="1">
      <x v="40"/>
      <x v="15"/>
      <x v="8"/>
      <x/>
      <x v="30"/>
      <x v="34"/>
      <x v="37"/>
      <x v="34"/>
      <x v="54"/>
      <x v="29"/>
      <x/>
      <x v="54"/>
      <x v="54"/>
      <x v="34"/>
      <x/>
      <x v="50"/>
    </i>
    <i r="1">
      <x v="41"/>
      <x v="15"/>
      <x v="8"/>
      <x/>
      <x v="30"/>
      <x v="34"/>
      <x v="38"/>
      <x v="9"/>
      <x v="4"/>
      <x v="2"/>
      <x/>
      <x v="4"/>
      <x v="4"/>
      <x v="2"/>
      <x/>
      <x v="4"/>
    </i>
    <i r="9">
      <x v="55"/>
      <x v="30"/>
      <x/>
      <x v="55"/>
      <x v="55"/>
      <x v="31"/>
      <x/>
      <x v="51"/>
    </i>
    <i r="1">
      <x v="42"/>
      <x v="15"/>
      <x v="8"/>
      <x/>
      <x v="30"/>
      <x v="35"/>
      <x v="38"/>
      <x v="34"/>
      <x v="4"/>
      <x v="2"/>
      <x/>
      <x v="4"/>
      <x v="4"/>
      <x v="2"/>
      <x/>
      <x v="4"/>
    </i>
    <i>
      <x v="20"/>
      <x v="43"/>
      <x v="27"/>
      <x v="2"/>
      <x/>
      <x v="30"/>
      <x v="36"/>
      <x v="39"/>
      <x v="35"/>
      <x v="4"/>
      <x v="31"/>
      <x/>
      <x v="56"/>
      <x v="4"/>
      <x v="35"/>
      <x/>
      <x v="52"/>
    </i>
    <i r="1">
      <x v="44"/>
      <x v="15"/>
      <x v="8"/>
      <x/>
      <x v="30"/>
      <x v="35"/>
      <x v="40"/>
      <x v="36"/>
      <x v="56"/>
      <x v="2"/>
      <x/>
      <x v="57"/>
      <x v="56"/>
      <x v="2"/>
      <x/>
      <x v="53"/>
    </i>
    <i>
      <x v="21"/>
      <x v="44"/>
      <x v="15"/>
      <x v="3"/>
      <x/>
      <x v="13"/>
      <x v="37"/>
      <x v="4"/>
      <x v="4"/>
      <x v="57"/>
      <x v="2"/>
      <x/>
      <x v="58"/>
      <x v="57"/>
      <x v="2"/>
      <x/>
      <x v="54"/>
    </i>
  </rowItems>
  <colItems count="1">
    <i/>
  </colItem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</extLst>
</pivotTableDefinition>
</file>

<file path=xl/pivotTables/pivotTable2.xml><?xml version="1.0" encoding="utf-8"?>
<pivotTableDefinition xmlns="http://schemas.openxmlformats.org/spreadsheetml/2006/main" name="PivotTable1" cacheId="0" applyNumberFormats="0" applyBorderFormats="0" applyFontFormats="0" applyPatternFormats="0" applyAlignmentFormats="0" applyWidthHeightFormats="1" dataCaption="Values" showMissing="0" updatedVersion="4" minRefreshableVersion="3" useAutoFormatting="1" rowGrandTotals="0" colGrandTotals="0" itemPrintTitles="1" createdVersion="5" indent="0" compact="0" compactData="0" multipleFieldFilters="0">
  <location ref="AQ3:BD5" firstHeaderRow="1" firstDataRow="1" firstDataCol="14" rowPageCount="1" colPageCount="1"/>
  <pivotFields count="22">
    <pivotField axis="axisPage" compact="0" outline="0" showAll="0" defaultSubtotal="0">
      <items count="22">
        <item x="5"/>
        <item x="18"/>
        <item x="4"/>
        <item x="0"/>
        <item x="1"/>
        <item x="2"/>
        <item x="6"/>
        <item x="7"/>
        <item x="8"/>
        <item x="9"/>
        <item x="10"/>
        <item x="11"/>
        <item x="3"/>
        <item x="12"/>
        <item x="13"/>
        <item x="19"/>
        <item x="20"/>
        <item x="21"/>
        <item x="14"/>
        <item x="15"/>
        <item x="16"/>
        <item x="17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5">
        <item x="14"/>
        <item x="30"/>
        <item m="1" x="44"/>
        <item x="8"/>
        <item x="9"/>
        <item x="10"/>
        <item x="31"/>
        <item x="33"/>
        <item x="7"/>
        <item x="16"/>
        <item x="17"/>
        <item x="18"/>
        <item x="19"/>
        <item x="20"/>
        <item x="21"/>
        <item x="22"/>
        <item x="23"/>
        <item x="32"/>
        <item x="0"/>
        <item x="1"/>
        <item x="2"/>
        <item x="3"/>
        <item x="4"/>
        <item x="5"/>
        <item x="6"/>
        <item x="11"/>
        <item x="12"/>
        <item x="13"/>
        <item x="15"/>
        <item x="24"/>
        <item x="25"/>
        <item x="26"/>
        <item x="27"/>
        <item x="28"/>
        <item x="29"/>
        <item x="34"/>
        <item x="35"/>
        <item x="36"/>
        <item x="37"/>
        <item x="38"/>
        <item x="39"/>
        <item x="40"/>
        <item x="41"/>
        <item x="42"/>
        <item x="4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1">
        <item m="1" x="25"/>
        <item x="7"/>
        <item x="11"/>
        <item x="1"/>
        <item x="0"/>
        <item m="1" x="26"/>
        <item x="8"/>
        <item x="14"/>
        <item m="1" x="23"/>
        <item m="1" x="30"/>
        <item x="17"/>
        <item m="1" x="27"/>
        <item x="5"/>
        <item x="2"/>
        <item x="18"/>
        <item x="10"/>
        <item m="1" x="29"/>
        <item m="1" x="28"/>
        <item m="1" x="24"/>
        <item x="3"/>
        <item x="4"/>
        <item x="6"/>
        <item x="9"/>
        <item x="12"/>
        <item x="13"/>
        <item x="15"/>
        <item x="16"/>
        <item x="19"/>
        <item x="20"/>
        <item x="21"/>
        <item x="2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9">
        <item m="1" x="15"/>
        <item x="0"/>
        <item x="4"/>
        <item x="1"/>
        <item x="8"/>
        <item m="1" x="13"/>
        <item m="1" x="18"/>
        <item m="1" x="14"/>
        <item x="5"/>
        <item x="2"/>
        <item m="1" x="16"/>
        <item m="1" x="17"/>
        <item x="3"/>
        <item x="6"/>
        <item x="7"/>
        <item x="9"/>
        <item x="10"/>
        <item x="11"/>
        <item x="1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9">
        <item x="2"/>
        <item x="0"/>
        <item x="1"/>
        <item x="4"/>
        <item m="1" x="6"/>
        <item m="1" x="7"/>
        <item m="1" x="8"/>
        <item x="3"/>
        <item x="5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4">
        <item m="1" x="30"/>
        <item x="8"/>
        <item x="13"/>
        <item m="1" x="25"/>
        <item x="16"/>
        <item x="7"/>
        <item x="9"/>
        <item x="17"/>
        <item m="1" x="32"/>
        <item m="1" x="28"/>
        <item m="1" x="26"/>
        <item x="15"/>
        <item m="1" x="33"/>
        <item x="1"/>
        <item x="0"/>
        <item x="11"/>
        <item x="19"/>
        <item m="1" x="31"/>
        <item m="1" x="29"/>
        <item m="1" x="27"/>
        <item x="2"/>
        <item x="3"/>
        <item x="4"/>
        <item x="5"/>
        <item x="6"/>
        <item x="10"/>
        <item x="12"/>
        <item x="14"/>
        <item x="18"/>
        <item x="20"/>
        <item x="21"/>
        <item x="22"/>
        <item x="23"/>
        <item x="2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1">
        <item x="21"/>
        <item x="8"/>
        <item m="1" x="38"/>
        <item x="24"/>
        <item m="1" x="32"/>
        <item m="1" x="40"/>
        <item m="1" x="33"/>
        <item m="1" x="39"/>
        <item x="11"/>
        <item x="12"/>
        <item m="1" x="36"/>
        <item x="14"/>
        <item m="1" x="34"/>
        <item x="16"/>
        <item x="22"/>
        <item m="1" x="35"/>
        <item m="1" x="37"/>
        <item x="0"/>
        <item x="1"/>
        <item x="2"/>
        <item x="3"/>
        <item x="4"/>
        <item x="5"/>
        <item x="6"/>
        <item x="7"/>
        <item x="9"/>
        <item x="10"/>
        <item x="13"/>
        <item x="15"/>
        <item x="17"/>
        <item x="18"/>
        <item x="19"/>
        <item x="20"/>
        <item x="23"/>
        <item x="25"/>
        <item x="26"/>
        <item x="27"/>
        <item x="28"/>
        <item x="29"/>
        <item x="30"/>
        <item x="3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4">
        <item x="15"/>
        <item x="8"/>
        <item m="1" x="41"/>
        <item m="1" x="39"/>
        <item x="31"/>
        <item m="1" x="37"/>
        <item m="1" x="42"/>
        <item m="1" x="43"/>
        <item m="1" x="35"/>
        <item x="13"/>
        <item x="14"/>
        <item x="16"/>
        <item x="17"/>
        <item x="18"/>
        <item x="19"/>
        <item m="1" x="40"/>
        <item m="1" x="36"/>
        <item m="1" x="38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20"/>
        <item x="21"/>
        <item x="22"/>
        <item x="23"/>
        <item x="24"/>
        <item x="25"/>
        <item x="26"/>
        <item x="27"/>
        <item x="28"/>
        <item x="29"/>
        <item x="30"/>
        <item x="32"/>
        <item x="33"/>
        <item x="3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0">
        <item m="1" x="33"/>
        <item x="8"/>
        <item x="10"/>
        <item m="1" x="31"/>
        <item x="27"/>
        <item m="1" x="36"/>
        <item m="1" x="32"/>
        <item m="1" x="38"/>
        <item m="1" x="34"/>
        <item x="12"/>
        <item x="13"/>
        <item x="15"/>
        <item x="16"/>
        <item x="17"/>
        <item x="19"/>
        <item x="20"/>
        <item m="1" x="37"/>
        <item m="1" x="35"/>
        <item m="1" x="39"/>
        <item x="0"/>
        <item x="1"/>
        <item x="2"/>
        <item x="3"/>
        <item x="4"/>
        <item x="5"/>
        <item x="6"/>
        <item x="7"/>
        <item x="9"/>
        <item x="11"/>
        <item x="14"/>
        <item x="18"/>
        <item x="21"/>
        <item x="22"/>
        <item x="23"/>
        <item x="24"/>
        <item x="25"/>
        <item x="26"/>
        <item x="28"/>
        <item x="29"/>
        <item x="3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1">
        <item m="1" x="43"/>
        <item x="8"/>
        <item m="1" x="41"/>
        <item m="1" x="49"/>
        <item x="35"/>
        <item m="1" x="47"/>
        <item m="1" x="53"/>
        <item m="1" x="45"/>
        <item m="1" x="52"/>
        <item m="1" x="50"/>
        <item m="1" x="55"/>
        <item m="1" x="42"/>
        <item m="1" x="59"/>
        <item m="1" x="51"/>
        <item m="1" x="58"/>
        <item m="1" x="48"/>
        <item m="1" x="46"/>
        <item m="1" x="57"/>
        <item m="1" x="60"/>
        <item m="1" x="44"/>
        <item m="1" x="54"/>
        <item m="1" x="56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5">
        <item n="  -" x="0"/>
        <item m="1" x="24"/>
        <item x="6"/>
        <item m="1" x="26"/>
        <item m="1" x="29"/>
        <item m="1" x="34"/>
        <item m="1" x="25"/>
        <item m="1" x="31"/>
        <item x="14"/>
        <item m="1" x="30"/>
        <item x="9"/>
        <item x="11"/>
        <item m="1" x="33"/>
        <item x="12"/>
        <item m="1" x="28"/>
        <item m="1" x="32"/>
        <item m="1" x="27"/>
        <item x="1"/>
        <item x="2"/>
        <item x="3"/>
        <item x="4"/>
        <item x="5"/>
        <item x="7"/>
        <item x="8"/>
        <item x="10"/>
        <item x="13"/>
        <item x="15"/>
        <item x="16"/>
        <item x="17"/>
        <item x="18"/>
        <item x="19"/>
        <item x="20"/>
        <item x="21"/>
        <item x="22"/>
        <item x="2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items count="2">
        <item n="  -"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2">
        <item m="1" x="49"/>
        <item x="8"/>
        <item m="1" x="44"/>
        <item m="1" x="57"/>
        <item x="35"/>
        <item m="1" x="60"/>
        <item m="1" x="55"/>
        <item m="1" x="61"/>
        <item m="1" x="50"/>
        <item m="1" x="51"/>
        <item m="1" x="43"/>
        <item m="1" x="48"/>
        <item m="1" x="56"/>
        <item m="1" x="45"/>
        <item m="1" x="47"/>
        <item m="1" x="52"/>
        <item m="1" x="59"/>
        <item m="1" x="54"/>
        <item m="1" x="58"/>
        <item m="1" x="53"/>
        <item m="1" x="42"/>
        <item m="1" x="46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  <item x="4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1">
        <item m="1" x="41"/>
        <item x="8"/>
        <item m="1" x="56"/>
        <item m="1" x="59"/>
        <item x="35"/>
        <item m="1" x="43"/>
        <item m="1" x="54"/>
        <item m="1" x="55"/>
        <item m="1" x="51"/>
        <item m="1" x="58"/>
        <item m="1" x="57"/>
        <item m="1" x="42"/>
        <item m="1" x="48"/>
        <item m="1" x="44"/>
        <item m="1" x="50"/>
        <item m="1" x="60"/>
        <item m="1" x="46"/>
        <item m="1" x="49"/>
        <item m="1" x="45"/>
        <item m="1" x="47"/>
        <item m="1" x="53"/>
        <item m="1" x="52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9">
        <item n="  -" x="0"/>
        <item m="1" x="34"/>
        <item x="7"/>
        <item x="1"/>
        <item m="1" x="30"/>
        <item m="1" x="32"/>
        <item m="1" x="37"/>
        <item m="1" x="38"/>
        <item m="1" x="35"/>
        <item m="1" x="31"/>
        <item m="1" x="36"/>
        <item m="1" x="27"/>
        <item m="1" x="28"/>
        <item m="1" x="25"/>
        <item m="1" x="33"/>
        <item m="1" x="29"/>
        <item m="1" x="26"/>
        <item x="2"/>
        <item x="3"/>
        <item x="4"/>
        <item x="5"/>
        <item x="6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items count="2">
        <item n="  -"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58">
        <item m="1" x="42"/>
        <item x="8"/>
        <item m="1" x="49"/>
        <item m="1" x="43"/>
        <item x="35"/>
        <item m="1" x="50"/>
        <item m="1" x="47"/>
        <item m="1" x="48"/>
        <item m="1" x="44"/>
        <item m="1" x="57"/>
        <item m="1" x="51"/>
        <item m="1" x="53"/>
        <item m="1" x="54"/>
        <item m="1" x="56"/>
        <item m="1" x="52"/>
        <item m="1" x="45"/>
        <item m="1" x="46"/>
        <item m="1" x="55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  <item x="4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14">
    <field x="1"/>
    <field x="2"/>
    <field x="3"/>
    <field x="4"/>
    <field x="5"/>
    <field x="6"/>
    <field x="7"/>
    <field x="8"/>
    <field x="9"/>
    <field x="10"/>
    <field x="12"/>
    <field x="13"/>
    <field x="14"/>
    <field x="16"/>
  </rowFields>
  <rowItems count="2">
    <i>
      <x v="26"/>
      <x v="12"/>
      <x v="8"/>
      <x/>
      <x v="25"/>
      <x v="25"/>
      <x v="27"/>
      <x v="2"/>
      <x v="31"/>
      <x v="17"/>
      <x v="31"/>
      <x v="31"/>
      <x v="21"/>
      <x v="27"/>
    </i>
    <i>
      <x v="27"/>
      <x v="4"/>
      <x v="13"/>
      <x/>
      <x v="15"/>
      <x v="1"/>
      <x v="1"/>
      <x v="1"/>
      <x v="1"/>
      <x/>
      <x v="1"/>
      <x v="1"/>
      <x/>
      <x v="1"/>
    </i>
  </rowItems>
  <colItems count="1">
    <i/>
  </colItems>
  <pageFields count="1">
    <pageField fld="0" item="2" hier="-1"/>
  </page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</extLst>
</pivotTableDefinition>
</file>

<file path=xl/pivotTables/pivotTable3.xml><?xml version="1.0" encoding="utf-8"?>
<pivotTableDefinition xmlns="http://schemas.openxmlformats.org/spreadsheetml/2006/main" name="PivotTable2" cacheId="2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outline="1" outlineData="1" multipleFieldFilters="0">
  <location ref="A3:J20" firstHeaderRow="0" firstDataRow="1" firstDataCol="1"/>
  <pivotFields count="22">
    <pivotField axis="axisRow" showAll="0">
      <items count="25">
        <item x="5"/>
        <item x="12"/>
        <item x="4"/>
        <item x="0"/>
        <item x="1"/>
        <item x="2"/>
        <item m="1" x="23"/>
        <item m="1" x="17"/>
        <item x="6"/>
        <item m="1" x="22"/>
        <item x="7"/>
        <item x="8"/>
        <item x="3"/>
        <item m="1" x="18"/>
        <item x="9"/>
        <item x="13"/>
        <item x="14"/>
        <item x="15"/>
        <item m="1" x="19"/>
        <item m="1" x="21"/>
        <item m="1" x="20"/>
        <item m="1" x="16"/>
        <item x="10"/>
        <item x="11"/>
        <item t="default"/>
      </items>
    </pivotField>
    <pivotField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showAll="0"/>
    <pivotField showAll="0"/>
    <pivotField showAll="0"/>
    <pivotField showAll="0"/>
    <pivotField showAll="0"/>
  </pivotFields>
  <rowFields count="1">
    <field x="0"/>
  </rowFields>
  <rowItems count="17">
    <i>
      <x/>
    </i>
    <i>
      <x v="1"/>
    </i>
    <i>
      <x v="2"/>
    </i>
    <i>
      <x v="3"/>
    </i>
    <i>
      <x v="4"/>
    </i>
    <i>
      <x v="5"/>
    </i>
    <i>
      <x v="8"/>
    </i>
    <i>
      <x v="10"/>
    </i>
    <i>
      <x v="11"/>
    </i>
    <i>
      <x v="12"/>
    </i>
    <i>
      <x v="14"/>
    </i>
    <i>
      <x v="15"/>
    </i>
    <i>
      <x v="16"/>
    </i>
    <i>
      <x v="17"/>
    </i>
    <i>
      <x v="22"/>
    </i>
    <i>
      <x v="23"/>
    </i>
    <i t="grand">
      <x/>
    </i>
  </rowItems>
  <colFields count="1">
    <field x="-2"/>
  </colFields>
  <colItems count="9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</colItems>
  <dataFields count="9">
    <dataField name="Sum of Number of Aircraft  At the end of Year" fld="5" baseField="0" baseItem="12"/>
    <dataField name="Sum of No. of aircraft departures Revenue Flights Scheduled" fld="9" baseField="0" baseItem="1"/>
    <dataField name="Sum of No. of aircraft departures Revenue Flights Non scheduled" fld="10" baseField="0" baseItem="1"/>
    <dataField name="Sum of No. of aircraft departures Non Revenue" fld="11" baseField="0" baseItem="1"/>
    <dataField name="Sum of No. of aircraft departures Total All Flights" fld="12" baseField="0" baseItem="1"/>
    <dataField name="Sum of Aircraft hours flown Revenue Flights Scheduled" fld="13" baseField="0" baseItem="1"/>
    <dataField name="Sum of Aircraft hours flown Revenue Flights Non scheduled" fld="14" baseField="0" baseItem="1"/>
    <dataField name="Sum of Aircraft hours flown Non revenue" fld="15" baseField="0" baseItem="1"/>
    <dataField name="Sum of Aircraft hours flown Total All Flights" fld="16" baseField="0" baseItem="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4.xml><?xml version="1.0" encoding="utf-8"?>
<pivotTableDefinition xmlns="http://schemas.openxmlformats.org/spreadsheetml/2006/main" name="PivotTable3" cacheId="3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outline="1" outlineData="1" multipleFieldFilters="0">
  <location ref="A3:C20" firstHeaderRow="0" firstDataRow="1" firstDataCol="1"/>
  <pivotFields count="6">
    <pivotField axis="axisRow" showAll="0">
      <items count="24">
        <item x="6"/>
        <item m="1" x="21"/>
        <item x="0"/>
        <item x="1"/>
        <item m="1" x="18"/>
        <item x="15"/>
        <item x="2"/>
        <item x="8"/>
        <item x="3"/>
        <item x="4"/>
        <item m="1" x="22"/>
        <item m="1" x="17"/>
        <item x="13"/>
        <item x="14"/>
        <item x="5"/>
        <item x="9"/>
        <item x="7"/>
        <item x="12"/>
        <item m="1" x="20"/>
        <item m="1" x="16"/>
        <item m="1" x="19"/>
        <item x="10"/>
        <item x="11"/>
        <item t="default"/>
      </items>
    </pivotField>
    <pivotField showAll="0"/>
    <pivotField showAll="0"/>
    <pivotField showAll="0"/>
    <pivotField dataField="1" showAll="0"/>
    <pivotField dataField="1" showAll="0"/>
  </pivotFields>
  <rowFields count="1">
    <field x="0"/>
  </rowFields>
  <rowItems count="17">
    <i>
      <x/>
    </i>
    <i>
      <x v="2"/>
    </i>
    <i>
      <x v="3"/>
    </i>
    <i>
      <x v="5"/>
    </i>
    <i>
      <x v="6"/>
    </i>
    <i>
      <x v="7"/>
    </i>
    <i>
      <x v="8"/>
    </i>
    <i>
      <x v="9"/>
    </i>
    <i>
      <x v="12"/>
    </i>
    <i>
      <x v="13"/>
    </i>
    <i>
      <x v="14"/>
    </i>
    <i>
      <x v="15"/>
    </i>
    <i>
      <x v="16"/>
    </i>
    <i>
      <x v="17"/>
    </i>
    <i>
      <x v="21"/>
    </i>
    <i>
      <x v="22"/>
    </i>
    <i t="grand">
      <x/>
    </i>
  </rowItems>
  <colFields count="1">
    <field x="-2"/>
  </colFields>
  <colItems count="2">
    <i>
      <x/>
    </i>
    <i i="1">
      <x v="1"/>
    </i>
  </colItems>
  <dataFields count="2">
    <dataField name="Sum of Number of personnel Year-end" fld="4" baseField="0" baseItem="14"/>
    <dataField name="Sum of Total annual expenditures for each category (Rs.in Million)" fld="5" baseField="0" baseItem="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5.xml><?xml version="1.0" encoding="utf-8"?>
<pivotTableDefinition xmlns="http://schemas.openxmlformats.org/spreadsheetml/2006/main" name="PivotTable5" cacheId="3" applyNumberFormats="0" applyBorderFormats="0" applyFontFormats="0" applyPatternFormats="0" applyAlignmentFormats="0" applyWidthHeightFormats="1" dataCaption="Values" updatedVersion="5" minRefreshableVersion="3" useAutoFormatting="1" rowGrandTotals="0" colGrandTotals="0" itemPrintTitles="1" createdVersion="5" indent="0" compact="0" compactData="0" multipleFieldFilters="0">
  <location ref="W3:AA124" firstHeaderRow="0" firstDataRow="1" firstDataCol="2"/>
  <pivotFields count="6">
    <pivotField axis="axisRow" compact="0" outline="0" showAll="0" defaultSubtotal="0">
      <items count="23">
        <item x="6"/>
        <item m="1" x="21"/>
        <item x="0"/>
        <item x="1"/>
        <item m="1" x="18"/>
        <item x="15"/>
        <item x="2"/>
        <item x="8"/>
        <item x="3"/>
        <item x="4"/>
        <item m="1" x="22"/>
        <item m="1" x="17"/>
        <item x="13"/>
        <item x="14"/>
        <item x="5"/>
        <item x="9"/>
        <item x="7"/>
        <item x="12"/>
        <item m="1" x="20"/>
        <item m="1" x="16"/>
        <item m="1" x="19"/>
        <item x="10"/>
        <item x="1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9">
        <item x="0"/>
        <item x="1"/>
        <item x="2"/>
        <item x="3"/>
        <item x="4"/>
        <item x="5"/>
        <item x="6"/>
        <item x="7"/>
        <item x="8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2">
    <field x="0"/>
    <field x="1"/>
  </rowFields>
  <rowItems count="121">
    <i>
      <x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2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3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5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6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7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8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9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2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3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4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5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6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7"/>
      <x v="8"/>
    </i>
    <i>
      <x v="21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22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</rowItems>
  <colFields count="1">
    <field x="-2"/>
  </colFields>
  <colItems count="3">
    <i>
      <x/>
    </i>
    <i i="1">
      <x v="1"/>
    </i>
    <i i="2">
      <x v="2"/>
    </i>
  </colItems>
  <dataFields count="3">
    <dataField name="Sum of Number of personnel Mid-year" fld="3" baseField="1" baseItem="0"/>
    <dataField name="Sum of Number of personnel Year-end" fld="4" baseField="1" baseItem="0"/>
    <dataField name="Sum of Total annual expenditures for each category (Rs.in Million)" fld="5" baseField="1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</extLst>
</pivotTableDefinition>
</file>

<file path=xl/pivotTables/pivotTable6.xml><?xml version="1.0" encoding="utf-8"?>
<pivotTableDefinition xmlns="http://schemas.openxmlformats.org/spreadsheetml/2006/main" name="PivotTable1" cacheId="1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outline="1" outlineData="1" multipleFieldFilters="0">
  <location ref="A3:Y23" firstHeaderRow="0" firstDataRow="1" firstDataCol="1"/>
  <pivotFields count="109">
    <pivotField axis="axisRow" showAll="0">
      <items count="27">
        <item x="8"/>
        <item m="1" x="25"/>
        <item x="0"/>
        <item x="1"/>
        <item m="1" x="21"/>
        <item x="2"/>
        <item x="10"/>
        <item x="3"/>
        <item x="4"/>
        <item x="5"/>
        <item x="6"/>
        <item x="7"/>
        <item x="11"/>
        <item x="9"/>
        <item x="14"/>
        <item x="15"/>
        <item x="16"/>
        <item x="17"/>
        <item m="1" x="24"/>
        <item m="1" x="22"/>
        <item m="1" x="19"/>
        <item m="1" x="23"/>
        <item m="1" x="20"/>
        <item x="12"/>
        <item x="13"/>
        <item x="18"/>
        <item t="default"/>
      </items>
    </pivotField>
    <pivotField showAll="0"/>
    <pivotField dataField="1" showAll="0"/>
    <pivotField dataField="1" showAll="0"/>
    <pivotField dataField="1" showAll="0"/>
    <pivotField dataField="1" showAll="0"/>
    <pivotField dataField="1" showAll="0"/>
    <pivotField showAll="0"/>
    <pivotField dataField="1" showAll="0"/>
    <pivotField showAll="0"/>
    <pivotField showAll="0"/>
    <pivotField dataField="1" showAll="0"/>
    <pivotField showAll="0"/>
    <pivotField showAll="0"/>
    <pivotField dataField="1" showAll="0"/>
    <pivotField dataField="1" showAll="0"/>
    <pivotField showAll="0"/>
    <pivotField showAll="0"/>
    <pivotField showAll="0"/>
    <pivotField showAll="0"/>
    <pivotField showAll="0"/>
    <pivotField dataField="1" showAll="0"/>
    <pivotField dataField="1" showAll="0"/>
    <pivotField showAll="0"/>
    <pivotField showAll="0"/>
    <pivotField showAll="0"/>
    <pivotField showAll="0"/>
    <pivotField dataField="1" showAll="0"/>
    <pivotField showAll="0"/>
    <pivotField showAll="0"/>
    <pivotField dataField="1" showAll="0"/>
    <pivotField dataField="1" showAll="0"/>
    <pivotField showAll="0"/>
    <pivotField showAll="0"/>
    <pivotField dataField="1" showAll="0"/>
    <pivotField showAll="0"/>
    <pivotField showAll="0"/>
    <pivotField dataField="1" showAll="0"/>
    <pivotField dataField="1" showAll="0"/>
    <pivotField showAll="0"/>
    <pivotField showAll="0"/>
    <pivotField dataField="1"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dataField="1" showAll="0"/>
    <pivotField dataField="1" showAll="0"/>
    <pivotField showAll="0"/>
    <pivotField showAll="0"/>
    <pivotField dataField="1" showAll="0"/>
    <pivotField showAll="0"/>
    <pivotField dataField="1"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</pivotFields>
  <rowFields count="1">
    <field x="0"/>
  </rowFields>
  <rowItems count="20">
    <i>
      <x/>
    </i>
    <i>
      <x v="2"/>
    </i>
    <i>
      <x v="3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23"/>
    </i>
    <i>
      <x v="24"/>
    </i>
    <i>
      <x v="25"/>
    </i>
    <i t="grand">
      <x/>
    </i>
  </rowItems>
  <colFields count="1">
    <field x="-2"/>
  </colFields>
  <colItems count="24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  <i i="16">
      <x v="16"/>
    </i>
    <i i="17">
      <x v="17"/>
    </i>
    <i i="18">
      <x v="18"/>
    </i>
    <i i="19">
      <x v="19"/>
    </i>
    <i i="20">
      <x v="20"/>
    </i>
    <i i="21">
      <x v="21"/>
    </i>
    <i i="22">
      <x v="22"/>
    </i>
    <i i="23">
      <x v="23"/>
    </i>
  </colItems>
  <dataFields count="24">
    <dataField name="Sum of P1-1.1" fld="2" baseField="0" baseItem="0"/>
    <dataField name="Sum of P1-1.2" fld="3" baseField="0" baseItem="2"/>
    <dataField name="Sum of P1-1.3" fld="4" baseField="0" baseItem="2"/>
    <dataField name="Sum of P1-1.4" fld="5" baseField="0" baseItem="2"/>
    <dataField name="Sum of P1-1.5" fld="6" baseField="0" baseItem="2"/>
    <dataField name="Sum of P1-2" fld="8" baseField="0" baseItem="2"/>
    <dataField name="Sum of P1-3" fld="11" baseField="0" baseItem="2"/>
    <dataField name="Sum of P1-4" fld="14" baseField="0" baseItem="2"/>
    <dataField name="Sum of P1-5" fld="15" baseField="0" baseItem="2"/>
    <dataField name="Sum of P1-6" fld="21" baseField="0" baseItem="2"/>
    <dataField name="Sum of P1-7" fld="22" baseField="0" baseItem="2"/>
    <dataField name="Sum of P1-8" fld="27" baseField="0" baseItem="2"/>
    <dataField name="Sum of P1-9" fld="30" baseField="0" baseItem="2"/>
    <dataField name="Sum of P1-10" fld="31" baseField="0" baseItem="2"/>
    <dataField name="Sum of P1-11" fld="34" baseField="0" baseItem="2"/>
    <dataField name="Sum of P1-12" fld="37" baseField="0" baseItem="2"/>
    <dataField name="Sum of P1-13" fld="38" baseField="0" baseItem="2"/>
    <dataField name="Sum of P1-14" fld="41" baseField="0" baseItem="2"/>
    <dataField name="Sum of P1-15" fld="42" baseField="0" baseItem="2"/>
    <dataField name="Sum of P1-21" fld="50" baseField="0" baseItem="2"/>
    <dataField name="Sum of P1-22" fld="51" baseField="0" baseItem="2"/>
    <dataField name="Sum of P1-23" fld="52" baseField="0" baseItem="2"/>
    <dataField name="Sum of P1-24" fld="55" baseField="0" baseItem="2"/>
    <dataField name="Sum of P1-26" fld="57" baseField="0" baseItem="2"/>
  </dataFields>
  <formats count="9">
    <format dxfId="8">
      <pivotArea outline="0" collapsedLevelsAreSubtotals="1" fieldPosition="0"/>
    </format>
    <format dxfId="7">
      <pivotArea dataOnly="0" labelOnly="1" fieldPosition="0">
        <references count="1">
          <reference field="0" count="0"/>
        </references>
      </pivotArea>
    </format>
    <format dxfId="6">
      <pivotArea dataOnly="0" labelOnly="1" grandRow="1" outline="0" fieldPosition="0"/>
    </format>
    <format dxfId="5">
      <pivotArea outline="0" collapsedLevelsAreSubtotals="1" fieldPosition="0"/>
    </format>
    <format dxfId="4">
      <pivotArea outline="0" collapsedLevelsAreSubtotals="1" fieldPosition="0"/>
    </format>
    <format dxfId="3">
      <pivotArea dataOnly="0" labelOnly="1" fieldPosition="0">
        <references count="1">
          <reference field="0" count="0"/>
        </references>
      </pivotArea>
    </format>
    <format dxfId="2">
      <pivotArea dataOnly="0" labelOnly="1" grandRow="1" outline="0" fieldPosition="0"/>
    </format>
    <format dxfId="1">
      <pivotArea dataOnly="0" labelOnly="1" fieldPosition="0">
        <references count="1">
          <reference field="0" count="0"/>
        </references>
      </pivotArea>
    </format>
    <format dxfId="0">
      <pivotArea dataOnly="0" labelOnly="1" grandRow="1" outline="0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5.xml"/><Relationship Id="rId1" Type="http://schemas.openxmlformats.org/officeDocument/2006/relationships/pivotTable" Target="../pivotTables/pivotTable4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6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BE2003"/>
  <sheetViews>
    <sheetView workbookViewId="0">
      <selection activeCell="B31" sqref="B31"/>
    </sheetView>
  </sheetViews>
  <sheetFormatPr defaultRowHeight="12.75"/>
  <cols>
    <col min="1" max="1" width="32.28515625" customWidth="1"/>
    <col min="2" max="2" width="43.140625" customWidth="1"/>
    <col min="3" max="3" width="57.5703125" customWidth="1"/>
    <col min="4" max="4" width="61.42578125" customWidth="1"/>
    <col min="5" max="5" width="44.42578125" customWidth="1"/>
    <col min="6" max="6" width="46.5703125" customWidth="1"/>
    <col min="7" max="7" width="52.5703125" customWidth="1"/>
    <col min="8" max="8" width="56.42578125" customWidth="1"/>
    <col min="9" max="9" width="38.85546875" customWidth="1"/>
    <col min="10" max="10" width="41.42578125" bestFit="1" customWidth="1"/>
    <col min="20" max="20" width="24.5703125" bestFit="1" customWidth="1"/>
    <col min="21" max="21" width="13.85546875" bestFit="1" customWidth="1"/>
    <col min="22" max="22" width="14.85546875" customWidth="1"/>
    <col min="23" max="23" width="43.85546875" customWidth="1"/>
    <col min="24" max="24" width="29.7109375" customWidth="1"/>
    <col min="25" max="25" width="32.7109375" customWidth="1"/>
    <col min="26" max="26" width="38.140625" customWidth="1"/>
    <col min="27" max="27" width="32.5703125" customWidth="1"/>
    <col min="28" max="28" width="32.28515625" customWidth="1"/>
    <col min="29" max="29" width="27.140625" customWidth="1"/>
    <col min="30" max="30" width="52.7109375" customWidth="1"/>
    <col min="31" max="31" width="56.42578125" bestFit="1" customWidth="1"/>
    <col min="32" max="32" width="39.42578125" bestFit="1" customWidth="1"/>
    <col min="33" max="33" width="41.5703125" bestFit="1" customWidth="1"/>
    <col min="34" max="34" width="47.5703125" bestFit="1" customWidth="1"/>
    <col min="35" max="35" width="51.42578125" bestFit="1" customWidth="1"/>
    <col min="36" max="36" width="33.85546875" bestFit="1" customWidth="1"/>
    <col min="37" max="37" width="36.5703125" bestFit="1" customWidth="1"/>
    <col min="56" max="58" width="36.5703125" bestFit="1" customWidth="1"/>
  </cols>
  <sheetData>
    <row r="1" spans="1:57">
      <c r="A1" s="12" t="s">
        <v>101</v>
      </c>
      <c r="B1" s="12" t="s">
        <v>101</v>
      </c>
      <c r="C1" s="12" t="s">
        <v>101</v>
      </c>
      <c r="D1" s="12" t="s">
        <v>101</v>
      </c>
      <c r="E1" s="12" t="s">
        <v>101</v>
      </c>
      <c r="F1" s="12" t="s">
        <v>101</v>
      </c>
      <c r="G1" s="12" t="s">
        <v>101</v>
      </c>
      <c r="H1" s="12" t="s">
        <v>101</v>
      </c>
      <c r="I1" s="12" t="s">
        <v>101</v>
      </c>
      <c r="J1" s="12" t="s">
        <v>101</v>
      </c>
      <c r="K1" s="12" t="s">
        <v>101</v>
      </c>
      <c r="L1" s="12" t="s">
        <v>101</v>
      </c>
      <c r="M1" s="12" t="s">
        <v>101</v>
      </c>
      <c r="N1" s="12" t="s">
        <v>101</v>
      </c>
      <c r="O1" s="12" t="s">
        <v>101</v>
      </c>
      <c r="P1" s="12" t="s">
        <v>101</v>
      </c>
      <c r="Q1" s="12" t="s">
        <v>101</v>
      </c>
      <c r="R1" s="12" t="s">
        <v>101</v>
      </c>
      <c r="S1" s="12" t="s">
        <v>101</v>
      </c>
      <c r="T1" s="12" t="s">
        <v>101</v>
      </c>
      <c r="U1" s="12" t="s">
        <v>101</v>
      </c>
      <c r="V1" s="12" t="s">
        <v>101</v>
      </c>
      <c r="W1" s="12" t="s">
        <v>101</v>
      </c>
      <c r="X1" s="12" t="s">
        <v>101</v>
      </c>
      <c r="Y1" s="12" t="s">
        <v>101</v>
      </c>
      <c r="Z1" s="12" t="s">
        <v>101</v>
      </c>
      <c r="AA1" s="12" t="s">
        <v>101</v>
      </c>
      <c r="AB1" s="12" t="s">
        <v>101</v>
      </c>
      <c r="AC1" s="12" t="s">
        <v>101</v>
      </c>
      <c r="AD1" s="12" t="s">
        <v>101</v>
      </c>
      <c r="AE1" s="12" t="s">
        <v>101</v>
      </c>
      <c r="AF1" s="12" t="s">
        <v>101</v>
      </c>
      <c r="AG1" s="12" t="s">
        <v>101</v>
      </c>
      <c r="AH1" s="12" t="s">
        <v>101</v>
      </c>
      <c r="AI1" s="12" t="s">
        <v>101</v>
      </c>
      <c r="AJ1" s="12" t="s">
        <v>101</v>
      </c>
      <c r="AK1" s="12" t="s">
        <v>101</v>
      </c>
      <c r="AQ1" s="8" t="s">
        <v>36</v>
      </c>
      <c r="AR1" t="s">
        <v>26</v>
      </c>
    </row>
    <row r="2" spans="1:57">
      <c r="A2" s="12" t="s">
        <v>101</v>
      </c>
      <c r="B2" s="29" t="e">
        <f>#REF!</f>
        <v>#REF!</v>
      </c>
      <c r="C2" s="12" t="s">
        <v>101</v>
      </c>
      <c r="D2" s="12" t="s">
        <v>101</v>
      </c>
      <c r="E2" s="12" t="s">
        <v>101</v>
      </c>
      <c r="F2" s="12" t="s">
        <v>101</v>
      </c>
      <c r="G2" s="12" t="s">
        <v>101</v>
      </c>
      <c r="H2" s="12" t="s">
        <v>101</v>
      </c>
      <c r="I2" s="12" t="s">
        <v>101</v>
      </c>
      <c r="J2" s="12" t="s">
        <v>101</v>
      </c>
      <c r="K2" s="12" t="s">
        <v>101</v>
      </c>
      <c r="L2" s="12" t="s">
        <v>101</v>
      </c>
      <c r="M2" s="12" t="s">
        <v>101</v>
      </c>
      <c r="N2" s="12" t="s">
        <v>101</v>
      </c>
      <c r="O2" s="12" t="s">
        <v>101</v>
      </c>
      <c r="P2" s="12" t="s">
        <v>101</v>
      </c>
      <c r="Q2" s="12" t="s">
        <v>101</v>
      </c>
      <c r="R2" s="12" t="s">
        <v>101</v>
      </c>
      <c r="S2" s="12" t="s">
        <v>101</v>
      </c>
      <c r="T2" s="12" t="s">
        <v>101</v>
      </c>
      <c r="U2" s="12" t="s">
        <v>101</v>
      </c>
      <c r="V2" s="12" t="s">
        <v>101</v>
      </c>
      <c r="W2" s="12" t="s">
        <v>101</v>
      </c>
      <c r="X2" s="12" t="s">
        <v>101</v>
      </c>
      <c r="Y2" s="12" t="s">
        <v>101</v>
      </c>
      <c r="Z2" s="12" t="s">
        <v>101</v>
      </c>
      <c r="AA2" s="12" t="s">
        <v>101</v>
      </c>
      <c r="AB2" s="12" t="s">
        <v>101</v>
      </c>
      <c r="AC2" s="12" t="s">
        <v>101</v>
      </c>
      <c r="AD2" s="12" t="s">
        <v>101</v>
      </c>
      <c r="AE2" s="12" t="s">
        <v>101</v>
      </c>
      <c r="AF2" s="12" t="s">
        <v>101</v>
      </c>
      <c r="AG2" s="12" t="s">
        <v>101</v>
      </c>
      <c r="AH2" s="12" t="s">
        <v>101</v>
      </c>
      <c r="AI2" s="12" t="s">
        <v>101</v>
      </c>
      <c r="AJ2" s="12" t="s">
        <v>101</v>
      </c>
      <c r="AK2" s="12" t="s">
        <v>101</v>
      </c>
    </row>
    <row r="3" spans="1:57" ht="15.75" customHeight="1">
      <c r="A3" s="8" t="s">
        <v>47</v>
      </c>
      <c r="B3" t="s">
        <v>65</v>
      </c>
      <c r="C3" t="s">
        <v>67</v>
      </c>
      <c r="D3" t="s">
        <v>68</v>
      </c>
      <c r="E3" t="s">
        <v>69</v>
      </c>
      <c r="F3" t="s">
        <v>70</v>
      </c>
      <c r="G3" t="s">
        <v>71</v>
      </c>
      <c r="H3" t="s">
        <v>72</v>
      </c>
      <c r="I3" t="s">
        <v>73</v>
      </c>
      <c r="J3" t="s">
        <v>74</v>
      </c>
      <c r="K3" s="12" t="s">
        <v>101</v>
      </c>
      <c r="L3" s="12" t="s">
        <v>101</v>
      </c>
      <c r="M3" s="12" t="s">
        <v>101</v>
      </c>
      <c r="N3" s="12" t="s">
        <v>101</v>
      </c>
      <c r="O3" s="12" t="s">
        <v>101</v>
      </c>
      <c r="P3" s="12" t="s">
        <v>101</v>
      </c>
      <c r="Q3" s="12" t="s">
        <v>101</v>
      </c>
      <c r="R3" s="12" t="s">
        <v>101</v>
      </c>
      <c r="S3" s="12" t="s">
        <v>101</v>
      </c>
      <c r="T3" s="25" t="s">
        <v>101</v>
      </c>
      <c r="U3" s="8" t="s">
        <v>36</v>
      </c>
      <c r="V3" s="8" t="s">
        <v>37</v>
      </c>
      <c r="W3" s="8" t="s">
        <v>51</v>
      </c>
      <c r="X3" s="8" t="s">
        <v>52</v>
      </c>
      <c r="Y3" s="8" t="s">
        <v>53</v>
      </c>
      <c r="Z3" s="8" t="s">
        <v>54</v>
      </c>
      <c r="AA3" s="8" t="s">
        <v>38</v>
      </c>
      <c r="AB3" s="8" t="s">
        <v>39</v>
      </c>
      <c r="AC3" s="8" t="s">
        <v>40</v>
      </c>
      <c r="AD3" s="8" t="s">
        <v>55</v>
      </c>
      <c r="AE3" s="8" t="s">
        <v>56</v>
      </c>
      <c r="AF3" s="8" t="s">
        <v>57</v>
      </c>
      <c r="AG3" s="8" t="s">
        <v>58</v>
      </c>
      <c r="AH3" s="8" t="s">
        <v>59</v>
      </c>
      <c r="AI3" s="8" t="s">
        <v>60</v>
      </c>
      <c r="AJ3" s="8" t="s">
        <v>61</v>
      </c>
      <c r="AK3" s="8" t="s">
        <v>62</v>
      </c>
      <c r="AQ3" s="8" t="s">
        <v>37</v>
      </c>
      <c r="AR3" s="8" t="s">
        <v>51</v>
      </c>
      <c r="AS3" s="8" t="s">
        <v>52</v>
      </c>
      <c r="AT3" s="8" t="s">
        <v>53</v>
      </c>
      <c r="AU3" s="8" t="s">
        <v>54</v>
      </c>
      <c r="AV3" s="8" t="s">
        <v>38</v>
      </c>
      <c r="AW3" s="8" t="s">
        <v>39</v>
      </c>
      <c r="AX3" s="8" t="s">
        <v>40</v>
      </c>
      <c r="AY3" s="8" t="s">
        <v>55</v>
      </c>
      <c r="AZ3" s="8" t="s">
        <v>56</v>
      </c>
      <c r="BA3" s="8" t="s">
        <v>58</v>
      </c>
      <c r="BB3" s="8" t="s">
        <v>59</v>
      </c>
      <c r="BC3" s="8" t="s">
        <v>60</v>
      </c>
      <c r="BD3" s="8" t="s">
        <v>62</v>
      </c>
    </row>
    <row r="4" spans="1:57" ht="15.75" customHeight="1">
      <c r="A4" s="9" t="s">
        <v>20</v>
      </c>
      <c r="B4" s="10">
        <v>217</v>
      </c>
      <c r="C4" s="10">
        <v>448904</v>
      </c>
      <c r="D4" s="10">
        <v>0</v>
      </c>
      <c r="E4" s="10"/>
      <c r="F4" s="10">
        <v>448904</v>
      </c>
      <c r="G4" s="10">
        <v>853552</v>
      </c>
      <c r="H4" s="10">
        <v>0</v>
      </c>
      <c r="I4" s="10"/>
      <c r="J4" s="10">
        <v>853552</v>
      </c>
      <c r="T4" s="26" t="str">
        <f>U4&amp;V4</f>
        <v>INDIGOA320-200</v>
      </c>
      <c r="U4" t="s">
        <v>20</v>
      </c>
      <c r="V4" t="s">
        <v>21</v>
      </c>
      <c r="W4">
        <v>131</v>
      </c>
      <c r="X4">
        <v>25</v>
      </c>
      <c r="Y4">
        <v>3</v>
      </c>
      <c r="Z4">
        <v>153</v>
      </c>
      <c r="AA4" t="s">
        <v>172</v>
      </c>
      <c r="AB4">
        <v>14.9</v>
      </c>
      <c r="AC4">
        <v>74.599999999999994</v>
      </c>
      <c r="AD4">
        <v>345282</v>
      </c>
      <c r="AE4">
        <v>0</v>
      </c>
      <c r="AF4" t="s">
        <v>102</v>
      </c>
      <c r="AG4">
        <v>345282</v>
      </c>
      <c r="AH4">
        <v>650631</v>
      </c>
      <c r="AI4">
        <v>0</v>
      </c>
      <c r="AJ4" t="s">
        <v>102</v>
      </c>
      <c r="AK4">
        <v>650631</v>
      </c>
      <c r="AQ4" t="s">
        <v>170</v>
      </c>
      <c r="AR4">
        <v>18</v>
      </c>
      <c r="AS4">
        <v>1</v>
      </c>
      <c r="AT4">
        <v>0</v>
      </c>
      <c r="AU4">
        <v>19</v>
      </c>
      <c r="AV4" t="s">
        <v>172</v>
      </c>
      <c r="AW4">
        <v>12.2</v>
      </c>
      <c r="AX4">
        <v>73.5</v>
      </c>
      <c r="AY4">
        <v>69136</v>
      </c>
      <c r="AZ4">
        <v>4</v>
      </c>
      <c r="BA4">
        <v>69140</v>
      </c>
      <c r="BB4">
        <v>128085.05</v>
      </c>
      <c r="BC4">
        <v>6.4</v>
      </c>
      <c r="BD4">
        <v>128091.45</v>
      </c>
      <c r="BE4" s="27"/>
    </row>
    <row r="5" spans="1:57">
      <c r="A5" s="9" t="s">
        <v>48</v>
      </c>
      <c r="B5" s="10"/>
      <c r="C5" s="10"/>
      <c r="D5" s="10"/>
      <c r="E5" s="10"/>
      <c r="F5" s="10"/>
      <c r="G5" s="10"/>
      <c r="H5" s="10"/>
      <c r="I5" s="10"/>
      <c r="J5" s="10"/>
      <c r="T5" s="26" t="str">
        <f t="shared" ref="T5:T68" si="0">U5&amp;V5</f>
        <v>INDIGOAT7-72-600</v>
      </c>
      <c r="U5" t="s">
        <v>20</v>
      </c>
      <c r="V5" t="s">
        <v>178</v>
      </c>
      <c r="W5">
        <v>0</v>
      </c>
      <c r="X5">
        <v>6</v>
      </c>
      <c r="Y5">
        <v>0</v>
      </c>
      <c r="Z5">
        <v>6</v>
      </c>
      <c r="AA5">
        <v>74</v>
      </c>
      <c r="AB5">
        <v>5.3</v>
      </c>
      <c r="AC5">
        <v>23</v>
      </c>
      <c r="AD5">
        <v>2358</v>
      </c>
      <c r="AE5">
        <v>0</v>
      </c>
      <c r="AF5" t="s">
        <v>102</v>
      </c>
      <c r="AG5">
        <v>2358</v>
      </c>
      <c r="AH5">
        <v>3408</v>
      </c>
      <c r="AI5">
        <v>0</v>
      </c>
      <c r="AJ5" t="s">
        <v>102</v>
      </c>
      <c r="AK5">
        <v>3408</v>
      </c>
      <c r="AQ5" t="s">
        <v>171</v>
      </c>
      <c r="AR5">
        <v>5</v>
      </c>
      <c r="AS5">
        <v>8</v>
      </c>
      <c r="AT5">
        <v>0</v>
      </c>
      <c r="AU5">
        <v>13</v>
      </c>
      <c r="AV5" t="s">
        <v>48</v>
      </c>
      <c r="AW5" t="s">
        <v>48</v>
      </c>
      <c r="AX5" t="s">
        <v>48</v>
      </c>
      <c r="AY5" t="s">
        <v>48</v>
      </c>
      <c r="AZ5" t="s">
        <v>102</v>
      </c>
      <c r="BA5" t="s">
        <v>48</v>
      </c>
      <c r="BB5" t="s">
        <v>48</v>
      </c>
      <c r="BC5" t="s">
        <v>102</v>
      </c>
      <c r="BD5" t="s">
        <v>48</v>
      </c>
      <c r="BE5" s="27"/>
    </row>
    <row r="6" spans="1:57">
      <c r="A6" s="9" t="s">
        <v>26</v>
      </c>
      <c r="B6" s="10">
        <v>49</v>
      </c>
      <c r="C6" s="10">
        <v>80002</v>
      </c>
      <c r="D6" s="10">
        <v>3</v>
      </c>
      <c r="E6" s="10"/>
      <c r="F6" s="10">
        <v>80005</v>
      </c>
      <c r="G6" s="10">
        <v>13925</v>
      </c>
      <c r="H6" s="10">
        <v>5</v>
      </c>
      <c r="I6" s="10"/>
      <c r="J6" s="10">
        <v>13930</v>
      </c>
      <c r="T6" s="26" t="str">
        <f t="shared" si="0"/>
        <v>(blank)(blank)</v>
      </c>
      <c r="U6" t="s">
        <v>48</v>
      </c>
      <c r="V6" t="s">
        <v>48</v>
      </c>
      <c r="W6" t="s">
        <v>48</v>
      </c>
      <c r="X6" t="s">
        <v>48</v>
      </c>
      <c r="Y6" t="s">
        <v>48</v>
      </c>
      <c r="Z6" t="s">
        <v>48</v>
      </c>
      <c r="AA6" t="s">
        <v>48</v>
      </c>
      <c r="AB6" t="s">
        <v>48</v>
      </c>
      <c r="AC6" t="s">
        <v>48</v>
      </c>
      <c r="AD6" t="s">
        <v>48</v>
      </c>
      <c r="AE6" t="s">
        <v>102</v>
      </c>
      <c r="AF6" t="s">
        <v>102</v>
      </c>
      <c r="AG6" t="s">
        <v>48</v>
      </c>
      <c r="AH6" t="s">
        <v>48</v>
      </c>
      <c r="AI6" t="s">
        <v>102</v>
      </c>
      <c r="AJ6" t="s">
        <v>102</v>
      </c>
      <c r="AK6" t="s">
        <v>48</v>
      </c>
      <c r="BE6" s="27"/>
    </row>
    <row r="7" spans="1:57">
      <c r="A7" s="9" t="s">
        <v>23</v>
      </c>
      <c r="B7" s="10">
        <v>128</v>
      </c>
      <c r="C7" s="10">
        <v>242899</v>
      </c>
      <c r="D7" s="10">
        <v>5156</v>
      </c>
      <c r="E7" s="10"/>
      <c r="F7" s="10">
        <v>248055</v>
      </c>
      <c r="G7" s="10">
        <v>705286</v>
      </c>
      <c r="H7" s="10">
        <v>7418</v>
      </c>
      <c r="I7" s="10"/>
      <c r="J7" s="10">
        <v>712704</v>
      </c>
      <c r="T7" s="26" t="str">
        <f t="shared" si="0"/>
        <v>GO AIRAIRBUS A320-214</v>
      </c>
      <c r="U7" t="s">
        <v>26</v>
      </c>
      <c r="V7" t="s">
        <v>170</v>
      </c>
      <c r="W7">
        <v>18</v>
      </c>
      <c r="X7">
        <v>1</v>
      </c>
      <c r="Y7">
        <v>0</v>
      </c>
      <c r="Z7">
        <v>19</v>
      </c>
      <c r="AA7" t="s">
        <v>172</v>
      </c>
      <c r="AB7">
        <v>12.2</v>
      </c>
      <c r="AC7">
        <v>73.5</v>
      </c>
      <c r="AD7">
        <v>69136</v>
      </c>
      <c r="AE7">
        <v>4</v>
      </c>
      <c r="AF7" t="s">
        <v>102</v>
      </c>
      <c r="AG7">
        <v>69140</v>
      </c>
      <c r="AH7">
        <v>128085.05</v>
      </c>
      <c r="AI7">
        <v>6.4</v>
      </c>
      <c r="AJ7" t="s">
        <v>102</v>
      </c>
      <c r="AK7">
        <v>128091.45</v>
      </c>
    </row>
    <row r="8" spans="1:57">
      <c r="A8" s="9" t="s">
        <v>24</v>
      </c>
      <c r="B8" s="10">
        <v>25</v>
      </c>
      <c r="C8" s="10">
        <v>30864</v>
      </c>
      <c r="D8" s="10">
        <v>0</v>
      </c>
      <c r="E8" s="10"/>
      <c r="F8" s="10">
        <v>30864</v>
      </c>
      <c r="G8" s="10">
        <v>102412</v>
      </c>
      <c r="H8" s="10">
        <v>0</v>
      </c>
      <c r="I8" s="10"/>
      <c r="J8" s="10">
        <v>102412</v>
      </c>
      <c r="T8" s="26" t="str">
        <f t="shared" si="0"/>
        <v>GO AIRAIRBUS A320-271N</v>
      </c>
      <c r="U8" t="s">
        <v>26</v>
      </c>
      <c r="V8" t="s">
        <v>171</v>
      </c>
      <c r="W8">
        <v>5</v>
      </c>
      <c r="X8">
        <v>8</v>
      </c>
      <c r="Y8">
        <v>0</v>
      </c>
      <c r="Z8">
        <v>13</v>
      </c>
      <c r="AA8" t="s">
        <v>48</v>
      </c>
      <c r="AB8" t="s">
        <v>48</v>
      </c>
      <c r="AC8" t="s">
        <v>48</v>
      </c>
      <c r="AD8" t="s">
        <v>48</v>
      </c>
      <c r="AE8" t="s">
        <v>102</v>
      </c>
      <c r="AF8" t="s">
        <v>102</v>
      </c>
      <c r="AG8" t="s">
        <v>48</v>
      </c>
      <c r="AH8" t="s">
        <v>48</v>
      </c>
      <c r="AI8" t="s">
        <v>102</v>
      </c>
      <c r="AJ8" t="s">
        <v>102</v>
      </c>
      <c r="AK8" t="s">
        <v>48</v>
      </c>
    </row>
    <row r="9" spans="1:57">
      <c r="A9" s="9" t="s">
        <v>25</v>
      </c>
      <c r="B9" s="10">
        <v>19</v>
      </c>
      <c r="C9" s="10">
        <v>28981</v>
      </c>
      <c r="D9" s="10"/>
      <c r="E9" s="10"/>
      <c r="F9" s="10">
        <v>28981</v>
      </c>
      <c r="G9" s="10">
        <v>51693</v>
      </c>
      <c r="H9" s="10"/>
      <c r="I9" s="10"/>
      <c r="J9" s="10">
        <v>51693</v>
      </c>
      <c r="T9" s="26" t="str">
        <f t="shared" si="0"/>
        <v>AIR INDIABOEING 747-400</v>
      </c>
      <c r="U9" t="s">
        <v>23</v>
      </c>
      <c r="V9" t="s">
        <v>142</v>
      </c>
      <c r="W9">
        <v>5</v>
      </c>
      <c r="X9" t="s">
        <v>48</v>
      </c>
      <c r="Y9" t="s">
        <v>48</v>
      </c>
      <c r="Z9">
        <v>5</v>
      </c>
      <c r="AA9">
        <v>423</v>
      </c>
      <c r="AB9">
        <v>53.4</v>
      </c>
      <c r="AC9">
        <v>378</v>
      </c>
      <c r="AD9">
        <v>982</v>
      </c>
      <c r="AE9" t="s">
        <v>102</v>
      </c>
      <c r="AF9" t="s">
        <v>102</v>
      </c>
      <c r="AG9">
        <v>982</v>
      </c>
      <c r="AH9">
        <v>4010</v>
      </c>
      <c r="AI9" t="s">
        <v>102</v>
      </c>
      <c r="AJ9" t="s">
        <v>102</v>
      </c>
      <c r="AK9">
        <v>4010</v>
      </c>
    </row>
    <row r="10" spans="1:57">
      <c r="A10" s="9" t="s">
        <v>29</v>
      </c>
      <c r="B10" s="10">
        <v>78</v>
      </c>
      <c r="C10" s="10">
        <v>156576</v>
      </c>
      <c r="D10" s="10">
        <v>41</v>
      </c>
      <c r="E10" s="10"/>
      <c r="F10" s="10">
        <v>156617</v>
      </c>
      <c r="G10" s="10">
        <v>230512</v>
      </c>
      <c r="H10" s="10">
        <v>56</v>
      </c>
      <c r="I10" s="10"/>
      <c r="J10" s="10">
        <v>230568</v>
      </c>
      <c r="T10" s="26" t="str">
        <f t="shared" si="0"/>
        <v>AIR INDIA777-200LR</v>
      </c>
      <c r="U10" t="s">
        <v>23</v>
      </c>
      <c r="V10" t="s">
        <v>143</v>
      </c>
      <c r="W10">
        <v>3</v>
      </c>
      <c r="X10" t="s">
        <v>48</v>
      </c>
      <c r="Y10" t="s">
        <v>48</v>
      </c>
      <c r="Z10">
        <v>3</v>
      </c>
      <c r="AA10">
        <v>238</v>
      </c>
      <c r="AB10">
        <v>40.54</v>
      </c>
      <c r="AC10">
        <v>347</v>
      </c>
      <c r="AD10">
        <v>1174</v>
      </c>
      <c r="AE10" t="s">
        <v>102</v>
      </c>
      <c r="AF10" t="s">
        <v>102</v>
      </c>
      <c r="AG10">
        <v>1174</v>
      </c>
      <c r="AH10">
        <v>12787</v>
      </c>
      <c r="AI10" t="s">
        <v>102</v>
      </c>
      <c r="AJ10" t="s">
        <v>102</v>
      </c>
      <c r="AK10">
        <v>12787</v>
      </c>
    </row>
    <row r="11" spans="1:57">
      <c r="A11" s="9" t="s">
        <v>31</v>
      </c>
      <c r="B11" s="10">
        <v>20</v>
      </c>
      <c r="C11" s="10">
        <v>47899</v>
      </c>
      <c r="D11" s="10">
        <v>270</v>
      </c>
      <c r="E11" s="10"/>
      <c r="F11" s="10">
        <v>48169</v>
      </c>
      <c r="G11" s="10">
        <v>71340</v>
      </c>
      <c r="H11" s="10">
        <v>174</v>
      </c>
      <c r="I11" s="10"/>
      <c r="J11" s="10">
        <v>71514</v>
      </c>
      <c r="T11" s="26" t="str">
        <f t="shared" si="0"/>
        <v>AIR INDIA777-300ER</v>
      </c>
      <c r="U11" t="s">
        <v>23</v>
      </c>
      <c r="V11" t="s">
        <v>144</v>
      </c>
      <c r="W11">
        <v>12</v>
      </c>
      <c r="X11">
        <v>3</v>
      </c>
      <c r="Y11" t="s">
        <v>48</v>
      </c>
      <c r="Z11">
        <v>15</v>
      </c>
      <c r="AA11">
        <v>342</v>
      </c>
      <c r="AB11">
        <v>57.59</v>
      </c>
      <c r="AC11">
        <v>351</v>
      </c>
      <c r="AD11">
        <v>6359</v>
      </c>
      <c r="AE11" t="s">
        <v>102</v>
      </c>
      <c r="AF11" t="s">
        <v>102</v>
      </c>
      <c r="AG11">
        <v>6359</v>
      </c>
      <c r="AH11">
        <v>48138</v>
      </c>
      <c r="AI11" t="s">
        <v>102</v>
      </c>
      <c r="AJ11" t="s">
        <v>102</v>
      </c>
      <c r="AK11">
        <v>48138</v>
      </c>
    </row>
    <row r="12" spans="1:57">
      <c r="A12" s="9" t="s">
        <v>32</v>
      </c>
      <c r="B12" s="10">
        <v>22</v>
      </c>
      <c r="C12" s="10">
        <v>40645</v>
      </c>
      <c r="D12" s="10">
        <v>14</v>
      </c>
      <c r="E12" s="10"/>
      <c r="F12" s="10">
        <v>40659</v>
      </c>
      <c r="G12" s="10">
        <v>39537</v>
      </c>
      <c r="H12" s="10">
        <v>90</v>
      </c>
      <c r="I12" s="10"/>
      <c r="J12" s="10">
        <v>39627</v>
      </c>
      <c r="T12" s="26" t="str">
        <f t="shared" si="0"/>
        <v>AIR INDIAB-787</v>
      </c>
      <c r="U12" t="s">
        <v>23</v>
      </c>
      <c r="V12" t="s">
        <v>145</v>
      </c>
      <c r="W12">
        <v>23</v>
      </c>
      <c r="X12">
        <v>4</v>
      </c>
      <c r="Y12" t="s">
        <v>48</v>
      </c>
      <c r="Z12">
        <v>27</v>
      </c>
      <c r="AA12">
        <v>256</v>
      </c>
      <c r="AB12">
        <v>34.82</v>
      </c>
      <c r="AC12">
        <v>228</v>
      </c>
      <c r="AD12">
        <v>20838</v>
      </c>
      <c r="AE12">
        <v>4</v>
      </c>
      <c r="AF12" t="s">
        <v>102</v>
      </c>
      <c r="AG12">
        <v>20842</v>
      </c>
      <c r="AH12">
        <v>114151</v>
      </c>
      <c r="AI12">
        <v>9</v>
      </c>
      <c r="AJ12" t="s">
        <v>102</v>
      </c>
      <c r="AK12">
        <v>114160</v>
      </c>
    </row>
    <row r="13" spans="1:57">
      <c r="A13" s="9" t="s">
        <v>175</v>
      </c>
      <c r="B13" s="10">
        <v>6</v>
      </c>
      <c r="C13" s="10">
        <v>5806</v>
      </c>
      <c r="D13" s="10">
        <v>0</v>
      </c>
      <c r="E13" s="10"/>
      <c r="F13" s="10">
        <v>5806</v>
      </c>
      <c r="G13" s="10">
        <v>10550</v>
      </c>
      <c r="H13" s="10">
        <v>0</v>
      </c>
      <c r="I13" s="10"/>
      <c r="J13" s="10">
        <v>10550</v>
      </c>
      <c r="T13" s="26" t="str">
        <f t="shared" si="0"/>
        <v>AIR INDIAA-319</v>
      </c>
      <c r="U13" t="s">
        <v>23</v>
      </c>
      <c r="V13" t="s">
        <v>146</v>
      </c>
      <c r="W13">
        <v>22</v>
      </c>
      <c r="X13" t="s">
        <v>48</v>
      </c>
      <c r="Y13" t="s">
        <v>48</v>
      </c>
      <c r="Z13">
        <v>22</v>
      </c>
      <c r="AA13" t="s">
        <v>159</v>
      </c>
      <c r="AB13">
        <v>13.18</v>
      </c>
      <c r="AC13">
        <v>70</v>
      </c>
      <c r="AD13">
        <v>44988</v>
      </c>
      <c r="AE13">
        <v>1108</v>
      </c>
      <c r="AF13" t="s">
        <v>102</v>
      </c>
      <c r="AG13">
        <v>46096</v>
      </c>
      <c r="AH13">
        <v>78890</v>
      </c>
      <c r="AI13">
        <v>1482</v>
      </c>
      <c r="AJ13" t="s">
        <v>102</v>
      </c>
      <c r="AK13">
        <v>80373</v>
      </c>
    </row>
    <row r="14" spans="1:57">
      <c r="A14" s="9" t="s">
        <v>35</v>
      </c>
      <c r="B14" s="10">
        <v>5</v>
      </c>
      <c r="C14" s="10">
        <v>11785</v>
      </c>
      <c r="D14" s="10">
        <v>5</v>
      </c>
      <c r="E14" s="10"/>
      <c r="F14" s="10">
        <v>11790</v>
      </c>
      <c r="G14" s="10">
        <v>14792</v>
      </c>
      <c r="H14" s="10">
        <v>10</v>
      </c>
      <c r="I14" s="10"/>
      <c r="J14" s="10">
        <v>14802</v>
      </c>
      <c r="T14" s="26" t="str">
        <f t="shared" si="0"/>
        <v xml:space="preserve">AIR INDIAA-320 </v>
      </c>
      <c r="U14" t="s">
        <v>23</v>
      </c>
      <c r="V14" t="s">
        <v>147</v>
      </c>
      <c r="W14">
        <v>18</v>
      </c>
      <c r="X14">
        <v>14</v>
      </c>
      <c r="Y14">
        <v>3</v>
      </c>
      <c r="Z14">
        <v>29</v>
      </c>
      <c r="AA14" t="s">
        <v>160</v>
      </c>
      <c r="AB14">
        <v>15.66</v>
      </c>
      <c r="AC14">
        <v>76</v>
      </c>
      <c r="AD14">
        <v>39842</v>
      </c>
      <c r="AE14">
        <v>724</v>
      </c>
      <c r="AF14" t="s">
        <v>102</v>
      </c>
      <c r="AG14">
        <v>40566</v>
      </c>
      <c r="AH14">
        <v>89132</v>
      </c>
      <c r="AI14">
        <v>982</v>
      </c>
      <c r="AJ14" t="s">
        <v>102</v>
      </c>
      <c r="AK14">
        <v>90115</v>
      </c>
    </row>
    <row r="15" spans="1:57">
      <c r="A15" s="9" t="s">
        <v>44</v>
      </c>
      <c r="B15" s="10">
        <v>172</v>
      </c>
      <c r="C15" s="10">
        <v>302744</v>
      </c>
      <c r="D15" s="10">
        <v>5156</v>
      </c>
      <c r="E15" s="10">
        <v>0</v>
      </c>
      <c r="F15" s="10">
        <v>307900</v>
      </c>
      <c r="G15" s="10">
        <v>859391</v>
      </c>
      <c r="H15" s="10">
        <v>7418</v>
      </c>
      <c r="I15" s="10">
        <v>0</v>
      </c>
      <c r="J15" s="10">
        <v>866809</v>
      </c>
      <c r="T15" s="26" t="str">
        <f t="shared" si="0"/>
        <v>AIR INDIAA-321</v>
      </c>
      <c r="U15" t="s">
        <v>23</v>
      </c>
      <c r="V15" t="s">
        <v>148</v>
      </c>
      <c r="W15">
        <v>20</v>
      </c>
      <c r="X15" t="s">
        <v>48</v>
      </c>
      <c r="Y15" t="s">
        <v>48</v>
      </c>
      <c r="Z15">
        <v>20</v>
      </c>
      <c r="AA15">
        <v>182</v>
      </c>
      <c r="AB15">
        <v>21.17</v>
      </c>
      <c r="AC15">
        <v>89</v>
      </c>
      <c r="AD15">
        <v>39315</v>
      </c>
      <c r="AE15">
        <v>9</v>
      </c>
      <c r="AF15" t="s">
        <v>102</v>
      </c>
      <c r="AG15">
        <v>39324</v>
      </c>
      <c r="AH15">
        <v>85103</v>
      </c>
      <c r="AI15">
        <v>20</v>
      </c>
      <c r="AJ15" t="s">
        <v>102</v>
      </c>
      <c r="AK15">
        <v>85123</v>
      </c>
    </row>
    <row r="16" spans="1:57">
      <c r="A16" s="9" t="s">
        <v>45</v>
      </c>
      <c r="B16" s="10">
        <v>272</v>
      </c>
      <c r="C16" s="10">
        <v>534712</v>
      </c>
      <c r="D16" s="10">
        <v>3</v>
      </c>
      <c r="E16" s="10">
        <v>0</v>
      </c>
      <c r="F16" s="10">
        <v>534715</v>
      </c>
      <c r="G16" s="10">
        <v>878027</v>
      </c>
      <c r="H16" s="10">
        <v>5</v>
      </c>
      <c r="I16" s="10">
        <v>0</v>
      </c>
      <c r="J16" s="10">
        <v>878032</v>
      </c>
      <c r="T16" s="26" t="str">
        <f t="shared" si="0"/>
        <v>AIR INDIA EXPRESSBoeing B 737- 800</v>
      </c>
      <c r="U16" t="s">
        <v>24</v>
      </c>
      <c r="V16" t="s">
        <v>132</v>
      </c>
      <c r="W16">
        <v>23</v>
      </c>
      <c r="X16">
        <v>0</v>
      </c>
      <c r="Y16">
        <v>0</v>
      </c>
      <c r="Z16">
        <v>23</v>
      </c>
      <c r="AA16" t="s">
        <v>161</v>
      </c>
      <c r="AB16">
        <v>14.96</v>
      </c>
      <c r="AC16">
        <v>79.02</v>
      </c>
      <c r="AD16">
        <v>28850</v>
      </c>
      <c r="AE16" t="s">
        <v>102</v>
      </c>
      <c r="AF16" t="s">
        <v>102</v>
      </c>
      <c r="AG16">
        <v>28850</v>
      </c>
      <c r="AH16">
        <v>105697</v>
      </c>
      <c r="AI16" t="s">
        <v>102</v>
      </c>
      <c r="AJ16" t="s">
        <v>102</v>
      </c>
      <c r="AK16">
        <v>105697</v>
      </c>
    </row>
    <row r="17" spans="1:37">
      <c r="A17" s="9" t="s">
        <v>46</v>
      </c>
      <c r="B17" s="10">
        <v>572</v>
      </c>
      <c r="C17" s="10">
        <v>1095757</v>
      </c>
      <c r="D17" s="10">
        <v>5523</v>
      </c>
      <c r="E17" s="10">
        <v>0</v>
      </c>
      <c r="F17" s="10">
        <v>1101280</v>
      </c>
      <c r="G17" s="10">
        <v>2094936</v>
      </c>
      <c r="H17" s="10">
        <v>7769</v>
      </c>
      <c r="I17" s="10">
        <v>0</v>
      </c>
      <c r="J17" s="10">
        <v>2102705</v>
      </c>
      <c r="T17" s="26" t="str">
        <f t="shared" si="0"/>
        <v>ALLIANCE AIRATR 42-320</v>
      </c>
      <c r="U17" t="s">
        <v>25</v>
      </c>
      <c r="V17" t="s">
        <v>125</v>
      </c>
      <c r="W17" t="s">
        <v>48</v>
      </c>
      <c r="X17" t="s">
        <v>48</v>
      </c>
      <c r="Y17" t="s">
        <v>48</v>
      </c>
      <c r="Z17" t="s">
        <v>48</v>
      </c>
      <c r="AA17" t="s">
        <v>48</v>
      </c>
      <c r="AB17" t="s">
        <v>48</v>
      </c>
      <c r="AC17" t="s">
        <v>48</v>
      </c>
      <c r="AD17" t="s">
        <v>48</v>
      </c>
      <c r="AE17" t="s">
        <v>102</v>
      </c>
      <c r="AF17" t="s">
        <v>102</v>
      </c>
      <c r="AG17" t="s">
        <v>48</v>
      </c>
      <c r="AH17" t="s">
        <v>48</v>
      </c>
      <c r="AI17" t="s">
        <v>102</v>
      </c>
      <c r="AJ17" t="s">
        <v>102</v>
      </c>
      <c r="AK17" t="s">
        <v>48</v>
      </c>
    </row>
    <row r="18" spans="1:37">
      <c r="A18" s="9" t="s">
        <v>183</v>
      </c>
      <c r="B18" s="10">
        <v>2</v>
      </c>
      <c r="C18" s="10">
        <v>1370</v>
      </c>
      <c r="D18" s="10">
        <v>34</v>
      </c>
      <c r="E18" s="10"/>
      <c r="F18" s="10">
        <v>1404</v>
      </c>
      <c r="G18" s="10">
        <v>1289</v>
      </c>
      <c r="H18" s="10">
        <v>16</v>
      </c>
      <c r="I18" s="10"/>
      <c r="J18" s="10">
        <v>1305</v>
      </c>
      <c r="T18" s="26" t="str">
        <f t="shared" si="0"/>
        <v>ALLIANCE AIRCRJ-700</v>
      </c>
      <c r="U18" t="s">
        <v>25</v>
      </c>
      <c r="V18" t="s">
        <v>126</v>
      </c>
      <c r="W18" t="s">
        <v>48</v>
      </c>
      <c r="X18" t="s">
        <v>48</v>
      </c>
      <c r="Y18" t="s">
        <v>48</v>
      </c>
      <c r="Z18" t="s">
        <v>48</v>
      </c>
      <c r="AA18" t="s">
        <v>48</v>
      </c>
      <c r="AB18" t="s">
        <v>48</v>
      </c>
      <c r="AC18" t="s">
        <v>48</v>
      </c>
      <c r="AD18" t="s">
        <v>48</v>
      </c>
      <c r="AE18" t="s">
        <v>102</v>
      </c>
      <c r="AF18" t="s">
        <v>102</v>
      </c>
      <c r="AG18" t="s">
        <v>48</v>
      </c>
      <c r="AH18" t="s">
        <v>48</v>
      </c>
      <c r="AI18" t="s">
        <v>102</v>
      </c>
      <c r="AJ18" t="s">
        <v>102</v>
      </c>
      <c r="AK18" t="s">
        <v>48</v>
      </c>
    </row>
    <row r="19" spans="1:37">
      <c r="A19" s="9" t="s">
        <v>184</v>
      </c>
      <c r="B19" s="10">
        <v>1</v>
      </c>
      <c r="C19" s="10">
        <v>26</v>
      </c>
      <c r="D19" s="10"/>
      <c r="E19" s="10"/>
      <c r="F19" s="10">
        <v>26</v>
      </c>
      <c r="G19" s="10">
        <v>48</v>
      </c>
      <c r="H19" s="10"/>
      <c r="I19" s="10"/>
      <c r="J19" s="10">
        <v>48</v>
      </c>
      <c r="T19" s="26" t="str">
        <f t="shared" si="0"/>
        <v>ALLIANCE AIRATR-72-212A</v>
      </c>
      <c r="U19" t="s">
        <v>25</v>
      </c>
      <c r="V19" t="s">
        <v>127</v>
      </c>
      <c r="W19" t="s">
        <v>48</v>
      </c>
      <c r="X19" t="s">
        <v>48</v>
      </c>
      <c r="Y19" t="s">
        <v>48</v>
      </c>
      <c r="Z19" t="s">
        <v>48</v>
      </c>
      <c r="AA19" t="s">
        <v>48</v>
      </c>
      <c r="AB19" t="s">
        <v>48</v>
      </c>
      <c r="AC19" t="s">
        <v>48</v>
      </c>
      <c r="AD19" t="s">
        <v>48</v>
      </c>
      <c r="AE19" t="s">
        <v>102</v>
      </c>
      <c r="AF19" t="s">
        <v>102</v>
      </c>
      <c r="AG19" t="s">
        <v>48</v>
      </c>
      <c r="AH19" t="s">
        <v>48</v>
      </c>
      <c r="AI19" t="s">
        <v>102</v>
      </c>
      <c r="AJ19" t="s">
        <v>102</v>
      </c>
      <c r="AK19" t="s">
        <v>48</v>
      </c>
    </row>
    <row r="20" spans="1:37">
      <c r="A20" s="9" t="s">
        <v>49</v>
      </c>
      <c r="B20" s="10">
        <v>1588</v>
      </c>
      <c r="C20" s="10">
        <v>3028970</v>
      </c>
      <c r="D20" s="10">
        <v>16205</v>
      </c>
      <c r="E20" s="10">
        <v>0</v>
      </c>
      <c r="F20" s="10">
        <v>3045175</v>
      </c>
      <c r="G20" s="10">
        <v>5927290</v>
      </c>
      <c r="H20" s="10">
        <v>22961</v>
      </c>
      <c r="I20" s="10">
        <v>0</v>
      </c>
      <c r="J20" s="10">
        <v>5950251</v>
      </c>
      <c r="T20" s="26" t="str">
        <f t="shared" si="0"/>
        <v>JET AIRWAYSB-737 - 700</v>
      </c>
      <c r="U20" t="s">
        <v>27</v>
      </c>
      <c r="V20" t="s">
        <v>133</v>
      </c>
      <c r="W20">
        <v>2</v>
      </c>
      <c r="X20">
        <v>0</v>
      </c>
      <c r="Y20">
        <v>0</v>
      </c>
      <c r="Z20">
        <v>2</v>
      </c>
      <c r="AA20">
        <v>134</v>
      </c>
      <c r="AB20">
        <v>13</v>
      </c>
      <c r="AC20">
        <v>60</v>
      </c>
      <c r="AD20">
        <v>4844</v>
      </c>
      <c r="AE20">
        <v>299</v>
      </c>
      <c r="AF20" t="s">
        <v>102</v>
      </c>
      <c r="AG20">
        <v>5143</v>
      </c>
      <c r="AH20">
        <v>7842</v>
      </c>
      <c r="AI20">
        <v>437</v>
      </c>
      <c r="AJ20" t="s">
        <v>102</v>
      </c>
      <c r="AK20">
        <v>8279</v>
      </c>
    </row>
    <row r="21" spans="1:37">
      <c r="T21" s="26" t="str">
        <f t="shared" si="0"/>
        <v>JET AIRWAYSB- 737 - 800</v>
      </c>
      <c r="U21" t="s">
        <v>27</v>
      </c>
      <c r="V21" t="s">
        <v>134</v>
      </c>
      <c r="W21">
        <v>59</v>
      </c>
      <c r="X21">
        <v>8</v>
      </c>
      <c r="Y21">
        <v>0</v>
      </c>
      <c r="Z21">
        <v>67</v>
      </c>
      <c r="AA21">
        <v>168</v>
      </c>
      <c r="AB21">
        <v>17</v>
      </c>
      <c r="AC21" t="s">
        <v>164</v>
      </c>
      <c r="AD21">
        <v>135957</v>
      </c>
      <c r="AE21">
        <v>828</v>
      </c>
      <c r="AF21" t="s">
        <v>102</v>
      </c>
      <c r="AG21">
        <v>136785</v>
      </c>
      <c r="AH21">
        <v>309764</v>
      </c>
      <c r="AI21">
        <v>1161</v>
      </c>
      <c r="AJ21" t="s">
        <v>102</v>
      </c>
      <c r="AK21">
        <v>310925</v>
      </c>
    </row>
    <row r="22" spans="1:37">
      <c r="T22" s="26" t="str">
        <f t="shared" si="0"/>
        <v>JET AIRWAYSB- 737 - 900</v>
      </c>
      <c r="U22" t="s">
        <v>27</v>
      </c>
      <c r="V22" t="s">
        <v>135</v>
      </c>
      <c r="W22">
        <v>6</v>
      </c>
      <c r="X22">
        <v>0</v>
      </c>
      <c r="Y22">
        <v>0</v>
      </c>
      <c r="Z22">
        <v>6</v>
      </c>
      <c r="AA22" t="s">
        <v>162</v>
      </c>
      <c r="AB22">
        <v>19</v>
      </c>
      <c r="AC22">
        <v>74.3</v>
      </c>
      <c r="AD22">
        <v>11060</v>
      </c>
      <c r="AE22">
        <v>2</v>
      </c>
      <c r="AF22" t="s">
        <v>102</v>
      </c>
      <c r="AG22">
        <v>11062</v>
      </c>
      <c r="AH22">
        <v>29406</v>
      </c>
      <c r="AI22">
        <v>1</v>
      </c>
      <c r="AJ22" t="s">
        <v>102</v>
      </c>
      <c r="AK22">
        <v>29407</v>
      </c>
    </row>
    <row r="23" spans="1:37">
      <c r="T23" s="26" t="str">
        <f t="shared" si="0"/>
        <v>JET AIRWAYSATR 72 - 500 / 600</v>
      </c>
      <c r="U23" t="s">
        <v>27</v>
      </c>
      <c r="V23" t="s">
        <v>136</v>
      </c>
      <c r="W23">
        <v>18</v>
      </c>
      <c r="X23">
        <v>0</v>
      </c>
      <c r="Y23">
        <v>0</v>
      </c>
      <c r="Z23">
        <v>18</v>
      </c>
      <c r="AA23">
        <v>72</v>
      </c>
      <c r="AB23">
        <v>6</v>
      </c>
      <c r="AC23">
        <v>22.5</v>
      </c>
      <c r="AD23">
        <v>43416</v>
      </c>
      <c r="AE23">
        <v>15</v>
      </c>
      <c r="AF23" t="s">
        <v>102</v>
      </c>
      <c r="AG23">
        <v>43431</v>
      </c>
      <c r="AH23">
        <v>54266</v>
      </c>
      <c r="AI23">
        <v>26</v>
      </c>
      <c r="AJ23" t="s">
        <v>102</v>
      </c>
      <c r="AK23">
        <v>54292</v>
      </c>
    </row>
    <row r="24" spans="1:37">
      <c r="T24" s="26" t="str">
        <f t="shared" si="0"/>
        <v>JET AIRWAYSA 330- 200 / 300</v>
      </c>
      <c r="U24" t="s">
        <v>27</v>
      </c>
      <c r="V24" t="s">
        <v>137</v>
      </c>
      <c r="W24">
        <v>8</v>
      </c>
      <c r="X24">
        <v>0</v>
      </c>
      <c r="Y24">
        <v>0</v>
      </c>
      <c r="Z24">
        <v>8</v>
      </c>
      <c r="AA24" t="s">
        <v>163</v>
      </c>
      <c r="AB24">
        <v>43</v>
      </c>
      <c r="AC24">
        <v>233</v>
      </c>
      <c r="AD24">
        <v>8780</v>
      </c>
      <c r="AE24">
        <v>2</v>
      </c>
      <c r="AF24" t="s">
        <v>102</v>
      </c>
      <c r="AG24">
        <v>8782</v>
      </c>
      <c r="AH24">
        <v>39583</v>
      </c>
      <c r="AI24">
        <v>13</v>
      </c>
      <c r="AJ24" t="s">
        <v>102</v>
      </c>
      <c r="AK24">
        <v>39596</v>
      </c>
    </row>
    <row r="25" spans="1:37">
      <c r="T25" s="26" t="str">
        <f t="shared" si="0"/>
        <v>JET AIRWAYSB 777- 300 ER</v>
      </c>
      <c r="U25" t="s">
        <v>27</v>
      </c>
      <c r="V25" t="s">
        <v>138</v>
      </c>
      <c r="W25">
        <v>10</v>
      </c>
      <c r="X25">
        <v>0</v>
      </c>
      <c r="Y25">
        <v>0</v>
      </c>
      <c r="Z25">
        <v>10</v>
      </c>
      <c r="AA25">
        <v>346</v>
      </c>
      <c r="AB25">
        <v>55</v>
      </c>
      <c r="AC25" t="s">
        <v>165</v>
      </c>
      <c r="AD25">
        <v>6761</v>
      </c>
      <c r="AE25">
        <v>0</v>
      </c>
      <c r="AF25" t="s">
        <v>102</v>
      </c>
      <c r="AG25">
        <v>6761</v>
      </c>
      <c r="AH25">
        <v>53165</v>
      </c>
      <c r="AI25">
        <v>0</v>
      </c>
      <c r="AJ25" t="s">
        <v>102</v>
      </c>
      <c r="AK25">
        <v>53165</v>
      </c>
    </row>
    <row r="26" spans="1:37">
      <c r="T26" s="26" t="str">
        <f t="shared" si="0"/>
        <v>JETLITEBoeing 737 - 700</v>
      </c>
      <c r="U26" t="s">
        <v>28</v>
      </c>
      <c r="V26" t="s">
        <v>139</v>
      </c>
      <c r="W26">
        <v>3</v>
      </c>
      <c r="X26">
        <v>0</v>
      </c>
      <c r="Y26">
        <v>1</v>
      </c>
      <c r="Z26">
        <v>2</v>
      </c>
      <c r="AA26">
        <v>134</v>
      </c>
      <c r="AB26">
        <v>14</v>
      </c>
      <c r="AC26">
        <v>62.19</v>
      </c>
      <c r="AD26">
        <v>9355</v>
      </c>
      <c r="AE26">
        <v>3</v>
      </c>
      <c r="AF26" t="s">
        <v>102</v>
      </c>
      <c r="AG26">
        <v>9358</v>
      </c>
      <c r="AH26">
        <v>13833</v>
      </c>
      <c r="AI26">
        <v>7</v>
      </c>
      <c r="AJ26" t="s">
        <v>102</v>
      </c>
      <c r="AK26">
        <v>13840</v>
      </c>
    </row>
    <row r="27" spans="1:37">
      <c r="T27" s="26" t="str">
        <f t="shared" si="0"/>
        <v>JETLITEBoeing 737 - 800</v>
      </c>
      <c r="U27" t="s">
        <v>28</v>
      </c>
      <c r="V27" t="s">
        <v>140</v>
      </c>
      <c r="W27">
        <v>5</v>
      </c>
      <c r="X27">
        <v>0</v>
      </c>
      <c r="Y27">
        <v>0</v>
      </c>
      <c r="Z27">
        <v>5</v>
      </c>
      <c r="AA27">
        <v>168</v>
      </c>
      <c r="AB27">
        <v>17</v>
      </c>
      <c r="AC27">
        <v>70.53</v>
      </c>
      <c r="AD27">
        <v>12735</v>
      </c>
      <c r="AE27">
        <v>12</v>
      </c>
      <c r="AF27" t="s">
        <v>102</v>
      </c>
      <c r="AG27">
        <v>12747</v>
      </c>
      <c r="AH27">
        <v>21900</v>
      </c>
      <c r="AI27">
        <v>17</v>
      </c>
      <c r="AJ27" t="s">
        <v>102</v>
      </c>
      <c r="AK27">
        <v>21917</v>
      </c>
    </row>
    <row r="28" spans="1:37">
      <c r="T28" s="26" t="str">
        <f t="shared" si="0"/>
        <v>SPICEJET737 - 700</v>
      </c>
      <c r="U28" t="s">
        <v>29</v>
      </c>
      <c r="V28" t="s">
        <v>153</v>
      </c>
      <c r="W28">
        <v>2</v>
      </c>
      <c r="X28">
        <v>0</v>
      </c>
      <c r="Y28">
        <v>0</v>
      </c>
      <c r="Z28">
        <v>2</v>
      </c>
      <c r="AA28">
        <v>149</v>
      </c>
      <c r="AB28">
        <v>0.74</v>
      </c>
      <c r="AC28">
        <v>62</v>
      </c>
      <c r="AD28">
        <v>5303</v>
      </c>
      <c r="AE28">
        <v>0</v>
      </c>
      <c r="AF28" t="s">
        <v>102</v>
      </c>
      <c r="AG28">
        <v>5303</v>
      </c>
      <c r="AH28">
        <v>6894.19</v>
      </c>
      <c r="AI28">
        <v>0</v>
      </c>
      <c r="AJ28" t="s">
        <v>102</v>
      </c>
      <c r="AK28">
        <v>6894.19</v>
      </c>
    </row>
    <row r="29" spans="1:37">
      <c r="T29" s="26" t="str">
        <f t="shared" si="0"/>
        <v>SPICEJET737 - 800</v>
      </c>
      <c r="U29" t="s">
        <v>29</v>
      </c>
      <c r="V29" t="s">
        <v>154</v>
      </c>
      <c r="W29">
        <v>26</v>
      </c>
      <c r="X29">
        <v>8</v>
      </c>
      <c r="Y29">
        <v>2</v>
      </c>
      <c r="Z29">
        <v>32</v>
      </c>
      <c r="AA29">
        <v>189</v>
      </c>
      <c r="AB29">
        <v>14.26</v>
      </c>
      <c r="AC29">
        <v>79.02</v>
      </c>
      <c r="AD29">
        <v>67004</v>
      </c>
      <c r="AE29">
        <v>6</v>
      </c>
      <c r="AF29" t="s">
        <v>102</v>
      </c>
      <c r="AG29">
        <v>67010</v>
      </c>
      <c r="AH29">
        <v>1177648.18</v>
      </c>
      <c r="AI29">
        <v>9</v>
      </c>
      <c r="AJ29" t="s">
        <v>102</v>
      </c>
      <c r="AK29">
        <v>117657.07</v>
      </c>
    </row>
    <row r="30" spans="1:37">
      <c r="T30" s="26" t="str">
        <f t="shared" si="0"/>
        <v>SPICEJET737 - 900 ER</v>
      </c>
      <c r="U30" t="s">
        <v>29</v>
      </c>
      <c r="V30" t="s">
        <v>155</v>
      </c>
      <c r="W30">
        <v>4</v>
      </c>
      <c r="X30">
        <v>0</v>
      </c>
      <c r="Y30">
        <v>0</v>
      </c>
      <c r="Z30">
        <v>4</v>
      </c>
      <c r="AA30">
        <v>212</v>
      </c>
      <c r="AB30">
        <v>9.4700000000000006</v>
      </c>
      <c r="AC30">
        <v>75.75</v>
      </c>
      <c r="AD30">
        <v>9373</v>
      </c>
      <c r="AE30">
        <v>0</v>
      </c>
      <c r="AF30" t="s">
        <v>102</v>
      </c>
      <c r="AG30">
        <v>9373</v>
      </c>
      <c r="AH30">
        <v>15278.56</v>
      </c>
      <c r="AI30">
        <v>0</v>
      </c>
      <c r="AJ30" t="s">
        <v>102</v>
      </c>
      <c r="AK30">
        <v>15278.56</v>
      </c>
    </row>
    <row r="31" spans="1:37">
      <c r="T31" s="26" t="str">
        <f t="shared" si="0"/>
        <v>SPICEJETDH8</v>
      </c>
      <c r="U31" t="s">
        <v>29</v>
      </c>
      <c r="V31" t="s">
        <v>156</v>
      </c>
      <c r="W31">
        <v>17</v>
      </c>
      <c r="X31">
        <v>5</v>
      </c>
      <c r="Y31">
        <v>0</v>
      </c>
      <c r="Z31">
        <v>22</v>
      </c>
      <c r="AA31">
        <v>78</v>
      </c>
      <c r="AB31">
        <v>5.75</v>
      </c>
      <c r="AC31">
        <v>29.26</v>
      </c>
      <c r="AD31">
        <v>56631</v>
      </c>
      <c r="AE31">
        <v>1</v>
      </c>
      <c r="AF31" t="s">
        <v>102</v>
      </c>
      <c r="AG31">
        <v>56632</v>
      </c>
      <c r="AH31">
        <v>57909.02</v>
      </c>
      <c r="AI31">
        <v>2.27</v>
      </c>
      <c r="AJ31" t="s">
        <v>102</v>
      </c>
      <c r="AK31">
        <v>57911.29</v>
      </c>
    </row>
    <row r="32" spans="1:37">
      <c r="T32" s="26" t="str">
        <f t="shared" si="0"/>
        <v>SPICEJETA319</v>
      </c>
      <c r="U32" t="s">
        <v>29</v>
      </c>
      <c r="V32" t="s">
        <v>157</v>
      </c>
      <c r="W32" t="s">
        <v>48</v>
      </c>
      <c r="X32" t="s">
        <v>48</v>
      </c>
      <c r="Y32" t="s">
        <v>48</v>
      </c>
      <c r="Z32" t="s">
        <v>48</v>
      </c>
      <c r="AA32" t="s">
        <v>48</v>
      </c>
      <c r="AB32" t="s">
        <v>48</v>
      </c>
      <c r="AC32" t="s">
        <v>48</v>
      </c>
      <c r="AD32" t="s">
        <v>48</v>
      </c>
      <c r="AE32" t="s">
        <v>102</v>
      </c>
      <c r="AF32" t="s">
        <v>102</v>
      </c>
      <c r="AG32" t="s">
        <v>48</v>
      </c>
      <c r="AH32" t="s">
        <v>48</v>
      </c>
      <c r="AI32" t="s">
        <v>102</v>
      </c>
      <c r="AJ32" t="s">
        <v>102</v>
      </c>
      <c r="AK32" t="s">
        <v>48</v>
      </c>
    </row>
    <row r="33" spans="20:37">
      <c r="T33" s="26" t="str">
        <f t="shared" si="0"/>
        <v>SPICEJETA 320</v>
      </c>
      <c r="U33" t="s">
        <v>29</v>
      </c>
      <c r="V33" t="s">
        <v>158</v>
      </c>
      <c r="W33" t="s">
        <v>48</v>
      </c>
      <c r="X33" t="s">
        <v>48</v>
      </c>
      <c r="Y33" t="s">
        <v>48</v>
      </c>
      <c r="Z33" t="s">
        <v>48</v>
      </c>
      <c r="AA33" t="s">
        <v>48</v>
      </c>
      <c r="AB33" t="s">
        <v>48</v>
      </c>
      <c r="AC33" t="s">
        <v>48</v>
      </c>
      <c r="AD33" t="s">
        <v>48</v>
      </c>
      <c r="AE33" t="s">
        <v>102</v>
      </c>
      <c r="AF33" t="s">
        <v>102</v>
      </c>
      <c r="AG33" t="s">
        <v>48</v>
      </c>
      <c r="AH33" t="s">
        <v>48</v>
      </c>
      <c r="AI33" t="s">
        <v>102</v>
      </c>
      <c r="AJ33" t="s">
        <v>102</v>
      </c>
      <c r="AK33" t="s">
        <v>48</v>
      </c>
    </row>
    <row r="34" spans="20:37">
      <c r="T34" s="26" t="str">
        <f t="shared" si="0"/>
        <v>AIR COSTA(blank)</v>
      </c>
      <c r="U34" t="s">
        <v>30</v>
      </c>
      <c r="V34" t="s">
        <v>48</v>
      </c>
      <c r="W34" t="s">
        <v>48</v>
      </c>
      <c r="X34" t="s">
        <v>48</v>
      </c>
      <c r="Y34" t="s">
        <v>48</v>
      </c>
      <c r="Z34" t="s">
        <v>48</v>
      </c>
      <c r="AA34" t="s">
        <v>48</v>
      </c>
      <c r="AB34" t="s">
        <v>48</v>
      </c>
      <c r="AC34" t="s">
        <v>48</v>
      </c>
      <c r="AD34" t="s">
        <v>48</v>
      </c>
      <c r="AE34" t="s">
        <v>102</v>
      </c>
      <c r="AF34" t="s">
        <v>102</v>
      </c>
      <c r="AG34" t="s">
        <v>48</v>
      </c>
      <c r="AH34" t="s">
        <v>48</v>
      </c>
      <c r="AI34" t="s">
        <v>102</v>
      </c>
      <c r="AJ34" t="s">
        <v>102</v>
      </c>
      <c r="AK34" t="s">
        <v>48</v>
      </c>
    </row>
    <row r="35" spans="20:37">
      <c r="T35" s="26" t="str">
        <f t="shared" si="0"/>
        <v>AIR ASIAAIRBUS A320</v>
      </c>
      <c r="U35" t="s">
        <v>31</v>
      </c>
      <c r="V35" t="s">
        <v>128</v>
      </c>
      <c r="W35">
        <v>8</v>
      </c>
      <c r="X35">
        <v>8</v>
      </c>
      <c r="Y35">
        <v>0</v>
      </c>
      <c r="Z35">
        <v>16</v>
      </c>
      <c r="AA35">
        <v>180</v>
      </c>
      <c r="AB35">
        <v>153</v>
      </c>
      <c r="AC35">
        <v>73.5</v>
      </c>
      <c r="AD35">
        <v>32904</v>
      </c>
      <c r="AE35">
        <v>223</v>
      </c>
      <c r="AF35" t="s">
        <v>102</v>
      </c>
      <c r="AG35">
        <v>33127</v>
      </c>
      <c r="AH35">
        <v>47179</v>
      </c>
      <c r="AI35">
        <v>171</v>
      </c>
      <c r="AJ35" t="s">
        <v>102</v>
      </c>
      <c r="AK35">
        <v>47351</v>
      </c>
    </row>
    <row r="36" spans="20:37">
      <c r="T36" s="26" t="str">
        <f t="shared" si="0"/>
        <v>VISTARAAirbus Industrie</v>
      </c>
      <c r="U36" t="s">
        <v>32</v>
      </c>
      <c r="V36" t="s">
        <v>141</v>
      </c>
      <c r="W36">
        <v>13</v>
      </c>
      <c r="X36">
        <v>0</v>
      </c>
      <c r="Y36">
        <v>0</v>
      </c>
      <c r="Z36">
        <v>13</v>
      </c>
      <c r="AA36">
        <v>158</v>
      </c>
      <c r="AB36">
        <v>15.7</v>
      </c>
      <c r="AC36">
        <v>73.5</v>
      </c>
      <c r="AD36">
        <v>28058</v>
      </c>
      <c r="AE36">
        <v>158</v>
      </c>
      <c r="AF36" t="s">
        <v>102</v>
      </c>
      <c r="AG36">
        <v>28216</v>
      </c>
      <c r="AH36">
        <v>47697.52</v>
      </c>
      <c r="AI36">
        <v>34</v>
      </c>
      <c r="AJ36" t="s">
        <v>102</v>
      </c>
      <c r="AK36">
        <v>47732</v>
      </c>
    </row>
    <row r="37" spans="20:37">
      <c r="T37" s="26" t="str">
        <f t="shared" si="0"/>
        <v>VISTARAAirbus Industrie</v>
      </c>
      <c r="U37" t="s">
        <v>32</v>
      </c>
      <c r="V37" t="s">
        <v>141</v>
      </c>
      <c r="W37">
        <v>0</v>
      </c>
      <c r="X37">
        <v>6</v>
      </c>
      <c r="Y37">
        <v>0</v>
      </c>
      <c r="Z37">
        <v>6</v>
      </c>
      <c r="AA37">
        <v>158</v>
      </c>
      <c r="AB37">
        <v>15.7</v>
      </c>
      <c r="AC37">
        <v>73.5</v>
      </c>
      <c r="AD37">
        <v>4820</v>
      </c>
      <c r="AE37">
        <v>9</v>
      </c>
      <c r="AF37" t="s">
        <v>102</v>
      </c>
      <c r="AG37">
        <v>4829</v>
      </c>
      <c r="AH37">
        <v>9358</v>
      </c>
      <c r="AI37">
        <v>48</v>
      </c>
      <c r="AJ37" t="s">
        <v>102</v>
      </c>
      <c r="AK37">
        <v>9406</v>
      </c>
    </row>
    <row r="38" spans="20:37">
      <c r="T38" s="26" t="str">
        <f t="shared" si="0"/>
        <v>BLUE DART BOEING 757- 200</v>
      </c>
      <c r="U38" t="s">
        <v>175</v>
      </c>
      <c r="V38" t="s">
        <v>129</v>
      </c>
      <c r="W38">
        <v>6</v>
      </c>
      <c r="X38">
        <v>0</v>
      </c>
      <c r="Y38">
        <v>0</v>
      </c>
      <c r="Z38">
        <v>6</v>
      </c>
      <c r="AA38">
        <v>0</v>
      </c>
      <c r="AB38">
        <v>36</v>
      </c>
      <c r="AC38">
        <v>109</v>
      </c>
      <c r="AD38">
        <v>6023</v>
      </c>
      <c r="AE38">
        <v>125</v>
      </c>
      <c r="AF38" t="s">
        <v>102</v>
      </c>
      <c r="AG38">
        <v>6148</v>
      </c>
      <c r="AH38">
        <v>8329</v>
      </c>
      <c r="AI38">
        <v>121</v>
      </c>
      <c r="AJ38" t="s">
        <v>102</v>
      </c>
      <c r="AK38">
        <v>8450</v>
      </c>
    </row>
    <row r="39" spans="20:37">
      <c r="T39" s="26" t="str">
        <f t="shared" si="0"/>
        <v>BLUE DART BOEING 757 - 200</v>
      </c>
      <c r="U39" t="s">
        <v>175</v>
      </c>
      <c r="V39" t="s">
        <v>176</v>
      </c>
      <c r="W39">
        <v>6</v>
      </c>
      <c r="X39">
        <v>0</v>
      </c>
      <c r="Y39">
        <v>0</v>
      </c>
      <c r="Z39">
        <v>6</v>
      </c>
      <c r="AA39" t="s">
        <v>48</v>
      </c>
      <c r="AB39">
        <v>36</v>
      </c>
      <c r="AC39">
        <v>109</v>
      </c>
      <c r="AD39">
        <v>6023</v>
      </c>
      <c r="AE39">
        <v>125</v>
      </c>
      <c r="AF39" t="s">
        <v>102</v>
      </c>
      <c r="AG39">
        <v>6148</v>
      </c>
      <c r="AH39">
        <v>8329</v>
      </c>
      <c r="AI39">
        <v>121</v>
      </c>
      <c r="AJ39" t="s">
        <v>102</v>
      </c>
      <c r="AK39">
        <v>8450</v>
      </c>
    </row>
    <row r="40" spans="20:37">
      <c r="T40" s="26" t="str">
        <f t="shared" si="0"/>
        <v>AIR PEGASUS(blank)</v>
      </c>
      <c r="U40" t="s">
        <v>34</v>
      </c>
      <c r="V40" t="s">
        <v>48</v>
      </c>
      <c r="W40" t="s">
        <v>48</v>
      </c>
      <c r="X40" t="s">
        <v>48</v>
      </c>
      <c r="Y40" t="s">
        <v>48</v>
      </c>
      <c r="Z40" t="s">
        <v>48</v>
      </c>
      <c r="AA40" t="s">
        <v>48</v>
      </c>
      <c r="AB40" t="s">
        <v>48</v>
      </c>
      <c r="AC40" t="s">
        <v>48</v>
      </c>
      <c r="AD40" t="s">
        <v>48</v>
      </c>
      <c r="AE40" t="s">
        <v>102</v>
      </c>
      <c r="AF40" t="s">
        <v>102</v>
      </c>
      <c r="AG40" t="s">
        <v>48</v>
      </c>
      <c r="AH40" t="s">
        <v>48</v>
      </c>
      <c r="AI40" t="s">
        <v>102</v>
      </c>
      <c r="AJ40" t="s">
        <v>102</v>
      </c>
      <c r="AK40" t="s">
        <v>48</v>
      </c>
    </row>
    <row r="41" spans="20:37">
      <c r="T41" s="26" t="str">
        <f t="shared" si="0"/>
        <v>TRUEJETATR 72-212 A / VT-TMK</v>
      </c>
      <c r="U41" t="s">
        <v>35</v>
      </c>
      <c r="V41" t="s">
        <v>149</v>
      </c>
      <c r="W41">
        <v>1</v>
      </c>
      <c r="X41">
        <v>0</v>
      </c>
      <c r="Y41">
        <v>0</v>
      </c>
      <c r="Z41">
        <v>1</v>
      </c>
      <c r="AA41">
        <v>72</v>
      </c>
      <c r="AB41">
        <v>8</v>
      </c>
      <c r="AC41">
        <v>23</v>
      </c>
      <c r="AD41">
        <v>1794</v>
      </c>
      <c r="AE41">
        <v>0</v>
      </c>
      <c r="AF41" t="s">
        <v>102</v>
      </c>
      <c r="AG41">
        <v>1794</v>
      </c>
      <c r="AH41">
        <v>2396.56</v>
      </c>
      <c r="AI41" t="s">
        <v>102</v>
      </c>
      <c r="AJ41" t="s">
        <v>102</v>
      </c>
      <c r="AK41">
        <v>2396.56</v>
      </c>
    </row>
    <row r="42" spans="20:37">
      <c r="T42" s="26" t="str">
        <f t="shared" si="0"/>
        <v>TRUEJETATR 72-212 A / VT-TMP</v>
      </c>
      <c r="U42" t="s">
        <v>35</v>
      </c>
      <c r="V42" t="s">
        <v>150</v>
      </c>
      <c r="W42">
        <v>1</v>
      </c>
      <c r="X42">
        <v>0</v>
      </c>
      <c r="Y42">
        <v>0</v>
      </c>
      <c r="Z42">
        <v>1</v>
      </c>
      <c r="AA42">
        <v>72</v>
      </c>
      <c r="AB42">
        <v>8</v>
      </c>
      <c r="AC42">
        <v>23</v>
      </c>
      <c r="AD42">
        <v>2212</v>
      </c>
      <c r="AE42" t="s">
        <v>102</v>
      </c>
      <c r="AF42" t="s">
        <v>102</v>
      </c>
      <c r="AG42">
        <v>2212</v>
      </c>
      <c r="AH42">
        <v>2957.33</v>
      </c>
      <c r="AI42" t="s">
        <v>102</v>
      </c>
      <c r="AJ42" t="s">
        <v>102</v>
      </c>
      <c r="AK42">
        <v>2957.33</v>
      </c>
    </row>
    <row r="43" spans="20:37">
      <c r="T43" s="26" t="str">
        <f t="shared" si="0"/>
        <v>TRUEJETATR 72-212 A / VT-TMU</v>
      </c>
      <c r="U43" t="s">
        <v>35</v>
      </c>
      <c r="V43" t="s">
        <v>151</v>
      </c>
      <c r="W43">
        <v>1</v>
      </c>
      <c r="X43">
        <v>0</v>
      </c>
      <c r="Y43">
        <v>0</v>
      </c>
      <c r="Z43">
        <v>1</v>
      </c>
      <c r="AA43">
        <v>70</v>
      </c>
      <c r="AB43">
        <v>8</v>
      </c>
      <c r="AC43">
        <v>23</v>
      </c>
      <c r="AD43">
        <v>2546</v>
      </c>
      <c r="AE43" t="s">
        <v>102</v>
      </c>
      <c r="AF43" t="s">
        <v>102</v>
      </c>
      <c r="AG43">
        <v>2546</v>
      </c>
      <c r="AH43">
        <v>3312.12</v>
      </c>
      <c r="AI43" t="s">
        <v>102</v>
      </c>
      <c r="AJ43" t="s">
        <v>102</v>
      </c>
      <c r="AK43">
        <v>3312.12</v>
      </c>
    </row>
    <row r="44" spans="20:37">
      <c r="T44" s="26" t="str">
        <f t="shared" si="0"/>
        <v>TRUEJETATR 72-212 A / VT-TMC</v>
      </c>
      <c r="U44" t="s">
        <v>35</v>
      </c>
      <c r="V44" t="s">
        <v>152</v>
      </c>
      <c r="W44">
        <v>1</v>
      </c>
      <c r="X44">
        <v>0</v>
      </c>
      <c r="Y44">
        <v>0</v>
      </c>
      <c r="Z44">
        <v>1</v>
      </c>
      <c r="AA44">
        <v>70</v>
      </c>
      <c r="AB44">
        <v>8</v>
      </c>
      <c r="AC44">
        <v>23</v>
      </c>
      <c r="AD44">
        <v>2374</v>
      </c>
      <c r="AE44" t="s">
        <v>102</v>
      </c>
      <c r="AF44" t="s">
        <v>102</v>
      </c>
      <c r="AG44">
        <v>2374</v>
      </c>
      <c r="AH44">
        <v>3040.53</v>
      </c>
      <c r="AI44" t="s">
        <v>102</v>
      </c>
      <c r="AJ44" t="s">
        <v>102</v>
      </c>
      <c r="AK44">
        <v>3040.53</v>
      </c>
    </row>
    <row r="45" spans="20:37">
      <c r="T45" s="26" t="str">
        <f t="shared" si="0"/>
        <v>SCHEDULED NATIONAL AIRLINES(blank)</v>
      </c>
      <c r="U45" t="s">
        <v>44</v>
      </c>
      <c r="V45" t="s">
        <v>48</v>
      </c>
      <c r="W45">
        <v>126</v>
      </c>
      <c r="X45">
        <v>21</v>
      </c>
      <c r="Y45">
        <v>3</v>
      </c>
      <c r="Z45">
        <v>144</v>
      </c>
      <c r="AA45">
        <v>1441</v>
      </c>
      <c r="AB45">
        <v>251.32000000000002</v>
      </c>
      <c r="AC45">
        <v>1618.02</v>
      </c>
      <c r="AD45">
        <v>182348</v>
      </c>
      <c r="AE45">
        <v>1845</v>
      </c>
      <c r="AF45">
        <v>0</v>
      </c>
      <c r="AG45">
        <v>184193</v>
      </c>
      <c r="AH45">
        <v>537908</v>
      </c>
      <c r="AI45">
        <v>2493</v>
      </c>
      <c r="AJ45">
        <v>0</v>
      </c>
      <c r="AK45">
        <v>540403</v>
      </c>
    </row>
    <row r="46" spans="20:37">
      <c r="T46" s="26" t="str">
        <f t="shared" si="0"/>
        <v>SCHEDULED PRIVATE AIRLINES(blank)</v>
      </c>
      <c r="U46" t="s">
        <v>45</v>
      </c>
      <c r="V46" t="s">
        <v>48</v>
      </c>
      <c r="W46">
        <v>263</v>
      </c>
      <c r="X46">
        <v>48</v>
      </c>
      <c r="Y46">
        <v>3</v>
      </c>
      <c r="Z46">
        <v>308</v>
      </c>
      <c r="AA46">
        <v>794</v>
      </c>
      <c r="AB46">
        <v>221.4</v>
      </c>
      <c r="AC46">
        <v>669.90000000000009</v>
      </c>
      <c r="AD46">
        <v>633617</v>
      </c>
      <c r="AE46">
        <v>1275</v>
      </c>
      <c r="AF46">
        <v>0</v>
      </c>
      <c r="AG46">
        <v>634892</v>
      </c>
      <c r="AH46">
        <v>1284479.05</v>
      </c>
      <c r="AI46">
        <v>1765.3999999999996</v>
      </c>
      <c r="AJ46">
        <v>0</v>
      </c>
      <c r="AK46">
        <v>1286244.45</v>
      </c>
    </row>
    <row r="47" spans="20:37">
      <c r="T47" s="26" t="str">
        <f t="shared" si="0"/>
        <v>ALL SCHEDULED INDIAN AIRLINES(blank)</v>
      </c>
      <c r="U47" t="s">
        <v>46</v>
      </c>
      <c r="V47" t="s">
        <v>48</v>
      </c>
      <c r="W47">
        <v>479</v>
      </c>
      <c r="X47">
        <v>104</v>
      </c>
      <c r="Y47">
        <v>9</v>
      </c>
      <c r="Z47">
        <v>574</v>
      </c>
      <c r="AA47">
        <v>4189</v>
      </c>
      <c r="AB47">
        <v>798.95100000000014</v>
      </c>
      <c r="AC47">
        <v>3217.9050000000002</v>
      </c>
      <c r="AD47">
        <v>1058493</v>
      </c>
      <c r="AE47">
        <v>4332</v>
      </c>
      <c r="AF47">
        <v>0</v>
      </c>
      <c r="AG47">
        <v>1062825</v>
      </c>
      <c r="AH47">
        <v>3241778.43</v>
      </c>
      <c r="AI47">
        <v>5409.12</v>
      </c>
      <c r="AJ47">
        <v>0</v>
      </c>
      <c r="AK47">
        <v>2187191.7200000002</v>
      </c>
    </row>
    <row r="48" spans="20:37">
      <c r="T48" s="26" t="str">
        <f t="shared" si="0"/>
        <v>AIR CARNIVAL(blank)</v>
      </c>
      <c r="U48" t="s">
        <v>130</v>
      </c>
      <c r="V48" t="s">
        <v>48</v>
      </c>
      <c r="W48" t="s">
        <v>48</v>
      </c>
      <c r="X48" t="s">
        <v>48</v>
      </c>
      <c r="Y48" t="s">
        <v>48</v>
      </c>
      <c r="Z48" t="s">
        <v>48</v>
      </c>
      <c r="AA48" t="s">
        <v>48</v>
      </c>
      <c r="AB48" t="s">
        <v>48</v>
      </c>
      <c r="AC48" t="s">
        <v>48</v>
      </c>
      <c r="AD48" t="s">
        <v>48</v>
      </c>
      <c r="AE48" t="s">
        <v>102</v>
      </c>
      <c r="AF48" t="s">
        <v>102</v>
      </c>
      <c r="AG48" t="s">
        <v>48</v>
      </c>
      <c r="AH48" t="s">
        <v>48</v>
      </c>
      <c r="AI48" t="s">
        <v>102</v>
      </c>
      <c r="AJ48" t="s">
        <v>102</v>
      </c>
      <c r="AK48" t="s">
        <v>48</v>
      </c>
    </row>
    <row r="49" spans="20:37">
      <c r="T49" s="26" t="str">
        <f t="shared" si="0"/>
        <v>ZOOM AIRBOMBADIER CRJ200LR ,MSN-7809, VT-ZOA</v>
      </c>
      <c r="U49" t="s">
        <v>131</v>
      </c>
      <c r="V49" t="s">
        <v>166</v>
      </c>
      <c r="W49">
        <v>1</v>
      </c>
      <c r="X49">
        <v>0</v>
      </c>
      <c r="Y49">
        <v>0</v>
      </c>
      <c r="Z49">
        <v>1</v>
      </c>
      <c r="AA49">
        <v>50</v>
      </c>
      <c r="AB49">
        <v>3</v>
      </c>
      <c r="AC49">
        <v>24</v>
      </c>
      <c r="AD49">
        <v>711</v>
      </c>
      <c r="AE49">
        <v>37</v>
      </c>
      <c r="AF49" t="s">
        <v>102</v>
      </c>
      <c r="AG49">
        <v>748</v>
      </c>
      <c r="AH49">
        <v>873</v>
      </c>
      <c r="AI49">
        <v>38</v>
      </c>
      <c r="AJ49" t="s">
        <v>102</v>
      </c>
      <c r="AK49">
        <v>912</v>
      </c>
    </row>
    <row r="50" spans="20:37">
      <c r="T50" s="26" t="str">
        <f t="shared" si="0"/>
        <v>ZOOM AIRBOMBADIER CRJ200LR ,MSN 7816, VT-ZOB</v>
      </c>
      <c r="U50" t="s">
        <v>131</v>
      </c>
      <c r="V50" t="s">
        <v>167</v>
      </c>
      <c r="W50">
        <v>0</v>
      </c>
      <c r="X50">
        <v>1</v>
      </c>
      <c r="Y50">
        <v>0</v>
      </c>
      <c r="Z50">
        <v>1</v>
      </c>
      <c r="AA50">
        <v>50</v>
      </c>
      <c r="AB50">
        <v>3</v>
      </c>
      <c r="AC50">
        <v>24</v>
      </c>
      <c r="AD50">
        <v>125</v>
      </c>
      <c r="AE50">
        <v>28</v>
      </c>
      <c r="AF50" t="s">
        <v>102</v>
      </c>
      <c r="AG50">
        <v>153</v>
      </c>
      <c r="AH50">
        <v>137</v>
      </c>
      <c r="AI50">
        <v>28</v>
      </c>
      <c r="AJ50" t="s">
        <v>102</v>
      </c>
      <c r="AK50">
        <v>165</v>
      </c>
    </row>
    <row r="51" spans="20:37">
      <c r="T51" s="26" t="str">
        <f t="shared" si="0"/>
        <v>ZOOM AIRBOMBADIER CRJ200ER ,VT-ZOC. VT-ZOD</v>
      </c>
      <c r="U51" t="s">
        <v>131</v>
      </c>
      <c r="V51" t="s">
        <v>168</v>
      </c>
      <c r="W51">
        <v>0</v>
      </c>
      <c r="X51">
        <v>1</v>
      </c>
      <c r="Y51">
        <v>0</v>
      </c>
      <c r="Z51">
        <v>1</v>
      </c>
      <c r="AA51">
        <v>50</v>
      </c>
      <c r="AB51">
        <v>2</v>
      </c>
      <c r="AC51">
        <v>23</v>
      </c>
      <c r="AD51">
        <v>0</v>
      </c>
      <c r="AE51">
        <v>0</v>
      </c>
      <c r="AF51" t="s">
        <v>102</v>
      </c>
      <c r="AG51">
        <v>0</v>
      </c>
      <c r="AH51">
        <v>0</v>
      </c>
      <c r="AI51">
        <v>0</v>
      </c>
      <c r="AJ51" t="s">
        <v>102</v>
      </c>
      <c r="AK51">
        <v>0</v>
      </c>
    </row>
    <row r="52" spans="20:37">
      <c r="T52" s="26" t="str">
        <f t="shared" si="0"/>
        <v>ZOOM AIRBOMBADIER CRJ200ER ,VT-ZOC. VT-ZOD</v>
      </c>
      <c r="U52" t="s">
        <v>131</v>
      </c>
      <c r="V52" t="s">
        <v>168</v>
      </c>
      <c r="W52">
        <v>0</v>
      </c>
      <c r="X52">
        <v>1</v>
      </c>
      <c r="Y52">
        <v>0</v>
      </c>
      <c r="Z52">
        <v>1</v>
      </c>
      <c r="AA52">
        <v>50</v>
      </c>
      <c r="AB52">
        <v>2</v>
      </c>
      <c r="AC52">
        <v>23</v>
      </c>
      <c r="AD52">
        <v>249</v>
      </c>
      <c r="AE52">
        <v>46</v>
      </c>
      <c r="AF52" t="s">
        <v>102</v>
      </c>
      <c r="AG52">
        <v>295</v>
      </c>
      <c r="AH52">
        <v>329</v>
      </c>
      <c r="AI52">
        <v>34</v>
      </c>
      <c r="AJ52" t="s">
        <v>102</v>
      </c>
      <c r="AK52">
        <v>363</v>
      </c>
    </row>
    <row r="53" spans="20:37">
      <c r="T53" s="26" t="str">
        <f t="shared" si="0"/>
        <v>ZOOM AIRBOMBADIER CRJ100 ,VT-ARE</v>
      </c>
      <c r="U53" t="s">
        <v>131</v>
      </c>
      <c r="V53" t="s">
        <v>169</v>
      </c>
      <c r="W53">
        <v>0</v>
      </c>
      <c r="X53">
        <v>1</v>
      </c>
      <c r="Y53">
        <v>0</v>
      </c>
      <c r="Z53">
        <v>1</v>
      </c>
      <c r="AA53">
        <v>18</v>
      </c>
      <c r="AB53">
        <v>2</v>
      </c>
      <c r="AC53">
        <v>24</v>
      </c>
      <c r="AD53">
        <v>0</v>
      </c>
      <c r="AE53">
        <v>0</v>
      </c>
      <c r="AF53" t="s">
        <v>102</v>
      </c>
      <c r="AG53">
        <v>0</v>
      </c>
      <c r="AH53">
        <v>0</v>
      </c>
      <c r="AI53">
        <v>0</v>
      </c>
      <c r="AJ53" t="s">
        <v>102</v>
      </c>
      <c r="AK53">
        <v>0</v>
      </c>
    </row>
    <row r="54" spans="20:37">
      <c r="T54" s="26" t="str">
        <f t="shared" si="0"/>
        <v>AIR ODDISACESSNA CARAVAN 208B</v>
      </c>
      <c r="U54" t="s">
        <v>173</v>
      </c>
      <c r="V54" t="s">
        <v>180</v>
      </c>
      <c r="W54">
        <v>1</v>
      </c>
      <c r="X54">
        <v>0</v>
      </c>
      <c r="Y54">
        <v>0</v>
      </c>
      <c r="Z54">
        <v>1</v>
      </c>
      <c r="AA54">
        <v>8</v>
      </c>
      <c r="AB54">
        <v>0.21199999999999999</v>
      </c>
      <c r="AC54">
        <v>3.97</v>
      </c>
      <c r="AD54">
        <v>0</v>
      </c>
      <c r="AE54">
        <v>564</v>
      </c>
      <c r="AF54" t="s">
        <v>102</v>
      </c>
      <c r="AG54">
        <v>564</v>
      </c>
      <c r="AH54">
        <v>0</v>
      </c>
      <c r="AI54">
        <v>641.45000000000005</v>
      </c>
      <c r="AJ54" t="s">
        <v>102</v>
      </c>
      <c r="AK54">
        <v>641.25</v>
      </c>
    </row>
    <row r="55" spans="20:37">
      <c r="T55" s="26" t="str">
        <f t="shared" si="0"/>
        <v>AIR ODDISABEECHCRAFT 1900D</v>
      </c>
      <c r="U55" t="s">
        <v>173</v>
      </c>
      <c r="V55" t="s">
        <v>181</v>
      </c>
      <c r="W55">
        <v>0</v>
      </c>
      <c r="X55">
        <v>1</v>
      </c>
      <c r="Y55">
        <v>0</v>
      </c>
      <c r="Z55">
        <v>1</v>
      </c>
      <c r="AA55">
        <v>18</v>
      </c>
      <c r="AB55">
        <v>0.39900000000000002</v>
      </c>
      <c r="AC55">
        <v>7.7649999999999997</v>
      </c>
      <c r="AD55">
        <v>44</v>
      </c>
      <c r="AE55">
        <v>0</v>
      </c>
      <c r="AF55" t="s">
        <v>102</v>
      </c>
      <c r="AG55">
        <v>44</v>
      </c>
      <c r="AH55">
        <v>20.37</v>
      </c>
      <c r="AI55">
        <v>0</v>
      </c>
      <c r="AJ55" t="s">
        <v>102</v>
      </c>
      <c r="AK55">
        <v>20.37</v>
      </c>
    </row>
    <row r="56" spans="20:37">
      <c r="T56" s="26" t="str">
        <f t="shared" si="0"/>
        <v>AIR DECCANBEECHCRAFT 1900D</v>
      </c>
      <c r="U56" t="s">
        <v>174</v>
      </c>
      <c r="V56" t="s">
        <v>181</v>
      </c>
      <c r="W56">
        <v>0</v>
      </c>
      <c r="X56">
        <v>3</v>
      </c>
      <c r="Y56">
        <v>0</v>
      </c>
      <c r="Z56">
        <v>3</v>
      </c>
      <c r="AA56" t="s">
        <v>177</v>
      </c>
      <c r="AB56">
        <v>0</v>
      </c>
      <c r="AC56">
        <v>0</v>
      </c>
      <c r="AD56">
        <v>267</v>
      </c>
      <c r="AE56">
        <v>0</v>
      </c>
      <c r="AF56" t="s">
        <v>102</v>
      </c>
      <c r="AG56">
        <v>267</v>
      </c>
      <c r="AH56">
        <v>299</v>
      </c>
      <c r="AI56">
        <v>0</v>
      </c>
      <c r="AJ56" t="s">
        <v>102</v>
      </c>
      <c r="AK56">
        <v>299</v>
      </c>
    </row>
    <row r="57" spans="20:37">
      <c r="T57" s="26" t="str">
        <f t="shared" si="0"/>
        <v/>
      </c>
    </row>
    <row r="58" spans="20:37">
      <c r="T58" s="26" t="str">
        <f t="shared" si="0"/>
        <v/>
      </c>
    </row>
    <row r="59" spans="20:37">
      <c r="T59" s="26" t="str">
        <f t="shared" si="0"/>
        <v/>
      </c>
    </row>
    <row r="60" spans="20:37">
      <c r="T60" s="26" t="str">
        <f t="shared" si="0"/>
        <v/>
      </c>
    </row>
    <row r="61" spans="20:37">
      <c r="T61" s="26" t="str">
        <f t="shared" si="0"/>
        <v/>
      </c>
    </row>
    <row r="62" spans="20:37">
      <c r="T62" s="26" t="str">
        <f t="shared" si="0"/>
        <v/>
      </c>
    </row>
    <row r="63" spans="20:37">
      <c r="T63" s="26" t="str">
        <f t="shared" si="0"/>
        <v/>
      </c>
    </row>
    <row r="64" spans="20:37">
      <c r="T64" s="26" t="str">
        <f t="shared" si="0"/>
        <v/>
      </c>
    </row>
    <row r="65" spans="20:20">
      <c r="T65" s="26" t="str">
        <f t="shared" si="0"/>
        <v/>
      </c>
    </row>
    <row r="66" spans="20:20">
      <c r="T66" s="26" t="str">
        <f t="shared" si="0"/>
        <v/>
      </c>
    </row>
    <row r="67" spans="20:20">
      <c r="T67" s="26" t="str">
        <f t="shared" si="0"/>
        <v/>
      </c>
    </row>
    <row r="68" spans="20:20">
      <c r="T68" s="26" t="str">
        <f t="shared" si="0"/>
        <v/>
      </c>
    </row>
    <row r="69" spans="20:20">
      <c r="T69" s="26" t="str">
        <f t="shared" ref="T69:T132" si="1">U69&amp;V69</f>
        <v/>
      </c>
    </row>
    <row r="70" spans="20:20">
      <c r="T70" s="26" t="str">
        <f t="shared" si="1"/>
        <v/>
      </c>
    </row>
    <row r="71" spans="20:20">
      <c r="T71" s="26" t="str">
        <f t="shared" si="1"/>
        <v/>
      </c>
    </row>
    <row r="72" spans="20:20">
      <c r="T72" s="26" t="str">
        <f t="shared" si="1"/>
        <v/>
      </c>
    </row>
    <row r="73" spans="20:20">
      <c r="T73" s="26" t="str">
        <f t="shared" si="1"/>
        <v/>
      </c>
    </row>
    <row r="74" spans="20:20">
      <c r="T74" s="26" t="str">
        <f t="shared" si="1"/>
        <v/>
      </c>
    </row>
    <row r="75" spans="20:20">
      <c r="T75" s="26" t="str">
        <f t="shared" si="1"/>
        <v/>
      </c>
    </row>
    <row r="76" spans="20:20">
      <c r="T76" s="26" t="str">
        <f t="shared" si="1"/>
        <v/>
      </c>
    </row>
    <row r="77" spans="20:20">
      <c r="T77" s="26" t="str">
        <f t="shared" si="1"/>
        <v/>
      </c>
    </row>
    <row r="78" spans="20:20">
      <c r="T78" s="26" t="str">
        <f t="shared" si="1"/>
        <v/>
      </c>
    </row>
    <row r="79" spans="20:20">
      <c r="T79" s="26" t="str">
        <f t="shared" si="1"/>
        <v/>
      </c>
    </row>
    <row r="80" spans="20:20">
      <c r="T80" s="26" t="str">
        <f t="shared" si="1"/>
        <v/>
      </c>
    </row>
    <row r="81" spans="20:20">
      <c r="T81" s="26" t="str">
        <f t="shared" si="1"/>
        <v/>
      </c>
    </row>
    <row r="82" spans="20:20">
      <c r="T82" s="26" t="str">
        <f t="shared" si="1"/>
        <v/>
      </c>
    </row>
    <row r="83" spans="20:20">
      <c r="T83" s="26" t="str">
        <f t="shared" si="1"/>
        <v/>
      </c>
    </row>
    <row r="84" spans="20:20">
      <c r="T84" s="26" t="str">
        <f t="shared" si="1"/>
        <v/>
      </c>
    </row>
    <row r="85" spans="20:20">
      <c r="T85" s="26" t="str">
        <f t="shared" si="1"/>
        <v/>
      </c>
    </row>
    <row r="86" spans="20:20">
      <c r="T86" s="26" t="str">
        <f t="shared" si="1"/>
        <v/>
      </c>
    </row>
    <row r="87" spans="20:20">
      <c r="T87" s="26" t="str">
        <f t="shared" si="1"/>
        <v/>
      </c>
    </row>
    <row r="88" spans="20:20">
      <c r="T88" s="26" t="str">
        <f t="shared" si="1"/>
        <v/>
      </c>
    </row>
    <row r="89" spans="20:20">
      <c r="T89" s="26" t="str">
        <f t="shared" si="1"/>
        <v/>
      </c>
    </row>
    <row r="90" spans="20:20">
      <c r="T90" s="26" t="str">
        <f t="shared" si="1"/>
        <v/>
      </c>
    </row>
    <row r="91" spans="20:20">
      <c r="T91" s="26" t="str">
        <f t="shared" si="1"/>
        <v/>
      </c>
    </row>
    <row r="92" spans="20:20">
      <c r="T92" s="26" t="str">
        <f t="shared" si="1"/>
        <v/>
      </c>
    </row>
    <row r="93" spans="20:20">
      <c r="T93" s="26" t="str">
        <f t="shared" si="1"/>
        <v/>
      </c>
    </row>
    <row r="94" spans="20:20">
      <c r="T94" s="26" t="str">
        <f t="shared" si="1"/>
        <v/>
      </c>
    </row>
    <row r="95" spans="20:20">
      <c r="T95" s="26" t="str">
        <f t="shared" si="1"/>
        <v/>
      </c>
    </row>
    <row r="96" spans="20:20">
      <c r="T96" s="26" t="str">
        <f t="shared" si="1"/>
        <v/>
      </c>
    </row>
    <row r="97" spans="20:20">
      <c r="T97" s="26" t="str">
        <f t="shared" si="1"/>
        <v/>
      </c>
    </row>
    <row r="98" spans="20:20">
      <c r="T98" s="26" t="str">
        <f t="shared" si="1"/>
        <v/>
      </c>
    </row>
    <row r="99" spans="20:20">
      <c r="T99" s="26" t="str">
        <f t="shared" si="1"/>
        <v/>
      </c>
    </row>
    <row r="100" spans="20:20">
      <c r="T100" s="26" t="str">
        <f t="shared" si="1"/>
        <v/>
      </c>
    </row>
    <row r="101" spans="20:20">
      <c r="T101" s="26" t="str">
        <f t="shared" si="1"/>
        <v/>
      </c>
    </row>
    <row r="102" spans="20:20">
      <c r="T102" s="26" t="str">
        <f t="shared" si="1"/>
        <v/>
      </c>
    </row>
    <row r="103" spans="20:20">
      <c r="T103" s="26" t="str">
        <f t="shared" si="1"/>
        <v/>
      </c>
    </row>
    <row r="104" spans="20:20">
      <c r="T104" s="26" t="str">
        <f t="shared" si="1"/>
        <v/>
      </c>
    </row>
    <row r="105" spans="20:20">
      <c r="T105" s="26" t="str">
        <f t="shared" si="1"/>
        <v/>
      </c>
    </row>
    <row r="106" spans="20:20">
      <c r="T106" s="26" t="str">
        <f t="shared" si="1"/>
        <v/>
      </c>
    </row>
    <row r="107" spans="20:20">
      <c r="T107" s="26" t="str">
        <f t="shared" si="1"/>
        <v/>
      </c>
    </row>
    <row r="108" spans="20:20">
      <c r="T108" s="26" t="str">
        <f t="shared" si="1"/>
        <v/>
      </c>
    </row>
    <row r="109" spans="20:20">
      <c r="T109" s="26" t="str">
        <f t="shared" si="1"/>
        <v/>
      </c>
    </row>
    <row r="110" spans="20:20">
      <c r="T110" s="26" t="str">
        <f t="shared" si="1"/>
        <v/>
      </c>
    </row>
    <row r="111" spans="20:20">
      <c r="T111" s="26" t="str">
        <f t="shared" si="1"/>
        <v/>
      </c>
    </row>
    <row r="112" spans="20:20">
      <c r="T112" s="26" t="str">
        <f t="shared" si="1"/>
        <v/>
      </c>
    </row>
    <row r="113" spans="20:20">
      <c r="T113" s="26" t="str">
        <f t="shared" si="1"/>
        <v/>
      </c>
    </row>
    <row r="114" spans="20:20">
      <c r="T114" s="26" t="str">
        <f t="shared" si="1"/>
        <v/>
      </c>
    </row>
    <row r="115" spans="20:20">
      <c r="T115" s="26" t="str">
        <f t="shared" si="1"/>
        <v/>
      </c>
    </row>
    <row r="116" spans="20:20">
      <c r="T116" s="26" t="str">
        <f t="shared" si="1"/>
        <v/>
      </c>
    </row>
    <row r="117" spans="20:20">
      <c r="T117" s="26" t="str">
        <f t="shared" si="1"/>
        <v/>
      </c>
    </row>
    <row r="118" spans="20:20">
      <c r="T118" s="26" t="str">
        <f t="shared" si="1"/>
        <v/>
      </c>
    </row>
    <row r="119" spans="20:20">
      <c r="T119" s="26" t="str">
        <f t="shared" si="1"/>
        <v/>
      </c>
    </row>
    <row r="120" spans="20:20">
      <c r="T120" s="26" t="str">
        <f t="shared" si="1"/>
        <v/>
      </c>
    </row>
    <row r="121" spans="20:20">
      <c r="T121" s="26" t="str">
        <f t="shared" si="1"/>
        <v/>
      </c>
    </row>
    <row r="122" spans="20:20">
      <c r="T122" s="26" t="str">
        <f t="shared" si="1"/>
        <v/>
      </c>
    </row>
    <row r="123" spans="20:20">
      <c r="T123" s="26" t="str">
        <f t="shared" si="1"/>
        <v/>
      </c>
    </row>
    <row r="124" spans="20:20">
      <c r="T124" s="26" t="str">
        <f t="shared" si="1"/>
        <v/>
      </c>
    </row>
    <row r="125" spans="20:20">
      <c r="T125" s="26" t="str">
        <f t="shared" si="1"/>
        <v/>
      </c>
    </row>
    <row r="126" spans="20:20">
      <c r="T126" s="26" t="str">
        <f t="shared" si="1"/>
        <v/>
      </c>
    </row>
    <row r="127" spans="20:20">
      <c r="T127" s="26" t="str">
        <f t="shared" si="1"/>
        <v/>
      </c>
    </row>
    <row r="128" spans="20:20">
      <c r="T128" s="26" t="str">
        <f t="shared" si="1"/>
        <v/>
      </c>
    </row>
    <row r="129" spans="20:20">
      <c r="T129" s="26" t="str">
        <f t="shared" si="1"/>
        <v/>
      </c>
    </row>
    <row r="130" spans="20:20">
      <c r="T130" s="26" t="str">
        <f t="shared" si="1"/>
        <v/>
      </c>
    </row>
    <row r="131" spans="20:20">
      <c r="T131" s="26" t="str">
        <f t="shared" si="1"/>
        <v/>
      </c>
    </row>
    <row r="132" spans="20:20">
      <c r="T132" s="26" t="str">
        <f t="shared" si="1"/>
        <v/>
      </c>
    </row>
    <row r="133" spans="20:20">
      <c r="T133" s="26" t="str">
        <f t="shared" ref="T133:T196" si="2">U133&amp;V133</f>
        <v/>
      </c>
    </row>
    <row r="134" spans="20:20">
      <c r="T134" s="26" t="str">
        <f t="shared" si="2"/>
        <v/>
      </c>
    </row>
    <row r="135" spans="20:20">
      <c r="T135" s="26" t="str">
        <f t="shared" si="2"/>
        <v/>
      </c>
    </row>
    <row r="136" spans="20:20">
      <c r="T136" s="26" t="str">
        <f t="shared" si="2"/>
        <v/>
      </c>
    </row>
    <row r="137" spans="20:20">
      <c r="T137" s="26" t="str">
        <f t="shared" si="2"/>
        <v/>
      </c>
    </row>
    <row r="138" spans="20:20">
      <c r="T138" s="26" t="str">
        <f t="shared" si="2"/>
        <v/>
      </c>
    </row>
    <row r="139" spans="20:20">
      <c r="T139" s="26" t="str">
        <f t="shared" si="2"/>
        <v/>
      </c>
    </row>
    <row r="140" spans="20:20">
      <c r="T140" s="26" t="str">
        <f t="shared" si="2"/>
        <v/>
      </c>
    </row>
    <row r="141" spans="20:20">
      <c r="T141" s="26" t="str">
        <f t="shared" si="2"/>
        <v/>
      </c>
    </row>
    <row r="142" spans="20:20">
      <c r="T142" s="26" t="str">
        <f t="shared" si="2"/>
        <v/>
      </c>
    </row>
    <row r="143" spans="20:20">
      <c r="T143" s="26" t="str">
        <f t="shared" si="2"/>
        <v/>
      </c>
    </row>
    <row r="144" spans="20:20">
      <c r="T144" s="26" t="str">
        <f t="shared" si="2"/>
        <v/>
      </c>
    </row>
    <row r="145" spans="20:20">
      <c r="T145" s="26" t="str">
        <f t="shared" si="2"/>
        <v/>
      </c>
    </row>
    <row r="146" spans="20:20">
      <c r="T146" s="26" t="str">
        <f t="shared" si="2"/>
        <v/>
      </c>
    </row>
    <row r="147" spans="20:20">
      <c r="T147" s="26" t="str">
        <f t="shared" si="2"/>
        <v/>
      </c>
    </row>
    <row r="148" spans="20:20">
      <c r="T148" s="26" t="str">
        <f t="shared" si="2"/>
        <v/>
      </c>
    </row>
    <row r="149" spans="20:20">
      <c r="T149" s="26" t="str">
        <f t="shared" si="2"/>
        <v/>
      </c>
    </row>
    <row r="150" spans="20:20">
      <c r="T150" s="26" t="str">
        <f t="shared" si="2"/>
        <v/>
      </c>
    </row>
    <row r="151" spans="20:20">
      <c r="T151" s="26" t="str">
        <f t="shared" si="2"/>
        <v/>
      </c>
    </row>
    <row r="152" spans="20:20">
      <c r="T152" s="26" t="str">
        <f t="shared" si="2"/>
        <v/>
      </c>
    </row>
    <row r="153" spans="20:20">
      <c r="T153" s="26" t="str">
        <f t="shared" si="2"/>
        <v/>
      </c>
    </row>
    <row r="154" spans="20:20">
      <c r="T154" s="26" t="str">
        <f t="shared" si="2"/>
        <v/>
      </c>
    </row>
    <row r="155" spans="20:20">
      <c r="T155" s="26" t="str">
        <f t="shared" si="2"/>
        <v/>
      </c>
    </row>
    <row r="156" spans="20:20">
      <c r="T156" s="26" t="str">
        <f t="shared" si="2"/>
        <v/>
      </c>
    </row>
    <row r="157" spans="20:20">
      <c r="T157" s="26" t="str">
        <f t="shared" si="2"/>
        <v/>
      </c>
    </row>
    <row r="158" spans="20:20">
      <c r="T158" s="26" t="str">
        <f t="shared" si="2"/>
        <v/>
      </c>
    </row>
    <row r="159" spans="20:20">
      <c r="T159" s="26" t="str">
        <f t="shared" si="2"/>
        <v/>
      </c>
    </row>
    <row r="160" spans="20:20">
      <c r="T160" s="26" t="str">
        <f t="shared" si="2"/>
        <v/>
      </c>
    </row>
    <row r="161" spans="20:20">
      <c r="T161" s="26" t="str">
        <f t="shared" si="2"/>
        <v/>
      </c>
    </row>
    <row r="162" spans="20:20">
      <c r="T162" s="26" t="str">
        <f t="shared" si="2"/>
        <v/>
      </c>
    </row>
    <row r="163" spans="20:20">
      <c r="T163" s="26" t="str">
        <f t="shared" si="2"/>
        <v/>
      </c>
    </row>
    <row r="164" spans="20:20">
      <c r="T164" s="26" t="str">
        <f t="shared" si="2"/>
        <v/>
      </c>
    </row>
    <row r="165" spans="20:20">
      <c r="T165" s="26" t="str">
        <f t="shared" si="2"/>
        <v/>
      </c>
    </row>
    <row r="166" spans="20:20">
      <c r="T166" s="26" t="str">
        <f t="shared" si="2"/>
        <v/>
      </c>
    </row>
    <row r="167" spans="20:20">
      <c r="T167" s="26" t="str">
        <f t="shared" si="2"/>
        <v/>
      </c>
    </row>
    <row r="168" spans="20:20">
      <c r="T168" s="26" t="str">
        <f t="shared" si="2"/>
        <v/>
      </c>
    </row>
    <row r="169" spans="20:20">
      <c r="T169" s="26" t="str">
        <f t="shared" si="2"/>
        <v/>
      </c>
    </row>
    <row r="170" spans="20:20">
      <c r="T170" s="26" t="str">
        <f t="shared" si="2"/>
        <v/>
      </c>
    </row>
    <row r="171" spans="20:20">
      <c r="T171" s="26" t="str">
        <f t="shared" si="2"/>
        <v/>
      </c>
    </row>
    <row r="172" spans="20:20">
      <c r="T172" s="26" t="str">
        <f t="shared" si="2"/>
        <v/>
      </c>
    </row>
    <row r="173" spans="20:20">
      <c r="T173" s="26" t="str">
        <f t="shared" si="2"/>
        <v/>
      </c>
    </row>
    <row r="174" spans="20:20">
      <c r="T174" s="26" t="str">
        <f t="shared" si="2"/>
        <v/>
      </c>
    </row>
    <row r="175" spans="20:20">
      <c r="T175" s="26" t="str">
        <f t="shared" si="2"/>
        <v/>
      </c>
    </row>
    <row r="176" spans="20:20">
      <c r="T176" s="26" t="str">
        <f t="shared" si="2"/>
        <v/>
      </c>
    </row>
    <row r="177" spans="20:20">
      <c r="T177" s="26" t="str">
        <f t="shared" si="2"/>
        <v/>
      </c>
    </row>
    <row r="178" spans="20:20">
      <c r="T178" s="26" t="str">
        <f t="shared" si="2"/>
        <v/>
      </c>
    </row>
    <row r="179" spans="20:20">
      <c r="T179" s="26" t="str">
        <f t="shared" si="2"/>
        <v/>
      </c>
    </row>
    <row r="180" spans="20:20">
      <c r="T180" s="26" t="str">
        <f t="shared" si="2"/>
        <v/>
      </c>
    </row>
    <row r="181" spans="20:20">
      <c r="T181" s="26" t="str">
        <f t="shared" si="2"/>
        <v/>
      </c>
    </row>
    <row r="182" spans="20:20">
      <c r="T182" s="26" t="str">
        <f t="shared" si="2"/>
        <v/>
      </c>
    </row>
    <row r="183" spans="20:20">
      <c r="T183" s="26" t="str">
        <f t="shared" si="2"/>
        <v/>
      </c>
    </row>
    <row r="184" spans="20:20">
      <c r="T184" s="26" t="str">
        <f t="shared" si="2"/>
        <v/>
      </c>
    </row>
    <row r="185" spans="20:20">
      <c r="T185" s="26" t="str">
        <f t="shared" si="2"/>
        <v/>
      </c>
    </row>
    <row r="186" spans="20:20">
      <c r="T186" s="26" t="str">
        <f t="shared" si="2"/>
        <v/>
      </c>
    </row>
    <row r="187" spans="20:20">
      <c r="T187" s="26" t="str">
        <f t="shared" si="2"/>
        <v/>
      </c>
    </row>
    <row r="188" spans="20:20">
      <c r="T188" s="26" t="str">
        <f t="shared" si="2"/>
        <v/>
      </c>
    </row>
    <row r="189" spans="20:20">
      <c r="T189" s="26" t="str">
        <f t="shared" si="2"/>
        <v/>
      </c>
    </row>
    <row r="190" spans="20:20">
      <c r="T190" s="26" t="str">
        <f t="shared" si="2"/>
        <v/>
      </c>
    </row>
    <row r="191" spans="20:20">
      <c r="T191" s="26" t="str">
        <f t="shared" si="2"/>
        <v/>
      </c>
    </row>
    <row r="192" spans="20:20">
      <c r="T192" s="26" t="str">
        <f t="shared" si="2"/>
        <v/>
      </c>
    </row>
    <row r="193" spans="20:20">
      <c r="T193" s="26" t="str">
        <f t="shared" si="2"/>
        <v/>
      </c>
    </row>
    <row r="194" spans="20:20">
      <c r="T194" s="26" t="str">
        <f t="shared" si="2"/>
        <v/>
      </c>
    </row>
    <row r="195" spans="20:20">
      <c r="T195" s="26" t="str">
        <f t="shared" si="2"/>
        <v/>
      </c>
    </row>
    <row r="196" spans="20:20">
      <c r="T196" s="26" t="str">
        <f t="shared" si="2"/>
        <v/>
      </c>
    </row>
    <row r="197" spans="20:20">
      <c r="T197" s="26" t="str">
        <f t="shared" ref="T197:T260" si="3">U197&amp;V197</f>
        <v/>
      </c>
    </row>
    <row r="198" spans="20:20">
      <c r="T198" s="26" t="str">
        <f t="shared" si="3"/>
        <v/>
      </c>
    </row>
    <row r="199" spans="20:20">
      <c r="T199" s="26" t="str">
        <f t="shared" si="3"/>
        <v/>
      </c>
    </row>
    <row r="200" spans="20:20">
      <c r="T200" s="26" t="str">
        <f t="shared" si="3"/>
        <v/>
      </c>
    </row>
    <row r="201" spans="20:20">
      <c r="T201" s="26" t="str">
        <f t="shared" si="3"/>
        <v/>
      </c>
    </row>
    <row r="202" spans="20:20">
      <c r="T202" s="26" t="str">
        <f t="shared" si="3"/>
        <v/>
      </c>
    </row>
    <row r="203" spans="20:20">
      <c r="T203" s="26" t="str">
        <f t="shared" si="3"/>
        <v/>
      </c>
    </row>
    <row r="204" spans="20:20">
      <c r="T204" s="26" t="str">
        <f t="shared" si="3"/>
        <v/>
      </c>
    </row>
    <row r="205" spans="20:20">
      <c r="T205" s="26" t="str">
        <f t="shared" si="3"/>
        <v/>
      </c>
    </row>
    <row r="206" spans="20:20">
      <c r="T206" s="26" t="str">
        <f t="shared" si="3"/>
        <v/>
      </c>
    </row>
    <row r="207" spans="20:20">
      <c r="T207" s="26" t="str">
        <f t="shared" si="3"/>
        <v/>
      </c>
    </row>
    <row r="208" spans="20:20">
      <c r="T208" s="26" t="str">
        <f t="shared" si="3"/>
        <v/>
      </c>
    </row>
    <row r="209" spans="20:20">
      <c r="T209" s="26" t="str">
        <f t="shared" si="3"/>
        <v/>
      </c>
    </row>
    <row r="210" spans="20:20">
      <c r="T210" s="26" t="str">
        <f t="shared" si="3"/>
        <v/>
      </c>
    </row>
    <row r="211" spans="20:20">
      <c r="T211" s="26" t="str">
        <f t="shared" si="3"/>
        <v/>
      </c>
    </row>
    <row r="212" spans="20:20">
      <c r="T212" s="26" t="str">
        <f t="shared" si="3"/>
        <v/>
      </c>
    </row>
    <row r="213" spans="20:20">
      <c r="T213" s="26" t="str">
        <f t="shared" si="3"/>
        <v/>
      </c>
    </row>
    <row r="214" spans="20:20">
      <c r="T214" s="26" t="str">
        <f t="shared" si="3"/>
        <v/>
      </c>
    </row>
    <row r="215" spans="20:20">
      <c r="T215" s="26" t="str">
        <f t="shared" si="3"/>
        <v/>
      </c>
    </row>
    <row r="216" spans="20:20">
      <c r="T216" s="26" t="str">
        <f t="shared" si="3"/>
        <v/>
      </c>
    </row>
    <row r="217" spans="20:20">
      <c r="T217" s="26" t="str">
        <f t="shared" si="3"/>
        <v/>
      </c>
    </row>
    <row r="218" spans="20:20">
      <c r="T218" s="26" t="str">
        <f t="shared" si="3"/>
        <v/>
      </c>
    </row>
    <row r="219" spans="20:20">
      <c r="T219" s="26" t="str">
        <f t="shared" si="3"/>
        <v/>
      </c>
    </row>
    <row r="220" spans="20:20">
      <c r="T220" s="26" t="str">
        <f t="shared" si="3"/>
        <v/>
      </c>
    </row>
    <row r="221" spans="20:20">
      <c r="T221" s="26" t="str">
        <f t="shared" si="3"/>
        <v/>
      </c>
    </row>
    <row r="222" spans="20:20">
      <c r="T222" s="26" t="str">
        <f t="shared" si="3"/>
        <v/>
      </c>
    </row>
    <row r="223" spans="20:20">
      <c r="T223" s="26" t="str">
        <f t="shared" si="3"/>
        <v/>
      </c>
    </row>
    <row r="224" spans="20:20">
      <c r="T224" s="26" t="str">
        <f t="shared" si="3"/>
        <v/>
      </c>
    </row>
    <row r="225" spans="20:20">
      <c r="T225" s="26" t="str">
        <f t="shared" si="3"/>
        <v/>
      </c>
    </row>
    <row r="226" spans="20:20">
      <c r="T226" s="26" t="str">
        <f t="shared" si="3"/>
        <v/>
      </c>
    </row>
    <row r="227" spans="20:20">
      <c r="T227" s="26" t="str">
        <f t="shared" si="3"/>
        <v/>
      </c>
    </row>
    <row r="228" spans="20:20">
      <c r="T228" s="26" t="str">
        <f t="shared" si="3"/>
        <v/>
      </c>
    </row>
    <row r="229" spans="20:20">
      <c r="T229" s="26" t="str">
        <f t="shared" si="3"/>
        <v/>
      </c>
    </row>
    <row r="230" spans="20:20">
      <c r="T230" s="26" t="str">
        <f t="shared" si="3"/>
        <v/>
      </c>
    </row>
    <row r="231" spans="20:20">
      <c r="T231" s="26" t="str">
        <f t="shared" si="3"/>
        <v/>
      </c>
    </row>
    <row r="232" spans="20:20">
      <c r="T232" s="26" t="str">
        <f t="shared" si="3"/>
        <v/>
      </c>
    </row>
    <row r="233" spans="20:20">
      <c r="T233" s="26" t="str">
        <f t="shared" si="3"/>
        <v/>
      </c>
    </row>
    <row r="234" spans="20:20">
      <c r="T234" s="26" t="str">
        <f t="shared" si="3"/>
        <v/>
      </c>
    </row>
    <row r="235" spans="20:20">
      <c r="T235" s="26" t="str">
        <f t="shared" si="3"/>
        <v/>
      </c>
    </row>
    <row r="236" spans="20:20">
      <c r="T236" s="26" t="str">
        <f t="shared" si="3"/>
        <v/>
      </c>
    </row>
    <row r="237" spans="20:20">
      <c r="T237" s="26" t="str">
        <f t="shared" si="3"/>
        <v/>
      </c>
    </row>
    <row r="238" spans="20:20">
      <c r="T238" s="26" t="str">
        <f t="shared" si="3"/>
        <v/>
      </c>
    </row>
    <row r="239" spans="20:20">
      <c r="T239" s="26" t="str">
        <f t="shared" si="3"/>
        <v/>
      </c>
    </row>
    <row r="240" spans="20:20">
      <c r="T240" s="26" t="str">
        <f t="shared" si="3"/>
        <v/>
      </c>
    </row>
    <row r="241" spans="20:20">
      <c r="T241" s="26" t="str">
        <f t="shared" si="3"/>
        <v/>
      </c>
    </row>
    <row r="242" spans="20:20">
      <c r="T242" s="26" t="str">
        <f t="shared" si="3"/>
        <v/>
      </c>
    </row>
    <row r="243" spans="20:20">
      <c r="T243" s="26" t="str">
        <f t="shared" si="3"/>
        <v/>
      </c>
    </row>
    <row r="244" spans="20:20">
      <c r="T244" s="26" t="str">
        <f t="shared" si="3"/>
        <v/>
      </c>
    </row>
    <row r="245" spans="20:20">
      <c r="T245" s="26" t="str">
        <f t="shared" si="3"/>
        <v/>
      </c>
    </row>
    <row r="246" spans="20:20">
      <c r="T246" s="26" t="str">
        <f t="shared" si="3"/>
        <v/>
      </c>
    </row>
    <row r="247" spans="20:20">
      <c r="T247" s="26" t="str">
        <f t="shared" si="3"/>
        <v/>
      </c>
    </row>
    <row r="248" spans="20:20">
      <c r="T248" s="26" t="str">
        <f t="shared" si="3"/>
        <v/>
      </c>
    </row>
    <row r="249" spans="20:20">
      <c r="T249" s="26" t="str">
        <f t="shared" si="3"/>
        <v/>
      </c>
    </row>
    <row r="250" spans="20:20">
      <c r="T250" s="26" t="str">
        <f t="shared" si="3"/>
        <v/>
      </c>
    </row>
    <row r="251" spans="20:20">
      <c r="T251" s="26" t="str">
        <f t="shared" si="3"/>
        <v/>
      </c>
    </row>
    <row r="252" spans="20:20">
      <c r="T252" s="26" t="str">
        <f t="shared" si="3"/>
        <v/>
      </c>
    </row>
    <row r="253" spans="20:20">
      <c r="T253" s="26" t="str">
        <f t="shared" si="3"/>
        <v/>
      </c>
    </row>
    <row r="254" spans="20:20">
      <c r="T254" s="26" t="str">
        <f t="shared" si="3"/>
        <v/>
      </c>
    </row>
    <row r="255" spans="20:20">
      <c r="T255" s="26" t="str">
        <f t="shared" si="3"/>
        <v/>
      </c>
    </row>
    <row r="256" spans="20:20">
      <c r="T256" s="26" t="str">
        <f t="shared" si="3"/>
        <v/>
      </c>
    </row>
    <row r="257" spans="20:20">
      <c r="T257" s="26" t="str">
        <f t="shared" si="3"/>
        <v/>
      </c>
    </row>
    <row r="258" spans="20:20">
      <c r="T258" s="26" t="str">
        <f t="shared" si="3"/>
        <v/>
      </c>
    </row>
    <row r="259" spans="20:20">
      <c r="T259" s="26" t="str">
        <f t="shared" si="3"/>
        <v/>
      </c>
    </row>
    <row r="260" spans="20:20">
      <c r="T260" s="26" t="str">
        <f t="shared" si="3"/>
        <v/>
      </c>
    </row>
    <row r="261" spans="20:20">
      <c r="T261" s="26" t="str">
        <f t="shared" ref="T261:T324" si="4">U261&amp;V261</f>
        <v/>
      </c>
    </row>
    <row r="262" spans="20:20">
      <c r="T262" s="26" t="str">
        <f t="shared" si="4"/>
        <v/>
      </c>
    </row>
    <row r="263" spans="20:20">
      <c r="T263" s="26" t="str">
        <f t="shared" si="4"/>
        <v/>
      </c>
    </row>
    <row r="264" spans="20:20">
      <c r="T264" s="26" t="str">
        <f t="shared" si="4"/>
        <v/>
      </c>
    </row>
    <row r="265" spans="20:20">
      <c r="T265" s="26" t="str">
        <f t="shared" si="4"/>
        <v/>
      </c>
    </row>
    <row r="266" spans="20:20">
      <c r="T266" s="26" t="str">
        <f t="shared" si="4"/>
        <v/>
      </c>
    </row>
    <row r="267" spans="20:20">
      <c r="T267" s="26" t="str">
        <f t="shared" si="4"/>
        <v/>
      </c>
    </row>
    <row r="268" spans="20:20">
      <c r="T268" s="26" t="str">
        <f t="shared" si="4"/>
        <v/>
      </c>
    </row>
    <row r="269" spans="20:20">
      <c r="T269" s="26" t="str">
        <f t="shared" si="4"/>
        <v/>
      </c>
    </row>
    <row r="270" spans="20:20">
      <c r="T270" s="26" t="str">
        <f t="shared" si="4"/>
        <v/>
      </c>
    </row>
    <row r="271" spans="20:20">
      <c r="T271" s="26" t="str">
        <f t="shared" si="4"/>
        <v/>
      </c>
    </row>
    <row r="272" spans="20:20">
      <c r="T272" s="26" t="str">
        <f t="shared" si="4"/>
        <v/>
      </c>
    </row>
    <row r="273" spans="20:20">
      <c r="T273" s="26" t="str">
        <f t="shared" si="4"/>
        <v/>
      </c>
    </row>
    <row r="274" spans="20:20">
      <c r="T274" s="26" t="str">
        <f t="shared" si="4"/>
        <v/>
      </c>
    </row>
    <row r="275" spans="20:20">
      <c r="T275" s="26" t="str">
        <f t="shared" si="4"/>
        <v/>
      </c>
    </row>
    <row r="276" spans="20:20">
      <c r="T276" s="26" t="str">
        <f t="shared" si="4"/>
        <v/>
      </c>
    </row>
    <row r="277" spans="20:20">
      <c r="T277" s="26" t="str">
        <f t="shared" si="4"/>
        <v/>
      </c>
    </row>
    <row r="278" spans="20:20">
      <c r="T278" s="26" t="str">
        <f t="shared" si="4"/>
        <v/>
      </c>
    </row>
    <row r="279" spans="20:20">
      <c r="T279" s="26" t="str">
        <f t="shared" si="4"/>
        <v/>
      </c>
    </row>
    <row r="280" spans="20:20">
      <c r="T280" s="26" t="str">
        <f t="shared" si="4"/>
        <v/>
      </c>
    </row>
    <row r="281" spans="20:20">
      <c r="T281" s="26" t="str">
        <f t="shared" si="4"/>
        <v/>
      </c>
    </row>
    <row r="282" spans="20:20">
      <c r="T282" s="26" t="str">
        <f t="shared" si="4"/>
        <v/>
      </c>
    </row>
    <row r="283" spans="20:20">
      <c r="T283" s="26" t="str">
        <f t="shared" si="4"/>
        <v/>
      </c>
    </row>
    <row r="284" spans="20:20">
      <c r="T284" s="26" t="str">
        <f t="shared" si="4"/>
        <v/>
      </c>
    </row>
    <row r="285" spans="20:20">
      <c r="T285" s="26" t="str">
        <f t="shared" si="4"/>
        <v/>
      </c>
    </row>
    <row r="286" spans="20:20">
      <c r="T286" s="26" t="str">
        <f t="shared" si="4"/>
        <v/>
      </c>
    </row>
    <row r="287" spans="20:20">
      <c r="T287" s="26" t="str">
        <f t="shared" si="4"/>
        <v/>
      </c>
    </row>
    <row r="288" spans="20:20">
      <c r="T288" s="26" t="str">
        <f t="shared" si="4"/>
        <v/>
      </c>
    </row>
    <row r="289" spans="20:20">
      <c r="T289" s="26" t="str">
        <f t="shared" si="4"/>
        <v/>
      </c>
    </row>
    <row r="290" spans="20:20">
      <c r="T290" s="26" t="str">
        <f t="shared" si="4"/>
        <v/>
      </c>
    </row>
    <row r="291" spans="20:20">
      <c r="T291" s="26" t="str">
        <f t="shared" si="4"/>
        <v/>
      </c>
    </row>
    <row r="292" spans="20:20">
      <c r="T292" s="26" t="str">
        <f t="shared" si="4"/>
        <v/>
      </c>
    </row>
    <row r="293" spans="20:20">
      <c r="T293" s="26" t="str">
        <f t="shared" si="4"/>
        <v/>
      </c>
    </row>
    <row r="294" spans="20:20">
      <c r="T294" s="26" t="str">
        <f t="shared" si="4"/>
        <v/>
      </c>
    </row>
    <row r="295" spans="20:20">
      <c r="T295" s="26" t="str">
        <f t="shared" si="4"/>
        <v/>
      </c>
    </row>
    <row r="296" spans="20:20">
      <c r="T296" s="26" t="str">
        <f t="shared" si="4"/>
        <v/>
      </c>
    </row>
    <row r="297" spans="20:20">
      <c r="T297" s="26" t="str">
        <f t="shared" si="4"/>
        <v/>
      </c>
    </row>
    <row r="298" spans="20:20">
      <c r="T298" s="26" t="str">
        <f t="shared" si="4"/>
        <v/>
      </c>
    </row>
    <row r="299" spans="20:20">
      <c r="T299" s="26" t="str">
        <f t="shared" si="4"/>
        <v/>
      </c>
    </row>
    <row r="300" spans="20:20">
      <c r="T300" s="26" t="str">
        <f t="shared" si="4"/>
        <v/>
      </c>
    </row>
    <row r="301" spans="20:20">
      <c r="T301" s="26" t="str">
        <f t="shared" si="4"/>
        <v/>
      </c>
    </row>
    <row r="302" spans="20:20">
      <c r="T302" s="26" t="str">
        <f t="shared" si="4"/>
        <v/>
      </c>
    </row>
    <row r="303" spans="20:20">
      <c r="T303" s="26" t="str">
        <f t="shared" si="4"/>
        <v/>
      </c>
    </row>
    <row r="304" spans="20:20">
      <c r="T304" s="26" t="str">
        <f t="shared" si="4"/>
        <v/>
      </c>
    </row>
    <row r="305" spans="20:20">
      <c r="T305" s="26" t="str">
        <f t="shared" si="4"/>
        <v/>
      </c>
    </row>
    <row r="306" spans="20:20">
      <c r="T306" s="26" t="str">
        <f t="shared" si="4"/>
        <v/>
      </c>
    </row>
    <row r="307" spans="20:20">
      <c r="T307" s="26" t="str">
        <f t="shared" si="4"/>
        <v/>
      </c>
    </row>
    <row r="308" spans="20:20">
      <c r="T308" s="26" t="str">
        <f t="shared" si="4"/>
        <v/>
      </c>
    </row>
    <row r="309" spans="20:20">
      <c r="T309" s="26" t="str">
        <f t="shared" si="4"/>
        <v/>
      </c>
    </row>
    <row r="310" spans="20:20">
      <c r="T310" s="26" t="str">
        <f t="shared" si="4"/>
        <v/>
      </c>
    </row>
    <row r="311" spans="20:20">
      <c r="T311" s="26" t="str">
        <f t="shared" si="4"/>
        <v/>
      </c>
    </row>
    <row r="312" spans="20:20">
      <c r="T312" s="26" t="str">
        <f t="shared" si="4"/>
        <v/>
      </c>
    </row>
    <row r="313" spans="20:20">
      <c r="T313" s="26" t="str">
        <f t="shared" si="4"/>
        <v/>
      </c>
    </row>
    <row r="314" spans="20:20">
      <c r="T314" s="26" t="str">
        <f t="shared" si="4"/>
        <v/>
      </c>
    </row>
    <row r="315" spans="20:20">
      <c r="T315" s="26" t="str">
        <f t="shared" si="4"/>
        <v/>
      </c>
    </row>
    <row r="316" spans="20:20">
      <c r="T316" s="26" t="str">
        <f t="shared" si="4"/>
        <v/>
      </c>
    </row>
    <row r="317" spans="20:20">
      <c r="T317" s="26" t="str">
        <f t="shared" si="4"/>
        <v/>
      </c>
    </row>
    <row r="318" spans="20:20">
      <c r="T318" s="26" t="str">
        <f t="shared" si="4"/>
        <v/>
      </c>
    </row>
    <row r="319" spans="20:20">
      <c r="T319" s="26" t="str">
        <f t="shared" si="4"/>
        <v/>
      </c>
    </row>
    <row r="320" spans="20:20">
      <c r="T320" s="26" t="str">
        <f t="shared" si="4"/>
        <v/>
      </c>
    </row>
    <row r="321" spans="20:20">
      <c r="T321" s="26" t="str">
        <f t="shared" si="4"/>
        <v/>
      </c>
    </row>
    <row r="322" spans="20:20">
      <c r="T322" s="26" t="str">
        <f t="shared" si="4"/>
        <v/>
      </c>
    </row>
    <row r="323" spans="20:20">
      <c r="T323" s="26" t="str">
        <f t="shared" si="4"/>
        <v/>
      </c>
    </row>
    <row r="324" spans="20:20">
      <c r="T324" s="26" t="str">
        <f t="shared" si="4"/>
        <v/>
      </c>
    </row>
    <row r="325" spans="20:20">
      <c r="T325" s="26" t="str">
        <f t="shared" ref="T325:T388" si="5">U325&amp;V325</f>
        <v/>
      </c>
    </row>
    <row r="326" spans="20:20">
      <c r="T326" s="26" t="str">
        <f t="shared" si="5"/>
        <v/>
      </c>
    </row>
    <row r="327" spans="20:20">
      <c r="T327" s="26" t="str">
        <f t="shared" si="5"/>
        <v/>
      </c>
    </row>
    <row r="328" spans="20:20">
      <c r="T328" s="26" t="str">
        <f t="shared" si="5"/>
        <v/>
      </c>
    </row>
    <row r="329" spans="20:20">
      <c r="T329" s="26" t="str">
        <f t="shared" si="5"/>
        <v/>
      </c>
    </row>
    <row r="330" spans="20:20">
      <c r="T330" s="26" t="str">
        <f t="shared" si="5"/>
        <v/>
      </c>
    </row>
    <row r="331" spans="20:20">
      <c r="T331" s="26" t="str">
        <f t="shared" si="5"/>
        <v/>
      </c>
    </row>
    <row r="332" spans="20:20">
      <c r="T332" s="26" t="str">
        <f t="shared" si="5"/>
        <v/>
      </c>
    </row>
    <row r="333" spans="20:20">
      <c r="T333" s="26" t="str">
        <f t="shared" si="5"/>
        <v/>
      </c>
    </row>
    <row r="334" spans="20:20">
      <c r="T334" s="26" t="str">
        <f t="shared" si="5"/>
        <v/>
      </c>
    </row>
    <row r="335" spans="20:20">
      <c r="T335" s="26" t="str">
        <f t="shared" si="5"/>
        <v/>
      </c>
    </row>
    <row r="336" spans="20:20">
      <c r="T336" s="26" t="str">
        <f t="shared" si="5"/>
        <v/>
      </c>
    </row>
    <row r="337" spans="20:20">
      <c r="T337" s="26" t="str">
        <f t="shared" si="5"/>
        <v/>
      </c>
    </row>
    <row r="338" spans="20:20">
      <c r="T338" s="26" t="str">
        <f t="shared" si="5"/>
        <v/>
      </c>
    </row>
    <row r="339" spans="20:20">
      <c r="T339" s="26" t="str">
        <f t="shared" si="5"/>
        <v/>
      </c>
    </row>
    <row r="340" spans="20:20">
      <c r="T340" s="26" t="str">
        <f t="shared" si="5"/>
        <v/>
      </c>
    </row>
    <row r="341" spans="20:20">
      <c r="T341" s="26" t="str">
        <f t="shared" si="5"/>
        <v/>
      </c>
    </row>
    <row r="342" spans="20:20">
      <c r="T342" s="26" t="str">
        <f t="shared" si="5"/>
        <v/>
      </c>
    </row>
    <row r="343" spans="20:20">
      <c r="T343" s="26" t="str">
        <f t="shared" si="5"/>
        <v/>
      </c>
    </row>
    <row r="344" spans="20:20">
      <c r="T344" s="26" t="str">
        <f t="shared" si="5"/>
        <v/>
      </c>
    </row>
    <row r="345" spans="20:20">
      <c r="T345" s="26" t="str">
        <f t="shared" si="5"/>
        <v/>
      </c>
    </row>
    <row r="346" spans="20:20">
      <c r="T346" s="26" t="str">
        <f t="shared" si="5"/>
        <v/>
      </c>
    </row>
    <row r="347" spans="20:20">
      <c r="T347" s="26" t="str">
        <f t="shared" si="5"/>
        <v/>
      </c>
    </row>
    <row r="348" spans="20:20">
      <c r="T348" s="26" t="str">
        <f t="shared" si="5"/>
        <v/>
      </c>
    </row>
    <row r="349" spans="20:20">
      <c r="T349" s="26" t="str">
        <f t="shared" si="5"/>
        <v/>
      </c>
    </row>
    <row r="350" spans="20:20">
      <c r="T350" s="26" t="str">
        <f t="shared" si="5"/>
        <v/>
      </c>
    </row>
    <row r="351" spans="20:20">
      <c r="T351" s="26" t="str">
        <f t="shared" si="5"/>
        <v/>
      </c>
    </row>
    <row r="352" spans="20:20">
      <c r="T352" s="26" t="str">
        <f t="shared" si="5"/>
        <v/>
      </c>
    </row>
    <row r="353" spans="20:20">
      <c r="T353" s="26" t="str">
        <f t="shared" si="5"/>
        <v/>
      </c>
    </row>
    <row r="354" spans="20:20">
      <c r="T354" s="26" t="str">
        <f t="shared" si="5"/>
        <v/>
      </c>
    </row>
    <row r="355" spans="20:20">
      <c r="T355" s="26" t="str">
        <f t="shared" si="5"/>
        <v/>
      </c>
    </row>
    <row r="356" spans="20:20">
      <c r="T356" s="26" t="str">
        <f t="shared" si="5"/>
        <v/>
      </c>
    </row>
    <row r="357" spans="20:20">
      <c r="T357" s="26" t="str">
        <f t="shared" si="5"/>
        <v/>
      </c>
    </row>
    <row r="358" spans="20:20">
      <c r="T358" s="26" t="str">
        <f t="shared" si="5"/>
        <v/>
      </c>
    </row>
    <row r="359" spans="20:20">
      <c r="T359" s="26" t="str">
        <f t="shared" si="5"/>
        <v/>
      </c>
    </row>
    <row r="360" spans="20:20">
      <c r="T360" s="26" t="str">
        <f t="shared" si="5"/>
        <v/>
      </c>
    </row>
    <row r="361" spans="20:20">
      <c r="T361" s="26" t="str">
        <f t="shared" si="5"/>
        <v/>
      </c>
    </row>
    <row r="362" spans="20:20">
      <c r="T362" s="26" t="str">
        <f t="shared" si="5"/>
        <v/>
      </c>
    </row>
    <row r="363" spans="20:20">
      <c r="T363" s="26" t="str">
        <f t="shared" si="5"/>
        <v/>
      </c>
    </row>
    <row r="364" spans="20:20">
      <c r="T364" s="26" t="str">
        <f t="shared" si="5"/>
        <v/>
      </c>
    </row>
    <row r="365" spans="20:20">
      <c r="T365" s="26" t="str">
        <f t="shared" si="5"/>
        <v/>
      </c>
    </row>
    <row r="366" spans="20:20">
      <c r="T366" s="26" t="str">
        <f t="shared" si="5"/>
        <v/>
      </c>
    </row>
    <row r="367" spans="20:20">
      <c r="T367" s="26" t="str">
        <f t="shared" si="5"/>
        <v/>
      </c>
    </row>
    <row r="368" spans="20:20">
      <c r="T368" s="26" t="str">
        <f t="shared" si="5"/>
        <v/>
      </c>
    </row>
    <row r="369" spans="20:20">
      <c r="T369" s="26" t="str">
        <f t="shared" si="5"/>
        <v/>
      </c>
    </row>
    <row r="370" spans="20:20">
      <c r="T370" s="26" t="str">
        <f t="shared" si="5"/>
        <v/>
      </c>
    </row>
    <row r="371" spans="20:20">
      <c r="T371" s="26" t="str">
        <f t="shared" si="5"/>
        <v/>
      </c>
    </row>
    <row r="372" spans="20:20">
      <c r="T372" s="26" t="str">
        <f t="shared" si="5"/>
        <v/>
      </c>
    </row>
    <row r="373" spans="20:20">
      <c r="T373" s="26" t="str">
        <f t="shared" si="5"/>
        <v/>
      </c>
    </row>
    <row r="374" spans="20:20">
      <c r="T374" s="26" t="str">
        <f t="shared" si="5"/>
        <v/>
      </c>
    </row>
    <row r="375" spans="20:20">
      <c r="T375" s="26" t="str">
        <f t="shared" si="5"/>
        <v/>
      </c>
    </row>
    <row r="376" spans="20:20">
      <c r="T376" s="26" t="str">
        <f t="shared" si="5"/>
        <v/>
      </c>
    </row>
    <row r="377" spans="20:20">
      <c r="T377" s="26" t="str">
        <f t="shared" si="5"/>
        <v/>
      </c>
    </row>
    <row r="378" spans="20:20">
      <c r="T378" s="26" t="str">
        <f t="shared" si="5"/>
        <v/>
      </c>
    </row>
    <row r="379" spans="20:20">
      <c r="T379" s="26" t="str">
        <f t="shared" si="5"/>
        <v/>
      </c>
    </row>
    <row r="380" spans="20:20">
      <c r="T380" s="26" t="str">
        <f t="shared" si="5"/>
        <v/>
      </c>
    </row>
    <row r="381" spans="20:20">
      <c r="T381" s="26" t="str">
        <f t="shared" si="5"/>
        <v/>
      </c>
    </row>
    <row r="382" spans="20:20">
      <c r="T382" s="26" t="str">
        <f t="shared" si="5"/>
        <v/>
      </c>
    </row>
    <row r="383" spans="20:20">
      <c r="T383" s="26" t="str">
        <f t="shared" si="5"/>
        <v/>
      </c>
    </row>
    <row r="384" spans="20:20">
      <c r="T384" s="26" t="str">
        <f t="shared" si="5"/>
        <v/>
      </c>
    </row>
    <row r="385" spans="20:20">
      <c r="T385" s="26" t="str">
        <f t="shared" si="5"/>
        <v/>
      </c>
    </row>
    <row r="386" spans="20:20">
      <c r="T386" s="26" t="str">
        <f t="shared" si="5"/>
        <v/>
      </c>
    </row>
    <row r="387" spans="20:20">
      <c r="T387" s="26" t="str">
        <f t="shared" si="5"/>
        <v/>
      </c>
    </row>
    <row r="388" spans="20:20">
      <c r="T388" s="26" t="str">
        <f t="shared" si="5"/>
        <v/>
      </c>
    </row>
    <row r="389" spans="20:20">
      <c r="T389" s="26" t="str">
        <f t="shared" ref="T389:T452" si="6">U389&amp;V389</f>
        <v/>
      </c>
    </row>
    <row r="390" spans="20:20">
      <c r="T390" s="26" t="str">
        <f t="shared" si="6"/>
        <v/>
      </c>
    </row>
    <row r="391" spans="20:20">
      <c r="T391" s="26" t="str">
        <f t="shared" si="6"/>
        <v/>
      </c>
    </row>
    <row r="392" spans="20:20">
      <c r="T392" s="26" t="str">
        <f t="shared" si="6"/>
        <v/>
      </c>
    </row>
    <row r="393" spans="20:20">
      <c r="T393" s="26" t="str">
        <f t="shared" si="6"/>
        <v/>
      </c>
    </row>
    <row r="394" spans="20:20">
      <c r="T394" s="26" t="str">
        <f t="shared" si="6"/>
        <v/>
      </c>
    </row>
    <row r="395" spans="20:20">
      <c r="T395" s="26" t="str">
        <f t="shared" si="6"/>
        <v/>
      </c>
    </row>
    <row r="396" spans="20:20">
      <c r="T396" s="26" t="str">
        <f t="shared" si="6"/>
        <v/>
      </c>
    </row>
    <row r="397" spans="20:20">
      <c r="T397" s="26" t="str">
        <f t="shared" si="6"/>
        <v/>
      </c>
    </row>
    <row r="398" spans="20:20">
      <c r="T398" s="26" t="str">
        <f t="shared" si="6"/>
        <v/>
      </c>
    </row>
    <row r="399" spans="20:20">
      <c r="T399" s="26" t="str">
        <f t="shared" si="6"/>
        <v/>
      </c>
    </row>
    <row r="400" spans="20:20">
      <c r="T400" s="26" t="str">
        <f t="shared" si="6"/>
        <v/>
      </c>
    </row>
    <row r="401" spans="20:20">
      <c r="T401" s="26" t="str">
        <f t="shared" si="6"/>
        <v/>
      </c>
    </row>
    <row r="402" spans="20:20">
      <c r="T402" s="26" t="str">
        <f t="shared" si="6"/>
        <v/>
      </c>
    </row>
    <row r="403" spans="20:20">
      <c r="T403" s="26" t="str">
        <f t="shared" si="6"/>
        <v/>
      </c>
    </row>
    <row r="404" spans="20:20">
      <c r="T404" s="26" t="str">
        <f t="shared" si="6"/>
        <v/>
      </c>
    </row>
    <row r="405" spans="20:20">
      <c r="T405" s="26" t="str">
        <f t="shared" si="6"/>
        <v/>
      </c>
    </row>
    <row r="406" spans="20:20">
      <c r="T406" s="26" t="str">
        <f t="shared" si="6"/>
        <v/>
      </c>
    </row>
    <row r="407" spans="20:20">
      <c r="T407" s="26" t="str">
        <f t="shared" si="6"/>
        <v/>
      </c>
    </row>
    <row r="408" spans="20:20">
      <c r="T408" s="26" t="str">
        <f t="shared" si="6"/>
        <v/>
      </c>
    </row>
    <row r="409" spans="20:20">
      <c r="T409" s="26" t="str">
        <f t="shared" si="6"/>
        <v/>
      </c>
    </row>
    <row r="410" spans="20:20">
      <c r="T410" s="26" t="str">
        <f t="shared" si="6"/>
        <v/>
      </c>
    </row>
    <row r="411" spans="20:20">
      <c r="T411" s="26" t="str">
        <f t="shared" si="6"/>
        <v/>
      </c>
    </row>
    <row r="412" spans="20:20">
      <c r="T412" s="26" t="str">
        <f t="shared" si="6"/>
        <v/>
      </c>
    </row>
    <row r="413" spans="20:20">
      <c r="T413" s="26" t="str">
        <f t="shared" si="6"/>
        <v/>
      </c>
    </row>
    <row r="414" spans="20:20">
      <c r="T414" s="26" t="str">
        <f t="shared" si="6"/>
        <v/>
      </c>
    </row>
    <row r="415" spans="20:20">
      <c r="T415" s="26" t="str">
        <f t="shared" si="6"/>
        <v/>
      </c>
    </row>
    <row r="416" spans="20:20">
      <c r="T416" s="26" t="str">
        <f t="shared" si="6"/>
        <v/>
      </c>
    </row>
    <row r="417" spans="20:20">
      <c r="T417" s="26" t="str">
        <f t="shared" si="6"/>
        <v/>
      </c>
    </row>
    <row r="418" spans="20:20">
      <c r="T418" s="26" t="str">
        <f t="shared" si="6"/>
        <v/>
      </c>
    </row>
    <row r="419" spans="20:20">
      <c r="T419" s="26" t="str">
        <f t="shared" si="6"/>
        <v/>
      </c>
    </row>
    <row r="420" spans="20:20">
      <c r="T420" s="26" t="str">
        <f t="shared" si="6"/>
        <v/>
      </c>
    </row>
    <row r="421" spans="20:20">
      <c r="T421" s="26" t="str">
        <f t="shared" si="6"/>
        <v/>
      </c>
    </row>
    <row r="422" spans="20:20">
      <c r="T422" s="26" t="str">
        <f t="shared" si="6"/>
        <v/>
      </c>
    </row>
    <row r="423" spans="20:20">
      <c r="T423" s="26" t="str">
        <f t="shared" si="6"/>
        <v/>
      </c>
    </row>
    <row r="424" spans="20:20">
      <c r="T424" s="26" t="str">
        <f t="shared" si="6"/>
        <v/>
      </c>
    </row>
    <row r="425" spans="20:20">
      <c r="T425" s="26" t="str">
        <f t="shared" si="6"/>
        <v/>
      </c>
    </row>
    <row r="426" spans="20:20">
      <c r="T426" s="26" t="str">
        <f t="shared" si="6"/>
        <v/>
      </c>
    </row>
    <row r="427" spans="20:20">
      <c r="T427" s="26" t="str">
        <f t="shared" si="6"/>
        <v/>
      </c>
    </row>
    <row r="428" spans="20:20">
      <c r="T428" s="26" t="str">
        <f t="shared" si="6"/>
        <v/>
      </c>
    </row>
    <row r="429" spans="20:20">
      <c r="T429" s="26" t="str">
        <f t="shared" si="6"/>
        <v/>
      </c>
    </row>
    <row r="430" spans="20:20">
      <c r="T430" s="26" t="str">
        <f t="shared" si="6"/>
        <v/>
      </c>
    </row>
    <row r="431" spans="20:20">
      <c r="T431" s="26" t="str">
        <f t="shared" si="6"/>
        <v/>
      </c>
    </row>
    <row r="432" spans="20:20">
      <c r="T432" s="26" t="str">
        <f t="shared" si="6"/>
        <v/>
      </c>
    </row>
    <row r="433" spans="20:20">
      <c r="T433" s="26" t="str">
        <f t="shared" si="6"/>
        <v/>
      </c>
    </row>
    <row r="434" spans="20:20">
      <c r="T434" s="26" t="str">
        <f t="shared" si="6"/>
        <v/>
      </c>
    </row>
    <row r="435" spans="20:20">
      <c r="T435" s="26" t="str">
        <f t="shared" si="6"/>
        <v/>
      </c>
    </row>
    <row r="436" spans="20:20">
      <c r="T436" s="26" t="str">
        <f t="shared" si="6"/>
        <v/>
      </c>
    </row>
    <row r="437" spans="20:20">
      <c r="T437" s="26" t="str">
        <f t="shared" si="6"/>
        <v/>
      </c>
    </row>
    <row r="438" spans="20:20">
      <c r="T438" s="26" t="str">
        <f t="shared" si="6"/>
        <v/>
      </c>
    </row>
    <row r="439" spans="20:20">
      <c r="T439" s="26" t="str">
        <f t="shared" si="6"/>
        <v/>
      </c>
    </row>
    <row r="440" spans="20:20">
      <c r="T440" s="26" t="str">
        <f t="shared" si="6"/>
        <v/>
      </c>
    </row>
    <row r="441" spans="20:20">
      <c r="T441" s="26" t="str">
        <f t="shared" si="6"/>
        <v/>
      </c>
    </row>
    <row r="442" spans="20:20">
      <c r="T442" s="26" t="str">
        <f t="shared" si="6"/>
        <v/>
      </c>
    </row>
    <row r="443" spans="20:20">
      <c r="T443" s="26" t="str">
        <f t="shared" si="6"/>
        <v/>
      </c>
    </row>
    <row r="444" spans="20:20">
      <c r="T444" s="26" t="str">
        <f t="shared" si="6"/>
        <v/>
      </c>
    </row>
    <row r="445" spans="20:20">
      <c r="T445" s="26" t="str">
        <f t="shared" si="6"/>
        <v/>
      </c>
    </row>
    <row r="446" spans="20:20">
      <c r="T446" s="26" t="str">
        <f t="shared" si="6"/>
        <v/>
      </c>
    </row>
    <row r="447" spans="20:20">
      <c r="T447" s="26" t="str">
        <f t="shared" si="6"/>
        <v/>
      </c>
    </row>
    <row r="448" spans="20:20">
      <c r="T448" s="26" t="str">
        <f t="shared" si="6"/>
        <v/>
      </c>
    </row>
    <row r="449" spans="20:20">
      <c r="T449" s="26" t="str">
        <f t="shared" si="6"/>
        <v/>
      </c>
    </row>
    <row r="450" spans="20:20">
      <c r="T450" s="26" t="str">
        <f t="shared" si="6"/>
        <v/>
      </c>
    </row>
    <row r="451" spans="20:20">
      <c r="T451" s="26" t="str">
        <f t="shared" si="6"/>
        <v/>
      </c>
    </row>
    <row r="452" spans="20:20">
      <c r="T452" s="26" t="str">
        <f t="shared" si="6"/>
        <v/>
      </c>
    </row>
    <row r="453" spans="20:20">
      <c r="T453" s="26" t="str">
        <f t="shared" ref="T453:T516" si="7">U453&amp;V453</f>
        <v/>
      </c>
    </row>
    <row r="454" spans="20:20">
      <c r="T454" s="26" t="str">
        <f t="shared" si="7"/>
        <v/>
      </c>
    </row>
    <row r="455" spans="20:20">
      <c r="T455" s="26" t="str">
        <f t="shared" si="7"/>
        <v/>
      </c>
    </row>
    <row r="456" spans="20:20">
      <c r="T456" s="26" t="str">
        <f t="shared" si="7"/>
        <v/>
      </c>
    </row>
    <row r="457" spans="20:20">
      <c r="T457" s="26" t="str">
        <f t="shared" si="7"/>
        <v/>
      </c>
    </row>
    <row r="458" spans="20:20">
      <c r="T458" s="26" t="str">
        <f t="shared" si="7"/>
        <v/>
      </c>
    </row>
    <row r="459" spans="20:20">
      <c r="T459" s="26" t="str">
        <f t="shared" si="7"/>
        <v/>
      </c>
    </row>
    <row r="460" spans="20:20">
      <c r="T460" s="26" t="str">
        <f t="shared" si="7"/>
        <v/>
      </c>
    </row>
    <row r="461" spans="20:20">
      <c r="T461" s="26" t="str">
        <f t="shared" si="7"/>
        <v/>
      </c>
    </row>
    <row r="462" spans="20:20">
      <c r="T462" s="26" t="str">
        <f t="shared" si="7"/>
        <v/>
      </c>
    </row>
    <row r="463" spans="20:20">
      <c r="T463" s="26" t="str">
        <f t="shared" si="7"/>
        <v/>
      </c>
    </row>
    <row r="464" spans="20:20">
      <c r="T464" s="26" t="str">
        <f t="shared" si="7"/>
        <v/>
      </c>
    </row>
    <row r="465" spans="20:20">
      <c r="T465" s="26" t="str">
        <f t="shared" si="7"/>
        <v/>
      </c>
    </row>
    <row r="466" spans="20:20">
      <c r="T466" s="26" t="str">
        <f t="shared" si="7"/>
        <v/>
      </c>
    </row>
    <row r="467" spans="20:20">
      <c r="T467" s="26" t="str">
        <f t="shared" si="7"/>
        <v/>
      </c>
    </row>
    <row r="468" spans="20:20">
      <c r="T468" s="26" t="str">
        <f t="shared" si="7"/>
        <v/>
      </c>
    </row>
    <row r="469" spans="20:20">
      <c r="T469" s="26" t="str">
        <f t="shared" si="7"/>
        <v/>
      </c>
    </row>
    <row r="470" spans="20:20">
      <c r="T470" s="26" t="str">
        <f t="shared" si="7"/>
        <v/>
      </c>
    </row>
    <row r="471" spans="20:20">
      <c r="T471" s="26" t="str">
        <f t="shared" si="7"/>
        <v/>
      </c>
    </row>
    <row r="472" spans="20:20">
      <c r="T472" s="26" t="str">
        <f t="shared" si="7"/>
        <v/>
      </c>
    </row>
    <row r="473" spans="20:20">
      <c r="T473" s="26" t="str">
        <f t="shared" si="7"/>
        <v/>
      </c>
    </row>
    <row r="474" spans="20:20">
      <c r="T474" s="26" t="str">
        <f t="shared" si="7"/>
        <v/>
      </c>
    </row>
    <row r="475" spans="20:20">
      <c r="T475" s="26" t="str">
        <f t="shared" si="7"/>
        <v/>
      </c>
    </row>
    <row r="476" spans="20:20">
      <c r="T476" s="26" t="str">
        <f t="shared" si="7"/>
        <v/>
      </c>
    </row>
    <row r="477" spans="20:20">
      <c r="T477" s="26" t="str">
        <f t="shared" si="7"/>
        <v/>
      </c>
    </row>
    <row r="478" spans="20:20">
      <c r="T478" s="26" t="str">
        <f t="shared" si="7"/>
        <v/>
      </c>
    </row>
    <row r="479" spans="20:20">
      <c r="T479" s="26" t="str">
        <f t="shared" si="7"/>
        <v/>
      </c>
    </row>
    <row r="480" spans="20:20">
      <c r="T480" s="26" t="str">
        <f t="shared" si="7"/>
        <v/>
      </c>
    </row>
    <row r="481" spans="20:20">
      <c r="T481" s="26" t="str">
        <f t="shared" si="7"/>
        <v/>
      </c>
    </row>
    <row r="482" spans="20:20">
      <c r="T482" s="26" t="str">
        <f t="shared" si="7"/>
        <v/>
      </c>
    </row>
    <row r="483" spans="20:20">
      <c r="T483" s="26" t="str">
        <f t="shared" si="7"/>
        <v/>
      </c>
    </row>
    <row r="484" spans="20:20">
      <c r="T484" s="26" t="str">
        <f t="shared" si="7"/>
        <v/>
      </c>
    </row>
    <row r="485" spans="20:20">
      <c r="T485" s="26" t="str">
        <f t="shared" si="7"/>
        <v/>
      </c>
    </row>
    <row r="486" spans="20:20">
      <c r="T486" s="26" t="str">
        <f t="shared" si="7"/>
        <v/>
      </c>
    </row>
    <row r="487" spans="20:20">
      <c r="T487" s="26" t="str">
        <f t="shared" si="7"/>
        <v/>
      </c>
    </row>
    <row r="488" spans="20:20">
      <c r="T488" s="26" t="str">
        <f t="shared" si="7"/>
        <v/>
      </c>
    </row>
    <row r="489" spans="20:20">
      <c r="T489" s="26" t="str">
        <f t="shared" si="7"/>
        <v/>
      </c>
    </row>
    <row r="490" spans="20:20">
      <c r="T490" s="26" t="str">
        <f t="shared" si="7"/>
        <v/>
      </c>
    </row>
    <row r="491" spans="20:20">
      <c r="T491" s="26" t="str">
        <f t="shared" si="7"/>
        <v/>
      </c>
    </row>
    <row r="492" spans="20:20">
      <c r="T492" s="26" t="str">
        <f t="shared" si="7"/>
        <v/>
      </c>
    </row>
    <row r="493" spans="20:20">
      <c r="T493" s="26" t="str">
        <f t="shared" si="7"/>
        <v/>
      </c>
    </row>
    <row r="494" spans="20:20">
      <c r="T494" s="26" t="str">
        <f t="shared" si="7"/>
        <v/>
      </c>
    </row>
    <row r="495" spans="20:20">
      <c r="T495" s="26" t="str">
        <f t="shared" si="7"/>
        <v/>
      </c>
    </row>
    <row r="496" spans="20:20">
      <c r="T496" s="26" t="str">
        <f t="shared" si="7"/>
        <v/>
      </c>
    </row>
    <row r="497" spans="20:20">
      <c r="T497" s="26" t="str">
        <f t="shared" si="7"/>
        <v/>
      </c>
    </row>
    <row r="498" spans="20:20">
      <c r="T498" s="26" t="str">
        <f t="shared" si="7"/>
        <v/>
      </c>
    </row>
    <row r="499" spans="20:20">
      <c r="T499" s="26" t="str">
        <f t="shared" si="7"/>
        <v/>
      </c>
    </row>
    <row r="500" spans="20:20">
      <c r="T500" s="26" t="str">
        <f t="shared" si="7"/>
        <v/>
      </c>
    </row>
    <row r="501" spans="20:20">
      <c r="T501" s="26" t="str">
        <f t="shared" si="7"/>
        <v/>
      </c>
    </row>
    <row r="502" spans="20:20">
      <c r="T502" s="26" t="str">
        <f t="shared" si="7"/>
        <v/>
      </c>
    </row>
    <row r="503" spans="20:20">
      <c r="T503" s="26" t="str">
        <f t="shared" si="7"/>
        <v/>
      </c>
    </row>
    <row r="504" spans="20:20">
      <c r="T504" s="26" t="str">
        <f t="shared" si="7"/>
        <v/>
      </c>
    </row>
    <row r="505" spans="20:20">
      <c r="T505" s="26" t="str">
        <f t="shared" si="7"/>
        <v/>
      </c>
    </row>
    <row r="506" spans="20:20">
      <c r="T506" s="26" t="str">
        <f t="shared" si="7"/>
        <v/>
      </c>
    </row>
    <row r="507" spans="20:20">
      <c r="T507" s="26" t="str">
        <f t="shared" si="7"/>
        <v/>
      </c>
    </row>
    <row r="508" spans="20:20">
      <c r="T508" s="26" t="str">
        <f t="shared" si="7"/>
        <v/>
      </c>
    </row>
    <row r="509" spans="20:20">
      <c r="T509" s="26" t="str">
        <f t="shared" si="7"/>
        <v/>
      </c>
    </row>
    <row r="510" spans="20:20">
      <c r="T510" s="26" t="str">
        <f t="shared" si="7"/>
        <v/>
      </c>
    </row>
    <row r="511" spans="20:20">
      <c r="T511" s="26" t="str">
        <f t="shared" si="7"/>
        <v/>
      </c>
    </row>
    <row r="512" spans="20:20">
      <c r="T512" s="26" t="str">
        <f t="shared" si="7"/>
        <v/>
      </c>
    </row>
    <row r="513" spans="20:20">
      <c r="T513" s="26" t="str">
        <f t="shared" si="7"/>
        <v/>
      </c>
    </row>
    <row r="514" spans="20:20">
      <c r="T514" s="26" t="str">
        <f t="shared" si="7"/>
        <v/>
      </c>
    </row>
    <row r="515" spans="20:20">
      <c r="T515" s="26" t="str">
        <f t="shared" si="7"/>
        <v/>
      </c>
    </row>
    <row r="516" spans="20:20">
      <c r="T516" s="26" t="str">
        <f t="shared" si="7"/>
        <v/>
      </c>
    </row>
    <row r="517" spans="20:20">
      <c r="T517" s="26" t="str">
        <f t="shared" ref="T517:T580" si="8">U517&amp;V517</f>
        <v/>
      </c>
    </row>
    <row r="518" spans="20:20">
      <c r="T518" s="26" t="str">
        <f t="shared" si="8"/>
        <v/>
      </c>
    </row>
    <row r="519" spans="20:20">
      <c r="T519" s="26" t="str">
        <f t="shared" si="8"/>
        <v/>
      </c>
    </row>
    <row r="520" spans="20:20">
      <c r="T520" s="26" t="str">
        <f t="shared" si="8"/>
        <v/>
      </c>
    </row>
    <row r="521" spans="20:20">
      <c r="T521" s="26" t="str">
        <f t="shared" si="8"/>
        <v/>
      </c>
    </row>
    <row r="522" spans="20:20">
      <c r="T522" s="26" t="str">
        <f t="shared" si="8"/>
        <v/>
      </c>
    </row>
    <row r="523" spans="20:20">
      <c r="T523" s="26" t="str">
        <f t="shared" si="8"/>
        <v/>
      </c>
    </row>
    <row r="524" spans="20:20">
      <c r="T524" s="26" t="str">
        <f t="shared" si="8"/>
        <v/>
      </c>
    </row>
    <row r="525" spans="20:20">
      <c r="T525" s="26" t="str">
        <f t="shared" si="8"/>
        <v/>
      </c>
    </row>
    <row r="526" spans="20:20">
      <c r="T526" s="26" t="str">
        <f t="shared" si="8"/>
        <v/>
      </c>
    </row>
    <row r="527" spans="20:20">
      <c r="T527" s="26" t="str">
        <f t="shared" si="8"/>
        <v/>
      </c>
    </row>
    <row r="528" spans="20:20">
      <c r="T528" s="26" t="str">
        <f t="shared" si="8"/>
        <v/>
      </c>
    </row>
    <row r="529" spans="20:20">
      <c r="T529" s="26" t="str">
        <f t="shared" si="8"/>
        <v/>
      </c>
    </row>
    <row r="530" spans="20:20">
      <c r="T530" s="26" t="str">
        <f t="shared" si="8"/>
        <v/>
      </c>
    </row>
    <row r="531" spans="20:20">
      <c r="T531" s="26" t="str">
        <f t="shared" si="8"/>
        <v/>
      </c>
    </row>
    <row r="532" spans="20:20">
      <c r="T532" s="26" t="str">
        <f t="shared" si="8"/>
        <v/>
      </c>
    </row>
    <row r="533" spans="20:20">
      <c r="T533" s="26" t="str">
        <f t="shared" si="8"/>
        <v/>
      </c>
    </row>
    <row r="534" spans="20:20">
      <c r="T534" s="26" t="str">
        <f t="shared" si="8"/>
        <v/>
      </c>
    </row>
    <row r="535" spans="20:20">
      <c r="T535" s="26" t="str">
        <f t="shared" si="8"/>
        <v/>
      </c>
    </row>
    <row r="536" spans="20:20">
      <c r="T536" s="26" t="str">
        <f t="shared" si="8"/>
        <v/>
      </c>
    </row>
    <row r="537" spans="20:20">
      <c r="T537" s="26" t="str">
        <f t="shared" si="8"/>
        <v/>
      </c>
    </row>
    <row r="538" spans="20:20">
      <c r="T538" s="26" t="str">
        <f t="shared" si="8"/>
        <v/>
      </c>
    </row>
    <row r="539" spans="20:20">
      <c r="T539" s="26" t="str">
        <f t="shared" si="8"/>
        <v/>
      </c>
    </row>
    <row r="540" spans="20:20">
      <c r="T540" s="26" t="str">
        <f t="shared" si="8"/>
        <v/>
      </c>
    </row>
    <row r="541" spans="20:20">
      <c r="T541" s="26" t="str">
        <f t="shared" si="8"/>
        <v/>
      </c>
    </row>
    <row r="542" spans="20:20">
      <c r="T542" s="26" t="str">
        <f t="shared" si="8"/>
        <v/>
      </c>
    </row>
    <row r="543" spans="20:20">
      <c r="T543" s="26" t="str">
        <f t="shared" si="8"/>
        <v/>
      </c>
    </row>
    <row r="544" spans="20:20">
      <c r="T544" s="26" t="str">
        <f t="shared" si="8"/>
        <v/>
      </c>
    </row>
    <row r="545" spans="20:20">
      <c r="T545" s="26" t="str">
        <f t="shared" si="8"/>
        <v/>
      </c>
    </row>
    <row r="546" spans="20:20">
      <c r="T546" s="26" t="str">
        <f t="shared" si="8"/>
        <v/>
      </c>
    </row>
    <row r="547" spans="20:20">
      <c r="T547" s="26" t="str">
        <f t="shared" si="8"/>
        <v/>
      </c>
    </row>
    <row r="548" spans="20:20">
      <c r="T548" s="26" t="str">
        <f t="shared" si="8"/>
        <v/>
      </c>
    </row>
    <row r="549" spans="20:20">
      <c r="T549" s="26" t="str">
        <f t="shared" si="8"/>
        <v/>
      </c>
    </row>
    <row r="550" spans="20:20">
      <c r="T550" s="26" t="str">
        <f t="shared" si="8"/>
        <v/>
      </c>
    </row>
    <row r="551" spans="20:20">
      <c r="T551" s="26" t="str">
        <f t="shared" si="8"/>
        <v/>
      </c>
    </row>
    <row r="552" spans="20:20">
      <c r="T552" s="26" t="str">
        <f t="shared" si="8"/>
        <v/>
      </c>
    </row>
    <row r="553" spans="20:20">
      <c r="T553" s="26" t="str">
        <f t="shared" si="8"/>
        <v/>
      </c>
    </row>
    <row r="554" spans="20:20">
      <c r="T554" s="26" t="str">
        <f t="shared" si="8"/>
        <v/>
      </c>
    </row>
    <row r="555" spans="20:20">
      <c r="T555" s="26" t="str">
        <f t="shared" si="8"/>
        <v/>
      </c>
    </row>
    <row r="556" spans="20:20">
      <c r="T556" s="26" t="str">
        <f t="shared" si="8"/>
        <v/>
      </c>
    </row>
    <row r="557" spans="20:20">
      <c r="T557" s="26" t="str">
        <f t="shared" si="8"/>
        <v/>
      </c>
    </row>
    <row r="558" spans="20:20">
      <c r="T558" s="26" t="str">
        <f t="shared" si="8"/>
        <v/>
      </c>
    </row>
    <row r="559" spans="20:20">
      <c r="T559" s="26" t="str">
        <f t="shared" si="8"/>
        <v/>
      </c>
    </row>
    <row r="560" spans="20:20">
      <c r="T560" s="26" t="str">
        <f t="shared" si="8"/>
        <v/>
      </c>
    </row>
    <row r="561" spans="20:20">
      <c r="T561" s="26" t="str">
        <f t="shared" si="8"/>
        <v/>
      </c>
    </row>
    <row r="562" spans="20:20">
      <c r="T562" s="26" t="str">
        <f t="shared" si="8"/>
        <v/>
      </c>
    </row>
    <row r="563" spans="20:20">
      <c r="T563" s="26" t="str">
        <f t="shared" si="8"/>
        <v/>
      </c>
    </row>
    <row r="564" spans="20:20">
      <c r="T564" s="26" t="str">
        <f t="shared" si="8"/>
        <v/>
      </c>
    </row>
    <row r="565" spans="20:20">
      <c r="T565" s="26" t="str">
        <f t="shared" si="8"/>
        <v/>
      </c>
    </row>
    <row r="566" spans="20:20">
      <c r="T566" s="26" t="str">
        <f t="shared" si="8"/>
        <v/>
      </c>
    </row>
    <row r="567" spans="20:20">
      <c r="T567" s="26" t="str">
        <f t="shared" si="8"/>
        <v/>
      </c>
    </row>
    <row r="568" spans="20:20">
      <c r="T568" s="26" t="str">
        <f t="shared" si="8"/>
        <v/>
      </c>
    </row>
    <row r="569" spans="20:20">
      <c r="T569" s="26" t="str">
        <f t="shared" si="8"/>
        <v/>
      </c>
    </row>
    <row r="570" spans="20:20">
      <c r="T570" s="26" t="str">
        <f t="shared" si="8"/>
        <v/>
      </c>
    </row>
    <row r="571" spans="20:20">
      <c r="T571" s="26" t="str">
        <f t="shared" si="8"/>
        <v/>
      </c>
    </row>
    <row r="572" spans="20:20">
      <c r="T572" s="26" t="str">
        <f t="shared" si="8"/>
        <v/>
      </c>
    </row>
    <row r="573" spans="20:20">
      <c r="T573" s="26" t="str">
        <f t="shared" si="8"/>
        <v/>
      </c>
    </row>
    <row r="574" spans="20:20">
      <c r="T574" s="26" t="str">
        <f t="shared" si="8"/>
        <v/>
      </c>
    </row>
    <row r="575" spans="20:20">
      <c r="T575" s="26" t="str">
        <f t="shared" si="8"/>
        <v/>
      </c>
    </row>
    <row r="576" spans="20:20">
      <c r="T576" s="26" t="str">
        <f t="shared" si="8"/>
        <v/>
      </c>
    </row>
    <row r="577" spans="20:20">
      <c r="T577" s="26" t="str">
        <f t="shared" si="8"/>
        <v/>
      </c>
    </row>
    <row r="578" spans="20:20">
      <c r="T578" s="26" t="str">
        <f t="shared" si="8"/>
        <v/>
      </c>
    </row>
    <row r="579" spans="20:20">
      <c r="T579" s="26" t="str">
        <f t="shared" si="8"/>
        <v/>
      </c>
    </row>
    <row r="580" spans="20:20">
      <c r="T580" s="26" t="str">
        <f t="shared" si="8"/>
        <v/>
      </c>
    </row>
    <row r="581" spans="20:20">
      <c r="T581" s="26" t="str">
        <f t="shared" ref="T581:T644" si="9">U581&amp;V581</f>
        <v/>
      </c>
    </row>
    <row r="582" spans="20:20">
      <c r="T582" s="26" t="str">
        <f t="shared" si="9"/>
        <v/>
      </c>
    </row>
    <row r="583" spans="20:20">
      <c r="T583" s="26" t="str">
        <f t="shared" si="9"/>
        <v/>
      </c>
    </row>
    <row r="584" spans="20:20">
      <c r="T584" s="26" t="str">
        <f t="shared" si="9"/>
        <v/>
      </c>
    </row>
    <row r="585" spans="20:20">
      <c r="T585" s="26" t="str">
        <f t="shared" si="9"/>
        <v/>
      </c>
    </row>
    <row r="586" spans="20:20">
      <c r="T586" s="26" t="str">
        <f t="shared" si="9"/>
        <v/>
      </c>
    </row>
    <row r="587" spans="20:20">
      <c r="T587" s="26" t="str">
        <f t="shared" si="9"/>
        <v/>
      </c>
    </row>
    <row r="588" spans="20:20">
      <c r="T588" s="26" t="str">
        <f t="shared" si="9"/>
        <v/>
      </c>
    </row>
    <row r="589" spans="20:20">
      <c r="T589" s="26" t="str">
        <f t="shared" si="9"/>
        <v/>
      </c>
    </row>
    <row r="590" spans="20:20">
      <c r="T590" s="26" t="str">
        <f t="shared" si="9"/>
        <v/>
      </c>
    </row>
    <row r="591" spans="20:20">
      <c r="T591" s="26" t="str">
        <f t="shared" si="9"/>
        <v/>
      </c>
    </row>
    <row r="592" spans="20:20">
      <c r="T592" s="26" t="str">
        <f t="shared" si="9"/>
        <v/>
      </c>
    </row>
    <row r="593" spans="20:20">
      <c r="T593" s="26" t="str">
        <f t="shared" si="9"/>
        <v/>
      </c>
    </row>
    <row r="594" spans="20:20">
      <c r="T594" s="26" t="str">
        <f t="shared" si="9"/>
        <v/>
      </c>
    </row>
    <row r="595" spans="20:20">
      <c r="T595" s="26" t="str">
        <f t="shared" si="9"/>
        <v/>
      </c>
    </row>
    <row r="596" spans="20:20">
      <c r="T596" s="26" t="str">
        <f t="shared" si="9"/>
        <v/>
      </c>
    </row>
    <row r="597" spans="20:20">
      <c r="T597" s="26" t="str">
        <f t="shared" si="9"/>
        <v/>
      </c>
    </row>
    <row r="598" spans="20:20">
      <c r="T598" s="26" t="str">
        <f t="shared" si="9"/>
        <v/>
      </c>
    </row>
    <row r="599" spans="20:20">
      <c r="T599" s="26" t="str">
        <f t="shared" si="9"/>
        <v/>
      </c>
    </row>
    <row r="600" spans="20:20">
      <c r="T600" s="26" t="str">
        <f t="shared" si="9"/>
        <v/>
      </c>
    </row>
    <row r="601" spans="20:20">
      <c r="T601" s="26" t="str">
        <f t="shared" si="9"/>
        <v/>
      </c>
    </row>
    <row r="602" spans="20:20">
      <c r="T602" s="26" t="str">
        <f t="shared" si="9"/>
        <v/>
      </c>
    </row>
    <row r="603" spans="20:20">
      <c r="T603" s="26" t="str">
        <f t="shared" si="9"/>
        <v/>
      </c>
    </row>
    <row r="604" spans="20:20">
      <c r="T604" s="26" t="str">
        <f t="shared" si="9"/>
        <v/>
      </c>
    </row>
    <row r="605" spans="20:20">
      <c r="T605" s="26" t="str">
        <f t="shared" si="9"/>
        <v/>
      </c>
    </row>
    <row r="606" spans="20:20">
      <c r="T606" s="26" t="str">
        <f t="shared" si="9"/>
        <v/>
      </c>
    </row>
    <row r="607" spans="20:20">
      <c r="T607" s="26" t="str">
        <f t="shared" si="9"/>
        <v/>
      </c>
    </row>
    <row r="608" spans="20:20">
      <c r="T608" s="26" t="str">
        <f t="shared" si="9"/>
        <v/>
      </c>
    </row>
    <row r="609" spans="20:20">
      <c r="T609" s="26" t="str">
        <f t="shared" si="9"/>
        <v/>
      </c>
    </row>
    <row r="610" spans="20:20">
      <c r="T610" s="26" t="str">
        <f t="shared" si="9"/>
        <v/>
      </c>
    </row>
    <row r="611" spans="20:20">
      <c r="T611" s="26" t="str">
        <f t="shared" si="9"/>
        <v/>
      </c>
    </row>
    <row r="612" spans="20:20">
      <c r="T612" s="26" t="str">
        <f t="shared" si="9"/>
        <v/>
      </c>
    </row>
    <row r="613" spans="20:20">
      <c r="T613" s="26" t="str">
        <f t="shared" si="9"/>
        <v/>
      </c>
    </row>
    <row r="614" spans="20:20">
      <c r="T614" s="26" t="str">
        <f t="shared" si="9"/>
        <v/>
      </c>
    </row>
    <row r="615" spans="20:20">
      <c r="T615" s="26" t="str">
        <f t="shared" si="9"/>
        <v/>
      </c>
    </row>
    <row r="616" spans="20:20">
      <c r="T616" s="26" t="str">
        <f t="shared" si="9"/>
        <v/>
      </c>
    </row>
    <row r="617" spans="20:20">
      <c r="T617" s="26" t="str">
        <f t="shared" si="9"/>
        <v/>
      </c>
    </row>
    <row r="618" spans="20:20">
      <c r="T618" s="26" t="str">
        <f t="shared" si="9"/>
        <v/>
      </c>
    </row>
    <row r="619" spans="20:20">
      <c r="T619" s="26" t="str">
        <f t="shared" si="9"/>
        <v/>
      </c>
    </row>
    <row r="620" spans="20:20">
      <c r="T620" s="26" t="str">
        <f t="shared" si="9"/>
        <v/>
      </c>
    </row>
    <row r="621" spans="20:20">
      <c r="T621" s="26" t="str">
        <f t="shared" si="9"/>
        <v/>
      </c>
    </row>
    <row r="622" spans="20:20">
      <c r="T622" s="26" t="str">
        <f t="shared" si="9"/>
        <v/>
      </c>
    </row>
    <row r="623" spans="20:20">
      <c r="T623" s="26" t="str">
        <f t="shared" si="9"/>
        <v/>
      </c>
    </row>
    <row r="624" spans="20:20">
      <c r="T624" s="26" t="str">
        <f t="shared" si="9"/>
        <v/>
      </c>
    </row>
    <row r="625" spans="20:20">
      <c r="T625" s="26" t="str">
        <f t="shared" si="9"/>
        <v/>
      </c>
    </row>
    <row r="626" spans="20:20">
      <c r="T626" s="26" t="str">
        <f t="shared" si="9"/>
        <v/>
      </c>
    </row>
    <row r="627" spans="20:20">
      <c r="T627" s="26" t="str">
        <f t="shared" si="9"/>
        <v/>
      </c>
    </row>
    <row r="628" spans="20:20">
      <c r="T628" s="26" t="str">
        <f t="shared" si="9"/>
        <v/>
      </c>
    </row>
    <row r="629" spans="20:20">
      <c r="T629" s="26" t="str">
        <f t="shared" si="9"/>
        <v/>
      </c>
    </row>
    <row r="630" spans="20:20">
      <c r="T630" s="26" t="str">
        <f t="shared" si="9"/>
        <v/>
      </c>
    </row>
    <row r="631" spans="20:20">
      <c r="T631" s="26" t="str">
        <f t="shared" si="9"/>
        <v/>
      </c>
    </row>
    <row r="632" spans="20:20">
      <c r="T632" s="26" t="str">
        <f t="shared" si="9"/>
        <v/>
      </c>
    </row>
    <row r="633" spans="20:20">
      <c r="T633" s="26" t="str">
        <f t="shared" si="9"/>
        <v/>
      </c>
    </row>
    <row r="634" spans="20:20">
      <c r="T634" s="26" t="str">
        <f t="shared" si="9"/>
        <v/>
      </c>
    </row>
    <row r="635" spans="20:20">
      <c r="T635" s="26" t="str">
        <f t="shared" si="9"/>
        <v/>
      </c>
    </row>
    <row r="636" spans="20:20">
      <c r="T636" s="26" t="str">
        <f t="shared" si="9"/>
        <v/>
      </c>
    </row>
    <row r="637" spans="20:20">
      <c r="T637" s="26" t="str">
        <f t="shared" si="9"/>
        <v/>
      </c>
    </row>
    <row r="638" spans="20:20">
      <c r="T638" s="26" t="str">
        <f t="shared" si="9"/>
        <v/>
      </c>
    </row>
    <row r="639" spans="20:20">
      <c r="T639" s="26" t="str">
        <f t="shared" si="9"/>
        <v/>
      </c>
    </row>
    <row r="640" spans="20:20">
      <c r="T640" s="26" t="str">
        <f t="shared" si="9"/>
        <v/>
      </c>
    </row>
    <row r="641" spans="20:20">
      <c r="T641" s="26" t="str">
        <f t="shared" si="9"/>
        <v/>
      </c>
    </row>
    <row r="642" spans="20:20">
      <c r="T642" s="26" t="str">
        <f t="shared" si="9"/>
        <v/>
      </c>
    </row>
    <row r="643" spans="20:20">
      <c r="T643" s="26" t="str">
        <f t="shared" si="9"/>
        <v/>
      </c>
    </row>
    <row r="644" spans="20:20">
      <c r="T644" s="26" t="str">
        <f t="shared" si="9"/>
        <v/>
      </c>
    </row>
    <row r="645" spans="20:20">
      <c r="T645" s="26" t="str">
        <f t="shared" ref="T645:T708" si="10">U645&amp;V645</f>
        <v/>
      </c>
    </row>
    <row r="646" spans="20:20">
      <c r="T646" s="26" t="str">
        <f t="shared" si="10"/>
        <v/>
      </c>
    </row>
    <row r="647" spans="20:20">
      <c r="T647" s="26" t="str">
        <f t="shared" si="10"/>
        <v/>
      </c>
    </row>
    <row r="648" spans="20:20">
      <c r="T648" s="26" t="str">
        <f t="shared" si="10"/>
        <v/>
      </c>
    </row>
    <row r="649" spans="20:20">
      <c r="T649" s="26" t="str">
        <f t="shared" si="10"/>
        <v/>
      </c>
    </row>
    <row r="650" spans="20:20">
      <c r="T650" s="26" t="str">
        <f t="shared" si="10"/>
        <v/>
      </c>
    </row>
    <row r="651" spans="20:20">
      <c r="T651" s="26" t="str">
        <f t="shared" si="10"/>
        <v/>
      </c>
    </row>
    <row r="652" spans="20:20">
      <c r="T652" s="26" t="str">
        <f t="shared" si="10"/>
        <v/>
      </c>
    </row>
    <row r="653" spans="20:20">
      <c r="T653" s="26" t="str">
        <f t="shared" si="10"/>
        <v/>
      </c>
    </row>
    <row r="654" spans="20:20">
      <c r="T654" s="26" t="str">
        <f t="shared" si="10"/>
        <v/>
      </c>
    </row>
    <row r="655" spans="20:20">
      <c r="T655" s="26" t="str">
        <f t="shared" si="10"/>
        <v/>
      </c>
    </row>
    <row r="656" spans="20:20">
      <c r="T656" s="26" t="str">
        <f t="shared" si="10"/>
        <v/>
      </c>
    </row>
    <row r="657" spans="20:20">
      <c r="T657" s="26" t="str">
        <f t="shared" si="10"/>
        <v/>
      </c>
    </row>
    <row r="658" spans="20:20">
      <c r="T658" s="26" t="str">
        <f t="shared" si="10"/>
        <v/>
      </c>
    </row>
    <row r="659" spans="20:20">
      <c r="T659" s="26" t="str">
        <f t="shared" si="10"/>
        <v/>
      </c>
    </row>
    <row r="660" spans="20:20">
      <c r="T660" s="26" t="str">
        <f t="shared" si="10"/>
        <v/>
      </c>
    </row>
    <row r="661" spans="20:20">
      <c r="T661" s="26" t="str">
        <f t="shared" si="10"/>
        <v/>
      </c>
    </row>
    <row r="662" spans="20:20">
      <c r="T662" s="26" t="str">
        <f t="shared" si="10"/>
        <v/>
      </c>
    </row>
    <row r="663" spans="20:20">
      <c r="T663" s="26" t="str">
        <f t="shared" si="10"/>
        <v/>
      </c>
    </row>
    <row r="664" spans="20:20">
      <c r="T664" s="26" t="str">
        <f t="shared" si="10"/>
        <v/>
      </c>
    </row>
    <row r="665" spans="20:20">
      <c r="T665" s="26" t="str">
        <f t="shared" si="10"/>
        <v/>
      </c>
    </row>
    <row r="666" spans="20:20">
      <c r="T666" s="26" t="str">
        <f t="shared" si="10"/>
        <v/>
      </c>
    </row>
    <row r="667" spans="20:20">
      <c r="T667" s="26" t="str">
        <f t="shared" si="10"/>
        <v/>
      </c>
    </row>
    <row r="668" spans="20:20">
      <c r="T668" s="26" t="str">
        <f t="shared" si="10"/>
        <v/>
      </c>
    </row>
    <row r="669" spans="20:20">
      <c r="T669" s="26" t="str">
        <f t="shared" si="10"/>
        <v/>
      </c>
    </row>
    <row r="670" spans="20:20">
      <c r="T670" s="26" t="str">
        <f t="shared" si="10"/>
        <v/>
      </c>
    </row>
    <row r="671" spans="20:20">
      <c r="T671" s="26" t="str">
        <f t="shared" si="10"/>
        <v/>
      </c>
    </row>
    <row r="672" spans="20:20">
      <c r="T672" s="26" t="str">
        <f t="shared" si="10"/>
        <v/>
      </c>
    </row>
    <row r="673" spans="20:20">
      <c r="T673" s="26" t="str">
        <f t="shared" si="10"/>
        <v/>
      </c>
    </row>
    <row r="674" spans="20:20">
      <c r="T674" s="26" t="str">
        <f t="shared" si="10"/>
        <v/>
      </c>
    </row>
    <row r="675" spans="20:20">
      <c r="T675" s="26" t="str">
        <f t="shared" si="10"/>
        <v/>
      </c>
    </row>
    <row r="676" spans="20:20">
      <c r="T676" s="26" t="str">
        <f t="shared" si="10"/>
        <v/>
      </c>
    </row>
    <row r="677" spans="20:20">
      <c r="T677" s="26" t="str">
        <f t="shared" si="10"/>
        <v/>
      </c>
    </row>
    <row r="678" spans="20:20">
      <c r="T678" s="26" t="str">
        <f t="shared" si="10"/>
        <v/>
      </c>
    </row>
    <row r="679" spans="20:20">
      <c r="T679" s="26" t="str">
        <f t="shared" si="10"/>
        <v/>
      </c>
    </row>
    <row r="680" spans="20:20">
      <c r="T680" s="26" t="str">
        <f t="shared" si="10"/>
        <v/>
      </c>
    </row>
    <row r="681" spans="20:20">
      <c r="T681" s="26" t="str">
        <f t="shared" si="10"/>
        <v/>
      </c>
    </row>
    <row r="682" spans="20:20">
      <c r="T682" s="26" t="str">
        <f t="shared" si="10"/>
        <v/>
      </c>
    </row>
    <row r="683" spans="20:20">
      <c r="T683" s="26" t="str">
        <f t="shared" si="10"/>
        <v/>
      </c>
    </row>
    <row r="684" spans="20:20">
      <c r="T684" s="26" t="str">
        <f t="shared" si="10"/>
        <v/>
      </c>
    </row>
    <row r="685" spans="20:20">
      <c r="T685" s="26" t="str">
        <f t="shared" si="10"/>
        <v/>
      </c>
    </row>
    <row r="686" spans="20:20">
      <c r="T686" s="26" t="str">
        <f t="shared" si="10"/>
        <v/>
      </c>
    </row>
    <row r="687" spans="20:20">
      <c r="T687" s="26" t="str">
        <f t="shared" si="10"/>
        <v/>
      </c>
    </row>
    <row r="688" spans="20:20">
      <c r="T688" s="26" t="str">
        <f t="shared" si="10"/>
        <v/>
      </c>
    </row>
    <row r="689" spans="20:20">
      <c r="T689" s="26" t="str">
        <f t="shared" si="10"/>
        <v/>
      </c>
    </row>
    <row r="690" spans="20:20">
      <c r="T690" s="26" t="str">
        <f t="shared" si="10"/>
        <v/>
      </c>
    </row>
    <row r="691" spans="20:20">
      <c r="T691" s="26" t="str">
        <f t="shared" si="10"/>
        <v/>
      </c>
    </row>
    <row r="692" spans="20:20">
      <c r="T692" s="26" t="str">
        <f t="shared" si="10"/>
        <v/>
      </c>
    </row>
    <row r="693" spans="20:20">
      <c r="T693" s="26" t="str">
        <f t="shared" si="10"/>
        <v/>
      </c>
    </row>
    <row r="694" spans="20:20">
      <c r="T694" s="26" t="str">
        <f t="shared" si="10"/>
        <v/>
      </c>
    </row>
    <row r="695" spans="20:20">
      <c r="T695" s="26" t="str">
        <f t="shared" si="10"/>
        <v/>
      </c>
    </row>
    <row r="696" spans="20:20">
      <c r="T696" s="26" t="str">
        <f t="shared" si="10"/>
        <v/>
      </c>
    </row>
    <row r="697" spans="20:20">
      <c r="T697" s="26" t="str">
        <f t="shared" si="10"/>
        <v/>
      </c>
    </row>
    <row r="698" spans="20:20">
      <c r="T698" s="26" t="str">
        <f t="shared" si="10"/>
        <v/>
      </c>
    </row>
    <row r="699" spans="20:20">
      <c r="T699" s="26" t="str">
        <f t="shared" si="10"/>
        <v/>
      </c>
    </row>
    <row r="700" spans="20:20">
      <c r="T700" s="26" t="str">
        <f t="shared" si="10"/>
        <v/>
      </c>
    </row>
    <row r="701" spans="20:20">
      <c r="T701" s="26" t="str">
        <f t="shared" si="10"/>
        <v/>
      </c>
    </row>
    <row r="702" spans="20:20">
      <c r="T702" s="26" t="str">
        <f t="shared" si="10"/>
        <v/>
      </c>
    </row>
    <row r="703" spans="20:20">
      <c r="T703" s="26" t="str">
        <f t="shared" si="10"/>
        <v/>
      </c>
    </row>
    <row r="704" spans="20:20">
      <c r="T704" s="26" t="str">
        <f t="shared" si="10"/>
        <v/>
      </c>
    </row>
    <row r="705" spans="20:20">
      <c r="T705" s="26" t="str">
        <f t="shared" si="10"/>
        <v/>
      </c>
    </row>
    <row r="706" spans="20:20">
      <c r="T706" s="26" t="str">
        <f t="shared" si="10"/>
        <v/>
      </c>
    </row>
    <row r="707" spans="20:20">
      <c r="T707" s="26" t="str">
        <f t="shared" si="10"/>
        <v/>
      </c>
    </row>
    <row r="708" spans="20:20">
      <c r="T708" s="26" t="str">
        <f t="shared" si="10"/>
        <v/>
      </c>
    </row>
    <row r="709" spans="20:20">
      <c r="T709" s="26" t="str">
        <f t="shared" ref="T709:T772" si="11">U709&amp;V709</f>
        <v/>
      </c>
    </row>
    <row r="710" spans="20:20">
      <c r="T710" s="26" t="str">
        <f t="shared" si="11"/>
        <v/>
      </c>
    </row>
    <row r="711" spans="20:20">
      <c r="T711" s="26" t="str">
        <f t="shared" si="11"/>
        <v/>
      </c>
    </row>
    <row r="712" spans="20:20">
      <c r="T712" s="26" t="str">
        <f t="shared" si="11"/>
        <v/>
      </c>
    </row>
    <row r="713" spans="20:20">
      <c r="T713" s="26" t="str">
        <f t="shared" si="11"/>
        <v/>
      </c>
    </row>
    <row r="714" spans="20:20">
      <c r="T714" s="26" t="str">
        <f t="shared" si="11"/>
        <v/>
      </c>
    </row>
    <row r="715" spans="20:20">
      <c r="T715" s="26" t="str">
        <f t="shared" si="11"/>
        <v/>
      </c>
    </row>
    <row r="716" spans="20:20">
      <c r="T716" s="26" t="str">
        <f t="shared" si="11"/>
        <v/>
      </c>
    </row>
    <row r="717" spans="20:20">
      <c r="T717" s="26" t="str">
        <f t="shared" si="11"/>
        <v/>
      </c>
    </row>
    <row r="718" spans="20:20">
      <c r="T718" s="26" t="str">
        <f t="shared" si="11"/>
        <v/>
      </c>
    </row>
    <row r="719" spans="20:20">
      <c r="T719" s="26" t="str">
        <f t="shared" si="11"/>
        <v/>
      </c>
    </row>
    <row r="720" spans="20:20">
      <c r="T720" s="26" t="str">
        <f t="shared" si="11"/>
        <v/>
      </c>
    </row>
    <row r="721" spans="20:20">
      <c r="T721" s="26" t="str">
        <f t="shared" si="11"/>
        <v/>
      </c>
    </row>
    <row r="722" spans="20:20">
      <c r="T722" s="26" t="str">
        <f t="shared" si="11"/>
        <v/>
      </c>
    </row>
    <row r="723" spans="20:20">
      <c r="T723" s="26" t="str">
        <f t="shared" si="11"/>
        <v/>
      </c>
    </row>
    <row r="724" spans="20:20">
      <c r="T724" s="26" t="str">
        <f t="shared" si="11"/>
        <v/>
      </c>
    </row>
    <row r="725" spans="20:20">
      <c r="T725" s="26" t="str">
        <f t="shared" si="11"/>
        <v/>
      </c>
    </row>
    <row r="726" spans="20:20">
      <c r="T726" s="26" t="str">
        <f t="shared" si="11"/>
        <v/>
      </c>
    </row>
    <row r="727" spans="20:20">
      <c r="T727" s="26" t="str">
        <f t="shared" si="11"/>
        <v/>
      </c>
    </row>
    <row r="728" spans="20:20">
      <c r="T728" s="26" t="str">
        <f t="shared" si="11"/>
        <v/>
      </c>
    </row>
    <row r="729" spans="20:20">
      <c r="T729" s="26" t="str">
        <f t="shared" si="11"/>
        <v/>
      </c>
    </row>
    <row r="730" spans="20:20">
      <c r="T730" s="26" t="str">
        <f t="shared" si="11"/>
        <v/>
      </c>
    </row>
    <row r="731" spans="20:20">
      <c r="T731" s="26" t="str">
        <f t="shared" si="11"/>
        <v/>
      </c>
    </row>
    <row r="732" spans="20:20">
      <c r="T732" s="26" t="str">
        <f t="shared" si="11"/>
        <v/>
      </c>
    </row>
    <row r="733" spans="20:20">
      <c r="T733" s="26" t="str">
        <f t="shared" si="11"/>
        <v/>
      </c>
    </row>
    <row r="734" spans="20:20">
      <c r="T734" s="26" t="str">
        <f t="shared" si="11"/>
        <v/>
      </c>
    </row>
    <row r="735" spans="20:20">
      <c r="T735" s="26" t="str">
        <f t="shared" si="11"/>
        <v/>
      </c>
    </row>
    <row r="736" spans="20:20">
      <c r="T736" s="26" t="str">
        <f t="shared" si="11"/>
        <v/>
      </c>
    </row>
    <row r="737" spans="20:20">
      <c r="T737" s="26" t="str">
        <f t="shared" si="11"/>
        <v/>
      </c>
    </row>
    <row r="738" spans="20:20">
      <c r="T738" s="26" t="str">
        <f t="shared" si="11"/>
        <v/>
      </c>
    </row>
    <row r="739" spans="20:20">
      <c r="T739" s="26" t="str">
        <f t="shared" si="11"/>
        <v/>
      </c>
    </row>
    <row r="740" spans="20:20">
      <c r="T740" s="26" t="str">
        <f t="shared" si="11"/>
        <v/>
      </c>
    </row>
    <row r="741" spans="20:20">
      <c r="T741" s="26" t="str">
        <f t="shared" si="11"/>
        <v/>
      </c>
    </row>
    <row r="742" spans="20:20">
      <c r="T742" s="26" t="str">
        <f t="shared" si="11"/>
        <v/>
      </c>
    </row>
    <row r="743" spans="20:20">
      <c r="T743" s="26" t="str">
        <f t="shared" si="11"/>
        <v/>
      </c>
    </row>
    <row r="744" spans="20:20">
      <c r="T744" s="26" t="str">
        <f t="shared" si="11"/>
        <v/>
      </c>
    </row>
    <row r="745" spans="20:20">
      <c r="T745" s="26" t="str">
        <f t="shared" si="11"/>
        <v/>
      </c>
    </row>
    <row r="746" spans="20:20">
      <c r="T746" s="26" t="str">
        <f t="shared" si="11"/>
        <v/>
      </c>
    </row>
    <row r="747" spans="20:20">
      <c r="T747" s="26" t="str">
        <f t="shared" si="11"/>
        <v/>
      </c>
    </row>
    <row r="748" spans="20:20">
      <c r="T748" s="26" t="str">
        <f t="shared" si="11"/>
        <v/>
      </c>
    </row>
    <row r="749" spans="20:20">
      <c r="T749" s="26" t="str">
        <f t="shared" si="11"/>
        <v/>
      </c>
    </row>
    <row r="750" spans="20:20">
      <c r="T750" s="26" t="str">
        <f t="shared" si="11"/>
        <v/>
      </c>
    </row>
    <row r="751" spans="20:20">
      <c r="T751" s="26" t="str">
        <f t="shared" si="11"/>
        <v/>
      </c>
    </row>
    <row r="752" spans="20:20">
      <c r="T752" s="26" t="str">
        <f t="shared" si="11"/>
        <v/>
      </c>
    </row>
    <row r="753" spans="20:20">
      <c r="T753" s="26" t="str">
        <f t="shared" si="11"/>
        <v/>
      </c>
    </row>
    <row r="754" spans="20:20">
      <c r="T754" s="26" t="str">
        <f t="shared" si="11"/>
        <v/>
      </c>
    </row>
    <row r="755" spans="20:20">
      <c r="T755" s="26" t="str">
        <f t="shared" si="11"/>
        <v/>
      </c>
    </row>
    <row r="756" spans="20:20">
      <c r="T756" s="26" t="str">
        <f t="shared" si="11"/>
        <v/>
      </c>
    </row>
    <row r="757" spans="20:20">
      <c r="T757" s="26" t="str">
        <f t="shared" si="11"/>
        <v/>
      </c>
    </row>
    <row r="758" spans="20:20">
      <c r="T758" s="26" t="str">
        <f t="shared" si="11"/>
        <v/>
      </c>
    </row>
    <row r="759" spans="20:20">
      <c r="T759" s="26" t="str">
        <f t="shared" si="11"/>
        <v/>
      </c>
    </row>
    <row r="760" spans="20:20">
      <c r="T760" s="26" t="str">
        <f t="shared" si="11"/>
        <v/>
      </c>
    </row>
    <row r="761" spans="20:20">
      <c r="T761" s="26" t="str">
        <f t="shared" si="11"/>
        <v/>
      </c>
    </row>
    <row r="762" spans="20:20">
      <c r="T762" s="26" t="str">
        <f t="shared" si="11"/>
        <v/>
      </c>
    </row>
    <row r="763" spans="20:20">
      <c r="T763" s="26" t="str">
        <f t="shared" si="11"/>
        <v/>
      </c>
    </row>
    <row r="764" spans="20:20">
      <c r="T764" s="26" t="str">
        <f t="shared" si="11"/>
        <v/>
      </c>
    </row>
    <row r="765" spans="20:20">
      <c r="T765" s="26" t="str">
        <f t="shared" si="11"/>
        <v/>
      </c>
    </row>
    <row r="766" spans="20:20">
      <c r="T766" s="26" t="str">
        <f t="shared" si="11"/>
        <v/>
      </c>
    </row>
    <row r="767" spans="20:20">
      <c r="T767" s="26" t="str">
        <f t="shared" si="11"/>
        <v/>
      </c>
    </row>
    <row r="768" spans="20:20">
      <c r="T768" s="26" t="str">
        <f t="shared" si="11"/>
        <v/>
      </c>
    </row>
    <row r="769" spans="20:20">
      <c r="T769" s="26" t="str">
        <f t="shared" si="11"/>
        <v/>
      </c>
    </row>
    <row r="770" spans="20:20">
      <c r="T770" s="26" t="str">
        <f t="shared" si="11"/>
        <v/>
      </c>
    </row>
    <row r="771" spans="20:20">
      <c r="T771" s="26" t="str">
        <f t="shared" si="11"/>
        <v/>
      </c>
    </row>
    <row r="772" spans="20:20">
      <c r="T772" s="26" t="str">
        <f t="shared" si="11"/>
        <v/>
      </c>
    </row>
    <row r="773" spans="20:20">
      <c r="T773" s="26" t="str">
        <f t="shared" ref="T773:T836" si="12">U773&amp;V773</f>
        <v/>
      </c>
    </row>
    <row r="774" spans="20:20">
      <c r="T774" s="26" t="str">
        <f t="shared" si="12"/>
        <v/>
      </c>
    </row>
    <row r="775" spans="20:20">
      <c r="T775" s="26" t="str">
        <f t="shared" si="12"/>
        <v/>
      </c>
    </row>
    <row r="776" spans="20:20">
      <c r="T776" s="26" t="str">
        <f t="shared" si="12"/>
        <v/>
      </c>
    </row>
    <row r="777" spans="20:20">
      <c r="T777" s="26" t="str">
        <f t="shared" si="12"/>
        <v/>
      </c>
    </row>
    <row r="778" spans="20:20">
      <c r="T778" s="26" t="str">
        <f t="shared" si="12"/>
        <v/>
      </c>
    </row>
    <row r="779" spans="20:20">
      <c r="T779" s="26" t="str">
        <f t="shared" si="12"/>
        <v/>
      </c>
    </row>
    <row r="780" spans="20:20">
      <c r="T780" s="26" t="str">
        <f t="shared" si="12"/>
        <v/>
      </c>
    </row>
    <row r="781" spans="20:20">
      <c r="T781" s="26" t="str">
        <f t="shared" si="12"/>
        <v/>
      </c>
    </row>
    <row r="782" spans="20:20">
      <c r="T782" s="26" t="str">
        <f t="shared" si="12"/>
        <v/>
      </c>
    </row>
    <row r="783" spans="20:20">
      <c r="T783" s="26" t="str">
        <f t="shared" si="12"/>
        <v/>
      </c>
    </row>
    <row r="784" spans="20:20">
      <c r="T784" s="26" t="str">
        <f t="shared" si="12"/>
        <v/>
      </c>
    </row>
    <row r="785" spans="20:20">
      <c r="T785" s="26" t="str">
        <f t="shared" si="12"/>
        <v/>
      </c>
    </row>
    <row r="786" spans="20:20">
      <c r="T786" s="26" t="str">
        <f t="shared" si="12"/>
        <v/>
      </c>
    </row>
    <row r="787" spans="20:20">
      <c r="T787" s="26" t="str">
        <f t="shared" si="12"/>
        <v/>
      </c>
    </row>
    <row r="788" spans="20:20">
      <c r="T788" s="26" t="str">
        <f t="shared" si="12"/>
        <v/>
      </c>
    </row>
    <row r="789" spans="20:20">
      <c r="T789" s="26" t="str">
        <f t="shared" si="12"/>
        <v/>
      </c>
    </row>
    <row r="790" spans="20:20">
      <c r="T790" s="26" t="str">
        <f t="shared" si="12"/>
        <v/>
      </c>
    </row>
    <row r="791" spans="20:20">
      <c r="T791" s="26" t="str">
        <f t="shared" si="12"/>
        <v/>
      </c>
    </row>
    <row r="792" spans="20:20">
      <c r="T792" s="26" t="str">
        <f t="shared" si="12"/>
        <v/>
      </c>
    </row>
    <row r="793" spans="20:20">
      <c r="T793" s="26" t="str">
        <f t="shared" si="12"/>
        <v/>
      </c>
    </row>
    <row r="794" spans="20:20">
      <c r="T794" s="26" t="str">
        <f t="shared" si="12"/>
        <v/>
      </c>
    </row>
    <row r="795" spans="20:20">
      <c r="T795" s="26" t="str">
        <f t="shared" si="12"/>
        <v/>
      </c>
    </row>
    <row r="796" spans="20:20">
      <c r="T796" s="26" t="str">
        <f t="shared" si="12"/>
        <v/>
      </c>
    </row>
    <row r="797" spans="20:20">
      <c r="T797" s="26" t="str">
        <f t="shared" si="12"/>
        <v/>
      </c>
    </row>
    <row r="798" spans="20:20">
      <c r="T798" s="26" t="str">
        <f t="shared" si="12"/>
        <v/>
      </c>
    </row>
    <row r="799" spans="20:20">
      <c r="T799" s="26" t="str">
        <f t="shared" si="12"/>
        <v/>
      </c>
    </row>
    <row r="800" spans="20:20">
      <c r="T800" s="26" t="str">
        <f t="shared" si="12"/>
        <v/>
      </c>
    </row>
    <row r="801" spans="20:20">
      <c r="T801" s="26" t="str">
        <f t="shared" si="12"/>
        <v/>
      </c>
    </row>
    <row r="802" spans="20:20">
      <c r="T802" s="26" t="str">
        <f t="shared" si="12"/>
        <v/>
      </c>
    </row>
    <row r="803" spans="20:20">
      <c r="T803" s="26" t="str">
        <f t="shared" si="12"/>
        <v/>
      </c>
    </row>
    <row r="804" spans="20:20">
      <c r="T804" s="26" t="str">
        <f t="shared" si="12"/>
        <v/>
      </c>
    </row>
    <row r="805" spans="20:20">
      <c r="T805" s="26" t="str">
        <f t="shared" si="12"/>
        <v/>
      </c>
    </row>
    <row r="806" spans="20:20">
      <c r="T806" s="26" t="str">
        <f t="shared" si="12"/>
        <v/>
      </c>
    </row>
    <row r="807" spans="20:20">
      <c r="T807" s="26" t="str">
        <f t="shared" si="12"/>
        <v/>
      </c>
    </row>
    <row r="808" spans="20:20">
      <c r="T808" s="26" t="str">
        <f t="shared" si="12"/>
        <v/>
      </c>
    </row>
    <row r="809" spans="20:20">
      <c r="T809" s="26" t="str">
        <f t="shared" si="12"/>
        <v/>
      </c>
    </row>
    <row r="810" spans="20:20">
      <c r="T810" s="26" t="str">
        <f t="shared" si="12"/>
        <v/>
      </c>
    </row>
    <row r="811" spans="20:20">
      <c r="T811" s="26" t="str">
        <f t="shared" si="12"/>
        <v/>
      </c>
    </row>
    <row r="812" spans="20:20">
      <c r="T812" s="26" t="str">
        <f t="shared" si="12"/>
        <v/>
      </c>
    </row>
    <row r="813" spans="20:20">
      <c r="T813" s="26" t="str">
        <f t="shared" si="12"/>
        <v/>
      </c>
    </row>
    <row r="814" spans="20:20">
      <c r="T814" s="26" t="str">
        <f t="shared" si="12"/>
        <v/>
      </c>
    </row>
    <row r="815" spans="20:20">
      <c r="T815" s="26" t="str">
        <f t="shared" si="12"/>
        <v/>
      </c>
    </row>
    <row r="816" spans="20:20">
      <c r="T816" s="26" t="str">
        <f t="shared" si="12"/>
        <v/>
      </c>
    </row>
    <row r="817" spans="20:20">
      <c r="T817" s="26" t="str">
        <f t="shared" si="12"/>
        <v/>
      </c>
    </row>
    <row r="818" spans="20:20">
      <c r="T818" s="26" t="str">
        <f t="shared" si="12"/>
        <v/>
      </c>
    </row>
    <row r="819" spans="20:20">
      <c r="T819" s="26" t="str">
        <f t="shared" si="12"/>
        <v/>
      </c>
    </row>
    <row r="820" spans="20:20">
      <c r="T820" s="26" t="str">
        <f t="shared" si="12"/>
        <v/>
      </c>
    </row>
    <row r="821" spans="20:20">
      <c r="T821" s="26" t="str">
        <f t="shared" si="12"/>
        <v/>
      </c>
    </row>
    <row r="822" spans="20:20">
      <c r="T822" s="26" t="str">
        <f t="shared" si="12"/>
        <v/>
      </c>
    </row>
    <row r="823" spans="20:20">
      <c r="T823" s="26" t="str">
        <f t="shared" si="12"/>
        <v/>
      </c>
    </row>
    <row r="824" spans="20:20">
      <c r="T824" s="26" t="str">
        <f t="shared" si="12"/>
        <v/>
      </c>
    </row>
    <row r="825" spans="20:20">
      <c r="T825" s="26" t="str">
        <f t="shared" si="12"/>
        <v/>
      </c>
    </row>
    <row r="826" spans="20:20">
      <c r="T826" s="26" t="str">
        <f t="shared" si="12"/>
        <v/>
      </c>
    </row>
    <row r="827" spans="20:20">
      <c r="T827" s="26" t="str">
        <f t="shared" si="12"/>
        <v/>
      </c>
    </row>
    <row r="828" spans="20:20">
      <c r="T828" s="26" t="str">
        <f t="shared" si="12"/>
        <v/>
      </c>
    </row>
    <row r="829" spans="20:20">
      <c r="T829" s="26" t="str">
        <f t="shared" si="12"/>
        <v/>
      </c>
    </row>
    <row r="830" spans="20:20">
      <c r="T830" s="26" t="str">
        <f t="shared" si="12"/>
        <v/>
      </c>
    </row>
    <row r="831" spans="20:20">
      <c r="T831" s="26" t="str">
        <f t="shared" si="12"/>
        <v/>
      </c>
    </row>
    <row r="832" spans="20:20">
      <c r="T832" s="26" t="str">
        <f t="shared" si="12"/>
        <v/>
      </c>
    </row>
    <row r="833" spans="20:20">
      <c r="T833" s="26" t="str">
        <f t="shared" si="12"/>
        <v/>
      </c>
    </row>
    <row r="834" spans="20:20">
      <c r="T834" s="26" t="str">
        <f t="shared" si="12"/>
        <v/>
      </c>
    </row>
    <row r="835" spans="20:20">
      <c r="T835" s="26" t="str">
        <f t="shared" si="12"/>
        <v/>
      </c>
    </row>
    <row r="836" spans="20:20">
      <c r="T836" s="26" t="str">
        <f t="shared" si="12"/>
        <v/>
      </c>
    </row>
    <row r="837" spans="20:20">
      <c r="T837" s="26" t="str">
        <f t="shared" ref="T837:T900" si="13">U837&amp;V837</f>
        <v/>
      </c>
    </row>
    <row r="838" spans="20:20">
      <c r="T838" s="26" t="str">
        <f t="shared" si="13"/>
        <v/>
      </c>
    </row>
    <row r="839" spans="20:20">
      <c r="T839" s="26" t="str">
        <f t="shared" si="13"/>
        <v/>
      </c>
    </row>
    <row r="840" spans="20:20">
      <c r="T840" s="26" t="str">
        <f t="shared" si="13"/>
        <v/>
      </c>
    </row>
    <row r="841" spans="20:20">
      <c r="T841" s="26" t="str">
        <f t="shared" si="13"/>
        <v/>
      </c>
    </row>
    <row r="842" spans="20:20">
      <c r="T842" s="26" t="str">
        <f t="shared" si="13"/>
        <v/>
      </c>
    </row>
    <row r="843" spans="20:20">
      <c r="T843" s="26" t="str">
        <f t="shared" si="13"/>
        <v/>
      </c>
    </row>
    <row r="844" spans="20:20">
      <c r="T844" s="26" t="str">
        <f t="shared" si="13"/>
        <v/>
      </c>
    </row>
    <row r="845" spans="20:20">
      <c r="T845" s="26" t="str">
        <f t="shared" si="13"/>
        <v/>
      </c>
    </row>
    <row r="846" spans="20:20">
      <c r="T846" s="26" t="str">
        <f t="shared" si="13"/>
        <v/>
      </c>
    </row>
    <row r="847" spans="20:20">
      <c r="T847" s="26" t="str">
        <f t="shared" si="13"/>
        <v/>
      </c>
    </row>
    <row r="848" spans="20:20">
      <c r="T848" s="26" t="str">
        <f t="shared" si="13"/>
        <v/>
      </c>
    </row>
    <row r="849" spans="20:20">
      <c r="T849" s="26" t="str">
        <f t="shared" si="13"/>
        <v/>
      </c>
    </row>
    <row r="850" spans="20:20">
      <c r="T850" s="26" t="str">
        <f t="shared" si="13"/>
        <v/>
      </c>
    </row>
    <row r="851" spans="20:20">
      <c r="T851" s="26" t="str">
        <f t="shared" si="13"/>
        <v/>
      </c>
    </row>
    <row r="852" spans="20:20">
      <c r="T852" s="26" t="str">
        <f t="shared" si="13"/>
        <v/>
      </c>
    </row>
    <row r="853" spans="20:20">
      <c r="T853" s="26" t="str">
        <f t="shared" si="13"/>
        <v/>
      </c>
    </row>
    <row r="854" spans="20:20">
      <c r="T854" s="26" t="str">
        <f t="shared" si="13"/>
        <v/>
      </c>
    </row>
    <row r="855" spans="20:20">
      <c r="T855" s="26" t="str">
        <f t="shared" si="13"/>
        <v/>
      </c>
    </row>
    <row r="856" spans="20:20">
      <c r="T856" s="26" t="str">
        <f t="shared" si="13"/>
        <v/>
      </c>
    </row>
    <row r="857" spans="20:20">
      <c r="T857" s="26" t="str">
        <f t="shared" si="13"/>
        <v/>
      </c>
    </row>
    <row r="858" spans="20:20">
      <c r="T858" s="26" t="str">
        <f t="shared" si="13"/>
        <v/>
      </c>
    </row>
    <row r="859" spans="20:20">
      <c r="T859" s="26" t="str">
        <f t="shared" si="13"/>
        <v/>
      </c>
    </row>
    <row r="860" spans="20:20">
      <c r="T860" s="26" t="str">
        <f t="shared" si="13"/>
        <v/>
      </c>
    </row>
    <row r="861" spans="20:20">
      <c r="T861" s="26" t="str">
        <f t="shared" si="13"/>
        <v/>
      </c>
    </row>
    <row r="862" spans="20:20">
      <c r="T862" s="26" t="str">
        <f t="shared" si="13"/>
        <v/>
      </c>
    </row>
    <row r="863" spans="20:20">
      <c r="T863" s="26" t="str">
        <f t="shared" si="13"/>
        <v/>
      </c>
    </row>
    <row r="864" spans="20:20">
      <c r="T864" s="26" t="str">
        <f t="shared" si="13"/>
        <v/>
      </c>
    </row>
    <row r="865" spans="20:20">
      <c r="T865" s="26" t="str">
        <f t="shared" si="13"/>
        <v/>
      </c>
    </row>
    <row r="866" spans="20:20">
      <c r="T866" s="26" t="str">
        <f t="shared" si="13"/>
        <v/>
      </c>
    </row>
    <row r="867" spans="20:20">
      <c r="T867" s="26" t="str">
        <f t="shared" si="13"/>
        <v/>
      </c>
    </row>
    <row r="868" spans="20:20">
      <c r="T868" s="26" t="str">
        <f t="shared" si="13"/>
        <v/>
      </c>
    </row>
    <row r="869" spans="20:20">
      <c r="T869" s="26" t="str">
        <f t="shared" si="13"/>
        <v/>
      </c>
    </row>
    <row r="870" spans="20:20">
      <c r="T870" s="26" t="str">
        <f t="shared" si="13"/>
        <v/>
      </c>
    </row>
    <row r="871" spans="20:20">
      <c r="T871" s="26" t="str">
        <f t="shared" si="13"/>
        <v/>
      </c>
    </row>
    <row r="872" spans="20:20">
      <c r="T872" s="26" t="str">
        <f t="shared" si="13"/>
        <v/>
      </c>
    </row>
    <row r="873" spans="20:20">
      <c r="T873" s="26" t="str">
        <f t="shared" si="13"/>
        <v/>
      </c>
    </row>
    <row r="874" spans="20:20">
      <c r="T874" s="26" t="str">
        <f t="shared" si="13"/>
        <v/>
      </c>
    </row>
    <row r="875" spans="20:20">
      <c r="T875" s="26" t="str">
        <f t="shared" si="13"/>
        <v/>
      </c>
    </row>
    <row r="876" spans="20:20">
      <c r="T876" s="26" t="str">
        <f t="shared" si="13"/>
        <v/>
      </c>
    </row>
    <row r="877" spans="20:20">
      <c r="T877" s="26" t="str">
        <f t="shared" si="13"/>
        <v/>
      </c>
    </row>
    <row r="878" spans="20:20">
      <c r="T878" s="26" t="str">
        <f t="shared" si="13"/>
        <v/>
      </c>
    </row>
    <row r="879" spans="20:20">
      <c r="T879" s="26" t="str">
        <f t="shared" si="13"/>
        <v/>
      </c>
    </row>
    <row r="880" spans="20:20">
      <c r="T880" s="26" t="str">
        <f t="shared" si="13"/>
        <v/>
      </c>
    </row>
    <row r="881" spans="20:20">
      <c r="T881" s="26" t="str">
        <f t="shared" si="13"/>
        <v/>
      </c>
    </row>
    <row r="882" spans="20:20">
      <c r="T882" s="26" t="str">
        <f t="shared" si="13"/>
        <v/>
      </c>
    </row>
    <row r="883" spans="20:20">
      <c r="T883" s="26" t="str">
        <f t="shared" si="13"/>
        <v/>
      </c>
    </row>
    <row r="884" spans="20:20">
      <c r="T884" s="26" t="str">
        <f t="shared" si="13"/>
        <v/>
      </c>
    </row>
    <row r="885" spans="20:20">
      <c r="T885" s="26" t="str">
        <f t="shared" si="13"/>
        <v/>
      </c>
    </row>
    <row r="886" spans="20:20">
      <c r="T886" s="26" t="str">
        <f t="shared" si="13"/>
        <v/>
      </c>
    </row>
    <row r="887" spans="20:20">
      <c r="T887" s="26" t="str">
        <f t="shared" si="13"/>
        <v/>
      </c>
    </row>
    <row r="888" spans="20:20">
      <c r="T888" s="26" t="str">
        <f t="shared" si="13"/>
        <v/>
      </c>
    </row>
    <row r="889" spans="20:20">
      <c r="T889" s="26" t="str">
        <f t="shared" si="13"/>
        <v/>
      </c>
    </row>
    <row r="890" spans="20:20">
      <c r="T890" s="26" t="str">
        <f t="shared" si="13"/>
        <v/>
      </c>
    </row>
    <row r="891" spans="20:20">
      <c r="T891" s="26" t="str">
        <f t="shared" si="13"/>
        <v/>
      </c>
    </row>
    <row r="892" spans="20:20">
      <c r="T892" s="26" t="str">
        <f t="shared" si="13"/>
        <v/>
      </c>
    </row>
    <row r="893" spans="20:20">
      <c r="T893" s="26" t="str">
        <f t="shared" si="13"/>
        <v/>
      </c>
    </row>
    <row r="894" spans="20:20">
      <c r="T894" s="26" t="str">
        <f t="shared" si="13"/>
        <v/>
      </c>
    </row>
    <row r="895" spans="20:20">
      <c r="T895" s="26" t="str">
        <f t="shared" si="13"/>
        <v/>
      </c>
    </row>
    <row r="896" spans="20:20">
      <c r="T896" s="26" t="str">
        <f t="shared" si="13"/>
        <v/>
      </c>
    </row>
    <row r="897" spans="20:20">
      <c r="T897" s="26" t="str">
        <f t="shared" si="13"/>
        <v/>
      </c>
    </row>
    <row r="898" spans="20:20">
      <c r="T898" s="26" t="str">
        <f t="shared" si="13"/>
        <v/>
      </c>
    </row>
    <row r="899" spans="20:20">
      <c r="T899" s="26" t="str">
        <f t="shared" si="13"/>
        <v/>
      </c>
    </row>
    <row r="900" spans="20:20">
      <c r="T900" s="26" t="str">
        <f t="shared" si="13"/>
        <v/>
      </c>
    </row>
    <row r="901" spans="20:20">
      <c r="T901" s="26" t="str">
        <f t="shared" ref="T901:T964" si="14">U901&amp;V901</f>
        <v/>
      </c>
    </row>
    <row r="902" spans="20:20">
      <c r="T902" s="26" t="str">
        <f t="shared" si="14"/>
        <v/>
      </c>
    </row>
    <row r="903" spans="20:20">
      <c r="T903" s="26" t="str">
        <f t="shared" si="14"/>
        <v/>
      </c>
    </row>
    <row r="904" spans="20:20">
      <c r="T904" s="26" t="str">
        <f t="shared" si="14"/>
        <v/>
      </c>
    </row>
    <row r="905" spans="20:20">
      <c r="T905" s="26" t="str">
        <f t="shared" si="14"/>
        <v/>
      </c>
    </row>
    <row r="906" spans="20:20">
      <c r="T906" s="26" t="str">
        <f t="shared" si="14"/>
        <v/>
      </c>
    </row>
    <row r="907" spans="20:20">
      <c r="T907" s="26" t="str">
        <f t="shared" si="14"/>
        <v/>
      </c>
    </row>
    <row r="908" spans="20:20">
      <c r="T908" s="26" t="str">
        <f t="shared" si="14"/>
        <v/>
      </c>
    </row>
    <row r="909" spans="20:20">
      <c r="T909" s="26" t="str">
        <f t="shared" si="14"/>
        <v/>
      </c>
    </row>
    <row r="910" spans="20:20">
      <c r="T910" s="26" t="str">
        <f t="shared" si="14"/>
        <v/>
      </c>
    </row>
    <row r="911" spans="20:20">
      <c r="T911" s="26" t="str">
        <f t="shared" si="14"/>
        <v/>
      </c>
    </row>
    <row r="912" spans="20:20">
      <c r="T912" s="26" t="str">
        <f t="shared" si="14"/>
        <v/>
      </c>
    </row>
    <row r="913" spans="20:20">
      <c r="T913" s="26" t="str">
        <f t="shared" si="14"/>
        <v/>
      </c>
    </row>
    <row r="914" spans="20:20">
      <c r="T914" s="26" t="str">
        <f t="shared" si="14"/>
        <v/>
      </c>
    </row>
    <row r="915" spans="20:20">
      <c r="T915" s="26" t="str">
        <f t="shared" si="14"/>
        <v/>
      </c>
    </row>
    <row r="916" spans="20:20">
      <c r="T916" s="26" t="str">
        <f t="shared" si="14"/>
        <v/>
      </c>
    </row>
    <row r="917" spans="20:20">
      <c r="T917" s="26" t="str">
        <f t="shared" si="14"/>
        <v/>
      </c>
    </row>
    <row r="918" spans="20:20">
      <c r="T918" s="26" t="str">
        <f t="shared" si="14"/>
        <v/>
      </c>
    </row>
    <row r="919" spans="20:20">
      <c r="T919" s="26" t="str">
        <f t="shared" si="14"/>
        <v/>
      </c>
    </row>
    <row r="920" spans="20:20">
      <c r="T920" s="26" t="str">
        <f t="shared" si="14"/>
        <v/>
      </c>
    </row>
    <row r="921" spans="20:20">
      <c r="T921" s="26" t="str">
        <f t="shared" si="14"/>
        <v/>
      </c>
    </row>
    <row r="922" spans="20:20">
      <c r="T922" s="26" t="str">
        <f t="shared" si="14"/>
        <v/>
      </c>
    </row>
    <row r="923" spans="20:20">
      <c r="T923" s="26" t="str">
        <f t="shared" si="14"/>
        <v/>
      </c>
    </row>
    <row r="924" spans="20:20">
      <c r="T924" s="26" t="str">
        <f t="shared" si="14"/>
        <v/>
      </c>
    </row>
    <row r="925" spans="20:20">
      <c r="T925" s="26" t="str">
        <f t="shared" si="14"/>
        <v/>
      </c>
    </row>
    <row r="926" spans="20:20">
      <c r="T926" s="26" t="str">
        <f t="shared" si="14"/>
        <v/>
      </c>
    </row>
    <row r="927" spans="20:20">
      <c r="T927" s="26" t="str">
        <f t="shared" si="14"/>
        <v/>
      </c>
    </row>
    <row r="928" spans="20:20">
      <c r="T928" s="26" t="str">
        <f t="shared" si="14"/>
        <v/>
      </c>
    </row>
    <row r="929" spans="20:20">
      <c r="T929" s="26" t="str">
        <f t="shared" si="14"/>
        <v/>
      </c>
    </row>
    <row r="930" spans="20:20">
      <c r="T930" s="26" t="str">
        <f t="shared" si="14"/>
        <v/>
      </c>
    </row>
    <row r="931" spans="20:20">
      <c r="T931" s="26" t="str">
        <f t="shared" si="14"/>
        <v/>
      </c>
    </row>
    <row r="932" spans="20:20">
      <c r="T932" s="26" t="str">
        <f t="shared" si="14"/>
        <v/>
      </c>
    </row>
    <row r="933" spans="20:20">
      <c r="T933" s="26" t="str">
        <f t="shared" si="14"/>
        <v/>
      </c>
    </row>
    <row r="934" spans="20:20">
      <c r="T934" s="26" t="str">
        <f t="shared" si="14"/>
        <v/>
      </c>
    </row>
    <row r="935" spans="20:20">
      <c r="T935" s="26" t="str">
        <f t="shared" si="14"/>
        <v/>
      </c>
    </row>
    <row r="936" spans="20:20">
      <c r="T936" s="26" t="str">
        <f t="shared" si="14"/>
        <v/>
      </c>
    </row>
    <row r="937" spans="20:20">
      <c r="T937" s="26" t="str">
        <f t="shared" si="14"/>
        <v/>
      </c>
    </row>
    <row r="938" spans="20:20">
      <c r="T938" s="26" t="str">
        <f t="shared" si="14"/>
        <v/>
      </c>
    </row>
    <row r="939" spans="20:20">
      <c r="T939" s="26" t="str">
        <f t="shared" si="14"/>
        <v/>
      </c>
    </row>
    <row r="940" spans="20:20">
      <c r="T940" s="26" t="str">
        <f t="shared" si="14"/>
        <v/>
      </c>
    </row>
    <row r="941" spans="20:20">
      <c r="T941" s="26" t="str">
        <f t="shared" si="14"/>
        <v/>
      </c>
    </row>
    <row r="942" spans="20:20">
      <c r="T942" s="26" t="str">
        <f t="shared" si="14"/>
        <v/>
      </c>
    </row>
    <row r="943" spans="20:20">
      <c r="T943" s="26" t="str">
        <f t="shared" si="14"/>
        <v/>
      </c>
    </row>
    <row r="944" spans="20:20">
      <c r="T944" s="26" t="str">
        <f t="shared" si="14"/>
        <v/>
      </c>
    </row>
    <row r="945" spans="20:20">
      <c r="T945" s="26" t="str">
        <f t="shared" si="14"/>
        <v/>
      </c>
    </row>
    <row r="946" spans="20:20">
      <c r="T946" s="26" t="str">
        <f t="shared" si="14"/>
        <v/>
      </c>
    </row>
    <row r="947" spans="20:20">
      <c r="T947" s="26" t="str">
        <f t="shared" si="14"/>
        <v/>
      </c>
    </row>
    <row r="948" spans="20:20">
      <c r="T948" s="26" t="str">
        <f t="shared" si="14"/>
        <v/>
      </c>
    </row>
    <row r="949" spans="20:20">
      <c r="T949" s="26" t="str">
        <f t="shared" si="14"/>
        <v/>
      </c>
    </row>
    <row r="950" spans="20:20">
      <c r="T950" s="26" t="str">
        <f t="shared" si="14"/>
        <v/>
      </c>
    </row>
    <row r="951" spans="20:20">
      <c r="T951" s="26" t="str">
        <f t="shared" si="14"/>
        <v/>
      </c>
    </row>
    <row r="952" spans="20:20">
      <c r="T952" s="26" t="str">
        <f t="shared" si="14"/>
        <v/>
      </c>
    </row>
    <row r="953" spans="20:20">
      <c r="T953" s="26" t="str">
        <f t="shared" si="14"/>
        <v/>
      </c>
    </row>
    <row r="954" spans="20:20">
      <c r="T954" s="26" t="str">
        <f t="shared" si="14"/>
        <v/>
      </c>
    </row>
    <row r="955" spans="20:20">
      <c r="T955" s="26" t="str">
        <f t="shared" si="14"/>
        <v/>
      </c>
    </row>
    <row r="956" spans="20:20">
      <c r="T956" s="26" t="str">
        <f t="shared" si="14"/>
        <v/>
      </c>
    </row>
    <row r="957" spans="20:20">
      <c r="T957" s="26" t="str">
        <f t="shared" si="14"/>
        <v/>
      </c>
    </row>
    <row r="958" spans="20:20">
      <c r="T958" s="26" t="str">
        <f t="shared" si="14"/>
        <v/>
      </c>
    </row>
    <row r="959" spans="20:20">
      <c r="T959" s="26" t="str">
        <f t="shared" si="14"/>
        <v/>
      </c>
    </row>
    <row r="960" spans="20:20">
      <c r="T960" s="26" t="str">
        <f t="shared" si="14"/>
        <v/>
      </c>
    </row>
    <row r="961" spans="20:20">
      <c r="T961" s="26" t="str">
        <f t="shared" si="14"/>
        <v/>
      </c>
    </row>
    <row r="962" spans="20:20">
      <c r="T962" s="26" t="str">
        <f t="shared" si="14"/>
        <v/>
      </c>
    </row>
    <row r="963" spans="20:20">
      <c r="T963" s="26" t="str">
        <f t="shared" si="14"/>
        <v/>
      </c>
    </row>
    <row r="964" spans="20:20">
      <c r="T964" s="26" t="str">
        <f t="shared" si="14"/>
        <v/>
      </c>
    </row>
    <row r="965" spans="20:20">
      <c r="T965" s="26" t="str">
        <f t="shared" ref="T965:T1028" si="15">U965&amp;V965</f>
        <v/>
      </c>
    </row>
    <row r="966" spans="20:20">
      <c r="T966" s="26" t="str">
        <f t="shared" si="15"/>
        <v/>
      </c>
    </row>
    <row r="967" spans="20:20">
      <c r="T967" s="26" t="str">
        <f t="shared" si="15"/>
        <v/>
      </c>
    </row>
    <row r="968" spans="20:20">
      <c r="T968" s="26" t="str">
        <f t="shared" si="15"/>
        <v/>
      </c>
    </row>
    <row r="969" spans="20:20">
      <c r="T969" s="26" t="str">
        <f t="shared" si="15"/>
        <v/>
      </c>
    </row>
    <row r="970" spans="20:20">
      <c r="T970" s="26" t="str">
        <f t="shared" si="15"/>
        <v/>
      </c>
    </row>
    <row r="971" spans="20:20">
      <c r="T971" s="26" t="str">
        <f t="shared" si="15"/>
        <v/>
      </c>
    </row>
    <row r="972" spans="20:20">
      <c r="T972" s="26" t="str">
        <f t="shared" si="15"/>
        <v/>
      </c>
    </row>
    <row r="973" spans="20:20">
      <c r="T973" s="26" t="str">
        <f t="shared" si="15"/>
        <v/>
      </c>
    </row>
    <row r="974" spans="20:20">
      <c r="T974" s="26" t="str">
        <f t="shared" si="15"/>
        <v/>
      </c>
    </row>
    <row r="975" spans="20:20">
      <c r="T975" s="26" t="str">
        <f t="shared" si="15"/>
        <v/>
      </c>
    </row>
    <row r="976" spans="20:20">
      <c r="T976" s="26" t="str">
        <f t="shared" si="15"/>
        <v/>
      </c>
    </row>
    <row r="977" spans="20:20">
      <c r="T977" s="26" t="str">
        <f t="shared" si="15"/>
        <v/>
      </c>
    </row>
    <row r="978" spans="20:20">
      <c r="T978" s="26" t="str">
        <f t="shared" si="15"/>
        <v/>
      </c>
    </row>
    <row r="979" spans="20:20">
      <c r="T979" s="26" t="str">
        <f t="shared" si="15"/>
        <v/>
      </c>
    </row>
    <row r="980" spans="20:20">
      <c r="T980" s="26" t="str">
        <f t="shared" si="15"/>
        <v/>
      </c>
    </row>
    <row r="981" spans="20:20">
      <c r="T981" s="26" t="str">
        <f t="shared" si="15"/>
        <v/>
      </c>
    </row>
    <row r="982" spans="20:20">
      <c r="T982" s="26" t="str">
        <f t="shared" si="15"/>
        <v/>
      </c>
    </row>
    <row r="983" spans="20:20">
      <c r="T983" s="26" t="str">
        <f t="shared" si="15"/>
        <v/>
      </c>
    </row>
    <row r="984" spans="20:20">
      <c r="T984" s="26" t="str">
        <f t="shared" si="15"/>
        <v/>
      </c>
    </row>
    <row r="985" spans="20:20">
      <c r="T985" s="26" t="str">
        <f t="shared" si="15"/>
        <v/>
      </c>
    </row>
    <row r="986" spans="20:20">
      <c r="T986" s="26" t="str">
        <f t="shared" si="15"/>
        <v/>
      </c>
    </row>
    <row r="987" spans="20:20">
      <c r="T987" s="26" t="str">
        <f t="shared" si="15"/>
        <v/>
      </c>
    </row>
    <row r="988" spans="20:20">
      <c r="T988" s="26" t="str">
        <f t="shared" si="15"/>
        <v/>
      </c>
    </row>
    <row r="989" spans="20:20">
      <c r="T989" s="26" t="str">
        <f t="shared" si="15"/>
        <v/>
      </c>
    </row>
    <row r="990" spans="20:20">
      <c r="T990" s="26" t="str">
        <f t="shared" si="15"/>
        <v/>
      </c>
    </row>
    <row r="991" spans="20:20">
      <c r="T991" s="26" t="str">
        <f t="shared" si="15"/>
        <v/>
      </c>
    </row>
    <row r="992" spans="20:20">
      <c r="T992" s="26" t="str">
        <f t="shared" si="15"/>
        <v/>
      </c>
    </row>
    <row r="993" spans="20:20">
      <c r="T993" s="26" t="str">
        <f t="shared" si="15"/>
        <v/>
      </c>
    </row>
    <row r="994" spans="20:20">
      <c r="T994" s="26" t="str">
        <f t="shared" si="15"/>
        <v/>
      </c>
    </row>
    <row r="995" spans="20:20">
      <c r="T995" s="26" t="str">
        <f t="shared" si="15"/>
        <v/>
      </c>
    </row>
    <row r="996" spans="20:20">
      <c r="T996" s="26" t="str">
        <f t="shared" si="15"/>
        <v/>
      </c>
    </row>
    <row r="997" spans="20:20">
      <c r="T997" s="26" t="str">
        <f t="shared" si="15"/>
        <v/>
      </c>
    </row>
    <row r="998" spans="20:20">
      <c r="T998" s="26" t="str">
        <f t="shared" si="15"/>
        <v/>
      </c>
    </row>
    <row r="999" spans="20:20">
      <c r="T999" s="26" t="str">
        <f t="shared" si="15"/>
        <v/>
      </c>
    </row>
    <row r="1000" spans="20:20">
      <c r="T1000" s="26" t="str">
        <f t="shared" si="15"/>
        <v/>
      </c>
    </row>
    <row r="1001" spans="20:20">
      <c r="T1001" s="26" t="str">
        <f t="shared" si="15"/>
        <v/>
      </c>
    </row>
    <row r="1002" spans="20:20">
      <c r="T1002" s="26" t="str">
        <f t="shared" si="15"/>
        <v/>
      </c>
    </row>
    <row r="1003" spans="20:20">
      <c r="T1003" s="26" t="str">
        <f t="shared" si="15"/>
        <v/>
      </c>
    </row>
    <row r="1004" spans="20:20">
      <c r="T1004" s="26" t="str">
        <f t="shared" si="15"/>
        <v/>
      </c>
    </row>
    <row r="1005" spans="20:20">
      <c r="T1005" s="26" t="str">
        <f t="shared" si="15"/>
        <v/>
      </c>
    </row>
    <row r="1006" spans="20:20">
      <c r="T1006" s="26" t="str">
        <f t="shared" si="15"/>
        <v/>
      </c>
    </row>
    <row r="1007" spans="20:20">
      <c r="T1007" s="26" t="str">
        <f t="shared" si="15"/>
        <v/>
      </c>
    </row>
    <row r="1008" spans="20:20">
      <c r="T1008" s="26" t="str">
        <f t="shared" si="15"/>
        <v/>
      </c>
    </row>
    <row r="1009" spans="20:20">
      <c r="T1009" s="26" t="str">
        <f t="shared" si="15"/>
        <v/>
      </c>
    </row>
    <row r="1010" spans="20:20">
      <c r="T1010" s="26" t="str">
        <f t="shared" si="15"/>
        <v/>
      </c>
    </row>
    <row r="1011" spans="20:20">
      <c r="T1011" s="26" t="str">
        <f t="shared" si="15"/>
        <v/>
      </c>
    </row>
    <row r="1012" spans="20:20">
      <c r="T1012" s="26" t="str">
        <f t="shared" si="15"/>
        <v/>
      </c>
    </row>
    <row r="1013" spans="20:20">
      <c r="T1013" s="26" t="str">
        <f t="shared" si="15"/>
        <v/>
      </c>
    </row>
    <row r="1014" spans="20:20">
      <c r="T1014" s="26" t="str">
        <f t="shared" si="15"/>
        <v/>
      </c>
    </row>
    <row r="1015" spans="20:20">
      <c r="T1015" s="26" t="str">
        <f t="shared" si="15"/>
        <v/>
      </c>
    </row>
    <row r="1016" spans="20:20">
      <c r="T1016" s="26" t="str">
        <f t="shared" si="15"/>
        <v/>
      </c>
    </row>
    <row r="1017" spans="20:20">
      <c r="T1017" s="26" t="str">
        <f t="shared" si="15"/>
        <v/>
      </c>
    </row>
    <row r="1018" spans="20:20">
      <c r="T1018" s="26" t="str">
        <f t="shared" si="15"/>
        <v/>
      </c>
    </row>
    <row r="1019" spans="20:20">
      <c r="T1019" s="26" t="str">
        <f t="shared" si="15"/>
        <v/>
      </c>
    </row>
    <row r="1020" spans="20:20">
      <c r="T1020" s="26" t="str">
        <f t="shared" si="15"/>
        <v/>
      </c>
    </row>
    <row r="1021" spans="20:20">
      <c r="T1021" s="26" t="str">
        <f t="shared" si="15"/>
        <v/>
      </c>
    </row>
    <row r="1022" spans="20:20">
      <c r="T1022" s="26" t="str">
        <f t="shared" si="15"/>
        <v/>
      </c>
    </row>
    <row r="1023" spans="20:20">
      <c r="T1023" s="26" t="str">
        <f t="shared" si="15"/>
        <v/>
      </c>
    </row>
    <row r="1024" spans="20:20">
      <c r="T1024" s="26" t="str">
        <f t="shared" si="15"/>
        <v/>
      </c>
    </row>
    <row r="1025" spans="20:20">
      <c r="T1025" s="26" t="str">
        <f t="shared" si="15"/>
        <v/>
      </c>
    </row>
    <row r="1026" spans="20:20">
      <c r="T1026" s="26" t="str">
        <f t="shared" si="15"/>
        <v/>
      </c>
    </row>
    <row r="1027" spans="20:20">
      <c r="T1027" s="26" t="str">
        <f t="shared" si="15"/>
        <v/>
      </c>
    </row>
    <row r="1028" spans="20:20">
      <c r="T1028" s="26" t="str">
        <f t="shared" si="15"/>
        <v/>
      </c>
    </row>
    <row r="1029" spans="20:20">
      <c r="T1029" s="26" t="str">
        <f t="shared" ref="T1029:T1092" si="16">U1029&amp;V1029</f>
        <v/>
      </c>
    </row>
    <row r="1030" spans="20:20">
      <c r="T1030" s="26" t="str">
        <f t="shared" si="16"/>
        <v/>
      </c>
    </row>
    <row r="1031" spans="20:20">
      <c r="T1031" s="26" t="str">
        <f t="shared" si="16"/>
        <v/>
      </c>
    </row>
    <row r="1032" spans="20:20">
      <c r="T1032" s="26" t="str">
        <f t="shared" si="16"/>
        <v/>
      </c>
    </row>
    <row r="1033" spans="20:20">
      <c r="T1033" s="26" t="str">
        <f t="shared" si="16"/>
        <v/>
      </c>
    </row>
    <row r="1034" spans="20:20">
      <c r="T1034" s="26" t="str">
        <f t="shared" si="16"/>
        <v/>
      </c>
    </row>
    <row r="1035" spans="20:20">
      <c r="T1035" s="26" t="str">
        <f t="shared" si="16"/>
        <v/>
      </c>
    </row>
    <row r="1036" spans="20:20">
      <c r="T1036" s="26" t="str">
        <f t="shared" si="16"/>
        <v/>
      </c>
    </row>
    <row r="1037" spans="20:20">
      <c r="T1037" s="26" t="str">
        <f t="shared" si="16"/>
        <v/>
      </c>
    </row>
    <row r="1038" spans="20:20">
      <c r="T1038" s="26" t="str">
        <f t="shared" si="16"/>
        <v/>
      </c>
    </row>
    <row r="1039" spans="20:20">
      <c r="T1039" s="26" t="str">
        <f t="shared" si="16"/>
        <v/>
      </c>
    </row>
    <row r="1040" spans="20:20">
      <c r="T1040" s="26" t="str">
        <f t="shared" si="16"/>
        <v/>
      </c>
    </row>
    <row r="1041" spans="20:20">
      <c r="T1041" s="26" t="str">
        <f t="shared" si="16"/>
        <v/>
      </c>
    </row>
    <row r="1042" spans="20:20">
      <c r="T1042" s="26" t="str">
        <f t="shared" si="16"/>
        <v/>
      </c>
    </row>
    <row r="1043" spans="20:20">
      <c r="T1043" s="26" t="str">
        <f t="shared" si="16"/>
        <v/>
      </c>
    </row>
    <row r="1044" spans="20:20">
      <c r="T1044" s="26" t="str">
        <f t="shared" si="16"/>
        <v/>
      </c>
    </row>
    <row r="1045" spans="20:20">
      <c r="T1045" s="26" t="str">
        <f t="shared" si="16"/>
        <v/>
      </c>
    </row>
    <row r="1046" spans="20:20">
      <c r="T1046" s="26" t="str">
        <f t="shared" si="16"/>
        <v/>
      </c>
    </row>
    <row r="1047" spans="20:20">
      <c r="T1047" s="26" t="str">
        <f t="shared" si="16"/>
        <v/>
      </c>
    </row>
    <row r="1048" spans="20:20">
      <c r="T1048" s="26" t="str">
        <f t="shared" si="16"/>
        <v/>
      </c>
    </row>
    <row r="1049" spans="20:20">
      <c r="T1049" s="26" t="str">
        <f t="shared" si="16"/>
        <v/>
      </c>
    </row>
    <row r="1050" spans="20:20">
      <c r="T1050" s="26" t="str">
        <f t="shared" si="16"/>
        <v/>
      </c>
    </row>
    <row r="1051" spans="20:20">
      <c r="T1051" s="26" t="str">
        <f t="shared" si="16"/>
        <v/>
      </c>
    </row>
    <row r="1052" spans="20:20">
      <c r="T1052" s="26" t="str">
        <f t="shared" si="16"/>
        <v/>
      </c>
    </row>
    <row r="1053" spans="20:20">
      <c r="T1053" s="26" t="str">
        <f t="shared" si="16"/>
        <v/>
      </c>
    </row>
    <row r="1054" spans="20:20">
      <c r="T1054" s="26" t="str">
        <f t="shared" si="16"/>
        <v/>
      </c>
    </row>
    <row r="1055" spans="20:20">
      <c r="T1055" s="26" t="str">
        <f t="shared" si="16"/>
        <v/>
      </c>
    </row>
    <row r="1056" spans="20:20">
      <c r="T1056" s="26" t="str">
        <f t="shared" si="16"/>
        <v/>
      </c>
    </row>
    <row r="1057" spans="20:20">
      <c r="T1057" s="26" t="str">
        <f t="shared" si="16"/>
        <v/>
      </c>
    </row>
    <row r="1058" spans="20:20">
      <c r="T1058" s="26" t="str">
        <f t="shared" si="16"/>
        <v/>
      </c>
    </row>
    <row r="1059" spans="20:20">
      <c r="T1059" s="26" t="str">
        <f t="shared" si="16"/>
        <v/>
      </c>
    </row>
    <row r="1060" spans="20:20">
      <c r="T1060" s="26" t="str">
        <f t="shared" si="16"/>
        <v/>
      </c>
    </row>
    <row r="1061" spans="20:20">
      <c r="T1061" s="26" t="str">
        <f t="shared" si="16"/>
        <v/>
      </c>
    </row>
    <row r="1062" spans="20:20">
      <c r="T1062" s="26" t="str">
        <f t="shared" si="16"/>
        <v/>
      </c>
    </row>
    <row r="1063" spans="20:20">
      <c r="T1063" s="26" t="str">
        <f t="shared" si="16"/>
        <v/>
      </c>
    </row>
    <row r="1064" spans="20:20">
      <c r="T1064" s="26" t="str">
        <f t="shared" si="16"/>
        <v/>
      </c>
    </row>
    <row r="1065" spans="20:20">
      <c r="T1065" s="26" t="str">
        <f t="shared" si="16"/>
        <v/>
      </c>
    </row>
    <row r="1066" spans="20:20">
      <c r="T1066" s="26" t="str">
        <f t="shared" si="16"/>
        <v/>
      </c>
    </row>
    <row r="1067" spans="20:20">
      <c r="T1067" s="26" t="str">
        <f t="shared" si="16"/>
        <v/>
      </c>
    </row>
    <row r="1068" spans="20:20">
      <c r="T1068" s="26" t="str">
        <f t="shared" si="16"/>
        <v/>
      </c>
    </row>
    <row r="1069" spans="20:20">
      <c r="T1069" s="26" t="str">
        <f t="shared" si="16"/>
        <v/>
      </c>
    </row>
    <row r="1070" spans="20:20">
      <c r="T1070" s="26" t="str">
        <f t="shared" si="16"/>
        <v/>
      </c>
    </row>
    <row r="1071" spans="20:20">
      <c r="T1071" s="26" t="str">
        <f t="shared" si="16"/>
        <v/>
      </c>
    </row>
    <row r="1072" spans="20:20">
      <c r="T1072" s="26" t="str">
        <f t="shared" si="16"/>
        <v/>
      </c>
    </row>
    <row r="1073" spans="20:20">
      <c r="T1073" s="26" t="str">
        <f t="shared" si="16"/>
        <v/>
      </c>
    </row>
    <row r="1074" spans="20:20">
      <c r="T1074" s="26" t="str">
        <f t="shared" si="16"/>
        <v/>
      </c>
    </row>
    <row r="1075" spans="20:20">
      <c r="T1075" s="26" t="str">
        <f t="shared" si="16"/>
        <v/>
      </c>
    </row>
    <row r="1076" spans="20:20">
      <c r="T1076" s="26" t="str">
        <f t="shared" si="16"/>
        <v/>
      </c>
    </row>
    <row r="1077" spans="20:20">
      <c r="T1077" s="26" t="str">
        <f t="shared" si="16"/>
        <v/>
      </c>
    </row>
    <row r="1078" spans="20:20">
      <c r="T1078" s="26" t="str">
        <f t="shared" si="16"/>
        <v/>
      </c>
    </row>
    <row r="1079" spans="20:20">
      <c r="T1079" s="26" t="str">
        <f t="shared" si="16"/>
        <v/>
      </c>
    </row>
    <row r="1080" spans="20:20">
      <c r="T1080" s="26" t="str">
        <f t="shared" si="16"/>
        <v/>
      </c>
    </row>
    <row r="1081" spans="20:20">
      <c r="T1081" s="26" t="str">
        <f t="shared" si="16"/>
        <v/>
      </c>
    </row>
    <row r="1082" spans="20:20">
      <c r="T1082" s="26" t="str">
        <f t="shared" si="16"/>
        <v/>
      </c>
    </row>
    <row r="1083" spans="20:20">
      <c r="T1083" s="26" t="str">
        <f t="shared" si="16"/>
        <v/>
      </c>
    </row>
    <row r="1084" spans="20:20">
      <c r="T1084" s="26" t="str">
        <f t="shared" si="16"/>
        <v/>
      </c>
    </row>
    <row r="1085" spans="20:20">
      <c r="T1085" s="26" t="str">
        <f t="shared" si="16"/>
        <v/>
      </c>
    </row>
    <row r="1086" spans="20:20">
      <c r="T1086" s="26" t="str">
        <f t="shared" si="16"/>
        <v/>
      </c>
    </row>
    <row r="1087" spans="20:20">
      <c r="T1087" s="26" t="str">
        <f t="shared" si="16"/>
        <v/>
      </c>
    </row>
    <row r="1088" spans="20:20">
      <c r="T1088" s="26" t="str">
        <f t="shared" si="16"/>
        <v/>
      </c>
    </row>
    <row r="1089" spans="20:20">
      <c r="T1089" s="26" t="str">
        <f t="shared" si="16"/>
        <v/>
      </c>
    </row>
    <row r="1090" spans="20:20">
      <c r="T1090" s="26" t="str">
        <f t="shared" si="16"/>
        <v/>
      </c>
    </row>
    <row r="1091" spans="20:20">
      <c r="T1091" s="26" t="str">
        <f t="shared" si="16"/>
        <v/>
      </c>
    </row>
    <row r="1092" spans="20:20">
      <c r="T1092" s="26" t="str">
        <f t="shared" si="16"/>
        <v/>
      </c>
    </row>
    <row r="1093" spans="20:20">
      <c r="T1093" s="26" t="str">
        <f t="shared" ref="T1093:T1156" si="17">U1093&amp;V1093</f>
        <v/>
      </c>
    </row>
    <row r="1094" spans="20:20">
      <c r="T1094" s="26" t="str">
        <f t="shared" si="17"/>
        <v/>
      </c>
    </row>
    <row r="1095" spans="20:20">
      <c r="T1095" s="26" t="str">
        <f t="shared" si="17"/>
        <v/>
      </c>
    </row>
    <row r="1096" spans="20:20">
      <c r="T1096" s="26" t="str">
        <f t="shared" si="17"/>
        <v/>
      </c>
    </row>
    <row r="1097" spans="20:20">
      <c r="T1097" s="26" t="str">
        <f t="shared" si="17"/>
        <v/>
      </c>
    </row>
    <row r="1098" spans="20:20">
      <c r="T1098" s="26" t="str">
        <f t="shared" si="17"/>
        <v/>
      </c>
    </row>
    <row r="1099" spans="20:20">
      <c r="T1099" s="26" t="str">
        <f t="shared" si="17"/>
        <v/>
      </c>
    </row>
    <row r="1100" spans="20:20">
      <c r="T1100" s="26" t="str">
        <f t="shared" si="17"/>
        <v/>
      </c>
    </row>
    <row r="1101" spans="20:20">
      <c r="T1101" s="26" t="str">
        <f t="shared" si="17"/>
        <v/>
      </c>
    </row>
    <row r="1102" spans="20:20">
      <c r="T1102" s="26" t="str">
        <f t="shared" si="17"/>
        <v/>
      </c>
    </row>
    <row r="1103" spans="20:20">
      <c r="T1103" s="26" t="str">
        <f t="shared" si="17"/>
        <v/>
      </c>
    </row>
    <row r="1104" spans="20:20">
      <c r="T1104" s="26" t="str">
        <f t="shared" si="17"/>
        <v/>
      </c>
    </row>
    <row r="1105" spans="20:20">
      <c r="T1105" s="26" t="str">
        <f t="shared" si="17"/>
        <v/>
      </c>
    </row>
    <row r="1106" spans="20:20">
      <c r="T1106" s="26" t="str">
        <f t="shared" si="17"/>
        <v/>
      </c>
    </row>
    <row r="1107" spans="20:20">
      <c r="T1107" s="26" t="str">
        <f t="shared" si="17"/>
        <v/>
      </c>
    </row>
    <row r="1108" spans="20:20">
      <c r="T1108" s="26" t="str">
        <f t="shared" si="17"/>
        <v/>
      </c>
    </row>
    <row r="1109" spans="20:20">
      <c r="T1109" s="26" t="str">
        <f t="shared" si="17"/>
        <v/>
      </c>
    </row>
    <row r="1110" spans="20:20">
      <c r="T1110" s="26" t="str">
        <f t="shared" si="17"/>
        <v/>
      </c>
    </row>
    <row r="1111" spans="20:20">
      <c r="T1111" s="26" t="str">
        <f t="shared" si="17"/>
        <v/>
      </c>
    </row>
    <row r="1112" spans="20:20">
      <c r="T1112" s="26" t="str">
        <f t="shared" si="17"/>
        <v/>
      </c>
    </row>
    <row r="1113" spans="20:20">
      <c r="T1113" s="26" t="str">
        <f t="shared" si="17"/>
        <v/>
      </c>
    </row>
    <row r="1114" spans="20:20">
      <c r="T1114" s="26" t="str">
        <f t="shared" si="17"/>
        <v/>
      </c>
    </row>
    <row r="1115" spans="20:20">
      <c r="T1115" s="26" t="str">
        <f t="shared" si="17"/>
        <v/>
      </c>
    </row>
    <row r="1116" spans="20:20">
      <c r="T1116" s="26" t="str">
        <f t="shared" si="17"/>
        <v/>
      </c>
    </row>
    <row r="1117" spans="20:20">
      <c r="T1117" s="26" t="str">
        <f t="shared" si="17"/>
        <v/>
      </c>
    </row>
    <row r="1118" spans="20:20">
      <c r="T1118" s="26" t="str">
        <f t="shared" si="17"/>
        <v/>
      </c>
    </row>
    <row r="1119" spans="20:20">
      <c r="T1119" s="26" t="str">
        <f t="shared" si="17"/>
        <v/>
      </c>
    </row>
    <row r="1120" spans="20:20">
      <c r="T1120" s="26" t="str">
        <f t="shared" si="17"/>
        <v/>
      </c>
    </row>
    <row r="1121" spans="20:20">
      <c r="T1121" s="26" t="str">
        <f t="shared" si="17"/>
        <v/>
      </c>
    </row>
    <row r="1122" spans="20:20">
      <c r="T1122" s="26" t="str">
        <f t="shared" si="17"/>
        <v/>
      </c>
    </row>
    <row r="1123" spans="20:20">
      <c r="T1123" s="26" t="str">
        <f t="shared" si="17"/>
        <v/>
      </c>
    </row>
    <row r="1124" spans="20:20">
      <c r="T1124" s="26" t="str">
        <f t="shared" si="17"/>
        <v/>
      </c>
    </row>
    <row r="1125" spans="20:20">
      <c r="T1125" s="26" t="str">
        <f t="shared" si="17"/>
        <v/>
      </c>
    </row>
    <row r="1126" spans="20:20">
      <c r="T1126" s="26" t="str">
        <f t="shared" si="17"/>
        <v/>
      </c>
    </row>
    <row r="1127" spans="20:20">
      <c r="T1127" s="26" t="str">
        <f t="shared" si="17"/>
        <v/>
      </c>
    </row>
    <row r="1128" spans="20:20">
      <c r="T1128" s="26" t="str">
        <f t="shared" si="17"/>
        <v/>
      </c>
    </row>
    <row r="1129" spans="20:20">
      <c r="T1129" s="26" t="str">
        <f t="shared" si="17"/>
        <v/>
      </c>
    </row>
    <row r="1130" spans="20:20">
      <c r="T1130" s="26" t="str">
        <f t="shared" si="17"/>
        <v/>
      </c>
    </row>
    <row r="1131" spans="20:20">
      <c r="T1131" s="26" t="str">
        <f t="shared" si="17"/>
        <v/>
      </c>
    </row>
    <row r="1132" spans="20:20">
      <c r="T1132" s="26" t="str">
        <f t="shared" si="17"/>
        <v/>
      </c>
    </row>
    <row r="1133" spans="20:20">
      <c r="T1133" s="26" t="str">
        <f t="shared" si="17"/>
        <v/>
      </c>
    </row>
    <row r="1134" spans="20:20">
      <c r="T1134" s="26" t="str">
        <f t="shared" si="17"/>
        <v/>
      </c>
    </row>
    <row r="1135" spans="20:20">
      <c r="T1135" s="26" t="str">
        <f t="shared" si="17"/>
        <v/>
      </c>
    </row>
    <row r="1136" spans="20:20">
      <c r="T1136" s="26" t="str">
        <f t="shared" si="17"/>
        <v/>
      </c>
    </row>
    <row r="1137" spans="20:20">
      <c r="T1137" s="26" t="str">
        <f t="shared" si="17"/>
        <v/>
      </c>
    </row>
    <row r="1138" spans="20:20">
      <c r="T1138" s="26" t="str">
        <f t="shared" si="17"/>
        <v/>
      </c>
    </row>
    <row r="1139" spans="20:20">
      <c r="T1139" s="26" t="str">
        <f t="shared" si="17"/>
        <v/>
      </c>
    </row>
    <row r="1140" spans="20:20">
      <c r="T1140" s="26" t="str">
        <f t="shared" si="17"/>
        <v/>
      </c>
    </row>
    <row r="1141" spans="20:20">
      <c r="T1141" s="26" t="str">
        <f t="shared" si="17"/>
        <v/>
      </c>
    </row>
    <row r="1142" spans="20:20">
      <c r="T1142" s="26" t="str">
        <f t="shared" si="17"/>
        <v/>
      </c>
    </row>
    <row r="1143" spans="20:20">
      <c r="T1143" s="26" t="str">
        <f t="shared" si="17"/>
        <v/>
      </c>
    </row>
    <row r="1144" spans="20:20">
      <c r="T1144" s="26" t="str">
        <f t="shared" si="17"/>
        <v/>
      </c>
    </row>
    <row r="1145" spans="20:20">
      <c r="T1145" s="26" t="str">
        <f t="shared" si="17"/>
        <v/>
      </c>
    </row>
    <row r="1146" spans="20:20">
      <c r="T1146" s="26" t="str">
        <f t="shared" si="17"/>
        <v/>
      </c>
    </row>
    <row r="1147" spans="20:20">
      <c r="T1147" s="26" t="str">
        <f t="shared" si="17"/>
        <v/>
      </c>
    </row>
    <row r="1148" spans="20:20">
      <c r="T1148" s="26" t="str">
        <f t="shared" si="17"/>
        <v/>
      </c>
    </row>
    <row r="1149" spans="20:20">
      <c r="T1149" s="26" t="str">
        <f t="shared" si="17"/>
        <v/>
      </c>
    </row>
    <row r="1150" spans="20:20">
      <c r="T1150" s="26" t="str">
        <f t="shared" si="17"/>
        <v/>
      </c>
    </row>
    <row r="1151" spans="20:20">
      <c r="T1151" s="26" t="str">
        <f t="shared" si="17"/>
        <v/>
      </c>
    </row>
    <row r="1152" spans="20:20">
      <c r="T1152" s="26" t="str">
        <f t="shared" si="17"/>
        <v/>
      </c>
    </row>
    <row r="1153" spans="20:20">
      <c r="T1153" s="26" t="str">
        <f t="shared" si="17"/>
        <v/>
      </c>
    </row>
    <row r="1154" spans="20:20">
      <c r="T1154" s="26" t="str">
        <f t="shared" si="17"/>
        <v/>
      </c>
    </row>
    <row r="1155" spans="20:20">
      <c r="T1155" s="26" t="str">
        <f t="shared" si="17"/>
        <v/>
      </c>
    </row>
    <row r="1156" spans="20:20">
      <c r="T1156" s="26" t="str">
        <f t="shared" si="17"/>
        <v/>
      </c>
    </row>
    <row r="1157" spans="20:20">
      <c r="T1157" s="26" t="str">
        <f t="shared" ref="T1157:T1220" si="18">U1157&amp;V1157</f>
        <v/>
      </c>
    </row>
    <row r="1158" spans="20:20">
      <c r="T1158" s="26" t="str">
        <f t="shared" si="18"/>
        <v/>
      </c>
    </row>
    <row r="1159" spans="20:20">
      <c r="T1159" s="26" t="str">
        <f t="shared" si="18"/>
        <v/>
      </c>
    </row>
    <row r="1160" spans="20:20">
      <c r="T1160" s="26" t="str">
        <f t="shared" si="18"/>
        <v/>
      </c>
    </row>
    <row r="1161" spans="20:20">
      <c r="T1161" s="26" t="str">
        <f t="shared" si="18"/>
        <v/>
      </c>
    </row>
    <row r="1162" spans="20:20">
      <c r="T1162" s="26" t="str">
        <f t="shared" si="18"/>
        <v/>
      </c>
    </row>
    <row r="1163" spans="20:20">
      <c r="T1163" s="26" t="str">
        <f t="shared" si="18"/>
        <v/>
      </c>
    </row>
    <row r="1164" spans="20:20">
      <c r="T1164" s="26" t="str">
        <f t="shared" si="18"/>
        <v/>
      </c>
    </row>
    <row r="1165" spans="20:20">
      <c r="T1165" s="26" t="str">
        <f t="shared" si="18"/>
        <v/>
      </c>
    </row>
    <row r="1166" spans="20:20">
      <c r="T1166" s="26" t="str">
        <f t="shared" si="18"/>
        <v/>
      </c>
    </row>
    <row r="1167" spans="20:20">
      <c r="T1167" s="26" t="str">
        <f t="shared" si="18"/>
        <v/>
      </c>
    </row>
    <row r="1168" spans="20:20">
      <c r="T1168" s="26" t="str">
        <f t="shared" si="18"/>
        <v/>
      </c>
    </row>
    <row r="1169" spans="20:20">
      <c r="T1169" s="26" t="str">
        <f t="shared" si="18"/>
        <v/>
      </c>
    </row>
    <row r="1170" spans="20:20">
      <c r="T1170" s="26" t="str">
        <f t="shared" si="18"/>
        <v/>
      </c>
    </row>
    <row r="1171" spans="20:20">
      <c r="T1171" s="26" t="str">
        <f t="shared" si="18"/>
        <v/>
      </c>
    </row>
    <row r="1172" spans="20:20">
      <c r="T1172" s="26" t="str">
        <f t="shared" si="18"/>
        <v/>
      </c>
    </row>
    <row r="1173" spans="20:20">
      <c r="T1173" s="26" t="str">
        <f t="shared" si="18"/>
        <v/>
      </c>
    </row>
    <row r="1174" spans="20:20">
      <c r="T1174" s="26" t="str">
        <f t="shared" si="18"/>
        <v/>
      </c>
    </row>
    <row r="1175" spans="20:20">
      <c r="T1175" s="26" t="str">
        <f t="shared" si="18"/>
        <v/>
      </c>
    </row>
    <row r="1176" spans="20:20">
      <c r="T1176" s="26" t="str">
        <f t="shared" si="18"/>
        <v/>
      </c>
    </row>
    <row r="1177" spans="20:20">
      <c r="T1177" s="26" t="str">
        <f t="shared" si="18"/>
        <v/>
      </c>
    </row>
    <row r="1178" spans="20:20">
      <c r="T1178" s="26" t="str">
        <f t="shared" si="18"/>
        <v/>
      </c>
    </row>
    <row r="1179" spans="20:20">
      <c r="T1179" s="26" t="str">
        <f t="shared" si="18"/>
        <v/>
      </c>
    </row>
    <row r="1180" spans="20:20">
      <c r="T1180" s="26" t="str">
        <f t="shared" si="18"/>
        <v/>
      </c>
    </row>
    <row r="1181" spans="20:20">
      <c r="T1181" s="26" t="str">
        <f t="shared" si="18"/>
        <v/>
      </c>
    </row>
    <row r="1182" spans="20:20">
      <c r="T1182" s="26" t="str">
        <f t="shared" si="18"/>
        <v/>
      </c>
    </row>
    <row r="1183" spans="20:20">
      <c r="T1183" s="26" t="str">
        <f t="shared" si="18"/>
        <v/>
      </c>
    </row>
    <row r="1184" spans="20:20">
      <c r="T1184" s="26" t="str">
        <f t="shared" si="18"/>
        <v/>
      </c>
    </row>
    <row r="1185" spans="20:20">
      <c r="T1185" s="26" t="str">
        <f t="shared" si="18"/>
        <v/>
      </c>
    </row>
    <row r="1186" spans="20:20">
      <c r="T1186" s="26" t="str">
        <f t="shared" si="18"/>
        <v/>
      </c>
    </row>
    <row r="1187" spans="20:20">
      <c r="T1187" s="26" t="str">
        <f t="shared" si="18"/>
        <v/>
      </c>
    </row>
    <row r="1188" spans="20:20">
      <c r="T1188" s="26" t="str">
        <f t="shared" si="18"/>
        <v/>
      </c>
    </row>
    <row r="1189" spans="20:20">
      <c r="T1189" s="26" t="str">
        <f t="shared" si="18"/>
        <v/>
      </c>
    </row>
    <row r="1190" spans="20:20">
      <c r="T1190" s="26" t="str">
        <f t="shared" si="18"/>
        <v/>
      </c>
    </row>
    <row r="1191" spans="20:20">
      <c r="T1191" s="26" t="str">
        <f t="shared" si="18"/>
        <v/>
      </c>
    </row>
    <row r="1192" spans="20:20">
      <c r="T1192" s="26" t="str">
        <f t="shared" si="18"/>
        <v/>
      </c>
    </row>
    <row r="1193" spans="20:20">
      <c r="T1193" s="26" t="str">
        <f t="shared" si="18"/>
        <v/>
      </c>
    </row>
    <row r="1194" spans="20:20">
      <c r="T1194" s="26" t="str">
        <f t="shared" si="18"/>
        <v/>
      </c>
    </row>
    <row r="1195" spans="20:20">
      <c r="T1195" s="26" t="str">
        <f t="shared" si="18"/>
        <v/>
      </c>
    </row>
    <row r="1196" spans="20:20">
      <c r="T1196" s="26" t="str">
        <f t="shared" si="18"/>
        <v/>
      </c>
    </row>
    <row r="1197" spans="20:20">
      <c r="T1197" s="26" t="str">
        <f t="shared" si="18"/>
        <v/>
      </c>
    </row>
    <row r="1198" spans="20:20">
      <c r="T1198" s="26" t="str">
        <f t="shared" si="18"/>
        <v/>
      </c>
    </row>
    <row r="1199" spans="20:20">
      <c r="T1199" s="26" t="str">
        <f t="shared" si="18"/>
        <v/>
      </c>
    </row>
    <row r="1200" spans="20:20">
      <c r="T1200" s="26" t="str">
        <f t="shared" si="18"/>
        <v/>
      </c>
    </row>
    <row r="1201" spans="20:20">
      <c r="T1201" s="26" t="str">
        <f t="shared" si="18"/>
        <v/>
      </c>
    </row>
    <row r="1202" spans="20:20">
      <c r="T1202" s="26" t="str">
        <f t="shared" si="18"/>
        <v/>
      </c>
    </row>
    <row r="1203" spans="20:20">
      <c r="T1203" s="26" t="str">
        <f t="shared" si="18"/>
        <v/>
      </c>
    </row>
    <row r="1204" spans="20:20">
      <c r="T1204" s="26" t="str">
        <f t="shared" si="18"/>
        <v/>
      </c>
    </row>
    <row r="1205" spans="20:20">
      <c r="T1205" s="26" t="str">
        <f t="shared" si="18"/>
        <v/>
      </c>
    </row>
    <row r="1206" spans="20:20">
      <c r="T1206" s="26" t="str">
        <f t="shared" si="18"/>
        <v/>
      </c>
    </row>
    <row r="1207" spans="20:20">
      <c r="T1207" s="26" t="str">
        <f t="shared" si="18"/>
        <v/>
      </c>
    </row>
    <row r="1208" spans="20:20">
      <c r="T1208" s="26" t="str">
        <f t="shared" si="18"/>
        <v/>
      </c>
    </row>
    <row r="1209" spans="20:20">
      <c r="T1209" s="26" t="str">
        <f t="shared" si="18"/>
        <v/>
      </c>
    </row>
    <row r="1210" spans="20:20">
      <c r="T1210" s="26" t="str">
        <f t="shared" si="18"/>
        <v/>
      </c>
    </row>
    <row r="1211" spans="20:20">
      <c r="T1211" s="26" t="str">
        <f t="shared" si="18"/>
        <v/>
      </c>
    </row>
    <row r="1212" spans="20:20">
      <c r="T1212" s="26" t="str">
        <f t="shared" si="18"/>
        <v/>
      </c>
    </row>
    <row r="1213" spans="20:20">
      <c r="T1213" s="26" t="str">
        <f t="shared" si="18"/>
        <v/>
      </c>
    </row>
    <row r="1214" spans="20:20">
      <c r="T1214" s="26" t="str">
        <f t="shared" si="18"/>
        <v/>
      </c>
    </row>
    <row r="1215" spans="20:20">
      <c r="T1215" s="26" t="str">
        <f t="shared" si="18"/>
        <v/>
      </c>
    </row>
    <row r="1216" spans="20:20">
      <c r="T1216" s="26" t="str">
        <f t="shared" si="18"/>
        <v/>
      </c>
    </row>
    <row r="1217" spans="20:20">
      <c r="T1217" s="26" t="str">
        <f t="shared" si="18"/>
        <v/>
      </c>
    </row>
    <row r="1218" spans="20:20">
      <c r="T1218" s="26" t="str">
        <f t="shared" si="18"/>
        <v/>
      </c>
    </row>
    <row r="1219" spans="20:20">
      <c r="T1219" s="26" t="str">
        <f t="shared" si="18"/>
        <v/>
      </c>
    </row>
    <row r="1220" spans="20:20">
      <c r="T1220" s="26" t="str">
        <f t="shared" si="18"/>
        <v/>
      </c>
    </row>
    <row r="1221" spans="20:20">
      <c r="T1221" s="26" t="str">
        <f t="shared" ref="T1221:T1284" si="19">U1221&amp;V1221</f>
        <v/>
      </c>
    </row>
    <row r="1222" spans="20:20">
      <c r="T1222" s="26" t="str">
        <f t="shared" si="19"/>
        <v/>
      </c>
    </row>
    <row r="1223" spans="20:20">
      <c r="T1223" s="26" t="str">
        <f t="shared" si="19"/>
        <v/>
      </c>
    </row>
    <row r="1224" spans="20:20">
      <c r="T1224" s="26" t="str">
        <f t="shared" si="19"/>
        <v/>
      </c>
    </row>
    <row r="1225" spans="20:20">
      <c r="T1225" s="26" t="str">
        <f t="shared" si="19"/>
        <v/>
      </c>
    </row>
    <row r="1226" spans="20:20">
      <c r="T1226" s="26" t="str">
        <f t="shared" si="19"/>
        <v/>
      </c>
    </row>
    <row r="1227" spans="20:20">
      <c r="T1227" s="26" t="str">
        <f t="shared" si="19"/>
        <v/>
      </c>
    </row>
    <row r="1228" spans="20:20">
      <c r="T1228" s="26" t="str">
        <f t="shared" si="19"/>
        <v/>
      </c>
    </row>
    <row r="1229" spans="20:20">
      <c r="T1229" s="26" t="str">
        <f t="shared" si="19"/>
        <v/>
      </c>
    </row>
    <row r="1230" spans="20:20">
      <c r="T1230" s="26" t="str">
        <f t="shared" si="19"/>
        <v/>
      </c>
    </row>
    <row r="1231" spans="20:20">
      <c r="T1231" s="26" t="str">
        <f t="shared" si="19"/>
        <v/>
      </c>
    </row>
    <row r="1232" spans="20:20">
      <c r="T1232" s="26" t="str">
        <f t="shared" si="19"/>
        <v/>
      </c>
    </row>
    <row r="1233" spans="20:20">
      <c r="T1233" s="26" t="str">
        <f t="shared" si="19"/>
        <v/>
      </c>
    </row>
    <row r="1234" spans="20:20">
      <c r="T1234" s="26" t="str">
        <f t="shared" si="19"/>
        <v/>
      </c>
    </row>
    <row r="1235" spans="20:20">
      <c r="T1235" s="26" t="str">
        <f t="shared" si="19"/>
        <v/>
      </c>
    </row>
    <row r="1236" spans="20:20">
      <c r="T1236" s="26" t="str">
        <f t="shared" si="19"/>
        <v/>
      </c>
    </row>
    <row r="1237" spans="20:20">
      <c r="T1237" s="26" t="str">
        <f t="shared" si="19"/>
        <v/>
      </c>
    </row>
    <row r="1238" spans="20:20">
      <c r="T1238" s="26" t="str">
        <f t="shared" si="19"/>
        <v/>
      </c>
    </row>
    <row r="1239" spans="20:20">
      <c r="T1239" s="26" t="str">
        <f t="shared" si="19"/>
        <v/>
      </c>
    </row>
    <row r="1240" spans="20:20">
      <c r="T1240" s="26" t="str">
        <f t="shared" si="19"/>
        <v/>
      </c>
    </row>
    <row r="1241" spans="20:20">
      <c r="T1241" s="26" t="str">
        <f t="shared" si="19"/>
        <v/>
      </c>
    </row>
    <row r="1242" spans="20:20">
      <c r="T1242" s="26" t="str">
        <f t="shared" si="19"/>
        <v/>
      </c>
    </row>
    <row r="1243" spans="20:20">
      <c r="T1243" s="26" t="str">
        <f t="shared" si="19"/>
        <v/>
      </c>
    </row>
    <row r="1244" spans="20:20">
      <c r="T1244" s="26" t="str">
        <f t="shared" si="19"/>
        <v/>
      </c>
    </row>
    <row r="1245" spans="20:20">
      <c r="T1245" s="26" t="str">
        <f t="shared" si="19"/>
        <v/>
      </c>
    </row>
    <row r="1246" spans="20:20">
      <c r="T1246" s="26" t="str">
        <f t="shared" si="19"/>
        <v/>
      </c>
    </row>
    <row r="1247" spans="20:20">
      <c r="T1247" s="26" t="str">
        <f t="shared" si="19"/>
        <v/>
      </c>
    </row>
    <row r="1248" spans="20:20">
      <c r="T1248" s="26" t="str">
        <f t="shared" si="19"/>
        <v/>
      </c>
    </row>
    <row r="1249" spans="20:20">
      <c r="T1249" s="26" t="str">
        <f t="shared" si="19"/>
        <v/>
      </c>
    </row>
    <row r="1250" spans="20:20">
      <c r="T1250" s="26" t="str">
        <f t="shared" si="19"/>
        <v/>
      </c>
    </row>
    <row r="1251" spans="20:20">
      <c r="T1251" s="26" t="str">
        <f t="shared" si="19"/>
        <v/>
      </c>
    </row>
    <row r="1252" spans="20:20">
      <c r="T1252" s="26" t="str">
        <f t="shared" si="19"/>
        <v/>
      </c>
    </row>
    <row r="1253" spans="20:20">
      <c r="T1253" s="26" t="str">
        <f t="shared" si="19"/>
        <v/>
      </c>
    </row>
    <row r="1254" spans="20:20">
      <c r="T1254" s="26" t="str">
        <f t="shared" si="19"/>
        <v/>
      </c>
    </row>
    <row r="1255" spans="20:20">
      <c r="T1255" s="26" t="str">
        <f t="shared" si="19"/>
        <v/>
      </c>
    </row>
    <row r="1256" spans="20:20">
      <c r="T1256" s="26" t="str">
        <f t="shared" si="19"/>
        <v/>
      </c>
    </row>
    <row r="1257" spans="20:20">
      <c r="T1257" s="26" t="str">
        <f t="shared" si="19"/>
        <v/>
      </c>
    </row>
    <row r="1258" spans="20:20">
      <c r="T1258" s="26" t="str">
        <f t="shared" si="19"/>
        <v/>
      </c>
    </row>
    <row r="1259" spans="20:20">
      <c r="T1259" s="26" t="str">
        <f t="shared" si="19"/>
        <v/>
      </c>
    </row>
    <row r="1260" spans="20:20">
      <c r="T1260" s="26" t="str">
        <f t="shared" si="19"/>
        <v/>
      </c>
    </row>
    <row r="1261" spans="20:20">
      <c r="T1261" s="26" t="str">
        <f t="shared" si="19"/>
        <v/>
      </c>
    </row>
    <row r="1262" spans="20:20">
      <c r="T1262" s="26" t="str">
        <f t="shared" si="19"/>
        <v/>
      </c>
    </row>
    <row r="1263" spans="20:20">
      <c r="T1263" s="26" t="str">
        <f t="shared" si="19"/>
        <v/>
      </c>
    </row>
    <row r="1264" spans="20:20">
      <c r="T1264" s="26" t="str">
        <f t="shared" si="19"/>
        <v/>
      </c>
    </row>
    <row r="1265" spans="20:20">
      <c r="T1265" s="26" t="str">
        <f t="shared" si="19"/>
        <v/>
      </c>
    </row>
    <row r="1266" spans="20:20">
      <c r="T1266" s="26" t="str">
        <f t="shared" si="19"/>
        <v/>
      </c>
    </row>
    <row r="1267" spans="20:20">
      <c r="T1267" s="26" t="str">
        <f t="shared" si="19"/>
        <v/>
      </c>
    </row>
    <row r="1268" spans="20:20">
      <c r="T1268" s="26" t="str">
        <f t="shared" si="19"/>
        <v/>
      </c>
    </row>
    <row r="1269" spans="20:20">
      <c r="T1269" s="26" t="str">
        <f t="shared" si="19"/>
        <v/>
      </c>
    </row>
    <row r="1270" spans="20:20">
      <c r="T1270" s="26" t="str">
        <f t="shared" si="19"/>
        <v/>
      </c>
    </row>
    <row r="1271" spans="20:20">
      <c r="T1271" s="26" t="str">
        <f t="shared" si="19"/>
        <v/>
      </c>
    </row>
    <row r="1272" spans="20:20">
      <c r="T1272" s="26" t="str">
        <f t="shared" si="19"/>
        <v/>
      </c>
    </row>
    <row r="1273" spans="20:20">
      <c r="T1273" s="26" t="str">
        <f t="shared" si="19"/>
        <v/>
      </c>
    </row>
    <row r="1274" spans="20:20">
      <c r="T1274" s="26" t="str">
        <f t="shared" si="19"/>
        <v/>
      </c>
    </row>
    <row r="1275" spans="20:20">
      <c r="T1275" s="26" t="str">
        <f t="shared" si="19"/>
        <v/>
      </c>
    </row>
    <row r="1276" spans="20:20">
      <c r="T1276" s="26" t="str">
        <f t="shared" si="19"/>
        <v/>
      </c>
    </row>
    <row r="1277" spans="20:20">
      <c r="T1277" s="26" t="str">
        <f t="shared" si="19"/>
        <v/>
      </c>
    </row>
    <row r="1278" spans="20:20">
      <c r="T1278" s="26" t="str">
        <f t="shared" si="19"/>
        <v/>
      </c>
    </row>
    <row r="1279" spans="20:20">
      <c r="T1279" s="26" t="str">
        <f t="shared" si="19"/>
        <v/>
      </c>
    </row>
    <row r="1280" spans="20:20">
      <c r="T1280" s="26" t="str">
        <f t="shared" si="19"/>
        <v/>
      </c>
    </row>
    <row r="1281" spans="20:20">
      <c r="T1281" s="26" t="str">
        <f t="shared" si="19"/>
        <v/>
      </c>
    </row>
    <row r="1282" spans="20:20">
      <c r="T1282" s="26" t="str">
        <f t="shared" si="19"/>
        <v/>
      </c>
    </row>
    <row r="1283" spans="20:20">
      <c r="T1283" s="26" t="str">
        <f t="shared" si="19"/>
        <v/>
      </c>
    </row>
    <row r="1284" spans="20:20">
      <c r="T1284" s="26" t="str">
        <f t="shared" si="19"/>
        <v/>
      </c>
    </row>
    <row r="1285" spans="20:20">
      <c r="T1285" s="26" t="str">
        <f t="shared" ref="T1285:T1348" si="20">U1285&amp;V1285</f>
        <v/>
      </c>
    </row>
    <row r="1286" spans="20:20">
      <c r="T1286" s="26" t="str">
        <f t="shared" si="20"/>
        <v/>
      </c>
    </row>
    <row r="1287" spans="20:20">
      <c r="T1287" s="26" t="str">
        <f t="shared" si="20"/>
        <v/>
      </c>
    </row>
    <row r="1288" spans="20:20">
      <c r="T1288" s="26" t="str">
        <f t="shared" si="20"/>
        <v/>
      </c>
    </row>
    <row r="1289" spans="20:20">
      <c r="T1289" s="26" t="str">
        <f t="shared" si="20"/>
        <v/>
      </c>
    </row>
    <row r="1290" spans="20:20">
      <c r="T1290" s="26" t="str">
        <f t="shared" si="20"/>
        <v/>
      </c>
    </row>
    <row r="1291" spans="20:20">
      <c r="T1291" s="26" t="str">
        <f t="shared" si="20"/>
        <v/>
      </c>
    </row>
    <row r="1292" spans="20:20">
      <c r="T1292" s="26" t="str">
        <f t="shared" si="20"/>
        <v/>
      </c>
    </row>
    <row r="1293" spans="20:20">
      <c r="T1293" s="26" t="str">
        <f t="shared" si="20"/>
        <v/>
      </c>
    </row>
    <row r="1294" spans="20:20">
      <c r="T1294" s="26" t="str">
        <f t="shared" si="20"/>
        <v/>
      </c>
    </row>
    <row r="1295" spans="20:20">
      <c r="T1295" s="26" t="str">
        <f t="shared" si="20"/>
        <v/>
      </c>
    </row>
    <row r="1296" spans="20:20">
      <c r="T1296" s="26" t="str">
        <f t="shared" si="20"/>
        <v/>
      </c>
    </row>
    <row r="1297" spans="20:20">
      <c r="T1297" s="26" t="str">
        <f t="shared" si="20"/>
        <v/>
      </c>
    </row>
    <row r="1298" spans="20:20">
      <c r="T1298" s="26" t="str">
        <f t="shared" si="20"/>
        <v/>
      </c>
    </row>
    <row r="1299" spans="20:20">
      <c r="T1299" s="26" t="str">
        <f t="shared" si="20"/>
        <v/>
      </c>
    </row>
    <row r="1300" spans="20:20">
      <c r="T1300" s="26" t="str">
        <f t="shared" si="20"/>
        <v/>
      </c>
    </row>
    <row r="1301" spans="20:20">
      <c r="T1301" s="26" t="str">
        <f t="shared" si="20"/>
        <v/>
      </c>
    </row>
    <row r="1302" spans="20:20">
      <c r="T1302" s="26" t="str">
        <f t="shared" si="20"/>
        <v/>
      </c>
    </row>
    <row r="1303" spans="20:20">
      <c r="T1303" s="26" t="str">
        <f t="shared" si="20"/>
        <v/>
      </c>
    </row>
    <row r="1304" spans="20:20">
      <c r="T1304" s="26" t="str">
        <f t="shared" si="20"/>
        <v/>
      </c>
    </row>
    <row r="1305" spans="20:20">
      <c r="T1305" s="26" t="str">
        <f t="shared" si="20"/>
        <v/>
      </c>
    </row>
    <row r="1306" spans="20:20">
      <c r="T1306" s="26" t="str">
        <f t="shared" si="20"/>
        <v/>
      </c>
    </row>
    <row r="1307" spans="20:20">
      <c r="T1307" s="26" t="str">
        <f t="shared" si="20"/>
        <v/>
      </c>
    </row>
    <row r="1308" spans="20:20">
      <c r="T1308" s="26" t="str">
        <f t="shared" si="20"/>
        <v/>
      </c>
    </row>
    <row r="1309" spans="20:20">
      <c r="T1309" s="26" t="str">
        <f t="shared" si="20"/>
        <v/>
      </c>
    </row>
    <row r="1310" spans="20:20">
      <c r="T1310" s="26" t="str">
        <f t="shared" si="20"/>
        <v/>
      </c>
    </row>
    <row r="1311" spans="20:20">
      <c r="T1311" s="26" t="str">
        <f t="shared" si="20"/>
        <v/>
      </c>
    </row>
    <row r="1312" spans="20:20">
      <c r="T1312" s="26" t="str">
        <f t="shared" si="20"/>
        <v/>
      </c>
    </row>
    <row r="1313" spans="20:20">
      <c r="T1313" s="26" t="str">
        <f t="shared" si="20"/>
        <v/>
      </c>
    </row>
    <row r="1314" spans="20:20">
      <c r="T1314" s="26" t="str">
        <f t="shared" si="20"/>
        <v/>
      </c>
    </row>
    <row r="1315" spans="20:20">
      <c r="T1315" s="26" t="str">
        <f t="shared" si="20"/>
        <v/>
      </c>
    </row>
    <row r="1316" spans="20:20">
      <c r="T1316" s="26" t="str">
        <f t="shared" si="20"/>
        <v/>
      </c>
    </row>
    <row r="1317" spans="20:20">
      <c r="T1317" s="26" t="str">
        <f t="shared" si="20"/>
        <v/>
      </c>
    </row>
    <row r="1318" spans="20:20">
      <c r="T1318" s="26" t="str">
        <f t="shared" si="20"/>
        <v/>
      </c>
    </row>
    <row r="1319" spans="20:20">
      <c r="T1319" s="26" t="str">
        <f t="shared" si="20"/>
        <v/>
      </c>
    </row>
    <row r="1320" spans="20:20">
      <c r="T1320" s="26" t="str">
        <f t="shared" si="20"/>
        <v/>
      </c>
    </row>
    <row r="1321" spans="20:20">
      <c r="T1321" s="26" t="str">
        <f t="shared" si="20"/>
        <v/>
      </c>
    </row>
    <row r="1322" spans="20:20">
      <c r="T1322" s="26" t="str">
        <f t="shared" si="20"/>
        <v/>
      </c>
    </row>
    <row r="1323" spans="20:20">
      <c r="T1323" s="26" t="str">
        <f t="shared" si="20"/>
        <v/>
      </c>
    </row>
    <row r="1324" spans="20:20">
      <c r="T1324" s="26" t="str">
        <f t="shared" si="20"/>
        <v/>
      </c>
    </row>
    <row r="1325" spans="20:20">
      <c r="T1325" s="26" t="str">
        <f t="shared" si="20"/>
        <v/>
      </c>
    </row>
    <row r="1326" spans="20:20">
      <c r="T1326" s="26" t="str">
        <f t="shared" si="20"/>
        <v/>
      </c>
    </row>
    <row r="1327" spans="20:20">
      <c r="T1327" s="26" t="str">
        <f t="shared" si="20"/>
        <v/>
      </c>
    </row>
    <row r="1328" spans="20:20">
      <c r="T1328" s="26" t="str">
        <f t="shared" si="20"/>
        <v/>
      </c>
    </row>
    <row r="1329" spans="20:20">
      <c r="T1329" s="26" t="str">
        <f t="shared" si="20"/>
        <v/>
      </c>
    </row>
    <row r="1330" spans="20:20">
      <c r="T1330" s="26" t="str">
        <f t="shared" si="20"/>
        <v/>
      </c>
    </row>
    <row r="1331" spans="20:20">
      <c r="T1331" s="26" t="str">
        <f t="shared" si="20"/>
        <v/>
      </c>
    </row>
    <row r="1332" spans="20:20">
      <c r="T1332" s="26" t="str">
        <f t="shared" si="20"/>
        <v/>
      </c>
    </row>
    <row r="1333" spans="20:20">
      <c r="T1333" s="26" t="str">
        <f t="shared" si="20"/>
        <v/>
      </c>
    </row>
    <row r="1334" spans="20:20">
      <c r="T1334" s="26" t="str">
        <f t="shared" si="20"/>
        <v/>
      </c>
    </row>
    <row r="1335" spans="20:20">
      <c r="T1335" s="26" t="str">
        <f t="shared" si="20"/>
        <v/>
      </c>
    </row>
    <row r="1336" spans="20:20">
      <c r="T1336" s="26" t="str">
        <f t="shared" si="20"/>
        <v/>
      </c>
    </row>
    <row r="1337" spans="20:20">
      <c r="T1337" s="26" t="str">
        <f t="shared" si="20"/>
        <v/>
      </c>
    </row>
    <row r="1338" spans="20:20">
      <c r="T1338" s="26" t="str">
        <f t="shared" si="20"/>
        <v/>
      </c>
    </row>
    <row r="1339" spans="20:20">
      <c r="T1339" s="26" t="str">
        <f t="shared" si="20"/>
        <v/>
      </c>
    </row>
    <row r="1340" spans="20:20">
      <c r="T1340" s="26" t="str">
        <f t="shared" si="20"/>
        <v/>
      </c>
    </row>
    <row r="1341" spans="20:20">
      <c r="T1341" s="26" t="str">
        <f t="shared" si="20"/>
        <v/>
      </c>
    </row>
    <row r="1342" spans="20:20">
      <c r="T1342" s="26" t="str">
        <f t="shared" si="20"/>
        <v/>
      </c>
    </row>
    <row r="1343" spans="20:20">
      <c r="T1343" s="26" t="str">
        <f t="shared" si="20"/>
        <v/>
      </c>
    </row>
    <row r="1344" spans="20:20">
      <c r="T1344" s="26" t="str">
        <f t="shared" si="20"/>
        <v/>
      </c>
    </row>
    <row r="1345" spans="20:20">
      <c r="T1345" s="26" t="str">
        <f t="shared" si="20"/>
        <v/>
      </c>
    </row>
    <row r="1346" spans="20:20">
      <c r="T1346" s="26" t="str">
        <f t="shared" si="20"/>
        <v/>
      </c>
    </row>
    <row r="1347" spans="20:20">
      <c r="T1347" s="26" t="str">
        <f t="shared" si="20"/>
        <v/>
      </c>
    </row>
    <row r="1348" spans="20:20">
      <c r="T1348" s="26" t="str">
        <f t="shared" si="20"/>
        <v/>
      </c>
    </row>
    <row r="1349" spans="20:20">
      <c r="T1349" s="26" t="str">
        <f t="shared" ref="T1349:T1412" si="21">U1349&amp;V1349</f>
        <v/>
      </c>
    </row>
    <row r="1350" spans="20:20">
      <c r="T1350" s="26" t="str">
        <f t="shared" si="21"/>
        <v/>
      </c>
    </row>
    <row r="1351" spans="20:20">
      <c r="T1351" s="26" t="str">
        <f t="shared" si="21"/>
        <v/>
      </c>
    </row>
    <row r="1352" spans="20:20">
      <c r="T1352" s="26" t="str">
        <f t="shared" si="21"/>
        <v/>
      </c>
    </row>
    <row r="1353" spans="20:20">
      <c r="T1353" s="26" t="str">
        <f t="shared" si="21"/>
        <v/>
      </c>
    </row>
    <row r="1354" spans="20:20">
      <c r="T1354" s="26" t="str">
        <f t="shared" si="21"/>
        <v/>
      </c>
    </row>
    <row r="1355" spans="20:20">
      <c r="T1355" s="26" t="str">
        <f t="shared" si="21"/>
        <v/>
      </c>
    </row>
    <row r="1356" spans="20:20">
      <c r="T1356" s="26" t="str">
        <f t="shared" si="21"/>
        <v/>
      </c>
    </row>
    <row r="1357" spans="20:20">
      <c r="T1357" s="26" t="str">
        <f t="shared" si="21"/>
        <v/>
      </c>
    </row>
    <row r="1358" spans="20:20">
      <c r="T1358" s="26" t="str">
        <f t="shared" si="21"/>
        <v/>
      </c>
    </row>
    <row r="1359" spans="20:20">
      <c r="T1359" s="26" t="str">
        <f t="shared" si="21"/>
        <v/>
      </c>
    </row>
    <row r="1360" spans="20:20">
      <c r="T1360" s="26" t="str">
        <f t="shared" si="21"/>
        <v/>
      </c>
    </row>
    <row r="1361" spans="20:20">
      <c r="T1361" s="26" t="str">
        <f t="shared" si="21"/>
        <v/>
      </c>
    </row>
    <row r="1362" spans="20:20">
      <c r="T1362" s="26" t="str">
        <f t="shared" si="21"/>
        <v/>
      </c>
    </row>
    <row r="1363" spans="20:20">
      <c r="T1363" s="26" t="str">
        <f t="shared" si="21"/>
        <v/>
      </c>
    </row>
    <row r="1364" spans="20:20">
      <c r="T1364" s="26" t="str">
        <f t="shared" si="21"/>
        <v/>
      </c>
    </row>
    <row r="1365" spans="20:20">
      <c r="T1365" s="26" t="str">
        <f t="shared" si="21"/>
        <v/>
      </c>
    </row>
    <row r="1366" spans="20:20">
      <c r="T1366" s="26" t="str">
        <f t="shared" si="21"/>
        <v/>
      </c>
    </row>
    <row r="1367" spans="20:20">
      <c r="T1367" s="26" t="str">
        <f t="shared" si="21"/>
        <v/>
      </c>
    </row>
    <row r="1368" spans="20:20">
      <c r="T1368" s="26" t="str">
        <f t="shared" si="21"/>
        <v/>
      </c>
    </row>
    <row r="1369" spans="20:20">
      <c r="T1369" s="26" t="str">
        <f t="shared" si="21"/>
        <v/>
      </c>
    </row>
    <row r="1370" spans="20:20">
      <c r="T1370" s="26" t="str">
        <f t="shared" si="21"/>
        <v/>
      </c>
    </row>
    <row r="1371" spans="20:20">
      <c r="T1371" s="26" t="str">
        <f t="shared" si="21"/>
        <v/>
      </c>
    </row>
    <row r="1372" spans="20:20">
      <c r="T1372" s="26" t="str">
        <f t="shared" si="21"/>
        <v/>
      </c>
    </row>
    <row r="1373" spans="20:20">
      <c r="T1373" s="26" t="str">
        <f t="shared" si="21"/>
        <v/>
      </c>
    </row>
    <row r="1374" spans="20:20">
      <c r="T1374" s="26" t="str">
        <f t="shared" si="21"/>
        <v/>
      </c>
    </row>
    <row r="1375" spans="20:20">
      <c r="T1375" s="26" t="str">
        <f t="shared" si="21"/>
        <v/>
      </c>
    </row>
    <row r="1376" spans="20:20">
      <c r="T1376" s="26" t="str">
        <f t="shared" si="21"/>
        <v/>
      </c>
    </row>
    <row r="1377" spans="20:20">
      <c r="T1377" s="26" t="str">
        <f t="shared" si="21"/>
        <v/>
      </c>
    </row>
    <row r="1378" spans="20:20">
      <c r="T1378" s="26" t="str">
        <f t="shared" si="21"/>
        <v/>
      </c>
    </row>
    <row r="1379" spans="20:20">
      <c r="T1379" s="26" t="str">
        <f t="shared" si="21"/>
        <v/>
      </c>
    </row>
    <row r="1380" spans="20:20">
      <c r="T1380" s="26" t="str">
        <f t="shared" si="21"/>
        <v/>
      </c>
    </row>
    <row r="1381" spans="20:20">
      <c r="T1381" s="26" t="str">
        <f t="shared" si="21"/>
        <v/>
      </c>
    </row>
    <row r="1382" spans="20:20">
      <c r="T1382" s="26" t="str">
        <f t="shared" si="21"/>
        <v/>
      </c>
    </row>
    <row r="1383" spans="20:20">
      <c r="T1383" s="26" t="str">
        <f t="shared" si="21"/>
        <v/>
      </c>
    </row>
    <row r="1384" spans="20:20">
      <c r="T1384" s="26" t="str">
        <f t="shared" si="21"/>
        <v/>
      </c>
    </row>
    <row r="1385" spans="20:20">
      <c r="T1385" s="26" t="str">
        <f t="shared" si="21"/>
        <v/>
      </c>
    </row>
    <row r="1386" spans="20:20">
      <c r="T1386" s="26" t="str">
        <f t="shared" si="21"/>
        <v/>
      </c>
    </row>
    <row r="1387" spans="20:20">
      <c r="T1387" s="26" t="str">
        <f t="shared" si="21"/>
        <v/>
      </c>
    </row>
    <row r="1388" spans="20:20">
      <c r="T1388" s="26" t="str">
        <f t="shared" si="21"/>
        <v/>
      </c>
    </row>
    <row r="1389" spans="20:20">
      <c r="T1389" s="26" t="str">
        <f t="shared" si="21"/>
        <v/>
      </c>
    </row>
    <row r="1390" spans="20:20">
      <c r="T1390" s="26" t="str">
        <f t="shared" si="21"/>
        <v/>
      </c>
    </row>
    <row r="1391" spans="20:20">
      <c r="T1391" s="26" t="str">
        <f t="shared" si="21"/>
        <v/>
      </c>
    </row>
    <row r="1392" spans="20:20">
      <c r="T1392" s="26" t="str">
        <f t="shared" si="21"/>
        <v/>
      </c>
    </row>
    <row r="1393" spans="20:20">
      <c r="T1393" s="26" t="str">
        <f t="shared" si="21"/>
        <v/>
      </c>
    </row>
    <row r="1394" spans="20:20">
      <c r="T1394" s="26" t="str">
        <f t="shared" si="21"/>
        <v/>
      </c>
    </row>
    <row r="1395" spans="20:20">
      <c r="T1395" s="26" t="str">
        <f t="shared" si="21"/>
        <v/>
      </c>
    </row>
    <row r="1396" spans="20:20">
      <c r="T1396" s="26" t="str">
        <f t="shared" si="21"/>
        <v/>
      </c>
    </row>
    <row r="1397" spans="20:20">
      <c r="T1397" s="26" t="str">
        <f t="shared" si="21"/>
        <v/>
      </c>
    </row>
    <row r="1398" spans="20:20">
      <c r="T1398" s="26" t="str">
        <f t="shared" si="21"/>
        <v/>
      </c>
    </row>
    <row r="1399" spans="20:20">
      <c r="T1399" s="26" t="str">
        <f t="shared" si="21"/>
        <v/>
      </c>
    </row>
    <row r="1400" spans="20:20">
      <c r="T1400" s="26" t="str">
        <f t="shared" si="21"/>
        <v/>
      </c>
    </row>
    <row r="1401" spans="20:20">
      <c r="T1401" s="26" t="str">
        <f t="shared" si="21"/>
        <v/>
      </c>
    </row>
    <row r="1402" spans="20:20">
      <c r="T1402" s="26" t="str">
        <f t="shared" si="21"/>
        <v/>
      </c>
    </row>
    <row r="1403" spans="20:20">
      <c r="T1403" s="26" t="str">
        <f t="shared" si="21"/>
        <v/>
      </c>
    </row>
    <row r="1404" spans="20:20">
      <c r="T1404" s="26" t="str">
        <f t="shared" si="21"/>
        <v/>
      </c>
    </row>
    <row r="1405" spans="20:20">
      <c r="T1405" s="26" t="str">
        <f t="shared" si="21"/>
        <v/>
      </c>
    </row>
    <row r="1406" spans="20:20">
      <c r="T1406" s="26" t="str">
        <f t="shared" si="21"/>
        <v/>
      </c>
    </row>
    <row r="1407" spans="20:20">
      <c r="T1407" s="26" t="str">
        <f t="shared" si="21"/>
        <v/>
      </c>
    </row>
    <row r="1408" spans="20:20">
      <c r="T1408" s="26" t="str">
        <f t="shared" si="21"/>
        <v/>
      </c>
    </row>
    <row r="1409" spans="20:20">
      <c r="T1409" s="26" t="str">
        <f t="shared" si="21"/>
        <v/>
      </c>
    </row>
    <row r="1410" spans="20:20">
      <c r="T1410" s="26" t="str">
        <f t="shared" si="21"/>
        <v/>
      </c>
    </row>
    <row r="1411" spans="20:20">
      <c r="T1411" s="26" t="str">
        <f t="shared" si="21"/>
        <v/>
      </c>
    </row>
    <row r="1412" spans="20:20">
      <c r="T1412" s="26" t="str">
        <f t="shared" si="21"/>
        <v/>
      </c>
    </row>
    <row r="1413" spans="20:20">
      <c r="T1413" s="26" t="str">
        <f t="shared" ref="T1413:T1422" si="22">U1413&amp;V1413</f>
        <v/>
      </c>
    </row>
    <row r="1414" spans="20:20">
      <c r="T1414" s="26" t="str">
        <f t="shared" si="22"/>
        <v/>
      </c>
    </row>
    <row r="1415" spans="20:20">
      <c r="T1415" s="26" t="str">
        <f t="shared" si="22"/>
        <v/>
      </c>
    </row>
    <row r="1416" spans="20:20">
      <c r="T1416" s="26" t="str">
        <f t="shared" si="22"/>
        <v/>
      </c>
    </row>
    <row r="1417" spans="20:20">
      <c r="T1417" s="26" t="str">
        <f t="shared" si="22"/>
        <v/>
      </c>
    </row>
    <row r="1418" spans="20:20">
      <c r="T1418" s="26" t="str">
        <f t="shared" si="22"/>
        <v/>
      </c>
    </row>
    <row r="1419" spans="20:20">
      <c r="T1419" s="26" t="str">
        <f t="shared" si="22"/>
        <v/>
      </c>
    </row>
    <row r="1420" spans="20:20">
      <c r="T1420" s="26" t="str">
        <f t="shared" si="22"/>
        <v/>
      </c>
    </row>
    <row r="1421" spans="20:20">
      <c r="T1421" s="26" t="str">
        <f t="shared" si="22"/>
        <v/>
      </c>
    </row>
    <row r="1422" spans="20:20">
      <c r="T1422" s="26" t="str">
        <f t="shared" si="22"/>
        <v/>
      </c>
    </row>
    <row r="1423" spans="20:20">
      <c r="T1423" s="26" t="str">
        <f>U1423&amp;V1423</f>
        <v/>
      </c>
    </row>
    <row r="1424" spans="20:20">
      <c r="T1424" s="26" t="str">
        <f t="shared" ref="T1424:T1487" si="23">U1424&amp;V1424</f>
        <v/>
      </c>
    </row>
    <row r="1425" spans="20:20">
      <c r="T1425" s="26" t="str">
        <f t="shared" si="23"/>
        <v/>
      </c>
    </row>
    <row r="1426" spans="20:20">
      <c r="T1426" s="26" t="str">
        <f t="shared" si="23"/>
        <v/>
      </c>
    </row>
    <row r="1427" spans="20:20">
      <c r="T1427" s="26" t="str">
        <f t="shared" si="23"/>
        <v/>
      </c>
    </row>
    <row r="1428" spans="20:20">
      <c r="T1428" s="26" t="str">
        <f t="shared" si="23"/>
        <v/>
      </c>
    </row>
    <row r="1429" spans="20:20">
      <c r="T1429" s="26" t="str">
        <f t="shared" si="23"/>
        <v/>
      </c>
    </row>
    <row r="1430" spans="20:20">
      <c r="T1430" s="26" t="str">
        <f t="shared" si="23"/>
        <v/>
      </c>
    </row>
    <row r="1431" spans="20:20">
      <c r="T1431" s="26" t="str">
        <f t="shared" si="23"/>
        <v/>
      </c>
    </row>
    <row r="1432" spans="20:20">
      <c r="T1432" s="26" t="str">
        <f t="shared" si="23"/>
        <v/>
      </c>
    </row>
    <row r="1433" spans="20:20">
      <c r="T1433" s="26" t="str">
        <f t="shared" si="23"/>
        <v/>
      </c>
    </row>
    <row r="1434" spans="20:20">
      <c r="T1434" s="26" t="str">
        <f t="shared" si="23"/>
        <v/>
      </c>
    </row>
    <row r="1435" spans="20:20">
      <c r="T1435" s="26" t="str">
        <f t="shared" si="23"/>
        <v/>
      </c>
    </row>
    <row r="1436" spans="20:20">
      <c r="T1436" s="26" t="str">
        <f t="shared" si="23"/>
        <v/>
      </c>
    </row>
    <row r="1437" spans="20:20">
      <c r="T1437" s="26" t="str">
        <f t="shared" si="23"/>
        <v/>
      </c>
    </row>
    <row r="1438" spans="20:20">
      <c r="T1438" s="26" t="str">
        <f t="shared" si="23"/>
        <v/>
      </c>
    </row>
    <row r="1439" spans="20:20">
      <c r="T1439" s="26" t="str">
        <f t="shared" si="23"/>
        <v/>
      </c>
    </row>
    <row r="1440" spans="20:20">
      <c r="T1440" s="26" t="str">
        <f t="shared" si="23"/>
        <v/>
      </c>
    </row>
    <row r="1441" spans="20:20">
      <c r="T1441" s="26" t="str">
        <f t="shared" si="23"/>
        <v/>
      </c>
    </row>
    <row r="1442" spans="20:20">
      <c r="T1442" s="26" t="str">
        <f t="shared" si="23"/>
        <v/>
      </c>
    </row>
    <row r="1443" spans="20:20">
      <c r="T1443" s="26" t="str">
        <f t="shared" si="23"/>
        <v/>
      </c>
    </row>
    <row r="1444" spans="20:20">
      <c r="T1444" s="26" t="str">
        <f t="shared" si="23"/>
        <v/>
      </c>
    </row>
    <row r="1445" spans="20:20">
      <c r="T1445" s="26" t="str">
        <f t="shared" si="23"/>
        <v/>
      </c>
    </row>
    <row r="1446" spans="20:20">
      <c r="T1446" s="26" t="str">
        <f t="shared" si="23"/>
        <v/>
      </c>
    </row>
    <row r="1447" spans="20:20">
      <c r="T1447" s="26" t="str">
        <f t="shared" si="23"/>
        <v/>
      </c>
    </row>
    <row r="1448" spans="20:20">
      <c r="T1448" s="26" t="str">
        <f t="shared" si="23"/>
        <v/>
      </c>
    </row>
    <row r="1449" spans="20:20">
      <c r="T1449" s="26" t="str">
        <f t="shared" si="23"/>
        <v/>
      </c>
    </row>
    <row r="1450" spans="20:20">
      <c r="T1450" s="26" t="str">
        <f t="shared" si="23"/>
        <v/>
      </c>
    </row>
    <row r="1451" spans="20:20">
      <c r="T1451" s="26" t="str">
        <f t="shared" si="23"/>
        <v/>
      </c>
    </row>
    <row r="1452" spans="20:20">
      <c r="T1452" s="26" t="str">
        <f t="shared" si="23"/>
        <v/>
      </c>
    </row>
    <row r="1453" spans="20:20">
      <c r="T1453" s="26" t="str">
        <f t="shared" si="23"/>
        <v/>
      </c>
    </row>
    <row r="1454" spans="20:20">
      <c r="T1454" s="26" t="str">
        <f t="shared" si="23"/>
        <v/>
      </c>
    </row>
    <row r="1455" spans="20:20">
      <c r="T1455" s="26" t="str">
        <f t="shared" si="23"/>
        <v/>
      </c>
    </row>
    <row r="1456" spans="20:20">
      <c r="T1456" s="26" t="str">
        <f t="shared" si="23"/>
        <v/>
      </c>
    </row>
    <row r="1457" spans="20:20">
      <c r="T1457" s="26" t="str">
        <f t="shared" si="23"/>
        <v/>
      </c>
    </row>
    <row r="1458" spans="20:20">
      <c r="T1458" s="26" t="str">
        <f t="shared" si="23"/>
        <v/>
      </c>
    </row>
    <row r="1459" spans="20:20">
      <c r="T1459" s="26" t="str">
        <f t="shared" si="23"/>
        <v/>
      </c>
    </row>
    <row r="1460" spans="20:20">
      <c r="T1460" s="26" t="str">
        <f t="shared" si="23"/>
        <v/>
      </c>
    </row>
    <row r="1461" spans="20:20">
      <c r="T1461" s="26" t="str">
        <f t="shared" si="23"/>
        <v/>
      </c>
    </row>
    <row r="1462" spans="20:20">
      <c r="T1462" s="26" t="str">
        <f t="shared" si="23"/>
        <v/>
      </c>
    </row>
    <row r="1463" spans="20:20">
      <c r="T1463" s="26" t="str">
        <f t="shared" si="23"/>
        <v/>
      </c>
    </row>
    <row r="1464" spans="20:20">
      <c r="T1464" s="26" t="str">
        <f t="shared" si="23"/>
        <v/>
      </c>
    </row>
    <row r="1465" spans="20:20">
      <c r="T1465" s="26" t="str">
        <f t="shared" si="23"/>
        <v/>
      </c>
    </row>
    <row r="1466" spans="20:20">
      <c r="T1466" s="26" t="str">
        <f t="shared" si="23"/>
        <v/>
      </c>
    </row>
    <row r="1467" spans="20:20">
      <c r="T1467" s="26" t="str">
        <f t="shared" si="23"/>
        <v/>
      </c>
    </row>
    <row r="1468" spans="20:20">
      <c r="T1468" s="26" t="str">
        <f t="shared" si="23"/>
        <v/>
      </c>
    </row>
    <row r="1469" spans="20:20">
      <c r="T1469" s="26" t="str">
        <f t="shared" si="23"/>
        <v/>
      </c>
    </row>
    <row r="1470" spans="20:20">
      <c r="T1470" s="26" t="str">
        <f t="shared" si="23"/>
        <v/>
      </c>
    </row>
    <row r="1471" spans="20:20">
      <c r="T1471" s="26" t="str">
        <f t="shared" si="23"/>
        <v/>
      </c>
    </row>
    <row r="1472" spans="20:20">
      <c r="T1472" s="26" t="str">
        <f t="shared" si="23"/>
        <v/>
      </c>
    </row>
    <row r="1473" spans="20:20">
      <c r="T1473" s="26" t="str">
        <f t="shared" si="23"/>
        <v/>
      </c>
    </row>
    <row r="1474" spans="20:20">
      <c r="T1474" s="26" t="str">
        <f t="shared" si="23"/>
        <v/>
      </c>
    </row>
    <row r="1475" spans="20:20">
      <c r="T1475" s="26" t="str">
        <f t="shared" si="23"/>
        <v/>
      </c>
    </row>
    <row r="1476" spans="20:20">
      <c r="T1476" s="26" t="str">
        <f t="shared" si="23"/>
        <v/>
      </c>
    </row>
    <row r="1477" spans="20:20">
      <c r="T1477" s="26" t="str">
        <f t="shared" si="23"/>
        <v/>
      </c>
    </row>
    <row r="1478" spans="20:20">
      <c r="T1478" s="26" t="str">
        <f t="shared" si="23"/>
        <v/>
      </c>
    </row>
    <row r="1479" spans="20:20">
      <c r="T1479" s="26" t="str">
        <f t="shared" si="23"/>
        <v/>
      </c>
    </row>
    <row r="1480" spans="20:20">
      <c r="T1480" s="26" t="str">
        <f t="shared" si="23"/>
        <v/>
      </c>
    </row>
    <row r="1481" spans="20:20">
      <c r="T1481" s="26" t="str">
        <f t="shared" si="23"/>
        <v/>
      </c>
    </row>
    <row r="1482" spans="20:20">
      <c r="T1482" s="26" t="str">
        <f t="shared" si="23"/>
        <v/>
      </c>
    </row>
    <row r="1483" spans="20:20">
      <c r="T1483" s="26" t="str">
        <f t="shared" si="23"/>
        <v/>
      </c>
    </row>
    <row r="1484" spans="20:20">
      <c r="T1484" s="26" t="str">
        <f t="shared" si="23"/>
        <v/>
      </c>
    </row>
    <row r="1485" spans="20:20">
      <c r="T1485" s="26" t="str">
        <f t="shared" si="23"/>
        <v/>
      </c>
    </row>
    <row r="1486" spans="20:20">
      <c r="T1486" s="26" t="str">
        <f t="shared" si="23"/>
        <v/>
      </c>
    </row>
    <row r="1487" spans="20:20">
      <c r="T1487" s="26" t="str">
        <f t="shared" si="23"/>
        <v/>
      </c>
    </row>
    <row r="1488" spans="20:20">
      <c r="T1488" s="26" t="str">
        <f t="shared" ref="T1488:T1551" si="24">U1488&amp;V1488</f>
        <v/>
      </c>
    </row>
    <row r="1489" spans="20:20">
      <c r="T1489" s="26" t="str">
        <f t="shared" si="24"/>
        <v/>
      </c>
    </row>
    <row r="1490" spans="20:20">
      <c r="T1490" s="26" t="str">
        <f t="shared" si="24"/>
        <v/>
      </c>
    </row>
    <row r="1491" spans="20:20">
      <c r="T1491" s="26" t="str">
        <f t="shared" si="24"/>
        <v/>
      </c>
    </row>
    <row r="1492" spans="20:20">
      <c r="T1492" s="26" t="str">
        <f t="shared" si="24"/>
        <v/>
      </c>
    </row>
    <row r="1493" spans="20:20">
      <c r="T1493" s="26" t="str">
        <f t="shared" si="24"/>
        <v/>
      </c>
    </row>
    <row r="1494" spans="20:20">
      <c r="T1494" s="26" t="str">
        <f t="shared" si="24"/>
        <v/>
      </c>
    </row>
    <row r="1495" spans="20:20">
      <c r="T1495" s="26" t="str">
        <f t="shared" si="24"/>
        <v/>
      </c>
    </row>
    <row r="1496" spans="20:20">
      <c r="T1496" s="26" t="str">
        <f t="shared" si="24"/>
        <v/>
      </c>
    </row>
    <row r="1497" spans="20:20">
      <c r="T1497" s="26" t="str">
        <f t="shared" si="24"/>
        <v/>
      </c>
    </row>
    <row r="1498" spans="20:20">
      <c r="T1498" s="26" t="str">
        <f t="shared" si="24"/>
        <v/>
      </c>
    </row>
    <row r="1499" spans="20:20">
      <c r="T1499" s="26" t="str">
        <f t="shared" si="24"/>
        <v/>
      </c>
    </row>
    <row r="1500" spans="20:20">
      <c r="T1500" s="26" t="str">
        <f t="shared" si="24"/>
        <v/>
      </c>
    </row>
    <row r="1501" spans="20:20">
      <c r="T1501" s="26" t="str">
        <f t="shared" si="24"/>
        <v/>
      </c>
    </row>
    <row r="1502" spans="20:20">
      <c r="T1502" s="26" t="str">
        <f t="shared" si="24"/>
        <v/>
      </c>
    </row>
    <row r="1503" spans="20:20">
      <c r="T1503" s="26" t="str">
        <f t="shared" si="24"/>
        <v/>
      </c>
    </row>
    <row r="1504" spans="20:20">
      <c r="T1504" s="26" t="str">
        <f t="shared" si="24"/>
        <v/>
      </c>
    </row>
    <row r="1505" spans="20:20">
      <c r="T1505" s="26" t="str">
        <f t="shared" si="24"/>
        <v/>
      </c>
    </row>
    <row r="1506" spans="20:20">
      <c r="T1506" s="26" t="str">
        <f t="shared" si="24"/>
        <v/>
      </c>
    </row>
    <row r="1507" spans="20:20">
      <c r="T1507" s="26" t="str">
        <f t="shared" si="24"/>
        <v/>
      </c>
    </row>
    <row r="1508" spans="20:20">
      <c r="T1508" s="26" t="str">
        <f t="shared" si="24"/>
        <v/>
      </c>
    </row>
    <row r="1509" spans="20:20">
      <c r="T1509" s="26" t="str">
        <f t="shared" si="24"/>
        <v/>
      </c>
    </row>
    <row r="1510" spans="20:20">
      <c r="T1510" s="26" t="str">
        <f t="shared" si="24"/>
        <v/>
      </c>
    </row>
    <row r="1511" spans="20:20">
      <c r="T1511" s="26" t="str">
        <f t="shared" si="24"/>
        <v/>
      </c>
    </row>
    <row r="1512" spans="20:20">
      <c r="T1512" s="26" t="str">
        <f t="shared" si="24"/>
        <v/>
      </c>
    </row>
    <row r="1513" spans="20:20">
      <c r="T1513" s="26" t="str">
        <f t="shared" si="24"/>
        <v/>
      </c>
    </row>
    <row r="1514" spans="20:20">
      <c r="T1514" s="26" t="str">
        <f t="shared" si="24"/>
        <v/>
      </c>
    </row>
    <row r="1515" spans="20:20">
      <c r="T1515" s="26" t="str">
        <f t="shared" si="24"/>
        <v/>
      </c>
    </row>
    <row r="1516" spans="20:20">
      <c r="T1516" s="26" t="str">
        <f t="shared" si="24"/>
        <v/>
      </c>
    </row>
    <row r="1517" spans="20:20">
      <c r="T1517" s="26" t="str">
        <f t="shared" si="24"/>
        <v/>
      </c>
    </row>
    <row r="1518" spans="20:20">
      <c r="T1518" s="26" t="str">
        <f t="shared" si="24"/>
        <v/>
      </c>
    </row>
    <row r="1519" spans="20:20">
      <c r="T1519" s="26" t="str">
        <f t="shared" si="24"/>
        <v/>
      </c>
    </row>
    <row r="1520" spans="20:20">
      <c r="T1520" s="26" t="str">
        <f t="shared" si="24"/>
        <v/>
      </c>
    </row>
    <row r="1521" spans="20:20">
      <c r="T1521" s="26" t="str">
        <f t="shared" si="24"/>
        <v/>
      </c>
    </row>
    <row r="1522" spans="20:20">
      <c r="T1522" s="26" t="str">
        <f t="shared" si="24"/>
        <v/>
      </c>
    </row>
    <row r="1523" spans="20:20">
      <c r="T1523" s="26" t="str">
        <f t="shared" si="24"/>
        <v/>
      </c>
    </row>
    <row r="1524" spans="20:20">
      <c r="T1524" s="26" t="str">
        <f t="shared" si="24"/>
        <v/>
      </c>
    </row>
    <row r="1525" spans="20:20">
      <c r="T1525" s="26" t="str">
        <f t="shared" si="24"/>
        <v/>
      </c>
    </row>
    <row r="1526" spans="20:20">
      <c r="T1526" s="26" t="str">
        <f t="shared" si="24"/>
        <v/>
      </c>
    </row>
    <row r="1527" spans="20:20">
      <c r="T1527" s="26" t="str">
        <f t="shared" si="24"/>
        <v/>
      </c>
    </row>
    <row r="1528" spans="20:20">
      <c r="T1528" s="26" t="str">
        <f t="shared" si="24"/>
        <v/>
      </c>
    </row>
    <row r="1529" spans="20:20">
      <c r="T1529" s="26" t="str">
        <f t="shared" si="24"/>
        <v/>
      </c>
    </row>
    <row r="1530" spans="20:20">
      <c r="T1530" s="26" t="str">
        <f t="shared" si="24"/>
        <v/>
      </c>
    </row>
    <row r="1531" spans="20:20">
      <c r="T1531" s="26" t="str">
        <f t="shared" si="24"/>
        <v/>
      </c>
    </row>
    <row r="1532" spans="20:20">
      <c r="T1532" s="26" t="str">
        <f t="shared" si="24"/>
        <v/>
      </c>
    </row>
    <row r="1533" spans="20:20">
      <c r="T1533" s="26" t="str">
        <f t="shared" si="24"/>
        <v/>
      </c>
    </row>
    <row r="1534" spans="20:20">
      <c r="T1534" s="26" t="str">
        <f t="shared" si="24"/>
        <v/>
      </c>
    </row>
    <row r="1535" spans="20:20">
      <c r="T1535" s="26" t="str">
        <f t="shared" si="24"/>
        <v/>
      </c>
    </row>
    <row r="1536" spans="20:20">
      <c r="T1536" s="26" t="str">
        <f t="shared" si="24"/>
        <v/>
      </c>
    </row>
    <row r="1537" spans="20:20">
      <c r="T1537" s="26" t="str">
        <f t="shared" si="24"/>
        <v/>
      </c>
    </row>
    <row r="1538" spans="20:20">
      <c r="T1538" s="26" t="str">
        <f t="shared" si="24"/>
        <v/>
      </c>
    </row>
    <row r="1539" spans="20:20">
      <c r="T1539" s="26" t="str">
        <f t="shared" si="24"/>
        <v/>
      </c>
    </row>
    <row r="1540" spans="20:20">
      <c r="T1540" s="26" t="str">
        <f t="shared" si="24"/>
        <v/>
      </c>
    </row>
    <row r="1541" spans="20:20">
      <c r="T1541" s="26" t="str">
        <f t="shared" si="24"/>
        <v/>
      </c>
    </row>
    <row r="1542" spans="20:20">
      <c r="T1542" s="26" t="str">
        <f t="shared" si="24"/>
        <v/>
      </c>
    </row>
    <row r="1543" spans="20:20">
      <c r="T1543" s="26" t="str">
        <f t="shared" si="24"/>
        <v/>
      </c>
    </row>
    <row r="1544" spans="20:20">
      <c r="T1544" s="26" t="str">
        <f t="shared" si="24"/>
        <v/>
      </c>
    </row>
    <row r="1545" spans="20:20">
      <c r="T1545" s="26" t="str">
        <f t="shared" si="24"/>
        <v/>
      </c>
    </row>
    <row r="1546" spans="20:20">
      <c r="T1546" s="26" t="str">
        <f t="shared" si="24"/>
        <v/>
      </c>
    </row>
    <row r="1547" spans="20:20">
      <c r="T1547" s="26" t="str">
        <f t="shared" si="24"/>
        <v/>
      </c>
    </row>
    <row r="1548" spans="20:20">
      <c r="T1548" s="26" t="str">
        <f t="shared" si="24"/>
        <v/>
      </c>
    </row>
    <row r="1549" spans="20:20">
      <c r="T1549" s="26" t="str">
        <f t="shared" si="24"/>
        <v/>
      </c>
    </row>
    <row r="1550" spans="20:20">
      <c r="T1550" s="26" t="str">
        <f t="shared" si="24"/>
        <v/>
      </c>
    </row>
    <row r="1551" spans="20:20">
      <c r="T1551" s="26" t="str">
        <f t="shared" si="24"/>
        <v/>
      </c>
    </row>
    <row r="1552" spans="20:20">
      <c r="T1552" s="26" t="str">
        <f t="shared" ref="T1552:T1615" si="25">U1552&amp;V1552</f>
        <v/>
      </c>
    </row>
    <row r="1553" spans="20:20">
      <c r="T1553" s="26" t="str">
        <f t="shared" si="25"/>
        <v/>
      </c>
    </row>
    <row r="1554" spans="20:20">
      <c r="T1554" s="26" t="str">
        <f t="shared" si="25"/>
        <v/>
      </c>
    </row>
    <row r="1555" spans="20:20">
      <c r="T1555" s="26" t="str">
        <f t="shared" si="25"/>
        <v/>
      </c>
    </row>
    <row r="1556" spans="20:20">
      <c r="T1556" s="26" t="str">
        <f t="shared" si="25"/>
        <v/>
      </c>
    </row>
    <row r="1557" spans="20:20">
      <c r="T1557" s="26" t="str">
        <f t="shared" si="25"/>
        <v/>
      </c>
    </row>
    <row r="1558" spans="20:20">
      <c r="T1558" s="26" t="str">
        <f t="shared" si="25"/>
        <v/>
      </c>
    </row>
    <row r="1559" spans="20:20">
      <c r="T1559" s="26" t="str">
        <f t="shared" si="25"/>
        <v/>
      </c>
    </row>
    <row r="1560" spans="20:20">
      <c r="T1560" s="26" t="str">
        <f t="shared" si="25"/>
        <v/>
      </c>
    </row>
    <row r="1561" spans="20:20">
      <c r="T1561" s="26" t="str">
        <f t="shared" si="25"/>
        <v/>
      </c>
    </row>
    <row r="1562" spans="20:20">
      <c r="T1562" s="26" t="str">
        <f t="shared" si="25"/>
        <v/>
      </c>
    </row>
    <row r="1563" spans="20:20">
      <c r="T1563" s="26" t="str">
        <f t="shared" si="25"/>
        <v/>
      </c>
    </row>
    <row r="1564" spans="20:20">
      <c r="T1564" s="26" t="str">
        <f t="shared" si="25"/>
        <v/>
      </c>
    </row>
    <row r="1565" spans="20:20">
      <c r="T1565" s="26" t="str">
        <f t="shared" si="25"/>
        <v/>
      </c>
    </row>
    <row r="1566" spans="20:20">
      <c r="T1566" s="26" t="str">
        <f t="shared" si="25"/>
        <v/>
      </c>
    </row>
    <row r="1567" spans="20:20">
      <c r="T1567" s="26" t="str">
        <f t="shared" si="25"/>
        <v/>
      </c>
    </row>
    <row r="1568" spans="20:20">
      <c r="T1568" s="26" t="str">
        <f t="shared" si="25"/>
        <v/>
      </c>
    </row>
    <row r="1569" spans="20:20">
      <c r="T1569" s="26" t="str">
        <f t="shared" si="25"/>
        <v/>
      </c>
    </row>
    <row r="1570" spans="20:20">
      <c r="T1570" s="26" t="str">
        <f t="shared" si="25"/>
        <v/>
      </c>
    </row>
    <row r="1571" spans="20:20">
      <c r="T1571" s="26" t="str">
        <f t="shared" si="25"/>
        <v/>
      </c>
    </row>
    <row r="1572" spans="20:20">
      <c r="T1572" s="26" t="str">
        <f t="shared" si="25"/>
        <v/>
      </c>
    </row>
    <row r="1573" spans="20:20">
      <c r="T1573" s="26" t="str">
        <f t="shared" si="25"/>
        <v/>
      </c>
    </row>
    <row r="1574" spans="20:20">
      <c r="T1574" s="26" t="str">
        <f t="shared" si="25"/>
        <v/>
      </c>
    </row>
    <row r="1575" spans="20:20">
      <c r="T1575" s="26" t="str">
        <f t="shared" si="25"/>
        <v/>
      </c>
    </row>
    <row r="1576" spans="20:20">
      <c r="T1576" s="26" t="str">
        <f t="shared" si="25"/>
        <v/>
      </c>
    </row>
    <row r="1577" spans="20:20">
      <c r="T1577" s="26" t="str">
        <f t="shared" si="25"/>
        <v/>
      </c>
    </row>
    <row r="1578" spans="20:20">
      <c r="T1578" s="26" t="str">
        <f t="shared" si="25"/>
        <v/>
      </c>
    </row>
    <row r="1579" spans="20:20">
      <c r="T1579" s="26" t="str">
        <f t="shared" si="25"/>
        <v/>
      </c>
    </row>
    <row r="1580" spans="20:20">
      <c r="T1580" s="26" t="str">
        <f t="shared" si="25"/>
        <v/>
      </c>
    </row>
    <row r="1581" spans="20:20">
      <c r="T1581" s="26" t="str">
        <f t="shared" si="25"/>
        <v/>
      </c>
    </row>
    <row r="1582" spans="20:20">
      <c r="T1582" s="26" t="str">
        <f t="shared" si="25"/>
        <v/>
      </c>
    </row>
    <row r="1583" spans="20:20">
      <c r="T1583" s="26" t="str">
        <f t="shared" si="25"/>
        <v/>
      </c>
    </row>
    <row r="1584" spans="20:20">
      <c r="T1584" s="26" t="str">
        <f t="shared" si="25"/>
        <v/>
      </c>
    </row>
    <row r="1585" spans="20:20">
      <c r="T1585" s="26" t="str">
        <f t="shared" si="25"/>
        <v/>
      </c>
    </row>
    <row r="1586" spans="20:20">
      <c r="T1586" s="26" t="str">
        <f t="shared" si="25"/>
        <v/>
      </c>
    </row>
    <row r="1587" spans="20:20">
      <c r="T1587" s="26" t="str">
        <f t="shared" si="25"/>
        <v/>
      </c>
    </row>
    <row r="1588" spans="20:20">
      <c r="T1588" s="26" t="str">
        <f t="shared" si="25"/>
        <v/>
      </c>
    </row>
    <row r="1589" spans="20:20">
      <c r="T1589" s="26" t="str">
        <f t="shared" si="25"/>
        <v/>
      </c>
    </row>
    <row r="1590" spans="20:20">
      <c r="T1590" s="26" t="str">
        <f t="shared" si="25"/>
        <v/>
      </c>
    </row>
    <row r="1591" spans="20:20">
      <c r="T1591" s="26" t="str">
        <f t="shared" si="25"/>
        <v/>
      </c>
    </row>
    <row r="1592" spans="20:20">
      <c r="T1592" s="26" t="str">
        <f t="shared" si="25"/>
        <v/>
      </c>
    </row>
    <row r="1593" spans="20:20">
      <c r="T1593" s="26" t="str">
        <f t="shared" si="25"/>
        <v/>
      </c>
    </row>
    <row r="1594" spans="20:20">
      <c r="T1594" s="26" t="str">
        <f t="shared" si="25"/>
        <v/>
      </c>
    </row>
    <row r="1595" spans="20:20">
      <c r="T1595" s="26" t="str">
        <f t="shared" si="25"/>
        <v/>
      </c>
    </row>
    <row r="1596" spans="20:20">
      <c r="T1596" s="26" t="str">
        <f t="shared" si="25"/>
        <v/>
      </c>
    </row>
    <row r="1597" spans="20:20">
      <c r="T1597" s="26" t="str">
        <f t="shared" si="25"/>
        <v/>
      </c>
    </row>
    <row r="1598" spans="20:20">
      <c r="T1598" s="26" t="str">
        <f t="shared" si="25"/>
        <v/>
      </c>
    </row>
    <row r="1599" spans="20:20">
      <c r="T1599" s="26" t="str">
        <f t="shared" si="25"/>
        <v/>
      </c>
    </row>
    <row r="1600" spans="20:20">
      <c r="T1600" s="26" t="str">
        <f t="shared" si="25"/>
        <v/>
      </c>
    </row>
    <row r="1601" spans="20:20">
      <c r="T1601" s="26" t="str">
        <f t="shared" si="25"/>
        <v/>
      </c>
    </row>
    <row r="1602" spans="20:20">
      <c r="T1602" s="26" t="str">
        <f t="shared" si="25"/>
        <v/>
      </c>
    </row>
    <row r="1603" spans="20:20">
      <c r="T1603" s="26" t="str">
        <f t="shared" si="25"/>
        <v/>
      </c>
    </row>
    <row r="1604" spans="20:20">
      <c r="T1604" s="26" t="str">
        <f t="shared" si="25"/>
        <v/>
      </c>
    </row>
    <row r="1605" spans="20:20">
      <c r="T1605" s="26" t="str">
        <f t="shared" si="25"/>
        <v/>
      </c>
    </row>
    <row r="1606" spans="20:20">
      <c r="T1606" s="26" t="str">
        <f t="shared" si="25"/>
        <v/>
      </c>
    </row>
    <row r="1607" spans="20:20">
      <c r="T1607" s="26" t="str">
        <f t="shared" si="25"/>
        <v/>
      </c>
    </row>
    <row r="1608" spans="20:20">
      <c r="T1608" s="26" t="str">
        <f t="shared" si="25"/>
        <v/>
      </c>
    </row>
    <row r="1609" spans="20:20">
      <c r="T1609" s="26" t="str">
        <f t="shared" si="25"/>
        <v/>
      </c>
    </row>
    <row r="1610" spans="20:20">
      <c r="T1610" s="26" t="str">
        <f t="shared" si="25"/>
        <v/>
      </c>
    </row>
    <row r="1611" spans="20:20">
      <c r="T1611" s="26" t="str">
        <f t="shared" si="25"/>
        <v/>
      </c>
    </row>
    <row r="1612" spans="20:20">
      <c r="T1612" s="26" t="str">
        <f t="shared" si="25"/>
        <v/>
      </c>
    </row>
    <row r="1613" spans="20:20">
      <c r="T1613" s="26" t="str">
        <f t="shared" si="25"/>
        <v/>
      </c>
    </row>
    <row r="1614" spans="20:20">
      <c r="T1614" s="26" t="str">
        <f t="shared" si="25"/>
        <v/>
      </c>
    </row>
    <row r="1615" spans="20:20">
      <c r="T1615" s="26" t="str">
        <f t="shared" si="25"/>
        <v/>
      </c>
    </row>
    <row r="1616" spans="20:20">
      <c r="T1616" s="26" t="str">
        <f t="shared" ref="T1616:T1679" si="26">U1616&amp;V1616</f>
        <v/>
      </c>
    </row>
    <row r="1617" spans="20:20">
      <c r="T1617" s="26" t="str">
        <f t="shared" si="26"/>
        <v/>
      </c>
    </row>
    <row r="1618" spans="20:20">
      <c r="T1618" s="26" t="str">
        <f t="shared" si="26"/>
        <v/>
      </c>
    </row>
    <row r="1619" spans="20:20">
      <c r="T1619" s="26" t="str">
        <f t="shared" si="26"/>
        <v/>
      </c>
    </row>
    <row r="1620" spans="20:20">
      <c r="T1620" s="26" t="str">
        <f t="shared" si="26"/>
        <v/>
      </c>
    </row>
    <row r="1621" spans="20:20">
      <c r="T1621" s="26" t="str">
        <f t="shared" si="26"/>
        <v/>
      </c>
    </row>
    <row r="1622" spans="20:20">
      <c r="T1622" s="26" t="str">
        <f t="shared" si="26"/>
        <v/>
      </c>
    </row>
    <row r="1623" spans="20:20">
      <c r="T1623" s="26" t="str">
        <f t="shared" si="26"/>
        <v/>
      </c>
    </row>
    <row r="1624" spans="20:20">
      <c r="T1624" s="26" t="str">
        <f t="shared" si="26"/>
        <v/>
      </c>
    </row>
    <row r="1625" spans="20:20">
      <c r="T1625" s="26" t="str">
        <f t="shared" si="26"/>
        <v/>
      </c>
    </row>
    <row r="1626" spans="20:20">
      <c r="T1626" s="26" t="str">
        <f t="shared" si="26"/>
        <v/>
      </c>
    </row>
    <row r="1627" spans="20:20">
      <c r="T1627" s="26" t="str">
        <f t="shared" si="26"/>
        <v/>
      </c>
    </row>
    <row r="1628" spans="20:20">
      <c r="T1628" s="26" t="str">
        <f t="shared" si="26"/>
        <v/>
      </c>
    </row>
    <row r="1629" spans="20:20">
      <c r="T1629" s="26" t="str">
        <f t="shared" si="26"/>
        <v/>
      </c>
    </row>
    <row r="1630" spans="20:20">
      <c r="T1630" s="26" t="str">
        <f t="shared" si="26"/>
        <v/>
      </c>
    </row>
    <row r="1631" spans="20:20">
      <c r="T1631" s="26" t="str">
        <f t="shared" si="26"/>
        <v/>
      </c>
    </row>
    <row r="1632" spans="20:20">
      <c r="T1632" s="26" t="str">
        <f t="shared" si="26"/>
        <v/>
      </c>
    </row>
    <row r="1633" spans="20:20">
      <c r="T1633" s="26" t="str">
        <f t="shared" si="26"/>
        <v/>
      </c>
    </row>
    <row r="1634" spans="20:20">
      <c r="T1634" s="26" t="str">
        <f t="shared" si="26"/>
        <v/>
      </c>
    </row>
    <row r="1635" spans="20:20">
      <c r="T1635" s="26" t="str">
        <f t="shared" si="26"/>
        <v/>
      </c>
    </row>
    <row r="1636" spans="20:20">
      <c r="T1636" s="26" t="str">
        <f t="shared" si="26"/>
        <v/>
      </c>
    </row>
    <row r="1637" spans="20:20">
      <c r="T1637" s="26" t="str">
        <f t="shared" si="26"/>
        <v/>
      </c>
    </row>
    <row r="1638" spans="20:20">
      <c r="T1638" s="26" t="str">
        <f t="shared" si="26"/>
        <v/>
      </c>
    </row>
    <row r="1639" spans="20:20">
      <c r="T1639" s="26" t="str">
        <f t="shared" si="26"/>
        <v/>
      </c>
    </row>
    <row r="1640" spans="20:20">
      <c r="T1640" s="26" t="str">
        <f t="shared" si="26"/>
        <v/>
      </c>
    </row>
    <row r="1641" spans="20:20">
      <c r="T1641" s="26" t="str">
        <f t="shared" si="26"/>
        <v/>
      </c>
    </row>
    <row r="1642" spans="20:20">
      <c r="T1642" s="26" t="str">
        <f t="shared" si="26"/>
        <v/>
      </c>
    </row>
    <row r="1643" spans="20:20">
      <c r="T1643" s="26" t="str">
        <f t="shared" si="26"/>
        <v/>
      </c>
    </row>
    <row r="1644" spans="20:20">
      <c r="T1644" s="26" t="str">
        <f t="shared" si="26"/>
        <v/>
      </c>
    </row>
    <row r="1645" spans="20:20">
      <c r="T1645" s="26" t="str">
        <f t="shared" si="26"/>
        <v/>
      </c>
    </row>
    <row r="1646" spans="20:20">
      <c r="T1646" s="26" t="str">
        <f t="shared" si="26"/>
        <v/>
      </c>
    </row>
    <row r="1647" spans="20:20">
      <c r="T1647" s="26" t="str">
        <f t="shared" si="26"/>
        <v/>
      </c>
    </row>
    <row r="1648" spans="20:20">
      <c r="T1648" s="26" t="str">
        <f t="shared" si="26"/>
        <v/>
      </c>
    </row>
    <row r="1649" spans="20:20">
      <c r="T1649" s="26" t="str">
        <f t="shared" si="26"/>
        <v/>
      </c>
    </row>
    <row r="1650" spans="20:20">
      <c r="T1650" s="26" t="str">
        <f t="shared" si="26"/>
        <v/>
      </c>
    </row>
    <row r="1651" spans="20:20">
      <c r="T1651" s="26" t="str">
        <f t="shared" si="26"/>
        <v/>
      </c>
    </row>
    <row r="1652" spans="20:20">
      <c r="T1652" s="26" t="str">
        <f t="shared" si="26"/>
        <v/>
      </c>
    </row>
    <row r="1653" spans="20:20">
      <c r="T1653" s="26" t="str">
        <f t="shared" si="26"/>
        <v/>
      </c>
    </row>
    <row r="1654" spans="20:20">
      <c r="T1654" s="26" t="str">
        <f t="shared" si="26"/>
        <v/>
      </c>
    </row>
    <row r="1655" spans="20:20">
      <c r="T1655" s="26" t="str">
        <f t="shared" si="26"/>
        <v/>
      </c>
    </row>
    <row r="1656" spans="20:20">
      <c r="T1656" s="26" t="str">
        <f t="shared" si="26"/>
        <v/>
      </c>
    </row>
    <row r="1657" spans="20:20">
      <c r="T1657" s="26" t="str">
        <f t="shared" si="26"/>
        <v/>
      </c>
    </row>
    <row r="1658" spans="20:20">
      <c r="T1658" s="26" t="str">
        <f t="shared" si="26"/>
        <v/>
      </c>
    </row>
    <row r="1659" spans="20:20">
      <c r="T1659" s="26" t="str">
        <f t="shared" si="26"/>
        <v/>
      </c>
    </row>
    <row r="1660" spans="20:20">
      <c r="T1660" s="26" t="str">
        <f t="shared" si="26"/>
        <v/>
      </c>
    </row>
    <row r="1661" spans="20:20">
      <c r="T1661" s="26" t="str">
        <f t="shared" si="26"/>
        <v/>
      </c>
    </row>
    <row r="1662" spans="20:20">
      <c r="T1662" s="26" t="str">
        <f t="shared" si="26"/>
        <v/>
      </c>
    </row>
    <row r="1663" spans="20:20">
      <c r="T1663" s="26" t="str">
        <f t="shared" si="26"/>
        <v/>
      </c>
    </row>
    <row r="1664" spans="20:20">
      <c r="T1664" s="26" t="str">
        <f t="shared" si="26"/>
        <v/>
      </c>
    </row>
    <row r="1665" spans="20:20">
      <c r="T1665" s="26" t="str">
        <f t="shared" si="26"/>
        <v/>
      </c>
    </row>
    <row r="1666" spans="20:20">
      <c r="T1666" s="26" t="str">
        <f t="shared" si="26"/>
        <v/>
      </c>
    </row>
    <row r="1667" spans="20:20">
      <c r="T1667" s="26" t="str">
        <f t="shared" si="26"/>
        <v/>
      </c>
    </row>
    <row r="1668" spans="20:20">
      <c r="T1668" s="26" t="str">
        <f t="shared" si="26"/>
        <v/>
      </c>
    </row>
    <row r="1669" spans="20:20">
      <c r="T1669" s="26" t="str">
        <f t="shared" si="26"/>
        <v/>
      </c>
    </row>
    <row r="1670" spans="20:20">
      <c r="T1670" s="26" t="str">
        <f t="shared" si="26"/>
        <v/>
      </c>
    </row>
    <row r="1671" spans="20:20">
      <c r="T1671" s="26" t="str">
        <f t="shared" si="26"/>
        <v/>
      </c>
    </row>
    <row r="1672" spans="20:20">
      <c r="T1672" s="26" t="str">
        <f t="shared" si="26"/>
        <v/>
      </c>
    </row>
    <row r="1673" spans="20:20">
      <c r="T1673" s="26" t="str">
        <f t="shared" si="26"/>
        <v/>
      </c>
    </row>
    <row r="1674" spans="20:20">
      <c r="T1674" s="26" t="str">
        <f t="shared" si="26"/>
        <v/>
      </c>
    </row>
    <row r="1675" spans="20:20">
      <c r="T1675" s="26" t="str">
        <f t="shared" si="26"/>
        <v/>
      </c>
    </row>
    <row r="1676" spans="20:20">
      <c r="T1676" s="26" t="str">
        <f t="shared" si="26"/>
        <v/>
      </c>
    </row>
    <row r="1677" spans="20:20">
      <c r="T1677" s="26" t="str">
        <f t="shared" si="26"/>
        <v/>
      </c>
    </row>
    <row r="1678" spans="20:20">
      <c r="T1678" s="26" t="str">
        <f t="shared" si="26"/>
        <v/>
      </c>
    </row>
    <row r="1679" spans="20:20">
      <c r="T1679" s="26" t="str">
        <f t="shared" si="26"/>
        <v/>
      </c>
    </row>
    <row r="1680" spans="20:20">
      <c r="T1680" s="26" t="str">
        <f t="shared" ref="T1680:T1743" si="27">U1680&amp;V1680</f>
        <v/>
      </c>
    </row>
    <row r="1681" spans="20:20">
      <c r="T1681" s="26" t="str">
        <f t="shared" si="27"/>
        <v/>
      </c>
    </row>
    <row r="1682" spans="20:20">
      <c r="T1682" s="26" t="str">
        <f t="shared" si="27"/>
        <v/>
      </c>
    </row>
    <row r="1683" spans="20:20">
      <c r="T1683" s="26" t="str">
        <f t="shared" si="27"/>
        <v/>
      </c>
    </row>
    <row r="1684" spans="20:20">
      <c r="T1684" s="26" t="str">
        <f t="shared" si="27"/>
        <v/>
      </c>
    </row>
    <row r="1685" spans="20:20">
      <c r="T1685" s="26" t="str">
        <f t="shared" si="27"/>
        <v/>
      </c>
    </row>
    <row r="1686" spans="20:20">
      <c r="T1686" s="26" t="str">
        <f t="shared" si="27"/>
        <v/>
      </c>
    </row>
    <row r="1687" spans="20:20">
      <c r="T1687" s="26" t="str">
        <f t="shared" si="27"/>
        <v/>
      </c>
    </row>
    <row r="1688" spans="20:20">
      <c r="T1688" s="26" t="str">
        <f t="shared" si="27"/>
        <v/>
      </c>
    </row>
    <row r="1689" spans="20:20">
      <c r="T1689" s="26" t="str">
        <f t="shared" si="27"/>
        <v/>
      </c>
    </row>
    <row r="1690" spans="20:20">
      <c r="T1690" s="26" t="str">
        <f t="shared" si="27"/>
        <v/>
      </c>
    </row>
    <row r="1691" spans="20:20">
      <c r="T1691" s="26" t="str">
        <f t="shared" si="27"/>
        <v/>
      </c>
    </row>
    <row r="1692" spans="20:20">
      <c r="T1692" s="26" t="str">
        <f t="shared" si="27"/>
        <v/>
      </c>
    </row>
    <row r="1693" spans="20:20">
      <c r="T1693" s="26" t="str">
        <f t="shared" si="27"/>
        <v/>
      </c>
    </row>
    <row r="1694" spans="20:20">
      <c r="T1694" s="26" t="str">
        <f t="shared" si="27"/>
        <v/>
      </c>
    </row>
    <row r="1695" spans="20:20">
      <c r="T1695" s="26" t="str">
        <f t="shared" si="27"/>
        <v/>
      </c>
    </row>
    <row r="1696" spans="20:20">
      <c r="T1696" s="26" t="str">
        <f t="shared" si="27"/>
        <v/>
      </c>
    </row>
    <row r="1697" spans="20:20">
      <c r="T1697" s="26" t="str">
        <f t="shared" si="27"/>
        <v/>
      </c>
    </row>
    <row r="1698" spans="20:20">
      <c r="T1698" s="26" t="str">
        <f t="shared" si="27"/>
        <v/>
      </c>
    </row>
    <row r="1699" spans="20:20">
      <c r="T1699" s="26" t="str">
        <f t="shared" si="27"/>
        <v/>
      </c>
    </row>
    <row r="1700" spans="20:20">
      <c r="T1700" s="26" t="str">
        <f t="shared" si="27"/>
        <v/>
      </c>
    </row>
    <row r="1701" spans="20:20">
      <c r="T1701" s="26" t="str">
        <f t="shared" si="27"/>
        <v/>
      </c>
    </row>
    <row r="1702" spans="20:20">
      <c r="T1702" s="26" t="str">
        <f t="shared" si="27"/>
        <v/>
      </c>
    </row>
    <row r="1703" spans="20:20">
      <c r="T1703" s="26" t="str">
        <f t="shared" si="27"/>
        <v/>
      </c>
    </row>
    <row r="1704" spans="20:20">
      <c r="T1704" s="26" t="str">
        <f t="shared" si="27"/>
        <v/>
      </c>
    </row>
    <row r="1705" spans="20:20">
      <c r="T1705" s="26" t="str">
        <f t="shared" si="27"/>
        <v/>
      </c>
    </row>
    <row r="1706" spans="20:20">
      <c r="T1706" s="26" t="str">
        <f t="shared" si="27"/>
        <v/>
      </c>
    </row>
    <row r="1707" spans="20:20">
      <c r="T1707" s="26" t="str">
        <f t="shared" si="27"/>
        <v/>
      </c>
    </row>
    <row r="1708" spans="20:20">
      <c r="T1708" s="26" t="str">
        <f t="shared" si="27"/>
        <v/>
      </c>
    </row>
    <row r="1709" spans="20:20">
      <c r="T1709" s="26" t="str">
        <f t="shared" si="27"/>
        <v/>
      </c>
    </row>
    <row r="1710" spans="20:20">
      <c r="T1710" s="26" t="str">
        <f t="shared" si="27"/>
        <v/>
      </c>
    </row>
    <row r="1711" spans="20:20">
      <c r="T1711" s="26" t="str">
        <f t="shared" si="27"/>
        <v/>
      </c>
    </row>
    <row r="1712" spans="20:20">
      <c r="T1712" s="26" t="str">
        <f t="shared" si="27"/>
        <v/>
      </c>
    </row>
    <row r="1713" spans="20:20">
      <c r="T1713" s="26" t="str">
        <f t="shared" si="27"/>
        <v/>
      </c>
    </row>
    <row r="1714" spans="20:20">
      <c r="T1714" s="26" t="str">
        <f t="shared" si="27"/>
        <v/>
      </c>
    </row>
    <row r="1715" spans="20:20">
      <c r="T1715" s="26" t="str">
        <f t="shared" si="27"/>
        <v/>
      </c>
    </row>
    <row r="1716" spans="20:20">
      <c r="T1716" s="26" t="str">
        <f t="shared" si="27"/>
        <v/>
      </c>
    </row>
    <row r="1717" spans="20:20">
      <c r="T1717" s="26" t="str">
        <f t="shared" si="27"/>
        <v/>
      </c>
    </row>
    <row r="1718" spans="20:20">
      <c r="T1718" s="26" t="str">
        <f t="shared" si="27"/>
        <v/>
      </c>
    </row>
    <row r="1719" spans="20:20">
      <c r="T1719" s="26" t="str">
        <f t="shared" si="27"/>
        <v/>
      </c>
    </row>
    <row r="1720" spans="20:20">
      <c r="T1720" s="26" t="str">
        <f t="shared" si="27"/>
        <v/>
      </c>
    </row>
    <row r="1721" spans="20:20">
      <c r="T1721" s="26" t="str">
        <f t="shared" si="27"/>
        <v/>
      </c>
    </row>
    <row r="1722" spans="20:20">
      <c r="T1722" s="26" t="str">
        <f t="shared" si="27"/>
        <v/>
      </c>
    </row>
    <row r="1723" spans="20:20">
      <c r="T1723" s="26" t="str">
        <f t="shared" si="27"/>
        <v/>
      </c>
    </row>
    <row r="1724" spans="20:20">
      <c r="T1724" s="26" t="str">
        <f t="shared" si="27"/>
        <v/>
      </c>
    </row>
    <row r="1725" spans="20:20">
      <c r="T1725" s="26" t="str">
        <f t="shared" si="27"/>
        <v/>
      </c>
    </row>
    <row r="1726" spans="20:20">
      <c r="T1726" s="26" t="str">
        <f t="shared" si="27"/>
        <v/>
      </c>
    </row>
    <row r="1727" spans="20:20">
      <c r="T1727" s="26" t="str">
        <f t="shared" si="27"/>
        <v/>
      </c>
    </row>
    <row r="1728" spans="20:20">
      <c r="T1728" s="26" t="str">
        <f t="shared" si="27"/>
        <v/>
      </c>
    </row>
    <row r="1729" spans="20:20">
      <c r="T1729" s="26" t="str">
        <f t="shared" si="27"/>
        <v/>
      </c>
    </row>
    <row r="1730" spans="20:20">
      <c r="T1730" s="26" t="str">
        <f t="shared" si="27"/>
        <v/>
      </c>
    </row>
    <row r="1731" spans="20:20">
      <c r="T1731" s="26" t="str">
        <f t="shared" si="27"/>
        <v/>
      </c>
    </row>
    <row r="1732" spans="20:20">
      <c r="T1732" s="26" t="str">
        <f t="shared" si="27"/>
        <v/>
      </c>
    </row>
    <row r="1733" spans="20:20">
      <c r="T1733" s="26" t="str">
        <f t="shared" si="27"/>
        <v/>
      </c>
    </row>
    <row r="1734" spans="20:20">
      <c r="T1734" s="26" t="str">
        <f t="shared" si="27"/>
        <v/>
      </c>
    </row>
    <row r="1735" spans="20:20">
      <c r="T1735" s="26" t="str">
        <f t="shared" si="27"/>
        <v/>
      </c>
    </row>
    <row r="1736" spans="20:20">
      <c r="T1736" s="26" t="str">
        <f t="shared" si="27"/>
        <v/>
      </c>
    </row>
    <row r="1737" spans="20:20">
      <c r="T1737" s="26" t="str">
        <f t="shared" si="27"/>
        <v/>
      </c>
    </row>
    <row r="1738" spans="20:20">
      <c r="T1738" s="26" t="str">
        <f t="shared" si="27"/>
        <v/>
      </c>
    </row>
    <row r="1739" spans="20:20">
      <c r="T1739" s="26" t="str">
        <f t="shared" si="27"/>
        <v/>
      </c>
    </row>
    <row r="1740" spans="20:20">
      <c r="T1740" s="26" t="str">
        <f t="shared" si="27"/>
        <v/>
      </c>
    </row>
    <row r="1741" spans="20:20">
      <c r="T1741" s="26" t="str">
        <f t="shared" si="27"/>
        <v/>
      </c>
    </row>
    <row r="1742" spans="20:20">
      <c r="T1742" s="26" t="str">
        <f t="shared" si="27"/>
        <v/>
      </c>
    </row>
    <row r="1743" spans="20:20">
      <c r="T1743" s="26" t="str">
        <f t="shared" si="27"/>
        <v/>
      </c>
    </row>
    <row r="1744" spans="20:20">
      <c r="T1744" s="26" t="str">
        <f t="shared" ref="T1744:T1807" si="28">U1744&amp;V1744</f>
        <v/>
      </c>
    </row>
    <row r="1745" spans="20:20">
      <c r="T1745" s="26" t="str">
        <f t="shared" si="28"/>
        <v/>
      </c>
    </row>
    <row r="1746" spans="20:20">
      <c r="T1746" s="26" t="str">
        <f t="shared" si="28"/>
        <v/>
      </c>
    </row>
    <row r="1747" spans="20:20">
      <c r="T1747" s="26" t="str">
        <f t="shared" si="28"/>
        <v/>
      </c>
    </row>
    <row r="1748" spans="20:20">
      <c r="T1748" s="26" t="str">
        <f t="shared" si="28"/>
        <v/>
      </c>
    </row>
    <row r="1749" spans="20:20">
      <c r="T1749" s="26" t="str">
        <f t="shared" si="28"/>
        <v/>
      </c>
    </row>
    <row r="1750" spans="20:20">
      <c r="T1750" s="26" t="str">
        <f t="shared" si="28"/>
        <v/>
      </c>
    </row>
    <row r="1751" spans="20:20">
      <c r="T1751" s="26" t="str">
        <f t="shared" si="28"/>
        <v/>
      </c>
    </row>
    <row r="1752" spans="20:20">
      <c r="T1752" s="26" t="str">
        <f t="shared" si="28"/>
        <v/>
      </c>
    </row>
    <row r="1753" spans="20:20">
      <c r="T1753" s="26" t="str">
        <f t="shared" si="28"/>
        <v/>
      </c>
    </row>
    <row r="1754" spans="20:20">
      <c r="T1754" s="26" t="str">
        <f t="shared" si="28"/>
        <v/>
      </c>
    </row>
    <row r="1755" spans="20:20">
      <c r="T1755" s="26" t="str">
        <f t="shared" si="28"/>
        <v/>
      </c>
    </row>
    <row r="1756" spans="20:20">
      <c r="T1756" s="26" t="str">
        <f t="shared" si="28"/>
        <v/>
      </c>
    </row>
    <row r="1757" spans="20:20">
      <c r="T1757" s="26" t="str">
        <f t="shared" si="28"/>
        <v/>
      </c>
    </row>
    <row r="1758" spans="20:20">
      <c r="T1758" s="26" t="str">
        <f t="shared" si="28"/>
        <v/>
      </c>
    </row>
    <row r="1759" spans="20:20">
      <c r="T1759" s="26" t="str">
        <f t="shared" si="28"/>
        <v/>
      </c>
    </row>
    <row r="1760" spans="20:20">
      <c r="T1760" s="26" t="str">
        <f t="shared" si="28"/>
        <v/>
      </c>
    </row>
    <row r="1761" spans="20:20">
      <c r="T1761" s="26" t="str">
        <f t="shared" si="28"/>
        <v/>
      </c>
    </row>
    <row r="1762" spans="20:20">
      <c r="T1762" s="26" t="str">
        <f t="shared" si="28"/>
        <v/>
      </c>
    </row>
    <row r="1763" spans="20:20">
      <c r="T1763" s="26" t="str">
        <f t="shared" si="28"/>
        <v/>
      </c>
    </row>
    <row r="1764" spans="20:20">
      <c r="T1764" s="26" t="str">
        <f t="shared" si="28"/>
        <v/>
      </c>
    </row>
    <row r="1765" spans="20:20">
      <c r="T1765" s="26" t="str">
        <f t="shared" si="28"/>
        <v/>
      </c>
    </row>
    <row r="1766" spans="20:20">
      <c r="T1766" s="26" t="str">
        <f t="shared" si="28"/>
        <v/>
      </c>
    </row>
    <row r="1767" spans="20:20">
      <c r="T1767" s="26" t="str">
        <f t="shared" si="28"/>
        <v/>
      </c>
    </row>
    <row r="1768" spans="20:20">
      <c r="T1768" s="26" t="str">
        <f t="shared" si="28"/>
        <v/>
      </c>
    </row>
    <row r="1769" spans="20:20">
      <c r="T1769" s="26" t="str">
        <f t="shared" si="28"/>
        <v/>
      </c>
    </row>
    <row r="1770" spans="20:20">
      <c r="T1770" s="26" t="str">
        <f t="shared" si="28"/>
        <v/>
      </c>
    </row>
    <row r="1771" spans="20:20">
      <c r="T1771" s="26" t="str">
        <f t="shared" si="28"/>
        <v/>
      </c>
    </row>
    <row r="1772" spans="20:20">
      <c r="T1772" s="26" t="str">
        <f t="shared" si="28"/>
        <v/>
      </c>
    </row>
    <row r="1773" spans="20:20">
      <c r="T1773" s="26" t="str">
        <f t="shared" si="28"/>
        <v/>
      </c>
    </row>
    <row r="1774" spans="20:20">
      <c r="T1774" s="26" t="str">
        <f t="shared" si="28"/>
        <v/>
      </c>
    </row>
    <row r="1775" spans="20:20">
      <c r="T1775" s="26" t="str">
        <f t="shared" si="28"/>
        <v/>
      </c>
    </row>
    <row r="1776" spans="20:20">
      <c r="T1776" s="26" t="str">
        <f t="shared" si="28"/>
        <v/>
      </c>
    </row>
    <row r="1777" spans="20:20">
      <c r="T1777" s="26" t="str">
        <f t="shared" si="28"/>
        <v/>
      </c>
    </row>
    <row r="1778" spans="20:20">
      <c r="T1778" s="26" t="str">
        <f t="shared" si="28"/>
        <v/>
      </c>
    </row>
    <row r="1779" spans="20:20">
      <c r="T1779" s="26" t="str">
        <f t="shared" si="28"/>
        <v/>
      </c>
    </row>
    <row r="1780" spans="20:20">
      <c r="T1780" s="26" t="str">
        <f t="shared" si="28"/>
        <v/>
      </c>
    </row>
    <row r="1781" spans="20:20">
      <c r="T1781" s="26" t="str">
        <f t="shared" si="28"/>
        <v/>
      </c>
    </row>
    <row r="1782" spans="20:20">
      <c r="T1782" s="26" t="str">
        <f t="shared" si="28"/>
        <v/>
      </c>
    </row>
    <row r="1783" spans="20:20">
      <c r="T1783" s="26" t="str">
        <f t="shared" si="28"/>
        <v/>
      </c>
    </row>
    <row r="1784" spans="20:20">
      <c r="T1784" s="26" t="str">
        <f t="shared" si="28"/>
        <v/>
      </c>
    </row>
    <row r="1785" spans="20:20">
      <c r="T1785" s="26" t="str">
        <f t="shared" si="28"/>
        <v/>
      </c>
    </row>
    <row r="1786" spans="20:20">
      <c r="T1786" s="26" t="str">
        <f t="shared" si="28"/>
        <v/>
      </c>
    </row>
    <row r="1787" spans="20:20">
      <c r="T1787" s="26" t="str">
        <f t="shared" si="28"/>
        <v/>
      </c>
    </row>
    <row r="1788" spans="20:20">
      <c r="T1788" s="26" t="str">
        <f t="shared" si="28"/>
        <v/>
      </c>
    </row>
    <row r="1789" spans="20:20">
      <c r="T1789" s="26" t="str">
        <f t="shared" si="28"/>
        <v/>
      </c>
    </row>
    <row r="1790" spans="20:20">
      <c r="T1790" s="26" t="str">
        <f t="shared" si="28"/>
        <v/>
      </c>
    </row>
    <row r="1791" spans="20:20">
      <c r="T1791" s="26" t="str">
        <f t="shared" si="28"/>
        <v/>
      </c>
    </row>
    <row r="1792" spans="20:20">
      <c r="T1792" s="26" t="str">
        <f t="shared" si="28"/>
        <v/>
      </c>
    </row>
    <row r="1793" spans="20:20">
      <c r="T1793" s="26" t="str">
        <f t="shared" si="28"/>
        <v/>
      </c>
    </row>
    <row r="1794" spans="20:20">
      <c r="T1794" s="26" t="str">
        <f t="shared" si="28"/>
        <v/>
      </c>
    </row>
    <row r="1795" spans="20:20">
      <c r="T1795" s="26" t="str">
        <f t="shared" si="28"/>
        <v/>
      </c>
    </row>
    <row r="1796" spans="20:20">
      <c r="T1796" s="26" t="str">
        <f t="shared" si="28"/>
        <v/>
      </c>
    </row>
    <row r="1797" spans="20:20">
      <c r="T1797" s="26" t="str">
        <f t="shared" si="28"/>
        <v/>
      </c>
    </row>
    <row r="1798" spans="20:20">
      <c r="T1798" s="26" t="str">
        <f t="shared" si="28"/>
        <v/>
      </c>
    </row>
    <row r="1799" spans="20:20">
      <c r="T1799" s="26" t="str">
        <f t="shared" si="28"/>
        <v/>
      </c>
    </row>
    <row r="1800" spans="20:20">
      <c r="T1800" s="26" t="str">
        <f t="shared" si="28"/>
        <v/>
      </c>
    </row>
    <row r="1801" spans="20:20">
      <c r="T1801" s="26" t="str">
        <f t="shared" si="28"/>
        <v/>
      </c>
    </row>
    <row r="1802" spans="20:20">
      <c r="T1802" s="26" t="str">
        <f t="shared" si="28"/>
        <v/>
      </c>
    </row>
    <row r="1803" spans="20:20">
      <c r="T1803" s="26" t="str">
        <f t="shared" si="28"/>
        <v/>
      </c>
    </row>
    <row r="1804" spans="20:20">
      <c r="T1804" s="26" t="str">
        <f t="shared" si="28"/>
        <v/>
      </c>
    </row>
    <row r="1805" spans="20:20">
      <c r="T1805" s="26" t="str">
        <f t="shared" si="28"/>
        <v/>
      </c>
    </row>
    <row r="1806" spans="20:20">
      <c r="T1806" s="26" t="str">
        <f t="shared" si="28"/>
        <v/>
      </c>
    </row>
    <row r="1807" spans="20:20">
      <c r="T1807" s="26" t="str">
        <f t="shared" si="28"/>
        <v/>
      </c>
    </row>
    <row r="1808" spans="20:20">
      <c r="T1808" s="26" t="str">
        <f t="shared" ref="T1808:T1871" si="29">U1808&amp;V1808</f>
        <v/>
      </c>
    </row>
    <row r="1809" spans="20:20">
      <c r="T1809" s="26" t="str">
        <f t="shared" si="29"/>
        <v/>
      </c>
    </row>
    <row r="1810" spans="20:20">
      <c r="T1810" s="26" t="str">
        <f t="shared" si="29"/>
        <v/>
      </c>
    </row>
    <row r="1811" spans="20:20">
      <c r="T1811" s="26" t="str">
        <f t="shared" si="29"/>
        <v/>
      </c>
    </row>
    <row r="1812" spans="20:20">
      <c r="T1812" s="26" t="str">
        <f t="shared" si="29"/>
        <v/>
      </c>
    </row>
    <row r="1813" spans="20:20">
      <c r="T1813" s="26" t="str">
        <f t="shared" si="29"/>
        <v/>
      </c>
    </row>
    <row r="1814" spans="20:20">
      <c r="T1814" s="26" t="str">
        <f t="shared" si="29"/>
        <v/>
      </c>
    </row>
    <row r="1815" spans="20:20">
      <c r="T1815" s="26" t="str">
        <f t="shared" si="29"/>
        <v/>
      </c>
    </row>
    <row r="1816" spans="20:20">
      <c r="T1816" s="26" t="str">
        <f t="shared" si="29"/>
        <v/>
      </c>
    </row>
    <row r="1817" spans="20:20">
      <c r="T1817" s="26" t="str">
        <f t="shared" si="29"/>
        <v/>
      </c>
    </row>
    <row r="1818" spans="20:20">
      <c r="T1818" s="26" t="str">
        <f t="shared" si="29"/>
        <v/>
      </c>
    </row>
    <row r="1819" spans="20:20">
      <c r="T1819" s="26" t="str">
        <f t="shared" si="29"/>
        <v/>
      </c>
    </row>
    <row r="1820" spans="20:20">
      <c r="T1820" s="26" t="str">
        <f t="shared" si="29"/>
        <v/>
      </c>
    </row>
    <row r="1821" spans="20:20">
      <c r="T1821" s="26" t="str">
        <f t="shared" si="29"/>
        <v/>
      </c>
    </row>
    <row r="1822" spans="20:20">
      <c r="T1822" s="26" t="str">
        <f t="shared" si="29"/>
        <v/>
      </c>
    </row>
    <row r="1823" spans="20:20">
      <c r="T1823" s="26" t="str">
        <f t="shared" si="29"/>
        <v/>
      </c>
    </row>
    <row r="1824" spans="20:20">
      <c r="T1824" s="26" t="str">
        <f t="shared" si="29"/>
        <v/>
      </c>
    </row>
    <row r="1825" spans="20:20">
      <c r="T1825" s="26" t="str">
        <f t="shared" si="29"/>
        <v/>
      </c>
    </row>
    <row r="1826" spans="20:20">
      <c r="T1826" s="26" t="str">
        <f t="shared" si="29"/>
        <v/>
      </c>
    </row>
    <row r="1827" spans="20:20">
      <c r="T1827" s="26" t="str">
        <f t="shared" si="29"/>
        <v/>
      </c>
    </row>
    <row r="1828" spans="20:20">
      <c r="T1828" s="26" t="str">
        <f t="shared" si="29"/>
        <v/>
      </c>
    </row>
    <row r="1829" spans="20:20">
      <c r="T1829" s="26" t="str">
        <f t="shared" si="29"/>
        <v/>
      </c>
    </row>
    <row r="1830" spans="20:20">
      <c r="T1830" s="26" t="str">
        <f t="shared" si="29"/>
        <v/>
      </c>
    </row>
    <row r="1831" spans="20:20">
      <c r="T1831" s="26" t="str">
        <f t="shared" si="29"/>
        <v/>
      </c>
    </row>
    <row r="1832" spans="20:20">
      <c r="T1832" s="26" t="str">
        <f t="shared" si="29"/>
        <v/>
      </c>
    </row>
    <row r="1833" spans="20:20">
      <c r="T1833" s="26" t="str">
        <f t="shared" si="29"/>
        <v/>
      </c>
    </row>
    <row r="1834" spans="20:20">
      <c r="T1834" s="26" t="str">
        <f t="shared" si="29"/>
        <v/>
      </c>
    </row>
    <row r="1835" spans="20:20">
      <c r="T1835" s="26" t="str">
        <f t="shared" si="29"/>
        <v/>
      </c>
    </row>
    <row r="1836" spans="20:20">
      <c r="T1836" s="26" t="str">
        <f t="shared" si="29"/>
        <v/>
      </c>
    </row>
    <row r="1837" spans="20:20">
      <c r="T1837" s="26" t="str">
        <f t="shared" si="29"/>
        <v/>
      </c>
    </row>
    <row r="1838" spans="20:20">
      <c r="T1838" s="26" t="str">
        <f t="shared" si="29"/>
        <v/>
      </c>
    </row>
    <row r="1839" spans="20:20">
      <c r="T1839" s="26" t="str">
        <f t="shared" si="29"/>
        <v/>
      </c>
    </row>
    <row r="1840" spans="20:20">
      <c r="T1840" s="26" t="str">
        <f t="shared" si="29"/>
        <v/>
      </c>
    </row>
    <row r="1841" spans="20:20">
      <c r="T1841" s="26" t="str">
        <f t="shared" si="29"/>
        <v/>
      </c>
    </row>
    <row r="1842" spans="20:20">
      <c r="T1842" s="26" t="str">
        <f t="shared" si="29"/>
        <v/>
      </c>
    </row>
    <row r="1843" spans="20:20">
      <c r="T1843" s="26" t="str">
        <f t="shared" si="29"/>
        <v/>
      </c>
    </row>
    <row r="1844" spans="20:20">
      <c r="T1844" s="26" t="str">
        <f t="shared" si="29"/>
        <v/>
      </c>
    </row>
    <row r="1845" spans="20:20">
      <c r="T1845" s="26" t="str">
        <f t="shared" si="29"/>
        <v/>
      </c>
    </row>
    <row r="1846" spans="20:20">
      <c r="T1846" s="26" t="str">
        <f t="shared" si="29"/>
        <v/>
      </c>
    </row>
    <row r="1847" spans="20:20">
      <c r="T1847" s="26" t="str">
        <f t="shared" si="29"/>
        <v/>
      </c>
    </row>
    <row r="1848" spans="20:20">
      <c r="T1848" s="26" t="str">
        <f t="shared" si="29"/>
        <v/>
      </c>
    </row>
    <row r="1849" spans="20:20">
      <c r="T1849" s="26" t="str">
        <f t="shared" si="29"/>
        <v/>
      </c>
    </row>
    <row r="1850" spans="20:20">
      <c r="T1850" s="26" t="str">
        <f t="shared" si="29"/>
        <v/>
      </c>
    </row>
    <row r="1851" spans="20:20">
      <c r="T1851" s="26" t="str">
        <f t="shared" si="29"/>
        <v/>
      </c>
    </row>
    <row r="1852" spans="20:20">
      <c r="T1852" s="26" t="str">
        <f t="shared" si="29"/>
        <v/>
      </c>
    </row>
    <row r="1853" spans="20:20">
      <c r="T1853" s="26" t="str">
        <f t="shared" si="29"/>
        <v/>
      </c>
    </row>
    <row r="1854" spans="20:20">
      <c r="T1854" s="26" t="str">
        <f t="shared" si="29"/>
        <v/>
      </c>
    </row>
    <row r="1855" spans="20:20">
      <c r="T1855" s="26" t="str">
        <f t="shared" si="29"/>
        <v/>
      </c>
    </row>
    <row r="1856" spans="20:20">
      <c r="T1856" s="26" t="str">
        <f t="shared" si="29"/>
        <v/>
      </c>
    </row>
    <row r="1857" spans="20:20">
      <c r="T1857" s="26" t="str">
        <f t="shared" si="29"/>
        <v/>
      </c>
    </row>
    <row r="1858" spans="20:20">
      <c r="T1858" s="26" t="str">
        <f t="shared" si="29"/>
        <v/>
      </c>
    </row>
    <row r="1859" spans="20:20">
      <c r="T1859" s="26" t="str">
        <f t="shared" si="29"/>
        <v/>
      </c>
    </row>
    <row r="1860" spans="20:20">
      <c r="T1860" s="26" t="str">
        <f t="shared" si="29"/>
        <v/>
      </c>
    </row>
    <row r="1861" spans="20:20">
      <c r="T1861" s="26" t="str">
        <f t="shared" si="29"/>
        <v/>
      </c>
    </row>
    <row r="1862" spans="20:20">
      <c r="T1862" s="26" t="str">
        <f t="shared" si="29"/>
        <v/>
      </c>
    </row>
    <row r="1863" spans="20:20">
      <c r="T1863" s="26" t="str">
        <f t="shared" si="29"/>
        <v/>
      </c>
    </row>
    <row r="1864" spans="20:20">
      <c r="T1864" s="26" t="str">
        <f t="shared" si="29"/>
        <v/>
      </c>
    </row>
    <row r="1865" spans="20:20">
      <c r="T1865" s="26" t="str">
        <f t="shared" si="29"/>
        <v/>
      </c>
    </row>
    <row r="1866" spans="20:20">
      <c r="T1866" s="26" t="str">
        <f t="shared" si="29"/>
        <v/>
      </c>
    </row>
    <row r="1867" spans="20:20">
      <c r="T1867" s="26" t="str">
        <f t="shared" si="29"/>
        <v/>
      </c>
    </row>
    <row r="1868" spans="20:20">
      <c r="T1868" s="26" t="str">
        <f t="shared" si="29"/>
        <v/>
      </c>
    </row>
    <row r="1869" spans="20:20">
      <c r="T1869" s="26" t="str">
        <f t="shared" si="29"/>
        <v/>
      </c>
    </row>
    <row r="1870" spans="20:20">
      <c r="T1870" s="26" t="str">
        <f t="shared" si="29"/>
        <v/>
      </c>
    </row>
    <row r="1871" spans="20:20">
      <c r="T1871" s="26" t="str">
        <f t="shared" si="29"/>
        <v/>
      </c>
    </row>
    <row r="1872" spans="20:20">
      <c r="T1872" s="26" t="str">
        <f t="shared" ref="T1872:T1935" si="30">U1872&amp;V1872</f>
        <v/>
      </c>
    </row>
    <row r="1873" spans="20:20">
      <c r="T1873" s="26" t="str">
        <f t="shared" si="30"/>
        <v/>
      </c>
    </row>
    <row r="1874" spans="20:20">
      <c r="T1874" s="26" t="str">
        <f t="shared" si="30"/>
        <v/>
      </c>
    </row>
    <row r="1875" spans="20:20">
      <c r="T1875" s="26" t="str">
        <f t="shared" si="30"/>
        <v/>
      </c>
    </row>
    <row r="1876" spans="20:20">
      <c r="T1876" s="26" t="str">
        <f t="shared" si="30"/>
        <v/>
      </c>
    </row>
    <row r="1877" spans="20:20">
      <c r="T1877" s="26" t="str">
        <f t="shared" si="30"/>
        <v/>
      </c>
    </row>
    <row r="1878" spans="20:20">
      <c r="T1878" s="26" t="str">
        <f t="shared" si="30"/>
        <v/>
      </c>
    </row>
    <row r="1879" spans="20:20">
      <c r="T1879" s="26" t="str">
        <f t="shared" si="30"/>
        <v/>
      </c>
    </row>
    <row r="1880" spans="20:20">
      <c r="T1880" s="26" t="str">
        <f t="shared" si="30"/>
        <v/>
      </c>
    </row>
    <row r="1881" spans="20:20">
      <c r="T1881" s="26" t="str">
        <f t="shared" si="30"/>
        <v/>
      </c>
    </row>
    <row r="1882" spans="20:20">
      <c r="T1882" s="26" t="str">
        <f t="shared" si="30"/>
        <v/>
      </c>
    </row>
    <row r="1883" spans="20:20">
      <c r="T1883" s="26" t="str">
        <f t="shared" si="30"/>
        <v/>
      </c>
    </row>
    <row r="1884" spans="20:20">
      <c r="T1884" s="26" t="str">
        <f t="shared" si="30"/>
        <v/>
      </c>
    </row>
    <row r="1885" spans="20:20">
      <c r="T1885" s="26" t="str">
        <f t="shared" si="30"/>
        <v/>
      </c>
    </row>
    <row r="1886" spans="20:20">
      <c r="T1886" s="26" t="str">
        <f t="shared" si="30"/>
        <v/>
      </c>
    </row>
    <row r="1887" spans="20:20">
      <c r="T1887" s="26" t="str">
        <f t="shared" si="30"/>
        <v/>
      </c>
    </row>
    <row r="1888" spans="20:20">
      <c r="T1888" s="26" t="str">
        <f t="shared" si="30"/>
        <v/>
      </c>
    </row>
    <row r="1889" spans="20:20">
      <c r="T1889" s="26" t="str">
        <f t="shared" si="30"/>
        <v/>
      </c>
    </row>
    <row r="1890" spans="20:20">
      <c r="T1890" s="26" t="str">
        <f t="shared" si="30"/>
        <v/>
      </c>
    </row>
    <row r="1891" spans="20:20">
      <c r="T1891" s="26" t="str">
        <f t="shared" si="30"/>
        <v/>
      </c>
    </row>
    <row r="1892" spans="20:20">
      <c r="T1892" s="26" t="str">
        <f t="shared" si="30"/>
        <v/>
      </c>
    </row>
    <row r="1893" spans="20:20">
      <c r="T1893" s="26" t="str">
        <f t="shared" si="30"/>
        <v/>
      </c>
    </row>
    <row r="1894" spans="20:20">
      <c r="T1894" s="26" t="str">
        <f t="shared" si="30"/>
        <v/>
      </c>
    </row>
    <row r="1895" spans="20:20">
      <c r="T1895" s="26" t="str">
        <f t="shared" si="30"/>
        <v/>
      </c>
    </row>
    <row r="1896" spans="20:20">
      <c r="T1896" s="26" t="str">
        <f t="shared" si="30"/>
        <v/>
      </c>
    </row>
    <row r="1897" spans="20:20">
      <c r="T1897" s="26" t="str">
        <f t="shared" si="30"/>
        <v/>
      </c>
    </row>
    <row r="1898" spans="20:20">
      <c r="T1898" s="26" t="str">
        <f t="shared" si="30"/>
        <v/>
      </c>
    </row>
    <row r="1899" spans="20:20">
      <c r="T1899" s="26" t="str">
        <f t="shared" si="30"/>
        <v/>
      </c>
    </row>
    <row r="1900" spans="20:20">
      <c r="T1900" s="26" t="str">
        <f t="shared" si="30"/>
        <v/>
      </c>
    </row>
    <row r="1901" spans="20:20">
      <c r="T1901" s="26" t="str">
        <f t="shared" si="30"/>
        <v/>
      </c>
    </row>
    <row r="1902" spans="20:20">
      <c r="T1902" s="26" t="str">
        <f t="shared" si="30"/>
        <v/>
      </c>
    </row>
    <row r="1903" spans="20:20">
      <c r="T1903" s="26" t="str">
        <f t="shared" si="30"/>
        <v/>
      </c>
    </row>
    <row r="1904" spans="20:20">
      <c r="T1904" s="26" t="str">
        <f t="shared" si="30"/>
        <v/>
      </c>
    </row>
    <row r="1905" spans="20:20">
      <c r="T1905" s="26" t="str">
        <f t="shared" si="30"/>
        <v/>
      </c>
    </row>
    <row r="1906" spans="20:20">
      <c r="T1906" s="26" t="str">
        <f t="shared" si="30"/>
        <v/>
      </c>
    </row>
    <row r="1907" spans="20:20">
      <c r="T1907" s="26" t="str">
        <f t="shared" si="30"/>
        <v/>
      </c>
    </row>
    <row r="1908" spans="20:20">
      <c r="T1908" s="26" t="str">
        <f t="shared" si="30"/>
        <v/>
      </c>
    </row>
    <row r="1909" spans="20:20">
      <c r="T1909" s="26" t="str">
        <f t="shared" si="30"/>
        <v/>
      </c>
    </row>
    <row r="1910" spans="20:20">
      <c r="T1910" s="26" t="str">
        <f t="shared" si="30"/>
        <v/>
      </c>
    </row>
    <row r="1911" spans="20:20">
      <c r="T1911" s="26" t="str">
        <f t="shared" si="30"/>
        <v/>
      </c>
    </row>
    <row r="1912" spans="20:20">
      <c r="T1912" s="26" t="str">
        <f t="shared" si="30"/>
        <v/>
      </c>
    </row>
    <row r="1913" spans="20:20">
      <c r="T1913" s="26" t="str">
        <f t="shared" si="30"/>
        <v/>
      </c>
    </row>
    <row r="1914" spans="20:20">
      <c r="T1914" s="26" t="str">
        <f t="shared" si="30"/>
        <v/>
      </c>
    </row>
    <row r="1915" spans="20:20">
      <c r="T1915" s="26" t="str">
        <f t="shared" si="30"/>
        <v/>
      </c>
    </row>
    <row r="1916" spans="20:20">
      <c r="T1916" s="26" t="str">
        <f t="shared" si="30"/>
        <v/>
      </c>
    </row>
    <row r="1917" spans="20:20">
      <c r="T1917" s="26" t="str">
        <f t="shared" si="30"/>
        <v/>
      </c>
    </row>
    <row r="1918" spans="20:20">
      <c r="T1918" s="26" t="str">
        <f t="shared" si="30"/>
        <v/>
      </c>
    </row>
    <row r="1919" spans="20:20">
      <c r="T1919" s="26" t="str">
        <f t="shared" si="30"/>
        <v/>
      </c>
    </row>
    <row r="1920" spans="20:20">
      <c r="T1920" s="26" t="str">
        <f t="shared" si="30"/>
        <v/>
      </c>
    </row>
    <row r="1921" spans="20:20">
      <c r="T1921" s="26" t="str">
        <f t="shared" si="30"/>
        <v/>
      </c>
    </row>
    <row r="1922" spans="20:20">
      <c r="T1922" s="26" t="str">
        <f t="shared" si="30"/>
        <v/>
      </c>
    </row>
    <row r="1923" spans="20:20">
      <c r="T1923" s="26" t="str">
        <f t="shared" si="30"/>
        <v/>
      </c>
    </row>
    <row r="1924" spans="20:20">
      <c r="T1924" s="26" t="str">
        <f t="shared" si="30"/>
        <v/>
      </c>
    </row>
    <row r="1925" spans="20:20">
      <c r="T1925" s="26" t="str">
        <f t="shared" si="30"/>
        <v/>
      </c>
    </row>
    <row r="1926" spans="20:20">
      <c r="T1926" s="26" t="str">
        <f t="shared" si="30"/>
        <v/>
      </c>
    </row>
    <row r="1927" spans="20:20">
      <c r="T1927" s="26" t="str">
        <f t="shared" si="30"/>
        <v/>
      </c>
    </row>
    <row r="1928" spans="20:20">
      <c r="T1928" s="26" t="str">
        <f t="shared" si="30"/>
        <v/>
      </c>
    </row>
    <row r="1929" spans="20:20">
      <c r="T1929" s="26" t="str">
        <f t="shared" si="30"/>
        <v/>
      </c>
    </row>
    <row r="1930" spans="20:20">
      <c r="T1930" s="26" t="str">
        <f t="shared" si="30"/>
        <v/>
      </c>
    </row>
    <row r="1931" spans="20:20">
      <c r="T1931" s="26" t="str">
        <f t="shared" si="30"/>
        <v/>
      </c>
    </row>
    <row r="1932" spans="20:20">
      <c r="T1932" s="26" t="str">
        <f t="shared" si="30"/>
        <v/>
      </c>
    </row>
    <row r="1933" spans="20:20">
      <c r="T1933" s="26" t="str">
        <f t="shared" si="30"/>
        <v/>
      </c>
    </row>
    <row r="1934" spans="20:20">
      <c r="T1934" s="26" t="str">
        <f t="shared" si="30"/>
        <v/>
      </c>
    </row>
    <row r="1935" spans="20:20">
      <c r="T1935" s="26" t="str">
        <f t="shared" si="30"/>
        <v/>
      </c>
    </row>
    <row r="1936" spans="20:20">
      <c r="T1936" s="26" t="str">
        <f t="shared" ref="T1936:T1941" si="31">U1936&amp;V1936</f>
        <v/>
      </c>
    </row>
    <row r="1937" spans="20:20">
      <c r="T1937" s="26" t="str">
        <f t="shared" si="31"/>
        <v/>
      </c>
    </row>
    <row r="1938" spans="20:20">
      <c r="T1938" s="26" t="str">
        <f t="shared" si="31"/>
        <v/>
      </c>
    </row>
    <row r="1939" spans="20:20">
      <c r="T1939" s="26" t="str">
        <f t="shared" si="31"/>
        <v/>
      </c>
    </row>
    <row r="1940" spans="20:20">
      <c r="T1940" s="26" t="str">
        <f t="shared" si="31"/>
        <v/>
      </c>
    </row>
    <row r="1941" spans="20:20">
      <c r="T1941" s="26" t="str">
        <f t="shared" si="31"/>
        <v/>
      </c>
    </row>
    <row r="1942" spans="20:20">
      <c r="T1942" s="26" t="str">
        <f>U1942&amp;V1942</f>
        <v/>
      </c>
    </row>
    <row r="1943" spans="20:20">
      <c r="T1943" s="26" t="str">
        <f t="shared" ref="T1943:T1957" si="32">U1943&amp;V1943</f>
        <v/>
      </c>
    </row>
    <row r="1944" spans="20:20">
      <c r="T1944" s="26" t="str">
        <f t="shared" si="32"/>
        <v/>
      </c>
    </row>
    <row r="1945" spans="20:20">
      <c r="T1945" s="26" t="str">
        <f t="shared" si="32"/>
        <v/>
      </c>
    </row>
    <row r="1946" spans="20:20">
      <c r="T1946" s="26" t="str">
        <f t="shared" si="32"/>
        <v/>
      </c>
    </row>
    <row r="1947" spans="20:20">
      <c r="T1947" s="26" t="str">
        <f t="shared" si="32"/>
        <v/>
      </c>
    </row>
    <row r="1948" spans="20:20">
      <c r="T1948" s="26" t="str">
        <f t="shared" si="32"/>
        <v/>
      </c>
    </row>
    <row r="1949" spans="20:20">
      <c r="T1949" s="26" t="str">
        <f t="shared" si="32"/>
        <v/>
      </c>
    </row>
    <row r="1950" spans="20:20">
      <c r="T1950" s="26" t="str">
        <f t="shared" si="32"/>
        <v/>
      </c>
    </row>
    <row r="1951" spans="20:20">
      <c r="T1951" s="26" t="str">
        <f t="shared" si="32"/>
        <v/>
      </c>
    </row>
    <row r="1952" spans="20:20">
      <c r="T1952" s="26" t="str">
        <f t="shared" si="32"/>
        <v/>
      </c>
    </row>
    <row r="1953" spans="20:20">
      <c r="T1953" s="26" t="str">
        <f t="shared" si="32"/>
        <v/>
      </c>
    </row>
    <row r="1954" spans="20:20">
      <c r="T1954" s="26" t="str">
        <f t="shared" si="32"/>
        <v/>
      </c>
    </row>
    <row r="1955" spans="20:20">
      <c r="T1955" s="26" t="str">
        <f t="shared" si="32"/>
        <v/>
      </c>
    </row>
    <row r="1956" spans="20:20">
      <c r="T1956" s="26" t="str">
        <f t="shared" si="32"/>
        <v/>
      </c>
    </row>
    <row r="1957" spans="20:20">
      <c r="T1957" s="26" t="str">
        <f t="shared" si="32"/>
        <v/>
      </c>
    </row>
    <row r="1958" spans="20:20">
      <c r="T1958" s="26" t="str">
        <f>U1958&amp;V1958</f>
        <v/>
      </c>
    </row>
    <row r="1959" spans="20:20">
      <c r="T1959" s="26" t="str">
        <f t="shared" ref="T1959:T1971" si="33">U1959&amp;V1959</f>
        <v/>
      </c>
    </row>
    <row r="1960" spans="20:20">
      <c r="T1960" s="26" t="str">
        <f t="shared" si="33"/>
        <v/>
      </c>
    </row>
    <row r="1961" spans="20:20">
      <c r="T1961" s="26" t="str">
        <f t="shared" si="33"/>
        <v/>
      </c>
    </row>
    <row r="1962" spans="20:20">
      <c r="T1962" s="26" t="str">
        <f t="shared" si="33"/>
        <v/>
      </c>
    </row>
    <row r="1963" spans="20:20">
      <c r="T1963" s="26" t="str">
        <f t="shared" si="33"/>
        <v/>
      </c>
    </row>
    <row r="1964" spans="20:20">
      <c r="T1964" s="26" t="str">
        <f t="shared" si="33"/>
        <v/>
      </c>
    </row>
    <row r="1965" spans="20:20">
      <c r="T1965" s="26" t="str">
        <f t="shared" si="33"/>
        <v/>
      </c>
    </row>
    <row r="1966" spans="20:20">
      <c r="T1966" s="26" t="str">
        <f t="shared" si="33"/>
        <v/>
      </c>
    </row>
    <row r="1967" spans="20:20">
      <c r="T1967" s="26" t="str">
        <f t="shared" si="33"/>
        <v/>
      </c>
    </row>
    <row r="1968" spans="20:20">
      <c r="T1968" s="26" t="str">
        <f t="shared" si="33"/>
        <v/>
      </c>
    </row>
    <row r="1969" spans="20:20">
      <c r="T1969" s="26" t="str">
        <f t="shared" si="33"/>
        <v/>
      </c>
    </row>
    <row r="1970" spans="20:20">
      <c r="T1970" s="26" t="str">
        <f t="shared" si="33"/>
        <v/>
      </c>
    </row>
    <row r="1971" spans="20:20">
      <c r="T1971" s="26" t="str">
        <f t="shared" si="33"/>
        <v/>
      </c>
    </row>
    <row r="1972" spans="20:20">
      <c r="T1972" s="26" t="str">
        <f>U1972&amp;V1972</f>
        <v/>
      </c>
    </row>
    <row r="1973" spans="20:20">
      <c r="T1973" s="26" t="str">
        <f t="shared" ref="T1973:T2003" si="34">U1973&amp;V1973</f>
        <v/>
      </c>
    </row>
    <row r="1974" spans="20:20">
      <c r="T1974" s="26" t="str">
        <f t="shared" si="34"/>
        <v/>
      </c>
    </row>
    <row r="1975" spans="20:20">
      <c r="T1975" s="26" t="str">
        <f t="shared" si="34"/>
        <v/>
      </c>
    </row>
    <row r="1976" spans="20:20">
      <c r="T1976" s="26" t="str">
        <f t="shared" si="34"/>
        <v/>
      </c>
    </row>
    <row r="1977" spans="20:20">
      <c r="T1977" s="26" t="str">
        <f t="shared" si="34"/>
        <v/>
      </c>
    </row>
    <row r="1978" spans="20:20">
      <c r="T1978" s="26" t="str">
        <f t="shared" si="34"/>
        <v/>
      </c>
    </row>
    <row r="1979" spans="20:20">
      <c r="T1979" s="26" t="str">
        <f t="shared" si="34"/>
        <v/>
      </c>
    </row>
    <row r="1980" spans="20:20">
      <c r="T1980" s="26" t="str">
        <f t="shared" si="34"/>
        <v/>
      </c>
    </row>
    <row r="1981" spans="20:20">
      <c r="T1981" s="26" t="str">
        <f t="shared" si="34"/>
        <v/>
      </c>
    </row>
    <row r="1982" spans="20:20">
      <c r="T1982" s="26" t="str">
        <f t="shared" si="34"/>
        <v/>
      </c>
    </row>
    <row r="1983" spans="20:20">
      <c r="T1983" s="26" t="str">
        <f t="shared" si="34"/>
        <v/>
      </c>
    </row>
    <row r="1984" spans="20:20">
      <c r="T1984" s="26" t="str">
        <f t="shared" si="34"/>
        <v/>
      </c>
    </row>
    <row r="1985" spans="20:20">
      <c r="T1985" s="26" t="str">
        <f t="shared" si="34"/>
        <v/>
      </c>
    </row>
    <row r="1986" spans="20:20">
      <c r="T1986" s="26" t="str">
        <f t="shared" si="34"/>
        <v/>
      </c>
    </row>
    <row r="1987" spans="20:20">
      <c r="T1987" s="26" t="str">
        <f t="shared" si="34"/>
        <v/>
      </c>
    </row>
    <row r="1988" spans="20:20">
      <c r="T1988" s="26" t="str">
        <f t="shared" si="34"/>
        <v/>
      </c>
    </row>
    <row r="1989" spans="20:20">
      <c r="T1989" s="26" t="str">
        <f t="shared" si="34"/>
        <v/>
      </c>
    </row>
    <row r="1990" spans="20:20">
      <c r="T1990" s="26" t="str">
        <f t="shared" si="34"/>
        <v/>
      </c>
    </row>
    <row r="1991" spans="20:20">
      <c r="T1991" s="26" t="str">
        <f t="shared" si="34"/>
        <v/>
      </c>
    </row>
    <row r="1992" spans="20:20">
      <c r="T1992" s="26" t="str">
        <f t="shared" si="34"/>
        <v/>
      </c>
    </row>
    <row r="1993" spans="20:20">
      <c r="T1993" s="26" t="str">
        <f t="shared" si="34"/>
        <v/>
      </c>
    </row>
    <row r="1994" spans="20:20">
      <c r="T1994" s="26" t="str">
        <f t="shared" si="34"/>
        <v/>
      </c>
    </row>
    <row r="1995" spans="20:20">
      <c r="T1995" s="26" t="str">
        <f t="shared" si="34"/>
        <v/>
      </c>
    </row>
    <row r="1996" spans="20:20">
      <c r="T1996" s="26" t="str">
        <f t="shared" si="34"/>
        <v/>
      </c>
    </row>
    <row r="1997" spans="20:20">
      <c r="T1997" s="26" t="str">
        <f t="shared" si="34"/>
        <v/>
      </c>
    </row>
    <row r="1998" spans="20:20">
      <c r="T1998" s="26" t="str">
        <f t="shared" si="34"/>
        <v/>
      </c>
    </row>
    <row r="1999" spans="20:20">
      <c r="T1999" s="26" t="str">
        <f t="shared" si="34"/>
        <v/>
      </c>
    </row>
    <row r="2000" spans="20:20">
      <c r="T2000" s="26" t="str">
        <f t="shared" si="34"/>
        <v/>
      </c>
    </row>
    <row r="2001" spans="20:20">
      <c r="T2001" s="26" t="str">
        <f t="shared" si="34"/>
        <v/>
      </c>
    </row>
    <row r="2002" spans="20:20">
      <c r="T2002" s="26" t="str">
        <f t="shared" si="34"/>
        <v/>
      </c>
    </row>
    <row r="2003" spans="20:20">
      <c r="T2003" s="26" t="str">
        <f t="shared" si="34"/>
        <v/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3:AA344"/>
  <sheetViews>
    <sheetView workbookViewId="0">
      <selection activeCell="B13" sqref="B13"/>
    </sheetView>
  </sheetViews>
  <sheetFormatPr defaultRowHeight="12.75"/>
  <cols>
    <col min="1" max="1" width="32.28515625" bestFit="1" customWidth="1"/>
    <col min="2" max="2" width="36.5703125" bestFit="1" customWidth="1"/>
    <col min="3" max="3" width="63" customWidth="1"/>
    <col min="22" max="22" width="22.7109375" customWidth="1"/>
    <col min="23" max="23" width="35" bestFit="1" customWidth="1"/>
    <col min="24" max="24" width="7.85546875" customWidth="1"/>
    <col min="25" max="25" width="36.28515625" customWidth="1"/>
    <col min="26" max="26" width="36.5703125" customWidth="1"/>
    <col min="27" max="27" width="63" customWidth="1"/>
  </cols>
  <sheetData>
    <row r="3" spans="1:27">
      <c r="A3" s="8" t="s">
        <v>47</v>
      </c>
      <c r="B3" t="s">
        <v>66</v>
      </c>
      <c r="C3" t="s">
        <v>76</v>
      </c>
      <c r="V3" s="11" t="s">
        <v>77</v>
      </c>
      <c r="W3" s="8" t="s">
        <v>41</v>
      </c>
      <c r="X3" s="8" t="s">
        <v>63</v>
      </c>
      <c r="Y3" t="s">
        <v>75</v>
      </c>
      <c r="Z3" t="s">
        <v>66</v>
      </c>
      <c r="AA3" t="s">
        <v>76</v>
      </c>
    </row>
    <row r="4" spans="1:27">
      <c r="A4" s="9" t="s">
        <v>31</v>
      </c>
      <c r="B4" s="10">
        <v>2467</v>
      </c>
      <c r="C4" s="10">
        <v>3806.1423290000002</v>
      </c>
      <c r="V4" t="str">
        <f>W4&amp;X4</f>
        <v>AIR ASIAP1</v>
      </c>
      <c r="W4" t="s">
        <v>31</v>
      </c>
      <c r="X4" t="s">
        <v>11</v>
      </c>
      <c r="Y4" s="10">
        <v>263</v>
      </c>
      <c r="Z4" s="10">
        <v>311</v>
      </c>
      <c r="AA4" s="10">
        <v>1997.191354</v>
      </c>
    </row>
    <row r="5" spans="1:27">
      <c r="A5" s="9" t="s">
        <v>23</v>
      </c>
      <c r="B5" s="10">
        <v>9992</v>
      </c>
      <c r="C5" s="10">
        <v>30052.269999999997</v>
      </c>
      <c r="V5" t="str">
        <f t="shared" ref="V5:V68" si="0">W5&amp;X5</f>
        <v>AIR ASIAP2</v>
      </c>
      <c r="W5" t="s">
        <v>31</v>
      </c>
      <c r="X5" t="s">
        <v>12</v>
      </c>
      <c r="Y5" s="10"/>
      <c r="Z5" s="10"/>
      <c r="AA5" s="10"/>
    </row>
    <row r="6" spans="1:27">
      <c r="A6" s="9" t="s">
        <v>24</v>
      </c>
      <c r="B6" s="10">
        <v>1472</v>
      </c>
      <c r="C6" s="10">
        <v>2956.1</v>
      </c>
      <c r="V6" t="str">
        <f t="shared" si="0"/>
        <v>AIR ASIAP3</v>
      </c>
      <c r="W6" t="s">
        <v>31</v>
      </c>
      <c r="X6" t="s">
        <v>13</v>
      </c>
      <c r="Y6" s="10">
        <v>476</v>
      </c>
      <c r="Z6" s="10">
        <v>488</v>
      </c>
      <c r="AA6" s="10">
        <v>399.74493799999999</v>
      </c>
    </row>
    <row r="7" spans="1:27">
      <c r="A7" s="9" t="s">
        <v>46</v>
      </c>
      <c r="B7" s="10">
        <v>61052</v>
      </c>
      <c r="C7" s="10">
        <v>93775.981349000009</v>
      </c>
      <c r="V7" t="str">
        <f t="shared" si="0"/>
        <v>AIR ASIAP4</v>
      </c>
      <c r="W7" t="s">
        <v>31</v>
      </c>
      <c r="X7" t="s">
        <v>14</v>
      </c>
      <c r="Y7" s="10">
        <v>180</v>
      </c>
      <c r="Z7" s="10">
        <v>199</v>
      </c>
      <c r="AA7" s="10">
        <v>337.623289</v>
      </c>
    </row>
    <row r="8" spans="1:27">
      <c r="A8" s="9" t="s">
        <v>25</v>
      </c>
      <c r="B8" s="10">
        <v>648</v>
      </c>
      <c r="C8" s="10">
        <v>1392.7165519999999</v>
      </c>
      <c r="V8" t="str">
        <f t="shared" si="0"/>
        <v>AIR ASIAP4.1</v>
      </c>
      <c r="W8" t="s">
        <v>31</v>
      </c>
      <c r="X8" t="s">
        <v>42</v>
      </c>
      <c r="Y8" s="10">
        <v>180</v>
      </c>
      <c r="Z8" s="10">
        <v>199</v>
      </c>
      <c r="AA8" s="10">
        <v>337.623289</v>
      </c>
    </row>
    <row r="9" spans="1:27">
      <c r="A9" s="9" t="s">
        <v>33</v>
      </c>
      <c r="B9" s="10">
        <v>1389</v>
      </c>
      <c r="C9" s="10">
        <v>1617.18</v>
      </c>
      <c r="V9" t="str">
        <f t="shared" si="0"/>
        <v>AIR ASIAP4.2</v>
      </c>
      <c r="W9" t="s">
        <v>31</v>
      </c>
      <c r="X9" t="s">
        <v>43</v>
      </c>
      <c r="Y9" s="10"/>
      <c r="Z9" s="10"/>
      <c r="AA9" s="10"/>
    </row>
    <row r="10" spans="1:27">
      <c r="A10" s="9" t="s">
        <v>26</v>
      </c>
      <c r="B10" s="10">
        <v>4140</v>
      </c>
      <c r="C10" s="10">
        <v>6380</v>
      </c>
      <c r="V10" t="str">
        <f t="shared" si="0"/>
        <v>AIR ASIAP5</v>
      </c>
      <c r="W10" t="s">
        <v>31</v>
      </c>
      <c r="X10" t="s">
        <v>15</v>
      </c>
      <c r="Y10" s="10"/>
      <c r="Z10" s="10"/>
      <c r="AA10" s="10"/>
    </row>
    <row r="11" spans="1:27">
      <c r="A11" s="9" t="s">
        <v>20</v>
      </c>
      <c r="B11" s="10">
        <v>25201</v>
      </c>
      <c r="C11" s="10">
        <v>33290.79</v>
      </c>
      <c r="V11" t="str">
        <f t="shared" si="0"/>
        <v>AIR ASIAP6</v>
      </c>
      <c r="W11" t="s">
        <v>31</v>
      </c>
      <c r="X11" t="s">
        <v>16</v>
      </c>
      <c r="Y11" s="10">
        <v>1253</v>
      </c>
      <c r="Z11" s="10">
        <v>1270</v>
      </c>
      <c r="AA11" s="10">
        <v>733.95945900000004</v>
      </c>
    </row>
    <row r="12" spans="1:27">
      <c r="A12" s="9" t="s">
        <v>44</v>
      </c>
      <c r="B12" s="10">
        <v>12112</v>
      </c>
      <c r="C12" s="10">
        <v>34401.086552000001</v>
      </c>
      <c r="V12" t="str">
        <f t="shared" si="0"/>
        <v>AIR INDIAP1</v>
      </c>
      <c r="W12" t="s">
        <v>23</v>
      </c>
      <c r="X12" t="s">
        <v>11</v>
      </c>
      <c r="Y12" s="10">
        <v>1329</v>
      </c>
      <c r="Z12" s="10">
        <v>1318</v>
      </c>
      <c r="AA12" s="10">
        <v>12079.48</v>
      </c>
    </row>
    <row r="13" spans="1:27">
      <c r="A13" s="9" t="s">
        <v>45</v>
      </c>
      <c r="B13" s="10">
        <v>48940</v>
      </c>
      <c r="C13" s="10">
        <v>59374.894797000001</v>
      </c>
      <c r="V13" t="str">
        <f t="shared" si="0"/>
        <v>AIR INDIAP2</v>
      </c>
      <c r="W13" t="s">
        <v>23</v>
      </c>
      <c r="X13" t="s">
        <v>12</v>
      </c>
      <c r="Y13" s="10"/>
      <c r="Z13" s="10"/>
      <c r="AA13" s="10"/>
    </row>
    <row r="14" spans="1:27">
      <c r="A14" s="9" t="s">
        <v>29</v>
      </c>
      <c r="B14" s="10">
        <v>12094</v>
      </c>
      <c r="C14" s="10">
        <v>9401.4900000000016</v>
      </c>
      <c r="V14" t="str">
        <f t="shared" si="0"/>
        <v>AIR INDIAP3</v>
      </c>
      <c r="W14" t="s">
        <v>23</v>
      </c>
      <c r="X14" t="s">
        <v>13</v>
      </c>
      <c r="Y14" s="10">
        <v>1766</v>
      </c>
      <c r="Z14" s="10">
        <v>1703</v>
      </c>
      <c r="AA14" s="10">
        <v>5986.11</v>
      </c>
    </row>
    <row r="15" spans="1:27">
      <c r="A15" s="9" t="s">
        <v>35</v>
      </c>
      <c r="B15" s="10">
        <v>895</v>
      </c>
      <c r="C15" s="10">
        <v>801.87858399999982</v>
      </c>
      <c r="V15" t="str">
        <f t="shared" si="0"/>
        <v>AIR INDIAP4</v>
      </c>
      <c r="W15" t="s">
        <v>23</v>
      </c>
      <c r="X15" t="s">
        <v>14</v>
      </c>
      <c r="Y15" s="10">
        <v>577</v>
      </c>
      <c r="Z15" s="10">
        <v>543</v>
      </c>
      <c r="AA15" s="10">
        <v>69.31</v>
      </c>
    </row>
    <row r="16" spans="1:27">
      <c r="A16" s="9" t="s">
        <v>32</v>
      </c>
      <c r="B16" s="10">
        <v>2721</v>
      </c>
      <c r="C16" s="10">
        <v>4070.3999999999996</v>
      </c>
      <c r="V16" t="str">
        <f t="shared" si="0"/>
        <v>AIR INDIAP4.1</v>
      </c>
      <c r="W16" t="s">
        <v>23</v>
      </c>
      <c r="X16" t="s">
        <v>42</v>
      </c>
      <c r="Y16" s="10"/>
      <c r="Z16" s="10"/>
      <c r="AA16" s="10"/>
    </row>
    <row r="17" spans="1:27">
      <c r="A17" s="9" t="s">
        <v>48</v>
      </c>
      <c r="B17" s="10"/>
      <c r="C17" s="10"/>
      <c r="V17" t="str">
        <f t="shared" si="0"/>
        <v>AIR INDIAP4.2</v>
      </c>
      <c r="W17" t="s">
        <v>23</v>
      </c>
      <c r="X17" t="s">
        <v>43</v>
      </c>
      <c r="Y17" s="10"/>
      <c r="Z17" s="10"/>
      <c r="AA17" s="10"/>
    </row>
    <row r="18" spans="1:27">
      <c r="A18" s="9" t="s">
        <v>183</v>
      </c>
      <c r="B18" s="10"/>
      <c r="C18" s="10"/>
      <c r="V18" t="str">
        <f t="shared" si="0"/>
        <v>AIR INDIAP5</v>
      </c>
      <c r="W18" t="s">
        <v>23</v>
      </c>
      <c r="X18" t="s">
        <v>15</v>
      </c>
      <c r="Y18" s="10">
        <v>2113</v>
      </c>
      <c r="Z18" s="10">
        <v>1989</v>
      </c>
      <c r="AA18" s="10">
        <v>3208.24</v>
      </c>
    </row>
    <row r="19" spans="1:27">
      <c r="A19" s="9" t="s">
        <v>185</v>
      </c>
      <c r="B19" s="10">
        <v>33</v>
      </c>
      <c r="C19" s="10">
        <v>7.0138840000000009</v>
      </c>
      <c r="V19" t="str">
        <f t="shared" si="0"/>
        <v>AIR INDIAP6</v>
      </c>
      <c r="W19" t="s">
        <v>23</v>
      </c>
      <c r="X19" t="s">
        <v>16</v>
      </c>
      <c r="Y19" s="10">
        <v>4964</v>
      </c>
      <c r="Z19" s="10">
        <v>4439</v>
      </c>
      <c r="AA19" s="10">
        <v>8709.1299999999992</v>
      </c>
    </row>
    <row r="20" spans="1:27">
      <c r="A20" s="9" t="s">
        <v>49</v>
      </c>
      <c r="B20" s="10">
        <v>183156</v>
      </c>
      <c r="C20" s="10">
        <v>281327.94404700003</v>
      </c>
      <c r="V20" t="str">
        <f t="shared" si="0"/>
        <v>AIR INDIA EXPRESSP1</v>
      </c>
      <c r="W20" t="s">
        <v>24</v>
      </c>
      <c r="X20" t="s">
        <v>11</v>
      </c>
      <c r="Y20" s="10">
        <v>346</v>
      </c>
      <c r="Z20" s="10">
        <v>335</v>
      </c>
      <c r="AA20" s="10">
        <v>2292.6</v>
      </c>
    </row>
    <row r="21" spans="1:27">
      <c r="V21" t="str">
        <f t="shared" si="0"/>
        <v>AIR INDIA EXPRESSP2</v>
      </c>
      <c r="W21" t="s">
        <v>24</v>
      </c>
      <c r="X21" t="s">
        <v>12</v>
      </c>
      <c r="Y21" s="10"/>
      <c r="Z21" s="10"/>
      <c r="AA21" s="10"/>
    </row>
    <row r="22" spans="1:27">
      <c r="V22" t="str">
        <f t="shared" si="0"/>
        <v>AIR INDIA EXPRESSP3</v>
      </c>
      <c r="W22" t="s">
        <v>24</v>
      </c>
      <c r="X22" t="s">
        <v>13</v>
      </c>
      <c r="Y22" s="10">
        <v>610</v>
      </c>
      <c r="Z22" s="10">
        <v>621</v>
      </c>
      <c r="AA22" s="10">
        <v>410.7</v>
      </c>
    </row>
    <row r="23" spans="1:27">
      <c r="V23" t="str">
        <f t="shared" si="0"/>
        <v>AIR INDIA EXPRESSP4</v>
      </c>
      <c r="W23" t="s">
        <v>24</v>
      </c>
      <c r="X23" t="s">
        <v>14</v>
      </c>
      <c r="Y23" s="10">
        <v>78</v>
      </c>
      <c r="Z23" s="10">
        <v>80</v>
      </c>
      <c r="AA23" s="10">
        <v>25.2</v>
      </c>
    </row>
    <row r="24" spans="1:27">
      <c r="V24" t="str">
        <f t="shared" si="0"/>
        <v>AIR INDIA EXPRESSP4.1</v>
      </c>
      <c r="W24" t="s">
        <v>24</v>
      </c>
      <c r="X24" t="s">
        <v>42</v>
      </c>
      <c r="Y24" s="10">
        <v>16</v>
      </c>
      <c r="Z24" s="10">
        <v>16</v>
      </c>
      <c r="AA24" s="10">
        <v>11.3</v>
      </c>
    </row>
    <row r="25" spans="1:27">
      <c r="V25" t="str">
        <f t="shared" si="0"/>
        <v>AIR INDIA EXPRESSP4.2</v>
      </c>
      <c r="W25" t="s">
        <v>24</v>
      </c>
      <c r="X25" t="s">
        <v>43</v>
      </c>
      <c r="Y25" s="10">
        <v>62</v>
      </c>
      <c r="Z25" s="10">
        <v>64</v>
      </c>
      <c r="AA25" s="10">
        <v>13.9</v>
      </c>
    </row>
    <row r="26" spans="1:27">
      <c r="V26" t="str">
        <f t="shared" si="0"/>
        <v>AIR INDIA EXPRESSP5</v>
      </c>
      <c r="W26" t="s">
        <v>24</v>
      </c>
      <c r="X26" t="s">
        <v>15</v>
      </c>
      <c r="Y26" s="10"/>
      <c r="Z26" s="10"/>
      <c r="AA26" s="10"/>
    </row>
    <row r="27" spans="1:27">
      <c r="V27" t="str">
        <f t="shared" si="0"/>
        <v>AIR INDIA EXPRESSP6</v>
      </c>
      <c r="W27" t="s">
        <v>24</v>
      </c>
      <c r="X27" t="s">
        <v>16</v>
      </c>
      <c r="Y27" s="10">
        <v>358</v>
      </c>
      <c r="Z27" s="10">
        <v>356</v>
      </c>
      <c r="AA27" s="10">
        <v>202.4</v>
      </c>
    </row>
    <row r="28" spans="1:27">
      <c r="V28" t="str">
        <f t="shared" si="0"/>
        <v>ALL SCHEDULED INDIAN AIRLINESP1</v>
      </c>
      <c r="W28" t="s">
        <v>46</v>
      </c>
      <c r="X28" t="s">
        <v>11</v>
      </c>
      <c r="Y28" s="10">
        <v>6615</v>
      </c>
      <c r="Z28" s="10">
        <v>7199</v>
      </c>
      <c r="AA28" s="10">
        <v>46519.740116999994</v>
      </c>
    </row>
    <row r="29" spans="1:27">
      <c r="V29" t="str">
        <f t="shared" si="0"/>
        <v>ALL SCHEDULED INDIAN AIRLINESP2</v>
      </c>
      <c r="W29" t="s">
        <v>46</v>
      </c>
      <c r="X29" t="s">
        <v>12</v>
      </c>
      <c r="Y29" s="10">
        <v>259</v>
      </c>
      <c r="Z29" s="10">
        <v>280</v>
      </c>
      <c r="AA29" s="10">
        <v>1091.17</v>
      </c>
    </row>
    <row r="30" spans="1:27">
      <c r="V30" t="str">
        <f t="shared" si="0"/>
        <v>ALL SCHEDULED INDIAN AIRLINESP3</v>
      </c>
      <c r="W30" t="s">
        <v>46</v>
      </c>
      <c r="X30" t="s">
        <v>13</v>
      </c>
      <c r="Y30" s="10">
        <v>11454</v>
      </c>
      <c r="Z30" s="10">
        <v>12610</v>
      </c>
      <c r="AA30" s="10">
        <v>12188.519428000001</v>
      </c>
    </row>
    <row r="31" spans="1:27">
      <c r="V31" t="str">
        <f t="shared" si="0"/>
        <v>ALL SCHEDULED INDIAN AIRLINESP4</v>
      </c>
      <c r="W31" t="s">
        <v>46</v>
      </c>
      <c r="X31" t="s">
        <v>14</v>
      </c>
      <c r="Y31" s="10">
        <v>3825</v>
      </c>
      <c r="Z31" s="10">
        <v>4194</v>
      </c>
      <c r="AA31" s="10">
        <v>4525.373289000001</v>
      </c>
    </row>
    <row r="32" spans="1:27">
      <c r="V32" t="str">
        <f t="shared" si="0"/>
        <v>ALL SCHEDULED INDIAN AIRLINESP4.1</v>
      </c>
      <c r="W32" t="s">
        <v>46</v>
      </c>
      <c r="X32" t="s">
        <v>42</v>
      </c>
      <c r="Y32" s="10">
        <v>1531</v>
      </c>
      <c r="Z32" s="10">
        <v>1701</v>
      </c>
      <c r="AA32" s="10">
        <v>3565.5053690000004</v>
      </c>
    </row>
    <row r="33" spans="22:27">
      <c r="V33" t="str">
        <f t="shared" si="0"/>
        <v>ALL SCHEDULED INDIAN AIRLINESP4.2</v>
      </c>
      <c r="W33" t="s">
        <v>46</v>
      </c>
      <c r="X33" t="s">
        <v>43</v>
      </c>
      <c r="Y33" s="10">
        <v>1717</v>
      </c>
      <c r="Z33" s="10">
        <v>1950</v>
      </c>
      <c r="AA33" s="10">
        <v>890.55778399999997</v>
      </c>
    </row>
    <row r="34" spans="22:27">
      <c r="V34" t="str">
        <f t="shared" si="0"/>
        <v>ALL SCHEDULED INDIAN AIRLINESP5</v>
      </c>
      <c r="W34" t="s">
        <v>46</v>
      </c>
      <c r="X34" t="s">
        <v>15</v>
      </c>
      <c r="Y34" s="10">
        <v>3353</v>
      </c>
      <c r="Z34" s="10">
        <v>3322</v>
      </c>
      <c r="AA34" s="10">
        <v>4119.8464319999994</v>
      </c>
    </row>
    <row r="35" spans="22:27">
      <c r="V35" t="str">
        <f t="shared" si="0"/>
        <v>ALL SCHEDULED INDIAN AIRLINESP6</v>
      </c>
      <c r="W35" t="s">
        <v>46</v>
      </c>
      <c r="X35" t="s">
        <v>16</v>
      </c>
      <c r="Y35" s="10">
        <v>26982</v>
      </c>
      <c r="Z35" s="10">
        <v>29796</v>
      </c>
      <c r="AA35" s="10">
        <v>20875.268930000002</v>
      </c>
    </row>
    <row r="36" spans="22:27">
      <c r="V36" t="str">
        <f t="shared" si="0"/>
        <v>ALLIANCE AIRP1</v>
      </c>
      <c r="W36" t="s">
        <v>25</v>
      </c>
      <c r="X36" t="s">
        <v>11</v>
      </c>
      <c r="Y36" s="10">
        <v>202</v>
      </c>
      <c r="Z36" s="10">
        <v>184</v>
      </c>
      <c r="AA36" s="10">
        <v>1058.464579</v>
      </c>
    </row>
    <row r="37" spans="22:27">
      <c r="V37" t="str">
        <f t="shared" si="0"/>
        <v>ALLIANCE AIRP2</v>
      </c>
      <c r="W37" t="s">
        <v>25</v>
      </c>
      <c r="X37" t="s">
        <v>12</v>
      </c>
      <c r="Y37" s="10"/>
      <c r="Z37" s="10"/>
      <c r="AA37" s="10"/>
    </row>
    <row r="38" spans="22:27">
      <c r="V38" t="str">
        <f t="shared" si="0"/>
        <v>ALLIANCE AIRP3</v>
      </c>
      <c r="W38" t="s">
        <v>25</v>
      </c>
      <c r="X38" t="s">
        <v>13</v>
      </c>
      <c r="Y38" s="10">
        <v>144</v>
      </c>
      <c r="Z38" s="10">
        <v>140</v>
      </c>
      <c r="AA38" s="10">
        <v>125.34448999999999</v>
      </c>
    </row>
    <row r="39" spans="22:27">
      <c r="V39" t="str">
        <f t="shared" si="0"/>
        <v>ALLIANCE AIRP4</v>
      </c>
      <c r="W39" t="s">
        <v>25</v>
      </c>
      <c r="X39" t="s">
        <v>14</v>
      </c>
      <c r="Y39" s="10"/>
      <c r="Z39" s="10"/>
      <c r="AA39" s="10"/>
    </row>
    <row r="40" spans="22:27">
      <c r="V40" t="str">
        <f t="shared" si="0"/>
        <v>ALLIANCE AIRP4.1</v>
      </c>
      <c r="W40" t="s">
        <v>25</v>
      </c>
      <c r="X40" t="s">
        <v>42</v>
      </c>
      <c r="Y40" s="10"/>
      <c r="Z40" s="10"/>
      <c r="AA40" s="10"/>
    </row>
    <row r="41" spans="22:27">
      <c r="V41" t="str">
        <f t="shared" si="0"/>
        <v>ALLIANCE AIRP4.2</v>
      </c>
      <c r="W41" t="s">
        <v>25</v>
      </c>
      <c r="X41" t="s">
        <v>43</v>
      </c>
      <c r="Y41" s="10"/>
      <c r="Z41" s="10"/>
      <c r="AA41" s="10"/>
    </row>
    <row r="42" spans="22:27">
      <c r="V42" t="str">
        <f t="shared" si="0"/>
        <v>ALLIANCE AIRP5</v>
      </c>
      <c r="W42" t="s">
        <v>25</v>
      </c>
      <c r="X42" t="s">
        <v>15</v>
      </c>
      <c r="Y42" s="10"/>
      <c r="Z42" s="10"/>
      <c r="AA42" s="10"/>
    </row>
    <row r="43" spans="22:27">
      <c r="V43" t="str">
        <f t="shared" si="0"/>
        <v>ALLIANCE AIRP6</v>
      </c>
      <c r="W43" t="s">
        <v>25</v>
      </c>
      <c r="X43" t="s">
        <v>16</v>
      </c>
      <c r="Y43" s="10">
        <v>346</v>
      </c>
      <c r="Z43" s="10">
        <v>324</v>
      </c>
      <c r="AA43" s="10">
        <v>208.90748300000001</v>
      </c>
    </row>
    <row r="44" spans="22:27">
      <c r="V44" t="str">
        <f t="shared" si="0"/>
        <v>Blue Dart P1</v>
      </c>
      <c r="W44" t="s">
        <v>33</v>
      </c>
      <c r="X44" t="s">
        <v>11</v>
      </c>
      <c r="Y44" s="10">
        <v>58</v>
      </c>
      <c r="Z44" s="10">
        <v>60</v>
      </c>
      <c r="AA44" s="10">
        <v>395.84</v>
      </c>
    </row>
    <row r="45" spans="22:27">
      <c r="V45" t="str">
        <f t="shared" si="0"/>
        <v>Blue Dart P2</v>
      </c>
      <c r="W45" t="s">
        <v>33</v>
      </c>
      <c r="X45" t="s">
        <v>12</v>
      </c>
      <c r="Y45" s="10"/>
      <c r="Z45" s="10"/>
      <c r="AA45" s="10"/>
    </row>
    <row r="46" spans="22:27">
      <c r="V46" t="str">
        <f t="shared" si="0"/>
        <v>Blue Dart P3</v>
      </c>
      <c r="W46" t="s">
        <v>33</v>
      </c>
      <c r="X46" t="s">
        <v>13</v>
      </c>
      <c r="Y46" s="10"/>
      <c r="Z46" s="10"/>
      <c r="AA46" s="10"/>
    </row>
    <row r="47" spans="22:27">
      <c r="V47" t="str">
        <f t="shared" si="0"/>
        <v>Blue Dart P4</v>
      </c>
      <c r="W47" t="s">
        <v>33</v>
      </c>
      <c r="X47" t="s">
        <v>14</v>
      </c>
      <c r="Y47" s="10">
        <v>156</v>
      </c>
      <c r="Z47" s="10">
        <v>152</v>
      </c>
      <c r="AA47" s="10">
        <v>331.43</v>
      </c>
    </row>
    <row r="48" spans="22:27">
      <c r="V48" t="str">
        <f t="shared" si="0"/>
        <v>Blue Dart P4.1</v>
      </c>
      <c r="W48" t="s">
        <v>33</v>
      </c>
      <c r="X48" t="s">
        <v>42</v>
      </c>
      <c r="Y48" s="10">
        <v>56</v>
      </c>
      <c r="Z48" s="10">
        <v>56</v>
      </c>
      <c r="AA48" s="10">
        <v>245.26</v>
      </c>
    </row>
    <row r="49" spans="22:27">
      <c r="V49" t="str">
        <f t="shared" si="0"/>
        <v>Blue Dart P4.2</v>
      </c>
      <c r="W49" t="s">
        <v>33</v>
      </c>
      <c r="X49" t="s">
        <v>43</v>
      </c>
      <c r="Y49" s="10">
        <v>100</v>
      </c>
      <c r="Z49" s="10">
        <v>96</v>
      </c>
      <c r="AA49" s="10">
        <v>86.17</v>
      </c>
    </row>
    <row r="50" spans="22:27">
      <c r="V50" t="str">
        <f t="shared" si="0"/>
        <v>Blue Dart P5</v>
      </c>
      <c r="W50" t="s">
        <v>33</v>
      </c>
      <c r="X50" t="s">
        <v>15</v>
      </c>
      <c r="Y50" s="10"/>
      <c r="Z50" s="10"/>
      <c r="AA50" s="10"/>
    </row>
    <row r="51" spans="22:27">
      <c r="V51" t="str">
        <f t="shared" si="0"/>
        <v>Blue Dart P6</v>
      </c>
      <c r="W51" t="s">
        <v>33</v>
      </c>
      <c r="X51" t="s">
        <v>16</v>
      </c>
      <c r="Y51" s="10">
        <v>937</v>
      </c>
      <c r="Z51" s="10">
        <v>1025</v>
      </c>
      <c r="AA51" s="10">
        <v>558.48</v>
      </c>
    </row>
    <row r="52" spans="22:27">
      <c r="V52" t="str">
        <f t="shared" si="0"/>
        <v>GO AIRP1</v>
      </c>
      <c r="W52" t="s">
        <v>26</v>
      </c>
      <c r="X52" t="s">
        <v>11</v>
      </c>
      <c r="Y52" s="10">
        <v>444</v>
      </c>
      <c r="Z52" s="10">
        <v>513</v>
      </c>
      <c r="AA52" s="10">
        <v>3402</v>
      </c>
    </row>
    <row r="53" spans="22:27">
      <c r="V53" t="str">
        <f t="shared" si="0"/>
        <v>GO AIRP2</v>
      </c>
      <c r="W53" t="s">
        <v>26</v>
      </c>
      <c r="X53" t="s">
        <v>12</v>
      </c>
      <c r="Y53" s="10"/>
      <c r="Z53" s="10"/>
      <c r="AA53" s="10"/>
    </row>
    <row r="54" spans="22:27">
      <c r="V54" t="str">
        <f t="shared" si="0"/>
        <v>GO AIRP3</v>
      </c>
      <c r="W54" t="s">
        <v>26</v>
      </c>
      <c r="X54" t="s">
        <v>13</v>
      </c>
      <c r="Y54" s="10">
        <v>753</v>
      </c>
      <c r="Z54" s="10">
        <v>812</v>
      </c>
      <c r="AA54" s="10">
        <v>383</v>
      </c>
    </row>
    <row r="55" spans="22:27">
      <c r="V55" t="str">
        <f t="shared" si="0"/>
        <v>GO AIRP4</v>
      </c>
      <c r="W55" t="s">
        <v>26</v>
      </c>
      <c r="X55" t="s">
        <v>14</v>
      </c>
      <c r="Y55" s="10">
        <v>474</v>
      </c>
      <c r="Z55" s="10">
        <v>522</v>
      </c>
      <c r="AA55" s="10">
        <v>729</v>
      </c>
    </row>
    <row r="56" spans="22:27">
      <c r="V56" t="str">
        <f t="shared" si="0"/>
        <v>GO AIRP4.1</v>
      </c>
      <c r="W56" t="s">
        <v>26</v>
      </c>
      <c r="X56" t="s">
        <v>42</v>
      </c>
      <c r="Y56" s="10">
        <v>143</v>
      </c>
      <c r="Z56" s="10">
        <v>151</v>
      </c>
      <c r="AA56" s="10">
        <v>450</v>
      </c>
    </row>
    <row r="57" spans="22:27">
      <c r="V57" t="str">
        <f t="shared" si="0"/>
        <v>GO AIRP4.2</v>
      </c>
      <c r="W57" t="s">
        <v>26</v>
      </c>
      <c r="X57" t="s">
        <v>43</v>
      </c>
      <c r="Y57" s="10">
        <v>331</v>
      </c>
      <c r="Z57" s="10">
        <v>371</v>
      </c>
      <c r="AA57" s="10">
        <v>279</v>
      </c>
    </row>
    <row r="58" spans="22:27">
      <c r="V58" t="str">
        <f t="shared" si="0"/>
        <v>GO AIRP5</v>
      </c>
      <c r="W58" t="s">
        <v>26</v>
      </c>
      <c r="X58" t="s">
        <v>15</v>
      </c>
      <c r="Y58" s="10">
        <v>476</v>
      </c>
      <c r="Z58" s="10">
        <v>522</v>
      </c>
      <c r="AA58" s="10">
        <v>185</v>
      </c>
    </row>
    <row r="59" spans="22:27">
      <c r="V59" t="str">
        <f t="shared" si="0"/>
        <v>GO AIRP6</v>
      </c>
      <c r="W59" t="s">
        <v>26</v>
      </c>
      <c r="X59" t="s">
        <v>16</v>
      </c>
      <c r="Y59" s="10">
        <v>1107</v>
      </c>
      <c r="Z59" s="10">
        <v>1249</v>
      </c>
      <c r="AA59" s="10">
        <v>952</v>
      </c>
    </row>
    <row r="60" spans="22:27">
      <c r="V60" t="str">
        <f t="shared" si="0"/>
        <v>INDIGOP1</v>
      </c>
      <c r="W60" t="s">
        <v>20</v>
      </c>
      <c r="X60" t="s">
        <v>11</v>
      </c>
      <c r="Y60" s="10">
        <v>2747</v>
      </c>
      <c r="Z60" s="10">
        <v>3187</v>
      </c>
      <c r="AA60" s="10">
        <v>18986.03</v>
      </c>
    </row>
    <row r="61" spans="22:27">
      <c r="V61" t="str">
        <f t="shared" si="0"/>
        <v>INDIGOP2</v>
      </c>
      <c r="W61" t="s">
        <v>20</v>
      </c>
      <c r="X61" t="s">
        <v>12</v>
      </c>
      <c r="Y61" s="10">
        <v>195</v>
      </c>
      <c r="Z61" s="10">
        <v>210</v>
      </c>
      <c r="AA61" s="10">
        <v>273.60000000000002</v>
      </c>
    </row>
    <row r="62" spans="22:27">
      <c r="V62" t="str">
        <f t="shared" si="0"/>
        <v>INDIGOP3</v>
      </c>
      <c r="W62" t="s">
        <v>20</v>
      </c>
      <c r="X62" t="s">
        <v>13</v>
      </c>
      <c r="Y62" s="10">
        <v>5623</v>
      </c>
      <c r="Z62" s="10">
        <v>6248</v>
      </c>
      <c r="AA62" s="10">
        <v>3694.91</v>
      </c>
    </row>
    <row r="63" spans="22:27">
      <c r="V63" t="str">
        <f t="shared" si="0"/>
        <v>INDIGOP4</v>
      </c>
      <c r="W63" t="s">
        <v>20</v>
      </c>
      <c r="X63" t="s">
        <v>14</v>
      </c>
      <c r="Y63" s="10">
        <v>1466</v>
      </c>
      <c r="Z63" s="10">
        <v>1718</v>
      </c>
      <c r="AA63" s="10">
        <v>1912.88</v>
      </c>
    </row>
    <row r="64" spans="22:27">
      <c r="V64" t="str">
        <f t="shared" si="0"/>
        <v>INDIGOP4.1</v>
      </c>
      <c r="W64" t="s">
        <v>20</v>
      </c>
      <c r="X64" t="s">
        <v>42</v>
      </c>
      <c r="Y64" s="10">
        <v>723</v>
      </c>
      <c r="Z64" s="10">
        <v>829</v>
      </c>
      <c r="AA64" s="10">
        <v>1611.38</v>
      </c>
    </row>
    <row r="65" spans="22:27">
      <c r="V65" t="str">
        <f t="shared" si="0"/>
        <v>INDIGOP4.2</v>
      </c>
      <c r="W65" t="s">
        <v>20</v>
      </c>
      <c r="X65" t="s">
        <v>43</v>
      </c>
      <c r="Y65" s="10">
        <v>743</v>
      </c>
      <c r="Z65" s="10">
        <v>889</v>
      </c>
      <c r="AA65" s="10">
        <v>301.5</v>
      </c>
    </row>
    <row r="66" spans="22:27">
      <c r="V66" t="str">
        <f t="shared" si="0"/>
        <v>INDIGOP5</v>
      </c>
      <c r="W66" t="s">
        <v>20</v>
      </c>
      <c r="X66" t="s">
        <v>15</v>
      </c>
      <c r="Y66" s="10">
        <v>275</v>
      </c>
      <c r="Z66" s="10">
        <v>305</v>
      </c>
      <c r="AA66" s="10">
        <v>497.03</v>
      </c>
    </row>
    <row r="67" spans="22:27">
      <c r="V67" t="str">
        <f t="shared" si="0"/>
        <v>INDIGOP6</v>
      </c>
      <c r="W67" t="s">
        <v>20</v>
      </c>
      <c r="X67" t="s">
        <v>16</v>
      </c>
      <c r="Y67" s="10">
        <v>10000</v>
      </c>
      <c r="Z67" s="10">
        <v>11815</v>
      </c>
      <c r="AA67" s="10">
        <v>6013.46</v>
      </c>
    </row>
    <row r="68" spans="22:27">
      <c r="V68" t="str">
        <f t="shared" si="0"/>
        <v>SCHEDULED NATIONAL AIRLINESP1</v>
      </c>
      <c r="W68" t="s">
        <v>44</v>
      </c>
      <c r="X68" t="s">
        <v>11</v>
      </c>
      <c r="Y68" s="10">
        <v>1877</v>
      </c>
      <c r="Z68" s="10">
        <v>1837</v>
      </c>
      <c r="AA68" s="10">
        <v>15430.544578999999</v>
      </c>
    </row>
    <row r="69" spans="22:27">
      <c r="V69" t="str">
        <f t="shared" ref="V69:V132" si="1">W69&amp;X69</f>
        <v>SCHEDULED NATIONAL AIRLINESP2</v>
      </c>
      <c r="W69" t="s">
        <v>44</v>
      </c>
      <c r="X69" t="s">
        <v>12</v>
      </c>
      <c r="Y69" s="10">
        <v>0</v>
      </c>
      <c r="Z69" s="10">
        <v>0</v>
      </c>
      <c r="AA69" s="10">
        <v>0</v>
      </c>
    </row>
    <row r="70" spans="22:27">
      <c r="V70" t="str">
        <f t="shared" si="1"/>
        <v>SCHEDULED NATIONAL AIRLINESP3</v>
      </c>
      <c r="W70" t="s">
        <v>44</v>
      </c>
      <c r="X70" t="s">
        <v>13</v>
      </c>
      <c r="Y70" s="10">
        <v>2520</v>
      </c>
      <c r="Z70" s="10">
        <v>2464</v>
      </c>
      <c r="AA70" s="10">
        <v>6522.1544899999999</v>
      </c>
    </row>
    <row r="71" spans="22:27">
      <c r="V71" t="str">
        <f t="shared" si="1"/>
        <v>SCHEDULED NATIONAL AIRLINESP4</v>
      </c>
      <c r="W71" t="s">
        <v>44</v>
      </c>
      <c r="X71" t="s">
        <v>14</v>
      </c>
      <c r="Y71" s="10">
        <v>655</v>
      </c>
      <c r="Z71" s="10">
        <v>623</v>
      </c>
      <c r="AA71" s="10">
        <v>94.51</v>
      </c>
    </row>
    <row r="72" spans="22:27">
      <c r="V72" t="str">
        <f t="shared" si="1"/>
        <v>SCHEDULED NATIONAL AIRLINESP4.1</v>
      </c>
      <c r="W72" t="s">
        <v>44</v>
      </c>
      <c r="X72" t="s">
        <v>42</v>
      </c>
      <c r="Y72" s="10">
        <v>16</v>
      </c>
      <c r="Z72" s="10">
        <v>16</v>
      </c>
      <c r="AA72" s="10">
        <v>11.3</v>
      </c>
    </row>
    <row r="73" spans="22:27">
      <c r="V73" t="str">
        <f t="shared" si="1"/>
        <v>SCHEDULED NATIONAL AIRLINESP4.2</v>
      </c>
      <c r="W73" t="s">
        <v>44</v>
      </c>
      <c r="X73" t="s">
        <v>43</v>
      </c>
      <c r="Y73" s="10">
        <v>62</v>
      </c>
      <c r="Z73" s="10">
        <v>64</v>
      </c>
      <c r="AA73" s="10">
        <v>13.9</v>
      </c>
    </row>
    <row r="74" spans="22:27">
      <c r="V74" t="str">
        <f t="shared" si="1"/>
        <v>SCHEDULED NATIONAL AIRLINESP5</v>
      </c>
      <c r="W74" t="s">
        <v>44</v>
      </c>
      <c r="X74" t="s">
        <v>15</v>
      </c>
      <c r="Y74" s="10">
        <v>2113</v>
      </c>
      <c r="Z74" s="10">
        <v>1989</v>
      </c>
      <c r="AA74" s="10">
        <v>3208.24</v>
      </c>
    </row>
    <row r="75" spans="22:27">
      <c r="V75" t="str">
        <f t="shared" si="1"/>
        <v>SCHEDULED NATIONAL AIRLINESP6</v>
      </c>
      <c r="W75" t="s">
        <v>44</v>
      </c>
      <c r="X75" t="s">
        <v>16</v>
      </c>
      <c r="Y75" s="10">
        <v>5668</v>
      </c>
      <c r="Z75" s="10">
        <v>5119</v>
      </c>
      <c r="AA75" s="10">
        <v>9120.4374829999997</v>
      </c>
    </row>
    <row r="76" spans="22:27">
      <c r="V76" t="str">
        <f t="shared" si="1"/>
        <v>SCHEDULED PRIVATE AIRLINESP1</v>
      </c>
      <c r="W76" t="s">
        <v>45</v>
      </c>
      <c r="X76" t="s">
        <v>11</v>
      </c>
      <c r="Y76" s="10">
        <v>4738</v>
      </c>
      <c r="Z76" s="10">
        <v>5362</v>
      </c>
      <c r="AA76" s="10">
        <v>31089.195537999993</v>
      </c>
    </row>
    <row r="77" spans="22:27">
      <c r="V77" t="str">
        <f t="shared" si="1"/>
        <v>SCHEDULED PRIVATE AIRLINESP2</v>
      </c>
      <c r="W77" t="s">
        <v>45</v>
      </c>
      <c r="X77" t="s">
        <v>12</v>
      </c>
      <c r="Y77" s="10">
        <v>259</v>
      </c>
      <c r="Z77" s="10">
        <v>280</v>
      </c>
      <c r="AA77" s="10">
        <v>1091.17</v>
      </c>
    </row>
    <row r="78" spans="22:27">
      <c r="V78" t="str">
        <f t="shared" si="1"/>
        <v>SCHEDULED PRIVATE AIRLINESP3</v>
      </c>
      <c r="W78" t="s">
        <v>45</v>
      </c>
      <c r="X78" t="s">
        <v>13</v>
      </c>
      <c r="Y78" s="10">
        <v>8934</v>
      </c>
      <c r="Z78" s="10">
        <v>10146</v>
      </c>
      <c r="AA78" s="10">
        <v>5666.3649380000015</v>
      </c>
    </row>
    <row r="79" spans="22:27">
      <c r="V79" t="str">
        <f t="shared" si="1"/>
        <v>SCHEDULED PRIVATE AIRLINESP4</v>
      </c>
      <c r="W79" t="s">
        <v>45</v>
      </c>
      <c r="X79" t="s">
        <v>14</v>
      </c>
      <c r="Y79" s="10">
        <v>3170</v>
      </c>
      <c r="Z79" s="10">
        <v>3571</v>
      </c>
      <c r="AA79" s="10">
        <v>4430.8632890000008</v>
      </c>
    </row>
    <row r="80" spans="22:27">
      <c r="V80" t="str">
        <f t="shared" si="1"/>
        <v>SCHEDULED PRIVATE AIRLINESP4.1</v>
      </c>
      <c r="W80" t="s">
        <v>45</v>
      </c>
      <c r="X80" t="s">
        <v>42</v>
      </c>
      <c r="Y80" s="10">
        <v>1515</v>
      </c>
      <c r="Z80" s="10">
        <v>1685</v>
      </c>
      <c r="AA80" s="10">
        <v>3554.2053690000002</v>
      </c>
    </row>
    <row r="81" spans="22:27">
      <c r="V81" t="str">
        <f t="shared" si="1"/>
        <v>SCHEDULED PRIVATE AIRLINESP4.2</v>
      </c>
      <c r="W81" t="s">
        <v>45</v>
      </c>
      <c r="X81" t="s">
        <v>43</v>
      </c>
      <c r="Y81" s="10">
        <v>1655</v>
      </c>
      <c r="Z81" s="10">
        <v>1886</v>
      </c>
      <c r="AA81" s="10">
        <v>876.65778399999999</v>
      </c>
    </row>
    <row r="82" spans="22:27">
      <c r="V82" t="str">
        <f t="shared" si="1"/>
        <v>SCHEDULED PRIVATE AIRLINESP5</v>
      </c>
      <c r="W82" t="s">
        <v>45</v>
      </c>
      <c r="X82" t="s">
        <v>15</v>
      </c>
      <c r="Y82" s="10">
        <v>1240</v>
      </c>
      <c r="Z82" s="10">
        <v>1333</v>
      </c>
      <c r="AA82" s="10">
        <v>911.60643199999959</v>
      </c>
    </row>
    <row r="83" spans="22:27">
      <c r="V83" t="str">
        <f t="shared" si="1"/>
        <v>SCHEDULED PRIVATE AIRLINESP6</v>
      </c>
      <c r="W83" t="s">
        <v>45</v>
      </c>
      <c r="X83" t="s">
        <v>16</v>
      </c>
      <c r="Y83" s="10">
        <v>21314</v>
      </c>
      <c r="Z83" s="10">
        <v>24677</v>
      </c>
      <c r="AA83" s="10">
        <v>11754.831447000002</v>
      </c>
    </row>
    <row r="84" spans="22:27">
      <c r="V84" t="str">
        <f t="shared" si="1"/>
        <v>SPICEJETP1</v>
      </c>
      <c r="W84" t="s">
        <v>29</v>
      </c>
      <c r="X84" t="s">
        <v>11</v>
      </c>
      <c r="Y84" s="10">
        <v>779</v>
      </c>
      <c r="Z84" s="10">
        <v>813</v>
      </c>
      <c r="AA84" s="10">
        <v>3644.63</v>
      </c>
    </row>
    <row r="85" spans="22:27">
      <c r="V85" t="str">
        <f t="shared" si="1"/>
        <v>SPICEJETP2</v>
      </c>
      <c r="W85" t="s">
        <v>29</v>
      </c>
      <c r="X85" t="s">
        <v>12</v>
      </c>
      <c r="Y85" s="10">
        <v>64</v>
      </c>
      <c r="Z85" s="10">
        <v>70</v>
      </c>
      <c r="AA85" s="10">
        <v>817.57</v>
      </c>
    </row>
    <row r="86" spans="22:27">
      <c r="V86" t="str">
        <f t="shared" si="1"/>
        <v>SPICEJETP3</v>
      </c>
      <c r="W86" t="s">
        <v>29</v>
      </c>
      <c r="X86" t="s">
        <v>13</v>
      </c>
      <c r="Y86" s="10">
        <v>1341</v>
      </c>
      <c r="Z86" s="10">
        <v>1798</v>
      </c>
      <c r="AA86" s="10">
        <v>813.87</v>
      </c>
    </row>
    <row r="87" spans="22:27">
      <c r="V87" t="str">
        <f t="shared" si="1"/>
        <v>SPICEJETP4</v>
      </c>
      <c r="W87" t="s">
        <v>29</v>
      </c>
      <c r="X87" t="s">
        <v>14</v>
      </c>
      <c r="Y87" s="10">
        <v>683</v>
      </c>
      <c r="Z87" s="10">
        <v>694</v>
      </c>
      <c r="AA87" s="10">
        <v>726.22</v>
      </c>
    </row>
    <row r="88" spans="22:27">
      <c r="V88" t="str">
        <f t="shared" si="1"/>
        <v>SPICEJETP4.1</v>
      </c>
      <c r="W88" t="s">
        <v>29</v>
      </c>
      <c r="X88" t="s">
        <v>42</v>
      </c>
      <c r="Y88" s="10">
        <v>307</v>
      </c>
      <c r="Z88" s="10">
        <v>306</v>
      </c>
      <c r="AA88" s="10">
        <v>595.41</v>
      </c>
    </row>
    <row r="89" spans="22:27">
      <c r="V89" t="str">
        <f t="shared" si="1"/>
        <v>SPICEJETP4.2</v>
      </c>
      <c r="W89" t="s">
        <v>29</v>
      </c>
      <c r="X89" t="s">
        <v>43</v>
      </c>
      <c r="Y89" s="10">
        <v>376</v>
      </c>
      <c r="Z89" s="10">
        <v>388</v>
      </c>
      <c r="AA89" s="10">
        <v>130.81</v>
      </c>
    </row>
    <row r="90" spans="22:27">
      <c r="V90" t="str">
        <f t="shared" si="1"/>
        <v>SPICEJETP5</v>
      </c>
      <c r="W90" t="s">
        <v>29</v>
      </c>
      <c r="X90" t="s">
        <v>15</v>
      </c>
      <c r="Y90" s="10">
        <v>420</v>
      </c>
      <c r="Z90" s="10">
        <v>443</v>
      </c>
      <c r="AA90" s="10">
        <v>186.72</v>
      </c>
    </row>
    <row r="91" spans="22:27">
      <c r="V91" t="str">
        <f t="shared" si="1"/>
        <v>SPICEJETP6</v>
      </c>
      <c r="W91" t="s">
        <v>29</v>
      </c>
      <c r="X91" t="s">
        <v>16</v>
      </c>
      <c r="Y91" s="10">
        <v>6467</v>
      </c>
      <c r="Z91" s="10">
        <v>7582</v>
      </c>
      <c r="AA91" s="10">
        <v>2486.2600000000002</v>
      </c>
    </row>
    <row r="92" spans="22:27">
      <c r="V92" t="str">
        <f t="shared" si="1"/>
        <v>TRUEJETP1</v>
      </c>
      <c r="W92" t="s">
        <v>35</v>
      </c>
      <c r="X92" t="s">
        <v>11</v>
      </c>
      <c r="Y92" s="10">
        <v>88</v>
      </c>
      <c r="Z92" s="10">
        <v>89</v>
      </c>
      <c r="AA92" s="10">
        <v>421.5</v>
      </c>
    </row>
    <row r="93" spans="22:27">
      <c r="V93" t="str">
        <f t="shared" si="1"/>
        <v>TRUEJETP2</v>
      </c>
      <c r="W93" t="s">
        <v>35</v>
      </c>
      <c r="X93" t="s">
        <v>12</v>
      </c>
      <c r="Y93" s="10"/>
      <c r="Z93" s="10"/>
      <c r="AA93" s="10"/>
    </row>
    <row r="94" spans="22:27">
      <c r="V94" t="str">
        <f t="shared" si="1"/>
        <v>TRUEJETP3</v>
      </c>
      <c r="W94" t="s">
        <v>35</v>
      </c>
      <c r="X94" t="s">
        <v>13</v>
      </c>
      <c r="Y94" s="10">
        <v>68</v>
      </c>
      <c r="Z94" s="10">
        <v>78</v>
      </c>
      <c r="AA94" s="10">
        <v>32.04</v>
      </c>
    </row>
    <row r="95" spans="22:27">
      <c r="V95" t="str">
        <f t="shared" si="1"/>
        <v>TRUEJETP4</v>
      </c>
      <c r="W95" t="s">
        <v>35</v>
      </c>
      <c r="X95" t="s">
        <v>14</v>
      </c>
      <c r="Y95" s="10">
        <v>36</v>
      </c>
      <c r="Z95" s="10">
        <v>83</v>
      </c>
      <c r="AA95" s="10">
        <v>84.61</v>
      </c>
    </row>
    <row r="96" spans="22:27">
      <c r="V96" t="str">
        <f t="shared" si="1"/>
        <v>TRUEJETP4.1</v>
      </c>
      <c r="W96" t="s">
        <v>35</v>
      </c>
      <c r="X96" t="s">
        <v>42</v>
      </c>
      <c r="Y96" s="10">
        <v>3</v>
      </c>
      <c r="Z96" s="10">
        <v>22</v>
      </c>
      <c r="AA96" s="10">
        <v>41.032080000000001</v>
      </c>
    </row>
    <row r="97" spans="22:27">
      <c r="V97" t="str">
        <f t="shared" si="1"/>
        <v>TRUEJETP4.2</v>
      </c>
      <c r="W97" t="s">
        <v>35</v>
      </c>
      <c r="X97" t="s">
        <v>43</v>
      </c>
      <c r="Y97" s="10">
        <v>33</v>
      </c>
      <c r="Z97" s="10">
        <v>61</v>
      </c>
      <c r="AA97" s="10">
        <v>43.577784000000001</v>
      </c>
    </row>
    <row r="98" spans="22:27">
      <c r="V98" t="str">
        <f t="shared" si="1"/>
        <v>TRUEJETP5</v>
      </c>
      <c r="W98" t="s">
        <v>35</v>
      </c>
      <c r="X98" t="s">
        <v>15</v>
      </c>
      <c r="Y98" s="10">
        <v>25</v>
      </c>
      <c r="Z98" s="10">
        <v>24</v>
      </c>
      <c r="AA98" s="10">
        <v>9.516432</v>
      </c>
    </row>
    <row r="99" spans="22:27">
      <c r="V99" t="str">
        <f t="shared" si="1"/>
        <v>TRUEJETP6</v>
      </c>
      <c r="W99" t="s">
        <v>35</v>
      </c>
      <c r="X99" t="s">
        <v>16</v>
      </c>
      <c r="Y99" s="10">
        <v>438</v>
      </c>
      <c r="Z99" s="10">
        <v>538</v>
      </c>
      <c r="AA99" s="10">
        <v>169.60228799999999</v>
      </c>
    </row>
    <row r="100" spans="22:27">
      <c r="V100" t="str">
        <f t="shared" si="1"/>
        <v>VISTARAP1</v>
      </c>
      <c r="W100" t="s">
        <v>32</v>
      </c>
      <c r="X100" t="s">
        <v>11</v>
      </c>
      <c r="Y100" s="10">
        <v>355</v>
      </c>
      <c r="Z100" s="10">
        <v>385</v>
      </c>
      <c r="AA100" s="10">
        <v>2236.6999999999998</v>
      </c>
    </row>
    <row r="101" spans="22:27">
      <c r="V101" t="str">
        <f t="shared" si="1"/>
        <v>VISTARAP2</v>
      </c>
      <c r="W101" t="s">
        <v>32</v>
      </c>
      <c r="X101" t="s">
        <v>12</v>
      </c>
      <c r="Y101" s="10"/>
      <c r="Z101" s="10"/>
      <c r="AA101" s="10"/>
    </row>
    <row r="102" spans="22:27">
      <c r="V102" t="str">
        <f t="shared" si="1"/>
        <v>VISTARAP3</v>
      </c>
      <c r="W102" t="s">
        <v>32</v>
      </c>
      <c r="X102" t="s">
        <v>13</v>
      </c>
      <c r="Y102" s="10">
        <v>673</v>
      </c>
      <c r="Z102" s="10">
        <v>722</v>
      </c>
      <c r="AA102" s="10">
        <v>342.8</v>
      </c>
    </row>
    <row r="103" spans="22:27">
      <c r="V103" t="str">
        <f t="shared" si="1"/>
        <v>VISTARAP4</v>
      </c>
      <c r="W103" t="s">
        <v>32</v>
      </c>
      <c r="X103" t="s">
        <v>14</v>
      </c>
      <c r="Y103" s="10">
        <v>175</v>
      </c>
      <c r="Z103" s="10">
        <v>203</v>
      </c>
      <c r="AA103" s="10">
        <v>309.10000000000002</v>
      </c>
    </row>
    <row r="104" spans="22:27">
      <c r="V104" t="str">
        <f t="shared" si="1"/>
        <v>VISTARAP4.1</v>
      </c>
      <c r="W104" t="s">
        <v>32</v>
      </c>
      <c r="X104" t="s">
        <v>42</v>
      </c>
      <c r="Y104" s="10">
        <v>103</v>
      </c>
      <c r="Z104" s="10">
        <v>122</v>
      </c>
      <c r="AA104" s="10">
        <v>273.5</v>
      </c>
    </row>
    <row r="105" spans="22:27">
      <c r="V105" t="str">
        <f t="shared" si="1"/>
        <v>VISTARAP4.2</v>
      </c>
      <c r="W105" t="s">
        <v>32</v>
      </c>
      <c r="X105" t="s">
        <v>43</v>
      </c>
      <c r="Y105" s="10">
        <v>72</v>
      </c>
      <c r="Z105" s="10">
        <v>81</v>
      </c>
      <c r="AA105" s="10">
        <v>35.6</v>
      </c>
    </row>
    <row r="106" spans="22:27">
      <c r="V106" t="str">
        <f t="shared" si="1"/>
        <v>VISTARAP5</v>
      </c>
      <c r="W106" t="s">
        <v>32</v>
      </c>
      <c r="X106" t="s">
        <v>15</v>
      </c>
      <c r="Y106" s="10">
        <v>42</v>
      </c>
      <c r="Z106" s="10">
        <v>37</v>
      </c>
      <c r="AA106" s="10">
        <v>33.1</v>
      </c>
    </row>
    <row r="107" spans="22:27">
      <c r="V107" t="str">
        <f t="shared" si="1"/>
        <v>VISTARAP6</v>
      </c>
      <c r="W107" t="s">
        <v>32</v>
      </c>
      <c r="X107" t="s">
        <v>16</v>
      </c>
      <c r="Y107" s="10">
        <v>1085</v>
      </c>
      <c r="Z107" s="10">
        <v>1171</v>
      </c>
      <c r="AA107" s="10">
        <v>839.6</v>
      </c>
    </row>
    <row r="108" spans="22:27">
      <c r="V108" t="str">
        <f t="shared" si="1"/>
        <v>(blank)(blank)</v>
      </c>
      <c r="W108" t="s">
        <v>48</v>
      </c>
      <c r="X108" t="s">
        <v>48</v>
      </c>
      <c r="Y108" s="10"/>
      <c r="Z108" s="10"/>
      <c r="AA108" s="10"/>
    </row>
    <row r="109" spans="22:27">
      <c r="V109" t="str">
        <f t="shared" si="1"/>
        <v>STAR AIRP1</v>
      </c>
      <c r="W109" t="s">
        <v>183</v>
      </c>
      <c r="X109" t="s">
        <v>11</v>
      </c>
      <c r="Y109" s="10"/>
      <c r="Z109" s="10"/>
      <c r="AA109" s="10"/>
    </row>
    <row r="110" spans="22:27">
      <c r="V110" t="str">
        <f t="shared" si="1"/>
        <v>STAR AIRP2</v>
      </c>
      <c r="W110" t="s">
        <v>183</v>
      </c>
      <c r="X110" t="s">
        <v>12</v>
      </c>
      <c r="Y110" s="10"/>
      <c r="Z110" s="10"/>
      <c r="AA110" s="10"/>
    </row>
    <row r="111" spans="22:27">
      <c r="V111" t="str">
        <f t="shared" si="1"/>
        <v>STAR AIRP3</v>
      </c>
      <c r="W111" t="s">
        <v>183</v>
      </c>
      <c r="X111" t="s">
        <v>13</v>
      </c>
      <c r="Y111" s="10"/>
      <c r="Z111" s="10"/>
      <c r="AA111" s="10"/>
    </row>
    <row r="112" spans="22:27">
      <c r="V112" t="str">
        <f t="shared" si="1"/>
        <v>STAR AIRP4</v>
      </c>
      <c r="W112" t="s">
        <v>183</v>
      </c>
      <c r="X112" t="s">
        <v>14</v>
      </c>
      <c r="Y112" s="10"/>
      <c r="Z112" s="10"/>
      <c r="AA112" s="10"/>
    </row>
    <row r="113" spans="22:27">
      <c r="V113" t="str">
        <f t="shared" si="1"/>
        <v>STAR AIRP4.1</v>
      </c>
      <c r="W113" t="s">
        <v>183</v>
      </c>
      <c r="X113" t="s">
        <v>42</v>
      </c>
      <c r="Y113" s="10"/>
      <c r="Z113" s="10"/>
      <c r="AA113" s="10"/>
    </row>
    <row r="114" spans="22:27">
      <c r="V114" t="str">
        <f t="shared" si="1"/>
        <v>STAR AIRP4.2</v>
      </c>
      <c r="W114" t="s">
        <v>183</v>
      </c>
      <c r="X114" t="s">
        <v>43</v>
      </c>
      <c r="Y114" s="10"/>
      <c r="Z114" s="10"/>
      <c r="AA114" s="10"/>
    </row>
    <row r="115" spans="22:27">
      <c r="V115" t="str">
        <f t="shared" si="1"/>
        <v>STAR AIRP5</v>
      </c>
      <c r="W115" t="s">
        <v>183</v>
      </c>
      <c r="X115" t="s">
        <v>15</v>
      </c>
      <c r="Y115" s="10"/>
      <c r="Z115" s="10"/>
      <c r="AA115" s="10"/>
    </row>
    <row r="116" spans="22:27">
      <c r="V116" t="str">
        <f t="shared" si="1"/>
        <v>STAR AIRP6</v>
      </c>
      <c r="W116" t="s">
        <v>183</v>
      </c>
      <c r="X116" t="s">
        <v>16</v>
      </c>
      <c r="Y116" s="10"/>
      <c r="Z116" s="10"/>
      <c r="AA116" s="10"/>
    </row>
    <row r="117" spans="22:27">
      <c r="V117" t="str">
        <f t="shared" si="1"/>
        <v xml:space="preserve"> AIR HERITAGEP1</v>
      </c>
      <c r="W117" t="s">
        <v>185</v>
      </c>
      <c r="X117" t="s">
        <v>11</v>
      </c>
      <c r="Y117" s="10">
        <v>4</v>
      </c>
      <c r="Z117" s="10">
        <v>4</v>
      </c>
      <c r="AA117" s="10">
        <v>5.3041840000000002</v>
      </c>
    </row>
    <row r="118" spans="22:27">
      <c r="V118" t="str">
        <f t="shared" si="1"/>
        <v xml:space="preserve"> AIR HERITAGEP2</v>
      </c>
      <c r="W118" t="s">
        <v>185</v>
      </c>
      <c r="X118" t="s">
        <v>12</v>
      </c>
      <c r="Y118" s="10"/>
      <c r="Z118" s="10"/>
      <c r="AA118" s="10"/>
    </row>
    <row r="119" spans="22:27">
      <c r="V119" t="str">
        <f t="shared" si="1"/>
        <v xml:space="preserve"> AIR HERITAGEP3</v>
      </c>
      <c r="W119" t="s">
        <v>185</v>
      </c>
      <c r="X119" t="s">
        <v>13</v>
      </c>
      <c r="Y119" s="10"/>
      <c r="Z119" s="10"/>
      <c r="AA119" s="10"/>
    </row>
    <row r="120" spans="22:27">
      <c r="V120" t="str">
        <f t="shared" si="1"/>
        <v xml:space="preserve"> AIR HERITAGEP4</v>
      </c>
      <c r="W120" t="s">
        <v>185</v>
      </c>
      <c r="X120" t="s">
        <v>14</v>
      </c>
      <c r="Y120" s="10"/>
      <c r="Z120" s="10"/>
      <c r="AA120" s="10"/>
    </row>
    <row r="121" spans="22:27">
      <c r="V121" t="str">
        <f t="shared" si="1"/>
        <v xml:space="preserve"> AIR HERITAGEP4.1</v>
      </c>
      <c r="W121" t="s">
        <v>185</v>
      </c>
      <c r="X121" t="s">
        <v>42</v>
      </c>
      <c r="Y121" s="10"/>
      <c r="Z121" s="10"/>
      <c r="AA121" s="10"/>
    </row>
    <row r="122" spans="22:27">
      <c r="V122" t="str">
        <f t="shared" si="1"/>
        <v xml:space="preserve"> AIR HERITAGEP4.2</v>
      </c>
      <c r="W122" t="s">
        <v>185</v>
      </c>
      <c r="X122" t="s">
        <v>43</v>
      </c>
      <c r="Y122" s="10"/>
      <c r="Z122" s="10"/>
      <c r="AA122" s="10"/>
    </row>
    <row r="123" spans="22:27">
      <c r="V123" t="str">
        <f t="shared" si="1"/>
        <v xml:space="preserve"> AIR HERITAGEP5</v>
      </c>
      <c r="W123" t="s">
        <v>185</v>
      </c>
      <c r="X123" t="s">
        <v>15</v>
      </c>
      <c r="Y123" s="10">
        <v>2</v>
      </c>
      <c r="Z123" s="10">
        <v>2</v>
      </c>
      <c r="AA123" s="10">
        <v>0.24</v>
      </c>
    </row>
    <row r="124" spans="22:27">
      <c r="V124" t="str">
        <f t="shared" si="1"/>
        <v xml:space="preserve"> AIR HERITAGEP6</v>
      </c>
      <c r="W124" t="s">
        <v>185</v>
      </c>
      <c r="X124" t="s">
        <v>16</v>
      </c>
      <c r="Y124" s="10">
        <v>27</v>
      </c>
      <c r="Z124" s="10">
        <v>27</v>
      </c>
      <c r="AA124" s="10">
        <v>1.4697</v>
      </c>
    </row>
    <row r="125" spans="22:27">
      <c r="V125" t="str">
        <f t="shared" si="1"/>
        <v/>
      </c>
    </row>
    <row r="126" spans="22:27">
      <c r="V126" t="str">
        <f t="shared" si="1"/>
        <v/>
      </c>
    </row>
    <row r="127" spans="22:27">
      <c r="V127" t="str">
        <f t="shared" si="1"/>
        <v/>
      </c>
    </row>
    <row r="128" spans="22:27">
      <c r="V128" t="str">
        <f t="shared" si="1"/>
        <v/>
      </c>
    </row>
    <row r="129" spans="22:22">
      <c r="V129" t="str">
        <f t="shared" si="1"/>
        <v/>
      </c>
    </row>
    <row r="130" spans="22:22">
      <c r="V130" t="str">
        <f t="shared" si="1"/>
        <v/>
      </c>
    </row>
    <row r="131" spans="22:22">
      <c r="V131" t="str">
        <f t="shared" si="1"/>
        <v/>
      </c>
    </row>
    <row r="132" spans="22:22">
      <c r="V132" t="str">
        <f t="shared" si="1"/>
        <v/>
      </c>
    </row>
    <row r="133" spans="22:22">
      <c r="V133" t="str">
        <f t="shared" ref="V133:V196" si="2">W133&amp;X133</f>
        <v/>
      </c>
    </row>
    <row r="134" spans="22:22">
      <c r="V134" t="str">
        <f t="shared" si="2"/>
        <v/>
      </c>
    </row>
    <row r="135" spans="22:22">
      <c r="V135" t="str">
        <f t="shared" si="2"/>
        <v/>
      </c>
    </row>
    <row r="136" spans="22:22">
      <c r="V136" t="str">
        <f t="shared" si="2"/>
        <v/>
      </c>
    </row>
    <row r="137" spans="22:22">
      <c r="V137" t="str">
        <f t="shared" si="2"/>
        <v/>
      </c>
    </row>
    <row r="138" spans="22:22">
      <c r="V138" t="str">
        <f t="shared" si="2"/>
        <v/>
      </c>
    </row>
    <row r="139" spans="22:22">
      <c r="V139" t="str">
        <f t="shared" si="2"/>
        <v/>
      </c>
    </row>
    <row r="140" spans="22:22">
      <c r="V140" t="str">
        <f t="shared" si="2"/>
        <v/>
      </c>
    </row>
    <row r="141" spans="22:22">
      <c r="V141" t="str">
        <f t="shared" si="2"/>
        <v/>
      </c>
    </row>
    <row r="142" spans="22:22">
      <c r="V142" t="str">
        <f t="shared" si="2"/>
        <v/>
      </c>
    </row>
    <row r="143" spans="22:22">
      <c r="V143" t="str">
        <f t="shared" si="2"/>
        <v/>
      </c>
    </row>
    <row r="144" spans="22:22">
      <c r="V144" t="str">
        <f t="shared" si="2"/>
        <v/>
      </c>
    </row>
    <row r="145" spans="22:22">
      <c r="V145" t="str">
        <f t="shared" si="2"/>
        <v/>
      </c>
    </row>
    <row r="146" spans="22:22">
      <c r="V146" t="str">
        <f t="shared" si="2"/>
        <v/>
      </c>
    </row>
    <row r="147" spans="22:22">
      <c r="V147" t="str">
        <f t="shared" si="2"/>
        <v/>
      </c>
    </row>
    <row r="148" spans="22:22">
      <c r="V148" t="str">
        <f t="shared" si="2"/>
        <v/>
      </c>
    </row>
    <row r="149" spans="22:22">
      <c r="V149" t="str">
        <f t="shared" si="2"/>
        <v/>
      </c>
    </row>
    <row r="150" spans="22:22">
      <c r="V150" t="str">
        <f t="shared" si="2"/>
        <v/>
      </c>
    </row>
    <row r="151" spans="22:22">
      <c r="V151" t="str">
        <f t="shared" si="2"/>
        <v/>
      </c>
    </row>
    <row r="152" spans="22:22">
      <c r="V152" t="str">
        <f t="shared" si="2"/>
        <v/>
      </c>
    </row>
    <row r="153" spans="22:22">
      <c r="V153" t="str">
        <f t="shared" si="2"/>
        <v/>
      </c>
    </row>
    <row r="154" spans="22:22">
      <c r="V154" t="str">
        <f t="shared" si="2"/>
        <v/>
      </c>
    </row>
    <row r="155" spans="22:22">
      <c r="V155" t="str">
        <f t="shared" si="2"/>
        <v/>
      </c>
    </row>
    <row r="156" spans="22:22">
      <c r="V156" t="str">
        <f t="shared" si="2"/>
        <v/>
      </c>
    </row>
    <row r="157" spans="22:22">
      <c r="V157" t="str">
        <f t="shared" si="2"/>
        <v/>
      </c>
    </row>
    <row r="158" spans="22:22">
      <c r="V158" t="str">
        <f t="shared" si="2"/>
        <v/>
      </c>
    </row>
    <row r="159" spans="22:22">
      <c r="V159" t="str">
        <f t="shared" si="2"/>
        <v/>
      </c>
    </row>
    <row r="160" spans="22:22">
      <c r="V160" t="str">
        <f t="shared" si="2"/>
        <v/>
      </c>
    </row>
    <row r="161" spans="22:22">
      <c r="V161" t="str">
        <f t="shared" si="2"/>
        <v/>
      </c>
    </row>
    <row r="162" spans="22:22">
      <c r="V162" t="str">
        <f t="shared" si="2"/>
        <v/>
      </c>
    </row>
    <row r="163" spans="22:22">
      <c r="V163" t="str">
        <f t="shared" si="2"/>
        <v/>
      </c>
    </row>
    <row r="164" spans="22:22">
      <c r="V164" t="str">
        <f t="shared" si="2"/>
        <v/>
      </c>
    </row>
    <row r="165" spans="22:22">
      <c r="V165" t="str">
        <f t="shared" si="2"/>
        <v/>
      </c>
    </row>
    <row r="166" spans="22:22">
      <c r="V166" t="str">
        <f t="shared" si="2"/>
        <v/>
      </c>
    </row>
    <row r="167" spans="22:22">
      <c r="V167" t="str">
        <f t="shared" si="2"/>
        <v/>
      </c>
    </row>
    <row r="168" spans="22:22">
      <c r="V168" t="str">
        <f t="shared" si="2"/>
        <v/>
      </c>
    </row>
    <row r="169" spans="22:22">
      <c r="V169" t="str">
        <f t="shared" si="2"/>
        <v/>
      </c>
    </row>
    <row r="170" spans="22:22">
      <c r="V170" t="str">
        <f t="shared" si="2"/>
        <v/>
      </c>
    </row>
    <row r="171" spans="22:22">
      <c r="V171" t="str">
        <f t="shared" si="2"/>
        <v/>
      </c>
    </row>
    <row r="172" spans="22:22">
      <c r="V172" t="str">
        <f t="shared" si="2"/>
        <v/>
      </c>
    </row>
    <row r="173" spans="22:22">
      <c r="V173" t="str">
        <f t="shared" si="2"/>
        <v/>
      </c>
    </row>
    <row r="174" spans="22:22">
      <c r="V174" t="str">
        <f t="shared" si="2"/>
        <v/>
      </c>
    </row>
    <row r="175" spans="22:22">
      <c r="V175" t="str">
        <f t="shared" si="2"/>
        <v/>
      </c>
    </row>
    <row r="176" spans="22:22">
      <c r="V176" t="str">
        <f t="shared" si="2"/>
        <v/>
      </c>
    </row>
    <row r="177" spans="22:22">
      <c r="V177" t="str">
        <f t="shared" si="2"/>
        <v/>
      </c>
    </row>
    <row r="178" spans="22:22">
      <c r="V178" t="str">
        <f t="shared" si="2"/>
        <v/>
      </c>
    </row>
    <row r="179" spans="22:22">
      <c r="V179" t="str">
        <f t="shared" si="2"/>
        <v/>
      </c>
    </row>
    <row r="180" spans="22:22">
      <c r="V180" t="str">
        <f t="shared" si="2"/>
        <v/>
      </c>
    </row>
    <row r="181" spans="22:22">
      <c r="V181" t="str">
        <f t="shared" si="2"/>
        <v/>
      </c>
    </row>
    <row r="182" spans="22:22">
      <c r="V182" t="str">
        <f t="shared" si="2"/>
        <v/>
      </c>
    </row>
    <row r="183" spans="22:22">
      <c r="V183" t="str">
        <f t="shared" si="2"/>
        <v/>
      </c>
    </row>
    <row r="184" spans="22:22">
      <c r="V184" t="str">
        <f t="shared" si="2"/>
        <v/>
      </c>
    </row>
    <row r="185" spans="22:22">
      <c r="V185" t="str">
        <f t="shared" si="2"/>
        <v/>
      </c>
    </row>
    <row r="186" spans="22:22">
      <c r="V186" t="str">
        <f t="shared" si="2"/>
        <v/>
      </c>
    </row>
    <row r="187" spans="22:22">
      <c r="V187" t="str">
        <f t="shared" si="2"/>
        <v/>
      </c>
    </row>
    <row r="188" spans="22:22">
      <c r="V188" t="str">
        <f t="shared" si="2"/>
        <v/>
      </c>
    </row>
    <row r="189" spans="22:22">
      <c r="V189" t="str">
        <f t="shared" si="2"/>
        <v/>
      </c>
    </row>
    <row r="190" spans="22:22">
      <c r="V190" t="str">
        <f t="shared" si="2"/>
        <v/>
      </c>
    </row>
    <row r="191" spans="22:22">
      <c r="V191" t="str">
        <f t="shared" si="2"/>
        <v/>
      </c>
    </row>
    <row r="192" spans="22:22">
      <c r="V192" t="str">
        <f t="shared" si="2"/>
        <v/>
      </c>
    </row>
    <row r="193" spans="22:22">
      <c r="V193" t="str">
        <f t="shared" si="2"/>
        <v/>
      </c>
    </row>
    <row r="194" spans="22:22">
      <c r="V194" t="str">
        <f t="shared" si="2"/>
        <v/>
      </c>
    </row>
    <row r="195" spans="22:22">
      <c r="V195" t="str">
        <f t="shared" si="2"/>
        <v/>
      </c>
    </row>
    <row r="196" spans="22:22">
      <c r="V196" t="str">
        <f t="shared" si="2"/>
        <v/>
      </c>
    </row>
    <row r="197" spans="22:22">
      <c r="V197" t="str">
        <f t="shared" ref="V197:V260" si="3">W197&amp;X197</f>
        <v/>
      </c>
    </row>
    <row r="198" spans="22:22">
      <c r="V198" t="str">
        <f t="shared" si="3"/>
        <v/>
      </c>
    </row>
    <row r="199" spans="22:22">
      <c r="V199" t="str">
        <f t="shared" si="3"/>
        <v/>
      </c>
    </row>
    <row r="200" spans="22:22">
      <c r="V200" t="str">
        <f t="shared" si="3"/>
        <v/>
      </c>
    </row>
    <row r="201" spans="22:22">
      <c r="V201" t="str">
        <f t="shared" si="3"/>
        <v/>
      </c>
    </row>
    <row r="202" spans="22:22">
      <c r="V202" t="str">
        <f t="shared" si="3"/>
        <v/>
      </c>
    </row>
    <row r="203" spans="22:22">
      <c r="V203" t="str">
        <f t="shared" si="3"/>
        <v/>
      </c>
    </row>
    <row r="204" spans="22:22">
      <c r="V204" t="str">
        <f t="shared" si="3"/>
        <v/>
      </c>
    </row>
    <row r="205" spans="22:22">
      <c r="V205" t="str">
        <f t="shared" si="3"/>
        <v/>
      </c>
    </row>
    <row r="206" spans="22:22">
      <c r="V206" t="str">
        <f t="shared" si="3"/>
        <v/>
      </c>
    </row>
    <row r="207" spans="22:22">
      <c r="V207" t="str">
        <f t="shared" si="3"/>
        <v/>
      </c>
    </row>
    <row r="208" spans="22:22">
      <c r="V208" t="str">
        <f t="shared" si="3"/>
        <v/>
      </c>
    </row>
    <row r="209" spans="22:22">
      <c r="V209" t="str">
        <f t="shared" si="3"/>
        <v/>
      </c>
    </row>
    <row r="210" spans="22:22">
      <c r="V210" t="str">
        <f t="shared" si="3"/>
        <v/>
      </c>
    </row>
    <row r="211" spans="22:22">
      <c r="V211" t="str">
        <f t="shared" si="3"/>
        <v/>
      </c>
    </row>
    <row r="212" spans="22:22">
      <c r="V212" t="str">
        <f t="shared" si="3"/>
        <v/>
      </c>
    </row>
    <row r="213" spans="22:22">
      <c r="V213" t="str">
        <f t="shared" si="3"/>
        <v/>
      </c>
    </row>
    <row r="214" spans="22:22">
      <c r="V214" t="str">
        <f t="shared" si="3"/>
        <v/>
      </c>
    </row>
    <row r="215" spans="22:22">
      <c r="V215" t="str">
        <f t="shared" si="3"/>
        <v/>
      </c>
    </row>
    <row r="216" spans="22:22">
      <c r="V216" t="str">
        <f t="shared" si="3"/>
        <v/>
      </c>
    </row>
    <row r="217" spans="22:22">
      <c r="V217" t="str">
        <f t="shared" si="3"/>
        <v/>
      </c>
    </row>
    <row r="218" spans="22:22">
      <c r="V218" t="str">
        <f t="shared" si="3"/>
        <v/>
      </c>
    </row>
    <row r="219" spans="22:22">
      <c r="V219" t="str">
        <f t="shared" si="3"/>
        <v/>
      </c>
    </row>
    <row r="220" spans="22:22">
      <c r="V220" t="str">
        <f t="shared" si="3"/>
        <v/>
      </c>
    </row>
    <row r="221" spans="22:22">
      <c r="V221" t="str">
        <f t="shared" si="3"/>
        <v/>
      </c>
    </row>
    <row r="222" spans="22:22">
      <c r="V222" t="str">
        <f t="shared" si="3"/>
        <v/>
      </c>
    </row>
    <row r="223" spans="22:22">
      <c r="V223" t="str">
        <f t="shared" si="3"/>
        <v/>
      </c>
    </row>
    <row r="224" spans="22:22">
      <c r="V224" t="str">
        <f t="shared" si="3"/>
        <v/>
      </c>
    </row>
    <row r="225" spans="22:22">
      <c r="V225" t="str">
        <f t="shared" si="3"/>
        <v/>
      </c>
    </row>
    <row r="226" spans="22:22">
      <c r="V226" t="str">
        <f t="shared" si="3"/>
        <v/>
      </c>
    </row>
    <row r="227" spans="22:22">
      <c r="V227" t="str">
        <f t="shared" si="3"/>
        <v/>
      </c>
    </row>
    <row r="228" spans="22:22">
      <c r="V228" t="str">
        <f t="shared" si="3"/>
        <v/>
      </c>
    </row>
    <row r="229" spans="22:22">
      <c r="V229" t="str">
        <f t="shared" si="3"/>
        <v/>
      </c>
    </row>
    <row r="230" spans="22:22">
      <c r="V230" t="str">
        <f t="shared" si="3"/>
        <v/>
      </c>
    </row>
    <row r="231" spans="22:22">
      <c r="V231" t="str">
        <f t="shared" si="3"/>
        <v/>
      </c>
    </row>
    <row r="232" spans="22:22">
      <c r="V232" t="str">
        <f t="shared" si="3"/>
        <v/>
      </c>
    </row>
    <row r="233" spans="22:22">
      <c r="V233" t="str">
        <f t="shared" si="3"/>
        <v/>
      </c>
    </row>
    <row r="234" spans="22:22">
      <c r="V234" t="str">
        <f t="shared" si="3"/>
        <v/>
      </c>
    </row>
    <row r="235" spans="22:22">
      <c r="V235" t="str">
        <f t="shared" si="3"/>
        <v/>
      </c>
    </row>
    <row r="236" spans="22:22">
      <c r="V236" t="str">
        <f t="shared" si="3"/>
        <v/>
      </c>
    </row>
    <row r="237" spans="22:22">
      <c r="V237" t="str">
        <f t="shared" si="3"/>
        <v/>
      </c>
    </row>
    <row r="238" spans="22:22">
      <c r="V238" t="str">
        <f t="shared" si="3"/>
        <v/>
      </c>
    </row>
    <row r="239" spans="22:22">
      <c r="V239" t="str">
        <f t="shared" si="3"/>
        <v/>
      </c>
    </row>
    <row r="240" spans="22:22">
      <c r="V240" t="str">
        <f t="shared" si="3"/>
        <v/>
      </c>
    </row>
    <row r="241" spans="22:22">
      <c r="V241" t="str">
        <f t="shared" si="3"/>
        <v/>
      </c>
    </row>
    <row r="242" spans="22:22">
      <c r="V242" t="str">
        <f t="shared" si="3"/>
        <v/>
      </c>
    </row>
    <row r="243" spans="22:22">
      <c r="V243" t="str">
        <f t="shared" si="3"/>
        <v/>
      </c>
    </row>
    <row r="244" spans="22:22">
      <c r="V244" t="str">
        <f t="shared" si="3"/>
        <v/>
      </c>
    </row>
    <row r="245" spans="22:22">
      <c r="V245" t="str">
        <f t="shared" si="3"/>
        <v/>
      </c>
    </row>
    <row r="246" spans="22:22">
      <c r="V246" t="str">
        <f t="shared" si="3"/>
        <v/>
      </c>
    </row>
    <row r="247" spans="22:22">
      <c r="V247" t="str">
        <f t="shared" si="3"/>
        <v/>
      </c>
    </row>
    <row r="248" spans="22:22">
      <c r="V248" t="str">
        <f t="shared" si="3"/>
        <v/>
      </c>
    </row>
    <row r="249" spans="22:22">
      <c r="V249" t="str">
        <f t="shared" si="3"/>
        <v/>
      </c>
    </row>
    <row r="250" spans="22:22">
      <c r="V250" t="str">
        <f t="shared" si="3"/>
        <v/>
      </c>
    </row>
    <row r="251" spans="22:22">
      <c r="V251" t="str">
        <f t="shared" si="3"/>
        <v/>
      </c>
    </row>
    <row r="252" spans="22:22">
      <c r="V252" t="str">
        <f t="shared" si="3"/>
        <v/>
      </c>
    </row>
    <row r="253" spans="22:22">
      <c r="V253" t="str">
        <f t="shared" si="3"/>
        <v/>
      </c>
    </row>
    <row r="254" spans="22:22">
      <c r="V254" t="str">
        <f t="shared" si="3"/>
        <v/>
      </c>
    </row>
    <row r="255" spans="22:22">
      <c r="V255" t="str">
        <f t="shared" si="3"/>
        <v/>
      </c>
    </row>
    <row r="256" spans="22:22">
      <c r="V256" t="str">
        <f t="shared" si="3"/>
        <v/>
      </c>
    </row>
    <row r="257" spans="22:22">
      <c r="V257" t="str">
        <f t="shared" si="3"/>
        <v/>
      </c>
    </row>
    <row r="258" spans="22:22">
      <c r="V258" t="str">
        <f t="shared" si="3"/>
        <v/>
      </c>
    </row>
    <row r="259" spans="22:22">
      <c r="V259" t="str">
        <f t="shared" si="3"/>
        <v/>
      </c>
    </row>
    <row r="260" spans="22:22">
      <c r="V260" t="str">
        <f t="shared" si="3"/>
        <v/>
      </c>
    </row>
    <row r="261" spans="22:22">
      <c r="V261" t="str">
        <f t="shared" ref="V261:V324" si="4">W261&amp;X261</f>
        <v/>
      </c>
    </row>
    <row r="262" spans="22:22">
      <c r="V262" t="str">
        <f t="shared" si="4"/>
        <v/>
      </c>
    </row>
    <row r="263" spans="22:22">
      <c r="V263" t="str">
        <f t="shared" si="4"/>
        <v/>
      </c>
    </row>
    <row r="264" spans="22:22">
      <c r="V264" t="str">
        <f t="shared" si="4"/>
        <v/>
      </c>
    </row>
    <row r="265" spans="22:22">
      <c r="V265" t="str">
        <f t="shared" si="4"/>
        <v/>
      </c>
    </row>
    <row r="266" spans="22:22">
      <c r="V266" t="str">
        <f t="shared" si="4"/>
        <v/>
      </c>
    </row>
    <row r="267" spans="22:22">
      <c r="V267" t="str">
        <f t="shared" si="4"/>
        <v/>
      </c>
    </row>
    <row r="268" spans="22:22">
      <c r="V268" t="str">
        <f t="shared" si="4"/>
        <v/>
      </c>
    </row>
    <row r="269" spans="22:22">
      <c r="V269" t="str">
        <f t="shared" si="4"/>
        <v/>
      </c>
    </row>
    <row r="270" spans="22:22">
      <c r="V270" t="str">
        <f t="shared" si="4"/>
        <v/>
      </c>
    </row>
    <row r="271" spans="22:22">
      <c r="V271" t="str">
        <f t="shared" si="4"/>
        <v/>
      </c>
    </row>
    <row r="272" spans="22:22">
      <c r="V272" t="str">
        <f t="shared" si="4"/>
        <v/>
      </c>
    </row>
    <row r="273" spans="22:22">
      <c r="V273" t="str">
        <f t="shared" si="4"/>
        <v/>
      </c>
    </row>
    <row r="274" spans="22:22">
      <c r="V274" t="str">
        <f t="shared" si="4"/>
        <v/>
      </c>
    </row>
    <row r="275" spans="22:22">
      <c r="V275" t="str">
        <f t="shared" si="4"/>
        <v/>
      </c>
    </row>
    <row r="276" spans="22:22">
      <c r="V276" t="str">
        <f t="shared" si="4"/>
        <v/>
      </c>
    </row>
    <row r="277" spans="22:22">
      <c r="V277" t="str">
        <f t="shared" si="4"/>
        <v/>
      </c>
    </row>
    <row r="278" spans="22:22">
      <c r="V278" t="str">
        <f t="shared" si="4"/>
        <v/>
      </c>
    </row>
    <row r="279" spans="22:22">
      <c r="V279" t="str">
        <f t="shared" si="4"/>
        <v/>
      </c>
    </row>
    <row r="280" spans="22:22">
      <c r="V280" t="str">
        <f t="shared" si="4"/>
        <v/>
      </c>
    </row>
    <row r="281" spans="22:22">
      <c r="V281" t="str">
        <f t="shared" si="4"/>
        <v/>
      </c>
    </row>
    <row r="282" spans="22:22">
      <c r="V282" t="str">
        <f t="shared" si="4"/>
        <v/>
      </c>
    </row>
    <row r="283" spans="22:22">
      <c r="V283" t="str">
        <f t="shared" si="4"/>
        <v/>
      </c>
    </row>
    <row r="284" spans="22:22">
      <c r="V284" t="str">
        <f t="shared" si="4"/>
        <v/>
      </c>
    </row>
    <row r="285" spans="22:22">
      <c r="V285" t="str">
        <f t="shared" si="4"/>
        <v/>
      </c>
    </row>
    <row r="286" spans="22:22">
      <c r="V286" t="str">
        <f t="shared" si="4"/>
        <v/>
      </c>
    </row>
    <row r="287" spans="22:22">
      <c r="V287" t="str">
        <f t="shared" si="4"/>
        <v/>
      </c>
    </row>
    <row r="288" spans="22:22">
      <c r="V288" t="str">
        <f t="shared" si="4"/>
        <v/>
      </c>
    </row>
    <row r="289" spans="22:22">
      <c r="V289" t="str">
        <f t="shared" si="4"/>
        <v/>
      </c>
    </row>
    <row r="290" spans="22:22">
      <c r="V290" t="str">
        <f t="shared" si="4"/>
        <v/>
      </c>
    </row>
    <row r="291" spans="22:22">
      <c r="V291" t="str">
        <f t="shared" si="4"/>
        <v/>
      </c>
    </row>
    <row r="292" spans="22:22">
      <c r="V292" t="str">
        <f t="shared" si="4"/>
        <v/>
      </c>
    </row>
    <row r="293" spans="22:22">
      <c r="V293" t="str">
        <f t="shared" si="4"/>
        <v/>
      </c>
    </row>
    <row r="294" spans="22:22">
      <c r="V294" t="str">
        <f t="shared" si="4"/>
        <v/>
      </c>
    </row>
    <row r="295" spans="22:22">
      <c r="V295" t="str">
        <f t="shared" si="4"/>
        <v/>
      </c>
    </row>
    <row r="296" spans="22:22">
      <c r="V296" t="str">
        <f t="shared" si="4"/>
        <v/>
      </c>
    </row>
    <row r="297" spans="22:22">
      <c r="V297" t="str">
        <f t="shared" si="4"/>
        <v/>
      </c>
    </row>
    <row r="298" spans="22:22">
      <c r="V298" t="str">
        <f t="shared" si="4"/>
        <v/>
      </c>
    </row>
    <row r="299" spans="22:22">
      <c r="V299" t="str">
        <f t="shared" si="4"/>
        <v/>
      </c>
    </row>
    <row r="300" spans="22:22">
      <c r="V300" t="str">
        <f t="shared" si="4"/>
        <v/>
      </c>
    </row>
    <row r="301" spans="22:22">
      <c r="V301" t="str">
        <f t="shared" si="4"/>
        <v/>
      </c>
    </row>
    <row r="302" spans="22:22">
      <c r="V302" t="str">
        <f t="shared" si="4"/>
        <v/>
      </c>
    </row>
    <row r="303" spans="22:22">
      <c r="V303" t="str">
        <f t="shared" si="4"/>
        <v/>
      </c>
    </row>
    <row r="304" spans="22:22">
      <c r="V304" t="str">
        <f t="shared" si="4"/>
        <v/>
      </c>
    </row>
    <row r="305" spans="22:22">
      <c r="V305" t="str">
        <f t="shared" si="4"/>
        <v/>
      </c>
    </row>
    <row r="306" spans="22:22">
      <c r="V306" t="str">
        <f t="shared" si="4"/>
        <v/>
      </c>
    </row>
    <row r="307" spans="22:22">
      <c r="V307" t="str">
        <f t="shared" si="4"/>
        <v/>
      </c>
    </row>
    <row r="308" spans="22:22">
      <c r="V308" t="str">
        <f t="shared" si="4"/>
        <v/>
      </c>
    </row>
    <row r="309" spans="22:22">
      <c r="V309" t="str">
        <f t="shared" si="4"/>
        <v/>
      </c>
    </row>
    <row r="310" spans="22:22">
      <c r="V310" t="str">
        <f t="shared" si="4"/>
        <v/>
      </c>
    </row>
    <row r="311" spans="22:22">
      <c r="V311" t="str">
        <f t="shared" si="4"/>
        <v/>
      </c>
    </row>
    <row r="312" spans="22:22">
      <c r="V312" t="str">
        <f t="shared" si="4"/>
        <v/>
      </c>
    </row>
    <row r="313" spans="22:22">
      <c r="V313" t="str">
        <f t="shared" si="4"/>
        <v/>
      </c>
    </row>
    <row r="314" spans="22:22">
      <c r="V314" t="str">
        <f t="shared" si="4"/>
        <v/>
      </c>
    </row>
    <row r="315" spans="22:22">
      <c r="V315" t="str">
        <f t="shared" si="4"/>
        <v/>
      </c>
    </row>
    <row r="316" spans="22:22">
      <c r="V316" t="str">
        <f t="shared" si="4"/>
        <v/>
      </c>
    </row>
    <row r="317" spans="22:22">
      <c r="V317" t="str">
        <f t="shared" si="4"/>
        <v/>
      </c>
    </row>
    <row r="318" spans="22:22">
      <c r="V318" t="str">
        <f t="shared" si="4"/>
        <v/>
      </c>
    </row>
    <row r="319" spans="22:22">
      <c r="V319" t="str">
        <f t="shared" si="4"/>
        <v/>
      </c>
    </row>
    <row r="320" spans="22:22">
      <c r="V320" t="str">
        <f t="shared" si="4"/>
        <v/>
      </c>
    </row>
    <row r="321" spans="22:22">
      <c r="V321" t="str">
        <f t="shared" si="4"/>
        <v/>
      </c>
    </row>
    <row r="322" spans="22:22">
      <c r="V322" t="str">
        <f t="shared" si="4"/>
        <v/>
      </c>
    </row>
    <row r="323" spans="22:22">
      <c r="V323" t="str">
        <f t="shared" si="4"/>
        <v/>
      </c>
    </row>
    <row r="324" spans="22:22">
      <c r="V324" t="str">
        <f t="shared" si="4"/>
        <v/>
      </c>
    </row>
    <row r="325" spans="22:22">
      <c r="V325" t="str">
        <f t="shared" ref="V325:V344" si="5">W325&amp;X325</f>
        <v/>
      </c>
    </row>
    <row r="326" spans="22:22">
      <c r="V326" t="str">
        <f t="shared" si="5"/>
        <v/>
      </c>
    </row>
    <row r="327" spans="22:22">
      <c r="V327" t="str">
        <f t="shared" si="5"/>
        <v/>
      </c>
    </row>
    <row r="328" spans="22:22">
      <c r="V328" t="str">
        <f t="shared" si="5"/>
        <v/>
      </c>
    </row>
    <row r="329" spans="22:22">
      <c r="V329" t="str">
        <f t="shared" si="5"/>
        <v/>
      </c>
    </row>
    <row r="330" spans="22:22">
      <c r="V330" t="str">
        <f t="shared" si="5"/>
        <v/>
      </c>
    </row>
    <row r="331" spans="22:22">
      <c r="V331" t="str">
        <f t="shared" si="5"/>
        <v/>
      </c>
    </row>
    <row r="332" spans="22:22">
      <c r="V332" t="str">
        <f t="shared" si="5"/>
        <v/>
      </c>
    </row>
    <row r="333" spans="22:22">
      <c r="V333" t="str">
        <f t="shared" si="5"/>
        <v/>
      </c>
    </row>
    <row r="334" spans="22:22">
      <c r="V334" t="str">
        <f t="shared" si="5"/>
        <v/>
      </c>
    </row>
    <row r="335" spans="22:22">
      <c r="V335" t="str">
        <f t="shared" si="5"/>
        <v/>
      </c>
    </row>
    <row r="336" spans="22:22">
      <c r="V336" t="str">
        <f t="shared" si="5"/>
        <v/>
      </c>
    </row>
    <row r="337" spans="22:22">
      <c r="V337" t="str">
        <f t="shared" si="5"/>
        <v/>
      </c>
    </row>
    <row r="338" spans="22:22">
      <c r="V338" t="str">
        <f t="shared" si="5"/>
        <v/>
      </c>
    </row>
    <row r="339" spans="22:22">
      <c r="V339" t="str">
        <f t="shared" si="5"/>
        <v/>
      </c>
    </row>
    <row r="340" spans="22:22">
      <c r="V340" t="str">
        <f t="shared" si="5"/>
        <v/>
      </c>
    </row>
    <row r="341" spans="22:22">
      <c r="V341" t="str">
        <f t="shared" si="5"/>
        <v/>
      </c>
    </row>
    <row r="342" spans="22:22">
      <c r="V342" t="str">
        <f t="shared" si="5"/>
        <v/>
      </c>
    </row>
    <row r="343" spans="22:22">
      <c r="V343" t="str">
        <f t="shared" si="5"/>
        <v/>
      </c>
    </row>
    <row r="344" spans="22:22">
      <c r="V344" t="str">
        <f t="shared" si="5"/>
        <v/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Y29"/>
  <sheetViews>
    <sheetView topLeftCell="A3" workbookViewId="0">
      <selection activeCell="A4" sqref="A4:A26"/>
    </sheetView>
  </sheetViews>
  <sheetFormatPr defaultRowHeight="12.75"/>
  <cols>
    <col min="1" max="1" width="33.28515625" customWidth="1"/>
    <col min="2" max="2" width="13.5703125" bestFit="1" customWidth="1"/>
    <col min="3" max="6" width="13.5703125" customWidth="1"/>
    <col min="7" max="7" width="11.85546875" customWidth="1"/>
    <col min="8" max="11" width="12" customWidth="1"/>
    <col min="12" max="13" width="12" bestFit="1" customWidth="1"/>
    <col min="14" max="14" width="11.85546875" customWidth="1"/>
    <col min="15" max="25" width="12.85546875" bestFit="1" customWidth="1"/>
  </cols>
  <sheetData>
    <row r="1" spans="1:25" ht="15.75">
      <c r="B1" s="18">
        <v>1.1000000000000001</v>
      </c>
      <c r="C1" s="18">
        <v>1.2</v>
      </c>
      <c r="D1" s="18">
        <v>1.3</v>
      </c>
      <c r="E1" s="18">
        <v>1.4</v>
      </c>
      <c r="F1" s="18">
        <v>1.5</v>
      </c>
      <c r="G1" s="19">
        <v>2</v>
      </c>
      <c r="H1" s="19">
        <v>3</v>
      </c>
      <c r="I1" s="20">
        <v>4</v>
      </c>
      <c r="J1" s="21">
        <v>5</v>
      </c>
      <c r="K1" s="19">
        <v>6</v>
      </c>
      <c r="L1" s="19">
        <v>7</v>
      </c>
      <c r="M1" s="19">
        <v>8</v>
      </c>
      <c r="N1" s="19">
        <v>9</v>
      </c>
      <c r="O1" s="19">
        <v>10</v>
      </c>
      <c r="P1" s="19">
        <v>11</v>
      </c>
      <c r="Q1" s="19">
        <v>12</v>
      </c>
      <c r="R1" s="19">
        <v>13</v>
      </c>
      <c r="S1" s="19">
        <v>14</v>
      </c>
      <c r="T1" s="19">
        <v>15</v>
      </c>
      <c r="U1" s="19">
        <v>21</v>
      </c>
      <c r="V1" s="19">
        <v>22</v>
      </c>
      <c r="W1" s="19">
        <v>23</v>
      </c>
      <c r="X1" s="19">
        <v>24</v>
      </c>
      <c r="Y1" s="19">
        <v>26</v>
      </c>
    </row>
    <row r="2" spans="1:25" ht="126">
      <c r="A2" s="13"/>
      <c r="B2" s="14" t="s">
        <v>18</v>
      </c>
      <c r="C2" s="14" t="s">
        <v>103</v>
      </c>
      <c r="D2" s="14" t="s">
        <v>104</v>
      </c>
      <c r="E2" s="14" t="s">
        <v>19</v>
      </c>
      <c r="F2" s="14" t="s">
        <v>105</v>
      </c>
      <c r="G2" s="15" t="s">
        <v>106</v>
      </c>
      <c r="H2" s="15" t="s">
        <v>107</v>
      </c>
      <c r="I2" s="16" t="s">
        <v>108</v>
      </c>
      <c r="J2" s="15" t="s">
        <v>109</v>
      </c>
      <c r="K2" s="15" t="s">
        <v>110</v>
      </c>
      <c r="L2" s="15" t="s">
        <v>111</v>
      </c>
      <c r="M2" s="15" t="s">
        <v>112</v>
      </c>
      <c r="N2" s="15" t="s">
        <v>113</v>
      </c>
      <c r="O2" s="15" t="s">
        <v>114</v>
      </c>
      <c r="P2" s="15" t="s">
        <v>115</v>
      </c>
      <c r="Q2" s="15" t="s">
        <v>116</v>
      </c>
      <c r="R2" s="15" t="s">
        <v>117</v>
      </c>
      <c r="S2" s="17" t="s">
        <v>118</v>
      </c>
      <c r="T2" s="15" t="s">
        <v>119</v>
      </c>
      <c r="U2" s="15" t="s">
        <v>120</v>
      </c>
      <c r="V2" s="14" t="s">
        <v>121</v>
      </c>
      <c r="W2" s="15" t="s">
        <v>122</v>
      </c>
      <c r="X2" s="14" t="s">
        <v>123</v>
      </c>
      <c r="Y2" s="14" t="s">
        <v>124</v>
      </c>
    </row>
    <row r="3" spans="1:25">
      <c r="A3" s="8" t="s">
        <v>47</v>
      </c>
      <c r="B3" t="s">
        <v>50</v>
      </c>
      <c r="C3" t="s">
        <v>78</v>
      </c>
      <c r="D3" t="s">
        <v>79</v>
      </c>
      <c r="E3" t="s">
        <v>80</v>
      </c>
      <c r="F3" t="s">
        <v>81</v>
      </c>
      <c r="G3" t="s">
        <v>82</v>
      </c>
      <c r="H3" t="s">
        <v>83</v>
      </c>
      <c r="I3" t="s">
        <v>84</v>
      </c>
      <c r="J3" t="s">
        <v>85</v>
      </c>
      <c r="K3" t="s">
        <v>86</v>
      </c>
      <c r="L3" t="s">
        <v>87</v>
      </c>
      <c r="M3" t="s">
        <v>88</v>
      </c>
      <c r="N3" t="s">
        <v>89</v>
      </c>
      <c r="O3" t="s">
        <v>90</v>
      </c>
      <c r="P3" t="s">
        <v>91</v>
      </c>
      <c r="Q3" t="s">
        <v>92</v>
      </c>
      <c r="R3" t="s">
        <v>93</v>
      </c>
      <c r="S3" t="s">
        <v>94</v>
      </c>
      <c r="T3" t="s">
        <v>95</v>
      </c>
      <c r="U3" t="s">
        <v>96</v>
      </c>
      <c r="V3" t="s">
        <v>97</v>
      </c>
      <c r="W3" t="s">
        <v>98</v>
      </c>
      <c r="X3" t="s">
        <v>99</v>
      </c>
      <c r="Y3" t="s">
        <v>100</v>
      </c>
    </row>
    <row r="4" spans="1:25" s="22" customFormat="1">
      <c r="A4" s="24" t="s">
        <v>31</v>
      </c>
      <c r="B4" s="23">
        <v>24105.15</v>
      </c>
      <c r="C4" s="23">
        <v>228.65</v>
      </c>
      <c r="D4" s="23">
        <v>392.4</v>
      </c>
      <c r="E4" s="23"/>
      <c r="F4" s="23"/>
      <c r="G4" s="23"/>
      <c r="H4" s="23">
        <v>390.2</v>
      </c>
      <c r="I4" s="23">
        <v>25116.400000000001</v>
      </c>
      <c r="J4" s="23">
        <v>23205.99</v>
      </c>
      <c r="K4" s="23">
        <v>1392</v>
      </c>
      <c r="L4" s="23">
        <v>134.19999999999999</v>
      </c>
      <c r="M4" s="23">
        <v>3197.7</v>
      </c>
      <c r="N4" s="23"/>
      <c r="O4" s="23">
        <v>697.74</v>
      </c>
      <c r="P4" s="23">
        <v>839.5</v>
      </c>
      <c r="Q4" s="23">
        <v>2679.67</v>
      </c>
      <c r="R4" s="23"/>
      <c r="S4" s="23">
        <v>32146.799999999999</v>
      </c>
      <c r="T4" s="23">
        <v>-7030.4</v>
      </c>
      <c r="U4" s="23">
        <v>310</v>
      </c>
      <c r="V4" s="23">
        <v>-6720.4</v>
      </c>
      <c r="W4" s="23">
        <v>0</v>
      </c>
      <c r="X4" s="23">
        <v>-6720.4</v>
      </c>
      <c r="Y4" s="23">
        <v>-6720.4</v>
      </c>
    </row>
    <row r="5" spans="1:25" s="22" customFormat="1">
      <c r="A5" s="24" t="s">
        <v>23</v>
      </c>
      <c r="B5" s="23">
        <v>207741.6</v>
      </c>
      <c r="C5" s="23">
        <v>1203.8</v>
      </c>
      <c r="D5" s="23">
        <v>14484</v>
      </c>
      <c r="E5" s="23">
        <v>576.20000000000005</v>
      </c>
      <c r="F5" s="23"/>
      <c r="G5" s="23">
        <v>15343.6</v>
      </c>
      <c r="H5" s="23">
        <v>15739.1</v>
      </c>
      <c r="I5" s="23">
        <v>255088.3</v>
      </c>
      <c r="J5" s="23">
        <v>146405.4</v>
      </c>
      <c r="K5" s="23">
        <v>34762.1</v>
      </c>
      <c r="L5" s="23">
        <v>15879.3</v>
      </c>
      <c r="M5" s="23">
        <v>19188.2</v>
      </c>
      <c r="N5" s="23"/>
      <c r="O5" s="23">
        <v>10251.700000000001</v>
      </c>
      <c r="P5" s="23">
        <v>6475.6</v>
      </c>
      <c r="Q5" s="23">
        <v>39568.9</v>
      </c>
      <c r="R5" s="23">
        <v>29409.7</v>
      </c>
      <c r="S5" s="23">
        <v>301940.90000000002</v>
      </c>
      <c r="T5" s="23">
        <v>-46852.6</v>
      </c>
      <c r="U5" s="23">
        <v>37895.4</v>
      </c>
      <c r="V5" s="23">
        <v>-84748</v>
      </c>
      <c r="W5" s="23"/>
      <c r="X5" s="23">
        <v>-84748</v>
      </c>
      <c r="Y5" s="23">
        <v>-85563.6</v>
      </c>
    </row>
    <row r="6" spans="1:25" s="22" customFormat="1">
      <c r="A6" s="24" t="s">
        <v>24</v>
      </c>
      <c r="B6" s="23">
        <v>39645.03</v>
      </c>
      <c r="C6" s="23">
        <v>623.95000000000005</v>
      </c>
      <c r="D6" s="23">
        <v>675.24</v>
      </c>
      <c r="E6" s="23"/>
      <c r="F6" s="23"/>
      <c r="G6" s="23"/>
      <c r="H6" s="23">
        <v>771.44</v>
      </c>
      <c r="I6" s="23">
        <v>41715.660000000003</v>
      </c>
      <c r="J6" s="23">
        <v>27729.61</v>
      </c>
      <c r="K6" s="23">
        <v>866.62</v>
      </c>
      <c r="L6" s="23">
        <v>2607.8200000000002</v>
      </c>
      <c r="M6" s="23">
        <v>5338.79</v>
      </c>
      <c r="N6" s="23"/>
      <c r="O6" s="23"/>
      <c r="P6" s="23">
        <v>114.2</v>
      </c>
      <c r="Q6" s="23"/>
      <c r="R6" s="23">
        <v>721.02</v>
      </c>
      <c r="S6" s="23">
        <v>37378.06</v>
      </c>
      <c r="T6" s="23">
        <v>4337.6000000000004</v>
      </c>
      <c r="U6" s="23">
        <v>2651.71</v>
      </c>
      <c r="V6" s="23">
        <v>1685.89</v>
      </c>
      <c r="W6" s="23">
        <v>42</v>
      </c>
      <c r="X6" s="23">
        <v>1643.89</v>
      </c>
      <c r="Y6" s="23">
        <v>1615.88</v>
      </c>
    </row>
    <row r="7" spans="1:25" s="22" customFormat="1">
      <c r="A7" s="24" t="s">
        <v>25</v>
      </c>
      <c r="B7" s="23">
        <v>6916</v>
      </c>
      <c r="C7" s="23">
        <v>0.5</v>
      </c>
      <c r="D7" s="23">
        <v>2.9</v>
      </c>
      <c r="E7" s="23">
        <v>71.400000000000006</v>
      </c>
      <c r="F7" s="23"/>
      <c r="G7" s="23"/>
      <c r="H7" s="23">
        <v>1225.4000000000001</v>
      </c>
      <c r="I7" s="23">
        <v>8216.1</v>
      </c>
      <c r="J7" s="23">
        <v>5684.1</v>
      </c>
      <c r="K7" s="23">
        <v>2121.3000000000002</v>
      </c>
      <c r="L7" s="23">
        <v>15.7</v>
      </c>
      <c r="M7" s="23">
        <v>259.7</v>
      </c>
      <c r="N7" s="23">
        <v>159.19999999999999</v>
      </c>
      <c r="O7" s="23">
        <v>331.9</v>
      </c>
      <c r="P7" s="23">
        <v>164.7</v>
      </c>
      <c r="Q7" s="23">
        <v>50.7</v>
      </c>
      <c r="R7" s="23">
        <v>1159.2</v>
      </c>
      <c r="S7" s="23">
        <v>9946.5</v>
      </c>
      <c r="T7" s="23">
        <v>-1730.4</v>
      </c>
      <c r="U7" s="23">
        <v>1235.2</v>
      </c>
      <c r="V7" s="23">
        <v>-2965.6</v>
      </c>
      <c r="W7" s="23"/>
      <c r="X7" s="23"/>
      <c r="Y7" s="23">
        <v>-2965.6</v>
      </c>
    </row>
    <row r="8" spans="1:25" s="22" customFormat="1">
      <c r="A8" s="24" t="s">
        <v>33</v>
      </c>
      <c r="B8" s="23"/>
      <c r="C8" s="23"/>
      <c r="D8" s="23">
        <v>7431</v>
      </c>
      <c r="E8" s="23"/>
      <c r="F8" s="23"/>
      <c r="G8" s="23"/>
      <c r="H8" s="23">
        <v>150</v>
      </c>
      <c r="I8" s="23">
        <v>7581</v>
      </c>
      <c r="J8" s="23">
        <v>4848</v>
      </c>
      <c r="K8" s="23">
        <v>260.3</v>
      </c>
      <c r="L8" s="23">
        <v>798.5</v>
      </c>
      <c r="M8" s="23">
        <v>365</v>
      </c>
      <c r="N8" s="23"/>
      <c r="O8" s="23"/>
      <c r="P8" s="23"/>
      <c r="Q8" s="23">
        <v>929</v>
      </c>
      <c r="R8" s="23"/>
      <c r="S8" s="23">
        <v>7201</v>
      </c>
      <c r="T8" s="23">
        <v>380</v>
      </c>
      <c r="U8" s="23">
        <v>323</v>
      </c>
      <c r="V8" s="23">
        <v>57</v>
      </c>
      <c r="W8" s="23">
        <v>-36</v>
      </c>
      <c r="X8" s="23">
        <v>21</v>
      </c>
      <c r="Y8" s="23">
        <v>21</v>
      </c>
    </row>
    <row r="9" spans="1:25" s="22" customFormat="1">
      <c r="A9" s="24" t="s">
        <v>26</v>
      </c>
      <c r="B9" s="23">
        <v>49058.79</v>
      </c>
      <c r="C9" s="23">
        <v>333.01</v>
      </c>
      <c r="D9" s="23">
        <v>1061.8</v>
      </c>
      <c r="E9" s="23"/>
      <c r="F9" s="23"/>
      <c r="G9" s="23">
        <v>0</v>
      </c>
      <c r="H9" s="23">
        <v>14304</v>
      </c>
      <c r="I9" s="23">
        <v>64757.599999999999</v>
      </c>
      <c r="J9" s="23">
        <v>37579.629999999997</v>
      </c>
      <c r="K9" s="23">
        <v>9377.4699999999993</v>
      </c>
      <c r="L9" s="23">
        <v>160.69999999999999</v>
      </c>
      <c r="M9" s="23">
        <v>5342.1</v>
      </c>
      <c r="N9" s="23"/>
      <c r="O9" s="23">
        <v>0</v>
      </c>
      <c r="P9" s="23">
        <v>1285.8</v>
      </c>
      <c r="Q9" s="23">
        <v>10285.01</v>
      </c>
      <c r="R9" s="23">
        <v>0</v>
      </c>
      <c r="S9" s="23">
        <v>64030.71</v>
      </c>
      <c r="T9" s="23">
        <v>726.89</v>
      </c>
      <c r="U9" s="23">
        <v>2214.1999999999998</v>
      </c>
      <c r="V9" s="23">
        <v>-1487.31</v>
      </c>
      <c r="W9" s="23">
        <v>-803.71</v>
      </c>
      <c r="X9" s="23">
        <v>-683.6</v>
      </c>
      <c r="Y9" s="23">
        <v>1229.8</v>
      </c>
    </row>
    <row r="10" spans="1:25" s="22" customFormat="1">
      <c r="A10" s="24" t="s">
        <v>20</v>
      </c>
      <c r="B10" s="23">
        <v>263945.3</v>
      </c>
      <c r="C10" s="23">
        <v>5528.3</v>
      </c>
      <c r="D10" s="23">
        <v>8200.42</v>
      </c>
      <c r="E10" s="23"/>
      <c r="F10" s="23"/>
      <c r="G10" s="23"/>
      <c r="H10" s="23">
        <v>7293.7</v>
      </c>
      <c r="I10" s="23">
        <v>284967.71999999997</v>
      </c>
      <c r="J10" s="23">
        <v>188835.81</v>
      </c>
      <c r="K10" s="23">
        <v>22108.93</v>
      </c>
      <c r="L10" s="23">
        <v>7595.8</v>
      </c>
      <c r="M10" s="23">
        <v>30237.32</v>
      </c>
      <c r="N10" s="23"/>
      <c r="O10" s="23">
        <v>5031.8</v>
      </c>
      <c r="P10" s="23">
        <v>7389.88</v>
      </c>
      <c r="Q10" s="23">
        <v>5839.8</v>
      </c>
      <c r="R10" s="23">
        <v>22832.69</v>
      </c>
      <c r="S10" s="23">
        <v>289872.03000000003</v>
      </c>
      <c r="T10" s="23">
        <v>-4904.3100000000004</v>
      </c>
      <c r="U10" s="23">
        <v>3413.84</v>
      </c>
      <c r="V10" s="23">
        <v>-1490.47</v>
      </c>
      <c r="W10" s="23">
        <v>3051.82</v>
      </c>
      <c r="X10" s="23">
        <v>1561.35</v>
      </c>
      <c r="Y10" s="23">
        <v>1561.35</v>
      </c>
    </row>
    <row r="11" spans="1:25" s="22" customFormat="1">
      <c r="A11" s="24" t="s">
        <v>27</v>
      </c>
      <c r="B11" s="23"/>
      <c r="C11" s="23"/>
      <c r="D11" s="23"/>
      <c r="E11" s="23"/>
      <c r="F11" s="23"/>
      <c r="G11" s="23"/>
      <c r="H11" s="23"/>
      <c r="I11" s="23"/>
      <c r="J11" s="23"/>
      <c r="K11" s="23"/>
      <c r="L11" s="23"/>
      <c r="M11" s="23"/>
      <c r="N11" s="23"/>
      <c r="O11" s="23"/>
      <c r="P11" s="23"/>
      <c r="Q11" s="23"/>
      <c r="R11" s="23"/>
      <c r="S11" s="23"/>
      <c r="T11" s="23"/>
      <c r="U11" s="23"/>
      <c r="V11" s="23"/>
      <c r="W11" s="23"/>
      <c r="X11" s="23"/>
      <c r="Y11" s="23"/>
    </row>
    <row r="12" spans="1:25" s="22" customFormat="1">
      <c r="A12" s="24" t="s">
        <v>28</v>
      </c>
      <c r="B12" s="23"/>
      <c r="C12" s="23"/>
      <c r="D12" s="23"/>
      <c r="E12" s="23"/>
      <c r="F12" s="23"/>
      <c r="G12" s="23"/>
      <c r="H12" s="23"/>
      <c r="I12" s="23"/>
      <c r="J12" s="23"/>
      <c r="K12" s="23"/>
      <c r="L12" s="23"/>
      <c r="M12" s="23"/>
      <c r="N12" s="23"/>
      <c r="O12" s="23"/>
      <c r="P12" s="23"/>
      <c r="Q12" s="23"/>
      <c r="R12" s="23"/>
      <c r="S12" s="23"/>
      <c r="T12" s="23"/>
      <c r="U12" s="23"/>
      <c r="V12" s="23"/>
      <c r="W12" s="23"/>
      <c r="X12" s="23"/>
      <c r="Y12" s="23"/>
    </row>
    <row r="13" spans="1:25" s="22" customFormat="1">
      <c r="A13" s="24" t="s">
        <v>29</v>
      </c>
      <c r="B13" s="23">
        <v>84178.174180000002</v>
      </c>
      <c r="C13" s="23">
        <v>1117.615816</v>
      </c>
      <c r="D13" s="23">
        <v>3079.12</v>
      </c>
      <c r="E13" s="23"/>
      <c r="F13" s="23"/>
      <c r="G13" s="23"/>
      <c r="H13" s="23">
        <v>2757.63</v>
      </c>
      <c r="I13" s="23">
        <v>91132.54</v>
      </c>
      <c r="J13" s="23">
        <v>47781.39</v>
      </c>
      <c r="K13" s="23"/>
      <c r="L13" s="23">
        <v>2562.3000000000002</v>
      </c>
      <c r="M13" s="23">
        <v>7520.54</v>
      </c>
      <c r="N13" s="23"/>
      <c r="O13" s="23"/>
      <c r="P13" s="23">
        <v>2074.41</v>
      </c>
      <c r="Q13" s="23">
        <v>5224.66</v>
      </c>
      <c r="R13" s="23">
        <v>28630.3</v>
      </c>
      <c r="S13" s="23">
        <v>93793.600000000006</v>
      </c>
      <c r="T13" s="23">
        <v>-2661.06</v>
      </c>
      <c r="U13" s="23">
        <v>-499.74</v>
      </c>
      <c r="V13" s="23">
        <v>-3160.8</v>
      </c>
      <c r="W13" s="23"/>
      <c r="X13" s="23"/>
      <c r="Y13" s="23">
        <v>-3160.8</v>
      </c>
    </row>
    <row r="14" spans="1:25" s="22" customFormat="1">
      <c r="A14" s="24" t="s">
        <v>35</v>
      </c>
      <c r="B14" s="23">
        <v>2643.454608</v>
      </c>
      <c r="C14" s="23">
        <v>11.369740999999999</v>
      </c>
      <c r="D14" s="23"/>
      <c r="E14" s="23"/>
      <c r="F14" s="23"/>
      <c r="G14" s="23"/>
      <c r="H14" s="23">
        <v>27.10033</v>
      </c>
      <c r="I14" s="23">
        <v>2681.9246779999999</v>
      </c>
      <c r="J14" s="23">
        <v>1963.269646</v>
      </c>
      <c r="K14" s="23">
        <v>555.29040499999996</v>
      </c>
      <c r="L14" s="23">
        <v>46.483308999999998</v>
      </c>
      <c r="M14" s="23">
        <v>199.820311</v>
      </c>
      <c r="N14" s="23"/>
      <c r="O14" s="23"/>
      <c r="P14" s="23">
        <v>18.737027000000001</v>
      </c>
      <c r="Q14" s="23"/>
      <c r="R14" s="23">
        <v>73.970577000000006</v>
      </c>
      <c r="S14" s="23">
        <v>2857.5712840000001</v>
      </c>
      <c r="T14" s="23"/>
      <c r="U14" s="23"/>
      <c r="V14" s="23">
        <v>-175.64660599999999</v>
      </c>
      <c r="W14" s="23">
        <v>13.442473</v>
      </c>
      <c r="X14" s="23"/>
      <c r="Y14" s="23">
        <v>-162.20413300000001</v>
      </c>
    </row>
    <row r="15" spans="1:25" s="22" customFormat="1">
      <c r="A15" s="24" t="s">
        <v>32</v>
      </c>
      <c r="B15" s="23">
        <v>27254.799999999999</v>
      </c>
      <c r="C15" s="23">
        <v>180.2</v>
      </c>
      <c r="D15" s="23">
        <v>0</v>
      </c>
      <c r="E15" s="23">
        <v>982.2</v>
      </c>
      <c r="F15" s="23"/>
      <c r="G15" s="23">
        <v>0</v>
      </c>
      <c r="H15" s="23">
        <v>1526.6</v>
      </c>
      <c r="I15" s="23">
        <v>29943.8</v>
      </c>
      <c r="J15" s="23">
        <v>21546.7</v>
      </c>
      <c r="K15" s="23">
        <v>4932</v>
      </c>
      <c r="L15" s="23">
        <v>220.2</v>
      </c>
      <c r="M15" s="23">
        <v>3095.4</v>
      </c>
      <c r="N15" s="23">
        <v>129.9</v>
      </c>
      <c r="O15" s="23">
        <v>768.1</v>
      </c>
      <c r="P15" s="23">
        <v>2185.9</v>
      </c>
      <c r="Q15" s="23">
        <v>2732.9</v>
      </c>
      <c r="R15" s="23">
        <v>3337.6</v>
      </c>
      <c r="S15" s="23">
        <v>38948.5</v>
      </c>
      <c r="T15" s="23">
        <v>-9004.7000000000007</v>
      </c>
      <c r="U15" s="23">
        <v>696.7</v>
      </c>
      <c r="V15" s="23">
        <v>-8308.1</v>
      </c>
      <c r="W15" s="23">
        <v>0</v>
      </c>
      <c r="X15" s="23">
        <v>-8308.1</v>
      </c>
      <c r="Y15" s="23">
        <v>-8316.2000000000007</v>
      </c>
    </row>
    <row r="16" spans="1:25" s="22" customFormat="1">
      <c r="A16" s="24" t="s">
        <v>48</v>
      </c>
      <c r="B16" s="23">
        <v>705504.080449</v>
      </c>
      <c r="C16" s="23">
        <v>9227.4195570000011</v>
      </c>
      <c r="D16" s="23">
        <v>35326.880000000005</v>
      </c>
      <c r="E16" s="23">
        <v>1629.8000000000002</v>
      </c>
      <c r="F16" s="23">
        <v>0</v>
      </c>
      <c r="G16" s="23">
        <v>15343.6</v>
      </c>
      <c r="H16" s="23">
        <v>44222.717329999992</v>
      </c>
      <c r="I16" s="23">
        <v>811254.39733900002</v>
      </c>
      <c r="J16" s="23">
        <v>505633.27283000003</v>
      </c>
      <c r="K16" s="23">
        <v>76399.343642000022</v>
      </c>
      <c r="L16" s="23">
        <v>30055.949474000001</v>
      </c>
      <c r="M16" s="23">
        <v>74750.456402999989</v>
      </c>
      <c r="N16" s="23">
        <v>292.50307500000002</v>
      </c>
      <c r="O16" s="23">
        <v>17082.187892999998</v>
      </c>
      <c r="P16" s="23">
        <v>20553.243366999999</v>
      </c>
      <c r="Q16" s="23">
        <v>67398.458880999999</v>
      </c>
      <c r="R16" s="23">
        <v>86175.386041999998</v>
      </c>
      <c r="S16" s="23">
        <v>878348.67524200003</v>
      </c>
      <c r="T16" s="23">
        <v>-66918.63129695</v>
      </c>
      <c r="U16" s="23">
        <v>48244.918999999987</v>
      </c>
      <c r="V16" s="23">
        <v>-107497.69590295</v>
      </c>
      <c r="W16" s="23">
        <v>2267.5524730000002</v>
      </c>
      <c r="X16" s="23">
        <v>-97418.119296949997</v>
      </c>
      <c r="Y16" s="23">
        <v>-102645.03342995</v>
      </c>
    </row>
    <row r="17" spans="1:25" s="22" customFormat="1">
      <c r="A17" s="24" t="s">
        <v>44</v>
      </c>
      <c r="B17" s="23"/>
      <c r="C17" s="23"/>
      <c r="D17" s="23"/>
      <c r="E17" s="23"/>
      <c r="F17" s="23"/>
      <c r="G17" s="23"/>
      <c r="H17" s="23"/>
      <c r="I17" s="23"/>
      <c r="J17" s="23"/>
      <c r="K17" s="23"/>
      <c r="L17" s="23"/>
      <c r="M17" s="23"/>
      <c r="N17" s="23"/>
      <c r="O17" s="23"/>
      <c r="P17" s="23"/>
      <c r="Q17" s="23"/>
      <c r="R17" s="23"/>
      <c r="S17" s="23"/>
      <c r="T17" s="23"/>
      <c r="U17" s="23"/>
      <c r="V17" s="23"/>
      <c r="W17" s="23"/>
      <c r="X17" s="23"/>
      <c r="Y17" s="23"/>
    </row>
    <row r="18" spans="1:25" s="22" customFormat="1">
      <c r="A18" s="24" t="s">
        <v>45</v>
      </c>
      <c r="B18" s="23"/>
      <c r="C18" s="23"/>
      <c r="D18" s="23"/>
      <c r="E18" s="23"/>
      <c r="F18" s="23"/>
      <c r="G18" s="23"/>
      <c r="H18" s="23"/>
      <c r="I18" s="23"/>
      <c r="J18" s="23"/>
      <c r="K18" s="23"/>
      <c r="L18" s="23"/>
      <c r="M18" s="23"/>
      <c r="N18" s="23"/>
      <c r="O18" s="23"/>
      <c r="P18" s="23"/>
      <c r="Q18" s="23"/>
      <c r="R18" s="23"/>
      <c r="S18" s="23"/>
      <c r="T18" s="23"/>
      <c r="U18" s="23"/>
      <c r="V18" s="23"/>
      <c r="W18" s="23"/>
      <c r="X18" s="23"/>
      <c r="Y18" s="23"/>
    </row>
    <row r="19" spans="1:25" s="22" customFormat="1">
      <c r="A19" s="24" t="s">
        <v>46</v>
      </c>
      <c r="B19" s="23"/>
      <c r="C19" s="23"/>
      <c r="D19" s="23"/>
      <c r="E19" s="23"/>
      <c r="F19" s="23"/>
      <c r="G19" s="23"/>
      <c r="H19" s="23"/>
      <c r="I19" s="23"/>
      <c r="J19" s="23"/>
      <c r="K19" s="23"/>
      <c r="L19" s="23"/>
      <c r="M19" s="23"/>
      <c r="N19" s="23"/>
      <c r="O19" s="23"/>
      <c r="P19" s="23"/>
      <c r="Q19" s="23"/>
      <c r="R19" s="23"/>
      <c r="S19" s="23"/>
      <c r="T19" s="23"/>
      <c r="U19" s="23"/>
      <c r="V19" s="23"/>
      <c r="W19" s="23"/>
      <c r="X19" s="23"/>
      <c r="Y19" s="23"/>
    </row>
    <row r="20" spans="1:25">
      <c r="A20" s="24" t="s">
        <v>183</v>
      </c>
      <c r="B20" s="23">
        <v>12.802</v>
      </c>
      <c r="C20" s="23">
        <v>2.4E-2</v>
      </c>
      <c r="D20" s="23">
        <v>0</v>
      </c>
      <c r="E20" s="23">
        <v>0</v>
      </c>
      <c r="F20" s="23"/>
      <c r="G20" s="23">
        <v>0</v>
      </c>
      <c r="H20" s="23">
        <v>37.546999999999997</v>
      </c>
      <c r="I20" s="23">
        <v>50.372999999999998</v>
      </c>
      <c r="J20" s="23">
        <v>48.069000000000003</v>
      </c>
      <c r="K20" s="23">
        <v>18.655999999999999</v>
      </c>
      <c r="L20" s="23">
        <v>34.573</v>
      </c>
      <c r="M20" s="23">
        <v>5.8070000000000004</v>
      </c>
      <c r="N20" s="23">
        <v>3.31</v>
      </c>
      <c r="O20" s="23">
        <v>0.81299999999999994</v>
      </c>
      <c r="P20" s="23">
        <v>4.4939999999999998</v>
      </c>
      <c r="Q20" s="23">
        <v>87.575000000000003</v>
      </c>
      <c r="R20" s="23">
        <v>8.8130000000000006</v>
      </c>
      <c r="S20" s="23">
        <v>212.10900000000001</v>
      </c>
      <c r="T20" s="23">
        <v>-161.73599999999999</v>
      </c>
      <c r="U20" s="23">
        <v>4.609</v>
      </c>
      <c r="V20" s="23">
        <v>-166.34399999999999</v>
      </c>
      <c r="W20" s="23">
        <v>0</v>
      </c>
      <c r="X20" s="23">
        <v>-166.34399999999999</v>
      </c>
      <c r="Y20" s="23">
        <v>-166.34399999999999</v>
      </c>
    </row>
    <row r="21" spans="1:25">
      <c r="A21" s="24" t="s">
        <v>184</v>
      </c>
      <c r="B21" s="23">
        <v>2.9796610000000001</v>
      </c>
      <c r="C21" s="23"/>
      <c r="D21" s="23"/>
      <c r="E21" s="23"/>
      <c r="F21" s="23"/>
      <c r="G21" s="23"/>
      <c r="H21" s="23"/>
      <c r="I21" s="23">
        <v>2.9796610000000001</v>
      </c>
      <c r="J21" s="23">
        <v>5.3041840000000002</v>
      </c>
      <c r="K21" s="23">
        <v>4.6772369999999999</v>
      </c>
      <c r="L21" s="23">
        <v>0.37316500000000002</v>
      </c>
      <c r="M21" s="23">
        <v>7.9091999999999996E-2</v>
      </c>
      <c r="N21" s="23">
        <v>9.3075000000000005E-2</v>
      </c>
      <c r="O21" s="23">
        <v>0.13489300000000001</v>
      </c>
      <c r="P21" s="23">
        <v>2.2339999999999999E-2</v>
      </c>
      <c r="Q21" s="23">
        <v>0.24388099999999999</v>
      </c>
      <c r="R21" s="23">
        <v>2.0924649999999998</v>
      </c>
      <c r="S21" s="23">
        <v>20.894957999999999</v>
      </c>
      <c r="T21" s="23">
        <v>-17.915296949999998</v>
      </c>
      <c r="U21" s="23"/>
      <c r="V21" s="23">
        <v>-17.915296949999998</v>
      </c>
      <c r="W21" s="23"/>
      <c r="X21" s="23">
        <v>-17.915296949999998</v>
      </c>
      <c r="Y21" s="23">
        <v>-17.915296949999998</v>
      </c>
    </row>
    <row r="22" spans="1:25">
      <c r="A22" s="24" t="s">
        <v>182</v>
      </c>
      <c r="B22" s="23">
        <v>705504.080449</v>
      </c>
      <c r="C22" s="23">
        <v>9227.4195570000011</v>
      </c>
      <c r="D22" s="23">
        <v>35326.880000000005</v>
      </c>
      <c r="E22" s="23">
        <v>1629.8000000000002</v>
      </c>
      <c r="F22" s="23">
        <v>0</v>
      </c>
      <c r="G22" s="23">
        <v>15343.6</v>
      </c>
      <c r="H22" s="23">
        <v>44222.717329999992</v>
      </c>
      <c r="I22" s="23">
        <v>811254.39733900002</v>
      </c>
      <c r="J22" s="23">
        <v>505633.27283000009</v>
      </c>
      <c r="K22" s="23">
        <v>76399.343642000022</v>
      </c>
      <c r="L22" s="23">
        <v>30055.949474000001</v>
      </c>
      <c r="M22" s="23">
        <v>74750.456402999989</v>
      </c>
      <c r="N22" s="23">
        <v>292.50307500000002</v>
      </c>
      <c r="O22" s="23">
        <v>17082.187892999998</v>
      </c>
      <c r="P22" s="23">
        <v>20553.243366999999</v>
      </c>
      <c r="Q22" s="23">
        <v>67398.458880999999</v>
      </c>
      <c r="R22" s="23">
        <v>86175.386041999998</v>
      </c>
      <c r="S22" s="23">
        <v>878348.67524200014</v>
      </c>
      <c r="T22" s="23">
        <v>-66918.63129695</v>
      </c>
      <c r="U22" s="23">
        <v>48244.918999999987</v>
      </c>
      <c r="V22" s="23">
        <v>-107497.69590295</v>
      </c>
      <c r="W22" s="23">
        <v>2267.5524730000002</v>
      </c>
      <c r="X22" s="23">
        <v>-97418.119296949997</v>
      </c>
      <c r="Y22" s="23">
        <v>-102645.03342995</v>
      </c>
    </row>
    <row r="23" spans="1:25">
      <c r="A23" s="24" t="s">
        <v>49</v>
      </c>
      <c r="B23" s="23">
        <v>2116512.241347</v>
      </c>
      <c r="C23" s="23">
        <v>27682.258671000007</v>
      </c>
      <c r="D23" s="23">
        <v>105980.64000000001</v>
      </c>
      <c r="E23" s="23">
        <v>4889.4000000000005</v>
      </c>
      <c r="F23" s="23">
        <v>0</v>
      </c>
      <c r="G23" s="23">
        <v>46030.8</v>
      </c>
      <c r="H23" s="23">
        <v>132668.15198999998</v>
      </c>
      <c r="I23" s="23">
        <v>2433763.1920170002</v>
      </c>
      <c r="J23" s="23">
        <v>1516899.8184900002</v>
      </c>
      <c r="K23" s="23">
        <v>229198.03092600004</v>
      </c>
      <c r="L23" s="23">
        <v>90167.848421999995</v>
      </c>
      <c r="M23" s="23">
        <v>224251.36920899997</v>
      </c>
      <c r="N23" s="23">
        <v>877.50922500000001</v>
      </c>
      <c r="O23" s="23">
        <v>51246.563678999999</v>
      </c>
      <c r="P23" s="23">
        <v>61659.730101000008</v>
      </c>
      <c r="Q23" s="23">
        <v>202195.37664300003</v>
      </c>
      <c r="R23" s="23">
        <v>258526.15812599999</v>
      </c>
      <c r="S23" s="23">
        <v>2635046.0257259998</v>
      </c>
      <c r="T23" s="23">
        <v>-200755.89389085001</v>
      </c>
      <c r="U23" s="23">
        <v>144734.75699999995</v>
      </c>
      <c r="V23" s="23">
        <v>-322493.08770885004</v>
      </c>
      <c r="W23" s="23">
        <v>6802.657419000001</v>
      </c>
      <c r="X23" s="23">
        <v>-292254.35789084999</v>
      </c>
      <c r="Y23" s="23">
        <v>-307935.10028985003</v>
      </c>
    </row>
    <row r="29" spans="1:25">
      <c r="B29" s="28"/>
    </row>
  </sheetData>
  <pageMargins left="0.7" right="0.7" top="0.75" bottom="0.75" header="0.3" footer="0.3"/>
  <pageSetup paperSize="9" orientation="portrait"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syncVertical="1" syncRef="A1" transitionEvaluation="1" transitionEntry="1" codeName="Sheet13">
    <tabColor theme="9" tint="0.59999389629810485"/>
  </sheetPr>
  <dimension ref="A1:I18"/>
  <sheetViews>
    <sheetView showGridLines="0" tabSelected="1" view="pageBreakPreview" zoomScaleNormal="75" zoomScaleSheetLayoutView="100" workbookViewId="0">
      <selection activeCell="M10" sqref="M10"/>
    </sheetView>
  </sheetViews>
  <sheetFormatPr defaultColWidth="11" defaultRowHeight="15.75"/>
  <cols>
    <col min="1" max="1" width="7.28515625" style="2" customWidth="1"/>
    <col min="2" max="2" width="10.5703125" style="2" customWidth="1"/>
    <col min="3" max="3" width="13" style="2" customWidth="1"/>
    <col min="4" max="4" width="10.140625" style="2" customWidth="1"/>
    <col min="5" max="5" width="9.85546875" style="2" customWidth="1"/>
    <col min="6" max="6" width="16.85546875" style="2" customWidth="1"/>
    <col min="7" max="8" width="14.28515625" style="2" customWidth="1"/>
    <col min="9" max="9" width="14" style="2" customWidth="1"/>
    <col min="10" max="16384" width="11" style="2"/>
  </cols>
  <sheetData>
    <row r="1" spans="1:9" ht="24.95" customHeight="1">
      <c r="A1" s="33" t="s">
        <v>188</v>
      </c>
      <c r="B1" s="34"/>
      <c r="C1" s="34"/>
      <c r="D1" s="34"/>
      <c r="E1" s="34"/>
      <c r="F1" s="34"/>
      <c r="G1" s="34"/>
      <c r="H1" s="34"/>
      <c r="I1" s="35"/>
    </row>
    <row r="2" spans="1:9" ht="19.5" customHeight="1">
      <c r="A2" s="36" t="s">
        <v>189</v>
      </c>
      <c r="B2" s="37"/>
      <c r="C2" s="37"/>
      <c r="D2" s="37"/>
      <c r="E2" s="37"/>
      <c r="F2" s="37"/>
      <c r="G2" s="37"/>
      <c r="H2" s="37"/>
      <c r="I2" s="38"/>
    </row>
    <row r="3" spans="1:9" ht="31.5" customHeight="1">
      <c r="A3" s="39" t="s">
        <v>193</v>
      </c>
      <c r="B3" s="40"/>
      <c r="C3" s="40"/>
      <c r="D3" s="40"/>
      <c r="E3" s="40"/>
      <c r="F3" s="40"/>
      <c r="G3" s="40"/>
      <c r="H3" s="40"/>
      <c r="I3" s="41"/>
    </row>
    <row r="4" spans="1:9" ht="21" customHeight="1">
      <c r="A4" s="42" t="s">
        <v>194</v>
      </c>
      <c r="B4" s="42" t="s">
        <v>7</v>
      </c>
      <c r="C4" s="42" t="s">
        <v>6</v>
      </c>
      <c r="D4" s="42"/>
      <c r="E4" s="42"/>
      <c r="F4" s="42"/>
      <c r="G4" s="42"/>
      <c r="H4" s="42"/>
      <c r="I4" s="42"/>
    </row>
    <row r="5" spans="1:9" ht="62.25" customHeight="1">
      <c r="A5" s="42"/>
      <c r="B5" s="42"/>
      <c r="C5" s="3" t="s">
        <v>5</v>
      </c>
      <c r="D5" s="30" t="s">
        <v>191</v>
      </c>
      <c r="E5" s="3" t="s">
        <v>192</v>
      </c>
      <c r="F5" s="3" t="s">
        <v>4</v>
      </c>
      <c r="G5" s="3" t="s">
        <v>3</v>
      </c>
      <c r="H5" s="3" t="s">
        <v>2</v>
      </c>
      <c r="I5" s="3" t="s">
        <v>1</v>
      </c>
    </row>
    <row r="6" spans="1:9" ht="20.25" customHeight="1">
      <c r="A6" s="31">
        <v>1</v>
      </c>
      <c r="B6" s="31">
        <v>2</v>
      </c>
      <c r="C6" s="31">
        <v>3</v>
      </c>
      <c r="D6" s="31">
        <v>4</v>
      </c>
      <c r="E6" s="31">
        <v>5</v>
      </c>
      <c r="F6" s="31">
        <v>6</v>
      </c>
      <c r="G6" s="31">
        <v>7</v>
      </c>
      <c r="H6" s="31">
        <v>8</v>
      </c>
      <c r="I6" s="31">
        <v>9</v>
      </c>
    </row>
    <row r="7" spans="1:9" ht="24" customHeight="1">
      <c r="A7" s="31">
        <v>1</v>
      </c>
      <c r="B7" s="4" t="s">
        <v>0</v>
      </c>
      <c r="C7" s="6">
        <v>424</v>
      </c>
      <c r="D7" s="6">
        <v>70</v>
      </c>
      <c r="E7" s="6">
        <v>725</v>
      </c>
      <c r="F7" s="5">
        <v>359</v>
      </c>
      <c r="G7" s="6">
        <v>43</v>
      </c>
      <c r="H7" s="6">
        <v>1949</v>
      </c>
      <c r="I7" s="31">
        <v>3570</v>
      </c>
    </row>
    <row r="8" spans="1:9" ht="24" customHeight="1">
      <c r="A8" s="31">
        <v>2</v>
      </c>
      <c r="B8" s="4" t="s">
        <v>9</v>
      </c>
      <c r="C8" s="6">
        <v>764</v>
      </c>
      <c r="D8" s="6">
        <v>103</v>
      </c>
      <c r="E8" s="6">
        <v>1045</v>
      </c>
      <c r="F8" s="6">
        <v>543</v>
      </c>
      <c r="G8" s="6">
        <v>53</v>
      </c>
      <c r="H8" s="6">
        <v>2458</v>
      </c>
      <c r="I8" s="31">
        <v>4966</v>
      </c>
    </row>
    <row r="9" spans="1:9" ht="24" customHeight="1">
      <c r="A9" s="31">
        <v>3</v>
      </c>
      <c r="B9" s="4" t="s">
        <v>8</v>
      </c>
      <c r="C9" s="6">
        <v>878</v>
      </c>
      <c r="D9" s="6">
        <v>121</v>
      </c>
      <c r="E9" s="6">
        <v>1942</v>
      </c>
      <c r="F9" s="6">
        <v>662</v>
      </c>
      <c r="G9" s="6">
        <v>72</v>
      </c>
      <c r="H9" s="6">
        <v>3240</v>
      </c>
      <c r="I9" s="31">
        <v>6915</v>
      </c>
    </row>
    <row r="10" spans="1:9" ht="24" customHeight="1">
      <c r="A10" s="31">
        <v>4</v>
      </c>
      <c r="B10" s="4" t="s">
        <v>17</v>
      </c>
      <c r="C10" s="6">
        <v>927</v>
      </c>
      <c r="D10" s="6">
        <v>129</v>
      </c>
      <c r="E10" s="6">
        <v>2090</v>
      </c>
      <c r="F10" s="6">
        <v>740</v>
      </c>
      <c r="G10" s="6">
        <v>76</v>
      </c>
      <c r="H10" s="6">
        <v>4206</v>
      </c>
      <c r="I10" s="31">
        <v>8168</v>
      </c>
    </row>
    <row r="11" spans="1:9" ht="24" customHeight="1">
      <c r="A11" s="31">
        <v>5</v>
      </c>
      <c r="B11" s="4" t="s">
        <v>10</v>
      </c>
      <c r="C11" s="6">
        <v>1320</v>
      </c>
      <c r="D11" s="6">
        <v>140</v>
      </c>
      <c r="E11" s="6">
        <v>2520</v>
      </c>
      <c r="F11" s="6">
        <v>739</v>
      </c>
      <c r="G11" s="6">
        <v>69</v>
      </c>
      <c r="H11" s="6">
        <v>5748</v>
      </c>
      <c r="I11" s="31">
        <v>10536</v>
      </c>
    </row>
    <row r="12" spans="1:9" ht="22.5" customHeight="1">
      <c r="A12" s="31">
        <v>6</v>
      </c>
      <c r="B12" s="4" t="s">
        <v>22</v>
      </c>
      <c r="C12" s="6">
        <v>1747</v>
      </c>
      <c r="D12" s="6">
        <v>132</v>
      </c>
      <c r="E12" s="6">
        <v>3218</v>
      </c>
      <c r="F12" s="6">
        <v>876</v>
      </c>
      <c r="G12" s="6">
        <v>65</v>
      </c>
      <c r="H12" s="6">
        <v>6324</v>
      </c>
      <c r="I12" s="32">
        <v>12362</v>
      </c>
    </row>
    <row r="13" spans="1:9" ht="21" customHeight="1">
      <c r="A13" s="31">
        <v>7</v>
      </c>
      <c r="B13" s="4" t="s">
        <v>64</v>
      </c>
      <c r="C13" s="6">
        <v>2094</v>
      </c>
      <c r="D13" s="6">
        <v>132</v>
      </c>
      <c r="E13" s="6">
        <v>3880</v>
      </c>
      <c r="F13" s="6">
        <v>916</v>
      </c>
      <c r="G13" s="6">
        <v>217</v>
      </c>
      <c r="H13" s="6">
        <v>7365</v>
      </c>
      <c r="I13" s="32">
        <v>14604</v>
      </c>
    </row>
    <row r="14" spans="1:9" ht="21" customHeight="1">
      <c r="A14" s="31">
        <v>8</v>
      </c>
      <c r="B14" s="4" t="s">
        <v>179</v>
      </c>
      <c r="C14" s="6">
        <v>2350</v>
      </c>
      <c r="D14" s="6">
        <v>162</v>
      </c>
      <c r="E14" s="6">
        <v>4635</v>
      </c>
      <c r="F14" s="6">
        <v>1273</v>
      </c>
      <c r="G14" s="6">
        <v>248</v>
      </c>
      <c r="H14" s="6">
        <v>9392</v>
      </c>
      <c r="I14" s="32">
        <v>18060</v>
      </c>
    </row>
    <row r="15" spans="1:9" ht="21" customHeight="1">
      <c r="A15" s="31">
        <v>9</v>
      </c>
      <c r="B15" s="4" t="s">
        <v>186</v>
      </c>
      <c r="C15" s="6">
        <v>3187</v>
      </c>
      <c r="D15" s="6">
        <v>210</v>
      </c>
      <c r="E15" s="6">
        <v>6248</v>
      </c>
      <c r="F15" s="6">
        <v>1718</v>
      </c>
      <c r="G15" s="6">
        <v>305</v>
      </c>
      <c r="H15" s="6">
        <v>11815</v>
      </c>
      <c r="I15" s="32">
        <v>23483</v>
      </c>
    </row>
    <row r="16" spans="1:9" ht="21" customHeight="1">
      <c r="A16" s="31">
        <v>10</v>
      </c>
      <c r="B16" s="4" t="s">
        <v>190</v>
      </c>
      <c r="C16" s="6">
        <v>4017</v>
      </c>
      <c r="D16" s="6">
        <v>257</v>
      </c>
      <c r="E16" s="6">
        <v>6573</v>
      </c>
      <c r="F16" s="6">
        <v>2222</v>
      </c>
      <c r="G16" s="6">
        <v>378</v>
      </c>
      <c r="H16" s="6">
        <v>14365</v>
      </c>
      <c r="I16" s="32">
        <v>27812</v>
      </c>
    </row>
    <row r="17" spans="1:9" ht="29.25" customHeight="1">
      <c r="A17" s="43" t="s">
        <v>187</v>
      </c>
      <c r="B17" s="43"/>
      <c r="C17" s="43"/>
      <c r="D17" s="43"/>
      <c r="E17" s="43"/>
      <c r="F17" s="43"/>
      <c r="G17" s="43"/>
      <c r="H17" s="43"/>
      <c r="I17" s="43"/>
    </row>
    <row r="18" spans="1:9" ht="18">
      <c r="C18" s="1"/>
      <c r="D18" s="1"/>
      <c r="E18" s="7"/>
      <c r="F18" s="1"/>
      <c r="G18" s="1"/>
      <c r="H18" s="1"/>
      <c r="I18" s="1"/>
    </row>
  </sheetData>
  <mergeCells count="7">
    <mergeCell ref="A1:I1"/>
    <mergeCell ref="A2:I2"/>
    <mergeCell ref="A3:I3"/>
    <mergeCell ref="A4:A5"/>
    <mergeCell ref="A17:I17"/>
    <mergeCell ref="B4:B5"/>
    <mergeCell ref="C4:I4"/>
  </mergeCells>
  <pageMargins left="0.48" right="0.4" top="0.57999999999999996" bottom="0.44" header="0.32" footer="0.22"/>
  <pageSetup firstPageNumber="148" fitToWidth="0" fitToHeight="0" orientation="landscape" useFirstPageNumber="1" horizontalDpi="4294967294" r:id="rId1"/>
  <headerFooter alignWithMargins="0">
    <oddHeader>&amp;L0</oddHead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2</vt:i4>
      </vt:variant>
    </vt:vector>
  </HeadingPairs>
  <TitlesOfParts>
    <vt:vector size="6" baseType="lpstr">
      <vt:lpstr>Form D-Fleet _Process</vt:lpstr>
      <vt:lpstr>Form D -Personnel processing</vt:lpstr>
      <vt:lpstr>FormEF_Processing</vt:lpstr>
      <vt:lpstr>1.13</vt:lpstr>
      <vt:lpstr>'1.13'!Print_Area</vt:lpstr>
      <vt:lpstr>'1.13'!Print_Area_MI</vt:lpstr>
    </vt:vector>
  </TitlesOfParts>
  <Company>dgca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khurana</dc:creator>
  <cp:lastModifiedBy>Windows User</cp:lastModifiedBy>
  <cp:lastPrinted>2020-01-28T01:51:09Z</cp:lastPrinted>
  <dcterms:created xsi:type="dcterms:W3CDTF">2002-12-26T09:18:20Z</dcterms:created>
  <dcterms:modified xsi:type="dcterms:W3CDTF">2021-12-02T18:54:37Z</dcterms:modified>
</cp:coreProperties>
</file>