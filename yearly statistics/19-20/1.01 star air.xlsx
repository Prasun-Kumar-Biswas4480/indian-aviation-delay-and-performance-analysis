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16. STAR AIR\"/>
    </mc:Choice>
  </mc:AlternateContent>
  <bookViews>
    <workbookView xWindow="0" yWindow="0" windowWidth="24000" windowHeight="9435"/>
  </bookViews>
  <sheets>
    <sheet name="STAR AIR" sheetId="14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7" i="14" l="1"/>
  <c r="H8" i="14"/>
  <c r="H9" i="14"/>
  <c r="H10" i="14"/>
  <c r="H11" i="14"/>
  <c r="H12" i="14"/>
  <c r="H13" i="14"/>
  <c r="H14" i="14"/>
  <c r="H6" i="14"/>
  <c r="Q7" i="14"/>
  <c r="Q8" i="14"/>
  <c r="Q9" i="14"/>
  <c r="Q10" i="14"/>
  <c r="Q11" i="14"/>
  <c r="Q12" i="14"/>
  <c r="Q13" i="14"/>
  <c r="Q14" i="14"/>
  <c r="Q6" i="14"/>
  <c r="Q16" i="14" l="1"/>
  <c r="Q17" i="14"/>
  <c r="Q15" i="14"/>
  <c r="H16" i="14"/>
  <c r="H17" i="14"/>
  <c r="H15" i="14"/>
  <c r="E18" i="14" l="1"/>
  <c r="D18" i="14"/>
  <c r="B18" i="14"/>
  <c r="P18" i="14"/>
  <c r="N18" i="14"/>
  <c r="F18" i="14"/>
  <c r="H18" i="14" s="1"/>
  <c r="M18" i="14"/>
  <c r="L18" i="14"/>
  <c r="G18" i="14"/>
  <c r="C18" i="14"/>
  <c r="O18" i="14" l="1"/>
  <c r="Q18" i="14" s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<sst xmlns="http://schemas.openxmlformats.org/spreadsheetml/2006/main" count="26" uniqueCount="24">
  <si>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</si>
  <si>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</si>
  <si>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</si>
  <si>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</si>
  <si>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</si>
  <si>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</si>
  <si>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</si>
  <si>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</si>
  <si>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</si>
  <si>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</si>
  <si>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</si>
  <si>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</si>
  <si>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</si>
  <si>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</si>
  <si>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</si>
  <si>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</si>
  <si>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</si>
  <si>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</si>
  <si>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</si>
  <si>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1.01 (स्टार एयर) </t>
  </si>
  <si>
    <t>Table 1.01 (STAR AIR)</t>
  </si>
  <si>
    <t>SOURCE:-  ICAO ATR FORM 'A' FURNISHED BY STAR AIR</t>
  </si>
  <si>
    <t>2019-20</t>
  </si>
  <si>
    <t>MONTHLY TRAFFIC AND OPERATING STATISTICS OF STAR AIR ON SCHEDULED DOMESTIC SERVICES DURING 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</si>
</sst>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1">
    <xf numFmtId="0" fontId="0" fillId="0" borderId="0" xfId="0"/>
    <xf numFmtId="0" fontId="4" fillId="4" borderId="1" xfId="3" applyFont="1" applyBorder="1" applyAlignment="1" applyProtection="1">
      <alignment horizontal="center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6" fontId="3" fillId="4" borderId="1" xfId="3" applyNumberForma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167" fontId="4" fillId="4" borderId="1" xfId="3" applyNumberFormat="1" applyFont="1" applyBorder="1" applyAlignment="1" applyProtection="1">
      <alignment horizontal="right" vertical="center" wrapText="1"/>
    </xf>
    <xf numFmtId="17" fontId="3" fillId="4" borderId="1" xfId="3" applyNumberFormat="1" applyFont="1" applyBorder="1" applyAlignment="1" applyProtection="1">
      <alignment horizontal="center" vertical="center" wrapText="1"/>
    </xf>
    <xf numFmtId="17" fontId="2" fillId="2" borderId="1" xfId="0" applyNumberFormat="1" applyFont="1" applyFill="1" applyBorder="1" applyAlignment="1" applyProtection="1">
      <alignment horizontal="center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topLeftCell="A4" zoomScale="115" zoomScaleNormal="115" workbookViewId="0">
      <selection activeCell="S5" sqref="S5"/>
    </sheetView>
  </sheetViews>
  <sheetFormatPr defaultRowHeight="15" x14ac:dyDescent="0.25"/>
  <cols>
    <col min="2" max="4" width="5.85546875" customWidth="1"/>
    <col min="5" max="5" width="8.140625" customWidth="1"/>
    <col min="6" max="6" width="7.28515625" customWidth="1"/>
    <col min="7" max="7" width="8" customWidth="1"/>
    <col min="8" max="8" width="7.85546875" customWidth="1"/>
    <col min="9" max="10" width="6" customWidth="1"/>
    <col min="11" max="11" width="6.85546875" customWidth="1"/>
    <col min="12" max="13" width="7.140625" customWidth="1"/>
    <col min="14" max="14" width="6.42578125" customWidth="1"/>
    <col min="15" max="15" width="7.42578125" customWidth="1"/>
    <col min="16" max="16" width="8.140625" customWidth="1"/>
    <col min="17" max="17" width="7.28515625" customWidth="1"/>
  </cols>
  <sheetData>
    <row r="1" spans="1:17" x14ac:dyDescent="0.25">
      <c r="A1" s="16" t="s">
        <v>19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x14ac:dyDescent="0.25">
      <c r="A2" s="17" t="s">
        <v>20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x14ac:dyDescent="0.25">
      <c r="A3" s="19" t="s">
        <v>23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7" ht="28.15" customHeight="1" x14ac:dyDescent="0.25">
      <c r="A4" s="19" t="s">
        <v>0</v>
      </c>
      <c r="B4" s="19" t="s">
        <v>1</v>
      </c>
      <c r="C4" s="19"/>
      <c r="D4" s="19"/>
      <c r="E4" s="19" t="s">
        <v>2</v>
      </c>
      <c r="F4" s="20"/>
      <c r="G4" s="11" t="s">
        <v>3</v>
      </c>
      <c r="H4" s="11" t="s">
        <v>4</v>
      </c>
      <c r="I4" s="19" t="s">
        <v>5</v>
      </c>
      <c r="J4" s="19"/>
      <c r="K4" s="19"/>
      <c r="L4" s="19" t="s">
        <v>6</v>
      </c>
      <c r="M4" s="19"/>
      <c r="N4" s="19"/>
      <c r="O4" s="19"/>
      <c r="P4" s="11" t="s">
        <v>7</v>
      </c>
      <c r="Q4" s="11" t="s">
        <v>8</v>
      </c>
    </row>
    <row r="5" spans="1:17" ht="116.25" customHeight="1" x14ac:dyDescent="0.25">
      <c r="A5" s="19"/>
      <c r="B5" s="10" t="s">
        <v>9</v>
      </c>
      <c r="C5" s="10" t="s">
        <v>10</v>
      </c>
      <c r="D5" s="10" t="s">
        <v>11</v>
      </c>
      <c r="E5" s="10" t="s">
        <v>12</v>
      </c>
      <c r="F5" s="10" t="s">
        <v>13</v>
      </c>
      <c r="G5" s="12"/>
      <c r="H5" s="12"/>
      <c r="I5" s="10" t="s">
        <v>14</v>
      </c>
      <c r="J5" s="10" t="s">
        <v>15</v>
      </c>
      <c r="K5" s="10" t="s">
        <v>16</v>
      </c>
      <c r="L5" s="10" t="s">
        <v>17</v>
      </c>
      <c r="M5" s="10" t="s">
        <v>18</v>
      </c>
      <c r="N5" s="10" t="s">
        <v>15</v>
      </c>
      <c r="O5" s="10" t="s">
        <v>16</v>
      </c>
      <c r="P5" s="12"/>
      <c r="Q5" s="12"/>
    </row>
    <row r="6" spans="1:17" x14ac:dyDescent="0.25">
      <c r="A6" s="8">
        <v>43556</v>
      </c>
      <c r="B6" s="2">
        <v>148</v>
      </c>
      <c r="C6" s="2">
        <v>158</v>
      </c>
      <c r="D6" s="2">
        <v>67.775000000000006</v>
      </c>
      <c r="E6" s="2">
        <v>3956</v>
      </c>
      <c r="F6" s="2">
        <v>1.790961</v>
      </c>
      <c r="G6" s="2">
        <v>3.3443499999999999</v>
      </c>
      <c r="H6" s="5">
        <f>F6/G6*100</f>
        <v>53.551841164949842</v>
      </c>
      <c r="I6" s="5">
        <v>0</v>
      </c>
      <c r="J6" s="5">
        <v>0</v>
      </c>
      <c r="K6" s="5">
        <v>0</v>
      </c>
      <c r="L6" s="5">
        <v>0.16119</v>
      </c>
      <c r="M6" s="5">
        <v>0</v>
      </c>
      <c r="N6" s="5">
        <v>0</v>
      </c>
      <c r="O6" s="5">
        <v>0.16119</v>
      </c>
      <c r="P6" s="5">
        <v>1.4715100000000001</v>
      </c>
      <c r="Q6" s="5">
        <f t="shared" ref="Q6:Q14" si="0">O6/P6*100</f>
        <v>10.954053998953455</v>
      </c>
    </row>
    <row r="7" spans="1:17" x14ac:dyDescent="0.25">
      <c r="A7" s="9">
        <v>43586</v>
      </c>
      <c r="B7" s="3">
        <v>184</v>
      </c>
      <c r="C7" s="3">
        <v>201</v>
      </c>
      <c r="D7" s="3">
        <v>96.475999999999999</v>
      </c>
      <c r="E7" s="3">
        <v>5612</v>
      </c>
      <c r="F7" s="3">
        <v>2.9981869999999997</v>
      </c>
      <c r="G7" s="3">
        <v>4.8238000000000003</v>
      </c>
      <c r="H7" s="6">
        <f t="shared" ref="H7:H14" si="1">F7/G7*100</f>
        <v>62.154048675318208</v>
      </c>
      <c r="I7" s="6">
        <v>0</v>
      </c>
      <c r="J7" s="6">
        <v>0</v>
      </c>
      <c r="K7" s="6">
        <v>0</v>
      </c>
      <c r="L7" s="6">
        <v>0.26983699999999999</v>
      </c>
      <c r="M7" s="6">
        <v>0</v>
      </c>
      <c r="N7" s="6">
        <v>0</v>
      </c>
      <c r="O7" s="6">
        <v>0.26983699999999999</v>
      </c>
      <c r="P7" s="6">
        <v>2.4124099999999999</v>
      </c>
      <c r="Q7" s="6">
        <f t="shared" si="0"/>
        <v>11.18537064595156</v>
      </c>
    </row>
    <row r="8" spans="1:17" x14ac:dyDescent="0.25">
      <c r="A8" s="8">
        <v>43617</v>
      </c>
      <c r="B8" s="2">
        <v>202</v>
      </c>
      <c r="C8" s="2">
        <v>245</v>
      </c>
      <c r="D8" s="2">
        <v>113.91200000000001</v>
      </c>
      <c r="E8" s="2">
        <v>5473</v>
      </c>
      <c r="F8" s="2">
        <v>3.1792530000000001</v>
      </c>
      <c r="G8" s="2">
        <v>5.6956000000000007</v>
      </c>
      <c r="H8" s="5">
        <f t="shared" si="1"/>
        <v>55.819457124798092</v>
      </c>
      <c r="I8" s="5">
        <v>0</v>
      </c>
      <c r="J8" s="5">
        <v>0</v>
      </c>
      <c r="K8" s="5">
        <v>0</v>
      </c>
      <c r="L8" s="5">
        <v>0.28613299999999997</v>
      </c>
      <c r="M8" s="5">
        <v>0</v>
      </c>
      <c r="N8" s="5">
        <v>0</v>
      </c>
      <c r="O8" s="5">
        <v>0.28613299999999997</v>
      </c>
      <c r="P8" s="5">
        <v>2.5060639999999998</v>
      </c>
      <c r="Q8" s="5">
        <f t="shared" si="0"/>
        <v>11.417625407810814</v>
      </c>
    </row>
    <row r="9" spans="1:17" x14ac:dyDescent="0.25">
      <c r="A9" s="9">
        <v>43647</v>
      </c>
      <c r="B9" s="3">
        <v>194</v>
      </c>
      <c r="C9" s="3">
        <v>210</v>
      </c>
      <c r="D9" s="3">
        <v>110.745</v>
      </c>
      <c r="E9" s="3">
        <v>4875</v>
      </c>
      <c r="F9" s="3">
        <v>2.8186230000000001</v>
      </c>
      <c r="G9" s="3">
        <v>5.5372500000000002</v>
      </c>
      <c r="H9" s="6">
        <f t="shared" si="1"/>
        <v>50.902939184613302</v>
      </c>
      <c r="I9" s="6">
        <v>0</v>
      </c>
      <c r="J9" s="6">
        <v>0</v>
      </c>
      <c r="K9" s="6">
        <v>0</v>
      </c>
      <c r="L9" s="6">
        <v>0.25367600000000001</v>
      </c>
      <c r="M9" s="6">
        <v>0</v>
      </c>
      <c r="N9" s="6">
        <v>0</v>
      </c>
      <c r="O9" s="6">
        <v>0.25367600000000001</v>
      </c>
      <c r="P9" s="6">
        <v>2.4363899999999998</v>
      </c>
      <c r="Q9" s="6">
        <f t="shared" si="0"/>
        <v>10.411961960113119</v>
      </c>
    </row>
    <row r="10" spans="1:17" x14ac:dyDescent="0.25">
      <c r="A10" s="8">
        <v>43678</v>
      </c>
      <c r="B10" s="2">
        <v>168</v>
      </c>
      <c r="C10" s="2">
        <v>201</v>
      </c>
      <c r="D10" s="2">
        <v>95.738</v>
      </c>
      <c r="E10" s="2">
        <v>4232</v>
      </c>
      <c r="F10" s="2">
        <v>2.5400520000000002</v>
      </c>
      <c r="G10" s="2">
        <v>4.7868999999999993</v>
      </c>
      <c r="H10" s="5">
        <f t="shared" si="1"/>
        <v>53.06256658797971</v>
      </c>
      <c r="I10" s="5">
        <v>0</v>
      </c>
      <c r="J10" s="5">
        <v>0</v>
      </c>
      <c r="K10" s="5">
        <v>0</v>
      </c>
      <c r="L10" s="5">
        <v>0.228605</v>
      </c>
      <c r="M10" s="5">
        <v>0</v>
      </c>
      <c r="N10" s="5">
        <v>0</v>
      </c>
      <c r="O10" s="5">
        <v>0.228605</v>
      </c>
      <c r="P10" s="5">
        <v>2.106236</v>
      </c>
      <c r="Q10" s="5">
        <f t="shared" si="0"/>
        <v>10.853721995066081</v>
      </c>
    </row>
    <row r="11" spans="1:17" x14ac:dyDescent="0.25">
      <c r="A11" s="9">
        <v>43709</v>
      </c>
      <c r="B11" s="3">
        <v>183</v>
      </c>
      <c r="C11" s="3">
        <v>219</v>
      </c>
      <c r="D11" s="3">
        <v>100.361</v>
      </c>
      <c r="E11" s="3">
        <v>4653</v>
      </c>
      <c r="F11" s="3">
        <v>2.5605279999999997</v>
      </c>
      <c r="G11" s="3">
        <v>5.0180500000000006</v>
      </c>
      <c r="H11" s="6">
        <f t="shared" si="1"/>
        <v>51.026354858959145</v>
      </c>
      <c r="I11" s="6">
        <v>0</v>
      </c>
      <c r="J11" s="6">
        <v>0</v>
      </c>
      <c r="K11" s="6">
        <v>0</v>
      </c>
      <c r="L11" s="6">
        <v>0.23044800000000001</v>
      </c>
      <c r="M11" s="6">
        <v>0</v>
      </c>
      <c r="N11" s="6">
        <v>0</v>
      </c>
      <c r="O11" s="6">
        <v>0.23044800000000001</v>
      </c>
      <c r="P11" s="6">
        <v>2.2079420000000001</v>
      </c>
      <c r="Q11" s="6">
        <f t="shared" si="0"/>
        <v>10.437230688124959</v>
      </c>
    </row>
    <row r="12" spans="1:17" x14ac:dyDescent="0.25">
      <c r="A12" s="8">
        <v>43739</v>
      </c>
      <c r="B12" s="2">
        <v>209</v>
      </c>
      <c r="C12" s="2">
        <v>208</v>
      </c>
      <c r="D12" s="2">
        <v>113.48099999999999</v>
      </c>
      <c r="E12" s="2">
        <v>6232</v>
      </c>
      <c r="F12" s="2">
        <v>3.3763930000000002</v>
      </c>
      <c r="G12" s="2">
        <v>5.6740500000000003</v>
      </c>
      <c r="H12" s="5">
        <f t="shared" si="1"/>
        <v>59.505873229879889</v>
      </c>
      <c r="I12" s="5">
        <v>0</v>
      </c>
      <c r="J12" s="5">
        <v>0</v>
      </c>
      <c r="K12" s="5">
        <v>0</v>
      </c>
      <c r="L12" s="5">
        <v>0.30387500000000001</v>
      </c>
      <c r="M12" s="5">
        <v>0</v>
      </c>
      <c r="N12" s="5">
        <v>0</v>
      </c>
      <c r="O12" s="5">
        <v>0.30387500000000001</v>
      </c>
      <c r="P12" s="5">
        <v>2.4965820000000001</v>
      </c>
      <c r="Q12" s="5">
        <f t="shared" si="0"/>
        <v>12.171641067667716</v>
      </c>
    </row>
    <row r="13" spans="1:17" x14ac:dyDescent="0.25">
      <c r="A13" s="9">
        <v>43770</v>
      </c>
      <c r="B13" s="3">
        <v>235</v>
      </c>
      <c r="C13" s="3">
        <v>208</v>
      </c>
      <c r="D13" s="3">
        <v>159.14699999999999</v>
      </c>
      <c r="E13" s="3">
        <v>8562</v>
      </c>
      <c r="F13" s="3">
        <v>6.0019170000000006</v>
      </c>
      <c r="G13" s="3">
        <v>7.9573499999999999</v>
      </c>
      <c r="H13" s="6">
        <f t="shared" si="1"/>
        <v>75.42607777714943</v>
      </c>
      <c r="I13" s="6">
        <v>0</v>
      </c>
      <c r="J13" s="6">
        <v>0</v>
      </c>
      <c r="K13" s="6">
        <v>0</v>
      </c>
      <c r="L13" s="6">
        <v>0.53415499999999994</v>
      </c>
      <c r="M13" s="6">
        <v>0</v>
      </c>
      <c r="N13" s="6">
        <v>0</v>
      </c>
      <c r="O13" s="6">
        <v>0.53415499999999994</v>
      </c>
      <c r="P13" s="6">
        <v>3.5012339999999997</v>
      </c>
      <c r="Q13" s="6">
        <f t="shared" si="0"/>
        <v>15.25619253097622</v>
      </c>
    </row>
    <row r="14" spans="1:17" x14ac:dyDescent="0.25">
      <c r="A14" s="8">
        <v>43800</v>
      </c>
      <c r="B14" s="2">
        <v>263</v>
      </c>
      <c r="C14" s="2">
        <v>320</v>
      </c>
      <c r="D14" s="2">
        <v>173.59899999999999</v>
      </c>
      <c r="E14" s="2">
        <v>10705</v>
      </c>
      <c r="F14" s="2">
        <v>7.1364999999999998</v>
      </c>
      <c r="G14" s="2">
        <v>8.6799500000000016</v>
      </c>
      <c r="H14" s="5">
        <f t="shared" si="1"/>
        <v>82.218215542716251</v>
      </c>
      <c r="I14" s="5">
        <v>0</v>
      </c>
      <c r="J14" s="5">
        <v>0</v>
      </c>
      <c r="K14" s="5">
        <v>0</v>
      </c>
      <c r="L14" s="5">
        <v>0.64228499999999999</v>
      </c>
      <c r="M14" s="5">
        <v>0</v>
      </c>
      <c r="N14" s="5">
        <v>0</v>
      </c>
      <c r="O14" s="5">
        <v>0.64228499999999999</v>
      </c>
      <c r="P14" s="5">
        <v>3.819178</v>
      </c>
      <c r="Q14" s="5">
        <f t="shared" si="0"/>
        <v>16.817362270101054</v>
      </c>
    </row>
    <row r="15" spans="1:17" x14ac:dyDescent="0.25">
      <c r="A15" s="9">
        <v>43831</v>
      </c>
      <c r="B15" s="3">
        <v>278</v>
      </c>
      <c r="C15" s="3">
        <v>349</v>
      </c>
      <c r="D15" s="3">
        <v>190.67099999999999</v>
      </c>
      <c r="E15" s="3">
        <v>10921</v>
      </c>
      <c r="F15" s="3">
        <v>7.6017030000000005</v>
      </c>
      <c r="G15" s="3">
        <v>9.53355</v>
      </c>
      <c r="H15" s="6">
        <f>F15/G15*100</f>
        <v>79.736331167298644</v>
      </c>
      <c r="I15" s="6">
        <v>0</v>
      </c>
      <c r="J15" s="6">
        <v>0</v>
      </c>
      <c r="K15" s="6">
        <v>0</v>
      </c>
      <c r="L15" s="6">
        <v>0.68415300000000001</v>
      </c>
      <c r="M15" s="6">
        <v>0</v>
      </c>
      <c r="N15" s="6">
        <v>0</v>
      </c>
      <c r="O15" s="6">
        <v>0.68415300000000001</v>
      </c>
      <c r="P15" s="6">
        <v>4.0755660000000002</v>
      </c>
      <c r="Q15" s="6">
        <f>O15/P15*100</f>
        <v>16.786699074435305</v>
      </c>
    </row>
    <row r="16" spans="1:17" x14ac:dyDescent="0.25">
      <c r="A16" s="8">
        <v>43862</v>
      </c>
      <c r="B16" s="2">
        <v>278</v>
      </c>
      <c r="C16" s="2">
        <v>380.4</v>
      </c>
      <c r="D16" s="2">
        <v>210.11699999999999</v>
      </c>
      <c r="E16" s="2">
        <v>11622</v>
      </c>
      <c r="F16" s="2">
        <v>8.4737340000000003</v>
      </c>
      <c r="G16" s="2">
        <v>10.505850000000001</v>
      </c>
      <c r="H16" s="5">
        <f t="shared" ref="H16:H18" si="2">F16/G16*100</f>
        <v>80.657290937906026</v>
      </c>
      <c r="I16" s="5">
        <v>0</v>
      </c>
      <c r="J16" s="5">
        <v>0</v>
      </c>
      <c r="K16" s="5">
        <v>0</v>
      </c>
      <c r="L16" s="5">
        <v>0.76187000000000005</v>
      </c>
      <c r="M16" s="5">
        <v>0</v>
      </c>
      <c r="N16" s="5">
        <v>0</v>
      </c>
      <c r="O16" s="5">
        <v>0.76187000000000005</v>
      </c>
      <c r="P16" s="5">
        <v>4.384182</v>
      </c>
      <c r="Q16" s="5">
        <f t="shared" ref="Q16:Q18" si="3">O16/P16*100</f>
        <v>17.377700104603321</v>
      </c>
    </row>
    <row r="17" spans="1:17" x14ac:dyDescent="0.25">
      <c r="A17" s="9">
        <v>43891</v>
      </c>
      <c r="B17" s="3">
        <v>253</v>
      </c>
      <c r="C17" s="3">
        <v>330</v>
      </c>
      <c r="D17" s="3">
        <v>210.11699999999999</v>
      </c>
      <c r="E17" s="3">
        <v>8033</v>
      </c>
      <c r="F17" s="3">
        <v>6.4214089999999997</v>
      </c>
      <c r="G17" s="3">
        <v>9.3714999999999993</v>
      </c>
      <c r="H17" s="6">
        <f t="shared" si="2"/>
        <v>68.52061036120152</v>
      </c>
      <c r="I17" s="6">
        <v>0</v>
      </c>
      <c r="J17" s="6">
        <v>0</v>
      </c>
      <c r="K17" s="6">
        <v>0</v>
      </c>
      <c r="L17" s="6">
        <v>0.57792699999999997</v>
      </c>
      <c r="M17" s="6">
        <v>0</v>
      </c>
      <c r="N17" s="6">
        <v>0</v>
      </c>
      <c r="O17" s="6">
        <v>0.57792699999999997</v>
      </c>
      <c r="P17" s="6">
        <v>4.1234599999999997</v>
      </c>
      <c r="Q17" s="6">
        <f t="shared" si="3"/>
        <v>14.015583999844791</v>
      </c>
    </row>
    <row r="18" spans="1:17" x14ac:dyDescent="0.25">
      <c r="A18" s="1" t="s">
        <v>22</v>
      </c>
      <c r="B18" s="4">
        <f>SUM(B6:B17)</f>
        <v>2595</v>
      </c>
      <c r="C18" s="4">
        <f t="shared" ref="C18:G18" si="4">SUM(C6:C17)</f>
        <v>3029.4</v>
      </c>
      <c r="D18" s="4">
        <f t="shared" si="4"/>
        <v>1642.1389999999999</v>
      </c>
      <c r="E18" s="4">
        <f t="shared" si="4"/>
        <v>84876</v>
      </c>
      <c r="F18" s="4">
        <f t="shared" si="4"/>
        <v>54.899259999999998</v>
      </c>
      <c r="G18" s="4">
        <f t="shared" si="4"/>
        <v>80.928200000000004</v>
      </c>
      <c r="H18" s="7">
        <f t="shared" si="2"/>
        <v>67.8369962509978</v>
      </c>
      <c r="I18" s="5">
        <v>0</v>
      </c>
      <c r="J18" s="5">
        <v>0</v>
      </c>
      <c r="K18" s="5">
        <v>0</v>
      </c>
      <c r="L18" s="7">
        <f t="shared" ref="L18:P18" si="5">SUM(L6:L17)</f>
        <v>4.9341540000000004</v>
      </c>
      <c r="M18" s="7">
        <f t="shared" si="5"/>
        <v>0</v>
      </c>
      <c r="N18" s="7">
        <f t="shared" si="5"/>
        <v>0</v>
      </c>
      <c r="O18" s="7">
        <f t="shared" si="5"/>
        <v>4.9341540000000004</v>
      </c>
      <c r="P18" s="7">
        <f t="shared" si="5"/>
        <v>35.540754</v>
      </c>
      <c r="Q18" s="7">
        <f t="shared" si="3"/>
        <v>13.88308756758509</v>
      </c>
    </row>
    <row r="19" spans="1:17" x14ac:dyDescent="0.25">
      <c r="A19" s="13" t="s">
        <v>21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5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2020-05-06T11:03:48Z</cp:lastPrinted>
  <dcterms:created xsi:type="dcterms:W3CDTF">2018-10-29T04:00:07Z</dcterms:created>
  <dcterms:modified xsi:type="dcterms:W3CDTF">2021-09-15T01:19:46Z</dcterms:modified>
</cp:coreProperties>
</file>