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8. VISTARA\"/>
    </mc:Choice>
  </mc:AlternateContent>
  <bookViews>
    <workbookView xWindow="0" yWindow="0" windowWidth="24000" windowHeight="94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<sst xmlns="http://schemas.openxmlformats.org/spreadsheetml/2006/main" count="26" uniqueCount="24">
  <si>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(विस्तारा) </t>
  </si>
  <si>
    <t>Table 1.03 (VISTARA)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</si>
  <si>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</si>
  <si>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</si>
  <si>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</si>
  <si>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</si>
  <si>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</si>
  <si>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</si>
  <si>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</si>
  <si>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</si>
  <si>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</si>
  <si>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</si>
  <si>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</si>
  <si>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</si>
  <si>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</si>
  <si>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</si>
  <si>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</si>
  <si>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</si>
  <si>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</si>
  <si>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</si>
  <si>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</si>
  <si>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VISTARA</t>
  </si>
  <si>
    <t>2019-20</t>
  </si>
  <si>
    <t>MONTHLY TRAFFIC AND OPERATING STATISTICS OF VISTARA ON SCHEDULED (DOMESTIC + INTERNATIONAL)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</si>
</sst>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7" fontId="1" fillId="3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66" fontId="2" fillId="3" borderId="1" xfId="3" applyNumberFormat="1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93" zoomScaleNormal="93" workbookViewId="0">
      <selection activeCell="T5" sqref="T5"/>
    </sheetView>
  </sheetViews>
  <sheetFormatPr defaultRowHeight="18" customHeight="1" x14ac:dyDescent="0.25"/>
  <cols>
    <col min="1" max="1" width="8.85546875" customWidth="1"/>
    <col min="2" max="2" width="9.28515625" customWidth="1"/>
    <col min="3" max="3" width="9.42578125" customWidth="1"/>
    <col min="4" max="4" width="8.5703125" customWidth="1"/>
    <col min="5" max="5" width="11.42578125" customWidth="1"/>
    <col min="6" max="6" width="8.140625" customWidth="1"/>
    <col min="7" max="7" width="8.7109375" customWidth="1"/>
    <col min="8" max="8" width="8.140625" customWidth="1"/>
    <col min="9" max="9" width="8.7109375" customWidth="1"/>
    <col min="10" max="10" width="8.140625" customWidth="1"/>
    <col min="11" max="11" width="8.5703125" customWidth="1"/>
    <col min="12" max="17" width="8.140625" customWidth="1"/>
  </cols>
  <sheetData>
    <row r="1" spans="1:17" ht="18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0.75" customHeight="1" x14ac:dyDescent="0.25">
      <c r="A4" s="21" t="s">
        <v>2</v>
      </c>
      <c r="B4" s="21" t="s">
        <v>3</v>
      </c>
      <c r="C4" s="21"/>
      <c r="D4" s="21"/>
      <c r="E4" s="21" t="s">
        <v>4</v>
      </c>
      <c r="F4" s="22"/>
      <c r="G4" s="13" t="s">
        <v>5</v>
      </c>
      <c r="H4" s="13" t="s">
        <v>6</v>
      </c>
      <c r="I4" s="21" t="s">
        <v>7</v>
      </c>
      <c r="J4" s="21"/>
      <c r="K4" s="21"/>
      <c r="L4" s="21" t="s">
        <v>8</v>
      </c>
      <c r="M4" s="21"/>
      <c r="N4" s="21"/>
      <c r="O4" s="21"/>
      <c r="P4" s="13" t="s">
        <v>9</v>
      </c>
      <c r="Q4" s="13" t="s">
        <v>10</v>
      </c>
    </row>
    <row r="5" spans="1:17" ht="100.9" customHeight="1" x14ac:dyDescent="0.25">
      <c r="A5" s="21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4"/>
      <c r="H5" s="14"/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17</v>
      </c>
      <c r="O5" s="12" t="s">
        <v>18</v>
      </c>
      <c r="P5" s="14"/>
      <c r="Q5" s="14"/>
    </row>
    <row r="6" spans="1:17" ht="18" customHeight="1" x14ac:dyDescent="0.25">
      <c r="A6" s="1">
        <v>43556</v>
      </c>
      <c r="B6" s="2">
        <v>3755</v>
      </c>
      <c r="C6" s="8">
        <v>6250.15</v>
      </c>
      <c r="D6" s="8">
        <v>4176.91</v>
      </c>
      <c r="E6" s="8">
        <v>516629</v>
      </c>
      <c r="F6" s="2">
        <v>579.24080100000003</v>
      </c>
      <c r="G6" s="2">
        <v>685.01324</v>
      </c>
      <c r="H6" s="2">
        <f t="shared" ref="H6:H18" si="0">F6/G6*100</f>
        <v>84.559066478773474</v>
      </c>
      <c r="I6" s="2">
        <v>4047.3009999999999</v>
      </c>
      <c r="J6" s="2">
        <v>0</v>
      </c>
      <c r="K6" s="2">
        <v>4047.3009999999999</v>
      </c>
      <c r="L6" s="2">
        <v>52.131672000000002</v>
      </c>
      <c r="M6" s="2">
        <v>5.1937520000000008</v>
      </c>
      <c r="N6" s="2">
        <v>0</v>
      </c>
      <c r="O6" s="2">
        <v>57.325423999999998</v>
      </c>
      <c r="P6" s="2">
        <v>71.843000000000004</v>
      </c>
      <c r="Q6" s="2">
        <f t="shared" ref="Q6:Q18" si="1">O6/P6*100</f>
        <v>79.79263672174045</v>
      </c>
    </row>
    <row r="7" spans="1:17" ht="18" customHeight="1" x14ac:dyDescent="0.25">
      <c r="A7" s="3">
        <v>43586</v>
      </c>
      <c r="B7" s="4">
        <v>4143</v>
      </c>
      <c r="C7" s="9">
        <v>6710.45</v>
      </c>
      <c r="D7" s="9">
        <v>4473.7280000000001</v>
      </c>
      <c r="E7" s="9">
        <v>578615</v>
      </c>
      <c r="F7" s="4">
        <v>628.38375199999996</v>
      </c>
      <c r="G7" s="4">
        <v>733.69469600000002</v>
      </c>
      <c r="H7" s="4">
        <f t="shared" si="0"/>
        <v>85.646489667413377</v>
      </c>
      <c r="I7" s="4">
        <v>4324.9902000000002</v>
      </c>
      <c r="J7" s="4">
        <v>0</v>
      </c>
      <c r="K7" s="4">
        <v>4324.9902000000002</v>
      </c>
      <c r="L7" s="4">
        <v>56.554537679999996</v>
      </c>
      <c r="M7" s="4">
        <v>5.3863746526000007</v>
      </c>
      <c r="N7" s="4">
        <v>0</v>
      </c>
      <c r="O7" s="4">
        <v>61.9409123326</v>
      </c>
      <c r="P7" s="4">
        <v>75.160034600000003</v>
      </c>
      <c r="Q7" s="4">
        <f t="shared" si="1"/>
        <v>82.41203275417331</v>
      </c>
    </row>
    <row r="8" spans="1:17" ht="18" customHeight="1" x14ac:dyDescent="0.25">
      <c r="A8" s="1">
        <v>43617</v>
      </c>
      <c r="B8" s="2">
        <v>4820</v>
      </c>
      <c r="C8" s="8">
        <v>6680.77</v>
      </c>
      <c r="D8" s="8">
        <v>5023.9790000000003</v>
      </c>
      <c r="E8" s="8">
        <v>647799</v>
      </c>
      <c r="F8" s="2">
        <v>690.14462900000001</v>
      </c>
      <c r="G8" s="2">
        <v>828.58509100000003</v>
      </c>
      <c r="H8" s="2">
        <f t="shared" si="0"/>
        <v>83.291943880752257</v>
      </c>
      <c r="I8" s="2">
        <v>4326.7649000000001</v>
      </c>
      <c r="J8" s="2">
        <v>0</v>
      </c>
      <c r="K8" s="2">
        <v>4326.7649000000001</v>
      </c>
      <c r="L8" s="2">
        <v>62.113016609999988</v>
      </c>
      <c r="M8" s="2">
        <v>5.2658542177999976</v>
      </c>
      <c r="N8" s="2">
        <v>0</v>
      </c>
      <c r="O8" s="2">
        <v>67.378870827799986</v>
      </c>
      <c r="P8" s="2">
        <v>85.933170000000032</v>
      </c>
      <c r="Q8" s="2">
        <f t="shared" si="1"/>
        <v>78.40845488162482</v>
      </c>
    </row>
    <row r="9" spans="1:17" ht="18" customHeight="1" x14ac:dyDescent="0.25">
      <c r="A9" s="3">
        <v>43647</v>
      </c>
      <c r="B9" s="4">
        <v>5293</v>
      </c>
      <c r="C9" s="9">
        <v>6941.4666666666662</v>
      </c>
      <c r="D9" s="9">
        <v>5468.0439999999999</v>
      </c>
      <c r="E9" s="9">
        <v>714504</v>
      </c>
      <c r="F9" s="4">
        <v>745.81033400000001</v>
      </c>
      <c r="G9" s="4">
        <v>904.82702000000006</v>
      </c>
      <c r="H9" s="4">
        <f t="shared" si="0"/>
        <v>82.42573635787312</v>
      </c>
      <c r="I9" s="4">
        <v>3724.1743000000001</v>
      </c>
      <c r="J9" s="4">
        <v>0</v>
      </c>
      <c r="K9" s="4">
        <v>3724.1743000000001</v>
      </c>
      <c r="L9" s="4">
        <v>67.122930059999987</v>
      </c>
      <c r="M9" s="4">
        <v>4.4862180983000002</v>
      </c>
      <c r="N9" s="4">
        <v>0</v>
      </c>
      <c r="O9" s="4">
        <v>71.609148158299988</v>
      </c>
      <c r="P9" s="4">
        <v>94.377282300000047</v>
      </c>
      <c r="Q9" s="4">
        <f t="shared" si="1"/>
        <v>75.875408163029874</v>
      </c>
    </row>
    <row r="10" spans="1:17" ht="18" customHeight="1" x14ac:dyDescent="0.25">
      <c r="A10" s="1">
        <v>43678</v>
      </c>
      <c r="B10" s="2">
        <v>5267</v>
      </c>
      <c r="C10" s="8">
        <v>8557.4</v>
      </c>
      <c r="D10" s="8">
        <v>5870.7929999999997</v>
      </c>
      <c r="E10" s="8">
        <v>700927</v>
      </c>
      <c r="F10" s="2">
        <v>790.77687900000001</v>
      </c>
      <c r="G10" s="2">
        <v>971.899992</v>
      </c>
      <c r="H10" s="2">
        <f t="shared" si="0"/>
        <v>81.364017441004364</v>
      </c>
      <c r="I10" s="2">
        <v>2200.73263</v>
      </c>
      <c r="J10" s="2">
        <v>0</v>
      </c>
      <c r="K10" s="2">
        <v>2200.73263</v>
      </c>
      <c r="L10" s="2">
        <v>72.076128645000011</v>
      </c>
      <c r="M10" s="2">
        <v>2.7302701760499986</v>
      </c>
      <c r="N10" s="2">
        <v>0</v>
      </c>
      <c r="O10" s="2">
        <v>74.806398821050024</v>
      </c>
      <c r="P10" s="2">
        <v>101.66639010000009</v>
      </c>
      <c r="Q10" s="2">
        <f t="shared" si="1"/>
        <v>73.58026457659183</v>
      </c>
    </row>
    <row r="11" spans="1:17" ht="18" customHeight="1" x14ac:dyDescent="0.25">
      <c r="A11" s="3">
        <v>43709</v>
      </c>
      <c r="B11" s="4">
        <v>5295</v>
      </c>
      <c r="C11" s="9">
        <v>7118.93</v>
      </c>
      <c r="D11" s="9">
        <v>6122.9840000000004</v>
      </c>
      <c r="E11" s="9">
        <v>692063</v>
      </c>
      <c r="F11" s="4">
        <v>799.92510700000003</v>
      </c>
      <c r="G11" s="4">
        <v>1014.6847680000001</v>
      </c>
      <c r="H11" s="4">
        <f t="shared" si="0"/>
        <v>78.834839373483135</v>
      </c>
      <c r="I11" s="4">
        <v>497.98156</v>
      </c>
      <c r="J11" s="4">
        <v>0</v>
      </c>
      <c r="K11" s="4">
        <v>497.98156</v>
      </c>
      <c r="L11" s="4">
        <v>73.324485285000009</v>
      </c>
      <c r="M11" s="4">
        <v>0.62934335769999983</v>
      </c>
      <c r="N11" s="4">
        <v>0</v>
      </c>
      <c r="O11" s="4">
        <v>73.953828642700017</v>
      </c>
      <c r="P11" s="4">
        <v>106.45000480000009</v>
      </c>
      <c r="Q11" s="4">
        <f t="shared" si="1"/>
        <v>69.472827907941962</v>
      </c>
    </row>
    <row r="12" spans="1:17" ht="18" customHeight="1" x14ac:dyDescent="0.25">
      <c r="A12" s="1">
        <v>43739</v>
      </c>
      <c r="B12" s="2">
        <v>5430</v>
      </c>
      <c r="C12" s="8">
        <v>9670.98</v>
      </c>
      <c r="D12" s="8">
        <v>6374.14</v>
      </c>
      <c r="E12" s="8">
        <v>696076</v>
      </c>
      <c r="F12" s="2">
        <v>807.14789300000007</v>
      </c>
      <c r="G12" s="2">
        <v>1056.0115879999998</v>
      </c>
      <c r="H12" s="2">
        <f t="shared" si="0"/>
        <v>76.433620821213964</v>
      </c>
      <c r="I12" s="2">
        <v>262.38607000000002</v>
      </c>
      <c r="J12" s="2">
        <v>0</v>
      </c>
      <c r="K12" s="2">
        <v>262.38607000000002</v>
      </c>
      <c r="L12" s="2">
        <v>73.970641994999966</v>
      </c>
      <c r="M12" s="2">
        <v>0.34392968460999984</v>
      </c>
      <c r="N12" s="2">
        <v>0</v>
      </c>
      <c r="O12" s="2">
        <v>74.314571679609955</v>
      </c>
      <c r="P12" s="2">
        <v>109.40884090000004</v>
      </c>
      <c r="Q12" s="2">
        <f t="shared" si="1"/>
        <v>67.923735475393315</v>
      </c>
    </row>
    <row r="13" spans="1:17" ht="18" customHeight="1" x14ac:dyDescent="0.25">
      <c r="A13" s="3">
        <v>43770</v>
      </c>
      <c r="B13" s="4">
        <v>5746</v>
      </c>
      <c r="C13" s="9">
        <v>10084.870000000001</v>
      </c>
      <c r="D13" s="9">
        <v>6614.9530000000004</v>
      </c>
      <c r="E13" s="9">
        <v>793448</v>
      </c>
      <c r="F13" s="4">
        <v>916.33310399999993</v>
      </c>
      <c r="G13" s="4">
        <v>1093.6114320000001</v>
      </c>
      <c r="H13" s="4">
        <f t="shared" si="0"/>
        <v>83.789642023420228</v>
      </c>
      <c r="I13" s="4">
        <v>13.145</v>
      </c>
      <c r="J13" s="4">
        <v>0</v>
      </c>
      <c r="K13" s="4">
        <v>13.145</v>
      </c>
      <c r="L13" s="4">
        <v>84.077442075000022</v>
      </c>
      <c r="M13" s="4">
        <v>1.424943E-2</v>
      </c>
      <c r="N13" s="4">
        <v>0</v>
      </c>
      <c r="O13" s="4">
        <v>84.091691505000014</v>
      </c>
      <c r="P13" s="4">
        <v>107.96610820000009</v>
      </c>
      <c r="Q13" s="4">
        <f t="shared" si="1"/>
        <v>77.887119307130817</v>
      </c>
    </row>
    <row r="14" spans="1:17" ht="18" customHeight="1" x14ac:dyDescent="0.25">
      <c r="A14" s="1">
        <v>43800</v>
      </c>
      <c r="B14" s="2">
        <v>6216</v>
      </c>
      <c r="C14" s="8">
        <v>11026.18</v>
      </c>
      <c r="D14" s="8">
        <v>7184.0860000000002</v>
      </c>
      <c r="E14" s="8">
        <v>828120</v>
      </c>
      <c r="F14" s="2">
        <v>952.56607600000007</v>
      </c>
      <c r="G14" s="2">
        <v>1184.4359999999999</v>
      </c>
      <c r="H14" s="2">
        <f t="shared" si="0"/>
        <v>80.423600430922406</v>
      </c>
      <c r="I14" s="2">
        <v>31.844000000000001</v>
      </c>
      <c r="J14" s="2">
        <v>0</v>
      </c>
      <c r="K14" s="2">
        <v>31.844000000000001</v>
      </c>
      <c r="L14" s="2">
        <v>87.374442704999993</v>
      </c>
      <c r="M14" s="2">
        <v>3.9901926000000011E-2</v>
      </c>
      <c r="N14" s="2">
        <v>0</v>
      </c>
      <c r="O14" s="2">
        <v>87.414344630999992</v>
      </c>
      <c r="P14" s="2">
        <v>119.7627621000001</v>
      </c>
      <c r="Q14" s="2">
        <f t="shared" si="1"/>
        <v>72.989586327351347</v>
      </c>
    </row>
    <row r="15" spans="1:17" ht="18" customHeight="1" x14ac:dyDescent="0.25">
      <c r="A15" s="3">
        <v>43831</v>
      </c>
      <c r="B15" s="4">
        <v>6352</v>
      </c>
      <c r="C15" s="9">
        <v>11284.82</v>
      </c>
      <c r="D15" s="9">
        <v>7318.357</v>
      </c>
      <c r="E15" s="9">
        <v>866427</v>
      </c>
      <c r="F15" s="4">
        <v>991.64354000000003</v>
      </c>
      <c r="G15" s="4">
        <v>1204.781804</v>
      </c>
      <c r="H15" s="4">
        <f t="shared" si="0"/>
        <v>82.308973849674786</v>
      </c>
      <c r="I15" s="4">
        <v>1455.5989999999999</v>
      </c>
      <c r="J15" s="4"/>
      <c r="K15" s="4">
        <v>1455.5989999999999</v>
      </c>
      <c r="L15" s="4">
        <v>90.841196264999994</v>
      </c>
      <c r="M15" s="4">
        <v>2.0172321269999993</v>
      </c>
      <c r="N15" s="4">
        <v>0</v>
      </c>
      <c r="O15" s="4">
        <v>92.858428391999993</v>
      </c>
      <c r="P15" s="4">
        <v>114.08340990000008</v>
      </c>
      <c r="Q15" s="4">
        <f t="shared" si="1"/>
        <v>81.395207658497526</v>
      </c>
    </row>
    <row r="16" spans="1:17" ht="18" customHeight="1" x14ac:dyDescent="0.25">
      <c r="A16" s="1">
        <v>43862</v>
      </c>
      <c r="B16" s="2">
        <v>6084</v>
      </c>
      <c r="C16" s="8">
        <v>10969.68</v>
      </c>
      <c r="D16" s="8">
        <v>6943.1089999999995</v>
      </c>
      <c r="E16" s="8">
        <v>866603</v>
      </c>
      <c r="F16" s="2">
        <v>965.46538699999996</v>
      </c>
      <c r="G16" s="2">
        <v>1143.239212</v>
      </c>
      <c r="H16" s="2">
        <f t="shared" si="0"/>
        <v>84.449988844504404</v>
      </c>
      <c r="I16" s="2">
        <v>1888.45</v>
      </c>
      <c r="J16" s="2"/>
      <c r="K16" s="2">
        <v>1888.45</v>
      </c>
      <c r="L16" s="2">
        <v>88.139276939999959</v>
      </c>
      <c r="M16" s="2">
        <v>2.412982344</v>
      </c>
      <c r="N16" s="2">
        <v>0</v>
      </c>
      <c r="O16" s="2">
        <v>90.552259283999959</v>
      </c>
      <c r="P16" s="2">
        <v>109.04735720000011</v>
      </c>
      <c r="Q16" s="2">
        <f t="shared" si="1"/>
        <v>83.03938913248588</v>
      </c>
    </row>
    <row r="17" spans="1:17" ht="18" customHeight="1" x14ac:dyDescent="0.25">
      <c r="A17" s="3">
        <v>43891</v>
      </c>
      <c r="B17" s="4">
        <v>4370</v>
      </c>
      <c r="C17" s="9">
        <v>7552.6500000000005</v>
      </c>
      <c r="D17" s="9">
        <v>4907.9679999999998</v>
      </c>
      <c r="E17" s="9">
        <v>471681</v>
      </c>
      <c r="F17" s="4">
        <v>520.52901399999996</v>
      </c>
      <c r="G17" s="4">
        <v>809.16135600000007</v>
      </c>
      <c r="H17" s="4">
        <f t="shared" si="0"/>
        <v>64.329445559928587</v>
      </c>
      <c r="I17" s="4">
        <v>1360.4880000000001</v>
      </c>
      <c r="J17" s="4"/>
      <c r="K17" s="4">
        <v>1360.4880000000001</v>
      </c>
      <c r="L17" s="4">
        <v>47.332860359999991</v>
      </c>
      <c r="M17" s="4">
        <v>1.8233056950000006</v>
      </c>
      <c r="N17" s="4">
        <v>0</v>
      </c>
      <c r="O17" s="4">
        <v>49.156166055</v>
      </c>
      <c r="P17" s="4">
        <v>84.490228500000057</v>
      </c>
      <c r="Q17" s="4">
        <f t="shared" si="1"/>
        <v>58.179705425935694</v>
      </c>
    </row>
    <row r="18" spans="1:17" ht="18" customHeight="1" x14ac:dyDescent="0.25">
      <c r="A18" s="5" t="s">
        <v>22</v>
      </c>
      <c r="B18" s="6">
        <f>SUM(B6:B17)</f>
        <v>62771</v>
      </c>
      <c r="C18" s="6">
        <f t="shared" ref="C18:G18" si="2">SUM(C6:C17)</f>
        <v>102848.34666666665</v>
      </c>
      <c r="D18" s="6">
        <f t="shared" si="2"/>
        <v>70479.050999999992</v>
      </c>
      <c r="E18" s="6">
        <f t="shared" si="2"/>
        <v>8372892</v>
      </c>
      <c r="F18" s="6">
        <f t="shared" si="2"/>
        <v>9387.9665160000004</v>
      </c>
      <c r="G18" s="6">
        <f t="shared" si="2"/>
        <v>11629.946199</v>
      </c>
      <c r="H18" s="2">
        <f t="shared" si="0"/>
        <v>80.722355506745373</v>
      </c>
      <c r="I18" s="10">
        <f t="shared" ref="I18:P18" si="3">SUM(I6:I17)</f>
        <v>24133.856660000001</v>
      </c>
      <c r="J18" s="10">
        <f t="shared" si="3"/>
        <v>0</v>
      </c>
      <c r="K18" s="10">
        <f t="shared" si="3"/>
        <v>24133.856660000001</v>
      </c>
      <c r="L18" s="7">
        <f t="shared" si="3"/>
        <v>855.05863061999992</v>
      </c>
      <c r="M18" s="7">
        <f t="shared" si="3"/>
        <v>30.343413709059998</v>
      </c>
      <c r="N18" s="7">
        <f t="shared" si="3"/>
        <v>0</v>
      </c>
      <c r="O18" s="7">
        <f t="shared" si="3"/>
        <v>885.40204432905989</v>
      </c>
      <c r="P18" s="6">
        <f t="shared" si="3"/>
        <v>1180.1885886000009</v>
      </c>
      <c r="Q18" s="11">
        <f t="shared" si="1"/>
        <v>75.022081460673022</v>
      </c>
    </row>
    <row r="19" spans="1:17" ht="18" customHeight="1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2020-06-15T06:18:00Z</cp:lastPrinted>
  <dcterms:created xsi:type="dcterms:W3CDTF">2020-06-03T10:43:05Z</dcterms:created>
  <dcterms:modified xsi:type="dcterms:W3CDTF">2021-09-15T01:38:33Z</dcterms:modified>
</cp:coreProperties>
</file>