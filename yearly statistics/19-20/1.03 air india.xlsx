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03. AIR INDIA\"/>
    </mc:Choice>
  </mc:AlternateContent>
  <bookViews>
    <workbookView xWindow="0" yWindow="0" windowWidth="24000" windowHeight="9435"/>
  </bookViews>
  <sheets>
    <sheet name="AIR INDIA" sheetId="1" r:id="rId1"/>
  </sheets>
  <definedNames>
    <definedName name="_xlnm.Print_Area" localSheetId="0">'AIR INDIA'!$A$1:$Q$19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8" i="1" l="1"/>
  <c r="O18" i="1"/>
  <c r="N18" i="1"/>
  <c r="M18" i="1"/>
  <c r="L18" i="1"/>
  <c r="K18" i="1"/>
  <c r="J18" i="1"/>
  <c r="I18" i="1"/>
  <c r="G18" i="1"/>
  <c r="F18" i="1"/>
  <c r="E18" i="1"/>
  <c r="D18" i="1"/>
  <c r="C18" i="1"/>
  <c r="B18" i="1"/>
  <c r="Q18" i="1" l="1"/>
  <c r="H18" i="1"/>
  <c r="Q17" i="1"/>
  <c r="H17" i="1"/>
  <c r="Q16" i="1"/>
  <c r="H16" i="1"/>
  <c r="Q15" i="1"/>
  <c r="H15" i="1"/>
  <c r="Q14" i="1"/>
  <c r="H14" i="1"/>
  <c r="Q13" i="1"/>
  <c r="H13" i="1"/>
  <c r="Q12" i="1"/>
  <c r="H12" i="1"/>
  <c r="Q11" i="1"/>
  <c r="H11" i="1"/>
  <c r="Q10" i="1"/>
  <c r="H10" i="1"/>
  <c r="Q9" i="1"/>
  <c r="H9" i="1"/>
  <c r="Q8" i="1"/>
  <c r="H8" i="1"/>
  <c r="Q7" i="1"/>
  <c r="H7" i="1"/>
  <c r="Q6" i="1"/>
  <c r="H6" i="1"/>
</calcChain>
</file>

<file path=xl/sharedStrings.xml><?xml version="1.0" encoding="utf-8"?>
<sst xmlns="http://schemas.openxmlformats.org/spreadsheetml/2006/main" count="26" uniqueCount="24">
  <si>
    <t xml:space="preserve">तालिका 1.03 (एयर इंडिया) </t>
  </si>
  <si>
    <t>Table 1.03 (AIR INDIA)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</si>
  <si>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</si>
  <si>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</si>
  <si>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</si>
  <si>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</si>
  <si>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</si>
  <si>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</si>
  <si>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</si>
  <si>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</si>
  <si>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</si>
  <si>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</si>
  <si>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</si>
  <si>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</si>
  <si>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</si>
  <si>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</si>
  <si>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</si>
  <si>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</si>
  <si>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</si>
  <si>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</si>
  <si>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</si>
  <si>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AIR INDIA</t>
  </si>
  <si>
    <t>2019-20</t>
  </si>
  <si>
    <t>MONTHLY TRAFFIC AND OPERATING STATISTICS OF AIR INDIA ON SCHEDULED (DOMESTIC + INTERNATIONAL) SERVICES DURING 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</si>
</sst>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7" formatCode="_(* #,##0.0_);_(* \(#,##0.0\);_(* &quot;-&quot;??_);_(@_)"/>
    <numFmt numFmtId="168" formatCode="#,##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2">
    <xf numFmtId="0" fontId="0" fillId="0" borderId="0" xfId="0"/>
    <xf numFmtId="0" fontId="0" fillId="0" borderId="0" xfId="0" applyFont="1"/>
    <xf numFmtId="17" fontId="1" fillId="3" borderId="1" xfId="3" applyNumberFormat="1" applyBorder="1" applyAlignment="1" applyProtection="1">
      <alignment horizontal="center" vertical="center" wrapText="1"/>
    </xf>
    <xf numFmtId="165" fontId="1" fillId="3" borderId="1" xfId="3" applyNumberFormat="1" applyBorder="1" applyAlignment="1">
      <alignment horizontal="right" vertical="center"/>
    </xf>
    <xf numFmtId="167" fontId="1" fillId="3" borderId="1" xfId="3" applyNumberFormat="1" applyBorder="1" applyAlignment="1">
      <alignment horizontal="right" vertical="center"/>
    </xf>
    <xf numFmtId="17" fontId="4" fillId="4" borderId="1" xfId="0" applyNumberFormat="1" applyFont="1" applyFill="1" applyBorder="1" applyAlignment="1" applyProtection="1">
      <alignment horizontal="center" vertical="center" wrapText="1"/>
    </xf>
    <xf numFmtId="165" fontId="0" fillId="0" borderId="1" xfId="1" applyNumberFormat="1" applyFont="1" applyBorder="1" applyAlignment="1">
      <alignment horizontal="right" vertical="center"/>
    </xf>
    <xf numFmtId="167" fontId="0" fillId="0" borderId="1" xfId="1" applyNumberFormat="1" applyFont="1" applyBorder="1" applyAlignment="1">
      <alignment horizontal="right" vertical="center"/>
    </xf>
    <xf numFmtId="0" fontId="2" fillId="3" borderId="1" xfId="3" applyFont="1" applyBorder="1" applyAlignment="1" applyProtection="1">
      <alignment horizontal="center" vertical="center" wrapText="1"/>
    </xf>
    <xf numFmtId="3" fontId="2" fillId="3" borderId="1" xfId="3" applyNumberFormat="1" applyFont="1" applyBorder="1" applyAlignment="1" applyProtection="1">
      <alignment horizontal="right" vertical="center" wrapText="1"/>
    </xf>
    <xf numFmtId="168" fontId="2" fillId="3" borderId="1" xfId="3" applyNumberFormat="1" applyFont="1" applyBorder="1" applyAlignment="1" applyProtection="1">
      <alignment horizontal="right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5" fillId="4" borderId="2" xfId="0" applyFont="1" applyFill="1" applyBorder="1" applyAlignment="1" applyProtection="1">
      <alignment horizontal="left" vertical="center" wrapText="1"/>
    </xf>
    <xf numFmtId="0" fontId="5" fillId="4" borderId="3" xfId="0" applyFont="1" applyFill="1" applyBorder="1" applyAlignment="1" applyProtection="1">
      <alignment horizontal="left" vertical="center" wrapText="1"/>
    </xf>
    <xf numFmtId="0" fontId="5" fillId="4" borderId="4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Q19"/>
  <sheetViews>
    <sheetView tabSelected="1" topLeftCell="A4" zoomScale="98" zoomScaleNormal="98" zoomScaleSheetLayoutView="100" workbookViewId="0">
      <selection activeCell="T5" sqref="T5"/>
    </sheetView>
  </sheetViews>
  <sheetFormatPr defaultColWidth="9.140625" defaultRowHeight="15" x14ac:dyDescent="0.25"/>
  <cols>
    <col min="1" max="1" width="8.140625" style="1" customWidth="1"/>
    <col min="2" max="2" width="9.5703125" style="1" customWidth="1"/>
    <col min="3" max="3" width="9.28515625" style="1" customWidth="1"/>
    <col min="4" max="4" width="9.85546875" style="1" customWidth="1"/>
    <col min="5" max="5" width="11.5703125" style="1" customWidth="1"/>
    <col min="6" max="7" width="8.28515625" style="1" customWidth="1"/>
    <col min="8" max="8" width="7.28515625" style="1" customWidth="1"/>
    <col min="9" max="9" width="9.85546875" style="1" customWidth="1"/>
    <col min="10" max="10" width="9" style="1" customWidth="1"/>
    <col min="11" max="11" width="9.7109375" style="1" customWidth="1"/>
    <col min="12" max="12" width="8.7109375" style="1" customWidth="1"/>
    <col min="13" max="13" width="7.28515625" style="1" customWidth="1"/>
    <col min="14" max="14" width="7.140625" style="1" customWidth="1"/>
    <col min="15" max="15" width="8.5703125" style="1" customWidth="1"/>
    <col min="16" max="16" width="8.7109375" style="1" customWidth="1"/>
    <col min="17" max="17" width="7" style="1" customWidth="1"/>
    <col min="18" max="16384" width="9.140625" style="1"/>
  </cols>
  <sheetData>
    <row r="1" spans="1:17" ht="18.75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18.75" customHeight="1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ht="18.75" customHeight="1" x14ac:dyDescent="0.25">
      <c r="A3" s="20" t="s">
        <v>23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ht="21" customHeight="1" x14ac:dyDescent="0.25">
      <c r="A4" s="20" t="s">
        <v>2</v>
      </c>
      <c r="B4" s="20" t="s">
        <v>3</v>
      </c>
      <c r="C4" s="20"/>
      <c r="D4" s="20"/>
      <c r="E4" s="20" t="s">
        <v>4</v>
      </c>
      <c r="F4" s="21"/>
      <c r="G4" s="12" t="s">
        <v>5</v>
      </c>
      <c r="H4" s="12" t="s">
        <v>6</v>
      </c>
      <c r="I4" s="20" t="s">
        <v>7</v>
      </c>
      <c r="J4" s="20"/>
      <c r="K4" s="20"/>
      <c r="L4" s="20" t="s">
        <v>8</v>
      </c>
      <c r="M4" s="20"/>
      <c r="N4" s="20"/>
      <c r="O4" s="20"/>
      <c r="P4" s="12" t="s">
        <v>9</v>
      </c>
      <c r="Q4" s="12" t="s">
        <v>10</v>
      </c>
    </row>
    <row r="5" spans="1:17" ht="139.5" customHeight="1" x14ac:dyDescent="0.25">
      <c r="A5" s="20"/>
      <c r="B5" s="11" t="s">
        <v>11</v>
      </c>
      <c r="C5" s="11" t="s">
        <v>12</v>
      </c>
      <c r="D5" s="11" t="s">
        <v>13</v>
      </c>
      <c r="E5" s="11" t="s">
        <v>14</v>
      </c>
      <c r="F5" s="11" t="s">
        <v>15</v>
      </c>
      <c r="G5" s="13"/>
      <c r="H5" s="13"/>
      <c r="I5" s="11" t="s">
        <v>16</v>
      </c>
      <c r="J5" s="11" t="s">
        <v>17</v>
      </c>
      <c r="K5" s="11" t="s">
        <v>18</v>
      </c>
      <c r="L5" s="11" t="s">
        <v>19</v>
      </c>
      <c r="M5" s="11" t="s">
        <v>20</v>
      </c>
      <c r="N5" s="11" t="s">
        <v>17</v>
      </c>
      <c r="O5" s="11" t="s">
        <v>18</v>
      </c>
      <c r="P5" s="13"/>
      <c r="Q5" s="13"/>
    </row>
    <row r="6" spans="1:17" ht="21" customHeight="1" x14ac:dyDescent="0.25">
      <c r="A6" s="2">
        <v>43556</v>
      </c>
      <c r="B6" s="3">
        <v>13754</v>
      </c>
      <c r="C6" s="3">
        <v>39408</v>
      </c>
      <c r="D6" s="3">
        <v>33031</v>
      </c>
      <c r="E6" s="3">
        <v>1942078</v>
      </c>
      <c r="F6" s="3">
        <v>4161.8080399999999</v>
      </c>
      <c r="G6" s="3">
        <v>5171.9795899999999</v>
      </c>
      <c r="H6" s="4">
        <f>F6/G6*100</f>
        <v>80.468377099686123</v>
      </c>
      <c r="I6" s="4">
        <v>18197.165099999998</v>
      </c>
      <c r="J6" s="4">
        <v>1165.4890000000003</v>
      </c>
      <c r="K6" s="4">
        <v>19362.658100000001</v>
      </c>
      <c r="L6" s="4">
        <v>407.43486000000001</v>
      </c>
      <c r="M6" s="4">
        <v>76.894770000000008</v>
      </c>
      <c r="N6" s="4">
        <v>2.6314299999999999</v>
      </c>
      <c r="O6" s="4">
        <v>486.96106000000009</v>
      </c>
      <c r="P6" s="4">
        <v>686.89110000000005</v>
      </c>
      <c r="Q6" s="4">
        <f>O6/P6*100</f>
        <v>70.893488065284302</v>
      </c>
    </row>
    <row r="7" spans="1:17" ht="21" customHeight="1" x14ac:dyDescent="0.25">
      <c r="A7" s="5">
        <v>43586</v>
      </c>
      <c r="B7" s="6">
        <v>14201</v>
      </c>
      <c r="C7" s="6">
        <v>40859.966666666682</v>
      </c>
      <c r="D7" s="6">
        <v>34775.463000000003</v>
      </c>
      <c r="E7" s="6">
        <v>2028153</v>
      </c>
      <c r="F7" s="6">
        <v>4420.786736</v>
      </c>
      <c r="G7" s="6">
        <v>5365.0997559999996</v>
      </c>
      <c r="H7" s="7">
        <f t="shared" ref="H7:H18" si="0">F7/G7*100</f>
        <v>82.398966227162177</v>
      </c>
      <c r="I7" s="7">
        <v>19735.416099999995</v>
      </c>
      <c r="J7" s="7">
        <v>1348.73</v>
      </c>
      <c r="K7" s="7">
        <v>21084.146099999998</v>
      </c>
      <c r="L7" s="7">
        <v>436.94982247700005</v>
      </c>
      <c r="M7" s="7">
        <v>79.541465094000003</v>
      </c>
      <c r="N7" s="7">
        <v>3.2709239999999999</v>
      </c>
      <c r="O7" s="7">
        <v>519.76221157099997</v>
      </c>
      <c r="P7" s="7">
        <v>713.28613830400013</v>
      </c>
      <c r="Q7" s="7">
        <f t="shared" ref="Q7:Q18" si="1">O7/P7*100</f>
        <v>72.868682518750845</v>
      </c>
    </row>
    <row r="8" spans="1:17" ht="21" customHeight="1" x14ac:dyDescent="0.25">
      <c r="A8" s="2">
        <v>43617</v>
      </c>
      <c r="B8" s="3">
        <v>13791</v>
      </c>
      <c r="C8" s="3">
        <v>39981.749999999993</v>
      </c>
      <c r="D8" s="3">
        <v>32931.684000000001</v>
      </c>
      <c r="E8" s="3">
        <v>1983034</v>
      </c>
      <c r="F8" s="3">
        <v>4509.6715880000002</v>
      </c>
      <c r="G8" s="3">
        <v>5265.2972260000006</v>
      </c>
      <c r="H8" s="4">
        <f t="shared" si="0"/>
        <v>85.648946193032998</v>
      </c>
      <c r="I8" s="4">
        <v>16649.807000000008</v>
      </c>
      <c r="J8" s="4">
        <v>1202.798</v>
      </c>
      <c r="K8" s="4">
        <v>17852.605000000007</v>
      </c>
      <c r="L8" s="4">
        <v>446.74242011799981</v>
      </c>
      <c r="M8" s="4">
        <v>65.178358525499988</v>
      </c>
      <c r="N8" s="4">
        <v>3.26</v>
      </c>
      <c r="O8" s="4">
        <v>515.18077864349982</v>
      </c>
      <c r="P8" s="4">
        <v>699.34073399999988</v>
      </c>
      <c r="Q8" s="4">
        <f t="shared" si="1"/>
        <v>73.666633959219638</v>
      </c>
    </row>
    <row r="9" spans="1:17" ht="21" customHeight="1" x14ac:dyDescent="0.25">
      <c r="A9" s="5">
        <v>43647</v>
      </c>
      <c r="B9" s="6">
        <v>13741</v>
      </c>
      <c r="C9" s="6">
        <v>39957.633333333339</v>
      </c>
      <c r="D9" s="6">
        <v>33287.752</v>
      </c>
      <c r="E9" s="6">
        <v>1888897</v>
      </c>
      <c r="F9" s="6">
        <v>4329.7815060000003</v>
      </c>
      <c r="G9" s="6">
        <v>5274.343895</v>
      </c>
      <c r="H9" s="7">
        <f t="shared" si="0"/>
        <v>82.091376523714516</v>
      </c>
      <c r="I9" s="7">
        <v>17357.660700000004</v>
      </c>
      <c r="J9" s="7">
        <v>1327.9290000000001</v>
      </c>
      <c r="K9" s="7">
        <v>18685.589700000004</v>
      </c>
      <c r="L9" s="7">
        <v>430.76404725599934</v>
      </c>
      <c r="M9" s="7">
        <v>68.262489767499972</v>
      </c>
      <c r="N9" s="7">
        <v>3.8983810000000014</v>
      </c>
      <c r="O9" s="7">
        <v>502.92491802349934</v>
      </c>
      <c r="P9" s="7">
        <v>703.23601926000038</v>
      </c>
      <c r="Q9" s="7">
        <f t="shared" si="1"/>
        <v>71.515807531121069</v>
      </c>
    </row>
    <row r="10" spans="1:17" ht="21" customHeight="1" x14ac:dyDescent="0.25">
      <c r="A10" s="2">
        <v>43678</v>
      </c>
      <c r="B10" s="3">
        <v>13948</v>
      </c>
      <c r="C10" s="3">
        <v>40298</v>
      </c>
      <c r="D10" s="3">
        <v>33375.857000000004</v>
      </c>
      <c r="E10" s="3">
        <v>1951729</v>
      </c>
      <c r="F10" s="3">
        <v>4411.3246980000004</v>
      </c>
      <c r="G10" s="3">
        <v>5371.6962189999995</v>
      </c>
      <c r="H10" s="4">
        <f t="shared" si="0"/>
        <v>82.121633803432331</v>
      </c>
      <c r="I10" s="4">
        <v>15717.9923</v>
      </c>
      <c r="J10" s="4">
        <v>1280.817</v>
      </c>
      <c r="K10" s="4">
        <v>16998.809300000001</v>
      </c>
      <c r="L10" s="4">
        <v>436.36014748600019</v>
      </c>
      <c r="M10" s="4">
        <v>59.533428330799978</v>
      </c>
      <c r="N10" s="4">
        <v>3.6862360000000001</v>
      </c>
      <c r="O10" s="4">
        <v>499.57981181680015</v>
      </c>
      <c r="P10" s="4">
        <v>715.77759465200052</v>
      </c>
      <c r="Q10" s="4">
        <f t="shared" si="1"/>
        <v>69.795396719519815</v>
      </c>
    </row>
    <row r="11" spans="1:17" ht="21" customHeight="1" x14ac:dyDescent="0.25">
      <c r="A11" s="5">
        <v>43709</v>
      </c>
      <c r="B11" s="6">
        <v>13879</v>
      </c>
      <c r="C11" s="6">
        <v>39800.88333333331</v>
      </c>
      <c r="D11" s="6">
        <v>32484.525999999998</v>
      </c>
      <c r="E11" s="6">
        <v>1858026</v>
      </c>
      <c r="F11" s="6">
        <v>4003.4479140000003</v>
      </c>
      <c r="G11" s="6">
        <v>5298.4276129999998</v>
      </c>
      <c r="H11" s="7">
        <f t="shared" si="0"/>
        <v>75.559169746460412</v>
      </c>
      <c r="I11" s="7">
        <v>15723.585499999997</v>
      </c>
      <c r="J11" s="7">
        <v>1341.306</v>
      </c>
      <c r="K11" s="7">
        <v>17064.891499999998</v>
      </c>
      <c r="L11" s="7">
        <v>392.63194206600008</v>
      </c>
      <c r="M11" s="7">
        <v>60.261215401500039</v>
      </c>
      <c r="N11" s="7">
        <v>4.2495499999999993</v>
      </c>
      <c r="O11" s="7">
        <v>457.14270746750014</v>
      </c>
      <c r="P11" s="7">
        <v>707.23159966799994</v>
      </c>
      <c r="Q11" s="7">
        <f t="shared" si="1"/>
        <v>64.638331726424482</v>
      </c>
    </row>
    <row r="12" spans="1:17" ht="21" customHeight="1" x14ac:dyDescent="0.25">
      <c r="A12" s="2">
        <v>43739</v>
      </c>
      <c r="B12" s="3">
        <v>14995</v>
      </c>
      <c r="C12" s="3">
        <v>42970.633333333331</v>
      </c>
      <c r="D12" s="3">
        <v>34164.870999999999</v>
      </c>
      <c r="E12" s="3">
        <v>1939819</v>
      </c>
      <c r="F12" s="3">
        <v>4219.0970149999994</v>
      </c>
      <c r="G12" s="3">
        <v>5720.5874989999993</v>
      </c>
      <c r="H12" s="4">
        <f t="shared" si="0"/>
        <v>73.752862197065056</v>
      </c>
      <c r="I12" s="4">
        <v>17271.686100000003</v>
      </c>
      <c r="J12" s="4">
        <v>1214.768</v>
      </c>
      <c r="K12" s="4">
        <v>18486.454100000003</v>
      </c>
      <c r="L12" s="4">
        <v>414.76969861600014</v>
      </c>
      <c r="M12" s="4">
        <v>67.258371829800041</v>
      </c>
      <c r="N12" s="4">
        <v>3.6818580000000001</v>
      </c>
      <c r="O12" s="4">
        <v>485.70992844580019</v>
      </c>
      <c r="P12" s="4">
        <v>760.40895850400091</v>
      </c>
      <c r="Q12" s="4">
        <f t="shared" si="1"/>
        <v>63.874829854893747</v>
      </c>
    </row>
    <row r="13" spans="1:17" ht="21" customHeight="1" x14ac:dyDescent="0.25">
      <c r="A13" s="5">
        <v>43770</v>
      </c>
      <c r="B13" s="6">
        <v>14211</v>
      </c>
      <c r="C13" s="6">
        <v>41878</v>
      </c>
      <c r="D13" s="6">
        <v>33207.506999999998</v>
      </c>
      <c r="E13" s="6">
        <v>2001382</v>
      </c>
      <c r="F13" s="6">
        <v>4422.6139469999998</v>
      </c>
      <c r="G13" s="6">
        <v>5565.8664989999997</v>
      </c>
      <c r="H13" s="7">
        <f t="shared" si="0"/>
        <v>79.459576470161394</v>
      </c>
      <c r="I13" s="7">
        <v>17357.539200000003</v>
      </c>
      <c r="J13" s="7">
        <v>1370.4829999999981</v>
      </c>
      <c r="K13" s="7">
        <v>18728.022199999999</v>
      </c>
      <c r="L13" s="7">
        <v>436.65848835399976</v>
      </c>
      <c r="M13" s="7">
        <v>72.61260399770002</v>
      </c>
      <c r="N13" s="7">
        <v>4.1619690000000045</v>
      </c>
      <c r="O13" s="7">
        <v>513.43306135169973</v>
      </c>
      <c r="P13" s="7">
        <v>741.08936628800018</v>
      </c>
      <c r="Q13" s="7">
        <f t="shared" si="1"/>
        <v>69.280856629127612</v>
      </c>
    </row>
    <row r="14" spans="1:17" ht="21" customHeight="1" x14ac:dyDescent="0.25">
      <c r="A14" s="2">
        <v>43800</v>
      </c>
      <c r="B14" s="3">
        <v>14262</v>
      </c>
      <c r="C14" s="3">
        <v>42693.866666666698</v>
      </c>
      <c r="D14" s="3">
        <v>34028.993999999999</v>
      </c>
      <c r="E14" s="3">
        <v>2030494</v>
      </c>
      <c r="F14" s="3">
        <v>4624.0941300000004</v>
      </c>
      <c r="G14" s="3">
        <v>5733.2026249999999</v>
      </c>
      <c r="H14" s="4">
        <f t="shared" si="0"/>
        <v>80.654643354768922</v>
      </c>
      <c r="I14" s="4">
        <v>20105.459499999997</v>
      </c>
      <c r="J14" s="4">
        <v>1299.079999999999</v>
      </c>
      <c r="K14" s="4">
        <v>21404.539499999999</v>
      </c>
      <c r="L14" s="4">
        <v>456.19895000800005</v>
      </c>
      <c r="M14" s="4">
        <v>81.462239786099971</v>
      </c>
      <c r="N14" s="4">
        <v>4.1547230000000006</v>
      </c>
      <c r="O14" s="4">
        <v>541.81591279410009</v>
      </c>
      <c r="P14" s="4">
        <v>765.61066675600068</v>
      </c>
      <c r="Q14" s="4">
        <f t="shared" si="1"/>
        <v>70.769117558125174</v>
      </c>
    </row>
    <row r="15" spans="1:17" ht="21" customHeight="1" x14ac:dyDescent="0.25">
      <c r="A15" s="5">
        <v>43831</v>
      </c>
      <c r="B15" s="6">
        <v>14316</v>
      </c>
      <c r="C15" s="6">
        <v>42769.75</v>
      </c>
      <c r="D15" s="6">
        <v>34094.887999999999</v>
      </c>
      <c r="E15" s="6">
        <v>1966461</v>
      </c>
      <c r="F15" s="6">
        <v>4695.1067620000003</v>
      </c>
      <c r="G15" s="6">
        <v>5697.8836049999991</v>
      </c>
      <c r="H15" s="7">
        <f t="shared" si="0"/>
        <v>82.400889303529411</v>
      </c>
      <c r="I15" s="7">
        <v>18344.369900000002</v>
      </c>
      <c r="J15" s="7">
        <v>1314.0679999999986</v>
      </c>
      <c r="K15" s="7">
        <v>19658.437900000001</v>
      </c>
      <c r="L15" s="7">
        <v>465.2317329140003</v>
      </c>
      <c r="M15" s="7">
        <v>72.914323958799955</v>
      </c>
      <c r="N15" s="7">
        <v>3.8673050000000049</v>
      </c>
      <c r="O15" s="7">
        <v>542.01336187280026</v>
      </c>
      <c r="P15" s="7">
        <v>760.20578357200031</v>
      </c>
      <c r="Q15" s="7">
        <f t="shared" si="1"/>
        <v>71.298242342491363</v>
      </c>
    </row>
    <row r="16" spans="1:17" ht="21" customHeight="1" x14ac:dyDescent="0.25">
      <c r="A16" s="2">
        <v>43862</v>
      </c>
      <c r="B16" s="3">
        <v>13467</v>
      </c>
      <c r="C16" s="3">
        <v>39689.366666666683</v>
      </c>
      <c r="D16" s="3">
        <v>31368.022000000001</v>
      </c>
      <c r="E16" s="3">
        <v>1874811</v>
      </c>
      <c r="F16" s="3">
        <v>4272.4603200000001</v>
      </c>
      <c r="G16" s="3">
        <v>5294.0607630000004</v>
      </c>
      <c r="H16" s="4">
        <f t="shared" si="0"/>
        <v>80.702895400447062</v>
      </c>
      <c r="I16" s="4">
        <v>17059.071900000003</v>
      </c>
      <c r="J16" s="4">
        <v>1135.1590000000001</v>
      </c>
      <c r="K16" s="4">
        <v>18194.230900000002</v>
      </c>
      <c r="L16" s="4">
        <v>422.32591903000025</v>
      </c>
      <c r="M16" s="4">
        <v>71.629356537199968</v>
      </c>
      <c r="N16" s="4">
        <v>3.0201760000000002</v>
      </c>
      <c r="O16" s="4">
        <v>496.97545156720014</v>
      </c>
      <c r="P16" s="4">
        <v>704.66616889200009</v>
      </c>
      <c r="Q16" s="4">
        <f t="shared" si="1"/>
        <v>70.526367449799992</v>
      </c>
    </row>
    <row r="17" spans="1:17" ht="21" customHeight="1" x14ac:dyDescent="0.25">
      <c r="A17" s="5">
        <v>43891</v>
      </c>
      <c r="B17" s="6">
        <v>9524</v>
      </c>
      <c r="C17" s="6">
        <v>26165.250000000004</v>
      </c>
      <c r="D17" s="6">
        <v>20871.383000000002</v>
      </c>
      <c r="E17" s="6">
        <v>1016293</v>
      </c>
      <c r="F17" s="6">
        <v>2368.8368879999998</v>
      </c>
      <c r="G17" s="6">
        <v>3426.898361</v>
      </c>
      <c r="H17" s="7">
        <f t="shared" si="0"/>
        <v>69.124807288091034</v>
      </c>
      <c r="I17" s="7">
        <v>11243.450499999999</v>
      </c>
      <c r="J17" s="7">
        <v>592.74600000000009</v>
      </c>
      <c r="K17" s="7">
        <v>11836.196499999998</v>
      </c>
      <c r="L17" s="7">
        <v>237.11954624200013</v>
      </c>
      <c r="M17" s="7">
        <v>47.582752301700026</v>
      </c>
      <c r="N17" s="7">
        <v>1.875407</v>
      </c>
      <c r="O17" s="7">
        <v>286.57770554370012</v>
      </c>
      <c r="P17" s="7">
        <v>456.77495518799986</v>
      </c>
      <c r="Q17" s="7">
        <f t="shared" si="1"/>
        <v>62.739364820418011</v>
      </c>
    </row>
    <row r="18" spans="1:17" ht="21" customHeight="1" x14ac:dyDescent="0.25">
      <c r="A18" s="8" t="s">
        <v>22</v>
      </c>
      <c r="B18" s="9">
        <f>SUM(B6:B17)</f>
        <v>164089</v>
      </c>
      <c r="C18" s="9">
        <f t="shared" ref="C18:G18" si="2">SUM(C6:C17)</f>
        <v>476473.10000000003</v>
      </c>
      <c r="D18" s="9">
        <f t="shared" si="2"/>
        <v>387621.94699999993</v>
      </c>
      <c r="E18" s="9">
        <f t="shared" si="2"/>
        <v>22481177</v>
      </c>
      <c r="F18" s="9">
        <f t="shared" si="2"/>
        <v>50439.029543999997</v>
      </c>
      <c r="G18" s="9">
        <f t="shared" si="2"/>
        <v>63185.343651000003</v>
      </c>
      <c r="H18" s="10">
        <f t="shared" si="0"/>
        <v>79.827103295657594</v>
      </c>
      <c r="I18" s="10">
        <f>SUM(I6:I17)</f>
        <v>204763.20380000002</v>
      </c>
      <c r="J18" s="10">
        <f t="shared" ref="J18:P18" si="3">SUM(J6:J17)</f>
        <v>14593.372999999996</v>
      </c>
      <c r="K18" s="10">
        <f t="shared" si="3"/>
        <v>219356.58079999997</v>
      </c>
      <c r="L18" s="10">
        <f t="shared" si="3"/>
        <v>4983.1875745670004</v>
      </c>
      <c r="M18" s="10">
        <f t="shared" si="3"/>
        <v>823.13137553060005</v>
      </c>
      <c r="N18" s="10">
        <f t="shared" si="3"/>
        <v>41.757959000000014</v>
      </c>
      <c r="O18" s="10">
        <f t="shared" si="3"/>
        <v>5848.0769090976</v>
      </c>
      <c r="P18" s="10">
        <f t="shared" si="3"/>
        <v>8414.5190850840045</v>
      </c>
      <c r="Q18" s="10">
        <f t="shared" si="1"/>
        <v>69.49983534370007</v>
      </c>
    </row>
    <row r="19" spans="1:17" ht="21" customHeight="1" x14ac:dyDescent="0.25">
      <c r="A19" s="14" t="s">
        <v>21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6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INDIA</vt:lpstr>
      <vt:lpstr>'AIR INDIA'!Print_Area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dcterms:created xsi:type="dcterms:W3CDTF">2020-06-03T10:30:17Z</dcterms:created>
  <dcterms:modified xsi:type="dcterms:W3CDTF">2021-09-14T20:58:54Z</dcterms:modified>
</cp:coreProperties>
</file>