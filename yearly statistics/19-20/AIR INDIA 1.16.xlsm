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<sst xmlns="http://schemas.openxmlformats.org/spreadsheetml/2006/main" count="923" uniqueCount="226">
  <si>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</si>
  <si>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</si>
  <si>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</si>
  <si>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</si>
  <si>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</si>
  <si>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</si>
  <si>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</si>
  <si>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</si>
  <si>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</si>
  <si>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</si>
  <si>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</si>
  <si>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</si>
  <si>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</si>
  <si>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</si>
  <si>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</si>
  <si>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</si>
  <si>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</si>
  <si>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</si>
  <si>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</si>
  <si>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</si>
  <si>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</si>
  <si>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</si>
  <si>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</si>
  <si>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</si>
  <si>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</si>
  <si>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</si>
  <si>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</si>
  <si>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</si>
  <si>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</si>
  <si>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</si>
  <si>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</si>
  <si>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</si>
  <si>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</si>
  <si>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</si>
  <si>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</si>
  <si>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</si>
  <si>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</si>
  <si>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</si>
  <si>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</si>
  <si>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</si>
  <si>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</si>
  <si>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</si>
  <si>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</si>
  <si>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</si>
  <si>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</si>
  <si>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</si>
  <si>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</si>
  <si>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</si>
  <si>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</si>
  <si>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</si>
  <si>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</si>
  <si>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</si>
  <si>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</si>
  <si>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</si>
  <si>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</si>
  <si>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</si>
  <si>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</si>
  <si>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</si>
  <si>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</si>
  <si>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</si>
  <si>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</si>
  <si>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</si>
  <si>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</si>
  <si>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</si>
  <si>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</si>
  <si>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</si>
  <si>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</si>
  <si>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</si>
  <si>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</si>
  <si>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</si>
  <si>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</si>
  <si>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</si>
  <si>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</si>
  <si>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</si>
  <si>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</si>
  <si>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</si>
  <si>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</si>
  <si>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</si>
  <si>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</si>
  <si>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</si>
  <si>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</si>
  <si>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</si>
  <si>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</si>
  <si>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</si>
  <si>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</si>
  <si>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</si>
  <si>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</si>
  <si>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</si>
  <si>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</si>
  <si>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</si>
  <si>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</si>
  <si>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</si>
  <si>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</si>
  <si>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</si>
  <si>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</si>
  <si>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</si>
  <si>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</si>
  <si>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</si>
  <si>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</si>
  <si>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</si>
  <si>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</si>
  <si>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</si>
  <si>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</si>
  <si>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</si>
  <si>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</si>
  <si>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</si>
  <si>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</si>
  <si>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</si>
  <si>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</si>
  <si>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</si>
  <si>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</si>
  <si>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</si>
  <si>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</si>
  <si>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</si>
  <si>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</si>
  <si>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</si>
  <si>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</si>
  <si>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</si>
  <si>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</si>
  <si>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</si>
  <si>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</si>
  <si>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</si>
  <si>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</si>
  <si>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</si>
  <si>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</si>
  <si>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</si>
  <si>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</si>
  <si>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</si>
  <si>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</si>
  <si>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</si>
  <si>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</si>
  <si>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</si>
  <si>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</si>
  <si>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</si>
  <si>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</si>
  <si>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</si>
  <si>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</si>
  <si>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</si>
  <si>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</si>
  <si>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</si>
  <si>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</si>
  <si>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</si>
  <si>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</si>
  <si>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</si>
  <si>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</si>
  <si>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</si>
  <si>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</si>
  <si>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</si>
  <si>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</si>
  <si>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</si>
  <si>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</si>
  <si>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</si>
  <si>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</si>
  <si>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</si>
  <si>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</si>
  <si>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</si>
  <si>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</si>
  <si>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</si>
  <si>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</si>
  <si>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</si>
  <si>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</si>
  <si>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</si>
  <si>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</si>
  <si>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</si>
  <si>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</si>
  <si>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</si>
  <si>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</si>
  <si>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</si>
  <si>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</si>
  <si>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</si>
  <si>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</si>
  <si>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</si>
  <si>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</si>
  <si>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</si>
  <si>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</si>
  <si>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</si>
  <si>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</si>
  <si>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</si>
  <si>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</si>
  <si>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</si>
  <si>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</si>
  <si>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</si>
  <si>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</si>
  <si>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</si>
  <si>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</si>
  <si>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</si>
  <si>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</si>
  <si>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</si>
  <si>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</si>
  <si>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</si>
  <si>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</si>
  <si>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</si>
  <si>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</si>
  <si>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</si>
  <si>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</si>
  <si>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</si>
  <si>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</si>
  <si>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</si>
  <si>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</si>
  <si>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</si>
  <si>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</si>
  <si>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</si>
  <si>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</si>
  <si>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</si>
  <si>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</si>
  <si>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</si>
  <si>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इंडिया) </t>
  </si>
  <si>
    <t>2019-20</t>
  </si>
  <si>
    <t>TABLE - 1.16 (AIR INDIA)</t>
  </si>
  <si>
    <t>YEAR-WISE DETAILED FINANCIAL RESULTS OF AIR INDIA</t>
  </si>
  <si>
    <t>SOURCE : ICAO ATR FORM-EF FURNISHED BY  AIR INDIA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</si>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</sst>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9" formatCode="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3" fontId="20" fillId="0" borderId="0" applyFont="0" applyFill="0" applyBorder="0" applyAlignment="0" applyProtection="0"/>
  </cellStyleXfs>
  <cellXfs count="60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167" fontId="11" fillId="2" borderId="1" xfId="4" applyFont="1" applyFill="1" applyBorder="1" applyAlignment="1" applyProtection="1">
      <alignment horizontal="left" vertical="center" wrapText="1" indent="3"/>
    </xf>
    <xf numFmtId="166" fontId="11" fillId="2" borderId="1" xfId="4" applyNumberFormat="1" applyFont="1" applyFill="1" applyBorder="1" applyAlignment="1">
      <alignment horizontal="center" vertical="center"/>
    </xf>
    <xf numFmtId="167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applyNumberFormat="1" applyFont="1" applyFill="1" applyBorder="1" applyAlignment="1" applyProtection="1">
      <alignment horizontal="center" vertical="center" wrapTex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6" fontId="12" fillId="3" borderId="1" xfId="4" applyNumberFormat="1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166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applyNumberFormat="1" applyFont="1" applyFill="1" applyBorder="1" applyAlignment="1">
      <alignment horizontal="center" vertical="center" wrapText="1"/>
    </xf>
    <xf numFmtId="166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6" fontId="11" fillId="4" borderId="1" xfId="4" applyNumberFormat="1" applyFont="1" applyFill="1" applyBorder="1" applyAlignment="1">
      <alignment horizontal="center" vertical="center" wrapText="1"/>
    </xf>
    <xf numFmtId="166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70" fontId="17" fillId="5" borderId="1" xfId="1" applyNumberFormat="1" applyFont="1" applyFill="1" applyBorder="1" applyAlignment="1" applyProtection="1">
      <alignment horizontal="left" wrapText="1"/>
    </xf>
    <xf numFmtId="170" fontId="14" fillId="5" borderId="1" xfId="1" applyNumberFormat="1" applyFont="1" applyFill="1" applyBorder="1" applyAlignment="1" applyProtection="1">
      <alignment horizontal="left" wrapText="1"/>
    </xf>
    <xf numFmtId="170" fontId="15" fillId="5" borderId="1" xfId="1" applyNumberFormat="1" applyFont="1" applyFill="1" applyBorder="1" applyAlignment="1" applyProtection="1">
      <alignment horizontal="left" wrapText="1"/>
    </xf>
    <xf numFmtId="170" fontId="14" fillId="5" borderId="1" xfId="1" applyNumberFormat="1" applyFont="1" applyFill="1" applyBorder="1" applyAlignment="1" applyProtection="1">
      <alignment horizontal="left" vertical="top" wrapText="1"/>
    </xf>
    <xf numFmtId="170" fontId="14" fillId="6" borderId="7" xfId="8" applyNumberFormat="1" applyFont="1" applyFill="1" applyBorder="1" applyAlignment="1" applyProtection="1">
      <alignment horizontal="left" vertical="center"/>
    </xf>
    <xf numFmtId="170" fontId="14" fillId="6" borderId="7" xfId="8" applyNumberFormat="1" applyFont="1" applyFill="1" applyBorder="1" applyAlignment="1" applyProtection="1">
      <alignment vertical="center"/>
    </xf>
    <xf numFmtId="170" fontId="15" fillId="6" borderId="6" xfId="8" applyNumberFormat="1" applyFont="1" applyFill="1" applyBorder="1" applyAlignment="1" applyProtection="1">
      <alignment vertical="center"/>
    </xf>
    <xf numFmtId="170" fontId="14" fillId="6" borderId="8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2" fillId="2" borderId="2" xfId="6" applyFont="1" applyFill="1" applyBorder="1" applyAlignment="1" applyProtection="1">
      <alignment horizontal="center" vertical="center" wrapText="1"/>
    </xf>
    <xf numFmtId="0" fontId="12" fillId="2" borderId="2" xfId="6" quotePrefix="1" applyFont="1" applyFill="1" applyBorder="1" applyAlignment="1" applyProtection="1">
      <alignment horizontal="center" vertical="center" wrapText="1"/>
    </xf>
    <xf numFmtId="167" fontId="11" fillId="2" borderId="2" xfId="4" applyFont="1" applyFill="1" applyBorder="1" applyAlignment="1" applyProtection="1">
      <alignment horizontal="left" vertical="center" wrapText="1" indent="3"/>
    </xf>
    <xf numFmtId="166" fontId="11" fillId="2" borderId="2" xfId="4" applyNumberFormat="1" applyFont="1" applyFill="1" applyBorder="1" applyAlignment="1">
      <alignment horizontal="center" vertical="center"/>
    </xf>
    <xf numFmtId="166" fontId="11" fillId="2" borderId="2" xfId="4" applyNumberFormat="1" applyFont="1" applyFill="1" applyBorder="1"/>
    <xf numFmtId="166" fontId="11" fillId="2" borderId="2" xfId="4" applyNumberFormat="1" applyFont="1" applyFill="1" applyBorder="1" applyAlignment="1">
      <alignment horizontal="right"/>
    </xf>
    <xf numFmtId="167" fontId="11" fillId="2" borderId="2" xfId="4" quotePrefix="1" applyFont="1" applyFill="1" applyBorder="1" applyAlignment="1" applyProtection="1">
      <alignment horizontal="left" vertical="center" wrapText="1" indent="1"/>
    </xf>
    <xf numFmtId="166" fontId="12" fillId="2" borderId="2" xfId="4" applyNumberFormat="1" applyFont="1" applyFill="1" applyBorder="1" applyAlignment="1">
      <alignment horizontal="center" vertical="center"/>
    </xf>
    <xf numFmtId="169" fontId="12" fillId="2" borderId="3" xfId="4" applyNumberFormat="1" applyFont="1" applyFill="1" applyBorder="1" applyAlignment="1">
      <alignment horizontal="center" vertical="center"/>
    </xf>
    <xf numFmtId="0" fontId="12" fillId="2" borderId="1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left"/>
    </xf>
    <xf numFmtId="0" fontId="0" fillId="0" borderId="1" xfId="0" applyBorder="1" applyAlignment="1">
      <alignment horizontal="left"/>
    </xf>
    <xf numFmtId="167" fontId="12" fillId="2" borderId="1" xfId="4" quotePrefix="1" applyFont="1" applyFill="1" applyBorder="1" applyAlignment="1" applyProtection="1">
      <alignment horizontal="left"/>
    </xf>
    <xf numFmtId="0" fontId="6" fillId="2" borderId="4" xfId="2" applyFont="1" applyFill="1" applyBorder="1" applyAlignment="1" applyProtection="1">
      <alignment horizontal="left"/>
    </xf>
    <xf numFmtId="0" fontId="6" fillId="2" borderId="5" xfId="2" applyFont="1" applyFill="1" applyBorder="1" applyAlignment="1" applyProtection="1">
      <alignment horizontal="left"/>
    </xf>
    <xf numFmtId="167" fontId="9" fillId="2" borderId="1" xfId="4" applyFont="1" applyFill="1" applyBorder="1" applyAlignment="1">
      <alignment horizontal="center" vertical="center" wrapText="1"/>
    </xf>
    <xf numFmtId="0" fontId="10" fillId="2" borderId="1" xfId="6" quotePrefix="1" applyFont="1" applyFill="1" applyBorder="1" applyAlignment="1" applyProtection="1">
      <alignment horizontal="center"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119</v>
      </c>
      <c r="B1" s="22" t="s">
        <v>119</v>
      </c>
      <c r="C1" s="22" t="s">
        <v>119</v>
      </c>
      <c r="D1" s="22" t="s">
        <v>119</v>
      </c>
      <c r="E1" s="22" t="s">
        <v>119</v>
      </c>
      <c r="F1" s="22" t="s">
        <v>119</v>
      </c>
      <c r="G1" s="22" t="s">
        <v>119</v>
      </c>
      <c r="H1" s="22" t="s">
        <v>119</v>
      </c>
      <c r="I1" s="22" t="s">
        <v>119</v>
      </c>
      <c r="J1" s="22" t="s">
        <v>119</v>
      </c>
      <c r="K1" s="22" t="s">
        <v>119</v>
      </c>
      <c r="L1" s="22" t="s">
        <v>119</v>
      </c>
      <c r="M1" s="22" t="s">
        <v>119</v>
      </c>
      <c r="N1" s="22" t="s">
        <v>119</v>
      </c>
      <c r="O1" s="22" t="s">
        <v>119</v>
      </c>
      <c r="P1" s="22" t="s">
        <v>119</v>
      </c>
      <c r="Q1" s="22" t="s">
        <v>119</v>
      </c>
      <c r="R1" s="22" t="s">
        <v>119</v>
      </c>
      <c r="S1" s="22" t="s">
        <v>119</v>
      </c>
      <c r="T1" s="22" t="s">
        <v>119</v>
      </c>
      <c r="U1" s="22" t="s">
        <v>119</v>
      </c>
      <c r="V1" s="22" t="s">
        <v>119</v>
      </c>
      <c r="W1" s="22" t="s">
        <v>119</v>
      </c>
      <c r="X1" s="22" t="s">
        <v>119</v>
      </c>
      <c r="Y1" s="22" t="s">
        <v>119</v>
      </c>
      <c r="Z1" s="22" t="s">
        <v>119</v>
      </c>
      <c r="AA1" s="22" t="s">
        <v>119</v>
      </c>
      <c r="AB1" s="22" t="s">
        <v>119</v>
      </c>
      <c r="AC1" s="22" t="s">
        <v>119</v>
      </c>
      <c r="AD1" s="22" t="s">
        <v>119</v>
      </c>
      <c r="AE1" s="22" t="s">
        <v>119</v>
      </c>
      <c r="AF1" s="22" t="s">
        <v>119</v>
      </c>
      <c r="AG1" s="22" t="s">
        <v>119</v>
      </c>
      <c r="AH1" s="22" t="s">
        <v>119</v>
      </c>
      <c r="AI1" s="22" t="s">
        <v>119</v>
      </c>
      <c r="AJ1" s="22" t="s">
        <v>119</v>
      </c>
      <c r="AK1" s="22" t="s">
        <v>119</v>
      </c>
      <c r="AQ1" s="18" t="s">
        <v>54</v>
      </c>
      <c r="AR1" t="s">
        <v>44</v>
      </c>
    </row>
    <row r="2" spans="1:57">
      <c r="A2" s="22" t="s">
        <v>119</v>
      </c>
      <c r="B2" s="40" t="e">
        <f>#REF!</f>
        <v>#REF!</v>
      </c>
      <c r="C2" s="22" t="s">
        <v>119</v>
      </c>
      <c r="D2" s="22" t="s">
        <v>119</v>
      </c>
      <c r="E2" s="22" t="s">
        <v>119</v>
      </c>
      <c r="F2" s="22" t="s">
        <v>119</v>
      </c>
      <c r="G2" s="22" t="s">
        <v>119</v>
      </c>
      <c r="H2" s="22" t="s">
        <v>119</v>
      </c>
      <c r="I2" s="22" t="s">
        <v>119</v>
      </c>
      <c r="J2" s="22" t="s">
        <v>119</v>
      </c>
      <c r="K2" s="22" t="s">
        <v>119</v>
      </c>
      <c r="L2" s="22" t="s">
        <v>119</v>
      </c>
      <c r="M2" s="22" t="s">
        <v>119</v>
      </c>
      <c r="N2" s="22" t="s">
        <v>119</v>
      </c>
      <c r="O2" s="22" t="s">
        <v>119</v>
      </c>
      <c r="P2" s="22" t="s">
        <v>119</v>
      </c>
      <c r="Q2" s="22" t="s">
        <v>119</v>
      </c>
      <c r="R2" s="22" t="s">
        <v>119</v>
      </c>
      <c r="S2" s="22" t="s">
        <v>119</v>
      </c>
      <c r="T2" s="22" t="s">
        <v>119</v>
      </c>
      <c r="U2" s="22" t="s">
        <v>119</v>
      </c>
      <c r="V2" s="22" t="s">
        <v>119</v>
      </c>
      <c r="W2" s="22" t="s">
        <v>119</v>
      </c>
      <c r="X2" s="22" t="s">
        <v>119</v>
      </c>
      <c r="Y2" s="22" t="s">
        <v>119</v>
      </c>
      <c r="Z2" s="22" t="s">
        <v>119</v>
      </c>
      <c r="AA2" s="22" t="s">
        <v>119</v>
      </c>
      <c r="AB2" s="22" t="s">
        <v>119</v>
      </c>
      <c r="AC2" s="22" t="s">
        <v>119</v>
      </c>
      <c r="AD2" s="22" t="s">
        <v>119</v>
      </c>
      <c r="AE2" s="22" t="s">
        <v>119</v>
      </c>
      <c r="AF2" s="22" t="s">
        <v>119</v>
      </c>
      <c r="AG2" s="22" t="s">
        <v>119</v>
      </c>
      <c r="AH2" s="22" t="s">
        <v>119</v>
      </c>
      <c r="AI2" s="22" t="s">
        <v>119</v>
      </c>
      <c r="AJ2" s="22" t="s">
        <v>119</v>
      </c>
      <c r="AK2" s="22" t="s">
        <v>119</v>
      </c>
    </row>
    <row r="3" spans="1:57" ht="15.75" customHeight="1">
      <c r="A3" s="18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2" t="s">
        <v>119</v>
      </c>
      <c r="L3" s="22" t="s">
        <v>119</v>
      </c>
      <c r="M3" s="22" t="s">
        <v>119</v>
      </c>
      <c r="N3" s="22" t="s">
        <v>119</v>
      </c>
      <c r="O3" s="22" t="s">
        <v>119</v>
      </c>
      <c r="P3" s="22" t="s">
        <v>119</v>
      </c>
      <c r="Q3" s="22" t="s">
        <v>119</v>
      </c>
      <c r="R3" s="22" t="s">
        <v>119</v>
      </c>
      <c r="S3" s="22" t="s">
        <v>119</v>
      </c>
      <c r="T3" s="36" t="s">
        <v>119</v>
      </c>
      <c r="U3" s="18" t="s">
        <v>54</v>
      </c>
      <c r="V3" s="18" t="s">
        <v>55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56</v>
      </c>
      <c r="AB3" s="18" t="s">
        <v>57</v>
      </c>
      <c r="AC3" s="18" t="s">
        <v>58</v>
      </c>
      <c r="AD3" s="18" t="s">
        <v>73</v>
      </c>
      <c r="AE3" s="18" t="s">
        <v>74</v>
      </c>
      <c r="AF3" s="18" t="s">
        <v>75</v>
      </c>
      <c r="AG3" s="18" t="s">
        <v>76</v>
      </c>
      <c r="AH3" s="18" t="s">
        <v>77</v>
      </c>
      <c r="AI3" s="18" t="s">
        <v>78</v>
      </c>
      <c r="AJ3" s="18" t="s">
        <v>79</v>
      </c>
      <c r="AK3" s="18" t="s">
        <v>80</v>
      </c>
      <c r="AQ3" s="18" t="s">
        <v>55</v>
      </c>
      <c r="AR3" s="18" t="s">
        <v>69</v>
      </c>
      <c r="AS3" s="18" t="s">
        <v>70</v>
      </c>
      <c r="AT3" s="18" t="s">
        <v>71</v>
      </c>
      <c r="AU3" s="18" t="s">
        <v>72</v>
      </c>
      <c r="AV3" s="18" t="s">
        <v>56</v>
      </c>
      <c r="AW3" s="18" t="s">
        <v>57</v>
      </c>
      <c r="AX3" s="18" t="s">
        <v>58</v>
      </c>
      <c r="AY3" s="18" t="s">
        <v>73</v>
      </c>
      <c r="AZ3" s="18" t="s">
        <v>74</v>
      </c>
      <c r="BA3" s="18" t="s">
        <v>76</v>
      </c>
      <c r="BB3" s="18" t="s">
        <v>77</v>
      </c>
      <c r="BC3" s="18" t="s">
        <v>78</v>
      </c>
      <c r="BD3" s="18" t="s">
        <v>80</v>
      </c>
    </row>
    <row r="4" spans="1:57" ht="15.75" customHeight="1">
      <c r="A4" s="19" t="s">
        <v>38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7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19" t="s">
        <v>66</v>
      </c>
      <c r="B5" s="20"/>
      <c r="C5" s="20"/>
      <c r="D5" s="20"/>
      <c r="E5" s="20"/>
      <c r="F5" s="20"/>
      <c r="G5" s="20"/>
      <c r="H5" s="20"/>
      <c r="I5" s="20"/>
      <c r="J5" s="20"/>
      <c r="T5" s="37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38"/>
    </row>
    <row r="6" spans="1:57">
      <c r="A6" s="19" t="s">
        <v>44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7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38"/>
    </row>
    <row r="7" spans="1:57">
      <c r="A7" s="19" t="s">
        <v>41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7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19" t="s">
        <v>42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7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19" t="s">
        <v>43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7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19" t="s">
        <v>47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7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19" t="s">
        <v>49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7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19" t="s">
        <v>50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7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19" t="s">
        <v>194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7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19" t="s">
        <v>53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7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19" t="s">
        <v>62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7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19" t="s">
        <v>63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7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19" t="s">
        <v>64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7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19" t="s">
        <v>202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7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19" t="s">
        <v>203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7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19" t="s">
        <v>67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7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37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37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37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37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37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37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37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37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37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37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37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37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37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37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37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37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37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37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37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37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37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37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37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37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37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37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37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37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37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37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37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37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37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65</v>
      </c>
      <c r="B3" t="s">
        <v>84</v>
      </c>
      <c r="C3" t="s">
        <v>94</v>
      </c>
      <c r="V3" s="21" t="s">
        <v>95</v>
      </c>
      <c r="W3" s="18" t="s">
        <v>59</v>
      </c>
      <c r="X3" s="18" t="s">
        <v>81</v>
      </c>
      <c r="Y3" t="s">
        <v>93</v>
      </c>
      <c r="Z3" t="s">
        <v>84</v>
      </c>
      <c r="AA3" t="s">
        <v>94</v>
      </c>
    </row>
    <row r="4" spans="1:27">
      <c r="A4" s="19" t="s">
        <v>49</v>
      </c>
      <c r="B4" s="20">
        <v>2467</v>
      </c>
      <c r="C4" s="20">
        <v>3806.1423290000002</v>
      </c>
      <c r="V4" t="str">
        <f>W4&amp;X4</f>
        <v>AIR ASIAP1</v>
      </c>
      <c r="W4" t="s">
        <v>49</v>
      </c>
      <c r="X4" t="s">
        <v>4</v>
      </c>
      <c r="Y4" s="20">
        <v>263</v>
      </c>
      <c r="Z4" s="20">
        <v>311</v>
      </c>
      <c r="AA4" s="20">
        <v>1997.191354</v>
      </c>
    </row>
    <row r="5" spans="1:27">
      <c r="A5" s="19" t="s">
        <v>41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0"/>
      <c r="Z5" s="20"/>
      <c r="AA5" s="20"/>
    </row>
    <row r="6" spans="1:27">
      <c r="A6" s="19" t="s">
        <v>42</v>
      </c>
      <c r="B6" s="20">
        <v>1472</v>
      </c>
      <c r="C6" s="20">
        <v>2956.1</v>
      </c>
      <c r="V6" t="str">
        <f t="shared" si="0"/>
        <v>AIR ASIAP3</v>
      </c>
      <c r="W6" t="s">
        <v>49</v>
      </c>
      <c r="X6" t="s">
        <v>6</v>
      </c>
      <c r="Y6" s="20">
        <v>476</v>
      </c>
      <c r="Z6" s="20">
        <v>488</v>
      </c>
      <c r="AA6" s="20">
        <v>399.74493799999999</v>
      </c>
    </row>
    <row r="7" spans="1:27">
      <c r="A7" s="19" t="s">
        <v>64</v>
      </c>
      <c r="B7" s="20">
        <v>61052</v>
      </c>
      <c r="C7" s="20">
        <v>93775.981349000009</v>
      </c>
      <c r="V7" t="str">
        <f t="shared" si="0"/>
        <v>AIR ASIAP4</v>
      </c>
      <c r="W7" t="s">
        <v>49</v>
      </c>
      <c r="X7" t="s">
        <v>7</v>
      </c>
      <c r="Y7" s="20">
        <v>180</v>
      </c>
      <c r="Z7" s="20">
        <v>199</v>
      </c>
      <c r="AA7" s="20">
        <v>337.623289</v>
      </c>
    </row>
    <row r="8" spans="1:27">
      <c r="A8" s="19" t="s">
        <v>43</v>
      </c>
      <c r="B8" s="20">
        <v>648</v>
      </c>
      <c r="C8" s="20">
        <v>1392.7165519999999</v>
      </c>
      <c r="V8" t="str">
        <f t="shared" si="0"/>
        <v>AIR ASIAP4.1</v>
      </c>
      <c r="W8" t="s">
        <v>49</v>
      </c>
      <c r="X8" t="s">
        <v>60</v>
      </c>
      <c r="Y8" s="20">
        <v>180</v>
      </c>
      <c r="Z8" s="20">
        <v>199</v>
      </c>
      <c r="AA8" s="20">
        <v>337.623289</v>
      </c>
    </row>
    <row r="9" spans="1:27">
      <c r="A9" s="19" t="s">
        <v>51</v>
      </c>
      <c r="B9" s="20">
        <v>1389</v>
      </c>
      <c r="C9" s="20">
        <v>1617.18</v>
      </c>
      <c r="V9" t="str">
        <f t="shared" si="0"/>
        <v>AIR ASIAP4.2</v>
      </c>
      <c r="W9" t="s">
        <v>49</v>
      </c>
      <c r="X9" t="s">
        <v>61</v>
      </c>
      <c r="Y9" s="20"/>
      <c r="Z9" s="20"/>
      <c r="AA9" s="20"/>
    </row>
    <row r="10" spans="1:27">
      <c r="A10" s="19" t="s">
        <v>44</v>
      </c>
      <c r="B10" s="20">
        <v>4140</v>
      </c>
      <c r="C10" s="20">
        <v>6380</v>
      </c>
      <c r="V10" t="str">
        <f t="shared" si="0"/>
        <v>AIR ASIAP5</v>
      </c>
      <c r="W10" t="s">
        <v>49</v>
      </c>
      <c r="X10" t="s">
        <v>8</v>
      </c>
      <c r="Y10" s="20"/>
      <c r="Z10" s="20"/>
      <c r="AA10" s="20"/>
    </row>
    <row r="11" spans="1:27">
      <c r="A11" s="19" t="s">
        <v>38</v>
      </c>
      <c r="B11" s="20">
        <v>25201</v>
      </c>
      <c r="C11" s="20">
        <v>33290.79</v>
      </c>
      <c r="V11" t="str">
        <f t="shared" si="0"/>
        <v>AIR ASIAP6</v>
      </c>
      <c r="W11" t="s">
        <v>49</v>
      </c>
      <c r="X11" t="s">
        <v>9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62</v>
      </c>
      <c r="B12" s="20">
        <v>12112</v>
      </c>
      <c r="C12" s="20">
        <v>34401.086552000001</v>
      </c>
      <c r="V12" t="str">
        <f t="shared" si="0"/>
        <v>AIR INDIAP1</v>
      </c>
      <c r="W12" t="s">
        <v>41</v>
      </c>
      <c r="X12" t="s">
        <v>4</v>
      </c>
      <c r="Y12" s="20">
        <v>1329</v>
      </c>
      <c r="Z12" s="20">
        <v>1318</v>
      </c>
      <c r="AA12" s="20">
        <v>12079.48</v>
      </c>
    </row>
    <row r="13" spans="1:27">
      <c r="A13" s="19" t="s">
        <v>63</v>
      </c>
      <c r="B13" s="20">
        <v>48940</v>
      </c>
      <c r="C13" s="20">
        <v>59374.894797000001</v>
      </c>
      <c r="V13" t="str">
        <f t="shared" si="0"/>
        <v>AIR INDIAP2</v>
      </c>
      <c r="W13" t="s">
        <v>41</v>
      </c>
      <c r="X13" t="s">
        <v>5</v>
      </c>
      <c r="Y13" s="20"/>
      <c r="Z13" s="20"/>
      <c r="AA13" s="20"/>
    </row>
    <row r="14" spans="1:27">
      <c r="A14" s="19" t="s">
        <v>47</v>
      </c>
      <c r="B14" s="20">
        <v>12094</v>
      </c>
      <c r="C14" s="20">
        <v>9401.4900000000016</v>
      </c>
      <c r="V14" t="str">
        <f t="shared" si="0"/>
        <v>AIR INDIAP3</v>
      </c>
      <c r="W14" t="s">
        <v>41</v>
      </c>
      <c r="X14" t="s">
        <v>6</v>
      </c>
      <c r="Y14" s="20">
        <v>1766</v>
      </c>
      <c r="Z14" s="20">
        <v>1703</v>
      </c>
      <c r="AA14" s="20">
        <v>5986.11</v>
      </c>
    </row>
    <row r="15" spans="1:27">
      <c r="A15" s="19" t="s">
        <v>53</v>
      </c>
      <c r="B15" s="20">
        <v>895</v>
      </c>
      <c r="C15" s="20">
        <v>801.87858399999982</v>
      </c>
      <c r="V15" t="str">
        <f t="shared" si="0"/>
        <v>AIR INDIAP4</v>
      </c>
      <c r="W15" t="s">
        <v>41</v>
      </c>
      <c r="X15" t="s">
        <v>7</v>
      </c>
      <c r="Y15" s="20">
        <v>577</v>
      </c>
      <c r="Z15" s="20">
        <v>543</v>
      </c>
      <c r="AA15" s="20">
        <v>69.31</v>
      </c>
    </row>
    <row r="16" spans="1:27">
      <c r="A16" s="19" t="s">
        <v>50</v>
      </c>
      <c r="B16" s="20">
        <v>2721</v>
      </c>
      <c r="C16" s="20">
        <v>4070.3999999999996</v>
      </c>
      <c r="V16" t="str">
        <f t="shared" si="0"/>
        <v>AIR INDIAP4.1</v>
      </c>
      <c r="W16" t="s">
        <v>41</v>
      </c>
      <c r="X16" t="s">
        <v>60</v>
      </c>
      <c r="Y16" s="20"/>
      <c r="Z16" s="20"/>
      <c r="AA16" s="20"/>
    </row>
    <row r="17" spans="1:27">
      <c r="A17" s="19" t="s">
        <v>66</v>
      </c>
      <c r="B17" s="20"/>
      <c r="C17" s="20"/>
      <c r="V17" t="str">
        <f t="shared" si="0"/>
        <v>AIR INDIAP4.2</v>
      </c>
      <c r="W17" t="s">
        <v>41</v>
      </c>
      <c r="X17" t="s">
        <v>61</v>
      </c>
      <c r="Y17" s="20"/>
      <c r="Z17" s="20"/>
      <c r="AA17" s="20"/>
    </row>
    <row r="18" spans="1:27">
      <c r="A18" s="19" t="s">
        <v>202</v>
      </c>
      <c r="B18" s="20"/>
      <c r="C18" s="20"/>
      <c r="V18" t="str">
        <f t="shared" si="0"/>
        <v>AIR INDIAP5</v>
      </c>
      <c r="W18" t="s">
        <v>41</v>
      </c>
      <c r="X18" t="s">
        <v>8</v>
      </c>
      <c r="Y18" s="20">
        <v>2113</v>
      </c>
      <c r="Z18" s="20">
        <v>1989</v>
      </c>
      <c r="AA18" s="20">
        <v>3208.24</v>
      </c>
    </row>
    <row r="19" spans="1:27">
      <c r="A19" s="19" t="s">
        <v>204</v>
      </c>
      <c r="B19" s="20">
        <v>33</v>
      </c>
      <c r="C19" s="20">
        <v>7.0138840000000009</v>
      </c>
      <c r="V19" t="str">
        <f t="shared" si="0"/>
        <v>AIR INDIAP6</v>
      </c>
      <c r="W19" t="s">
        <v>41</v>
      </c>
      <c r="X19" t="s">
        <v>9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67</v>
      </c>
      <c r="B20" s="20">
        <v>183156</v>
      </c>
      <c r="C20" s="20">
        <v>281327.94404700003</v>
      </c>
      <c r="V20" t="str">
        <f t="shared" si="0"/>
        <v>AIR INDIA EXPRESSP1</v>
      </c>
      <c r="W20" t="s">
        <v>42</v>
      </c>
      <c r="X20" t="s">
        <v>4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0"/>
      <c r="Z21" s="20"/>
      <c r="AA21" s="20"/>
    </row>
    <row r="22" spans="1:27">
      <c r="V22" t="str">
        <f t="shared" si="0"/>
        <v>AIR INDIA EXPRESSP3</v>
      </c>
      <c r="W22" t="s">
        <v>42</v>
      </c>
      <c r="X22" t="s">
        <v>6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0"/>
      <c r="Z26" s="20"/>
      <c r="AA26" s="20"/>
    </row>
    <row r="27" spans="1:27">
      <c r="V27" t="str">
        <f t="shared" si="0"/>
        <v>AIR INDIA EXPRESSP6</v>
      </c>
      <c r="W27" t="s">
        <v>42</v>
      </c>
      <c r="X27" t="s">
        <v>9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0">
        <v>26982</v>
      </c>
      <c r="Z35" s="20">
        <v>29796</v>
      </c>
      <c r="AA35" s="20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0"/>
      <c r="Z37" s="20"/>
      <c r="AA37" s="20"/>
    </row>
    <row r="38" spans="22:27">
      <c r="V38" t="str">
        <f t="shared" si="0"/>
        <v>ALLIANCE AIRP3</v>
      </c>
      <c r="W38" t="s">
        <v>43</v>
      </c>
      <c r="X38" t="s">
        <v>6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0"/>
      <c r="Z39" s="20"/>
      <c r="AA39" s="20"/>
    </row>
    <row r="40" spans="22:27">
      <c r="V40" t="str">
        <f t="shared" si="0"/>
        <v>ALLIANCE AIRP4.1</v>
      </c>
      <c r="W40" t="s">
        <v>43</v>
      </c>
      <c r="X40" t="s">
        <v>60</v>
      </c>
      <c r="Y40" s="20"/>
      <c r="Z40" s="20"/>
      <c r="AA40" s="20"/>
    </row>
    <row r="41" spans="22:27">
      <c r="V41" t="str">
        <f t="shared" si="0"/>
        <v>ALLIANCE AIRP4.2</v>
      </c>
      <c r="W41" t="s">
        <v>43</v>
      </c>
      <c r="X41" t="s">
        <v>61</v>
      </c>
      <c r="Y41" s="20"/>
      <c r="Z41" s="20"/>
      <c r="AA41" s="20"/>
    </row>
    <row r="42" spans="22:27">
      <c r="V42" t="str">
        <f t="shared" si="0"/>
        <v>ALLIANCE AIRP5</v>
      </c>
      <c r="W42" t="s">
        <v>43</v>
      </c>
      <c r="X42" t="s">
        <v>8</v>
      </c>
      <c r="Y42" s="20"/>
      <c r="Z42" s="20"/>
      <c r="AA42" s="20"/>
    </row>
    <row r="43" spans="22:27">
      <c r="V43" t="str">
        <f t="shared" si="0"/>
        <v>ALLIANCE AIRP6</v>
      </c>
      <c r="W43" t="s">
        <v>43</v>
      </c>
      <c r="X43" t="s">
        <v>9</v>
      </c>
      <c r="Y43" s="20">
        <v>346</v>
      </c>
      <c r="Z43" s="20">
        <v>324</v>
      </c>
      <c r="AA43" s="20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0"/>
      <c r="Z45" s="20"/>
      <c r="AA45" s="20"/>
    </row>
    <row r="46" spans="22:27">
      <c r="V46" t="str">
        <f t="shared" si="0"/>
        <v>Blue Dart P3</v>
      </c>
      <c r="W46" t="s">
        <v>51</v>
      </c>
      <c r="X46" t="s">
        <v>6</v>
      </c>
      <c r="Y46" s="20"/>
      <c r="Z46" s="20"/>
      <c r="AA46" s="20"/>
    </row>
    <row r="47" spans="22:27">
      <c r="V47" t="str">
        <f t="shared" si="0"/>
        <v>Blue Dart P4</v>
      </c>
      <c r="W47" t="s">
        <v>51</v>
      </c>
      <c r="X47" t="s">
        <v>7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0"/>
      <c r="Z50" s="20"/>
      <c r="AA50" s="20"/>
    </row>
    <row r="51" spans="22:27">
      <c r="V51" t="str">
        <f t="shared" si="0"/>
        <v>Blue Dart P6</v>
      </c>
      <c r="W51" t="s">
        <v>51</v>
      </c>
      <c r="X51" t="s">
        <v>9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0"/>
      <c r="Z53" s="20"/>
      <c r="AA53" s="20"/>
    </row>
    <row r="54" spans="22:27">
      <c r="V54" t="str">
        <f t="shared" si="0"/>
        <v>GO AIRP3</v>
      </c>
      <c r="W54" t="s">
        <v>44</v>
      </c>
      <c r="X54" t="s">
        <v>6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0">
        <v>5668</v>
      </c>
      <c r="Z75" s="20">
        <v>5119</v>
      </c>
      <c r="AA75" s="20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0"/>
      <c r="Z93" s="20"/>
      <c r="AA93" s="20"/>
    </row>
    <row r="94" spans="22:27">
      <c r="V94" t="str">
        <f t="shared" si="1"/>
        <v>TRUEJETP3</v>
      </c>
      <c r="W94" t="s">
        <v>53</v>
      </c>
      <c r="X94" t="s">
        <v>6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0"/>
      <c r="Z101" s="20"/>
      <c r="AA101" s="20"/>
    </row>
    <row r="102" spans="22:27">
      <c r="V102" t="str">
        <f t="shared" si="1"/>
        <v>VISTARAP3</v>
      </c>
      <c r="W102" t="s">
        <v>50</v>
      </c>
      <c r="X102" t="s">
        <v>6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0"/>
      <c r="Z108" s="20"/>
      <c r="AA108" s="20"/>
    </row>
    <row r="109" spans="22:27">
      <c r="V109" t="str">
        <f t="shared" si="1"/>
        <v>STAR AIRP1</v>
      </c>
      <c r="W109" t="s">
        <v>202</v>
      </c>
      <c r="X109" t="s">
        <v>4</v>
      </c>
      <c r="Y109" s="20"/>
      <c r="Z109" s="20"/>
      <c r="AA109" s="20"/>
    </row>
    <row r="110" spans="22:27">
      <c r="V110" t="str">
        <f t="shared" si="1"/>
        <v>STAR AIRP2</v>
      </c>
      <c r="W110" t="s">
        <v>202</v>
      </c>
      <c r="X110" t="s">
        <v>5</v>
      </c>
      <c r="Y110" s="20"/>
      <c r="Z110" s="20"/>
      <c r="AA110" s="20"/>
    </row>
    <row r="111" spans="22:27">
      <c r="V111" t="str">
        <f t="shared" si="1"/>
        <v>STAR AIRP3</v>
      </c>
      <c r="W111" t="s">
        <v>202</v>
      </c>
      <c r="X111" t="s">
        <v>6</v>
      </c>
      <c r="Y111" s="20"/>
      <c r="Z111" s="20"/>
      <c r="AA111" s="20"/>
    </row>
    <row r="112" spans="22:27">
      <c r="V112" t="str">
        <f t="shared" si="1"/>
        <v>STAR AIRP4</v>
      </c>
      <c r="W112" t="s">
        <v>202</v>
      </c>
      <c r="X112" t="s">
        <v>7</v>
      </c>
      <c r="Y112" s="20"/>
      <c r="Z112" s="20"/>
      <c r="AA112" s="20"/>
    </row>
    <row r="113" spans="22:27">
      <c r="V113" t="str">
        <f t="shared" si="1"/>
        <v>STAR AIRP4.1</v>
      </c>
      <c r="W113" t="s">
        <v>202</v>
      </c>
      <c r="X113" t="s">
        <v>60</v>
      </c>
      <c r="Y113" s="20"/>
      <c r="Z113" s="20"/>
      <c r="AA113" s="20"/>
    </row>
    <row r="114" spans="22:27">
      <c r="V114" t="str">
        <f t="shared" si="1"/>
        <v>STAR AIRP4.2</v>
      </c>
      <c r="W114" t="s">
        <v>202</v>
      </c>
      <c r="X114" t="s">
        <v>61</v>
      </c>
      <c r="Y114" s="20"/>
      <c r="Z114" s="20"/>
      <c r="AA114" s="20"/>
    </row>
    <row r="115" spans="22:27">
      <c r="V115" t="str">
        <f t="shared" si="1"/>
        <v>STAR AIRP5</v>
      </c>
      <c r="W115" t="s">
        <v>202</v>
      </c>
      <c r="X115" t="s">
        <v>8</v>
      </c>
      <c r="Y115" s="20"/>
      <c r="Z115" s="20"/>
      <c r="AA115" s="20"/>
    </row>
    <row r="116" spans="22:27">
      <c r="V116" t="str">
        <f t="shared" si="1"/>
        <v>STAR AIRP6</v>
      </c>
      <c r="W116" t="s">
        <v>202</v>
      </c>
      <c r="X116" t="s">
        <v>9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15</v>
      </c>
      <c r="C2" s="24" t="s">
        <v>121</v>
      </c>
      <c r="D2" s="24" t="s">
        <v>122</v>
      </c>
      <c r="E2" s="24" t="s">
        <v>18</v>
      </c>
      <c r="F2" s="24" t="s">
        <v>123</v>
      </c>
      <c r="G2" s="25" t="s">
        <v>124</v>
      </c>
      <c r="H2" s="25" t="s">
        <v>125</v>
      </c>
      <c r="I2" s="26" t="s">
        <v>126</v>
      </c>
      <c r="J2" s="25" t="s">
        <v>127</v>
      </c>
      <c r="K2" s="25" t="s">
        <v>128</v>
      </c>
      <c r="L2" s="25" t="s">
        <v>129</v>
      </c>
      <c r="M2" s="25" t="s">
        <v>130</v>
      </c>
      <c r="N2" s="25" t="s">
        <v>131</v>
      </c>
      <c r="O2" s="25" t="s">
        <v>132</v>
      </c>
      <c r="P2" s="25" t="s">
        <v>133</v>
      </c>
      <c r="Q2" s="25" t="s">
        <v>134</v>
      </c>
      <c r="R2" s="25" t="s">
        <v>135</v>
      </c>
      <c r="S2" s="27" t="s">
        <v>136</v>
      </c>
      <c r="T2" s="25" t="s">
        <v>137</v>
      </c>
      <c r="U2" s="25" t="s">
        <v>138</v>
      </c>
      <c r="V2" s="24" t="s">
        <v>139</v>
      </c>
      <c r="W2" s="25" t="s">
        <v>140</v>
      </c>
      <c r="X2" s="24" t="s">
        <v>141</v>
      </c>
      <c r="Y2" s="24" t="s">
        <v>142</v>
      </c>
    </row>
    <row r="3" spans="1:25">
      <c r="A3" s="18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2" customFormat="1">
      <c r="A4" s="34" t="s">
        <v>49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41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42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43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51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44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38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45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46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47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53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50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66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62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63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64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202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203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201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67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6">
    <tabColor theme="9" tint="0.59999389629810485"/>
  </sheetPr>
  <dimension ref="A1:N1213"/>
  <sheetViews>
    <sheetView showGridLines="0" tabSelected="1" view="pageBreakPreview" zoomScale="75" zoomScaleNormal="75" zoomScaleSheetLayoutView="75" workbookViewId="0">
      <selection activeCell="N4" sqref="N4"/>
    </sheetView>
  </sheetViews>
  <sheetFormatPr defaultColWidth="11" defaultRowHeight="15"/>
  <cols>
    <col min="1" max="1" width="7.42578125" style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6384" width="11" style="1"/>
  </cols>
  <sheetData>
    <row r="1" spans="1:10" ht="33" customHeight="1">
      <c r="A1" s="56" t="s">
        <v>206</v>
      </c>
      <c r="B1" s="56"/>
      <c r="C1" s="56"/>
      <c r="D1" s="56"/>
      <c r="E1" s="56"/>
      <c r="F1" s="56"/>
      <c r="G1" s="56"/>
      <c r="H1" s="56"/>
      <c r="I1" s="56"/>
      <c r="J1" s="56"/>
    </row>
    <row r="2" spans="1:10" ht="30.75" customHeight="1">
      <c r="A2" s="57" t="s">
        <v>208</v>
      </c>
      <c r="B2" s="57"/>
      <c r="C2" s="57"/>
      <c r="D2" s="57"/>
      <c r="E2" s="57"/>
      <c r="F2" s="57"/>
      <c r="G2" s="57"/>
      <c r="H2" s="57"/>
      <c r="I2" s="57"/>
      <c r="J2" s="57"/>
    </row>
    <row r="3" spans="1:10" ht="30" customHeight="1">
      <c r="A3" s="58" t="s">
        <v>209</v>
      </c>
      <c r="B3" s="58"/>
      <c r="C3" s="58"/>
      <c r="D3" s="58"/>
      <c r="E3" s="58"/>
      <c r="F3" s="58"/>
      <c r="G3" s="58"/>
      <c r="H3" s="58"/>
      <c r="I3" s="58"/>
      <c r="J3" s="58"/>
    </row>
    <row r="4" spans="1:10" ht="26.25" customHeight="1">
      <c r="A4" s="59" t="s">
        <v>11</v>
      </c>
      <c r="B4" s="59"/>
      <c r="C4" s="59"/>
      <c r="D4" s="59"/>
      <c r="E4" s="59"/>
      <c r="F4" s="59"/>
      <c r="G4" s="59"/>
      <c r="H4" s="59"/>
      <c r="I4" s="59"/>
      <c r="J4" s="59"/>
    </row>
    <row r="5" spans="1:10" ht="24" customHeight="1">
      <c r="A5" s="50" t="s">
        <v>211</v>
      </c>
      <c r="B5" s="41" t="s">
        <v>12</v>
      </c>
      <c r="C5" s="42" t="s">
        <v>0</v>
      </c>
      <c r="D5" s="42" t="s">
        <v>10</v>
      </c>
      <c r="E5" s="42" t="s">
        <v>3</v>
      </c>
      <c r="F5" s="42" t="s">
        <v>40</v>
      </c>
      <c r="G5" s="42" t="s">
        <v>82</v>
      </c>
      <c r="H5" s="42" t="s">
        <v>198</v>
      </c>
      <c r="I5" s="42" t="s">
        <v>205</v>
      </c>
      <c r="J5" s="42" t="s">
        <v>207</v>
      </c>
    </row>
    <row r="6" spans="1:10" ht="24" customHeight="1">
      <c r="A6" s="41">
        <v>1</v>
      </c>
      <c r="B6" s="41">
        <v>2</v>
      </c>
      <c r="C6" s="42">
        <v>3</v>
      </c>
      <c r="D6" s="42">
        <v>4</v>
      </c>
      <c r="E6" s="42">
        <v>5</v>
      </c>
      <c r="F6" s="42">
        <v>6</v>
      </c>
      <c r="G6" s="42">
        <v>7</v>
      </c>
      <c r="H6" s="42">
        <v>8</v>
      </c>
      <c r="I6" s="42">
        <v>9</v>
      </c>
      <c r="J6" s="42">
        <v>10</v>
      </c>
    </row>
    <row r="7" spans="1:10" ht="20.25" customHeight="1">
      <c r="A7" s="49">
        <v>1</v>
      </c>
      <c r="B7" s="51" t="s">
        <v>13</v>
      </c>
      <c r="C7" s="51"/>
      <c r="D7" s="51"/>
      <c r="E7" s="51"/>
      <c r="F7" s="51"/>
      <c r="G7" s="51"/>
      <c r="H7" s="51"/>
      <c r="I7" s="51"/>
      <c r="J7" s="52"/>
    </row>
    <row r="8" spans="1:10" ht="20.25" customHeight="1">
      <c r="A8" s="49" t="s">
        <v>212</v>
      </c>
      <c r="B8" s="53" t="s">
        <v>14</v>
      </c>
      <c r="C8" s="53"/>
      <c r="D8" s="53"/>
      <c r="E8" s="53"/>
      <c r="F8" s="53"/>
      <c r="G8" s="53"/>
      <c r="H8" s="53"/>
      <c r="I8" s="53"/>
      <c r="J8" s="52"/>
    </row>
    <row r="9" spans="1:10" ht="20.25" customHeight="1">
      <c r="A9" s="49" t="s">
        <v>213</v>
      </c>
      <c r="B9" s="43" t="s">
        <v>15</v>
      </c>
      <c r="C9" s="44">
        <v>124944.4</v>
      </c>
      <c r="D9" s="45">
        <v>141507.29999999999</v>
      </c>
      <c r="E9" s="45">
        <v>157933.6</v>
      </c>
      <c r="F9" s="45">
        <v>156562.5</v>
      </c>
      <c r="G9" s="45">
        <v>159978.1</v>
      </c>
      <c r="H9" s="45">
        <v>177440.9</v>
      </c>
      <c r="I9" s="46">
        <v>207741.6</v>
      </c>
      <c r="J9" s="44">
        <v>226197</v>
      </c>
    </row>
    <row r="10" spans="1:10" ht="20.25" customHeight="1">
      <c r="A10" s="49" t="s">
        <v>214</v>
      </c>
      <c r="B10" s="3" t="s">
        <v>16</v>
      </c>
      <c r="C10" s="4">
        <v>794.2</v>
      </c>
      <c r="D10" s="17">
        <v>1397.6</v>
      </c>
      <c r="E10" s="17">
        <v>1259.7</v>
      </c>
      <c r="F10" s="17">
        <v>1176.0999999999999</v>
      </c>
      <c r="G10" s="17">
        <v>1039.7</v>
      </c>
      <c r="H10" s="17">
        <v>1110.0999999999999</v>
      </c>
      <c r="I10" s="35">
        <v>1203.8</v>
      </c>
      <c r="J10" s="44">
        <v>1449.4</v>
      </c>
    </row>
    <row r="11" spans="1:10" ht="20.25" customHeight="1">
      <c r="A11" s="49" t="s">
        <v>214</v>
      </c>
      <c r="B11" s="3" t="s">
        <v>17</v>
      </c>
      <c r="C11" s="4">
        <v>8549</v>
      </c>
      <c r="D11" s="17">
        <v>10659.1</v>
      </c>
      <c r="E11" s="17">
        <v>11550.3</v>
      </c>
      <c r="F11" s="17">
        <v>10545.4</v>
      </c>
      <c r="G11" s="17">
        <v>10271.9</v>
      </c>
      <c r="H11" s="17">
        <v>12095.2</v>
      </c>
      <c r="I11" s="35">
        <v>14484</v>
      </c>
      <c r="J11" s="44">
        <v>14850.6</v>
      </c>
    </row>
    <row r="12" spans="1:10" ht="20.25" customHeight="1">
      <c r="A12" s="49" t="s">
        <v>215</v>
      </c>
      <c r="B12" s="3" t="s">
        <v>18</v>
      </c>
      <c r="C12" s="4">
        <v>686.8</v>
      </c>
      <c r="D12" s="17">
        <v>764.1</v>
      </c>
      <c r="E12" s="17">
        <v>796.4</v>
      </c>
      <c r="F12" s="17">
        <v>900.1</v>
      </c>
      <c r="G12" s="17">
        <v>679.6</v>
      </c>
      <c r="H12" s="17">
        <v>713.4</v>
      </c>
      <c r="I12" s="35">
        <v>576.20000000000005</v>
      </c>
      <c r="J12" s="44">
        <v>535.70000000000005</v>
      </c>
    </row>
    <row r="13" spans="1:10" ht="20.25" customHeight="1">
      <c r="A13" s="49" t="s">
        <v>216</v>
      </c>
      <c r="B13" s="3" t="s">
        <v>19</v>
      </c>
      <c r="C13" s="4">
        <v>0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35">
        <v>0</v>
      </c>
      <c r="J13" s="44">
        <v>0</v>
      </c>
    </row>
    <row r="14" spans="1:10" ht="20.25" customHeight="1">
      <c r="A14" s="49" t="s">
        <v>217</v>
      </c>
      <c r="B14" s="5" t="s">
        <v>20</v>
      </c>
      <c r="C14" s="6">
        <v>134974.39999999997</v>
      </c>
      <c r="D14" s="6">
        <v>154328.1</v>
      </c>
      <c r="E14" s="6">
        <v>171540</v>
      </c>
      <c r="F14" s="6">
        <v>169184.1</v>
      </c>
      <c r="G14" s="6">
        <v>171969.30000000002</v>
      </c>
      <c r="H14" s="6">
        <v>191359.6</v>
      </c>
      <c r="I14" s="6">
        <v>224005.6</v>
      </c>
      <c r="J14" s="48">
        <v>243032.7</v>
      </c>
    </row>
    <row r="15" spans="1:10" ht="20.25" customHeight="1">
      <c r="A15" s="49" t="s">
        <v>218</v>
      </c>
      <c r="B15" s="7" t="s">
        <v>21</v>
      </c>
      <c r="C15" s="4">
        <v>10740.4</v>
      </c>
      <c r="D15" s="17">
        <v>11198.5</v>
      </c>
      <c r="E15" s="17">
        <v>11363.1</v>
      </c>
      <c r="F15" s="17">
        <v>11340.5</v>
      </c>
      <c r="G15" s="17">
        <v>12343.5</v>
      </c>
      <c r="H15" s="17">
        <v>13085.9</v>
      </c>
      <c r="I15" s="35">
        <v>15343.6</v>
      </c>
      <c r="J15" s="44">
        <v>17159.099999999999</v>
      </c>
    </row>
    <row r="16" spans="1:10" ht="20.25" customHeight="1">
      <c r="A16" s="49" t="s">
        <v>219</v>
      </c>
      <c r="B16" s="5" t="s">
        <v>22</v>
      </c>
      <c r="C16" s="4">
        <v>15006.3</v>
      </c>
      <c r="D16" s="17">
        <v>25408.3</v>
      </c>
      <c r="E16" s="17">
        <v>23228.500000000007</v>
      </c>
      <c r="F16" s="17">
        <v>19398.7</v>
      </c>
      <c r="G16" s="17">
        <v>34283.300000000003</v>
      </c>
      <c r="H16" s="17">
        <v>25591.200000000001</v>
      </c>
      <c r="I16" s="35">
        <v>15739.1</v>
      </c>
      <c r="J16" s="44">
        <v>16914.3</v>
      </c>
    </row>
    <row r="17" spans="1:14" ht="20.25" customHeight="1">
      <c r="A17" s="49" t="s">
        <v>220</v>
      </c>
      <c r="B17" s="8" t="s">
        <v>2</v>
      </c>
      <c r="C17" s="9">
        <v>160721.09999999995</v>
      </c>
      <c r="D17" s="9">
        <v>190934.9</v>
      </c>
      <c r="E17" s="9">
        <v>206131.6</v>
      </c>
      <c r="F17" s="9">
        <v>199923.30000000002</v>
      </c>
      <c r="G17" s="9">
        <v>218596.1</v>
      </c>
      <c r="H17" s="9">
        <v>230036.7</v>
      </c>
      <c r="I17" s="9">
        <v>255088.30000000002</v>
      </c>
      <c r="J17" s="9">
        <v>277106.09999999998</v>
      </c>
      <c r="M17" s="15"/>
      <c r="N17" s="15"/>
    </row>
    <row r="18" spans="1:14" ht="20.25" customHeight="1">
      <c r="A18" s="49">
        <v>2</v>
      </c>
      <c r="B18" s="51" t="s">
        <v>23</v>
      </c>
      <c r="C18" s="51"/>
      <c r="D18" s="51"/>
      <c r="E18" s="51"/>
      <c r="F18" s="51"/>
      <c r="G18" s="51"/>
      <c r="H18" s="51"/>
      <c r="I18" s="51"/>
      <c r="J18" s="52"/>
    </row>
    <row r="19" spans="1:14" ht="20.25" customHeight="1">
      <c r="A19" s="49" t="s">
        <v>212</v>
      </c>
      <c r="B19" s="47" t="s">
        <v>24</v>
      </c>
      <c r="C19" s="44">
        <v>95720.8</v>
      </c>
      <c r="D19" s="45">
        <v>107297.9</v>
      </c>
      <c r="E19" s="45">
        <v>104366.22999999998</v>
      </c>
      <c r="F19" s="45">
        <v>79838</v>
      </c>
      <c r="G19" s="45">
        <v>92543.8</v>
      </c>
      <c r="H19" s="45">
        <v>109070.39999999999</v>
      </c>
      <c r="I19" s="46">
        <v>146405.4</v>
      </c>
      <c r="J19" s="44">
        <v>107023.7</v>
      </c>
    </row>
    <row r="20" spans="1:14" ht="20.25" customHeight="1">
      <c r="A20" s="49" t="s">
        <v>217</v>
      </c>
      <c r="B20" s="10" t="s">
        <v>25</v>
      </c>
      <c r="C20" s="4">
        <v>8308.1</v>
      </c>
      <c r="D20" s="17">
        <v>14840.4</v>
      </c>
      <c r="E20" s="17">
        <v>22802</v>
      </c>
      <c r="F20" s="17">
        <v>21255.200000000001</v>
      </c>
      <c r="G20" s="17">
        <v>24205.200000000001</v>
      </c>
      <c r="H20" s="17">
        <v>27746</v>
      </c>
      <c r="I20" s="35">
        <v>34762.1</v>
      </c>
      <c r="J20" s="44">
        <v>38670.6</v>
      </c>
    </row>
    <row r="21" spans="1:14" ht="20.25" customHeight="1">
      <c r="A21" s="49" t="s">
        <v>218</v>
      </c>
      <c r="B21" s="10" t="s">
        <v>26</v>
      </c>
      <c r="C21" s="4">
        <v>17003.7</v>
      </c>
      <c r="D21" s="17">
        <v>18955.7</v>
      </c>
      <c r="E21" s="17">
        <v>19207.400000000001</v>
      </c>
      <c r="F21" s="17">
        <v>18677.8</v>
      </c>
      <c r="G21" s="17">
        <v>16095</v>
      </c>
      <c r="H21" s="17">
        <v>16673.8</v>
      </c>
      <c r="I21" s="35">
        <v>15879.3</v>
      </c>
      <c r="J21" s="44">
        <v>42921.8</v>
      </c>
    </row>
    <row r="22" spans="1:14" ht="20.25" customHeight="1">
      <c r="A22" s="49" t="s">
        <v>219</v>
      </c>
      <c r="B22" s="10" t="s">
        <v>160</v>
      </c>
      <c r="C22" s="4">
        <v>11063.8</v>
      </c>
      <c r="D22" s="17">
        <v>13916.3</v>
      </c>
      <c r="E22" s="17">
        <v>14537.5</v>
      </c>
      <c r="F22" s="17">
        <v>15940.9</v>
      </c>
      <c r="G22" s="17">
        <v>17032</v>
      </c>
      <c r="H22" s="17">
        <v>18113.400000000001</v>
      </c>
      <c r="I22" s="35">
        <v>19188.2</v>
      </c>
      <c r="J22" s="44">
        <v>19423.7</v>
      </c>
    </row>
    <row r="23" spans="1:14" ht="20.25" customHeight="1">
      <c r="A23" s="49" t="s">
        <v>220</v>
      </c>
      <c r="B23" s="10" t="s">
        <v>27</v>
      </c>
      <c r="C23" s="4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35">
        <v>0</v>
      </c>
      <c r="J23" s="44">
        <v>0</v>
      </c>
    </row>
    <row r="24" spans="1:14" ht="20.25" customHeight="1">
      <c r="A24" s="49" t="s">
        <v>221</v>
      </c>
      <c r="B24" s="10" t="s">
        <v>28</v>
      </c>
      <c r="C24" s="4">
        <v>6881</v>
      </c>
      <c r="D24" s="17">
        <v>7871.2</v>
      </c>
      <c r="E24" s="17">
        <v>10547.47</v>
      </c>
      <c r="F24" s="17">
        <v>8256.7999999999993</v>
      </c>
      <c r="G24" s="17">
        <v>8803.5</v>
      </c>
      <c r="H24" s="17">
        <v>8897.7000000000007</v>
      </c>
      <c r="I24" s="35">
        <v>10251.700000000001</v>
      </c>
      <c r="J24" s="44">
        <v>9887.2999999999993</v>
      </c>
    </row>
    <row r="25" spans="1:14" ht="20.25" customHeight="1">
      <c r="A25" s="49" t="s">
        <v>222</v>
      </c>
      <c r="B25" s="10" t="s">
        <v>29</v>
      </c>
      <c r="C25" s="4">
        <v>4440.2</v>
      </c>
      <c r="D25" s="17">
        <v>3986.5</v>
      </c>
      <c r="E25" s="17">
        <v>4579.6000000000004</v>
      </c>
      <c r="F25" s="17">
        <v>4946.2</v>
      </c>
      <c r="G25" s="17">
        <v>6367.3</v>
      </c>
      <c r="H25" s="17">
        <v>6435.4</v>
      </c>
      <c r="I25" s="35">
        <v>6475.6</v>
      </c>
      <c r="J25" s="44">
        <v>7173</v>
      </c>
    </row>
    <row r="26" spans="1:14" ht="20.25" customHeight="1">
      <c r="A26" s="49" t="s">
        <v>223</v>
      </c>
      <c r="B26" s="10" t="s">
        <v>30</v>
      </c>
      <c r="C26" s="4">
        <v>38276.400000000001</v>
      </c>
      <c r="D26" s="17">
        <v>37391.199999999997</v>
      </c>
      <c r="E26" s="17">
        <v>28344.300000000017</v>
      </c>
      <c r="F26" s="17">
        <v>28252.1</v>
      </c>
      <c r="G26" s="17">
        <v>27328</v>
      </c>
      <c r="H26" s="17">
        <v>33562.1</v>
      </c>
      <c r="I26" s="35">
        <v>39568.9</v>
      </c>
      <c r="J26" s="44">
        <v>69321.2</v>
      </c>
    </row>
    <row r="27" spans="1:14" ht="20.25" customHeight="1">
      <c r="A27" s="49" t="s">
        <v>224</v>
      </c>
      <c r="B27" s="10" t="s">
        <v>31</v>
      </c>
      <c r="C27" s="4">
        <v>16655.900000000001</v>
      </c>
      <c r="D27" s="17">
        <v>19229.3</v>
      </c>
      <c r="E27" s="17">
        <v>22469.9</v>
      </c>
      <c r="F27" s="17">
        <v>21706.3</v>
      </c>
      <c r="G27" s="17">
        <v>23241.1</v>
      </c>
      <c r="H27" s="17">
        <v>26118.6</v>
      </c>
      <c r="I27" s="35">
        <v>29409.7</v>
      </c>
      <c r="J27" s="44">
        <v>29287.8</v>
      </c>
    </row>
    <row r="28" spans="1:14" ht="20.25" customHeight="1">
      <c r="A28" s="49" t="s">
        <v>225</v>
      </c>
      <c r="B28" s="8" t="s">
        <v>1</v>
      </c>
      <c r="C28" s="9">
        <v>198349.9</v>
      </c>
      <c r="D28" s="9">
        <v>223488.5</v>
      </c>
      <c r="E28" s="9">
        <v>226854.39999999999</v>
      </c>
      <c r="F28" s="9">
        <v>198873.3</v>
      </c>
      <c r="G28" s="9">
        <v>215615.9</v>
      </c>
      <c r="H28" s="9">
        <v>246617.4</v>
      </c>
      <c r="I28" s="9">
        <v>301940.90000000002</v>
      </c>
      <c r="J28" s="9">
        <v>323709.09999999998</v>
      </c>
    </row>
    <row r="29" spans="1:14" ht="20.25" customHeight="1">
      <c r="A29" s="49">
        <v>3</v>
      </c>
      <c r="B29" s="11" t="s">
        <v>32</v>
      </c>
      <c r="C29" s="12">
        <v>-37628.800000000047</v>
      </c>
      <c r="D29" s="12">
        <v>-32553.599999999999</v>
      </c>
      <c r="E29" s="12">
        <v>-20722.799999999988</v>
      </c>
      <c r="F29" s="4">
        <v>1050.0000000000291</v>
      </c>
      <c r="G29" s="4">
        <v>2980.2</v>
      </c>
      <c r="H29" s="4">
        <v>-16580.7</v>
      </c>
      <c r="I29" s="4">
        <v>-46852.6</v>
      </c>
      <c r="J29" s="44">
        <v>-46603</v>
      </c>
    </row>
    <row r="30" spans="1:14" ht="29.25" customHeight="1">
      <c r="A30" s="49">
        <v>4</v>
      </c>
      <c r="B30" s="11" t="s">
        <v>33</v>
      </c>
      <c r="C30" s="4">
        <v>-27490.6</v>
      </c>
      <c r="D30" s="4">
        <v>-36376.300000000003</v>
      </c>
      <c r="E30" s="4">
        <v>-38335.599999999999</v>
      </c>
      <c r="F30" s="4">
        <v>-38629</v>
      </c>
      <c r="G30" s="4">
        <v>-52159.6</v>
      </c>
      <c r="H30" s="4">
        <v>-36796.699999999997</v>
      </c>
      <c r="I30" s="4">
        <v>-37895.4</v>
      </c>
      <c r="J30" s="44">
        <v>-31054.3</v>
      </c>
    </row>
    <row r="31" spans="1:14" ht="27" customHeight="1">
      <c r="A31" s="49">
        <v>5</v>
      </c>
      <c r="B31" s="11" t="s">
        <v>37</v>
      </c>
      <c r="C31" s="13">
        <v>-65119.4</v>
      </c>
      <c r="D31" s="16">
        <v>-68929.899999999994</v>
      </c>
      <c r="E31" s="16">
        <v>-59058.399999999994</v>
      </c>
      <c r="F31" s="4">
        <v>-37578.999999999971</v>
      </c>
      <c r="G31" s="4">
        <v>-49179.4</v>
      </c>
      <c r="H31" s="4">
        <v>-53377.4</v>
      </c>
      <c r="I31" s="4">
        <v>-84748</v>
      </c>
      <c r="J31" s="44">
        <v>-77657.3</v>
      </c>
    </row>
    <row r="32" spans="1:14" ht="20.25" customHeight="1">
      <c r="A32" s="49">
        <v>6</v>
      </c>
      <c r="B32" s="10" t="s">
        <v>34</v>
      </c>
      <c r="C32" s="1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4">
        <v>0</v>
      </c>
    </row>
    <row r="33" spans="1:10" ht="20.25" customHeight="1">
      <c r="A33" s="49">
        <v>7</v>
      </c>
      <c r="B33" s="10" t="s">
        <v>35</v>
      </c>
      <c r="C33" s="4">
        <v>-65119.4</v>
      </c>
      <c r="D33" s="4">
        <v>-68929.899999999994</v>
      </c>
      <c r="E33" s="4">
        <v>-59058.399999999994</v>
      </c>
      <c r="F33" s="4">
        <v>-37578.999999999971</v>
      </c>
      <c r="G33" s="4">
        <v>-49179.4</v>
      </c>
      <c r="H33" s="4">
        <v>-53377.4</v>
      </c>
      <c r="I33" s="4">
        <v>-84748</v>
      </c>
      <c r="J33" s="44">
        <v>-77657.3</v>
      </c>
    </row>
    <row r="34" spans="1:10" ht="30.75" customHeight="1">
      <c r="A34" s="49">
        <v>8</v>
      </c>
      <c r="B34" s="10" t="s">
        <v>36</v>
      </c>
      <c r="C34" s="4">
        <v>-54901.599999999999</v>
      </c>
      <c r="D34" s="4">
        <v>-62796</v>
      </c>
      <c r="E34" s="4">
        <v>-58599.099999999991</v>
      </c>
      <c r="F34" s="4">
        <v>-38367.799999999974</v>
      </c>
      <c r="G34" s="4">
        <v>-57651.7</v>
      </c>
      <c r="H34" s="4">
        <v>-53481.7</v>
      </c>
      <c r="I34" s="4">
        <v>-85563.6</v>
      </c>
      <c r="J34" s="44">
        <v>-79828.2</v>
      </c>
    </row>
    <row r="35" spans="1:10" ht="24.95" customHeight="1">
      <c r="A35" s="54" t="s">
        <v>210</v>
      </c>
      <c r="B35" s="54"/>
      <c r="C35" s="54"/>
      <c r="D35" s="54"/>
      <c r="E35" s="54"/>
      <c r="F35" s="54"/>
      <c r="G35" s="54"/>
      <c r="H35" s="54"/>
      <c r="I35" s="54"/>
      <c r="J35" s="55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B18:J18"/>
    <mergeCell ref="B7:J7"/>
    <mergeCell ref="B8:J8"/>
    <mergeCell ref="A35:J35"/>
    <mergeCell ref="A1:J1"/>
    <mergeCell ref="A2:J2"/>
    <mergeCell ref="A3:J3"/>
    <mergeCell ref="A4:J4"/>
  </mergeCells>
  <printOptions gridLines="1"/>
  <pageMargins left="0.5" right="0.5" top="0.5" bottom="0.5" header="0.5" footer="0.5"/>
  <pageSetup scale="71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2021-11-29T20:02:50Z</dcterms:modified>
</cp:coreProperties>
</file>