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5. ALLIANCE AIR\"/>
    </mc:Choice>
  </mc:AlternateContent>
  <bookViews>
    <workbookView xWindow="0" yWindow="0" windowWidth="24000" windowHeight="10725"/>
  </bookViews>
  <sheets>
    <sheet name="Alliance Air" sheetId="1" r:id="rId1"/>
  </sheets>
  <definedNames>
    <definedName name="_xlnm.Print_Area" localSheetId="0">'Alliance Air'!$A$1:$Q$40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8" i="1" l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</calcChain>
</file>

<file path=xl/sharedStrings.xml><?xml version="1.0" encoding="utf-8"?>
<sst xmlns="http://schemas.openxmlformats.org/spreadsheetml/2006/main" count="91" uniqueCount="38">
  <si>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</si>
  <si>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</si>
  <si>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</si>
  <si>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</si>
  <si>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</si>
  <si>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</si>
  <si>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</si>
  <si>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</si>
  <si>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</si>
  <si>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</si>
  <si>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</si>
  <si>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</si>
  <si>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</si>
  <si>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</si>
  <si>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</si>
  <si>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</si>
  <si>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</si>
  <si>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</si>
  <si>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</si>
  <si>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</si>
  <si>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</si>
  <si>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</si>
  <si>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</si>
  <si>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</si>
  <si>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</si>
  <si>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</si>
  <si>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</si>
  <si>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</si>
  <si>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</si>
  <si>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-</t>
  </si>
  <si>
    <t>CAGR</t>
  </si>
  <si>
    <t>2018-19</t>
  </si>
  <si>
    <t xml:space="preserve"> तालिका- 1.06 (एलाइंस एयर) </t>
  </si>
  <si>
    <t>TABLE - 1.06 (ALLIANCE AIR)</t>
  </si>
  <si>
    <t>SOURCE: ICAO ATR FORM 'A' FURNISHED BY ALLIANCE AIR</t>
  </si>
  <si>
    <t>2019-20</t>
  </si>
  <si>
    <t>Note: Growth has been calculated with respect to preceeding year while Compound Annual Growth Rate (CAGR) has been calculating taking 2009-10 as a Base Year</t>
  </si>
  <si>
    <t xml:space="preserve">YEAR ON YEAR GROWTH AND CAGR FOR LAST TEN YEARS OF  ALLIANCE AIR ON TOTAL (DOMESTIC + INTERNATIONAL) SCHEDULED SERVICES (ALL AIR TRAFFIC AND OPERATING STATISTICS)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</si>
</sst>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* #,##0.0_);_(* \(#,##0.0\);_(* &quot;-&quot;??_);_(@_)"/>
    <numFmt numFmtId="168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164" fontId="4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Font="1"/>
    <xf numFmtId="0" fontId="0" fillId="0" borderId="0" xfId="0" applyFont="1" applyBorder="1"/>
    <xf numFmtId="0" fontId="2" fillId="2" borderId="0" xfId="0" applyFont="1" applyFill="1" applyBorder="1" applyAlignment="1" applyProtection="1">
      <alignment horizontal="center" vertical="center" wrapText="1"/>
    </xf>
    <xf numFmtId="0" fontId="4" fillId="4" borderId="1" xfId="3" applyBorder="1" applyAlignment="1" applyProtection="1">
      <alignment horizontal="center" vertical="center" wrapText="1"/>
    </xf>
    <xf numFmtId="0" fontId="5" fillId="6" borderId="1" xfId="5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3" fillId="2" borderId="1" xfId="1" applyNumberFormat="1" applyFont="1" applyFill="1" applyBorder="1" applyAlignment="1" applyProtection="1">
      <alignment horizontal="right" vertical="center" wrapText="1"/>
    </xf>
    <xf numFmtId="167" fontId="5" fillId="6" borderId="1" xfId="6" applyNumberFormat="1" applyFont="1" applyFill="1" applyBorder="1" applyAlignment="1" applyProtection="1">
      <alignment horizontal="center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165" fontId="7" fillId="2" borderId="1" xfId="1" applyNumberFormat="1" applyFont="1" applyFill="1" applyBorder="1" applyAlignment="1" applyProtection="1">
      <alignment horizontal="center" vertical="center" wrapText="1"/>
    </xf>
    <xf numFmtId="168" fontId="8" fillId="7" borderId="1" xfId="1" applyNumberFormat="1" applyFont="1" applyFill="1" applyBorder="1" applyAlignment="1" applyProtection="1">
      <alignment horizontal="center" vertical="center" wrapText="1"/>
    </xf>
    <xf numFmtId="168" fontId="0" fillId="7" borderId="1" xfId="1" applyNumberFormat="1" applyFont="1" applyFill="1" applyBorder="1" applyAlignment="1" applyProtection="1">
      <alignment horizontal="center" vertical="center" wrapText="1"/>
    </xf>
    <xf numFmtId="165" fontId="4" fillId="8" borderId="1" xfId="1" applyNumberFormat="1" applyFill="1" applyBorder="1" applyAlignment="1" applyProtection="1">
      <alignment horizontal="right" vertical="center" wrapText="1"/>
    </xf>
    <xf numFmtId="165" fontId="6" fillId="8" borderId="1" xfId="1" applyNumberFormat="1" applyFont="1" applyFill="1" applyBorder="1" applyAlignment="1" applyProtection="1">
      <alignment horizontal="center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165" fontId="4" fillId="4" borderId="1" xfId="1" applyNumberFormat="1" applyFill="1" applyBorder="1" applyAlignment="1" applyProtection="1">
      <alignment horizontal="right" vertical="center" wrapText="1"/>
    </xf>
    <xf numFmtId="165" fontId="4" fillId="4" borderId="1" xfId="3" applyNumberFormat="1" applyBorder="1" applyAlignment="1" applyProtection="1">
      <alignment horizontal="right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41"/>
  <sheetViews>
    <sheetView tabSelected="1" view="pageBreakPreview" zoomScaleSheetLayoutView="100" workbookViewId="0">
      <selection activeCell="T5" sqref="T5"/>
    </sheetView>
  </sheetViews>
  <sheetFormatPr defaultColWidth="9.140625" defaultRowHeight="15" x14ac:dyDescent="0.25"/>
  <cols>
    <col min="1" max="1" width="8.140625" style="1" customWidth="1"/>
    <col min="2" max="2" width="9.42578125" style="1" customWidth="1"/>
    <col min="3" max="3" width="9.7109375" style="1" customWidth="1"/>
    <col min="4" max="4" width="12.7109375" style="1" bestFit="1" customWidth="1"/>
    <col min="5" max="5" width="12.28515625" style="1" customWidth="1"/>
    <col min="6" max="6" width="10" style="1" customWidth="1"/>
    <col min="7" max="7" width="9.7109375" style="1" customWidth="1"/>
    <col min="8" max="8" width="6.85546875" style="1" customWidth="1"/>
    <col min="9" max="9" width="10.5703125" style="1" customWidth="1"/>
    <col min="10" max="10" width="8.7109375" style="1" customWidth="1"/>
    <col min="11" max="11" width="10.85546875" style="1" customWidth="1"/>
    <col min="12" max="12" width="10" style="1" customWidth="1"/>
    <col min="13" max="13" width="9.5703125" style="1" customWidth="1"/>
    <col min="14" max="14" width="7.7109375" style="1" customWidth="1"/>
    <col min="15" max="15" width="10.140625" style="1" customWidth="1"/>
    <col min="16" max="16" width="10" style="1" customWidth="1"/>
    <col min="17" max="17" width="7.42578125" style="1" customWidth="1"/>
    <col min="18" max="16384" width="9.140625" style="1"/>
  </cols>
  <sheetData>
    <row r="1" spans="1:17" ht="21" customHeight="1" x14ac:dyDescent="0.25">
      <c r="A1" s="24" t="s">
        <v>32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ht="21" customHeight="1" x14ac:dyDescent="0.25">
      <c r="A2" s="25" t="s">
        <v>33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ht="30" customHeight="1" x14ac:dyDescent="0.25">
      <c r="A3" s="27" t="s">
        <v>37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4" spans="1:17" ht="15" customHeight="1" x14ac:dyDescent="0.25">
      <c r="A4" s="27" t="s">
        <v>0</v>
      </c>
      <c r="B4" s="27" t="s">
        <v>1</v>
      </c>
      <c r="C4" s="27"/>
      <c r="D4" s="27"/>
      <c r="E4" s="27" t="s">
        <v>2</v>
      </c>
      <c r="F4" s="28"/>
      <c r="G4" s="18" t="s">
        <v>3</v>
      </c>
      <c r="H4" s="18" t="s">
        <v>4</v>
      </c>
      <c r="I4" s="27" t="s">
        <v>5</v>
      </c>
      <c r="J4" s="27"/>
      <c r="K4" s="27"/>
      <c r="L4" s="27" t="s">
        <v>6</v>
      </c>
      <c r="M4" s="27"/>
      <c r="N4" s="27"/>
      <c r="O4" s="27"/>
      <c r="P4" s="18" t="s">
        <v>7</v>
      </c>
      <c r="Q4" s="18" t="s">
        <v>8</v>
      </c>
    </row>
    <row r="5" spans="1:17" ht="132" customHeight="1" x14ac:dyDescent="0.25">
      <c r="A5" s="27"/>
      <c r="B5" s="15" t="s">
        <v>9</v>
      </c>
      <c r="C5" s="15" t="s">
        <v>10</v>
      </c>
      <c r="D5" s="15" t="s">
        <v>11</v>
      </c>
      <c r="E5" s="15" t="s">
        <v>12</v>
      </c>
      <c r="F5" s="15" t="s">
        <v>13</v>
      </c>
      <c r="G5" s="19"/>
      <c r="H5" s="19"/>
      <c r="I5" s="15" t="s">
        <v>14</v>
      </c>
      <c r="J5" s="15" t="s">
        <v>15</v>
      </c>
      <c r="K5" s="15" t="s">
        <v>16</v>
      </c>
      <c r="L5" s="15" t="s">
        <v>17</v>
      </c>
      <c r="M5" s="15" t="s">
        <v>18</v>
      </c>
      <c r="N5" s="15" t="s">
        <v>15</v>
      </c>
      <c r="O5" s="15" t="s">
        <v>16</v>
      </c>
      <c r="P5" s="19"/>
      <c r="Q5" s="19"/>
    </row>
    <row r="6" spans="1:17" ht="24.95" customHeight="1" x14ac:dyDescent="0.25">
      <c r="A6" s="5" t="s">
        <v>19</v>
      </c>
      <c r="B6" s="9">
        <v>16957</v>
      </c>
      <c r="C6" s="9">
        <v>21541</v>
      </c>
      <c r="D6" s="9">
        <v>9206</v>
      </c>
      <c r="E6" s="9">
        <v>455180</v>
      </c>
      <c r="F6" s="9">
        <v>305.05399999999997</v>
      </c>
      <c r="G6" s="9">
        <v>460.09399999999999</v>
      </c>
      <c r="H6" s="11">
        <v>66.302538176981216</v>
      </c>
      <c r="I6" s="8">
        <v>2254</v>
      </c>
      <c r="J6" s="8">
        <v>11842</v>
      </c>
      <c r="K6" s="8">
        <v>14096</v>
      </c>
      <c r="L6" s="8">
        <v>25.792000000000002</v>
      </c>
      <c r="M6" s="8">
        <v>1.778</v>
      </c>
      <c r="N6" s="8">
        <v>10.512</v>
      </c>
      <c r="O6" s="8">
        <v>38.082000000000001</v>
      </c>
      <c r="P6" s="8">
        <v>60.353999999999999</v>
      </c>
      <c r="Q6" s="12">
        <v>63.097723431752662</v>
      </c>
    </row>
    <row r="7" spans="1:17" ht="24.95" customHeight="1" x14ac:dyDescent="0.25">
      <c r="A7" s="4" t="s">
        <v>28</v>
      </c>
      <c r="B7" s="13" t="s">
        <v>29</v>
      </c>
      <c r="C7" s="13" t="s">
        <v>29</v>
      </c>
      <c r="D7" s="13" t="s">
        <v>29</v>
      </c>
      <c r="E7" s="13" t="s">
        <v>29</v>
      </c>
      <c r="F7" s="13" t="s">
        <v>29</v>
      </c>
      <c r="G7" s="13" t="s">
        <v>29</v>
      </c>
      <c r="H7" s="14" t="s">
        <v>29</v>
      </c>
      <c r="I7" s="13" t="s">
        <v>29</v>
      </c>
      <c r="J7" s="13" t="s">
        <v>29</v>
      </c>
      <c r="K7" s="13" t="s">
        <v>29</v>
      </c>
      <c r="L7" s="13" t="s">
        <v>29</v>
      </c>
      <c r="M7" s="13" t="s">
        <v>29</v>
      </c>
      <c r="N7" s="13" t="s">
        <v>29</v>
      </c>
      <c r="O7" s="13" t="s">
        <v>29</v>
      </c>
      <c r="P7" s="13" t="s">
        <v>29</v>
      </c>
      <c r="Q7" s="14" t="s">
        <v>29</v>
      </c>
    </row>
    <row r="8" spans="1:17" ht="24.95" customHeight="1" x14ac:dyDescent="0.25">
      <c r="A8" s="6" t="s">
        <v>30</v>
      </c>
      <c r="B8" s="7" t="s">
        <v>29</v>
      </c>
      <c r="C8" s="7" t="s">
        <v>29</v>
      </c>
      <c r="D8" s="7" t="s">
        <v>29</v>
      </c>
      <c r="E8" s="7" t="s">
        <v>29</v>
      </c>
      <c r="F8" s="7" t="s">
        <v>29</v>
      </c>
      <c r="G8" s="7" t="s">
        <v>29</v>
      </c>
      <c r="H8" s="10" t="s">
        <v>29</v>
      </c>
      <c r="I8" s="7" t="s">
        <v>29</v>
      </c>
      <c r="J8" s="7" t="s">
        <v>29</v>
      </c>
      <c r="K8" s="7" t="s">
        <v>29</v>
      </c>
      <c r="L8" s="7" t="s">
        <v>29</v>
      </c>
      <c r="M8" s="7" t="s">
        <v>29</v>
      </c>
      <c r="N8" s="7" t="s">
        <v>29</v>
      </c>
      <c r="O8" s="7" t="s">
        <v>29</v>
      </c>
      <c r="P8" s="7" t="s">
        <v>29</v>
      </c>
      <c r="Q8" s="10" t="s">
        <v>29</v>
      </c>
    </row>
    <row r="9" spans="1:17" ht="24.95" customHeight="1" x14ac:dyDescent="0.25">
      <c r="A9" s="5" t="s">
        <v>20</v>
      </c>
      <c r="B9" s="9">
        <v>16230</v>
      </c>
      <c r="C9" s="9">
        <v>22276</v>
      </c>
      <c r="D9" s="9">
        <v>9320</v>
      </c>
      <c r="E9" s="9">
        <v>503801</v>
      </c>
      <c r="F9" s="9">
        <v>365.733</v>
      </c>
      <c r="G9" s="9">
        <v>538.50900000000001</v>
      </c>
      <c r="H9" s="11">
        <v>67.915856559500398</v>
      </c>
      <c r="I9" s="8">
        <v>1427</v>
      </c>
      <c r="J9" s="8">
        <v>6040</v>
      </c>
      <c r="K9" s="8">
        <v>7467</v>
      </c>
      <c r="L9" s="8">
        <v>30.959</v>
      </c>
      <c r="M9" s="8">
        <v>1.373</v>
      </c>
      <c r="N9" s="8">
        <v>3.911</v>
      </c>
      <c r="O9" s="8">
        <v>36.243000000000002</v>
      </c>
      <c r="P9" s="8">
        <v>53.125999999999998</v>
      </c>
      <c r="Q9" s="11">
        <v>68.220833490193129</v>
      </c>
    </row>
    <row r="10" spans="1:17" ht="24.95" customHeight="1" x14ac:dyDescent="0.25">
      <c r="A10" s="4" t="s">
        <v>28</v>
      </c>
      <c r="B10" s="16">
        <f>(B9-B6)/B6</f>
        <v>-4.2873149731674234E-2</v>
      </c>
      <c r="C10" s="16">
        <f t="shared" ref="C10:Q10" si="0">(C9-C6)/C6</f>
        <v>3.4120978598950837E-2</v>
      </c>
      <c r="D10" s="16">
        <f t="shared" si="0"/>
        <v>1.2383228329350423E-2</v>
      </c>
      <c r="E10" s="16">
        <f t="shared" si="0"/>
        <v>0.10681708335164111</v>
      </c>
      <c r="F10" s="16">
        <f t="shared" si="0"/>
        <v>0.198912323719735</v>
      </c>
      <c r="G10" s="16">
        <f t="shared" si="0"/>
        <v>0.17043256378044491</v>
      </c>
      <c r="H10" s="14">
        <f t="shared" si="0"/>
        <v>2.43326790629456E-2</v>
      </c>
      <c r="I10" s="16">
        <f t="shared" si="0"/>
        <v>-0.36690328305235137</v>
      </c>
      <c r="J10" s="16">
        <f t="shared" si="0"/>
        <v>-0.48995102178686034</v>
      </c>
      <c r="K10" s="16">
        <f t="shared" si="0"/>
        <v>-0.47027525539160048</v>
      </c>
      <c r="L10" s="16">
        <f t="shared" si="0"/>
        <v>0.20033343672456566</v>
      </c>
      <c r="M10" s="16">
        <f t="shared" si="0"/>
        <v>-0.22778402699662542</v>
      </c>
      <c r="N10" s="16">
        <f t="shared" si="0"/>
        <v>-0.62794901065449016</v>
      </c>
      <c r="O10" s="16">
        <f t="shared" si="0"/>
        <v>-4.8290530959508395E-2</v>
      </c>
      <c r="P10" s="16">
        <f t="shared" si="0"/>
        <v>-0.11976008218179411</v>
      </c>
      <c r="Q10" s="14">
        <f t="shared" si="0"/>
        <v>8.1193263081538763E-2</v>
      </c>
    </row>
    <row r="11" spans="1:17" ht="24.95" customHeight="1" x14ac:dyDescent="0.25">
      <c r="A11" s="6" t="s">
        <v>30</v>
      </c>
      <c r="B11" s="7">
        <f>(((B9/B6)^(1/1))-1)</f>
        <v>-4.287314973167422E-2</v>
      </c>
      <c r="C11" s="7">
        <f t="shared" ref="C11:Q11" si="1">(((C9/C6)^(1/1))-1)</f>
        <v>3.4120978598950913E-2</v>
      </c>
      <c r="D11" s="7">
        <f t="shared" si="1"/>
        <v>1.2383228329350349E-2</v>
      </c>
      <c r="E11" s="7">
        <f t="shared" si="1"/>
        <v>0.10681708335164108</v>
      </c>
      <c r="F11" s="7">
        <f t="shared" si="1"/>
        <v>0.198912323719735</v>
      </c>
      <c r="G11" s="7">
        <f t="shared" si="1"/>
        <v>0.17043256378044491</v>
      </c>
      <c r="H11" s="10">
        <f t="shared" si="1"/>
        <v>2.4332679062945672E-2</v>
      </c>
      <c r="I11" s="7">
        <f t="shared" si="1"/>
        <v>-0.36690328305235143</v>
      </c>
      <c r="J11" s="7">
        <f t="shared" si="1"/>
        <v>-0.48995102178686034</v>
      </c>
      <c r="K11" s="7">
        <f t="shared" si="1"/>
        <v>-0.47027525539160042</v>
      </c>
      <c r="L11" s="7">
        <f t="shared" si="1"/>
        <v>0.20033343672456572</v>
      </c>
      <c r="M11" s="7">
        <f t="shared" si="1"/>
        <v>-0.22778402699662548</v>
      </c>
      <c r="N11" s="7">
        <f t="shared" si="1"/>
        <v>-0.62794901065449005</v>
      </c>
      <c r="O11" s="7">
        <f t="shared" si="1"/>
        <v>-4.8290530959508415E-2</v>
      </c>
      <c r="P11" s="7">
        <f t="shared" si="1"/>
        <v>-0.11976008218179413</v>
      </c>
      <c r="Q11" s="10">
        <f t="shared" si="1"/>
        <v>8.1193263081538847E-2</v>
      </c>
    </row>
    <row r="12" spans="1:17" ht="24.95" customHeight="1" x14ac:dyDescent="0.25">
      <c r="A12" s="5" t="s">
        <v>21</v>
      </c>
      <c r="B12" s="9">
        <v>14359</v>
      </c>
      <c r="C12" s="9">
        <v>19951</v>
      </c>
      <c r="D12" s="9">
        <v>8511</v>
      </c>
      <c r="E12" s="9">
        <v>467257</v>
      </c>
      <c r="F12" s="9">
        <v>347.791</v>
      </c>
      <c r="G12" s="9">
        <v>518.10199999999998</v>
      </c>
      <c r="H12" s="11">
        <v>67.127901455697909</v>
      </c>
      <c r="I12" s="8">
        <v>457.34000000000003</v>
      </c>
      <c r="J12" s="8">
        <v>452</v>
      </c>
      <c r="K12" s="8">
        <v>909.34</v>
      </c>
      <c r="L12" s="8">
        <v>29.594999999999999</v>
      </c>
      <c r="M12" s="8">
        <v>0.28999999999999998</v>
      </c>
      <c r="N12" s="8">
        <v>0.34100000000000003</v>
      </c>
      <c r="O12" s="8">
        <v>30.225999999999999</v>
      </c>
      <c r="P12" s="8">
        <v>46.677999999999997</v>
      </c>
      <c r="Q12" s="11">
        <v>64.754273962037786</v>
      </c>
    </row>
    <row r="13" spans="1:17" ht="24.95" customHeight="1" x14ac:dyDescent="0.25">
      <c r="A13" s="4" t="s">
        <v>28</v>
      </c>
      <c r="B13" s="16">
        <f>(B12-B9)/B9</f>
        <v>-0.11528034504004929</v>
      </c>
      <c r="C13" s="16">
        <f t="shared" ref="C13:Q13" si="2">(C12-C9)/C9</f>
        <v>-0.10437241874663315</v>
      </c>
      <c r="D13" s="16">
        <f t="shared" si="2"/>
        <v>-8.6802575107296137E-2</v>
      </c>
      <c r="E13" s="16">
        <f t="shared" si="2"/>
        <v>-7.2536576942086262E-2</v>
      </c>
      <c r="F13" s="16">
        <f t="shared" si="2"/>
        <v>-4.9057645878277344E-2</v>
      </c>
      <c r="G13" s="16">
        <f t="shared" si="2"/>
        <v>-3.789537407917052E-2</v>
      </c>
      <c r="H13" s="14">
        <f t="shared" si="2"/>
        <v>-1.1601931326775936E-2</v>
      </c>
      <c r="I13" s="16">
        <f t="shared" si="2"/>
        <v>-0.67950946040644711</v>
      </c>
      <c r="J13" s="16">
        <f t="shared" si="2"/>
        <v>-0.92516556291390728</v>
      </c>
      <c r="K13" s="16">
        <f t="shared" si="2"/>
        <v>-0.8782188295165394</v>
      </c>
      <c r="L13" s="16">
        <f t="shared" si="2"/>
        <v>-4.4058270615975996E-2</v>
      </c>
      <c r="M13" s="16">
        <f t="shared" si="2"/>
        <v>-0.78878368536052434</v>
      </c>
      <c r="N13" s="16">
        <f t="shared" si="2"/>
        <v>-0.9128100230120173</v>
      </c>
      <c r="O13" s="16">
        <f t="shared" si="2"/>
        <v>-0.16601826559611518</v>
      </c>
      <c r="P13" s="16">
        <f t="shared" si="2"/>
        <v>-0.12137183300079059</v>
      </c>
      <c r="Q13" s="14">
        <f t="shared" si="2"/>
        <v>-5.0813796179339669E-2</v>
      </c>
    </row>
    <row r="14" spans="1:17" s="2" customFormat="1" ht="24.95" customHeight="1" x14ac:dyDescent="0.25">
      <c r="A14" s="6" t="s">
        <v>30</v>
      </c>
      <c r="B14" s="7">
        <f>(((B12/B6)^(1/2))-1)</f>
        <v>-7.9788645624116583E-2</v>
      </c>
      <c r="C14" s="7">
        <f t="shared" ref="C14:Q14" si="3">(((C12/C6)^(1/2))-1)</f>
        <v>-3.7613762158901665E-2</v>
      </c>
      <c r="D14" s="7">
        <f t="shared" si="3"/>
        <v>-3.848777588897756E-2</v>
      </c>
      <c r="E14" s="7">
        <f t="shared" si="3"/>
        <v>1.3179333002943494E-2</v>
      </c>
      <c r="F14" s="7">
        <f t="shared" si="3"/>
        <v>6.7753018025980438E-2</v>
      </c>
      <c r="G14" s="7">
        <f t="shared" si="3"/>
        <v>6.1168499316457403E-2</v>
      </c>
      <c r="H14" s="10">
        <f t="shared" si="3"/>
        <v>6.2049700059549906E-3</v>
      </c>
      <c r="I14" s="7">
        <f t="shared" si="3"/>
        <v>-0.54955410044106434</v>
      </c>
      <c r="J14" s="7">
        <f t="shared" si="3"/>
        <v>-0.80463053418991737</v>
      </c>
      <c r="K14" s="7">
        <f t="shared" si="3"/>
        <v>-0.74601082811965558</v>
      </c>
      <c r="L14" s="7">
        <f t="shared" si="3"/>
        <v>7.1190375862269617E-2</v>
      </c>
      <c r="M14" s="7">
        <f t="shared" si="3"/>
        <v>-0.59613788005866464</v>
      </c>
      <c r="N14" s="7">
        <f t="shared" si="3"/>
        <v>-0.81989137388955746</v>
      </c>
      <c r="O14" s="7">
        <f t="shared" si="3"/>
        <v>-0.10909691119685216</v>
      </c>
      <c r="P14" s="7">
        <f t="shared" si="3"/>
        <v>-0.12056632682609603</v>
      </c>
      <c r="Q14" s="10">
        <f t="shared" si="3"/>
        <v>1.3041819956529865E-2</v>
      </c>
    </row>
    <row r="15" spans="1:17" ht="24.95" customHeight="1" x14ac:dyDescent="0.25">
      <c r="A15" s="5" t="s">
        <v>22</v>
      </c>
      <c r="B15" s="9">
        <v>10171</v>
      </c>
      <c r="C15" s="9">
        <v>16645</v>
      </c>
      <c r="D15" s="9">
        <v>9393</v>
      </c>
      <c r="E15" s="9">
        <v>392947</v>
      </c>
      <c r="F15" s="9">
        <v>286.26499999999999</v>
      </c>
      <c r="G15" s="9">
        <v>404.65499999999997</v>
      </c>
      <c r="H15" s="11">
        <v>70.742978586697319</v>
      </c>
      <c r="I15" s="8">
        <v>243</v>
      </c>
      <c r="J15" s="8">
        <v>102</v>
      </c>
      <c r="K15" s="8">
        <v>345</v>
      </c>
      <c r="L15" s="8">
        <v>26.34</v>
      </c>
      <c r="M15" s="8">
        <v>0.193</v>
      </c>
      <c r="N15" s="8">
        <v>7.4999999999999997E-2</v>
      </c>
      <c r="O15" s="8">
        <v>26.608000000000001</v>
      </c>
      <c r="P15" s="8">
        <v>43.325000000000003</v>
      </c>
      <c r="Q15" s="11">
        <v>61.414887478361223</v>
      </c>
    </row>
    <row r="16" spans="1:17" ht="24.95" customHeight="1" x14ac:dyDescent="0.25">
      <c r="A16" s="4" t="s">
        <v>28</v>
      </c>
      <c r="B16" s="16">
        <f>(B15-B12)/B12</f>
        <v>-0.29166376488613416</v>
      </c>
      <c r="C16" s="16">
        <f t="shared" ref="C16:Q16" si="4">(C15-C12)/C12</f>
        <v>-0.16570597965014286</v>
      </c>
      <c r="D16" s="16">
        <f t="shared" si="4"/>
        <v>0.10363059569968276</v>
      </c>
      <c r="E16" s="16">
        <f t="shared" si="4"/>
        <v>-0.15903453559818259</v>
      </c>
      <c r="F16" s="16">
        <f t="shared" si="4"/>
        <v>-0.17690509530148857</v>
      </c>
      <c r="G16" s="16">
        <f t="shared" si="4"/>
        <v>-0.21896653554705445</v>
      </c>
      <c r="H16" s="14">
        <f t="shared" si="4"/>
        <v>5.3853569865955596E-2</v>
      </c>
      <c r="I16" s="16">
        <f t="shared" si="4"/>
        <v>-0.46866663751257276</v>
      </c>
      <c r="J16" s="16">
        <f t="shared" si="4"/>
        <v>-0.77433628318584069</v>
      </c>
      <c r="K16" s="16">
        <f t="shared" si="4"/>
        <v>-0.62060395451646255</v>
      </c>
      <c r="L16" s="16">
        <f t="shared" si="4"/>
        <v>-0.10998479472883931</v>
      </c>
      <c r="M16" s="16">
        <f t="shared" si="4"/>
        <v>-0.3344827586206896</v>
      </c>
      <c r="N16" s="16">
        <f t="shared" si="4"/>
        <v>-0.78005865102639294</v>
      </c>
      <c r="O16" s="16">
        <f t="shared" si="4"/>
        <v>-0.11969827300999135</v>
      </c>
      <c r="P16" s="16">
        <f t="shared" si="4"/>
        <v>-7.1832554950940375E-2</v>
      </c>
      <c r="Q16" s="14">
        <f t="shared" si="4"/>
        <v>-5.1570132430706885E-2</v>
      </c>
    </row>
    <row r="17" spans="1:17" ht="24.95" customHeight="1" x14ac:dyDescent="0.25">
      <c r="A17" s="6" t="s">
        <v>30</v>
      </c>
      <c r="B17" s="7">
        <f>(((B15/B6)^(1/3))-1)</f>
        <v>-0.15665576974444262</v>
      </c>
      <c r="C17" s="7">
        <f t="shared" ref="C17:Q17" si="5">(((C15/C6)^(1/3))-1)</f>
        <v>-8.2359344947029789E-2</v>
      </c>
      <c r="D17" s="7">
        <f t="shared" si="5"/>
        <v>6.725611229346784E-3</v>
      </c>
      <c r="E17" s="7">
        <f t="shared" si="5"/>
        <v>-4.7824647608640691E-2</v>
      </c>
      <c r="F17" s="7">
        <f t="shared" si="5"/>
        <v>-2.0967348343294945E-2</v>
      </c>
      <c r="G17" s="7">
        <f t="shared" si="5"/>
        <v>-4.1895719593867509E-2</v>
      </c>
      <c r="H17" s="10">
        <f t="shared" si="5"/>
        <v>2.1843521293633428E-2</v>
      </c>
      <c r="I17" s="7">
        <f t="shared" si="5"/>
        <v>-0.52406155503803853</v>
      </c>
      <c r="J17" s="7">
        <f t="shared" si="5"/>
        <v>-0.79501360473408855</v>
      </c>
      <c r="K17" s="7">
        <f t="shared" si="5"/>
        <v>-0.70965942360659184</v>
      </c>
      <c r="L17" s="7">
        <f t="shared" si="5"/>
        <v>7.0327242660761513E-3</v>
      </c>
      <c r="M17" s="7">
        <f t="shared" si="5"/>
        <v>-0.52297421950246847</v>
      </c>
      <c r="N17" s="7">
        <f t="shared" si="5"/>
        <v>-0.80748763156912085</v>
      </c>
      <c r="O17" s="7">
        <f t="shared" si="5"/>
        <v>-0.11264480872025984</v>
      </c>
      <c r="P17" s="7">
        <f t="shared" si="5"/>
        <v>-0.10461289075798419</v>
      </c>
      <c r="Q17" s="10">
        <f t="shared" si="5"/>
        <v>-8.9703301280213976E-3</v>
      </c>
    </row>
    <row r="18" spans="1:17" ht="24.95" customHeight="1" x14ac:dyDescent="0.25">
      <c r="A18" s="5" t="s">
        <v>23</v>
      </c>
      <c r="B18" s="9">
        <v>9097</v>
      </c>
      <c r="C18" s="9">
        <v>14119</v>
      </c>
      <c r="D18" s="9">
        <v>6446</v>
      </c>
      <c r="E18" s="9">
        <v>363801</v>
      </c>
      <c r="F18" s="9">
        <v>249.57599999999999</v>
      </c>
      <c r="G18" s="9">
        <v>340.892</v>
      </c>
      <c r="H18" s="11">
        <v>73.21263039320371</v>
      </c>
      <c r="I18" s="8">
        <v>161</v>
      </c>
      <c r="J18" s="8">
        <v>52</v>
      </c>
      <c r="K18" s="8">
        <v>213</v>
      </c>
      <c r="L18" s="8">
        <v>22.593</v>
      </c>
      <c r="M18" s="8">
        <v>0.104</v>
      </c>
      <c r="N18" s="8">
        <v>0.03</v>
      </c>
      <c r="O18" s="8">
        <v>22.727</v>
      </c>
      <c r="P18" s="8">
        <v>36.814999999999998</v>
      </c>
      <c r="Q18" s="11">
        <v>61.73298927067772</v>
      </c>
    </row>
    <row r="19" spans="1:17" ht="24.95" customHeight="1" x14ac:dyDescent="0.25">
      <c r="A19" s="4" t="s">
        <v>28</v>
      </c>
      <c r="B19" s="17">
        <f>(B18-B15)/B15</f>
        <v>-0.1055943368400354</v>
      </c>
      <c r="C19" s="17">
        <f t="shared" ref="C19:Q19" si="6">(C18-C15)/C15</f>
        <v>-0.15175728446981077</v>
      </c>
      <c r="D19" s="17">
        <f t="shared" si="6"/>
        <v>-0.31374427765357182</v>
      </c>
      <c r="E19" s="17">
        <f t="shared" si="6"/>
        <v>-7.4172852827480554E-2</v>
      </c>
      <c r="F19" s="17">
        <f t="shared" si="6"/>
        <v>-0.12816446299757217</v>
      </c>
      <c r="G19" s="17">
        <f t="shared" si="6"/>
        <v>-0.15757373565135729</v>
      </c>
      <c r="H19" s="14">
        <f t="shared" si="6"/>
        <v>3.4910203893659501E-2</v>
      </c>
      <c r="I19" s="17">
        <f t="shared" si="6"/>
        <v>-0.33744855967078191</v>
      </c>
      <c r="J19" s="17">
        <f t="shared" si="6"/>
        <v>-0.49019607843137253</v>
      </c>
      <c r="K19" s="17">
        <f t="shared" si="6"/>
        <v>-0.38260869565217392</v>
      </c>
      <c r="L19" s="17">
        <f t="shared" si="6"/>
        <v>-0.14225512528473805</v>
      </c>
      <c r="M19" s="17">
        <f t="shared" si="6"/>
        <v>-0.46113989637305702</v>
      </c>
      <c r="N19" s="17">
        <f t="shared" si="6"/>
        <v>-0.6</v>
      </c>
      <c r="O19" s="17">
        <f t="shared" si="6"/>
        <v>-0.14585838845460011</v>
      </c>
      <c r="P19" s="17">
        <f t="shared" si="6"/>
        <v>-0.150259665320254</v>
      </c>
      <c r="Q19" s="14">
        <f t="shared" si="6"/>
        <v>5.1795550782141623E-3</v>
      </c>
    </row>
    <row r="20" spans="1:17" ht="24.95" customHeight="1" x14ac:dyDescent="0.25">
      <c r="A20" s="6" t="s">
        <v>30</v>
      </c>
      <c r="B20" s="7">
        <f>(((B18/B6)^(1/4))-1)</f>
        <v>-0.14417041856650403</v>
      </c>
      <c r="C20" s="7">
        <f t="shared" ref="C20:Q20" si="7">(((C18/C6)^(1/4))-1)</f>
        <v>-0.100223762859459</v>
      </c>
      <c r="D20" s="7">
        <f t="shared" si="7"/>
        <v>-8.5244914357890056E-2</v>
      </c>
      <c r="E20" s="7">
        <f t="shared" si="7"/>
        <v>-5.4481176500315587E-2</v>
      </c>
      <c r="F20" s="7">
        <f t="shared" si="7"/>
        <v>-4.8943049167944452E-2</v>
      </c>
      <c r="G20" s="7">
        <f t="shared" si="7"/>
        <v>-7.2225226121323316E-2</v>
      </c>
      <c r="H20" s="10">
        <f t="shared" si="7"/>
        <v>2.5094643235496594E-2</v>
      </c>
      <c r="I20" s="7">
        <f t="shared" si="7"/>
        <v>-0.48302684604282942</v>
      </c>
      <c r="J20" s="7">
        <f t="shared" si="7"/>
        <v>-0.74257864516065242</v>
      </c>
      <c r="K20" s="7">
        <f t="shared" si="7"/>
        <v>-0.64939272116048663</v>
      </c>
      <c r="L20" s="7">
        <f t="shared" si="7"/>
        <v>-3.25640527225739E-2</v>
      </c>
      <c r="M20" s="7">
        <f t="shared" si="7"/>
        <v>-0.50821486690555129</v>
      </c>
      <c r="N20" s="7">
        <f t="shared" si="7"/>
        <v>-0.76886858630567756</v>
      </c>
      <c r="O20" s="7">
        <f t="shared" si="7"/>
        <v>-0.12106736384073469</v>
      </c>
      <c r="P20" s="7">
        <f t="shared" si="7"/>
        <v>-0.11624947140116371</v>
      </c>
      <c r="Q20" s="10">
        <f t="shared" si="7"/>
        <v>-5.4516430640326741E-3</v>
      </c>
    </row>
    <row r="21" spans="1:17" ht="24.95" customHeight="1" x14ac:dyDescent="0.25">
      <c r="A21" s="5" t="s">
        <v>24</v>
      </c>
      <c r="B21" s="9">
        <v>9059</v>
      </c>
      <c r="C21" s="9">
        <v>13164</v>
      </c>
      <c r="D21" s="9">
        <v>5519</v>
      </c>
      <c r="E21" s="9">
        <v>310492</v>
      </c>
      <c r="F21" s="9">
        <v>197.91499999999999</v>
      </c>
      <c r="G21" s="9">
        <v>289.61399999999998</v>
      </c>
      <c r="H21" s="11">
        <v>68.337511308155001</v>
      </c>
      <c r="I21" s="8">
        <v>168</v>
      </c>
      <c r="J21" s="8">
        <v>52</v>
      </c>
      <c r="K21" s="8">
        <v>220</v>
      </c>
      <c r="L21" s="8">
        <v>17.876000000000001</v>
      </c>
      <c r="M21" s="8">
        <v>0.108</v>
      </c>
      <c r="N21" s="8">
        <v>2.8000000000000001E-2</v>
      </c>
      <c r="O21" s="8">
        <v>18.012</v>
      </c>
      <c r="P21" s="8">
        <v>30.779</v>
      </c>
      <c r="Q21" s="11">
        <v>58.520419766724061</v>
      </c>
    </row>
    <row r="22" spans="1:17" ht="24.95" customHeight="1" x14ac:dyDescent="0.25">
      <c r="A22" s="4" t="s">
        <v>28</v>
      </c>
      <c r="B22" s="17">
        <f>(B21-B18)/B18</f>
        <v>-4.1772012751456521E-3</v>
      </c>
      <c r="C22" s="17">
        <f t="shared" ref="C22:Q22" si="8">(C21-C18)/C18</f>
        <v>-6.7639351228840572E-2</v>
      </c>
      <c r="D22" s="17">
        <f t="shared" si="8"/>
        <v>-0.1438101147998759</v>
      </c>
      <c r="E22" s="17">
        <f t="shared" si="8"/>
        <v>-0.14653340699998077</v>
      </c>
      <c r="F22" s="17">
        <f t="shared" si="8"/>
        <v>-0.20699506362791295</v>
      </c>
      <c r="G22" s="17">
        <f t="shared" si="8"/>
        <v>-0.15042300787346144</v>
      </c>
      <c r="H22" s="14">
        <f t="shared" si="8"/>
        <v>-6.6588497898052088E-2</v>
      </c>
      <c r="I22" s="17">
        <f t="shared" si="8"/>
        <v>4.3478260869565216E-2</v>
      </c>
      <c r="J22" s="17">
        <f t="shared" si="8"/>
        <v>0</v>
      </c>
      <c r="K22" s="17">
        <f t="shared" si="8"/>
        <v>3.2863849765258218E-2</v>
      </c>
      <c r="L22" s="17">
        <f t="shared" si="8"/>
        <v>-0.20878148098968702</v>
      </c>
      <c r="M22" s="17">
        <f t="shared" si="8"/>
        <v>3.8461538461538498E-2</v>
      </c>
      <c r="N22" s="17">
        <f t="shared" si="8"/>
        <v>-6.666666666666661E-2</v>
      </c>
      <c r="O22" s="17">
        <f t="shared" si="8"/>
        <v>-0.20746248954987459</v>
      </c>
      <c r="P22" s="17">
        <f t="shared" si="8"/>
        <v>-0.16395490968355286</v>
      </c>
      <c r="Q22" s="14">
        <f t="shared" si="8"/>
        <v>-5.2039752843777869E-2</v>
      </c>
    </row>
    <row r="23" spans="1:17" ht="24.95" customHeight="1" x14ac:dyDescent="0.25">
      <c r="A23" s="6" t="s">
        <v>30</v>
      </c>
      <c r="B23" s="7">
        <f>(((B21/B6)^(1/5))-1)</f>
        <v>-0.11784226213397331</v>
      </c>
      <c r="C23" s="7">
        <f t="shared" ref="C23:Q23" si="9">(((C21/C6)^(1/5))-1)</f>
        <v>-9.3799280672540064E-2</v>
      </c>
      <c r="D23" s="7">
        <f t="shared" si="9"/>
        <v>-9.7269980672298084E-2</v>
      </c>
      <c r="E23" s="7">
        <f t="shared" si="9"/>
        <v>-7.3653534766794482E-2</v>
      </c>
      <c r="F23" s="7">
        <f t="shared" si="9"/>
        <v>-8.289217846784025E-2</v>
      </c>
      <c r="G23" s="7">
        <f t="shared" si="9"/>
        <v>-8.8420402563937239E-2</v>
      </c>
      <c r="H23" s="10">
        <f t="shared" si="9"/>
        <v>6.064444741463948E-3</v>
      </c>
      <c r="I23" s="7">
        <f t="shared" si="9"/>
        <v>-0.40506287009186992</v>
      </c>
      <c r="J23" s="7">
        <f t="shared" si="9"/>
        <v>-0.66231197709867562</v>
      </c>
      <c r="K23" s="7">
        <f t="shared" si="9"/>
        <v>-0.5648235771587875</v>
      </c>
      <c r="L23" s="7">
        <f t="shared" si="9"/>
        <v>-7.0697586262559065E-2</v>
      </c>
      <c r="M23" s="7">
        <f t="shared" si="9"/>
        <v>-0.42891809471906961</v>
      </c>
      <c r="N23" s="7">
        <f t="shared" si="9"/>
        <v>-0.69444138290058133</v>
      </c>
      <c r="O23" s="7">
        <f t="shared" si="9"/>
        <v>-0.13906881772715862</v>
      </c>
      <c r="P23" s="7">
        <f t="shared" si="9"/>
        <v>-0.12600350814038153</v>
      </c>
      <c r="Q23" s="10">
        <f t="shared" si="9"/>
        <v>-1.4948926807449636E-2</v>
      </c>
    </row>
    <row r="24" spans="1:17" ht="24.95" customHeight="1" x14ac:dyDescent="0.25">
      <c r="A24" s="5" t="s">
        <v>25</v>
      </c>
      <c r="B24" s="9">
        <v>10796</v>
      </c>
      <c r="C24" s="9">
        <v>16133</v>
      </c>
      <c r="D24" s="9">
        <v>7318</v>
      </c>
      <c r="E24" s="9">
        <v>400340</v>
      </c>
      <c r="F24" s="9">
        <v>227.98400000000001</v>
      </c>
      <c r="G24" s="9">
        <v>342.601</v>
      </c>
      <c r="H24" s="11">
        <v>66.545048029632142</v>
      </c>
      <c r="I24" s="8">
        <v>127</v>
      </c>
      <c r="J24" s="8">
        <v>45</v>
      </c>
      <c r="K24" s="8">
        <v>172</v>
      </c>
      <c r="L24" s="8">
        <v>20.065000000000001</v>
      </c>
      <c r="M24" s="8">
        <v>7.2999999999999995E-2</v>
      </c>
      <c r="N24" s="8">
        <v>2.4E-2</v>
      </c>
      <c r="O24" s="8">
        <v>20.161999999999999</v>
      </c>
      <c r="P24" s="8">
        <v>32.779000000000003</v>
      </c>
      <c r="Q24" s="11">
        <v>61.50889288873973</v>
      </c>
    </row>
    <row r="25" spans="1:17" ht="24.95" customHeight="1" x14ac:dyDescent="0.25">
      <c r="A25" s="4" t="s">
        <v>28</v>
      </c>
      <c r="B25" s="17">
        <f>(B24-B21)/B21</f>
        <v>0.19174301799315599</v>
      </c>
      <c r="C25" s="17">
        <f t="shared" ref="C25:Q25" si="10">(C24-C21)/C21</f>
        <v>0.22553934974171985</v>
      </c>
      <c r="D25" s="17">
        <f t="shared" si="10"/>
        <v>0.32596484870447545</v>
      </c>
      <c r="E25" s="17">
        <f t="shared" si="10"/>
        <v>0.28937299511742653</v>
      </c>
      <c r="F25" s="17">
        <f t="shared" si="10"/>
        <v>0.15192885834828093</v>
      </c>
      <c r="G25" s="17">
        <f t="shared" si="10"/>
        <v>0.18295731559938411</v>
      </c>
      <c r="H25" s="14">
        <f t="shared" si="10"/>
        <v>-2.622956622520372E-2</v>
      </c>
      <c r="I25" s="17">
        <f t="shared" si="10"/>
        <v>-0.24404761904761904</v>
      </c>
      <c r="J25" s="17">
        <f t="shared" si="10"/>
        <v>-0.13461538461538461</v>
      </c>
      <c r="K25" s="17">
        <f t="shared" si="10"/>
        <v>-0.21818181818181817</v>
      </c>
      <c r="L25" s="17">
        <f t="shared" si="10"/>
        <v>0.12245468784963079</v>
      </c>
      <c r="M25" s="17">
        <f t="shared" si="10"/>
        <v>-0.32407407407407413</v>
      </c>
      <c r="N25" s="17">
        <f t="shared" si="10"/>
        <v>-0.14285714285714285</v>
      </c>
      <c r="O25" s="17">
        <f t="shared" si="10"/>
        <v>0.11936486786586711</v>
      </c>
      <c r="P25" s="17">
        <f t="shared" si="10"/>
        <v>6.4979369050326641E-2</v>
      </c>
      <c r="Q25" s="14">
        <f t="shared" si="10"/>
        <v>5.1067185333400121E-2</v>
      </c>
    </row>
    <row r="26" spans="1:17" ht="24.95" customHeight="1" x14ac:dyDescent="0.25">
      <c r="A26" s="6" t="s">
        <v>30</v>
      </c>
      <c r="B26" s="7">
        <f>(((B24/B6)^(1/6))-1)</f>
        <v>-7.2489198545091504E-2</v>
      </c>
      <c r="C26" s="7">
        <f t="shared" ref="C26:Q26" si="11">(((C24/C6)^(1/6))-1)</f>
        <v>-4.7039545543221317E-2</v>
      </c>
      <c r="D26" s="7">
        <f t="shared" si="11"/>
        <v>-3.7530655437882476E-2</v>
      </c>
      <c r="E26" s="7">
        <f t="shared" si="11"/>
        <v>-2.1169179479865741E-2</v>
      </c>
      <c r="F26" s="7">
        <f t="shared" si="11"/>
        <v>-4.7376536438057837E-2</v>
      </c>
      <c r="G26" s="7">
        <f t="shared" si="11"/>
        <v>-4.7956023969766615E-2</v>
      </c>
      <c r="H26" s="10">
        <f t="shared" si="11"/>
        <v>6.0867727363289603E-4</v>
      </c>
      <c r="I26" s="7">
        <f t="shared" si="11"/>
        <v>-0.38083228712561801</v>
      </c>
      <c r="J26" s="7">
        <f t="shared" si="11"/>
        <v>-0.60496894116897804</v>
      </c>
      <c r="K26" s="7">
        <f t="shared" si="11"/>
        <v>-0.52018690927035127</v>
      </c>
      <c r="L26" s="7">
        <f t="shared" si="11"/>
        <v>-4.0984358264873677E-2</v>
      </c>
      <c r="M26" s="7">
        <f t="shared" si="11"/>
        <v>-0.41264791163929659</v>
      </c>
      <c r="N26" s="7">
        <f t="shared" si="11"/>
        <v>-0.63712728432434296</v>
      </c>
      <c r="O26" s="7">
        <f t="shared" si="11"/>
        <v>-0.10056667017386345</v>
      </c>
      <c r="P26" s="7">
        <f t="shared" si="11"/>
        <v>-9.6735503505482656E-2</v>
      </c>
      <c r="Q26" s="10">
        <f t="shared" si="11"/>
        <v>-4.2414671264608961E-3</v>
      </c>
    </row>
    <row r="27" spans="1:17" ht="24.95" customHeight="1" x14ac:dyDescent="0.25">
      <c r="A27" s="5" t="s">
        <v>26</v>
      </c>
      <c r="B27" s="9">
        <v>12686</v>
      </c>
      <c r="C27" s="9">
        <v>22938</v>
      </c>
      <c r="D27" s="9">
        <v>9324</v>
      </c>
      <c r="E27" s="9">
        <v>625411</v>
      </c>
      <c r="F27" s="9">
        <v>323.77</v>
      </c>
      <c r="G27" s="9">
        <v>470.59300000000002</v>
      </c>
      <c r="H27" s="11">
        <v>68.800428395662479</v>
      </c>
      <c r="I27" s="8">
        <v>64</v>
      </c>
      <c r="J27" s="8">
        <v>33</v>
      </c>
      <c r="K27" s="8">
        <v>97</v>
      </c>
      <c r="L27" s="8">
        <v>29.280999999999999</v>
      </c>
      <c r="M27" s="8">
        <v>5.6000000000000001E-2</v>
      </c>
      <c r="N27" s="8">
        <v>2.4E-2</v>
      </c>
      <c r="O27" s="8">
        <v>29.361000000000001</v>
      </c>
      <c r="P27" s="8">
        <v>45.115000000000002</v>
      </c>
      <c r="Q27" s="11">
        <v>65.080350216114368</v>
      </c>
    </row>
    <row r="28" spans="1:17" ht="24.95" customHeight="1" x14ac:dyDescent="0.25">
      <c r="A28" s="4" t="s">
        <v>28</v>
      </c>
      <c r="B28" s="17">
        <f>(B27-B24)/B24</f>
        <v>0.17506483882919599</v>
      </c>
      <c r="C28" s="17">
        <f t="shared" ref="C28:Q28" si="12">(C27-C24)/C24</f>
        <v>0.42180623566602615</v>
      </c>
      <c r="D28" s="17">
        <f t="shared" si="12"/>
        <v>0.27411861164252527</v>
      </c>
      <c r="E28" s="17">
        <f t="shared" si="12"/>
        <v>0.56219963031423292</v>
      </c>
      <c r="F28" s="17">
        <f t="shared" si="12"/>
        <v>0.42014351884342749</v>
      </c>
      <c r="G28" s="17">
        <f t="shared" si="12"/>
        <v>0.3735891021917625</v>
      </c>
      <c r="H28" s="14">
        <f t="shared" si="12"/>
        <v>3.389253494904728E-2</v>
      </c>
      <c r="I28" s="17">
        <f t="shared" si="12"/>
        <v>-0.49606299212598426</v>
      </c>
      <c r="J28" s="17">
        <f t="shared" si="12"/>
        <v>-0.26666666666666666</v>
      </c>
      <c r="K28" s="17">
        <f t="shared" si="12"/>
        <v>-0.43604651162790697</v>
      </c>
      <c r="L28" s="17">
        <f t="shared" si="12"/>
        <v>0.45930725143284312</v>
      </c>
      <c r="M28" s="17">
        <f t="shared" si="12"/>
        <v>-0.23287671232876705</v>
      </c>
      <c r="N28" s="17">
        <f t="shared" si="12"/>
        <v>0</v>
      </c>
      <c r="O28" s="17">
        <f t="shared" si="12"/>
        <v>0.45625433984723746</v>
      </c>
      <c r="P28" s="17">
        <f t="shared" si="12"/>
        <v>0.37633850941151337</v>
      </c>
      <c r="Q28" s="14">
        <f t="shared" si="12"/>
        <v>5.8064080812425992E-2</v>
      </c>
    </row>
    <row r="29" spans="1:17" ht="24.95" customHeight="1" x14ac:dyDescent="0.25">
      <c r="A29" s="6" t="s">
        <v>30</v>
      </c>
      <c r="B29" s="7">
        <f>(((B27/B6)^(1/7))-1)</f>
        <v>-4.0607041327920479E-2</v>
      </c>
      <c r="C29" s="7">
        <f t="shared" ref="C29:Q29" si="13">(((C27/C6)^(1/7))-1)</f>
        <v>9.0171010280579722E-3</v>
      </c>
      <c r="D29" s="7">
        <f t="shared" si="13"/>
        <v>1.8211242045327314E-3</v>
      </c>
      <c r="E29" s="7">
        <f t="shared" si="13"/>
        <v>4.6433810694544331E-2</v>
      </c>
      <c r="F29" s="7">
        <f t="shared" si="13"/>
        <v>8.542650102622229E-3</v>
      </c>
      <c r="G29" s="7">
        <f t="shared" si="13"/>
        <v>3.2284552895693874E-3</v>
      </c>
      <c r="H29" s="10">
        <f t="shared" si="13"/>
        <v>5.297093383898277E-3</v>
      </c>
      <c r="I29" s="7">
        <f t="shared" si="13"/>
        <v>-0.39878155692087502</v>
      </c>
      <c r="J29" s="7">
        <f t="shared" si="13"/>
        <v>-0.56846830654282643</v>
      </c>
      <c r="K29" s="7">
        <f t="shared" si="13"/>
        <v>-0.50898297683024918</v>
      </c>
      <c r="L29" s="7">
        <f t="shared" si="13"/>
        <v>1.8290178372613486E-2</v>
      </c>
      <c r="M29" s="7">
        <f t="shared" si="13"/>
        <v>-0.38980986584669131</v>
      </c>
      <c r="N29" s="7">
        <f t="shared" si="13"/>
        <v>-0.58058249188798783</v>
      </c>
      <c r="O29" s="7">
        <f t="shared" si="13"/>
        <v>-3.6471772965766869E-2</v>
      </c>
      <c r="P29" s="7">
        <f t="shared" si="13"/>
        <v>-4.072089193224715E-2</v>
      </c>
      <c r="Q29" s="10">
        <f t="shared" si="13"/>
        <v>4.4294918243754644E-3</v>
      </c>
    </row>
    <row r="30" spans="1:17" ht="24.95" customHeight="1" x14ac:dyDescent="0.25">
      <c r="A30" s="5" t="s">
        <v>27</v>
      </c>
      <c r="B30" s="9">
        <v>20828</v>
      </c>
      <c r="C30" s="9">
        <v>38202</v>
      </c>
      <c r="D30" s="9">
        <v>17564</v>
      </c>
      <c r="E30" s="9">
        <v>1281251</v>
      </c>
      <c r="F30" s="9">
        <v>570.33299999999997</v>
      </c>
      <c r="G30" s="9">
        <v>729.71299999999997</v>
      </c>
      <c r="H30" s="11">
        <v>78.158536301258167</v>
      </c>
      <c r="I30" s="8">
        <v>76</v>
      </c>
      <c r="J30" s="8">
        <v>38</v>
      </c>
      <c r="K30" s="8">
        <v>114</v>
      </c>
      <c r="L30" s="8">
        <v>51.292999999999999</v>
      </c>
      <c r="M30" s="8">
        <v>5.1999999999999998E-2</v>
      </c>
      <c r="N30" s="8">
        <v>2.4E-2</v>
      </c>
      <c r="O30" s="8">
        <v>51.369</v>
      </c>
      <c r="P30" s="8">
        <v>67.221999999999994</v>
      </c>
      <c r="Q30" s="11">
        <v>76.41694683288209</v>
      </c>
    </row>
    <row r="31" spans="1:17" ht="24.95" customHeight="1" x14ac:dyDescent="0.25">
      <c r="A31" s="4" t="s">
        <v>28</v>
      </c>
      <c r="B31" s="17">
        <f>(B30-B27)/B27</f>
        <v>0.64180986914709126</v>
      </c>
      <c r="C31" s="17">
        <f t="shared" ref="C31:Q31" si="14">(C30-C27)/C27</f>
        <v>0.66544598482866857</v>
      </c>
      <c r="D31" s="17">
        <f t="shared" si="14"/>
        <v>0.88374088374088378</v>
      </c>
      <c r="E31" s="17">
        <f t="shared" si="14"/>
        <v>1.0486544048633619</v>
      </c>
      <c r="F31" s="17">
        <f t="shared" si="14"/>
        <v>0.7615375111962196</v>
      </c>
      <c r="G31" s="17">
        <f t="shared" si="14"/>
        <v>0.55062442492769748</v>
      </c>
      <c r="H31" s="14">
        <f t="shared" si="14"/>
        <v>0.13601816331401897</v>
      </c>
      <c r="I31" s="17">
        <f t="shared" si="14"/>
        <v>0.1875</v>
      </c>
      <c r="J31" s="17">
        <f t="shared" si="14"/>
        <v>0.15151515151515152</v>
      </c>
      <c r="K31" s="17">
        <f t="shared" si="14"/>
        <v>0.17525773195876287</v>
      </c>
      <c r="L31" s="17">
        <f t="shared" si="14"/>
        <v>0.75175028175267244</v>
      </c>
      <c r="M31" s="17">
        <f t="shared" si="14"/>
        <v>-7.1428571428571494E-2</v>
      </c>
      <c r="N31" s="17">
        <f t="shared" si="14"/>
        <v>0</v>
      </c>
      <c r="O31" s="17">
        <f t="shared" si="14"/>
        <v>0.74956575048533769</v>
      </c>
      <c r="P31" s="17">
        <f t="shared" si="14"/>
        <v>0.49001440762495824</v>
      </c>
      <c r="Q31" s="14">
        <f t="shared" si="14"/>
        <v>0.17419384774547045</v>
      </c>
    </row>
    <row r="32" spans="1:17" ht="24.95" customHeight="1" x14ac:dyDescent="0.25">
      <c r="A32" s="6" t="s">
        <v>30</v>
      </c>
      <c r="B32" s="7">
        <f>(((B30/B6)^(1/8))-1)</f>
        <v>2.6035337765430322E-2</v>
      </c>
      <c r="C32" s="7">
        <f t="shared" ref="C32:Q32" si="15">(((C30/C6)^(1/8))-1)</f>
        <v>7.4242993895034637E-2</v>
      </c>
      <c r="D32" s="7">
        <f t="shared" si="15"/>
        <v>8.4099283115200762E-2</v>
      </c>
      <c r="E32" s="7">
        <f t="shared" si="15"/>
        <v>0.13810250891758313</v>
      </c>
      <c r="F32" s="7">
        <f t="shared" si="15"/>
        <v>8.1356691733707853E-2</v>
      </c>
      <c r="G32" s="7">
        <f t="shared" si="15"/>
        <v>5.9346873573449477E-2</v>
      </c>
      <c r="H32" s="10">
        <f t="shared" si="15"/>
        <v>2.0776781155745105E-2</v>
      </c>
      <c r="I32" s="7">
        <f t="shared" si="15"/>
        <v>-0.34539026430669939</v>
      </c>
      <c r="J32" s="7">
        <f t="shared" si="15"/>
        <v>-0.51214044255532976</v>
      </c>
      <c r="K32" s="7">
        <f t="shared" si="15"/>
        <v>-0.45238401088966562</v>
      </c>
      <c r="L32" s="7">
        <f t="shared" si="15"/>
        <v>8.9736845054583458E-2</v>
      </c>
      <c r="M32" s="7">
        <f t="shared" si="15"/>
        <v>-0.35692896543679342</v>
      </c>
      <c r="N32" s="7">
        <f t="shared" si="15"/>
        <v>-0.5324632687387576</v>
      </c>
      <c r="O32" s="7">
        <f t="shared" si="15"/>
        <v>3.8120268371882648E-2</v>
      </c>
      <c r="P32" s="7">
        <f t="shared" si="15"/>
        <v>1.3562820481434645E-2</v>
      </c>
      <c r="Q32" s="10">
        <f t="shared" si="15"/>
        <v>2.4228836530115982E-2</v>
      </c>
    </row>
    <row r="33" spans="1:17" ht="24.95" customHeight="1" x14ac:dyDescent="0.25">
      <c r="A33" s="5" t="s">
        <v>31</v>
      </c>
      <c r="B33" s="9">
        <v>28983</v>
      </c>
      <c r="C33" s="9">
        <v>51698</v>
      </c>
      <c r="D33" s="9">
        <v>23821</v>
      </c>
      <c r="E33" s="9">
        <v>1597382</v>
      </c>
      <c r="F33" s="9">
        <v>679.84728900000005</v>
      </c>
      <c r="G33" s="9">
        <v>984.52216399999998</v>
      </c>
      <c r="H33" s="11">
        <v>69.053528082888349</v>
      </c>
      <c r="I33" s="8">
        <v>83.3</v>
      </c>
      <c r="J33" s="8">
        <v>15</v>
      </c>
      <c r="K33" s="8">
        <v>98.3</v>
      </c>
      <c r="L33" s="8">
        <v>61.920999999999999</v>
      </c>
      <c r="M33" s="8">
        <v>5.1799999999999999E-2</v>
      </c>
      <c r="N33" s="8">
        <v>8.9999999999999993E-3</v>
      </c>
      <c r="O33" s="8">
        <v>61.9818</v>
      </c>
      <c r="P33" s="8">
        <v>91.338999999999999</v>
      </c>
      <c r="Q33" s="11">
        <v>67.859074436987484</v>
      </c>
    </row>
    <row r="34" spans="1:17" ht="24.95" customHeight="1" x14ac:dyDescent="0.25">
      <c r="A34" s="4" t="s">
        <v>28</v>
      </c>
      <c r="B34" s="17">
        <f>(B33-B30)/B30</f>
        <v>0.3915402342999808</v>
      </c>
      <c r="C34" s="17">
        <f t="shared" ref="C34:Q34" si="16">(C33-C30)/C30</f>
        <v>0.35327993298780169</v>
      </c>
      <c r="D34" s="17">
        <f t="shared" si="16"/>
        <v>0.35624003643816898</v>
      </c>
      <c r="E34" s="17">
        <f t="shared" si="16"/>
        <v>0.24673619766930913</v>
      </c>
      <c r="F34" s="17">
        <f t="shared" si="16"/>
        <v>0.19201815255298235</v>
      </c>
      <c r="G34" s="17">
        <f t="shared" si="16"/>
        <v>0.34919093396993067</v>
      </c>
      <c r="H34" s="14">
        <f t="shared" si="16"/>
        <v>-0.11649409839604748</v>
      </c>
      <c r="I34" s="17">
        <f t="shared" si="16"/>
        <v>9.6052631578947334E-2</v>
      </c>
      <c r="J34" s="17">
        <f t="shared" si="16"/>
        <v>-0.60526315789473684</v>
      </c>
      <c r="K34" s="17">
        <f t="shared" si="16"/>
        <v>-0.13771929824561405</v>
      </c>
      <c r="L34" s="17">
        <f t="shared" si="16"/>
        <v>0.20720176242372254</v>
      </c>
      <c r="M34" s="17">
        <f t="shared" si="16"/>
        <v>-3.8461538461538229E-3</v>
      </c>
      <c r="N34" s="17">
        <f t="shared" si="16"/>
        <v>-0.625</v>
      </c>
      <c r="O34" s="17">
        <f t="shared" si="16"/>
        <v>0.20659931086842259</v>
      </c>
      <c r="P34" s="17">
        <f t="shared" si="16"/>
        <v>0.35876647526107536</v>
      </c>
      <c r="Q34" s="14">
        <f t="shared" si="16"/>
        <v>-0.11198919546746622</v>
      </c>
    </row>
    <row r="35" spans="1:17" ht="24.95" customHeight="1" x14ac:dyDescent="0.25">
      <c r="A35" s="6" t="s">
        <v>30</v>
      </c>
      <c r="B35" s="7">
        <f>(((B33/B6)^(1/9))-1)</f>
        <v>6.1368111373349521E-2</v>
      </c>
      <c r="C35" s="7">
        <f t="shared" ref="C35:Q35" si="17">(((C33/C6)^(1/9))-1)</f>
        <v>0.10216171243378258</v>
      </c>
      <c r="D35" s="7">
        <f t="shared" si="17"/>
        <v>0.11141577734952968</v>
      </c>
      <c r="E35" s="7">
        <f t="shared" si="17"/>
        <v>0.14968965581176441</v>
      </c>
      <c r="F35" s="7">
        <f t="shared" si="17"/>
        <v>9.3126735242147651E-2</v>
      </c>
      <c r="G35" s="7">
        <f t="shared" si="17"/>
        <v>8.8200120755899114E-2</v>
      </c>
      <c r="H35" s="10">
        <f t="shared" si="17"/>
        <v>4.5273055867944834E-3</v>
      </c>
      <c r="I35" s="7">
        <f t="shared" si="17"/>
        <v>-0.30680636625492552</v>
      </c>
      <c r="J35" s="7">
        <f t="shared" si="17"/>
        <v>-0.52348780192029665</v>
      </c>
      <c r="K35" s="7">
        <f t="shared" si="17"/>
        <v>-0.42405079817247471</v>
      </c>
      <c r="L35" s="7">
        <f t="shared" si="17"/>
        <v>0.10220261717635393</v>
      </c>
      <c r="M35" s="7">
        <f t="shared" si="17"/>
        <v>-0.32488531329475667</v>
      </c>
      <c r="N35" s="7">
        <f t="shared" si="17"/>
        <v>-0.54378136847245218</v>
      </c>
      <c r="O35" s="7">
        <f t="shared" si="17"/>
        <v>5.5613503930135089E-2</v>
      </c>
      <c r="P35" s="7">
        <f t="shared" si="17"/>
        <v>4.7115205097101764E-2</v>
      </c>
      <c r="Q35" s="10">
        <f t="shared" si="17"/>
        <v>8.115915795764872E-3</v>
      </c>
    </row>
    <row r="36" spans="1:17" ht="24.95" customHeight="1" x14ac:dyDescent="0.25">
      <c r="A36" s="5" t="s">
        <v>35</v>
      </c>
      <c r="B36" s="9">
        <v>30669</v>
      </c>
      <c r="C36" s="9">
        <v>53661.600000000006</v>
      </c>
      <c r="D36" s="9">
        <v>20921.399999999998</v>
      </c>
      <c r="E36" s="9">
        <v>1639757</v>
      </c>
      <c r="F36" s="9">
        <v>672.04899999999986</v>
      </c>
      <c r="G36" s="9">
        <v>1028.5710000000001</v>
      </c>
      <c r="H36" s="11">
        <v>65.338124446440716</v>
      </c>
      <c r="I36" s="8">
        <v>225</v>
      </c>
      <c r="J36" s="8">
        <v>0</v>
      </c>
      <c r="K36" s="8">
        <v>225</v>
      </c>
      <c r="L36" s="8">
        <v>61.1569</v>
      </c>
      <c r="M36" s="8">
        <v>0.1089</v>
      </c>
      <c r="N36" s="8">
        <v>0</v>
      </c>
      <c r="O36" s="8">
        <v>61.265800000000006</v>
      </c>
      <c r="P36" s="8">
        <v>95.361299999999986</v>
      </c>
      <c r="Q36" s="11">
        <v>64.245978190314119</v>
      </c>
    </row>
    <row r="37" spans="1:17" x14ac:dyDescent="0.25">
      <c r="A37" s="4" t="s">
        <v>28</v>
      </c>
      <c r="B37" s="17">
        <f>(B36-B33)/B33</f>
        <v>5.8172031880757688E-2</v>
      </c>
      <c r="C37" s="17">
        <f t="shared" ref="C37:Q37" si="18">(C36-C33)/C33</f>
        <v>3.7982126968161355E-2</v>
      </c>
      <c r="D37" s="17">
        <f t="shared" si="18"/>
        <v>-0.12172452877712951</v>
      </c>
      <c r="E37" s="17">
        <f t="shared" si="18"/>
        <v>2.6527781081795088E-2</v>
      </c>
      <c r="F37" s="17">
        <f t="shared" si="18"/>
        <v>-1.1470648079616275E-2</v>
      </c>
      <c r="G37" s="17">
        <f t="shared" si="18"/>
        <v>4.4741335046267344E-2</v>
      </c>
      <c r="H37" s="14">
        <f t="shared" si="18"/>
        <v>-5.380468948650749E-2</v>
      </c>
      <c r="I37" s="17">
        <f t="shared" si="18"/>
        <v>1.701080432172869</v>
      </c>
      <c r="J37" s="17">
        <f t="shared" si="18"/>
        <v>-1</v>
      </c>
      <c r="K37" s="17">
        <f t="shared" si="18"/>
        <v>1.288911495422177</v>
      </c>
      <c r="L37" s="17">
        <f t="shared" si="18"/>
        <v>-1.2339916991004653E-2</v>
      </c>
      <c r="M37" s="17">
        <f t="shared" si="18"/>
        <v>1.1023166023166022</v>
      </c>
      <c r="N37" s="17">
        <f t="shared" si="18"/>
        <v>-1</v>
      </c>
      <c r="O37" s="17">
        <f t="shared" si="18"/>
        <v>-1.1551778102604215E-2</v>
      </c>
      <c r="P37" s="17">
        <f t="shared" si="18"/>
        <v>4.4037048796242428E-2</v>
      </c>
      <c r="Q37" s="14">
        <f t="shared" si="18"/>
        <v>-5.324411328404443E-2</v>
      </c>
    </row>
    <row r="38" spans="1:17" x14ac:dyDescent="0.25">
      <c r="A38" s="6" t="s">
        <v>30</v>
      </c>
      <c r="B38" s="7">
        <f>(((B36/B6)^(1/10))-1)</f>
        <v>6.1048069502852575E-2</v>
      </c>
      <c r="C38" s="7">
        <f t="shared" ref="C38:Q38" si="19">(((C36/C6)^(1/10))-1)</f>
        <v>9.5569102537878869E-2</v>
      </c>
      <c r="D38" s="7">
        <f t="shared" si="19"/>
        <v>8.5555362976271532E-2</v>
      </c>
      <c r="E38" s="7">
        <f t="shared" si="19"/>
        <v>0.13673604724811605</v>
      </c>
      <c r="F38" s="7">
        <f t="shared" si="19"/>
        <v>8.2187271471146017E-2</v>
      </c>
      <c r="G38" s="7">
        <f t="shared" si="19"/>
        <v>8.3774106306066409E-2</v>
      </c>
      <c r="H38" s="10">
        <f t="shared" si="19"/>
        <v>-1.4641748918776676E-3</v>
      </c>
      <c r="I38" s="7">
        <f t="shared" si="19"/>
        <v>-0.20581284127988364</v>
      </c>
      <c r="J38" s="7">
        <f t="shared" si="19"/>
        <v>-1</v>
      </c>
      <c r="K38" s="7">
        <f t="shared" si="19"/>
        <v>-0.33883681562373391</v>
      </c>
      <c r="L38" s="7">
        <f t="shared" si="19"/>
        <v>9.017456268722901E-2</v>
      </c>
      <c r="M38" s="7">
        <f t="shared" si="19"/>
        <v>-0.24367298636728629</v>
      </c>
      <c r="N38" s="7">
        <f t="shared" si="19"/>
        <v>-1</v>
      </c>
      <c r="O38" s="7">
        <f t="shared" si="19"/>
        <v>4.8696542149019306E-2</v>
      </c>
      <c r="P38" s="7">
        <f t="shared" si="19"/>
        <v>4.6806981515155499E-2</v>
      </c>
      <c r="Q38" s="10">
        <f t="shared" si="19"/>
        <v>1.8050707219479101E-3</v>
      </c>
    </row>
    <row r="39" spans="1:17" x14ac:dyDescent="0.25">
      <c r="A39" s="20" t="s">
        <v>34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</row>
    <row r="40" spans="1:17" x14ac:dyDescent="0.25">
      <c r="A40" s="22" t="s">
        <v>36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</row>
    <row r="41" spans="1:17" x14ac:dyDescent="0.25">
      <c r="A41" s="3"/>
    </row>
  </sheetData>
  <mergeCells count="14">
    <mergeCell ref="P4:P5"/>
    <mergeCell ref="Q4:Q5"/>
    <mergeCell ref="A39:Q39"/>
    <mergeCell ref="A40:Q4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5" right="0.25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Alliance Air</vt:lpstr>
      <vt:lpstr>'Alliance Air'!Print_Area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2020-05-11T09:32:17Z</cp:lastPrinted>
  <dcterms:created xsi:type="dcterms:W3CDTF">2018-10-29T04:00:16Z</dcterms:created>
  <dcterms:modified xsi:type="dcterms:W3CDTF">2021-08-27T23:16:49Z</dcterms:modified>
</cp:coreProperties>
</file>