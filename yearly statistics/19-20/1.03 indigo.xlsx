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2. INDIGO\"/>
    </mc:Choice>
  </mc:AlternateContent>
  <bookViews>
    <workbookView xWindow="0" yWindow="0" windowWidth="24000" windowHeight="9435"/>
  </bookViews>
  <sheets>
    <sheet name="INDIG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H18" i="1" l="1"/>
</calcChain>
</file>

<file path=xl/sharedStrings.xml><?xml version="1.0" encoding="utf-8"?>
<sst xmlns="http://schemas.openxmlformats.org/spreadsheetml/2006/main" count="26" uniqueCount="24">
  <si>
    <t xml:space="preserve">तालिका 1.03(इंडिगो) </t>
  </si>
  <si>
    <t>Table 1.03 (INDIGO)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</si>
  <si>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</si>
  <si>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</si>
  <si>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</si>
  <si>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</si>
  <si>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</si>
  <si>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</si>
  <si>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</si>
  <si>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</si>
  <si>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</si>
  <si>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</si>
  <si>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</si>
  <si>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</si>
  <si>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</si>
  <si>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</si>
  <si>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</si>
  <si>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</si>
  <si>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</si>
  <si>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</si>
  <si>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</si>
  <si>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INDIGO</t>
  </si>
  <si>
    <t>2019-20</t>
  </si>
  <si>
    <t>MONTHLY TRAFFIC AND OPERATING STATISTICS OF INDIGO ON SCHEDULED (DOMESTIC + INTERNATIONAL)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</si>
</sst>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7" formatCode="_(* #,##0.0_);_(* \(#,##0.0\);_(* &quot;-&quot;??_);_(@_)"/>
    <numFmt numFmtId="168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right" vertical="center"/>
    </xf>
    <xf numFmtId="167" fontId="1" fillId="3" borderId="1" xfId="3" applyNumberFormat="1" applyBorder="1" applyAlignment="1">
      <alignment horizontal="right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8" fontId="2" fillId="3" borderId="1" xfId="3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4" zoomScale="96" zoomScaleNormal="96" zoomScaleSheetLayoutView="130" workbookViewId="0">
      <selection activeCell="X7" sqref="X7"/>
    </sheetView>
  </sheetViews>
  <sheetFormatPr defaultRowHeight="15" x14ac:dyDescent="0.25"/>
  <cols>
    <col min="1" max="1" width="8.140625" customWidth="1"/>
    <col min="2" max="2" width="9.5703125" customWidth="1"/>
    <col min="3" max="4" width="9.85546875" customWidth="1"/>
    <col min="5" max="5" width="11.5703125" customWidth="1"/>
    <col min="6" max="7" width="8.28515625" customWidth="1"/>
    <col min="8" max="8" width="7.28515625" customWidth="1"/>
    <col min="9" max="9" width="10.5703125" customWidth="1"/>
    <col min="10" max="10" width="8.85546875" customWidth="1"/>
    <col min="11" max="11" width="10.28515625" customWidth="1"/>
    <col min="12" max="12" width="8.7109375" customWidth="1"/>
    <col min="13" max="13" width="7.28515625" customWidth="1"/>
    <col min="14" max="14" width="7.140625" customWidth="1"/>
    <col min="15" max="15" width="8.5703125" customWidth="1"/>
    <col min="16" max="16" width="8.7109375" customWidth="1"/>
    <col min="17" max="17" width="7" customWidth="1"/>
  </cols>
  <sheetData>
    <row r="1" spans="1:17" ht="19.899999999999999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9.899999999999999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9.899999999999999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9.899999999999999" customHeight="1" x14ac:dyDescent="0.25">
      <c r="A4" s="20" t="s">
        <v>2</v>
      </c>
      <c r="B4" s="20" t="s">
        <v>3</v>
      </c>
      <c r="C4" s="20"/>
      <c r="D4" s="20"/>
      <c r="E4" s="20" t="s">
        <v>4</v>
      </c>
      <c r="F4" s="21"/>
      <c r="G4" s="12" t="s">
        <v>5</v>
      </c>
      <c r="H4" s="12" t="s">
        <v>6</v>
      </c>
      <c r="I4" s="20" t="s">
        <v>7</v>
      </c>
      <c r="J4" s="20"/>
      <c r="K4" s="20"/>
      <c r="L4" s="20" t="s">
        <v>8</v>
      </c>
      <c r="M4" s="20"/>
      <c r="N4" s="20"/>
      <c r="O4" s="20"/>
      <c r="P4" s="12" t="s">
        <v>9</v>
      </c>
      <c r="Q4" s="12" t="s">
        <v>10</v>
      </c>
    </row>
    <row r="5" spans="1:17" ht="116.25" customHeight="1" x14ac:dyDescent="0.25">
      <c r="A5" s="20"/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3"/>
      <c r="H5" s="13"/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17</v>
      </c>
      <c r="O5" s="11" t="s">
        <v>18</v>
      </c>
      <c r="P5" s="13"/>
      <c r="Q5" s="13"/>
    </row>
    <row r="6" spans="1:17" ht="24" customHeight="1" x14ac:dyDescent="0.25">
      <c r="A6" s="1">
        <v>43556</v>
      </c>
      <c r="B6" s="2">
        <v>41206</v>
      </c>
      <c r="C6" s="2">
        <v>79181.23</v>
      </c>
      <c r="D6" s="2">
        <v>42985.14</v>
      </c>
      <c r="E6" s="2">
        <v>5986999</v>
      </c>
      <c r="F6" s="2">
        <v>6661.2899999999991</v>
      </c>
      <c r="G6" s="2">
        <v>7620.3617700000004</v>
      </c>
      <c r="H6" s="3">
        <f>F6/G6*100</f>
        <v>87.414353820107394</v>
      </c>
      <c r="I6" s="2">
        <v>21489.66</v>
      </c>
      <c r="J6" s="2">
        <v>1557.5129999999999</v>
      </c>
      <c r="K6" s="2">
        <v>23047.17</v>
      </c>
      <c r="L6" s="2">
        <v>599.17322000000001</v>
      </c>
      <c r="M6" s="2">
        <v>28.109430000000003</v>
      </c>
      <c r="N6" s="2">
        <v>1.55213</v>
      </c>
      <c r="O6" s="2">
        <v>628.83478000000002</v>
      </c>
      <c r="P6" s="3">
        <v>840.68613000000005</v>
      </c>
      <c r="Q6" s="3">
        <f>O6/P6*100</f>
        <v>74.800184939413711</v>
      </c>
    </row>
    <row r="7" spans="1:17" ht="24" customHeight="1" x14ac:dyDescent="0.25">
      <c r="A7" s="4">
        <v>43586</v>
      </c>
      <c r="B7" s="5">
        <v>43080</v>
      </c>
      <c r="C7" s="5">
        <v>82427</v>
      </c>
      <c r="D7" s="5">
        <v>44352.319000000003</v>
      </c>
      <c r="E7" s="5">
        <v>6462539</v>
      </c>
      <c r="F7" s="5">
        <v>7093.473</v>
      </c>
      <c r="G7" s="5">
        <v>7877.3180000000002</v>
      </c>
      <c r="H7" s="6">
        <f t="shared" ref="H7:H18" si="0">F7/G7*100</f>
        <v>90.049341666795726</v>
      </c>
      <c r="I7" s="5">
        <v>23146.424000000003</v>
      </c>
      <c r="J7" s="5">
        <v>1610.2680000000007</v>
      </c>
      <c r="K7" s="5">
        <v>24756.692000000003</v>
      </c>
      <c r="L7" s="5">
        <v>638.41102866000131</v>
      </c>
      <c r="M7" s="5">
        <v>30.652909899000008</v>
      </c>
      <c r="N7" s="5">
        <v>1.6101801439999999</v>
      </c>
      <c r="O7" s="5">
        <v>670.67411870300134</v>
      </c>
      <c r="P7" s="6">
        <v>869.2387725840025</v>
      </c>
      <c r="Q7" s="6">
        <f t="shared" ref="Q7:Q18" si="1">O7/P7*100</f>
        <v>77.156489086338809</v>
      </c>
    </row>
    <row r="8" spans="1:17" ht="24" customHeight="1" x14ac:dyDescent="0.25">
      <c r="A8" s="1">
        <v>43617</v>
      </c>
      <c r="B8" s="2">
        <v>41962</v>
      </c>
      <c r="C8" s="2">
        <v>80872.666666666672</v>
      </c>
      <c r="D8" s="2">
        <v>43507.199999999997</v>
      </c>
      <c r="E8" s="2">
        <v>6286578</v>
      </c>
      <c r="F8" s="2">
        <v>6931.0590000000002</v>
      </c>
      <c r="G8" s="2">
        <v>7762.8600000000006</v>
      </c>
      <c r="H8" s="3">
        <f t="shared" si="0"/>
        <v>89.284864083598052</v>
      </c>
      <c r="I8" s="2">
        <v>21529.388999999999</v>
      </c>
      <c r="J8" s="2">
        <v>1548.5519999999997</v>
      </c>
      <c r="K8" s="2">
        <v>23077.940999999999</v>
      </c>
      <c r="L8" s="2">
        <v>623.79531161999898</v>
      </c>
      <c r="M8" s="2">
        <v>29.016810886000002</v>
      </c>
      <c r="N8" s="2">
        <v>1.5537223019999999</v>
      </c>
      <c r="O8" s="2">
        <v>654.365844807999</v>
      </c>
      <c r="P8" s="3">
        <v>856.98159566499794</v>
      </c>
      <c r="Q8" s="3">
        <f t="shared" si="1"/>
        <v>76.357047586328406</v>
      </c>
    </row>
    <row r="9" spans="1:17" ht="24" customHeight="1" x14ac:dyDescent="0.25">
      <c r="A9" s="4">
        <v>43647</v>
      </c>
      <c r="B9" s="5">
        <v>43563</v>
      </c>
      <c r="C9" s="5">
        <v>84286.900000000009</v>
      </c>
      <c r="D9" s="5">
        <v>44639.555999999997</v>
      </c>
      <c r="E9" s="5">
        <v>6238565</v>
      </c>
      <c r="F9" s="5">
        <v>6754.9539999999997</v>
      </c>
      <c r="G9" s="5">
        <v>7966.9179999999997</v>
      </c>
      <c r="H9" s="6">
        <f t="shared" si="0"/>
        <v>84.787542685891836</v>
      </c>
      <c r="I9" s="5">
        <v>23224.282999999992</v>
      </c>
      <c r="J9" s="5">
        <v>1730.2359999999992</v>
      </c>
      <c r="K9" s="5">
        <v>24954.518999999993</v>
      </c>
      <c r="L9" s="5">
        <v>607.94450747999906</v>
      </c>
      <c r="M9" s="5">
        <v>31.748857050000002</v>
      </c>
      <c r="N9" s="5">
        <v>1.79654753</v>
      </c>
      <c r="O9" s="5">
        <v>641.48991205999903</v>
      </c>
      <c r="P9" s="6">
        <v>880.3705256100011</v>
      </c>
      <c r="Q9" s="6">
        <f t="shared" si="1"/>
        <v>72.865900595151828</v>
      </c>
    </row>
    <row r="10" spans="1:17" ht="24" customHeight="1" x14ac:dyDescent="0.25">
      <c r="A10" s="1">
        <v>43678</v>
      </c>
      <c r="B10" s="2">
        <v>43706</v>
      </c>
      <c r="C10" s="2">
        <v>85728.233333333337</v>
      </c>
      <c r="D10" s="2">
        <v>45521.146000000001</v>
      </c>
      <c r="E10" s="2">
        <v>6125194</v>
      </c>
      <c r="F10" s="2">
        <v>6697.0370000000003</v>
      </c>
      <c r="G10" s="2">
        <v>8111.8810000000003</v>
      </c>
      <c r="H10" s="3">
        <f t="shared" si="0"/>
        <v>82.558373329194552</v>
      </c>
      <c r="I10" s="2">
        <v>23847.401999999998</v>
      </c>
      <c r="J10" s="2">
        <v>1499.9330000000007</v>
      </c>
      <c r="K10" s="2">
        <v>25347.334999999999</v>
      </c>
      <c r="L10" s="2">
        <v>602.73128673000008</v>
      </c>
      <c r="M10" s="2">
        <v>32.422819471000004</v>
      </c>
      <c r="N10" s="2">
        <v>1.5158337260000001</v>
      </c>
      <c r="O10" s="2">
        <v>636.66993992700009</v>
      </c>
      <c r="P10" s="3">
        <v>915.11620594999999</v>
      </c>
      <c r="Q10" s="3">
        <f t="shared" si="1"/>
        <v>69.572578409980252</v>
      </c>
    </row>
    <row r="11" spans="1:17" ht="24" customHeight="1" x14ac:dyDescent="0.25">
      <c r="A11" s="4">
        <v>43709</v>
      </c>
      <c r="B11" s="5">
        <v>43337</v>
      </c>
      <c r="C11" s="5">
        <v>85014.47</v>
      </c>
      <c r="D11" s="5">
        <v>45491.520000000004</v>
      </c>
      <c r="E11" s="5">
        <v>6151830</v>
      </c>
      <c r="F11" s="5">
        <v>6744.4389999999994</v>
      </c>
      <c r="G11" s="5">
        <v>8096.884</v>
      </c>
      <c r="H11" s="6">
        <f t="shared" si="0"/>
        <v>83.296722541659236</v>
      </c>
      <c r="I11" s="5">
        <v>25130.21</v>
      </c>
      <c r="J11" s="5">
        <v>1291.8549999999998</v>
      </c>
      <c r="K11" s="5">
        <v>26422.064999999999</v>
      </c>
      <c r="L11" s="5">
        <v>607.00019706</v>
      </c>
      <c r="M11" s="5">
        <v>34.486977623000001</v>
      </c>
      <c r="N11" s="5">
        <v>1.2817629300000002</v>
      </c>
      <c r="O11" s="5">
        <v>642.76893761300005</v>
      </c>
      <c r="P11" s="6">
        <v>897.16014145499798</v>
      </c>
      <c r="Q11" s="6">
        <f t="shared" si="1"/>
        <v>71.644838854584989</v>
      </c>
    </row>
    <row r="12" spans="1:17" ht="24" customHeight="1" x14ac:dyDescent="0.25">
      <c r="A12" s="1">
        <v>43739</v>
      </c>
      <c r="B12" s="2">
        <v>46289</v>
      </c>
      <c r="C12" s="2">
        <v>91300.09</v>
      </c>
      <c r="D12" s="2">
        <v>48569.675000000003</v>
      </c>
      <c r="E12" s="2">
        <v>6488426</v>
      </c>
      <c r="F12" s="2">
        <v>7196.8600000000006</v>
      </c>
      <c r="G12" s="2">
        <v>8608.1110000000008</v>
      </c>
      <c r="H12" s="3">
        <f t="shared" si="0"/>
        <v>83.605566889181603</v>
      </c>
      <c r="I12" s="2">
        <v>25166.695</v>
      </c>
      <c r="J12" s="2">
        <v>1302.9739999999999</v>
      </c>
      <c r="K12" s="2">
        <v>26469.668999999998</v>
      </c>
      <c r="L12" s="2">
        <v>647.60392836000005</v>
      </c>
      <c r="M12" s="2">
        <v>33.506874563999901</v>
      </c>
      <c r="N12" s="2">
        <v>1.283767562</v>
      </c>
      <c r="O12" s="2">
        <v>682.39457048599979</v>
      </c>
      <c r="P12" s="3">
        <v>976.20630494800207</v>
      </c>
      <c r="Q12" s="3">
        <f t="shared" si="1"/>
        <v>69.902700589743446</v>
      </c>
    </row>
    <row r="13" spans="1:17" ht="24" customHeight="1" x14ac:dyDescent="0.25">
      <c r="A13" s="4">
        <v>43770</v>
      </c>
      <c r="B13" s="5">
        <v>45531</v>
      </c>
      <c r="C13" s="5">
        <v>91063.959999999992</v>
      </c>
      <c r="D13" s="5">
        <v>47817.16</v>
      </c>
      <c r="E13" s="5">
        <v>6846559</v>
      </c>
      <c r="F13" s="5">
        <v>7578.5930000000008</v>
      </c>
      <c r="G13" s="5">
        <v>8457.726999999999</v>
      </c>
      <c r="H13" s="6">
        <f t="shared" si="0"/>
        <v>89.605552413786853</v>
      </c>
      <c r="I13" s="5">
        <v>22092.282999999999</v>
      </c>
      <c r="J13" s="5">
        <v>1540.6959999999992</v>
      </c>
      <c r="K13" s="5">
        <v>23632.978999999999</v>
      </c>
      <c r="L13" s="5">
        <v>681.87522897000008</v>
      </c>
      <c r="M13" s="5">
        <v>29.886078988000001</v>
      </c>
      <c r="N13" s="5">
        <v>1.601906871</v>
      </c>
      <c r="O13" s="5">
        <v>713.36321482899996</v>
      </c>
      <c r="P13" s="6">
        <v>938.91750785800002</v>
      </c>
      <c r="Q13" s="6">
        <f t="shared" si="1"/>
        <v>75.977198088086723</v>
      </c>
    </row>
    <row r="14" spans="1:17" ht="24" customHeight="1" x14ac:dyDescent="0.25">
      <c r="A14" s="1">
        <v>43800</v>
      </c>
      <c r="B14" s="2">
        <v>46973</v>
      </c>
      <c r="C14" s="2">
        <v>94176.766666666663</v>
      </c>
      <c r="D14" s="2">
        <v>49344.013999999996</v>
      </c>
      <c r="E14" s="2">
        <v>6962080</v>
      </c>
      <c r="F14" s="2">
        <v>7818.0360000000001</v>
      </c>
      <c r="G14" s="2">
        <v>8727.2800000000007</v>
      </c>
      <c r="H14" s="3">
        <f t="shared" si="0"/>
        <v>89.58158784867679</v>
      </c>
      <c r="I14" s="2">
        <v>24092.716</v>
      </c>
      <c r="J14" s="2">
        <v>1661.5070000000005</v>
      </c>
      <c r="K14" s="2">
        <v>25754.222999999998</v>
      </c>
      <c r="L14" s="2">
        <v>702.48515687999998</v>
      </c>
      <c r="M14" s="2">
        <v>31.960268104000001</v>
      </c>
      <c r="N14" s="2">
        <v>1.7299663809999999</v>
      </c>
      <c r="O14" s="2">
        <v>736.175391365</v>
      </c>
      <c r="P14" s="3">
        <v>970.27422234600101</v>
      </c>
      <c r="Q14" s="3">
        <f t="shared" si="1"/>
        <v>75.8729207074079</v>
      </c>
    </row>
    <row r="15" spans="1:17" ht="24" customHeight="1" x14ac:dyDescent="0.25">
      <c r="A15" s="4">
        <v>43831</v>
      </c>
      <c r="B15" s="5">
        <v>47386</v>
      </c>
      <c r="C15" s="5">
        <v>94697.86</v>
      </c>
      <c r="D15" s="5">
        <v>49557.540999999997</v>
      </c>
      <c r="E15" s="5">
        <v>6871907</v>
      </c>
      <c r="F15" s="5">
        <v>7662.3760000000002</v>
      </c>
      <c r="G15" s="5">
        <v>8783.7020000000011</v>
      </c>
      <c r="H15" s="6">
        <f t="shared" si="0"/>
        <v>87.234015908098868</v>
      </c>
      <c r="I15" s="5">
        <v>25352.471999999998</v>
      </c>
      <c r="J15" s="5">
        <v>1785.865</v>
      </c>
      <c r="K15" s="5">
        <v>27138.337</v>
      </c>
      <c r="L15" s="5">
        <v>689.54177745000106</v>
      </c>
      <c r="M15" s="5">
        <v>33.3743990400001</v>
      </c>
      <c r="N15" s="5">
        <v>1.8565959240000001</v>
      </c>
      <c r="O15" s="5">
        <v>724.77277241400111</v>
      </c>
      <c r="P15" s="6">
        <v>977.93209794100108</v>
      </c>
      <c r="Q15" s="6">
        <f t="shared" si="1"/>
        <v>74.112791055737176</v>
      </c>
    </row>
    <row r="16" spans="1:17" ht="24" customHeight="1" x14ac:dyDescent="0.25">
      <c r="A16" s="1">
        <v>43862</v>
      </c>
      <c r="B16" s="2">
        <v>45526</v>
      </c>
      <c r="C16" s="2">
        <v>89713.549999999988</v>
      </c>
      <c r="D16" s="2">
        <v>46929.008999999998</v>
      </c>
      <c r="E16" s="2">
        <v>6552576</v>
      </c>
      <c r="F16" s="2">
        <v>7131.7920000000004</v>
      </c>
      <c r="G16" s="2">
        <v>8340.7170000000006</v>
      </c>
      <c r="H16" s="3">
        <f t="shared" si="0"/>
        <v>85.505742491922447</v>
      </c>
      <c r="I16" s="2">
        <v>25278.322</v>
      </c>
      <c r="J16" s="2">
        <v>1666.4810000000004</v>
      </c>
      <c r="K16" s="2">
        <v>26944.803</v>
      </c>
      <c r="L16" s="2">
        <v>641.79243594000002</v>
      </c>
      <c r="M16" s="2">
        <v>34.437820771999995</v>
      </c>
      <c r="N16" s="2">
        <v>1.7027868430000002</v>
      </c>
      <c r="O16" s="2">
        <v>677.93304355499993</v>
      </c>
      <c r="P16" s="3">
        <v>925.92244994399903</v>
      </c>
      <c r="Q16" s="3">
        <f t="shared" si="1"/>
        <v>73.21704356514978</v>
      </c>
    </row>
    <row r="17" spans="1:17" ht="24" customHeight="1" x14ac:dyDescent="0.25">
      <c r="A17" s="4">
        <v>43891</v>
      </c>
      <c r="B17" s="5">
        <v>34294</v>
      </c>
      <c r="C17" s="5">
        <v>64052.34</v>
      </c>
      <c r="D17" s="5">
        <v>33245.61</v>
      </c>
      <c r="E17" s="5">
        <v>4052707</v>
      </c>
      <c r="F17" s="5">
        <v>4269.9530000000004</v>
      </c>
      <c r="G17" s="5">
        <v>5886.3680000000004</v>
      </c>
      <c r="H17" s="6">
        <f t="shared" si="0"/>
        <v>72.539688310346889</v>
      </c>
      <c r="I17" s="5">
        <v>17405.370999999999</v>
      </c>
      <c r="J17" s="5"/>
      <c r="K17" s="5">
        <v>17405.370999999999</v>
      </c>
      <c r="L17" s="5">
        <v>384.27867872999997</v>
      </c>
      <c r="M17" s="5">
        <v>22.696353021</v>
      </c>
      <c r="N17" s="5">
        <v>0</v>
      </c>
      <c r="O17" s="5">
        <v>406.97503175100002</v>
      </c>
      <c r="P17" s="6">
        <v>652.87889599499999</v>
      </c>
      <c r="Q17" s="6">
        <f t="shared" si="1"/>
        <v>62.335455204255339</v>
      </c>
    </row>
    <row r="18" spans="1:17" ht="24" customHeight="1" x14ac:dyDescent="0.25">
      <c r="A18" s="7" t="s">
        <v>22</v>
      </c>
      <c r="B18" s="8">
        <f>SUM(B6:B17)</f>
        <v>522853</v>
      </c>
      <c r="C18" s="8">
        <f t="shared" ref="C18:P18" si="2">SUM(C6:C17)</f>
        <v>1022515.0666666665</v>
      </c>
      <c r="D18" s="8">
        <f t="shared" si="2"/>
        <v>541959.89</v>
      </c>
      <c r="E18" s="8">
        <f t="shared" si="2"/>
        <v>75025960</v>
      </c>
      <c r="F18" s="8">
        <f t="shared" si="2"/>
        <v>82539.861999999994</v>
      </c>
      <c r="G18" s="8">
        <f t="shared" si="2"/>
        <v>96240.127770000006</v>
      </c>
      <c r="H18" s="9">
        <f t="shared" si="0"/>
        <v>85.764497525666556</v>
      </c>
      <c r="I18" s="10">
        <f t="shared" si="2"/>
        <v>277755.22699999996</v>
      </c>
      <c r="J18" s="10">
        <f t="shared" si="2"/>
        <v>17195.88</v>
      </c>
      <c r="K18" s="10">
        <f t="shared" si="2"/>
        <v>294951.10399999993</v>
      </c>
      <c r="L18" s="10">
        <f t="shared" si="2"/>
        <v>7426.632757880001</v>
      </c>
      <c r="M18" s="10">
        <f t="shared" si="2"/>
        <v>372.29959941800001</v>
      </c>
      <c r="N18" s="10">
        <f t="shared" si="2"/>
        <v>17.485200213000002</v>
      </c>
      <c r="O18" s="10">
        <f t="shared" si="2"/>
        <v>7816.4175575110003</v>
      </c>
      <c r="P18" s="9">
        <f t="shared" si="2"/>
        <v>10701.684850296002</v>
      </c>
      <c r="Q18" s="9">
        <f t="shared" si="1"/>
        <v>73.039130443976802</v>
      </c>
    </row>
    <row r="19" spans="1:17" ht="24" customHeight="1" x14ac:dyDescent="0.25">
      <c r="A19" s="14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2020-06-03T10:36:30Z</dcterms:created>
  <dcterms:modified xsi:type="dcterms:W3CDTF">2021-09-15T00:29:28Z</dcterms:modified>
</cp:coreProperties>
</file>