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rti\Desktop\Annual Handbook International Table\"/>
    </mc:Choice>
  </mc:AlternateContent>
  <bookViews>
    <workbookView xWindow="0" yWindow="0" windowWidth="19200" windowHeight="7230"/>
  </bookViews>
  <sheets>
    <sheet name="Table 1" sheetId="1" r:id="rId1"/>
  </sheets>
  <calcPr calcId="152511"/>
</workbook>
</file>

<file path=xl/calcChain.xml><?xml version="1.0" encoding="utf-8"?>
<calcChain xmlns="http://schemas.openxmlformats.org/spreadsheetml/2006/main">
  <c r="J53" i="1" l="1"/>
  <c r="J52" i="1"/>
  <c r="G54" i="1"/>
  <c r="H54" i="1"/>
  <c r="I54" i="1" s="1"/>
  <c r="J54" i="1" s="1"/>
  <c r="I53" i="1"/>
  <c r="I52" i="1"/>
  <c r="F53" i="1"/>
  <c r="F52" i="1"/>
  <c r="C54" i="1"/>
  <c r="D54" i="1"/>
  <c r="E52" i="1"/>
  <c r="E53" i="1"/>
  <c r="E54" i="1" l="1"/>
  <c r="F54" i="1" s="1"/>
  <c r="I50" i="1"/>
  <c r="H50" i="1"/>
  <c r="G50" i="1"/>
</calcChain>
</file>

<file path=xl/sharedStrings.xml><?xml version="1.0" encoding="utf-8"?>
<sst xmlns="http://schemas.openxmlformats.org/spreadsheetml/2006/main" count="82" uniqueCount="32">
  <si>
    <t>TABLE -  1.01 (INTERNATIONAL OPERATIONS)</t>
  </si>
  <si>
    <t>ANNUAL GROWTH OF SCHEDULED INTERNATIONAL PASSENGERS AND FREIGHT CARRIED BY ALL SCHEDULED DOMESTIC AND FOREIGN AIRLINES TO &amp; FROM INDIA SINCE 2004-05</t>
  </si>
  <si>
    <t>(PASSENGERS IN NUMBER AND FREIGHT IN TONNES)</t>
  </si>
  <si>
    <t>YEAR</t>
  </si>
  <si>
    <t>OPERATOR</t>
  </si>
  <si>
    <t>PASSENGERS</t>
  </si>
  <si>
    <t>% CHANGE OVER PREVIOUS YEAR</t>
  </si>
  <si>
    <t>FREIGHT</t>
  </si>
  <si>
    <t>TO</t>
  </si>
  <si>
    <t>FROM</t>
  </si>
  <si>
    <t>TOTAL</t>
  </si>
  <si>
    <t>2004-05</t>
  </si>
  <si>
    <t>INDIAN</t>
  </si>
  <si>
    <t>FOREIGN</t>
  </si>
  <si>
    <t>2005-06</t>
  </si>
  <si>
    <t>2006-07</t>
  </si>
  <si>
    <t>2007-08</t>
  </si>
  <si>
    <t>2008-09</t>
  </si>
  <si>
    <t>2009-10</t>
  </si>
  <si>
    <t>2010-11</t>
  </si>
  <si>
    <t>2011-12</t>
  </si>
  <si>
    <t>2012-13</t>
  </si>
  <si>
    <t>2013-14</t>
  </si>
  <si>
    <t>2014-15</t>
  </si>
  <si>
    <t>2015-16</t>
  </si>
  <si>
    <t>2016-17</t>
  </si>
  <si>
    <t>2017-18</t>
  </si>
  <si>
    <r>
      <rPr>
        <sz val="12"/>
        <rFont val="Calibri"/>
        <family val="2"/>
        <scheme val="minor"/>
      </rPr>
      <t>NOTE: 1. THIS TABLE DOES NOT INCLUDE PASSENGERS AND FREIGHT CARRIED BY SCHEDULED INDIAN AIRLINES ENTIRELY OUTSIDE THE INDIAN TERRITORY.
2. THE DATA IN THIS TABLE HAVE BEEN REVISED AND UPDATED AS ON OCTOBER 16, 2018.</t>
    </r>
  </si>
  <si>
    <r>
      <rPr>
        <sz val="12"/>
        <rFont val="Calibri"/>
        <family val="2"/>
        <scheme val="minor"/>
      </rPr>
      <t>SOURCE :- MONTHLY TRAFFIC STATISTICS FURNISHED BY ALL SCHEDULED INDIAN AND FOREIGN CARRIERS.
1 of1</t>
    </r>
  </si>
  <si>
    <t>2018-19</t>
  </si>
  <si>
    <t>सारणी 1.01(अन्तर्राष्ट्रीय प्रचालन)</t>
  </si>
  <si>
    <t>2019-20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</si>
</sst>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5" x14ac:knownFonts="1">
    <font>
      <sz val="10"/>
      <color rgb="FF000000"/>
      <name val="Times New Roman"/>
      <charset val="204"/>
    </font>
    <font>
      <sz val="11"/>
      <color rgb="FF000000"/>
      <name val="Times New Roman"/>
      <family val="1"/>
    </font>
    <font>
      <sz val="12"/>
      <color rgb="FF000000"/>
      <name val="Calibri"/>
      <family val="2"/>
      <scheme val="minor"/>
    </font>
    <font>
      <sz val="12"/>
      <name val="Calibri"/>
      <family val="2"/>
      <scheme val="minor"/>
    </font>
    <font>
      <i/>
      <sz val="12"/>
      <name val="Calibri"/>
      <family val="2"/>
      <scheme val="minor"/>
    </font>
  </fonts>
  <fills count="7">
    <fill>
      <patternFill patternType="none"/>
    </fill>
    <fill>
      <patternFill patternType="gray125"/>
    </fill>
    <fill>
      <patternFill patternType="solid">
        <fgColor rgb="FFB09FC6"/>
      </patternFill>
    </fill>
    <fill>
      <patternFill patternType="solid">
        <fgColor rgb="FFF9BE8F"/>
      </patternFill>
    </fill>
    <fill>
      <patternFill patternType="solid">
        <fgColor rgb="FF8DB4E1"/>
      </patternFill>
    </fill>
    <fill>
      <patternFill patternType="solid">
        <fgColor rgb="FF92D050"/>
      </patternFill>
    </fill>
    <fill>
      <patternFill patternType="solid">
        <fgColor rgb="FFE6B8B7"/>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70">
    <xf numFmtId="0" fontId="0" fillId="0" borderId="0" xfId="0" applyFill="1" applyBorder="1" applyAlignment="1">
      <alignment horizontal="left" vertical="top"/>
    </xf>
    <xf numFmtId="0" fontId="1" fillId="0" borderId="0" xfId="0" applyFont="1" applyFill="1" applyBorder="1" applyAlignment="1">
      <alignment horizontal="left" vertical="top"/>
    </xf>
    <xf numFmtId="3" fontId="2" fillId="0" borderId="1" xfId="0" applyNumberFormat="1" applyFont="1" applyFill="1" applyBorder="1" applyAlignment="1">
      <alignment horizontal="right" vertical="center" indent="1" shrinkToFit="1"/>
    </xf>
    <xf numFmtId="3" fontId="2" fillId="0" borderId="1" xfId="0" applyNumberFormat="1" applyFont="1" applyFill="1" applyBorder="1" applyAlignment="1">
      <alignment horizontal="right" vertical="top" indent="1" shrinkToFit="1"/>
    </xf>
    <xf numFmtId="3" fontId="2" fillId="0" borderId="1" xfId="0" applyNumberFormat="1" applyFont="1" applyFill="1" applyBorder="1" applyAlignment="1">
      <alignment horizontal="right" vertical="top" shrinkToFit="1"/>
    </xf>
    <xf numFmtId="0" fontId="3" fillId="3" borderId="1" xfId="0" applyFont="1" applyFill="1" applyBorder="1" applyAlignment="1">
      <alignment horizontal="center" vertical="center" wrapText="1"/>
    </xf>
    <xf numFmtId="0" fontId="3" fillId="3" borderId="1" xfId="0" applyFont="1" applyFill="1" applyBorder="1" applyAlignment="1">
      <alignment horizontal="right" vertical="center" wrapText="1" indent="1"/>
    </xf>
    <xf numFmtId="3" fontId="2" fillId="5" borderId="1" xfId="0" applyNumberFormat="1" applyFont="1" applyFill="1" applyBorder="1" applyAlignment="1">
      <alignment horizontal="right" vertical="center" indent="1" shrinkToFit="1"/>
    </xf>
    <xf numFmtId="3" fontId="2" fillId="5" borderId="1" xfId="0" applyNumberFormat="1" applyFont="1" applyFill="1" applyBorder="1" applyAlignment="1">
      <alignment horizontal="right" vertical="center" shrinkToFit="1"/>
    </xf>
    <xf numFmtId="3" fontId="2" fillId="5" borderId="1" xfId="0" applyNumberFormat="1" applyFont="1" applyFill="1" applyBorder="1" applyAlignment="1">
      <alignment horizontal="right" vertical="top" shrinkToFit="1"/>
    </xf>
    <xf numFmtId="3" fontId="2" fillId="5" borderId="5" xfId="0" applyNumberFormat="1" applyFont="1" applyFill="1" applyBorder="1" applyAlignment="1">
      <alignment horizontal="right" vertical="top" shrinkToFit="1"/>
    </xf>
    <xf numFmtId="3" fontId="2" fillId="5" borderId="8" xfId="0" applyNumberFormat="1" applyFont="1" applyFill="1" applyBorder="1" applyAlignment="1">
      <alignment horizontal="right" vertical="top" shrinkToFit="1"/>
    </xf>
    <xf numFmtId="164" fontId="1" fillId="0" borderId="0" xfId="0" applyNumberFormat="1" applyFont="1" applyFill="1" applyBorder="1" applyAlignment="1">
      <alignment horizontal="left" vertical="top"/>
    </xf>
    <xf numFmtId="3" fontId="2" fillId="0" borderId="1" xfId="0" applyNumberFormat="1" applyFont="1" applyFill="1" applyBorder="1" applyAlignment="1">
      <alignment horizontal="right" vertical="center" shrinkToFit="1"/>
    </xf>
    <xf numFmtId="165" fontId="2" fillId="0" borderId="1" xfId="0" applyNumberFormat="1" applyFont="1" applyFill="1" applyBorder="1" applyAlignment="1">
      <alignment horizontal="right" vertical="center" shrinkToFit="1"/>
    </xf>
    <xf numFmtId="165" fontId="2" fillId="5" borderId="1" xfId="0" applyNumberFormat="1" applyFont="1" applyFill="1" applyBorder="1" applyAlignment="1">
      <alignment horizontal="right" vertical="center" shrinkToFit="1"/>
    </xf>
    <xf numFmtId="165" fontId="2" fillId="0" borderId="1" xfId="0" applyNumberFormat="1" applyFont="1" applyFill="1" applyBorder="1" applyAlignment="1">
      <alignment horizontal="right" vertical="top" shrinkToFit="1"/>
    </xf>
    <xf numFmtId="165" fontId="2" fillId="5" borderId="1" xfId="0" applyNumberFormat="1" applyFont="1" applyFill="1" applyBorder="1" applyAlignment="1">
      <alignment horizontal="right" vertical="top" shrinkToFit="1"/>
    </xf>
    <xf numFmtId="165" fontId="2" fillId="5" borderId="5" xfId="0" applyNumberFormat="1" applyFont="1" applyFill="1" applyBorder="1" applyAlignment="1">
      <alignment horizontal="right" vertical="top" shrinkToFit="1"/>
    </xf>
    <xf numFmtId="165" fontId="2" fillId="5" borderId="8" xfId="0" applyNumberFormat="1" applyFont="1" applyFill="1" applyBorder="1" applyAlignment="1">
      <alignment horizontal="right" vertical="top" shrinkToFit="1"/>
    </xf>
    <xf numFmtId="164" fontId="2" fillId="0" borderId="1" xfId="0" applyNumberFormat="1" applyFont="1" applyFill="1" applyBorder="1" applyAlignment="1">
      <alignment horizontal="center" vertical="center" shrinkToFit="1"/>
    </xf>
    <xf numFmtId="164" fontId="2" fillId="5" borderId="1" xfId="0" applyNumberFormat="1" applyFont="1" applyFill="1" applyBorder="1" applyAlignment="1">
      <alignment horizontal="center" vertical="center" shrinkToFit="1"/>
    </xf>
    <xf numFmtId="164" fontId="2" fillId="0" borderId="1" xfId="0" applyNumberFormat="1" applyFont="1" applyFill="1" applyBorder="1" applyAlignment="1">
      <alignment horizontal="center" vertical="top" shrinkToFit="1"/>
    </xf>
    <xf numFmtId="164" fontId="2" fillId="5" borderId="1" xfId="0" applyNumberFormat="1" applyFont="1" applyFill="1" applyBorder="1" applyAlignment="1">
      <alignment horizontal="center" vertical="top" shrinkToFit="1"/>
    </xf>
    <xf numFmtId="164" fontId="2" fillId="5" borderId="5" xfId="0" applyNumberFormat="1" applyFont="1" applyFill="1" applyBorder="1" applyAlignment="1">
      <alignment horizontal="center" vertical="top" shrinkToFit="1"/>
    </xf>
    <xf numFmtId="0" fontId="1" fillId="0" borderId="0" xfId="0" applyFont="1" applyFill="1" applyBorder="1" applyAlignment="1">
      <alignment horizontal="center" vertical="top"/>
    </xf>
    <xf numFmtId="164" fontId="2" fillId="5" borderId="5" xfId="0" applyNumberFormat="1" applyFont="1" applyFill="1" applyBorder="1" applyAlignment="1">
      <alignment horizontal="center" vertical="center" shrinkToFit="1"/>
    </xf>
    <xf numFmtId="164" fontId="2" fillId="5" borderId="8" xfId="0" applyNumberFormat="1" applyFont="1" applyFill="1" applyBorder="1" applyAlignment="1">
      <alignment horizontal="center" vertical="center" shrinkToFit="1"/>
    </xf>
    <xf numFmtId="164" fontId="2" fillId="5" borderId="8" xfId="0" applyNumberFormat="1" applyFont="1" applyFill="1" applyBorder="1" applyAlignment="1">
      <alignment horizontal="center" vertical="top" shrinkToFit="1"/>
    </xf>
    <xf numFmtId="165" fontId="2" fillId="0" borderId="1" xfId="0" applyNumberFormat="1" applyFont="1" applyFill="1" applyBorder="1" applyAlignment="1">
      <alignment horizontal="center" vertical="center" shrinkToFit="1"/>
    </xf>
    <xf numFmtId="0" fontId="3" fillId="0"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0" borderId="1" xfId="0" applyFont="1" applyFill="1" applyBorder="1" applyAlignment="1">
      <alignment horizontal="center" vertical="top" wrapText="1"/>
    </xf>
    <xf numFmtId="0" fontId="3" fillId="5" borderId="1" xfId="0" applyFont="1" applyFill="1" applyBorder="1" applyAlignment="1">
      <alignment horizontal="center" vertical="top" wrapText="1"/>
    </xf>
    <xf numFmtId="0" fontId="3" fillId="5" borderId="5" xfId="0" applyFont="1" applyFill="1" applyBorder="1" applyAlignment="1">
      <alignment horizontal="center" vertical="top" wrapText="1"/>
    </xf>
    <xf numFmtId="3" fontId="2" fillId="0" borderId="1" xfId="0" applyNumberFormat="1" applyFont="1" applyFill="1" applyBorder="1" applyAlignment="1">
      <alignment horizontal="center" vertical="top" shrinkToFit="1"/>
    </xf>
    <xf numFmtId="0" fontId="3" fillId="0" borderId="2" xfId="0" applyFont="1" applyFill="1" applyBorder="1" applyAlignment="1">
      <alignment horizontal="center" vertical="top" wrapText="1"/>
    </xf>
    <xf numFmtId="0" fontId="2" fillId="0" borderId="3" xfId="0" applyFont="1" applyFill="1" applyBorder="1" applyAlignment="1">
      <alignment horizontal="center" vertical="top" wrapText="1"/>
    </xf>
    <xf numFmtId="0" fontId="2" fillId="0" borderId="4" xfId="0" applyFont="1" applyFill="1" applyBorder="1" applyAlignment="1">
      <alignment horizontal="center" vertical="top" wrapText="1"/>
    </xf>
    <xf numFmtId="0" fontId="3" fillId="0" borderId="3" xfId="0" applyFont="1" applyFill="1" applyBorder="1" applyAlignment="1">
      <alignment horizontal="center" vertical="top" wrapText="1"/>
    </xf>
    <xf numFmtId="0" fontId="3" fillId="0" borderId="4" xfId="0" applyFont="1" applyFill="1" applyBorder="1" applyAlignment="1">
      <alignment horizontal="center" vertical="top"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4" fillId="0" borderId="2" xfId="0" applyFont="1" applyFill="1" applyBorder="1" applyAlignment="1">
      <alignment horizontal="right" wrapText="1"/>
    </xf>
    <xf numFmtId="0" fontId="4" fillId="0" borderId="3" xfId="0" applyFont="1" applyFill="1" applyBorder="1" applyAlignment="1">
      <alignment horizontal="right" wrapText="1"/>
    </xf>
    <xf numFmtId="0" fontId="4" fillId="0" borderId="4" xfId="0" applyFont="1" applyFill="1" applyBorder="1" applyAlignment="1">
      <alignment horizontal="right" wrapText="1"/>
    </xf>
    <xf numFmtId="0" fontId="3" fillId="3" borderId="5" xfId="0" applyFont="1" applyFill="1" applyBorder="1" applyAlignment="1">
      <alignment horizontal="left" vertical="center" wrapText="1" indent="1"/>
    </xf>
    <xf numFmtId="0" fontId="3" fillId="3" borderId="6" xfId="0" applyFont="1" applyFill="1" applyBorder="1" applyAlignment="1">
      <alignment horizontal="left" vertical="center" wrapText="1" inden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2" xfId="0" applyFont="1" applyFill="1" applyBorder="1" applyAlignment="1">
      <alignment horizontal="left" vertical="top" wrapText="1" indent="5"/>
    </xf>
    <xf numFmtId="0" fontId="3" fillId="3" borderId="3" xfId="0" applyFont="1" applyFill="1" applyBorder="1" applyAlignment="1">
      <alignment horizontal="left" vertical="top" wrapText="1" indent="5"/>
    </xf>
    <xf numFmtId="0" fontId="3" fillId="3" borderId="4" xfId="0" applyFont="1" applyFill="1" applyBorder="1" applyAlignment="1">
      <alignment horizontal="left" vertical="top" wrapText="1" indent="5"/>
    </xf>
    <xf numFmtId="0" fontId="3" fillId="3" borderId="5" xfId="0" applyFont="1" applyFill="1" applyBorder="1" applyAlignment="1">
      <alignment horizontal="center" vertical="top" wrapText="1"/>
    </xf>
    <xf numFmtId="0" fontId="3" fillId="3" borderId="6" xfId="0" applyFont="1" applyFill="1" applyBorder="1" applyAlignment="1">
      <alignment horizontal="center" vertical="top" wrapText="1"/>
    </xf>
    <xf numFmtId="0" fontId="3" fillId="3" borderId="2" xfId="0" applyFont="1" applyFill="1" applyBorder="1" applyAlignment="1">
      <alignment horizontal="center" vertical="top" wrapText="1"/>
    </xf>
    <xf numFmtId="0" fontId="3" fillId="3" borderId="3" xfId="0" applyFont="1" applyFill="1" applyBorder="1" applyAlignment="1">
      <alignment horizontal="center" vertical="top" wrapText="1"/>
    </xf>
    <xf numFmtId="0" fontId="3" fillId="3" borderId="4" xfId="0" applyFont="1" applyFill="1" applyBorder="1" applyAlignment="1">
      <alignment horizontal="center" vertical="top" wrapText="1"/>
    </xf>
    <xf numFmtId="0" fontId="3" fillId="4" borderId="5" xfId="0" applyFont="1" applyFill="1" applyBorder="1" applyAlignment="1">
      <alignment horizontal="left" vertical="center" wrapText="1" indent="1"/>
    </xf>
    <xf numFmtId="0" fontId="3" fillId="4" borderId="7" xfId="0" applyFont="1" applyFill="1" applyBorder="1" applyAlignment="1">
      <alignment horizontal="left" vertical="center" wrapText="1" indent="1"/>
    </xf>
    <xf numFmtId="0" fontId="3" fillId="4" borderId="6" xfId="0" applyFont="1" applyFill="1" applyBorder="1" applyAlignment="1">
      <alignment horizontal="left" vertical="center" wrapText="1" indent="1"/>
    </xf>
    <xf numFmtId="0" fontId="3" fillId="6" borderId="5" xfId="0" applyFont="1" applyFill="1" applyBorder="1" applyAlignment="1">
      <alignment horizontal="left" vertical="center" wrapText="1" indent="1"/>
    </xf>
    <xf numFmtId="0" fontId="3" fillId="6" borderId="7" xfId="0" applyFont="1" applyFill="1" applyBorder="1" applyAlignment="1">
      <alignment horizontal="left" vertical="center" wrapText="1" indent="1"/>
    </xf>
    <xf numFmtId="0" fontId="3" fillId="6" borderId="6" xfId="0" applyFont="1" applyFill="1" applyBorder="1" applyAlignment="1">
      <alignment horizontal="left" vertical="center" wrapText="1" indent="1"/>
    </xf>
    <xf numFmtId="0" fontId="2" fillId="0" borderId="2" xfId="0" applyFont="1" applyFill="1" applyBorder="1" applyAlignment="1">
      <alignment vertical="top" wrapText="1"/>
    </xf>
    <xf numFmtId="0" fontId="2" fillId="0" borderId="3" xfId="0" applyFont="1" applyFill="1" applyBorder="1" applyAlignment="1">
      <alignment vertical="top" wrapText="1"/>
    </xf>
    <xf numFmtId="0" fontId="2" fillId="0" borderId="4" xfId="0" applyFont="1" applyFill="1" applyBorder="1" applyAlignment="1">
      <alignment vertical="top" wrapText="1"/>
    </xf>
    <xf numFmtId="0" fontId="2" fillId="0" borderId="9" xfId="0" applyFont="1" applyFill="1" applyBorder="1" applyAlignment="1">
      <alignment vertical="top" wrapText="1"/>
    </xf>
    <xf numFmtId="0" fontId="2" fillId="0" borderId="10"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6"/>
  <sheetViews>
    <sheetView tabSelected="1" view="pageBreakPreview" topLeftCell="A44" zoomScale="60" zoomScaleNormal="100" workbookViewId="0">
      <selection activeCell="A55" sqref="A55:J55"/>
    </sheetView>
  </sheetViews>
  <sheetFormatPr defaultColWidth="9.33203125" defaultRowHeight="15" x14ac:dyDescent="0.2"/>
  <cols>
    <col min="1" max="1" width="14.83203125" style="1" customWidth="1"/>
    <col min="2" max="2" width="14.5" style="25" customWidth="1"/>
    <col min="3" max="4" width="15.6640625" style="1" customWidth="1"/>
    <col min="5" max="5" width="15.33203125" style="1" customWidth="1"/>
    <col min="6" max="6" width="15.83203125" style="1" customWidth="1"/>
    <col min="7" max="7" width="11.83203125" style="1" bestFit="1" customWidth="1"/>
    <col min="8" max="9" width="14" style="1" bestFit="1" customWidth="1"/>
    <col min="10" max="10" width="14.33203125" style="25" customWidth="1"/>
    <col min="11" max="11" width="10" style="1" bestFit="1" customWidth="1"/>
    <col min="12" max="16384" width="9.33203125" style="1"/>
  </cols>
  <sheetData>
    <row r="1" spans="1:15" ht="24" customHeight="1" x14ac:dyDescent="0.2">
      <c r="A1" s="36" t="s">
        <v>30</v>
      </c>
      <c r="B1" s="37"/>
      <c r="C1" s="37"/>
      <c r="D1" s="37"/>
      <c r="E1" s="37"/>
      <c r="F1" s="37"/>
      <c r="G1" s="37"/>
      <c r="H1" s="37"/>
      <c r="I1" s="37"/>
      <c r="J1" s="38"/>
    </row>
    <row r="2" spans="1:15" ht="23.25" customHeight="1" x14ac:dyDescent="0.2">
      <c r="A2" s="36" t="s">
        <v>0</v>
      </c>
      <c r="B2" s="39"/>
      <c r="C2" s="39"/>
      <c r="D2" s="39"/>
      <c r="E2" s="39"/>
      <c r="F2" s="39"/>
      <c r="G2" s="39"/>
      <c r="H2" s="39"/>
      <c r="I2" s="39"/>
      <c r="J2" s="40"/>
    </row>
    <row r="3" spans="1:15" ht="39" customHeight="1" x14ac:dyDescent="0.2">
      <c r="A3" s="41" t="s">
        <v>1</v>
      </c>
      <c r="B3" s="42"/>
      <c r="C3" s="42"/>
      <c r="D3" s="42"/>
      <c r="E3" s="42"/>
      <c r="F3" s="42"/>
      <c r="G3" s="42"/>
      <c r="H3" s="42"/>
      <c r="I3" s="42"/>
      <c r="J3" s="43"/>
    </row>
    <row r="4" spans="1:15" ht="21.75" customHeight="1" x14ac:dyDescent="0.25">
      <c r="A4" s="44" t="s">
        <v>2</v>
      </c>
      <c r="B4" s="45"/>
      <c r="C4" s="45"/>
      <c r="D4" s="45"/>
      <c r="E4" s="45"/>
      <c r="F4" s="45"/>
      <c r="G4" s="45"/>
      <c r="H4" s="45"/>
      <c r="I4" s="45"/>
      <c r="J4" s="46"/>
    </row>
    <row r="5" spans="1:15" ht="27" customHeight="1" x14ac:dyDescent="0.2">
      <c r="A5" s="47" t="s">
        <v>3</v>
      </c>
      <c r="B5" s="49" t="s">
        <v>4</v>
      </c>
      <c r="C5" s="51" t="s">
        <v>5</v>
      </c>
      <c r="D5" s="52"/>
      <c r="E5" s="53"/>
      <c r="F5" s="54" t="s">
        <v>6</v>
      </c>
      <c r="G5" s="56" t="s">
        <v>7</v>
      </c>
      <c r="H5" s="57"/>
      <c r="I5" s="58"/>
      <c r="J5" s="54" t="s">
        <v>6</v>
      </c>
    </row>
    <row r="6" spans="1:15" ht="42.75" customHeight="1" x14ac:dyDescent="0.2">
      <c r="A6" s="48"/>
      <c r="B6" s="50"/>
      <c r="C6" s="5" t="s">
        <v>8</v>
      </c>
      <c r="D6" s="6" t="s">
        <v>9</v>
      </c>
      <c r="E6" s="5" t="s">
        <v>10</v>
      </c>
      <c r="F6" s="55"/>
      <c r="G6" s="5" t="s">
        <v>8</v>
      </c>
      <c r="H6" s="5" t="s">
        <v>9</v>
      </c>
      <c r="I6" s="5" t="s">
        <v>10</v>
      </c>
      <c r="J6" s="55"/>
    </row>
    <row r="7" spans="1:15" ht="18" customHeight="1" x14ac:dyDescent="0.2">
      <c r="A7" s="59" t="s">
        <v>11</v>
      </c>
      <c r="B7" s="30" t="s">
        <v>12</v>
      </c>
      <c r="C7" s="13">
        <v>2404435</v>
      </c>
      <c r="D7" s="2">
        <v>2601488</v>
      </c>
      <c r="E7" s="13">
        <v>5005923</v>
      </c>
      <c r="F7" s="20">
        <v>17.600000000000001</v>
      </c>
      <c r="G7" s="14">
        <v>33493</v>
      </c>
      <c r="H7" s="14">
        <v>67394</v>
      </c>
      <c r="I7" s="14">
        <v>100887</v>
      </c>
      <c r="J7" s="20">
        <v>14.5</v>
      </c>
    </row>
    <row r="8" spans="1:15" ht="18" customHeight="1" x14ac:dyDescent="0.2">
      <c r="A8" s="60"/>
      <c r="B8" s="30" t="s">
        <v>13</v>
      </c>
      <c r="C8" s="13">
        <v>5957769</v>
      </c>
      <c r="D8" s="2">
        <v>6303223</v>
      </c>
      <c r="E8" s="13">
        <v>12260992</v>
      </c>
      <c r="F8" s="20">
        <v>18.2</v>
      </c>
      <c r="G8" s="14">
        <v>249398</v>
      </c>
      <c r="H8" s="14">
        <v>389166</v>
      </c>
      <c r="I8" s="14">
        <v>638564</v>
      </c>
      <c r="J8" s="20">
        <v>20.8</v>
      </c>
    </row>
    <row r="9" spans="1:15" ht="18" customHeight="1" x14ac:dyDescent="0.2">
      <c r="A9" s="61"/>
      <c r="B9" s="31" t="s">
        <v>10</v>
      </c>
      <c r="C9" s="8">
        <v>8362204</v>
      </c>
      <c r="D9" s="7">
        <v>8904711</v>
      </c>
      <c r="E9" s="8">
        <v>17266915</v>
      </c>
      <c r="F9" s="21">
        <v>18</v>
      </c>
      <c r="G9" s="15">
        <v>282891</v>
      </c>
      <c r="H9" s="15">
        <v>456560</v>
      </c>
      <c r="I9" s="15">
        <v>739451</v>
      </c>
      <c r="J9" s="21">
        <v>19.899999999999999</v>
      </c>
    </row>
    <row r="10" spans="1:15" ht="18" customHeight="1" x14ac:dyDescent="0.2">
      <c r="A10" s="62" t="s">
        <v>14</v>
      </c>
      <c r="B10" s="30" t="s">
        <v>12</v>
      </c>
      <c r="C10" s="13">
        <v>2944888</v>
      </c>
      <c r="D10" s="2">
        <v>3204672</v>
      </c>
      <c r="E10" s="13">
        <v>6149560</v>
      </c>
      <c r="F10" s="20">
        <v>22.8</v>
      </c>
      <c r="G10" s="14">
        <v>34875.599999999999</v>
      </c>
      <c r="H10" s="14">
        <v>63870.2</v>
      </c>
      <c r="I10" s="14">
        <v>98745.7</v>
      </c>
      <c r="J10" s="20">
        <v>-2.1</v>
      </c>
      <c r="K10" s="12"/>
      <c r="L10" s="12"/>
      <c r="M10" s="12"/>
      <c r="N10" s="12"/>
      <c r="O10" s="12"/>
    </row>
    <row r="11" spans="1:15" ht="18" customHeight="1" x14ac:dyDescent="0.2">
      <c r="A11" s="63"/>
      <c r="B11" s="30" t="s">
        <v>13</v>
      </c>
      <c r="C11" s="13">
        <v>6791643</v>
      </c>
      <c r="D11" s="2">
        <v>7224041</v>
      </c>
      <c r="E11" s="13">
        <v>14015684</v>
      </c>
      <c r="F11" s="20">
        <v>14.3</v>
      </c>
      <c r="G11" s="14">
        <v>293866.8</v>
      </c>
      <c r="H11" s="14">
        <v>422265.59999999998</v>
      </c>
      <c r="I11" s="14">
        <v>716132.4</v>
      </c>
      <c r="J11" s="20">
        <v>12.1</v>
      </c>
      <c r="K11" s="12"/>
      <c r="O11" s="12"/>
    </row>
    <row r="12" spans="1:15" ht="18" customHeight="1" x14ac:dyDescent="0.2">
      <c r="A12" s="64"/>
      <c r="B12" s="31" t="s">
        <v>10</v>
      </c>
      <c r="C12" s="8">
        <v>9736531</v>
      </c>
      <c r="D12" s="8">
        <v>10428713</v>
      </c>
      <c r="E12" s="8">
        <v>20165244</v>
      </c>
      <c r="F12" s="21">
        <v>16.8</v>
      </c>
      <c r="G12" s="15">
        <v>328742.40000000002</v>
      </c>
      <c r="H12" s="15">
        <v>486135.7</v>
      </c>
      <c r="I12" s="15">
        <v>814878.1</v>
      </c>
      <c r="J12" s="21">
        <v>10.199999999999999</v>
      </c>
      <c r="K12" s="12"/>
      <c r="O12" s="12"/>
    </row>
    <row r="13" spans="1:15" ht="18" customHeight="1" x14ac:dyDescent="0.2">
      <c r="A13" s="59" t="s">
        <v>15</v>
      </c>
      <c r="B13" s="30" t="s">
        <v>12</v>
      </c>
      <c r="C13" s="13">
        <v>3458135</v>
      </c>
      <c r="D13" s="2">
        <v>3700628</v>
      </c>
      <c r="E13" s="13">
        <v>7158763</v>
      </c>
      <c r="F13" s="20">
        <v>16.399999999999999</v>
      </c>
      <c r="G13" s="14">
        <v>41242.199999999997</v>
      </c>
      <c r="H13" s="14">
        <v>71800.5</v>
      </c>
      <c r="I13" s="14">
        <v>113042.7</v>
      </c>
      <c r="J13" s="20">
        <v>14.5</v>
      </c>
      <c r="K13" s="12"/>
      <c r="O13" s="12"/>
    </row>
    <row r="14" spans="1:15" ht="18" customHeight="1" x14ac:dyDescent="0.2">
      <c r="A14" s="60"/>
      <c r="B14" s="30" t="s">
        <v>13</v>
      </c>
      <c r="C14" s="13">
        <v>7825833</v>
      </c>
      <c r="D14" s="2">
        <v>8387088</v>
      </c>
      <c r="E14" s="13">
        <v>16212921</v>
      </c>
      <c r="F14" s="20">
        <v>15.7</v>
      </c>
      <c r="G14" s="14">
        <v>356085.8</v>
      </c>
      <c r="H14" s="14">
        <v>457913.8</v>
      </c>
      <c r="I14" s="14">
        <v>813999.5</v>
      </c>
      <c r="J14" s="20">
        <v>13.7</v>
      </c>
      <c r="K14" s="12"/>
      <c r="O14" s="12"/>
    </row>
    <row r="15" spans="1:15" ht="18" customHeight="1" x14ac:dyDescent="0.2">
      <c r="A15" s="61"/>
      <c r="B15" s="31" t="s">
        <v>10</v>
      </c>
      <c r="C15" s="8">
        <v>11283968</v>
      </c>
      <c r="D15" s="8">
        <v>12087716</v>
      </c>
      <c r="E15" s="8">
        <v>23371684</v>
      </c>
      <c r="F15" s="21">
        <v>15.9</v>
      </c>
      <c r="G15" s="15">
        <v>397328</v>
      </c>
      <c r="H15" s="15">
        <v>529714.19999999995</v>
      </c>
      <c r="I15" s="15">
        <v>927042.2</v>
      </c>
      <c r="J15" s="21">
        <v>13.8</v>
      </c>
      <c r="K15" s="12"/>
      <c r="O15" s="12"/>
    </row>
    <row r="16" spans="1:15" ht="18" customHeight="1" x14ac:dyDescent="0.2">
      <c r="A16" s="62" t="s">
        <v>16</v>
      </c>
      <c r="B16" s="30" t="s">
        <v>12</v>
      </c>
      <c r="C16" s="13">
        <v>4210265</v>
      </c>
      <c r="D16" s="2">
        <v>4470797</v>
      </c>
      <c r="E16" s="13">
        <v>8681062</v>
      </c>
      <c r="F16" s="20">
        <v>21.3</v>
      </c>
      <c r="G16" s="14">
        <v>50445.1</v>
      </c>
      <c r="H16" s="14">
        <v>79321.3</v>
      </c>
      <c r="I16" s="14">
        <v>129766.5</v>
      </c>
      <c r="J16" s="20">
        <v>14.8</v>
      </c>
      <c r="K16" s="12"/>
      <c r="O16" s="12"/>
    </row>
    <row r="17" spans="1:15" ht="18" customHeight="1" x14ac:dyDescent="0.2">
      <c r="A17" s="63"/>
      <c r="B17" s="30" t="s">
        <v>13</v>
      </c>
      <c r="C17" s="13">
        <v>8913913</v>
      </c>
      <c r="D17" s="2">
        <v>9578211</v>
      </c>
      <c r="E17" s="13">
        <v>18492124</v>
      </c>
      <c r="F17" s="20">
        <v>14.1</v>
      </c>
      <c r="G17" s="14">
        <v>416562.5</v>
      </c>
      <c r="H17" s="14">
        <v>478695</v>
      </c>
      <c r="I17" s="14">
        <v>895257.5</v>
      </c>
      <c r="J17" s="20">
        <v>10</v>
      </c>
      <c r="K17" s="12"/>
      <c r="O17" s="12"/>
    </row>
    <row r="18" spans="1:15" ht="18" customHeight="1" x14ac:dyDescent="0.2">
      <c r="A18" s="64"/>
      <c r="B18" s="31" t="s">
        <v>10</v>
      </c>
      <c r="C18" s="8">
        <v>13124178</v>
      </c>
      <c r="D18" s="8">
        <v>14049008</v>
      </c>
      <c r="E18" s="8">
        <v>27173186</v>
      </c>
      <c r="F18" s="21">
        <v>16.3</v>
      </c>
      <c r="G18" s="15">
        <v>467007.7</v>
      </c>
      <c r="H18" s="15">
        <v>558016.30000000005</v>
      </c>
      <c r="I18" s="15">
        <v>1025024</v>
      </c>
      <c r="J18" s="21">
        <v>10.6</v>
      </c>
      <c r="K18" s="12"/>
      <c r="O18" s="12"/>
    </row>
    <row r="19" spans="1:15" ht="18" customHeight="1" x14ac:dyDescent="0.2">
      <c r="A19" s="59" t="s">
        <v>17</v>
      </c>
      <c r="B19" s="30" t="s">
        <v>12</v>
      </c>
      <c r="C19" s="13">
        <v>4672032</v>
      </c>
      <c r="D19" s="2">
        <v>4879145</v>
      </c>
      <c r="E19" s="13">
        <v>9551177</v>
      </c>
      <c r="F19" s="20">
        <v>10</v>
      </c>
      <c r="G19" s="14">
        <v>60050.7</v>
      </c>
      <c r="H19" s="14">
        <v>94084.3</v>
      </c>
      <c r="I19" s="14">
        <v>154135</v>
      </c>
      <c r="J19" s="20">
        <v>18.8</v>
      </c>
      <c r="K19" s="12"/>
      <c r="O19" s="12"/>
    </row>
    <row r="20" spans="1:15" ht="18" customHeight="1" x14ac:dyDescent="0.2">
      <c r="A20" s="60"/>
      <c r="B20" s="30" t="s">
        <v>13</v>
      </c>
      <c r="C20" s="13">
        <v>9444813</v>
      </c>
      <c r="D20" s="2">
        <v>9937913</v>
      </c>
      <c r="E20" s="13">
        <v>19382726</v>
      </c>
      <c r="F20" s="20">
        <v>4.8</v>
      </c>
      <c r="G20" s="14">
        <v>404172.9</v>
      </c>
      <c r="H20" s="14">
        <v>514160.3</v>
      </c>
      <c r="I20" s="14">
        <v>918333.3</v>
      </c>
      <c r="J20" s="20">
        <v>2.6</v>
      </c>
      <c r="K20" s="12"/>
      <c r="O20" s="12"/>
    </row>
    <row r="21" spans="1:15" ht="18" customHeight="1" x14ac:dyDescent="0.2">
      <c r="A21" s="61"/>
      <c r="B21" s="31" t="s">
        <v>10</v>
      </c>
      <c r="C21" s="8">
        <v>14116845</v>
      </c>
      <c r="D21" s="8">
        <v>14817058</v>
      </c>
      <c r="E21" s="8">
        <v>28933903</v>
      </c>
      <c r="F21" s="21">
        <v>6.5</v>
      </c>
      <c r="G21" s="15">
        <v>464223.7</v>
      </c>
      <c r="H21" s="15">
        <v>608244.6</v>
      </c>
      <c r="I21" s="15">
        <v>1072468.2</v>
      </c>
      <c r="J21" s="21">
        <v>4.5999999999999996</v>
      </c>
      <c r="K21" s="12"/>
      <c r="O21" s="12"/>
    </row>
    <row r="22" spans="1:15" ht="18" customHeight="1" x14ac:dyDescent="0.2">
      <c r="A22" s="62" t="s">
        <v>18</v>
      </c>
      <c r="B22" s="32" t="s">
        <v>12</v>
      </c>
      <c r="C22" s="4">
        <v>5501990</v>
      </c>
      <c r="D22" s="3">
        <v>5557891</v>
      </c>
      <c r="E22" s="4">
        <v>11059881</v>
      </c>
      <c r="F22" s="22">
        <v>15.8</v>
      </c>
      <c r="G22" s="16">
        <v>69967.7</v>
      </c>
      <c r="H22" s="16">
        <v>112897.2</v>
      </c>
      <c r="I22" s="16">
        <v>182865</v>
      </c>
      <c r="J22" s="22">
        <v>18.600000000000001</v>
      </c>
      <c r="K22" s="12"/>
      <c r="O22" s="12"/>
    </row>
    <row r="23" spans="1:15" ht="18" customHeight="1" x14ac:dyDescent="0.2">
      <c r="A23" s="63"/>
      <c r="B23" s="32" t="s">
        <v>13</v>
      </c>
      <c r="C23" s="4">
        <v>10198678</v>
      </c>
      <c r="D23" s="4">
        <v>10817095</v>
      </c>
      <c r="E23" s="4">
        <v>21015773</v>
      </c>
      <c r="F23" s="22">
        <v>8.4</v>
      </c>
      <c r="G23" s="16">
        <v>404333.8</v>
      </c>
      <c r="H23" s="16">
        <v>551868.80000000005</v>
      </c>
      <c r="I23" s="16">
        <v>956202.6</v>
      </c>
      <c r="J23" s="22">
        <v>4.0999999999999996</v>
      </c>
      <c r="K23" s="12"/>
      <c r="O23" s="12"/>
    </row>
    <row r="24" spans="1:15" ht="18" customHeight="1" x14ac:dyDescent="0.2">
      <c r="A24" s="64"/>
      <c r="B24" s="33" t="s">
        <v>10</v>
      </c>
      <c r="C24" s="9">
        <v>15700668</v>
      </c>
      <c r="D24" s="9">
        <v>16374986</v>
      </c>
      <c r="E24" s="9">
        <v>32075654</v>
      </c>
      <c r="F24" s="23">
        <v>10.9</v>
      </c>
      <c r="G24" s="17">
        <v>474301.6</v>
      </c>
      <c r="H24" s="17">
        <v>664766</v>
      </c>
      <c r="I24" s="17">
        <v>1139067.6000000001</v>
      </c>
      <c r="J24" s="23">
        <v>6.2</v>
      </c>
      <c r="K24" s="12"/>
      <c r="O24" s="12"/>
    </row>
    <row r="25" spans="1:15" ht="18" customHeight="1" x14ac:dyDescent="0.2">
      <c r="A25" s="59" t="s">
        <v>19</v>
      </c>
      <c r="B25" s="32" t="s">
        <v>12</v>
      </c>
      <c r="C25" s="4">
        <v>6285156</v>
      </c>
      <c r="D25" s="3">
        <v>6399102</v>
      </c>
      <c r="E25" s="4">
        <v>12684258</v>
      </c>
      <c r="F25" s="22">
        <v>14.7</v>
      </c>
      <c r="G25" s="16">
        <v>83612</v>
      </c>
      <c r="H25" s="16">
        <v>126314</v>
      </c>
      <c r="I25" s="16">
        <v>209926</v>
      </c>
      <c r="J25" s="22">
        <v>14.8</v>
      </c>
      <c r="K25" s="12"/>
      <c r="O25" s="12"/>
    </row>
    <row r="26" spans="1:15" ht="18" customHeight="1" x14ac:dyDescent="0.2">
      <c r="A26" s="60"/>
      <c r="B26" s="32" t="s">
        <v>13</v>
      </c>
      <c r="C26" s="4">
        <v>11062871</v>
      </c>
      <c r="D26" s="4">
        <v>11361592</v>
      </c>
      <c r="E26" s="4">
        <v>22424463</v>
      </c>
      <c r="F26" s="22">
        <v>6.7</v>
      </c>
      <c r="G26" s="16">
        <v>478188</v>
      </c>
      <c r="H26" s="16">
        <v>604327</v>
      </c>
      <c r="I26" s="16">
        <v>1082515</v>
      </c>
      <c r="J26" s="22">
        <v>13.2</v>
      </c>
      <c r="K26" s="12"/>
      <c r="O26" s="12"/>
    </row>
    <row r="27" spans="1:15" ht="18" customHeight="1" x14ac:dyDescent="0.2">
      <c r="A27" s="61"/>
      <c r="B27" s="33" t="s">
        <v>10</v>
      </c>
      <c r="C27" s="9">
        <v>17348027</v>
      </c>
      <c r="D27" s="9">
        <v>17760694</v>
      </c>
      <c r="E27" s="9">
        <v>35108721</v>
      </c>
      <c r="F27" s="23">
        <v>9.5</v>
      </c>
      <c r="G27" s="17">
        <v>561800</v>
      </c>
      <c r="H27" s="17">
        <v>730641</v>
      </c>
      <c r="I27" s="17">
        <v>1292441</v>
      </c>
      <c r="J27" s="23">
        <v>13.5</v>
      </c>
      <c r="K27" s="12"/>
      <c r="O27" s="12"/>
    </row>
    <row r="28" spans="1:15" ht="18" customHeight="1" x14ac:dyDescent="0.2">
      <c r="A28" s="62" t="s">
        <v>20</v>
      </c>
      <c r="B28" s="32" t="s">
        <v>12</v>
      </c>
      <c r="C28" s="4">
        <v>6872802</v>
      </c>
      <c r="D28" s="3">
        <v>7082590</v>
      </c>
      <c r="E28" s="4">
        <v>13955392</v>
      </c>
      <c r="F28" s="22">
        <v>10</v>
      </c>
      <c r="G28" s="16">
        <v>73013</v>
      </c>
      <c r="H28" s="16">
        <v>107692</v>
      </c>
      <c r="I28" s="16">
        <v>180705</v>
      </c>
      <c r="J28" s="22">
        <v>-13.9</v>
      </c>
      <c r="K28" s="12"/>
      <c r="O28" s="12"/>
    </row>
    <row r="29" spans="1:15" ht="18" customHeight="1" x14ac:dyDescent="0.2">
      <c r="A29" s="63"/>
      <c r="B29" s="32" t="s">
        <v>13</v>
      </c>
      <c r="C29" s="4">
        <v>12009626</v>
      </c>
      <c r="D29" s="4">
        <v>12178794</v>
      </c>
      <c r="E29" s="4">
        <v>24188420</v>
      </c>
      <c r="F29" s="22">
        <v>7.9</v>
      </c>
      <c r="G29" s="16">
        <v>449049.4</v>
      </c>
      <c r="H29" s="16">
        <v>590237.5</v>
      </c>
      <c r="I29" s="16">
        <v>1039287</v>
      </c>
      <c r="J29" s="22">
        <v>-4</v>
      </c>
      <c r="K29" s="12"/>
      <c r="O29" s="12"/>
    </row>
    <row r="30" spans="1:15" ht="18" customHeight="1" x14ac:dyDescent="0.2">
      <c r="A30" s="64"/>
      <c r="B30" s="33" t="s">
        <v>10</v>
      </c>
      <c r="C30" s="9">
        <v>18882428</v>
      </c>
      <c r="D30" s="9">
        <v>19261384</v>
      </c>
      <c r="E30" s="9">
        <v>38143812</v>
      </c>
      <c r="F30" s="23">
        <v>8.6</v>
      </c>
      <c r="G30" s="17">
        <v>522062</v>
      </c>
      <c r="H30" s="17">
        <v>697929.5</v>
      </c>
      <c r="I30" s="17">
        <v>1219992</v>
      </c>
      <c r="J30" s="23">
        <v>-5.6</v>
      </c>
      <c r="K30" s="12"/>
      <c r="O30" s="12"/>
    </row>
    <row r="31" spans="1:15" ht="18" customHeight="1" x14ac:dyDescent="0.2">
      <c r="A31" s="59" t="s">
        <v>21</v>
      </c>
      <c r="B31" s="32" t="s">
        <v>12</v>
      </c>
      <c r="C31" s="4">
        <v>6703757</v>
      </c>
      <c r="D31" s="3">
        <v>6924188</v>
      </c>
      <c r="E31" s="4">
        <v>13627945</v>
      </c>
      <c r="F31" s="22">
        <v>-2.2999999999999998</v>
      </c>
      <c r="G31" s="16">
        <v>85233.1</v>
      </c>
      <c r="H31" s="16">
        <v>133582.1</v>
      </c>
      <c r="I31" s="16">
        <v>218815.1</v>
      </c>
      <c r="J31" s="22">
        <v>21.1</v>
      </c>
      <c r="K31" s="12"/>
      <c r="O31" s="12"/>
    </row>
    <row r="32" spans="1:15" ht="18" customHeight="1" x14ac:dyDescent="0.2">
      <c r="A32" s="60"/>
      <c r="B32" s="32" t="s">
        <v>13</v>
      </c>
      <c r="C32" s="4">
        <v>13098488</v>
      </c>
      <c r="D32" s="4">
        <v>13577790</v>
      </c>
      <c r="E32" s="4">
        <v>26676278</v>
      </c>
      <c r="F32" s="22">
        <v>10.3</v>
      </c>
      <c r="G32" s="16">
        <v>409858.6</v>
      </c>
      <c r="H32" s="16">
        <v>609676</v>
      </c>
      <c r="I32" s="16">
        <v>1019534.5</v>
      </c>
      <c r="J32" s="22">
        <v>-1.9</v>
      </c>
      <c r="K32" s="12"/>
      <c r="O32" s="12"/>
    </row>
    <row r="33" spans="1:15" ht="18" customHeight="1" x14ac:dyDescent="0.2">
      <c r="A33" s="61"/>
      <c r="B33" s="33" t="s">
        <v>10</v>
      </c>
      <c r="C33" s="9">
        <v>19802245</v>
      </c>
      <c r="D33" s="9">
        <v>20501978</v>
      </c>
      <c r="E33" s="9">
        <v>40304223</v>
      </c>
      <c r="F33" s="23">
        <v>5.7</v>
      </c>
      <c r="G33" s="17">
        <v>495091.6</v>
      </c>
      <c r="H33" s="17">
        <v>743258</v>
      </c>
      <c r="I33" s="17">
        <v>1238349.7</v>
      </c>
      <c r="J33" s="23">
        <v>1.5</v>
      </c>
      <c r="K33" s="12"/>
      <c r="O33" s="12"/>
    </row>
    <row r="34" spans="1:15" ht="18" customHeight="1" x14ac:dyDescent="0.2">
      <c r="A34" s="62" t="s">
        <v>22</v>
      </c>
      <c r="B34" s="32" t="s">
        <v>12</v>
      </c>
      <c r="C34" s="4">
        <v>7658250</v>
      </c>
      <c r="D34" s="3">
        <v>7827475</v>
      </c>
      <c r="E34" s="4">
        <v>15485725</v>
      </c>
      <c r="F34" s="22">
        <v>13.6</v>
      </c>
      <c r="G34" s="16">
        <v>87004.6</v>
      </c>
      <c r="H34" s="16">
        <v>143666.9</v>
      </c>
      <c r="I34" s="16">
        <v>230671.4</v>
      </c>
      <c r="J34" s="22">
        <v>5.4</v>
      </c>
      <c r="K34" s="12"/>
      <c r="O34" s="12"/>
    </row>
    <row r="35" spans="1:15" ht="18" customHeight="1" x14ac:dyDescent="0.2">
      <c r="A35" s="63"/>
      <c r="B35" s="32" t="s">
        <v>13</v>
      </c>
      <c r="C35" s="4">
        <v>13512120</v>
      </c>
      <c r="D35" s="4">
        <v>14086932</v>
      </c>
      <c r="E35" s="4">
        <v>27599052</v>
      </c>
      <c r="F35" s="22">
        <v>3.5</v>
      </c>
      <c r="G35" s="16">
        <v>404042.5</v>
      </c>
      <c r="H35" s="16">
        <v>626827.69999999995</v>
      </c>
      <c r="I35" s="16">
        <v>1030870.3</v>
      </c>
      <c r="J35" s="22">
        <v>1.1000000000000001</v>
      </c>
      <c r="K35" s="12"/>
      <c r="O35" s="12"/>
    </row>
    <row r="36" spans="1:15" ht="18" customHeight="1" x14ac:dyDescent="0.2">
      <c r="A36" s="64"/>
      <c r="B36" s="33" t="s">
        <v>10</v>
      </c>
      <c r="C36" s="9">
        <v>21170370</v>
      </c>
      <c r="D36" s="9">
        <v>21914407</v>
      </c>
      <c r="E36" s="9">
        <v>43084777</v>
      </c>
      <c r="F36" s="23">
        <v>6.9</v>
      </c>
      <c r="G36" s="17">
        <v>491047.1</v>
      </c>
      <c r="H36" s="17">
        <v>770494.6</v>
      </c>
      <c r="I36" s="17">
        <v>1261541.7</v>
      </c>
      <c r="J36" s="23">
        <v>1.9</v>
      </c>
      <c r="K36" s="12"/>
      <c r="O36" s="12"/>
    </row>
    <row r="37" spans="1:15" ht="18" customHeight="1" x14ac:dyDescent="0.2">
      <c r="A37" s="59" t="s">
        <v>23</v>
      </c>
      <c r="B37" s="32" t="s">
        <v>12</v>
      </c>
      <c r="C37" s="4">
        <v>8385537</v>
      </c>
      <c r="D37" s="3">
        <v>8520371</v>
      </c>
      <c r="E37" s="4">
        <v>16905908</v>
      </c>
      <c r="F37" s="22">
        <v>9.1999999999999993</v>
      </c>
      <c r="G37" s="16">
        <v>97776.9</v>
      </c>
      <c r="H37" s="16">
        <v>146162.20000000001</v>
      </c>
      <c r="I37" s="16">
        <v>243939</v>
      </c>
      <c r="J37" s="22">
        <v>5.8</v>
      </c>
      <c r="K37" s="12"/>
      <c r="O37" s="12"/>
    </row>
    <row r="38" spans="1:15" ht="18" customHeight="1" x14ac:dyDescent="0.2">
      <c r="A38" s="60"/>
      <c r="B38" s="32" t="s">
        <v>13</v>
      </c>
      <c r="C38" s="4">
        <v>14052568</v>
      </c>
      <c r="D38" s="4">
        <v>14778151</v>
      </c>
      <c r="E38" s="4">
        <v>28830719</v>
      </c>
      <c r="F38" s="22">
        <v>4.5</v>
      </c>
      <c r="G38" s="16">
        <v>425587.20000000001</v>
      </c>
      <c r="H38" s="16">
        <v>698032.5</v>
      </c>
      <c r="I38" s="16">
        <v>1123619.7</v>
      </c>
      <c r="J38" s="22">
        <v>9</v>
      </c>
      <c r="K38" s="12"/>
      <c r="O38" s="12"/>
    </row>
    <row r="39" spans="1:15" ht="18" customHeight="1" x14ac:dyDescent="0.2">
      <c r="A39" s="61"/>
      <c r="B39" s="33" t="s">
        <v>10</v>
      </c>
      <c r="C39" s="9">
        <v>22438105</v>
      </c>
      <c r="D39" s="9">
        <v>23298522</v>
      </c>
      <c r="E39" s="9">
        <v>45736627</v>
      </c>
      <c r="F39" s="23">
        <v>6.2</v>
      </c>
      <c r="G39" s="17">
        <v>523364</v>
      </c>
      <c r="H39" s="17">
        <v>844194.7</v>
      </c>
      <c r="I39" s="17">
        <v>1367558.7</v>
      </c>
      <c r="J39" s="23">
        <v>8.4</v>
      </c>
      <c r="K39" s="12"/>
      <c r="O39" s="12"/>
    </row>
    <row r="40" spans="1:15" ht="18" customHeight="1" x14ac:dyDescent="0.2">
      <c r="A40" s="62" t="s">
        <v>24</v>
      </c>
      <c r="B40" s="32" t="s">
        <v>12</v>
      </c>
      <c r="C40" s="4">
        <v>8957282</v>
      </c>
      <c r="D40" s="3">
        <v>9284212</v>
      </c>
      <c r="E40" s="4">
        <v>18241494</v>
      </c>
      <c r="F40" s="22">
        <v>7.9</v>
      </c>
      <c r="G40" s="16">
        <v>92702.8</v>
      </c>
      <c r="H40" s="16">
        <v>143861.6</v>
      </c>
      <c r="I40" s="16">
        <v>236564.5</v>
      </c>
      <c r="J40" s="22">
        <v>-3</v>
      </c>
      <c r="K40" s="12"/>
      <c r="O40" s="12"/>
    </row>
    <row r="41" spans="1:15" ht="18" customHeight="1" x14ac:dyDescent="0.2">
      <c r="A41" s="63"/>
      <c r="B41" s="32" t="s">
        <v>13</v>
      </c>
      <c r="C41" s="4">
        <v>15474649</v>
      </c>
      <c r="D41" s="4">
        <v>16069300</v>
      </c>
      <c r="E41" s="4">
        <v>31543949</v>
      </c>
      <c r="F41" s="22">
        <v>9.4</v>
      </c>
      <c r="G41" s="16">
        <v>471764.6</v>
      </c>
      <c r="H41" s="16">
        <v>695509.3</v>
      </c>
      <c r="I41" s="16">
        <v>1167273.8</v>
      </c>
      <c r="J41" s="22">
        <v>3.9</v>
      </c>
      <c r="K41" s="12"/>
      <c r="O41" s="12"/>
    </row>
    <row r="42" spans="1:15" ht="18" customHeight="1" x14ac:dyDescent="0.2">
      <c r="A42" s="64"/>
      <c r="B42" s="33" t="s">
        <v>10</v>
      </c>
      <c r="C42" s="9">
        <v>24431931</v>
      </c>
      <c r="D42" s="9">
        <v>25353512</v>
      </c>
      <c r="E42" s="9">
        <v>49785443</v>
      </c>
      <c r="F42" s="23">
        <v>8.9</v>
      </c>
      <c r="G42" s="17">
        <v>564467.4</v>
      </c>
      <c r="H42" s="17">
        <v>839370.9</v>
      </c>
      <c r="I42" s="17">
        <v>1403838.3</v>
      </c>
      <c r="J42" s="23">
        <v>2.7</v>
      </c>
      <c r="K42" s="12"/>
      <c r="O42" s="12"/>
    </row>
    <row r="43" spans="1:15" ht="18" customHeight="1" x14ac:dyDescent="0.2">
      <c r="A43" s="59" t="s">
        <v>25</v>
      </c>
      <c r="B43" s="32" t="s">
        <v>12</v>
      </c>
      <c r="C43" s="4">
        <v>10195917</v>
      </c>
      <c r="D43" s="4">
        <v>10423229</v>
      </c>
      <c r="E43" s="4">
        <v>20619146</v>
      </c>
      <c r="F43" s="22">
        <v>13</v>
      </c>
      <c r="G43" s="16">
        <v>108857.4</v>
      </c>
      <c r="H43" s="16">
        <v>175552.4</v>
      </c>
      <c r="I43" s="16">
        <v>284409.8</v>
      </c>
      <c r="J43" s="22">
        <v>20.2</v>
      </c>
      <c r="K43" s="12"/>
      <c r="O43" s="12"/>
    </row>
    <row r="44" spans="1:15" ht="18" customHeight="1" x14ac:dyDescent="0.2">
      <c r="A44" s="60"/>
      <c r="B44" s="32" t="s">
        <v>13</v>
      </c>
      <c r="C44" s="4">
        <v>16800346</v>
      </c>
      <c r="D44" s="4">
        <v>17256975</v>
      </c>
      <c r="E44" s="4">
        <v>34057321</v>
      </c>
      <c r="F44" s="22">
        <v>8</v>
      </c>
      <c r="G44" s="16">
        <v>484309.7</v>
      </c>
      <c r="H44" s="16">
        <v>744211.9</v>
      </c>
      <c r="I44" s="16">
        <v>1228521.6000000001</v>
      </c>
      <c r="J44" s="22">
        <v>5.2</v>
      </c>
      <c r="K44" s="12"/>
      <c r="O44" s="12"/>
    </row>
    <row r="45" spans="1:15" ht="18" customHeight="1" x14ac:dyDescent="0.2">
      <c r="A45" s="61"/>
      <c r="B45" s="33" t="s">
        <v>10</v>
      </c>
      <c r="C45" s="9">
        <v>26996263</v>
      </c>
      <c r="D45" s="9">
        <v>27680204</v>
      </c>
      <c r="E45" s="9">
        <v>54676467</v>
      </c>
      <c r="F45" s="21">
        <v>9.8000000000000007</v>
      </c>
      <c r="G45" s="17">
        <v>593167</v>
      </c>
      <c r="H45" s="17">
        <v>919764.4</v>
      </c>
      <c r="I45" s="17">
        <v>1512931.4</v>
      </c>
      <c r="J45" s="23">
        <v>7.8</v>
      </c>
      <c r="K45" s="12"/>
      <c r="O45" s="12"/>
    </row>
    <row r="46" spans="1:15" ht="18" customHeight="1" x14ac:dyDescent="0.2">
      <c r="A46" s="62" t="s">
        <v>26</v>
      </c>
      <c r="B46" s="32" t="s">
        <v>12</v>
      </c>
      <c r="C46" s="4">
        <v>11772395</v>
      </c>
      <c r="D46" s="4">
        <v>11784165</v>
      </c>
      <c r="E46" s="4">
        <v>23556560</v>
      </c>
      <c r="F46" s="20">
        <v>14.2</v>
      </c>
      <c r="G46" s="16">
        <v>132957.5</v>
      </c>
      <c r="H46" s="16">
        <v>221897.60000000001</v>
      </c>
      <c r="I46" s="16">
        <v>354855.1</v>
      </c>
      <c r="J46" s="22">
        <v>24.8</v>
      </c>
      <c r="K46" s="12"/>
      <c r="O46" s="12"/>
    </row>
    <row r="47" spans="1:15" ht="18" customHeight="1" x14ac:dyDescent="0.2">
      <c r="A47" s="63"/>
      <c r="B47" s="32" t="s">
        <v>13</v>
      </c>
      <c r="C47" s="4">
        <v>18345326</v>
      </c>
      <c r="D47" s="4">
        <v>18688890</v>
      </c>
      <c r="E47" s="4">
        <v>37034216</v>
      </c>
      <c r="F47" s="20">
        <v>8.6999999999999993</v>
      </c>
      <c r="G47" s="16">
        <v>555690.1</v>
      </c>
      <c r="H47" s="16">
        <v>823224.2</v>
      </c>
      <c r="I47" s="16">
        <v>1378914.2</v>
      </c>
      <c r="J47" s="22">
        <v>12.2</v>
      </c>
      <c r="K47" s="12"/>
      <c r="O47" s="12"/>
    </row>
    <row r="48" spans="1:15" ht="18" customHeight="1" x14ac:dyDescent="0.2">
      <c r="A48" s="64"/>
      <c r="B48" s="34" t="s">
        <v>10</v>
      </c>
      <c r="C48" s="10">
        <v>30117721</v>
      </c>
      <c r="D48" s="10">
        <v>30473055</v>
      </c>
      <c r="E48" s="10">
        <v>60590776</v>
      </c>
      <c r="F48" s="26">
        <v>10.8</v>
      </c>
      <c r="G48" s="18">
        <v>688647.6</v>
      </c>
      <c r="H48" s="18">
        <v>1045121.8</v>
      </c>
      <c r="I48" s="18">
        <v>1733769.3</v>
      </c>
      <c r="J48" s="24">
        <v>14.6</v>
      </c>
      <c r="K48" s="12"/>
      <c r="O48" s="12"/>
    </row>
    <row r="49" spans="1:15" ht="18" customHeight="1" x14ac:dyDescent="0.2">
      <c r="A49" s="59" t="s">
        <v>29</v>
      </c>
      <c r="B49" s="35" t="s">
        <v>12</v>
      </c>
      <c r="C49" s="4">
        <v>12787690</v>
      </c>
      <c r="D49" s="4">
        <v>12829952</v>
      </c>
      <c r="E49" s="4">
        <v>25617642</v>
      </c>
      <c r="F49" s="29">
        <v>8.7495033230658468</v>
      </c>
      <c r="G49" s="4">
        <v>133468.35358273503</v>
      </c>
      <c r="H49" s="4">
        <v>233449.89056999999</v>
      </c>
      <c r="I49" s="4">
        <v>366918.24415273499</v>
      </c>
      <c r="J49" s="29">
        <v>3.3994563281561998</v>
      </c>
      <c r="K49" s="12"/>
      <c r="O49" s="12"/>
    </row>
    <row r="50" spans="1:15" ht="18" customHeight="1" x14ac:dyDescent="0.2">
      <c r="A50" s="60"/>
      <c r="B50" s="35" t="s">
        <v>13</v>
      </c>
      <c r="C50" s="4">
        <v>18843023</v>
      </c>
      <c r="D50" s="4">
        <v>19416972</v>
      </c>
      <c r="E50" s="4">
        <v>38259995</v>
      </c>
      <c r="F50" s="29">
        <v>3.3098554050664935</v>
      </c>
      <c r="G50" s="4">
        <f>584837792.7/1000</f>
        <v>584837.79269999999</v>
      </c>
      <c r="H50" s="4">
        <f>847490868/1000</f>
        <v>847490.86800000002</v>
      </c>
      <c r="I50" s="4">
        <f>1432328660.7/1000</f>
        <v>1432328.6607000001</v>
      </c>
      <c r="J50" s="29">
        <v>3.8736609355390041</v>
      </c>
      <c r="K50" s="12"/>
      <c r="O50" s="12"/>
    </row>
    <row r="51" spans="1:15" ht="18" customHeight="1" x14ac:dyDescent="0.2">
      <c r="A51" s="61"/>
      <c r="B51" s="34" t="s">
        <v>10</v>
      </c>
      <c r="C51" s="11">
        <v>31630713</v>
      </c>
      <c r="D51" s="11">
        <v>32246924</v>
      </c>
      <c r="E51" s="11">
        <v>63877637</v>
      </c>
      <c r="F51" s="27">
        <v>5.4246887348001618</v>
      </c>
      <c r="G51" s="19">
        <v>718306.14628273505</v>
      </c>
      <c r="H51" s="19">
        <v>1080940.7585699998</v>
      </c>
      <c r="I51" s="19">
        <v>1799246.9048527349</v>
      </c>
      <c r="J51" s="28">
        <v>3.7766042375265747</v>
      </c>
      <c r="K51" s="12"/>
      <c r="O51" s="12"/>
    </row>
    <row r="52" spans="1:15" ht="18" customHeight="1" x14ac:dyDescent="0.2">
      <c r="A52" s="62" t="s">
        <v>31</v>
      </c>
      <c r="B52" s="35" t="s">
        <v>12</v>
      </c>
      <c r="C52" s="4">
        <v>11390185</v>
      </c>
      <c r="D52" s="4">
        <v>11301816</v>
      </c>
      <c r="E52" s="4">
        <f>SUM(C52:D52)</f>
        <v>22692001</v>
      </c>
      <c r="F52" s="29">
        <f>-(C49-C52)/C49*100</f>
        <v>-10.928517973144485</v>
      </c>
      <c r="G52" s="4">
        <v>59679.266739999985</v>
      </c>
      <c r="H52" s="4">
        <v>154818.02888755486</v>
      </c>
      <c r="I52" s="4">
        <f>SUM(G52:H52)</f>
        <v>214497.29562755485</v>
      </c>
      <c r="J52" s="29">
        <f>-(G49-G52)/G49*100</f>
        <v>-55.285829833057988</v>
      </c>
      <c r="K52" s="12"/>
      <c r="O52" s="12"/>
    </row>
    <row r="53" spans="1:15" ht="18" customHeight="1" x14ac:dyDescent="0.2">
      <c r="A53" s="63"/>
      <c r="B53" s="35" t="s">
        <v>13</v>
      </c>
      <c r="C53" s="4">
        <v>18641757</v>
      </c>
      <c r="D53" s="4">
        <v>19408513</v>
      </c>
      <c r="E53" s="4">
        <f>SUM(C53:D53)</f>
        <v>38050270</v>
      </c>
      <c r="F53" s="29">
        <f>-(C50-C53)/C50*100</f>
        <v>-1.0681194838004497</v>
      </c>
      <c r="G53" s="4">
        <v>525828.54445099982</v>
      </c>
      <c r="H53" s="4">
        <v>812545.92507100001</v>
      </c>
      <c r="I53" s="4">
        <f>SUM(G53:H53)</f>
        <v>1338374.4695219998</v>
      </c>
      <c r="J53" s="29">
        <f>-(G50-G53)/G50*100</f>
        <v>-10.089848670102912</v>
      </c>
      <c r="K53" s="12"/>
      <c r="O53" s="12"/>
    </row>
    <row r="54" spans="1:15" ht="18" customHeight="1" x14ac:dyDescent="0.2">
      <c r="A54" s="64"/>
      <c r="B54" s="34" t="s">
        <v>10</v>
      </c>
      <c r="C54" s="11">
        <f>SUM(C52:C53)</f>
        <v>30031942</v>
      </c>
      <c r="D54" s="11">
        <f>SUM(D52:D53)</f>
        <v>30710329</v>
      </c>
      <c r="E54" s="11">
        <f>SUM(C54:D54)</f>
        <v>60742271</v>
      </c>
      <c r="F54" s="27">
        <f>-(E51-E54)/E51*100</f>
        <v>-4.9083938405548722</v>
      </c>
      <c r="G54" s="19">
        <f>SUM(G52:G53)</f>
        <v>585507.81119099981</v>
      </c>
      <c r="H54" s="19">
        <f>SUM(H52:H53)</f>
        <v>967363.95395855489</v>
      </c>
      <c r="I54" s="19">
        <f>SUM(G54:H54)</f>
        <v>1552871.7651495547</v>
      </c>
      <c r="J54" s="28">
        <f>-(I51-I54)/I51*100</f>
        <v>-13.69323682251078</v>
      </c>
      <c r="K54" s="12"/>
      <c r="O54" s="12"/>
    </row>
    <row r="55" spans="1:15" ht="33" customHeight="1" x14ac:dyDescent="0.2">
      <c r="A55" s="65" t="s">
        <v>27</v>
      </c>
      <c r="B55" s="68"/>
      <c r="C55" s="68"/>
      <c r="D55" s="68"/>
      <c r="E55" s="68"/>
      <c r="F55" s="68"/>
      <c r="G55" s="68"/>
      <c r="H55" s="68"/>
      <c r="I55" s="68"/>
      <c r="J55" s="69"/>
      <c r="K55" s="12"/>
      <c r="O55" s="12"/>
    </row>
    <row r="56" spans="1:15" ht="20.25" customHeight="1" x14ac:dyDescent="0.2">
      <c r="A56" s="65" t="s">
        <v>28</v>
      </c>
      <c r="B56" s="66"/>
      <c r="C56" s="66"/>
      <c r="D56" s="66"/>
      <c r="E56" s="66"/>
      <c r="F56" s="66"/>
      <c r="G56" s="66"/>
      <c r="H56" s="66"/>
      <c r="I56" s="66"/>
      <c r="J56" s="67"/>
      <c r="K56" s="12"/>
      <c r="O56" s="12"/>
    </row>
  </sheetData>
  <mergeCells count="28">
    <mergeCell ref="A56:J56"/>
    <mergeCell ref="A37:A39"/>
    <mergeCell ref="A40:A42"/>
    <mergeCell ref="A43:A45"/>
    <mergeCell ref="A46:A48"/>
    <mergeCell ref="A55:J55"/>
    <mergeCell ref="A49:A51"/>
    <mergeCell ref="A52:A54"/>
    <mergeCell ref="A22:A24"/>
    <mergeCell ref="A25:A27"/>
    <mergeCell ref="A28:A30"/>
    <mergeCell ref="A31:A33"/>
    <mergeCell ref="A34:A36"/>
    <mergeCell ref="A7:A9"/>
    <mergeCell ref="A10:A12"/>
    <mergeCell ref="A13:A15"/>
    <mergeCell ref="A16:A18"/>
    <mergeCell ref="A19:A21"/>
    <mergeCell ref="A1:J1"/>
    <mergeCell ref="A2:J2"/>
    <mergeCell ref="A3:J3"/>
    <mergeCell ref="A4:J4"/>
    <mergeCell ref="A5:A6"/>
    <mergeCell ref="B5:B6"/>
    <mergeCell ref="C5:E5"/>
    <mergeCell ref="F5:F6"/>
    <mergeCell ref="G5:I5"/>
    <mergeCell ref="J5:J6"/>
  </mergeCells>
  <pageMargins left="0.7" right="0.7" top="0.75" bottom="0.75" header="0.3" footer="0.3"/>
  <pageSetup scale="6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Mr.Purshotam</dc:creator>
  <cp:lastModifiedBy>Windows User</cp:lastModifiedBy>
  <cp:lastPrinted>2021-08-27T11:28:59Z</cp:lastPrinted>
  <dcterms:created xsi:type="dcterms:W3CDTF">2020-03-23T05:47:17Z</dcterms:created>
  <dcterms:modified xsi:type="dcterms:W3CDTF">2021-08-27T11:30:02Z</dcterms:modified>
</cp:coreProperties>
</file>