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2. SCHEDULED NATIONAL AIRLINES\"/>
    </mc:Choice>
  </mc:AlternateContent>
  <bookViews>
    <workbookView showHorizontalScroll="0" showVerticalScroll="0" showSheetTabs="0" xWindow="0" yWindow="0" windowWidth="24000" windowHeight="9435"/>
  </bookViews>
  <sheets>
    <sheet name="1.02" sheetId="1" r:id="rId1"/>
  </sheets>
  <definedNames>
    <definedName name="_xlnm.Print_Area" localSheetId="0">'1.02'!$A$1:$Q$19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Q6" i="1"/>
  <c r="H7" i="1"/>
  <c r="H8" i="1"/>
  <c r="H9" i="1"/>
  <c r="H10" i="1"/>
  <c r="H11" i="1"/>
  <c r="H12" i="1"/>
  <c r="H13" i="1"/>
  <c r="H14" i="1"/>
  <c r="H15" i="1"/>
  <c r="H16" i="1"/>
  <c r="H17" i="1"/>
  <c r="H6" i="1"/>
  <c r="J18" i="1" l="1"/>
  <c r="K18" i="1"/>
  <c r="L18" i="1"/>
  <c r="M18" i="1"/>
  <c r="N18" i="1"/>
  <c r="O18" i="1"/>
  <c r="P18" i="1"/>
  <c r="I18" i="1"/>
  <c r="C18" i="1"/>
  <c r="D18" i="1"/>
  <c r="E18" i="1"/>
  <c r="F18" i="1"/>
  <c r="G18" i="1"/>
  <c r="B18" i="1"/>
  <c r="H18" i="1" l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<sst xmlns="http://schemas.openxmlformats.org/spreadsheetml/2006/main" count="26" uniqueCount="24">
  <si>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</si>
  <si>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</si>
  <si>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</si>
  <si>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</si>
  <si>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</si>
  <si>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</si>
  <si>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</si>
  <si>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</si>
  <si>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</si>
  <si>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</si>
  <si>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</si>
  <si>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</si>
  <si>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</si>
  <si>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</si>
  <si>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</si>
  <si>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</si>
  <si>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</si>
  <si>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</si>
  <si>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</si>
  <si>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NATIONAL  AIRLINES</t>
  </si>
  <si>
    <t>2019-20</t>
  </si>
  <si>
    <t>MONTHLY TRAFFIC AND OPERATING STATISTICS OF ALL SCHEDULED NATIONAL AIRLINES ON SCHEDULED INTERNATIONAL SERVICES DURING 2019-20</t>
  </si>
  <si>
    <t xml:space="preserve">तालिका - 1.02 (सभी अनुसूचित राष्ट्रीय एयरलाइन्स) </t>
  </si>
  <si>
    <t>Table 1.02 (ALL SCHEDULED NATIONAL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</si>
</sst>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17" fontId="2" fillId="2" borderId="1" xfId="0" applyNumberFormat="1" applyFont="1" applyFill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topLeftCell="A6" zoomScaleSheetLayoutView="100" workbookViewId="0">
      <selection activeCell="T11" sqref="T11"/>
    </sheetView>
  </sheetViews>
  <sheetFormatPr defaultColWidth="9.140625" defaultRowHeight="15" x14ac:dyDescent="0.25"/>
  <cols>
    <col min="1" max="1" width="9.28515625" style="1" customWidth="1"/>
    <col min="2" max="2" width="8.7109375" style="1" customWidth="1"/>
    <col min="3" max="3" width="9" style="1" customWidth="1"/>
    <col min="4" max="4" width="9.28515625" style="1" customWidth="1"/>
    <col min="5" max="5" width="12.140625" style="1" customWidth="1"/>
    <col min="6" max="6" width="8.28515625" style="1" customWidth="1"/>
    <col min="7" max="8" width="7.5703125" style="1" customWidth="1"/>
    <col min="9" max="9" width="10.42578125" style="1" customWidth="1"/>
    <col min="10" max="10" width="8.42578125" style="1" customWidth="1"/>
    <col min="11" max="11" width="10.710937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0.570312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.75" customHeight="1" x14ac:dyDescent="0.25">
      <c r="A2" s="16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8.75" customHeight="1" x14ac:dyDescent="0.25">
      <c r="A3" s="18" t="s">
        <v>21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2" t="s">
        <v>3</v>
      </c>
      <c r="H4" s="12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2" t="s">
        <v>7</v>
      </c>
      <c r="Q4" s="12" t="s">
        <v>8</v>
      </c>
    </row>
    <row r="5" spans="1:17" ht="128.25" customHeight="1" x14ac:dyDescent="0.25">
      <c r="A5" s="18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3"/>
      <c r="H5" s="13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3"/>
      <c r="Q5" s="13"/>
    </row>
    <row r="6" spans="1:17" ht="30" customHeight="1" x14ac:dyDescent="0.25">
      <c r="A6" s="5">
        <v>43556</v>
      </c>
      <c r="B6" s="6">
        <v>5868</v>
      </c>
      <c r="C6" s="6">
        <v>30520.83</v>
      </c>
      <c r="D6" s="6">
        <v>28305.05</v>
      </c>
      <c r="E6" s="6">
        <v>1023148</v>
      </c>
      <c r="F6" s="6">
        <v>3966.6679100000001</v>
      </c>
      <c r="G6" s="6">
        <v>4802.0603300000002</v>
      </c>
      <c r="H6" s="7">
        <f>F6/G6*100</f>
        <v>82.603458461755736</v>
      </c>
      <c r="I6" s="7">
        <v>13844.223900000001</v>
      </c>
      <c r="J6" s="7">
        <v>362.88499999999999</v>
      </c>
      <c r="K6" s="7">
        <v>14207.108899999999</v>
      </c>
      <c r="L6" s="7">
        <v>379.83287000000001</v>
      </c>
      <c r="M6" s="7">
        <v>74.955570000000009</v>
      </c>
      <c r="N6" s="7">
        <v>1.8011999999999999</v>
      </c>
      <c r="O6" s="7">
        <v>456.58964000000003</v>
      </c>
      <c r="P6" s="7">
        <v>636.80623000000003</v>
      </c>
      <c r="Q6" s="7">
        <f>O6/P6*100</f>
        <v>71.699932960768933</v>
      </c>
    </row>
    <row r="7" spans="1:17" ht="30" customHeight="1" x14ac:dyDescent="0.25">
      <c r="A7" s="2">
        <v>43586</v>
      </c>
      <c r="B7" s="3">
        <v>6034</v>
      </c>
      <c r="C7" s="3">
        <v>31505.566666666669</v>
      </c>
      <c r="D7" s="3">
        <v>29847.091</v>
      </c>
      <c r="E7" s="3">
        <v>1025973</v>
      </c>
      <c r="F7" s="3">
        <v>4161.7624699999997</v>
      </c>
      <c r="G7" s="3">
        <v>4977.0746760000002</v>
      </c>
      <c r="H7" s="4">
        <f t="shared" ref="H7:H18" si="0">F7/G7*100</f>
        <v>83.618646311828002</v>
      </c>
      <c r="I7" s="4">
        <v>14714.2497</v>
      </c>
      <c r="J7" s="4">
        <v>501.87399999999997</v>
      </c>
      <c r="K7" s="4">
        <v>15216.1237</v>
      </c>
      <c r="L7" s="4">
        <v>407.80141608400004</v>
      </c>
      <c r="M7" s="4">
        <v>76.823399160299999</v>
      </c>
      <c r="N7" s="4">
        <v>2.465691198</v>
      </c>
      <c r="O7" s="4">
        <v>487.09050644229995</v>
      </c>
      <c r="P7" s="4">
        <v>655.9923984840002</v>
      </c>
      <c r="Q7" s="4">
        <f t="shared" ref="Q7:Q18" si="1">O7/P7*100</f>
        <v>74.252462005347482</v>
      </c>
    </row>
    <row r="8" spans="1:17" ht="30" customHeight="1" x14ac:dyDescent="0.25">
      <c r="A8" s="5">
        <v>43617</v>
      </c>
      <c r="B8" s="6">
        <v>5931</v>
      </c>
      <c r="C8" s="6">
        <v>30667.489999999998</v>
      </c>
      <c r="D8" s="6">
        <v>28121.598000000002</v>
      </c>
      <c r="E8" s="6">
        <v>1029489</v>
      </c>
      <c r="F8" s="6">
        <v>4228.5304290000004</v>
      </c>
      <c r="G8" s="6">
        <v>4874.9668840000004</v>
      </c>
      <c r="H8" s="7">
        <f t="shared" si="0"/>
        <v>86.739674947912931</v>
      </c>
      <c r="I8" s="7">
        <v>12216.898600000004</v>
      </c>
      <c r="J8" s="7">
        <v>530.16899999999998</v>
      </c>
      <c r="K8" s="7">
        <v>12747.067600000006</v>
      </c>
      <c r="L8" s="7">
        <v>418.88893408699988</v>
      </c>
      <c r="M8" s="7">
        <v>62.948644638599987</v>
      </c>
      <c r="N8" s="7">
        <v>2.6343914100000001</v>
      </c>
      <c r="O8" s="7">
        <v>484.4719701355998</v>
      </c>
      <c r="P8" s="7">
        <v>645.94879752899988</v>
      </c>
      <c r="Q8" s="7">
        <f t="shared" si="1"/>
        <v>75.001605698298306</v>
      </c>
    </row>
    <row r="9" spans="1:17" ht="30" customHeight="1" x14ac:dyDescent="0.25">
      <c r="A9" s="2">
        <v>43647</v>
      </c>
      <c r="B9" s="3">
        <v>6146</v>
      </c>
      <c r="C9" s="3">
        <v>30880.71999999999</v>
      </c>
      <c r="D9" s="3">
        <v>28839.015999999996</v>
      </c>
      <c r="E9" s="3">
        <v>1002320</v>
      </c>
      <c r="F9" s="3">
        <v>4135.0089520000001</v>
      </c>
      <c r="G9" s="3">
        <v>4947.1597700000002</v>
      </c>
      <c r="H9" s="4">
        <f t="shared" si="0"/>
        <v>83.583493241415979</v>
      </c>
      <c r="I9" s="4">
        <v>13278.619800000004</v>
      </c>
      <c r="J9" s="4">
        <v>618.64200000000017</v>
      </c>
      <c r="K9" s="4">
        <v>13897.261800000004</v>
      </c>
      <c r="L9" s="4">
        <v>412.04516284899944</v>
      </c>
      <c r="M9" s="4">
        <v>66.853524394499971</v>
      </c>
      <c r="N9" s="4">
        <v>3.240046510000004</v>
      </c>
      <c r="O9" s="4">
        <v>482.13873375349942</v>
      </c>
      <c r="P9" s="4">
        <v>638.00612059200034</v>
      </c>
      <c r="Q9" s="4">
        <f t="shared" si="1"/>
        <v>75.569609474298943</v>
      </c>
    </row>
    <row r="10" spans="1:17" ht="30" customHeight="1" x14ac:dyDescent="0.25">
      <c r="A10" s="5">
        <v>43678</v>
      </c>
      <c r="B10" s="6">
        <v>6249</v>
      </c>
      <c r="C10" s="6">
        <v>30946.090000000011</v>
      </c>
      <c r="D10" s="6">
        <v>28875.728999999999</v>
      </c>
      <c r="E10" s="6">
        <v>1029314</v>
      </c>
      <c r="F10" s="6">
        <v>4198.4556889999994</v>
      </c>
      <c r="G10" s="6">
        <v>5036.9688390000001</v>
      </c>
      <c r="H10" s="7">
        <f t="shared" si="0"/>
        <v>83.352822365951496</v>
      </c>
      <c r="I10" s="7">
        <v>11798.391299999999</v>
      </c>
      <c r="J10" s="7">
        <v>527.39099999999996</v>
      </c>
      <c r="K10" s="7">
        <v>12325.782299999999</v>
      </c>
      <c r="L10" s="7">
        <v>416.363272575</v>
      </c>
      <c r="M10" s="7">
        <v>58.184406013799979</v>
      </c>
      <c r="N10" s="7">
        <v>2.9752338959999998</v>
      </c>
      <c r="O10" s="7">
        <v>477.52291248479992</v>
      </c>
      <c r="P10" s="7">
        <v>649.46979820200033</v>
      </c>
      <c r="Q10" s="7">
        <f t="shared" si="1"/>
        <v>73.525037470068639</v>
      </c>
    </row>
    <row r="11" spans="1:17" ht="30" customHeight="1" x14ac:dyDescent="0.25">
      <c r="A11" s="2">
        <v>43709</v>
      </c>
      <c r="B11" s="3">
        <v>6036</v>
      </c>
      <c r="C11" s="3">
        <v>30044.223333333342</v>
      </c>
      <c r="D11" s="3">
        <v>27740.862999999998</v>
      </c>
      <c r="E11" s="3">
        <v>922903</v>
      </c>
      <c r="F11" s="3">
        <v>3717.3386330000003</v>
      </c>
      <c r="G11" s="3">
        <v>4921.0647520000002</v>
      </c>
      <c r="H11" s="4">
        <f t="shared" si="0"/>
        <v>75.539315581840569</v>
      </c>
      <c r="I11" s="4">
        <v>11767.083499999999</v>
      </c>
      <c r="J11" s="4">
        <v>658.48200000000008</v>
      </c>
      <c r="K11" s="4">
        <v>12425.565499999999</v>
      </c>
      <c r="L11" s="4">
        <v>365.73111723700009</v>
      </c>
      <c r="M11" s="4">
        <v>58.72935043070003</v>
      </c>
      <c r="N11" s="4">
        <v>3.5876170459999996</v>
      </c>
      <c r="O11" s="4">
        <v>428.04808471370018</v>
      </c>
      <c r="P11" s="4">
        <v>632.53351300300005</v>
      </c>
      <c r="Q11" s="4">
        <f t="shared" si="1"/>
        <v>67.672000916047907</v>
      </c>
    </row>
    <row r="12" spans="1:17" ht="30" customHeight="1" x14ac:dyDescent="0.25">
      <c r="A12" s="5">
        <v>43739</v>
      </c>
      <c r="B12" s="6">
        <v>6377</v>
      </c>
      <c r="C12" s="6">
        <v>31829.529999999992</v>
      </c>
      <c r="D12" s="6">
        <v>28680.161999999997</v>
      </c>
      <c r="E12" s="6">
        <v>965600</v>
      </c>
      <c r="F12" s="6">
        <v>3922.9430939999997</v>
      </c>
      <c r="G12" s="6">
        <v>5257.7370019999998</v>
      </c>
      <c r="H12" s="7">
        <f t="shared" si="0"/>
        <v>74.612767669964171</v>
      </c>
      <c r="I12" s="7">
        <v>12659.367900000001</v>
      </c>
      <c r="J12" s="7">
        <v>585.58999999999992</v>
      </c>
      <c r="K12" s="7">
        <v>13244.957900000001</v>
      </c>
      <c r="L12" s="7">
        <v>387.95841282700007</v>
      </c>
      <c r="M12" s="7">
        <v>65.151046941500041</v>
      </c>
      <c r="N12" s="7">
        <v>3.1126718599999998</v>
      </c>
      <c r="O12" s="7">
        <v>456.22213162850016</v>
      </c>
      <c r="P12" s="7">
        <v>697.28791869600082</v>
      </c>
      <c r="Q12" s="7">
        <f t="shared" si="1"/>
        <v>65.428084926766246</v>
      </c>
    </row>
    <row r="13" spans="1:17" ht="30" customHeight="1" x14ac:dyDescent="0.25">
      <c r="A13" s="2">
        <v>43770</v>
      </c>
      <c r="B13" s="3">
        <v>6292</v>
      </c>
      <c r="C13" s="3">
        <v>31874.09</v>
      </c>
      <c r="D13" s="3">
        <v>28345.64</v>
      </c>
      <c r="E13" s="3">
        <v>1015617</v>
      </c>
      <c r="F13" s="3">
        <v>4117.9341340000001</v>
      </c>
      <c r="G13" s="3">
        <v>5179.7941979999996</v>
      </c>
      <c r="H13" s="4">
        <f t="shared" si="0"/>
        <v>79.499956496148044</v>
      </c>
      <c r="I13" s="4">
        <v>13200.284700000004</v>
      </c>
      <c r="J13" s="4">
        <v>615.11299999999926</v>
      </c>
      <c r="K13" s="4">
        <v>13815.397700000003</v>
      </c>
      <c r="L13" s="4">
        <v>406.36207315699983</v>
      </c>
      <c r="M13" s="4">
        <v>70.456550967700025</v>
      </c>
      <c r="N13" s="4">
        <v>3.4916380660000055</v>
      </c>
      <c r="O13" s="4">
        <v>480.31026219069986</v>
      </c>
      <c r="P13" s="4">
        <v>684.25694232499984</v>
      </c>
      <c r="Q13" s="4">
        <f t="shared" si="1"/>
        <v>70.194430261632348</v>
      </c>
    </row>
    <row r="14" spans="1:17" ht="30" customHeight="1" x14ac:dyDescent="0.25">
      <c r="A14" s="5">
        <v>43800</v>
      </c>
      <c r="B14" s="6">
        <v>6496</v>
      </c>
      <c r="C14" s="6">
        <v>32936.030000000006</v>
      </c>
      <c r="D14" s="6">
        <v>29298.075000000001</v>
      </c>
      <c r="E14" s="6">
        <v>1115375</v>
      </c>
      <c r="F14" s="6">
        <v>4447.7709320000004</v>
      </c>
      <c r="G14" s="6">
        <v>5351.7448700000004</v>
      </c>
      <c r="H14" s="7">
        <f t="shared" si="0"/>
        <v>83.108799840826492</v>
      </c>
      <c r="I14" s="7">
        <v>14345.246000000001</v>
      </c>
      <c r="J14" s="7">
        <v>640.23499999999956</v>
      </c>
      <c r="K14" s="7">
        <v>14985.481000000002</v>
      </c>
      <c r="L14" s="7">
        <v>439.00784562100006</v>
      </c>
      <c r="M14" s="7">
        <v>77.431450183199971</v>
      </c>
      <c r="N14" s="7">
        <v>3.5781095600000001</v>
      </c>
      <c r="O14" s="7">
        <v>520.01740536420004</v>
      </c>
      <c r="P14" s="7">
        <v>710.50619685800052</v>
      </c>
      <c r="Q14" s="7">
        <f t="shared" si="1"/>
        <v>73.189707234619533</v>
      </c>
    </row>
    <row r="15" spans="1:17" ht="30" customHeight="1" x14ac:dyDescent="0.25">
      <c r="A15" s="2">
        <v>43831</v>
      </c>
      <c r="B15" s="3">
        <v>6489</v>
      </c>
      <c r="C15" s="3">
        <v>33092.706666666651</v>
      </c>
      <c r="D15" s="3">
        <v>29398.535</v>
      </c>
      <c r="E15" s="3">
        <v>1122466</v>
      </c>
      <c r="F15" s="3">
        <v>4601.4981740000003</v>
      </c>
      <c r="G15" s="3">
        <v>5353.6821879999998</v>
      </c>
      <c r="H15" s="4">
        <f t="shared" si="0"/>
        <v>85.950155657614843</v>
      </c>
      <c r="I15" s="4">
        <v>13428.551800000001</v>
      </c>
      <c r="J15" s="4">
        <v>562.65600000000006</v>
      </c>
      <c r="K15" s="4">
        <v>13991.207800000002</v>
      </c>
      <c r="L15" s="4">
        <v>456.85520590100026</v>
      </c>
      <c r="M15" s="4">
        <v>70.078260272099953</v>
      </c>
      <c r="N15" s="4">
        <v>3.1913697560000056</v>
      </c>
      <c r="O15" s="4">
        <v>530.12483592910019</v>
      </c>
      <c r="P15" s="4">
        <v>711.16753187000086</v>
      </c>
      <c r="Q15" s="4">
        <f t="shared" si="1"/>
        <v>74.54289069344145</v>
      </c>
    </row>
    <row r="16" spans="1:17" ht="30" customHeight="1" x14ac:dyDescent="0.25">
      <c r="A16" s="5">
        <v>43862</v>
      </c>
      <c r="B16" s="6">
        <v>5998</v>
      </c>
      <c r="C16" s="6">
        <v>30298.486666666671</v>
      </c>
      <c r="D16" s="6">
        <v>26834.498000000003</v>
      </c>
      <c r="E16" s="6">
        <v>965988</v>
      </c>
      <c r="F16" s="6">
        <v>4000.7253000000001</v>
      </c>
      <c r="G16" s="6">
        <v>4942.0651020000005</v>
      </c>
      <c r="H16" s="7">
        <f t="shared" si="0"/>
        <v>80.952500977394038</v>
      </c>
      <c r="I16" s="7">
        <v>13024.126900000001</v>
      </c>
      <c r="J16" s="7">
        <v>345.87399999999997</v>
      </c>
      <c r="K16" s="7">
        <v>13370.000900000001</v>
      </c>
      <c r="L16" s="7">
        <v>394.86123251700019</v>
      </c>
      <c r="M16" s="7">
        <v>69.818978078199976</v>
      </c>
      <c r="N16" s="7">
        <v>2.2848049720000003</v>
      </c>
      <c r="O16" s="7">
        <v>466.96501556720011</v>
      </c>
      <c r="P16" s="7">
        <v>651.00828900300007</v>
      </c>
      <c r="Q16" s="7">
        <f t="shared" si="1"/>
        <v>71.729503825879576</v>
      </c>
    </row>
    <row r="17" spans="1:17" ht="30" customHeight="1" x14ac:dyDescent="0.25">
      <c r="A17" s="2">
        <v>43891</v>
      </c>
      <c r="B17" s="3">
        <v>3567</v>
      </c>
      <c r="C17" s="3">
        <v>17970.343333333323</v>
      </c>
      <c r="D17" s="3">
        <v>16377.933999999999</v>
      </c>
      <c r="E17" s="3">
        <v>495792</v>
      </c>
      <c r="F17" s="3">
        <v>2181.5950629999998</v>
      </c>
      <c r="G17" s="3">
        <v>3012.6425399999998</v>
      </c>
      <c r="H17" s="4">
        <f t="shared" si="0"/>
        <v>72.414666991989023</v>
      </c>
      <c r="I17" s="4">
        <v>8688.2584999999999</v>
      </c>
      <c r="J17" s="4">
        <v>223.83500000000001</v>
      </c>
      <c r="K17" s="4">
        <v>8912.0935000000009</v>
      </c>
      <c r="L17" s="4">
        <v>215.44193147900015</v>
      </c>
      <c r="M17" s="4">
        <v>46.660222483800027</v>
      </c>
      <c r="N17" s="4">
        <v>1.5377473939999999</v>
      </c>
      <c r="O17" s="4">
        <v>263.63990135680012</v>
      </c>
      <c r="P17" s="4">
        <v>381.14340130199997</v>
      </c>
      <c r="Q17" s="4">
        <f t="shared" si="1"/>
        <v>69.170789906422741</v>
      </c>
    </row>
    <row r="18" spans="1:17" ht="30" customHeight="1" x14ac:dyDescent="0.25">
      <c r="A18" s="8" t="s">
        <v>20</v>
      </c>
      <c r="B18" s="9">
        <f>SUM(B6:B17)</f>
        <v>71483</v>
      </c>
      <c r="C18" s="9">
        <f t="shared" ref="C18:G18" si="2">SUM(C6:C17)</f>
        <v>362566.10666666669</v>
      </c>
      <c r="D18" s="9">
        <f t="shared" si="2"/>
        <v>330664.19100000005</v>
      </c>
      <c r="E18" s="9">
        <f t="shared" si="2"/>
        <v>11713985</v>
      </c>
      <c r="F18" s="9">
        <f t="shared" si="2"/>
        <v>47680.230779999998</v>
      </c>
      <c r="G18" s="9">
        <f t="shared" si="2"/>
        <v>58656.961151000003</v>
      </c>
      <c r="H18" s="10">
        <f t="shared" si="0"/>
        <v>81.286568285147396</v>
      </c>
      <c r="I18" s="10">
        <f>SUM(I6:I17)</f>
        <v>152965.30260000002</v>
      </c>
      <c r="J18" s="10">
        <f t="shared" ref="J18:P18" si="3">SUM(J6:J17)</f>
        <v>6172.7459999999992</v>
      </c>
      <c r="K18" s="10">
        <f t="shared" si="3"/>
        <v>159138.04860000001</v>
      </c>
      <c r="L18" s="10">
        <f t="shared" si="3"/>
        <v>4701.1494743339999</v>
      </c>
      <c r="M18" s="10">
        <f t="shared" si="3"/>
        <v>798.09140356440003</v>
      </c>
      <c r="N18" s="10">
        <f t="shared" si="3"/>
        <v>33.900521668000017</v>
      </c>
      <c r="O18" s="10">
        <f t="shared" si="3"/>
        <v>5533.1413995663997</v>
      </c>
      <c r="P18" s="10">
        <f t="shared" si="3"/>
        <v>7694.1271378640022</v>
      </c>
      <c r="Q18" s="10">
        <f t="shared" si="1"/>
        <v>71.9138285659064</v>
      </c>
    </row>
    <row r="19" spans="1:17" x14ac:dyDescent="0.25">
      <c r="A19" s="14" t="s">
        <v>19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2020-05-08T08:31:24Z</cp:lastPrinted>
  <dcterms:created xsi:type="dcterms:W3CDTF">2018-10-29T04:00:09Z</dcterms:created>
  <dcterms:modified xsi:type="dcterms:W3CDTF">2021-09-14T20:39:41Z</dcterms:modified>
</cp:coreProperties>
</file>