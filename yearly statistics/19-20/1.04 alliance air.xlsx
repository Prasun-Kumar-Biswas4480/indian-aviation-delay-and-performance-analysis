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24000" windowHeight="10725"/>
  </bookViews>
  <sheets>
    <sheet name="ALLIANCE AIR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4" l="1"/>
  <c r="P38" i="4"/>
  <c r="O38" i="4"/>
  <c r="L38" i="4"/>
  <c r="H38" i="4"/>
  <c r="G38" i="4"/>
  <c r="F38" i="4"/>
  <c r="E38" i="4"/>
  <c r="D38" i="4"/>
  <c r="C38" i="4"/>
  <c r="B38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Q35" i="4"/>
  <c r="P35" i="4"/>
  <c r="O35" i="4"/>
  <c r="L35" i="4"/>
  <c r="H35" i="4"/>
  <c r="G35" i="4"/>
  <c r="F35" i="4"/>
  <c r="E35" i="4"/>
  <c r="D35" i="4"/>
  <c r="C35" i="4"/>
  <c r="B35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Q32" i="4"/>
  <c r="P32" i="4"/>
  <c r="O32" i="4"/>
  <c r="L32" i="4"/>
  <c r="H32" i="4"/>
  <c r="G32" i="4"/>
  <c r="F32" i="4"/>
  <c r="E32" i="4"/>
  <c r="D32" i="4"/>
  <c r="C32" i="4"/>
  <c r="B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Q29" i="4"/>
  <c r="P29" i="4"/>
  <c r="O29" i="4"/>
  <c r="L29" i="4"/>
  <c r="H29" i="4"/>
  <c r="G29" i="4"/>
  <c r="F29" i="4"/>
  <c r="E29" i="4"/>
  <c r="D29" i="4"/>
  <c r="C29" i="4"/>
  <c r="B29" i="4"/>
  <c r="Q28" i="4"/>
  <c r="P28" i="4"/>
  <c r="O28" i="4"/>
  <c r="N28" i="4"/>
  <c r="M28" i="4"/>
  <c r="L28" i="4"/>
  <c r="H28" i="4"/>
  <c r="G28" i="4"/>
  <c r="F28" i="4"/>
  <c r="E28" i="4"/>
  <c r="D28" i="4"/>
  <c r="C28" i="4"/>
  <c r="B28" i="4"/>
  <c r="Q26" i="4"/>
  <c r="P26" i="4"/>
  <c r="O26" i="4"/>
  <c r="L26" i="4"/>
  <c r="H26" i="4"/>
  <c r="G26" i="4"/>
  <c r="F26" i="4"/>
  <c r="E26" i="4"/>
  <c r="D26" i="4"/>
  <c r="C26" i="4"/>
  <c r="B26" i="4"/>
  <c r="Q25" i="4"/>
  <c r="P25" i="4"/>
  <c r="O25" i="4"/>
  <c r="L25" i="4"/>
  <c r="H25" i="4"/>
  <c r="G25" i="4"/>
  <c r="F25" i="4"/>
  <c r="E25" i="4"/>
  <c r="D25" i="4"/>
  <c r="C25" i="4"/>
  <c r="B25" i="4"/>
  <c r="Q23" i="4"/>
  <c r="P23" i="4"/>
  <c r="O23" i="4"/>
  <c r="L23" i="4"/>
  <c r="H23" i="4"/>
  <c r="G23" i="4"/>
  <c r="F23" i="4"/>
  <c r="E23" i="4"/>
  <c r="D23" i="4"/>
  <c r="C23" i="4"/>
  <c r="B23" i="4"/>
  <c r="Q22" i="4"/>
  <c r="P22" i="4"/>
  <c r="O22" i="4"/>
  <c r="L22" i="4"/>
  <c r="H22" i="4"/>
  <c r="G22" i="4"/>
  <c r="F22" i="4"/>
  <c r="E22" i="4"/>
  <c r="D22" i="4"/>
  <c r="C22" i="4"/>
  <c r="B22" i="4"/>
  <c r="Q20" i="4"/>
  <c r="P20" i="4"/>
  <c r="O20" i="4"/>
  <c r="L20" i="4"/>
  <c r="H20" i="4"/>
  <c r="G20" i="4"/>
  <c r="F20" i="4"/>
  <c r="E20" i="4"/>
  <c r="D20" i="4"/>
  <c r="C20" i="4"/>
  <c r="B20" i="4"/>
  <c r="Q19" i="4"/>
  <c r="P19" i="4"/>
  <c r="O19" i="4"/>
  <c r="L19" i="4"/>
  <c r="H19" i="4"/>
  <c r="G19" i="4"/>
  <c r="F19" i="4"/>
  <c r="E19" i="4"/>
  <c r="D19" i="4"/>
  <c r="C19" i="4"/>
  <c r="B19" i="4"/>
  <c r="Q17" i="4"/>
  <c r="P17" i="4"/>
  <c r="O17" i="4"/>
  <c r="L17" i="4"/>
  <c r="H17" i="4"/>
  <c r="G17" i="4"/>
  <c r="F17" i="4"/>
  <c r="E17" i="4"/>
  <c r="D17" i="4"/>
  <c r="C17" i="4"/>
  <c r="B17" i="4"/>
  <c r="Q16" i="4"/>
  <c r="P16" i="4"/>
  <c r="O16" i="4"/>
  <c r="L16" i="4"/>
  <c r="H16" i="4"/>
  <c r="G16" i="4"/>
  <c r="F16" i="4"/>
  <c r="E16" i="4"/>
  <c r="D16" i="4"/>
  <c r="C16" i="4"/>
  <c r="B16" i="4"/>
  <c r="Q14" i="4"/>
  <c r="P14" i="4"/>
  <c r="O14" i="4"/>
  <c r="L14" i="4"/>
  <c r="H14" i="4"/>
  <c r="G14" i="4"/>
  <c r="F14" i="4"/>
  <c r="E14" i="4"/>
  <c r="D14" i="4"/>
  <c r="C14" i="4"/>
  <c r="B14" i="4"/>
  <c r="Q13" i="4"/>
  <c r="P13" i="4"/>
  <c r="O13" i="4"/>
  <c r="L13" i="4"/>
  <c r="H13" i="4"/>
  <c r="G13" i="4"/>
  <c r="F13" i="4"/>
  <c r="E13" i="4"/>
  <c r="D13" i="4"/>
  <c r="C13" i="4"/>
  <c r="B13" i="4"/>
  <c r="Q11" i="4"/>
  <c r="P11" i="4"/>
  <c r="O11" i="4"/>
  <c r="L11" i="4"/>
  <c r="H11" i="4"/>
  <c r="G11" i="4"/>
  <c r="F11" i="4"/>
  <c r="E11" i="4"/>
  <c r="D11" i="4"/>
  <c r="C11" i="4"/>
  <c r="B11" i="4"/>
  <c r="Q10" i="4"/>
  <c r="P10" i="4"/>
  <c r="O10" i="4"/>
  <c r="L10" i="4"/>
  <c r="H10" i="4"/>
  <c r="G10" i="4"/>
  <c r="F10" i="4"/>
  <c r="E10" i="4"/>
  <c r="D10" i="4"/>
  <c r="C10" i="4"/>
  <c r="B10" i="4"/>
</calcChain>
</file>

<file path=xl/sharedStrings.xml><?xml version="1.0" encoding="utf-8"?>
<sst xmlns="http://schemas.openxmlformats.org/spreadsheetml/2006/main" count="174" uniqueCount="39">
  <si>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</si>
  <si>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</si>
  <si>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</si>
  <si>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</si>
  <si>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</si>
  <si>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</si>
  <si>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</si>
  <si>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</si>
  <si>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</si>
  <si>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</si>
  <si>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</si>
  <si>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</si>
  <si>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</si>
  <si>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</si>
  <si>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</si>
  <si>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</si>
  <si>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</si>
  <si>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</si>
  <si>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</si>
  <si>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</si>
  <si>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</si>
  <si>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</si>
  <si>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</si>
  <si>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</si>
  <si>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</si>
  <si>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</si>
  <si>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</si>
  <si>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</si>
  <si>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</si>
  <si>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</si>
  <si>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</si>
  <si>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</si>
  <si>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</si>
  <si>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(एलाइंस एयर) </t>
  </si>
  <si>
    <t>Table 1.04 (ALLIANCE AIR)</t>
  </si>
  <si>
    <t>SOURCE: ICAO ATR FORM 'A' FURNISHED BY ALLIANCE AIR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</si>
  <si>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</si>
  <si>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</si>
  <si>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ALLIANCE AIR ON SCHEDULED DOMESTIC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</si>
</sst>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2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9" xfId="1" applyFont="1" applyBorder="1" applyAlignment="1">
      <alignment horizontal="center" vertical="center" wrapText="1"/>
    </xf>
    <xf numFmtId="0" fontId="3" fillId="3" borderId="10" xfId="1" applyFont="1" applyBorder="1" applyAlignment="1">
      <alignment horizontal="center" vertical="center" wrapText="1"/>
    </xf>
    <xf numFmtId="0" fontId="3" fillId="3" borderId="11" xfId="1" applyFont="1" applyBorder="1" applyAlignment="1">
      <alignment horizontal="center" vertical="center" wrapText="1"/>
    </xf>
    <xf numFmtId="0" fontId="3" fillId="3" borderId="6" xfId="1" quotePrefix="1" applyFont="1" applyBorder="1" applyAlignment="1" applyProtection="1">
      <alignment horizontal="center" vertical="center" wrapText="1"/>
    </xf>
    <xf numFmtId="0" fontId="3" fillId="3" borderId="7" xfId="1" quotePrefix="1" applyFont="1" applyBorder="1" applyAlignment="1" applyProtection="1">
      <alignment horizontal="center" vertical="center" wrapText="1"/>
    </xf>
    <xf numFmtId="0" fontId="3" fillId="3" borderId="8" xfId="1" quotePrefix="1" applyFont="1" applyBorder="1" applyAlignment="1" applyProtection="1">
      <alignment horizontal="center" vertical="center" wrapText="1"/>
    </xf>
    <xf numFmtId="0" fontId="3" fillId="4" borderId="3" xfId="2" applyFont="1" applyBorder="1" applyAlignment="1" applyProtection="1">
      <alignment horizontal="center" vertical="center" wrapText="1"/>
    </xf>
    <xf numFmtId="0" fontId="3" fillId="4" borderId="4" xfId="2" applyFont="1" applyBorder="1" applyAlignment="1" applyProtection="1">
      <alignment horizontal="center" vertical="center" wrapText="1"/>
    </xf>
    <xf numFmtId="0" fontId="3" fillId="4" borderId="5" xfId="2" applyFon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A3" sqref="A3:Q3"/>
    </sheetView>
  </sheetViews>
  <sheetFormatPr defaultRowHeight="15" x14ac:dyDescent="0.25"/>
  <cols>
    <col min="1" max="1" width="8" customWidth="1"/>
    <col min="2" max="2" width="7" customWidth="1"/>
    <col min="3" max="3" width="7.28515625" customWidth="1"/>
    <col min="4" max="4" width="6.5703125" customWidth="1"/>
    <col min="5" max="5" width="9.28515625" customWidth="1"/>
    <col min="6" max="7" width="7.7109375" customWidth="1"/>
    <col min="8" max="8" width="7.140625" customWidth="1"/>
    <col min="9" max="9" width="7.7109375" customWidth="1"/>
    <col min="10" max="11" width="8.140625" customWidth="1"/>
    <col min="12" max="12" width="7.7109375" customWidth="1"/>
    <col min="13" max="13" width="7.5703125" customWidth="1"/>
    <col min="14" max="14" width="8" customWidth="1"/>
    <col min="15" max="15" width="6.7109375" customWidth="1"/>
    <col min="16" max="16" width="7.7109375" customWidth="1"/>
    <col min="17" max="17" width="7" customWidth="1"/>
  </cols>
  <sheetData>
    <row r="1" spans="1:17" ht="15" customHeight="1" x14ac:dyDescent="0.25">
      <c r="A1" s="21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</row>
    <row r="2" spans="1:17" ht="15" customHeight="1" x14ac:dyDescent="0.25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1:17" ht="14.45" customHeight="1" x14ac:dyDescent="0.25">
      <c r="A3" s="27" t="s">
        <v>38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1:17" x14ac:dyDescent="0.25">
      <c r="A4" s="30" t="s">
        <v>0</v>
      </c>
      <c r="B4" s="30" t="s">
        <v>1</v>
      </c>
      <c r="C4" s="30"/>
      <c r="D4" s="30"/>
      <c r="E4" s="30" t="s">
        <v>2</v>
      </c>
      <c r="F4" s="31"/>
      <c r="G4" s="17" t="s">
        <v>3</v>
      </c>
      <c r="H4" s="17" t="s">
        <v>4</v>
      </c>
      <c r="I4" s="30" t="s">
        <v>5</v>
      </c>
      <c r="J4" s="30"/>
      <c r="K4" s="30"/>
      <c r="L4" s="30" t="s">
        <v>6</v>
      </c>
      <c r="M4" s="30"/>
      <c r="N4" s="30"/>
      <c r="O4" s="30"/>
      <c r="P4" s="17" t="s">
        <v>7</v>
      </c>
      <c r="Q4" s="17" t="s">
        <v>8</v>
      </c>
    </row>
    <row r="5" spans="1:17" ht="117" customHeight="1" x14ac:dyDescent="0.25">
      <c r="A5" s="30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8"/>
      <c r="H5" s="18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8"/>
      <c r="Q5" s="18"/>
    </row>
    <row r="6" spans="1:17" ht="16.5" customHeight="1" x14ac:dyDescent="0.25">
      <c r="A6" s="5" t="s">
        <v>19</v>
      </c>
      <c r="B6" s="1">
        <v>16957</v>
      </c>
      <c r="C6" s="1">
        <v>21541</v>
      </c>
      <c r="D6" s="1">
        <v>9206</v>
      </c>
      <c r="E6" s="1">
        <v>455180</v>
      </c>
      <c r="F6" s="1">
        <v>305.05399999999997</v>
      </c>
      <c r="G6" s="1">
        <v>460.09399999999999</v>
      </c>
      <c r="H6" s="10">
        <v>66.302538176981216</v>
      </c>
      <c r="I6" s="2">
        <v>2254</v>
      </c>
      <c r="J6" s="2">
        <v>11842</v>
      </c>
      <c r="K6" s="2">
        <v>14096</v>
      </c>
      <c r="L6" s="2">
        <v>25.792000000000002</v>
      </c>
      <c r="M6" s="2">
        <v>1.778</v>
      </c>
      <c r="N6" s="2">
        <v>10.512</v>
      </c>
      <c r="O6" s="2">
        <v>38.082000000000001</v>
      </c>
      <c r="P6" s="2">
        <v>60.353999999999999</v>
      </c>
      <c r="Q6" s="10">
        <v>63.097723431752662</v>
      </c>
    </row>
    <row r="7" spans="1:17" ht="16.5" customHeight="1" x14ac:dyDescent="0.25">
      <c r="A7" s="6" t="s">
        <v>31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</row>
    <row r="8" spans="1:17" ht="16.5" customHeight="1" x14ac:dyDescent="0.25">
      <c r="A8" s="7" t="s">
        <v>29</v>
      </c>
      <c r="B8" s="4" t="s">
        <v>30</v>
      </c>
      <c r="C8" s="4" t="s">
        <v>30</v>
      </c>
      <c r="D8" s="4" t="s">
        <v>30</v>
      </c>
      <c r="E8" s="4" t="s">
        <v>30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30</v>
      </c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</row>
    <row r="9" spans="1:17" ht="16.5" customHeight="1" x14ac:dyDescent="0.25">
      <c r="A9" s="5" t="s">
        <v>20</v>
      </c>
      <c r="B9" s="1">
        <v>16230</v>
      </c>
      <c r="C9" s="1">
        <v>22276</v>
      </c>
      <c r="D9" s="1">
        <v>9320</v>
      </c>
      <c r="E9" s="1">
        <v>503801</v>
      </c>
      <c r="F9" s="1">
        <v>365.733</v>
      </c>
      <c r="G9" s="1">
        <v>538.50900000000001</v>
      </c>
      <c r="H9" s="10">
        <v>67.915856559500398</v>
      </c>
      <c r="I9" s="2">
        <v>1427</v>
      </c>
      <c r="J9" s="2">
        <v>6040</v>
      </c>
      <c r="K9" s="2">
        <v>7467</v>
      </c>
      <c r="L9" s="2">
        <v>30.959</v>
      </c>
      <c r="M9" s="2">
        <v>1.373</v>
      </c>
      <c r="N9" s="2">
        <v>3.911</v>
      </c>
      <c r="O9" s="2">
        <v>36.243000000000002</v>
      </c>
      <c r="P9" s="2">
        <v>53.125999999999998</v>
      </c>
      <c r="Q9" s="10">
        <v>68.220833490193129</v>
      </c>
    </row>
    <row r="10" spans="1:17" ht="16.5" customHeight="1" x14ac:dyDescent="0.25">
      <c r="A10" s="6" t="s">
        <v>31</v>
      </c>
      <c r="B10" s="11">
        <f>(B9-B6)/B6</f>
        <v>-4.2873149731674234E-2</v>
      </c>
      <c r="C10" s="11">
        <f t="shared" ref="C10:H10" si="0">(C9-C6)/C6</f>
        <v>3.4120978598950837E-2</v>
      </c>
      <c r="D10" s="11">
        <f t="shared" si="0"/>
        <v>1.2383228329350423E-2</v>
      </c>
      <c r="E10" s="11">
        <f t="shared" si="0"/>
        <v>0.10681708335164111</v>
      </c>
      <c r="F10" s="11">
        <f t="shared" si="0"/>
        <v>0.198912323719735</v>
      </c>
      <c r="G10" s="11">
        <f t="shared" si="0"/>
        <v>0.17043256378044491</v>
      </c>
      <c r="H10" s="11">
        <f t="shared" si="0"/>
        <v>2.43326790629456E-2</v>
      </c>
      <c r="I10" s="3" t="s">
        <v>30</v>
      </c>
      <c r="J10" s="3" t="s">
        <v>30</v>
      </c>
      <c r="K10" s="3" t="s">
        <v>30</v>
      </c>
      <c r="L10" s="11">
        <f t="shared" ref="L10:Q10" si="1">(L9-L6)/L6</f>
        <v>0.20033343672456566</v>
      </c>
      <c r="M10" s="3" t="s">
        <v>30</v>
      </c>
      <c r="N10" s="3" t="s">
        <v>30</v>
      </c>
      <c r="O10" s="11">
        <f t="shared" si="1"/>
        <v>-4.8290530959508395E-2</v>
      </c>
      <c r="P10" s="11">
        <f t="shared" si="1"/>
        <v>-0.11976008218179411</v>
      </c>
      <c r="Q10" s="11">
        <f t="shared" si="1"/>
        <v>8.1193263081538763E-2</v>
      </c>
    </row>
    <row r="11" spans="1:17" ht="16.5" customHeight="1" x14ac:dyDescent="0.25">
      <c r="A11" s="7" t="s">
        <v>29</v>
      </c>
      <c r="B11" s="9">
        <f t="shared" ref="B11:H11" si="2">(((B9/B6)^(1/1))-1)</f>
        <v>-4.287314973167422E-2</v>
      </c>
      <c r="C11" s="9">
        <f t="shared" si="2"/>
        <v>3.4120978598950913E-2</v>
      </c>
      <c r="D11" s="9">
        <f t="shared" si="2"/>
        <v>1.2383228329350349E-2</v>
      </c>
      <c r="E11" s="9">
        <f t="shared" si="2"/>
        <v>0.10681708335164108</v>
      </c>
      <c r="F11" s="9">
        <f t="shared" si="2"/>
        <v>0.198912323719735</v>
      </c>
      <c r="G11" s="9">
        <f t="shared" si="2"/>
        <v>0.17043256378044491</v>
      </c>
      <c r="H11" s="9">
        <f t="shared" si="2"/>
        <v>2.4332679062945672E-2</v>
      </c>
      <c r="I11" s="14" t="s">
        <v>30</v>
      </c>
      <c r="J11" s="14" t="s">
        <v>30</v>
      </c>
      <c r="K11" s="14" t="s">
        <v>30</v>
      </c>
      <c r="L11" s="9">
        <f t="shared" ref="L11:Q11" si="3">(((L9/L6)^(1/1))-1)</f>
        <v>0.20033343672456572</v>
      </c>
      <c r="M11" s="14" t="s">
        <v>30</v>
      </c>
      <c r="N11" s="14" t="s">
        <v>30</v>
      </c>
      <c r="O11" s="9">
        <f t="shared" si="3"/>
        <v>-4.8290530959508415E-2</v>
      </c>
      <c r="P11" s="9">
        <f t="shared" si="3"/>
        <v>-0.11976008218179413</v>
      </c>
      <c r="Q11" s="9">
        <f t="shared" si="3"/>
        <v>8.1193263081538847E-2</v>
      </c>
    </row>
    <row r="12" spans="1:17" ht="16.5" customHeight="1" x14ac:dyDescent="0.25">
      <c r="A12" s="5" t="s">
        <v>21</v>
      </c>
      <c r="B12" s="1">
        <v>14359</v>
      </c>
      <c r="C12" s="1">
        <v>19951</v>
      </c>
      <c r="D12" s="1">
        <v>8511</v>
      </c>
      <c r="E12" s="1">
        <v>467257</v>
      </c>
      <c r="F12" s="1">
        <v>347.791</v>
      </c>
      <c r="G12" s="1">
        <v>518.10199999999998</v>
      </c>
      <c r="H12" s="10">
        <v>67.127901455697909</v>
      </c>
      <c r="I12" s="2">
        <v>457.34000000000003</v>
      </c>
      <c r="J12" s="2">
        <v>452</v>
      </c>
      <c r="K12" s="2">
        <v>909.34</v>
      </c>
      <c r="L12" s="2">
        <v>29.594999999999999</v>
      </c>
      <c r="M12" s="2">
        <v>0.28999999999999998</v>
      </c>
      <c r="N12" s="2">
        <v>0.34100000000000003</v>
      </c>
      <c r="O12" s="2">
        <v>30.225999999999999</v>
      </c>
      <c r="P12" s="2">
        <v>46.677999999999997</v>
      </c>
      <c r="Q12" s="10">
        <v>64.754273962037786</v>
      </c>
    </row>
    <row r="13" spans="1:17" ht="16.5" customHeight="1" x14ac:dyDescent="0.25">
      <c r="A13" s="6" t="s">
        <v>31</v>
      </c>
      <c r="B13" s="11">
        <f>(B12-B9)/B9</f>
        <v>-0.11528034504004929</v>
      </c>
      <c r="C13" s="11">
        <f t="shared" ref="C13:H13" si="4">(C12-C9)/C9</f>
        <v>-0.10437241874663315</v>
      </c>
      <c r="D13" s="11">
        <f t="shared" si="4"/>
        <v>-8.6802575107296137E-2</v>
      </c>
      <c r="E13" s="11">
        <f t="shared" si="4"/>
        <v>-7.2536576942086262E-2</v>
      </c>
      <c r="F13" s="11">
        <f t="shared" si="4"/>
        <v>-4.9057645878277344E-2</v>
      </c>
      <c r="G13" s="11">
        <f t="shared" si="4"/>
        <v>-3.789537407917052E-2</v>
      </c>
      <c r="H13" s="11">
        <f t="shared" si="4"/>
        <v>-1.1601931326775936E-2</v>
      </c>
      <c r="I13" s="3" t="s">
        <v>30</v>
      </c>
      <c r="J13" s="3" t="s">
        <v>30</v>
      </c>
      <c r="K13" s="3" t="s">
        <v>30</v>
      </c>
      <c r="L13" s="11">
        <f t="shared" ref="L13:Q13" si="5">(L12-L9)/L9</f>
        <v>-4.4058270615975996E-2</v>
      </c>
      <c r="M13" s="3" t="s">
        <v>30</v>
      </c>
      <c r="N13" s="3" t="s">
        <v>30</v>
      </c>
      <c r="O13" s="11">
        <f t="shared" si="5"/>
        <v>-0.16601826559611518</v>
      </c>
      <c r="P13" s="11">
        <f t="shared" si="5"/>
        <v>-0.12137183300079059</v>
      </c>
      <c r="Q13" s="11">
        <f t="shared" si="5"/>
        <v>-5.0813796179339669E-2</v>
      </c>
    </row>
    <row r="14" spans="1:17" ht="16.5" customHeight="1" x14ac:dyDescent="0.25">
      <c r="A14" s="7" t="s">
        <v>29</v>
      </c>
      <c r="B14" s="9">
        <f t="shared" ref="B14:H14" si="6">(((B12/B6)^(1/2))-1)</f>
        <v>-7.9788645624116583E-2</v>
      </c>
      <c r="C14" s="9">
        <f t="shared" si="6"/>
        <v>-3.7613762158901665E-2</v>
      </c>
      <c r="D14" s="9">
        <f t="shared" si="6"/>
        <v>-3.848777588897756E-2</v>
      </c>
      <c r="E14" s="9">
        <f t="shared" si="6"/>
        <v>1.3179333002943494E-2</v>
      </c>
      <c r="F14" s="9">
        <f t="shared" si="6"/>
        <v>6.7753018025980438E-2</v>
      </c>
      <c r="G14" s="9">
        <f t="shared" si="6"/>
        <v>6.1168499316457403E-2</v>
      </c>
      <c r="H14" s="9">
        <f t="shared" si="6"/>
        <v>6.2049700059549906E-3</v>
      </c>
      <c r="I14" s="14" t="s">
        <v>30</v>
      </c>
      <c r="J14" s="14" t="s">
        <v>30</v>
      </c>
      <c r="K14" s="14" t="s">
        <v>30</v>
      </c>
      <c r="L14" s="9">
        <f t="shared" ref="L14:Q14" si="7">(((L12/L6)^(1/2))-1)</f>
        <v>7.1190375862269617E-2</v>
      </c>
      <c r="M14" s="14" t="s">
        <v>30</v>
      </c>
      <c r="N14" s="14" t="s">
        <v>30</v>
      </c>
      <c r="O14" s="9">
        <f t="shared" si="7"/>
        <v>-0.10909691119685216</v>
      </c>
      <c r="P14" s="9">
        <f t="shared" si="7"/>
        <v>-0.12056632682609603</v>
      </c>
      <c r="Q14" s="9">
        <f t="shared" si="7"/>
        <v>1.3041819956529865E-2</v>
      </c>
    </row>
    <row r="15" spans="1:17" ht="16.5" customHeight="1" x14ac:dyDescent="0.25">
      <c r="A15" s="5" t="s">
        <v>22</v>
      </c>
      <c r="B15" s="1">
        <v>10171</v>
      </c>
      <c r="C15" s="1">
        <v>16645</v>
      </c>
      <c r="D15" s="1">
        <v>9393</v>
      </c>
      <c r="E15" s="1">
        <v>392947</v>
      </c>
      <c r="F15" s="1">
        <v>286.26499999999999</v>
      </c>
      <c r="G15" s="1">
        <v>404.65499999999997</v>
      </c>
      <c r="H15" s="10">
        <v>70.742978586697319</v>
      </c>
      <c r="I15" s="2">
        <v>243</v>
      </c>
      <c r="J15" s="2">
        <v>102</v>
      </c>
      <c r="K15" s="2">
        <v>345</v>
      </c>
      <c r="L15" s="2">
        <v>26.34</v>
      </c>
      <c r="M15" s="2">
        <v>0.193</v>
      </c>
      <c r="N15" s="2">
        <v>7.4999999999999997E-2</v>
      </c>
      <c r="O15" s="2">
        <v>26.608000000000001</v>
      </c>
      <c r="P15" s="2">
        <v>43.325000000000003</v>
      </c>
      <c r="Q15" s="10">
        <v>61.414887478361223</v>
      </c>
    </row>
    <row r="16" spans="1:17" ht="16.5" customHeight="1" x14ac:dyDescent="0.25">
      <c r="A16" s="6" t="s">
        <v>31</v>
      </c>
      <c r="B16" s="11">
        <f>(B15-B12)/B12</f>
        <v>-0.29166376488613416</v>
      </c>
      <c r="C16" s="11">
        <f t="shared" ref="C16:H16" si="8">(C15-C12)/C12</f>
        <v>-0.16570597965014286</v>
      </c>
      <c r="D16" s="11">
        <f t="shared" si="8"/>
        <v>0.10363059569968276</v>
      </c>
      <c r="E16" s="11">
        <f t="shared" si="8"/>
        <v>-0.15903453559818259</v>
      </c>
      <c r="F16" s="11">
        <f t="shared" si="8"/>
        <v>-0.17690509530148857</v>
      </c>
      <c r="G16" s="11">
        <f t="shared" si="8"/>
        <v>-0.21896653554705445</v>
      </c>
      <c r="H16" s="11">
        <f t="shared" si="8"/>
        <v>5.3853569865955596E-2</v>
      </c>
      <c r="I16" s="3" t="s">
        <v>30</v>
      </c>
      <c r="J16" s="3" t="s">
        <v>30</v>
      </c>
      <c r="K16" s="3" t="s">
        <v>30</v>
      </c>
      <c r="L16" s="11">
        <f t="shared" ref="L16:Q16" si="9">(L15-L12)/L12</f>
        <v>-0.10998479472883931</v>
      </c>
      <c r="M16" s="3" t="s">
        <v>30</v>
      </c>
      <c r="N16" s="3" t="s">
        <v>30</v>
      </c>
      <c r="O16" s="11">
        <f t="shared" si="9"/>
        <v>-0.11969827300999135</v>
      </c>
      <c r="P16" s="11">
        <f t="shared" si="9"/>
        <v>-7.1832554950940375E-2</v>
      </c>
      <c r="Q16" s="11">
        <f t="shared" si="9"/>
        <v>-5.1570132430706885E-2</v>
      </c>
    </row>
    <row r="17" spans="1:17" ht="16.5" customHeight="1" x14ac:dyDescent="0.25">
      <c r="A17" s="7" t="s">
        <v>29</v>
      </c>
      <c r="B17" s="9">
        <f t="shared" ref="B17:H17" si="10">(((B15/B6)^(1/3))-1)</f>
        <v>-0.15665576974444262</v>
      </c>
      <c r="C17" s="9">
        <f t="shared" si="10"/>
        <v>-8.2359344947029789E-2</v>
      </c>
      <c r="D17" s="9">
        <f t="shared" si="10"/>
        <v>6.725611229346784E-3</v>
      </c>
      <c r="E17" s="9">
        <f t="shared" si="10"/>
        <v>-4.7824647608640691E-2</v>
      </c>
      <c r="F17" s="9">
        <f t="shared" si="10"/>
        <v>-2.0967348343294945E-2</v>
      </c>
      <c r="G17" s="9">
        <f t="shared" si="10"/>
        <v>-4.1895719593867509E-2</v>
      </c>
      <c r="H17" s="9">
        <f t="shared" si="10"/>
        <v>2.1843521293633428E-2</v>
      </c>
      <c r="I17" s="14" t="s">
        <v>30</v>
      </c>
      <c r="J17" s="14" t="s">
        <v>30</v>
      </c>
      <c r="K17" s="14" t="s">
        <v>30</v>
      </c>
      <c r="L17" s="9">
        <f t="shared" ref="L17:Q17" si="11">(((L15/L6)^(1/3))-1)</f>
        <v>7.0327242660761513E-3</v>
      </c>
      <c r="M17" s="14" t="s">
        <v>30</v>
      </c>
      <c r="N17" s="14" t="s">
        <v>30</v>
      </c>
      <c r="O17" s="9">
        <f t="shared" si="11"/>
        <v>-0.11264480872025984</v>
      </c>
      <c r="P17" s="9">
        <f t="shared" si="11"/>
        <v>-0.10461289075798419</v>
      </c>
      <c r="Q17" s="9">
        <f t="shared" si="11"/>
        <v>-8.9703301280213976E-3</v>
      </c>
    </row>
    <row r="18" spans="1:17" ht="16.5" customHeight="1" x14ac:dyDescent="0.25">
      <c r="A18" s="5" t="s">
        <v>23</v>
      </c>
      <c r="B18" s="1">
        <v>9097</v>
      </c>
      <c r="C18" s="1">
        <v>14119</v>
      </c>
      <c r="D18" s="1">
        <v>6446</v>
      </c>
      <c r="E18" s="1">
        <v>363801</v>
      </c>
      <c r="F18" s="1">
        <v>249.57599999999999</v>
      </c>
      <c r="G18" s="1">
        <v>340.892</v>
      </c>
      <c r="H18" s="10">
        <v>73.21263039320371</v>
      </c>
      <c r="I18" s="2">
        <v>161</v>
      </c>
      <c r="J18" s="2">
        <v>52</v>
      </c>
      <c r="K18" s="2">
        <v>213</v>
      </c>
      <c r="L18" s="2">
        <v>22.593</v>
      </c>
      <c r="M18" s="2">
        <v>0.104</v>
      </c>
      <c r="N18" s="2">
        <v>0.03</v>
      </c>
      <c r="O18" s="2">
        <v>22.727</v>
      </c>
      <c r="P18" s="2">
        <v>36.814999999999998</v>
      </c>
      <c r="Q18" s="10">
        <v>61.73298927067772</v>
      </c>
    </row>
    <row r="19" spans="1:17" ht="16.5" customHeight="1" x14ac:dyDescent="0.25">
      <c r="A19" s="6" t="s">
        <v>31</v>
      </c>
      <c r="B19" s="11">
        <f>(B18-B15)/B15</f>
        <v>-0.1055943368400354</v>
      </c>
      <c r="C19" s="11">
        <f t="shared" ref="C19:H19" si="12">(C18-C15)/C15</f>
        <v>-0.15175728446981077</v>
      </c>
      <c r="D19" s="11">
        <f t="shared" si="12"/>
        <v>-0.31374427765357182</v>
      </c>
      <c r="E19" s="11">
        <f t="shared" si="12"/>
        <v>-7.4172852827480554E-2</v>
      </c>
      <c r="F19" s="11">
        <f t="shared" si="12"/>
        <v>-0.12816446299757217</v>
      </c>
      <c r="G19" s="11">
        <f t="shared" si="12"/>
        <v>-0.15757373565135729</v>
      </c>
      <c r="H19" s="11">
        <f t="shared" si="12"/>
        <v>3.4910203893659501E-2</v>
      </c>
      <c r="I19" s="11" t="s">
        <v>30</v>
      </c>
      <c r="J19" s="11" t="s">
        <v>30</v>
      </c>
      <c r="K19" s="11" t="s">
        <v>30</v>
      </c>
      <c r="L19" s="11">
        <f t="shared" ref="L19:Q19" si="13">(L18-L15)/L15</f>
        <v>-0.14225512528473805</v>
      </c>
      <c r="M19" s="3" t="s">
        <v>30</v>
      </c>
      <c r="N19" s="3" t="s">
        <v>30</v>
      </c>
      <c r="O19" s="11">
        <f t="shared" si="13"/>
        <v>-0.14585838845460011</v>
      </c>
      <c r="P19" s="11">
        <f t="shared" si="13"/>
        <v>-0.150259665320254</v>
      </c>
      <c r="Q19" s="11">
        <f t="shared" si="13"/>
        <v>5.1795550782141623E-3</v>
      </c>
    </row>
    <row r="20" spans="1:17" ht="16.5" customHeight="1" x14ac:dyDescent="0.25">
      <c r="A20" s="7" t="s">
        <v>29</v>
      </c>
      <c r="B20" s="9">
        <f t="shared" ref="B20:H20" si="14">(((B18/B6)^(1/4))-1)</f>
        <v>-0.14417041856650403</v>
      </c>
      <c r="C20" s="9">
        <f t="shared" si="14"/>
        <v>-0.100223762859459</v>
      </c>
      <c r="D20" s="9">
        <f t="shared" si="14"/>
        <v>-8.5244914357890056E-2</v>
      </c>
      <c r="E20" s="9">
        <f t="shared" si="14"/>
        <v>-5.4481176500315587E-2</v>
      </c>
      <c r="F20" s="9">
        <f t="shared" si="14"/>
        <v>-4.8943049167944452E-2</v>
      </c>
      <c r="G20" s="9">
        <f t="shared" si="14"/>
        <v>-7.2225226121323316E-2</v>
      </c>
      <c r="H20" s="9">
        <f t="shared" si="14"/>
        <v>2.5094643235496594E-2</v>
      </c>
      <c r="I20" s="9" t="s">
        <v>30</v>
      </c>
      <c r="J20" s="9" t="s">
        <v>30</v>
      </c>
      <c r="K20" s="9" t="s">
        <v>30</v>
      </c>
      <c r="L20" s="9">
        <f t="shared" ref="L20:Q20" si="15">(((L18/L6)^(1/4))-1)</f>
        <v>-3.25640527225739E-2</v>
      </c>
      <c r="M20" s="14" t="s">
        <v>30</v>
      </c>
      <c r="N20" s="14" t="s">
        <v>30</v>
      </c>
      <c r="O20" s="9">
        <f t="shared" si="15"/>
        <v>-0.12106736384073469</v>
      </c>
      <c r="P20" s="9">
        <f t="shared" si="15"/>
        <v>-0.11624947140116371</v>
      </c>
      <c r="Q20" s="9">
        <f t="shared" si="15"/>
        <v>-5.4516430640326741E-3</v>
      </c>
    </row>
    <row r="21" spans="1:17" ht="16.5" customHeight="1" x14ac:dyDescent="0.25">
      <c r="A21" s="5" t="s">
        <v>24</v>
      </c>
      <c r="B21" s="1">
        <v>9059</v>
      </c>
      <c r="C21" s="1">
        <v>13164</v>
      </c>
      <c r="D21" s="1">
        <v>5519</v>
      </c>
      <c r="E21" s="1">
        <v>310492</v>
      </c>
      <c r="F21" s="1">
        <v>197.91499999999999</v>
      </c>
      <c r="G21" s="1">
        <v>289.61399999999998</v>
      </c>
      <c r="H21" s="10">
        <v>68.337511308155001</v>
      </c>
      <c r="I21" s="2">
        <v>168</v>
      </c>
      <c r="J21" s="2">
        <v>52</v>
      </c>
      <c r="K21" s="2">
        <v>220</v>
      </c>
      <c r="L21" s="2">
        <v>17.876000000000001</v>
      </c>
      <c r="M21" s="2">
        <v>0.108</v>
      </c>
      <c r="N21" s="2">
        <v>2.8000000000000001E-2</v>
      </c>
      <c r="O21" s="2">
        <v>18.012</v>
      </c>
      <c r="P21" s="2">
        <v>30.779</v>
      </c>
      <c r="Q21" s="10">
        <v>58.520419766724061</v>
      </c>
    </row>
    <row r="22" spans="1:17" ht="16.5" customHeight="1" x14ac:dyDescent="0.25">
      <c r="A22" s="6" t="s">
        <v>31</v>
      </c>
      <c r="B22" s="11">
        <f>(B21-B18)/B18</f>
        <v>-4.1772012751456521E-3</v>
      </c>
      <c r="C22" s="11">
        <f t="shared" ref="C22:H22" si="16">(C21-C18)/C18</f>
        <v>-6.7639351228840572E-2</v>
      </c>
      <c r="D22" s="11">
        <f t="shared" si="16"/>
        <v>-0.1438101147998759</v>
      </c>
      <c r="E22" s="11">
        <f t="shared" si="16"/>
        <v>-0.14653340699998077</v>
      </c>
      <c r="F22" s="11">
        <f t="shared" si="16"/>
        <v>-0.20699506362791295</v>
      </c>
      <c r="G22" s="11">
        <f t="shared" si="16"/>
        <v>-0.15042300787346144</v>
      </c>
      <c r="H22" s="11">
        <f t="shared" si="16"/>
        <v>-6.6588497898052088E-2</v>
      </c>
      <c r="I22" s="3" t="s">
        <v>30</v>
      </c>
      <c r="J22" s="3" t="s">
        <v>30</v>
      </c>
      <c r="K22" s="3" t="s">
        <v>30</v>
      </c>
      <c r="L22" s="11">
        <f t="shared" ref="L22:Q22" si="17">(L21-L18)/L18</f>
        <v>-0.20878148098968702</v>
      </c>
      <c r="M22" s="3" t="s">
        <v>30</v>
      </c>
      <c r="N22" s="3" t="s">
        <v>30</v>
      </c>
      <c r="O22" s="11">
        <f t="shared" si="17"/>
        <v>-0.20746248954987459</v>
      </c>
      <c r="P22" s="11">
        <f t="shared" si="17"/>
        <v>-0.16395490968355286</v>
      </c>
      <c r="Q22" s="11">
        <f t="shared" si="17"/>
        <v>-5.2039752843777869E-2</v>
      </c>
    </row>
    <row r="23" spans="1:17" ht="16.5" customHeight="1" x14ac:dyDescent="0.25">
      <c r="A23" s="7" t="s">
        <v>29</v>
      </c>
      <c r="B23" s="9">
        <f t="shared" ref="B23:H23" si="18">(((B21/B6)^(1/5))-1)</f>
        <v>-0.11784226213397331</v>
      </c>
      <c r="C23" s="9">
        <f t="shared" si="18"/>
        <v>-9.3799280672540064E-2</v>
      </c>
      <c r="D23" s="9">
        <f t="shared" si="18"/>
        <v>-9.7269980672298084E-2</v>
      </c>
      <c r="E23" s="9">
        <f t="shared" si="18"/>
        <v>-7.3653534766794482E-2</v>
      </c>
      <c r="F23" s="9">
        <f t="shared" si="18"/>
        <v>-8.289217846784025E-2</v>
      </c>
      <c r="G23" s="9">
        <f t="shared" si="18"/>
        <v>-8.8420402563937239E-2</v>
      </c>
      <c r="H23" s="9">
        <f t="shared" si="18"/>
        <v>6.064444741463948E-3</v>
      </c>
      <c r="I23" s="14" t="s">
        <v>30</v>
      </c>
      <c r="J23" s="14" t="s">
        <v>30</v>
      </c>
      <c r="K23" s="14" t="s">
        <v>30</v>
      </c>
      <c r="L23" s="9">
        <f t="shared" ref="L23:Q23" si="19">(((L21/L6)^(1/5))-1)</f>
        <v>-7.0697586262559065E-2</v>
      </c>
      <c r="M23" s="14" t="s">
        <v>30</v>
      </c>
      <c r="N23" s="14" t="s">
        <v>30</v>
      </c>
      <c r="O23" s="9">
        <f t="shared" si="19"/>
        <v>-0.13906881772715862</v>
      </c>
      <c r="P23" s="9">
        <f t="shared" si="19"/>
        <v>-0.12600350814038153</v>
      </c>
      <c r="Q23" s="9">
        <f t="shared" si="19"/>
        <v>-1.4948926807449636E-2</v>
      </c>
    </row>
    <row r="24" spans="1:17" ht="16.5" customHeight="1" x14ac:dyDescent="0.25">
      <c r="A24" s="5" t="s">
        <v>25</v>
      </c>
      <c r="B24" s="1">
        <v>10796</v>
      </c>
      <c r="C24" s="1">
        <v>16133</v>
      </c>
      <c r="D24" s="1">
        <v>7318</v>
      </c>
      <c r="E24" s="1">
        <v>400340</v>
      </c>
      <c r="F24" s="1">
        <v>227.98400000000001</v>
      </c>
      <c r="G24" s="1">
        <v>342.601</v>
      </c>
      <c r="H24" s="10">
        <v>66.545048029632142</v>
      </c>
      <c r="I24" s="2">
        <v>127</v>
      </c>
      <c r="J24" s="2">
        <v>45</v>
      </c>
      <c r="K24" s="2">
        <v>172</v>
      </c>
      <c r="L24" s="2">
        <v>20.065000000000001</v>
      </c>
      <c r="M24" s="2">
        <v>7.2999999999999995E-2</v>
      </c>
      <c r="N24" s="2">
        <v>2.4E-2</v>
      </c>
      <c r="O24" s="2">
        <v>20.161999999999999</v>
      </c>
      <c r="P24" s="2">
        <v>32.779000000000003</v>
      </c>
      <c r="Q24" s="10">
        <v>61.50889288873973</v>
      </c>
    </row>
    <row r="25" spans="1:17" ht="16.5" customHeight="1" x14ac:dyDescent="0.25">
      <c r="A25" s="6" t="s">
        <v>31</v>
      </c>
      <c r="B25" s="11">
        <f>(B24-B21)/B21</f>
        <v>0.19174301799315599</v>
      </c>
      <c r="C25" s="11">
        <f t="shared" ref="C25:H25" si="20">(C24-C21)/C21</f>
        <v>0.22553934974171985</v>
      </c>
      <c r="D25" s="11">
        <f t="shared" si="20"/>
        <v>0.32596484870447545</v>
      </c>
      <c r="E25" s="11">
        <f t="shared" si="20"/>
        <v>0.28937299511742653</v>
      </c>
      <c r="F25" s="11">
        <f t="shared" si="20"/>
        <v>0.15192885834828093</v>
      </c>
      <c r="G25" s="11">
        <f t="shared" si="20"/>
        <v>0.18295731559938411</v>
      </c>
      <c r="H25" s="11">
        <f t="shared" si="20"/>
        <v>-2.622956622520372E-2</v>
      </c>
      <c r="I25" s="3" t="s">
        <v>30</v>
      </c>
      <c r="J25" s="3" t="s">
        <v>30</v>
      </c>
      <c r="K25" s="3" t="s">
        <v>30</v>
      </c>
      <c r="L25" s="11">
        <f t="shared" ref="L25:Q25" si="21">(L24-L21)/L21</f>
        <v>0.12245468784963079</v>
      </c>
      <c r="M25" s="3" t="s">
        <v>30</v>
      </c>
      <c r="N25" s="3" t="s">
        <v>30</v>
      </c>
      <c r="O25" s="11">
        <f t="shared" si="21"/>
        <v>0.11936486786586711</v>
      </c>
      <c r="P25" s="11">
        <f t="shared" si="21"/>
        <v>6.4979369050326641E-2</v>
      </c>
      <c r="Q25" s="11">
        <f t="shared" si="21"/>
        <v>5.1067185333400121E-2</v>
      </c>
    </row>
    <row r="26" spans="1:17" ht="16.5" customHeight="1" x14ac:dyDescent="0.25">
      <c r="A26" s="7" t="s">
        <v>29</v>
      </c>
      <c r="B26" s="9">
        <f t="shared" ref="B26:H26" si="22">(((B24/B6)^(1/6))-1)</f>
        <v>-7.2489198545091504E-2</v>
      </c>
      <c r="C26" s="9">
        <f t="shared" si="22"/>
        <v>-4.7039545543221317E-2</v>
      </c>
      <c r="D26" s="9">
        <f t="shared" si="22"/>
        <v>-3.7530655437882476E-2</v>
      </c>
      <c r="E26" s="9">
        <f t="shared" si="22"/>
        <v>-2.1169179479865741E-2</v>
      </c>
      <c r="F26" s="9">
        <f t="shared" si="22"/>
        <v>-4.7376536438057837E-2</v>
      </c>
      <c r="G26" s="9">
        <f t="shared" si="22"/>
        <v>-4.7956023969766615E-2</v>
      </c>
      <c r="H26" s="9">
        <f t="shared" si="22"/>
        <v>6.0867727363289603E-4</v>
      </c>
      <c r="I26" s="14" t="s">
        <v>30</v>
      </c>
      <c r="J26" s="14" t="s">
        <v>30</v>
      </c>
      <c r="K26" s="14" t="s">
        <v>30</v>
      </c>
      <c r="L26" s="9">
        <f t="shared" ref="L26:Q26" si="23">(((L24/L6)^(1/6))-1)</f>
        <v>-4.0984358264873677E-2</v>
      </c>
      <c r="M26" s="14" t="s">
        <v>30</v>
      </c>
      <c r="N26" s="14" t="s">
        <v>30</v>
      </c>
      <c r="O26" s="9">
        <f t="shared" si="23"/>
        <v>-0.10056667017386345</v>
      </c>
      <c r="P26" s="9">
        <f t="shared" si="23"/>
        <v>-9.6735503505482656E-2</v>
      </c>
      <c r="Q26" s="9">
        <f t="shared" si="23"/>
        <v>-4.2414671264608961E-3</v>
      </c>
    </row>
    <row r="27" spans="1:17" ht="16.5" customHeight="1" x14ac:dyDescent="0.25">
      <c r="A27" s="5" t="s">
        <v>26</v>
      </c>
      <c r="B27" s="1">
        <v>12686</v>
      </c>
      <c r="C27" s="1">
        <v>22938</v>
      </c>
      <c r="D27" s="1">
        <v>9324</v>
      </c>
      <c r="E27" s="1">
        <v>625411</v>
      </c>
      <c r="F27" s="1">
        <v>323.77</v>
      </c>
      <c r="G27" s="1">
        <v>470.59300000000002</v>
      </c>
      <c r="H27" s="10">
        <v>68.800428395662479</v>
      </c>
      <c r="I27" s="2">
        <v>64</v>
      </c>
      <c r="J27" s="2">
        <v>33</v>
      </c>
      <c r="K27" s="2">
        <v>97</v>
      </c>
      <c r="L27" s="2">
        <v>29.280999999999999</v>
      </c>
      <c r="M27" s="2">
        <v>5.6000000000000001E-2</v>
      </c>
      <c r="N27" s="2">
        <v>2.4E-2</v>
      </c>
      <c r="O27" s="2">
        <v>29.361000000000001</v>
      </c>
      <c r="P27" s="2">
        <v>45.115000000000002</v>
      </c>
      <c r="Q27" s="10">
        <v>65.080350216114368</v>
      </c>
    </row>
    <row r="28" spans="1:17" ht="16.5" customHeight="1" x14ac:dyDescent="0.25">
      <c r="A28" s="6" t="s">
        <v>31</v>
      </c>
      <c r="B28" s="11">
        <f>(B27-B24)/B24</f>
        <v>0.17506483882919599</v>
      </c>
      <c r="C28" s="11">
        <f t="shared" ref="C28:H28" si="24">(C27-C24)/C24</f>
        <v>0.42180623566602615</v>
      </c>
      <c r="D28" s="11">
        <f t="shared" si="24"/>
        <v>0.27411861164252527</v>
      </c>
      <c r="E28" s="11">
        <f t="shared" si="24"/>
        <v>0.56219963031423292</v>
      </c>
      <c r="F28" s="11">
        <f t="shared" si="24"/>
        <v>0.42014351884342749</v>
      </c>
      <c r="G28" s="11">
        <f t="shared" si="24"/>
        <v>0.3735891021917625</v>
      </c>
      <c r="H28" s="11">
        <f t="shared" si="24"/>
        <v>3.389253494904728E-2</v>
      </c>
      <c r="I28" s="3" t="s">
        <v>30</v>
      </c>
      <c r="J28" s="3" t="s">
        <v>30</v>
      </c>
      <c r="K28" s="3" t="s">
        <v>30</v>
      </c>
      <c r="L28" s="11">
        <f t="shared" ref="L28:Q28" si="25">(L27-L24)/L24</f>
        <v>0.45930725143284312</v>
      </c>
      <c r="M28" s="11">
        <f t="shared" si="25"/>
        <v>-0.23287671232876705</v>
      </c>
      <c r="N28" s="11">
        <f t="shared" si="25"/>
        <v>0</v>
      </c>
      <c r="O28" s="11">
        <f t="shared" si="25"/>
        <v>0.45625433984723746</v>
      </c>
      <c r="P28" s="11">
        <f t="shared" si="25"/>
        <v>0.37633850941151337</v>
      </c>
      <c r="Q28" s="11">
        <f t="shared" si="25"/>
        <v>5.8064080812425992E-2</v>
      </c>
    </row>
    <row r="29" spans="1:17" ht="16.5" customHeight="1" x14ac:dyDescent="0.25">
      <c r="A29" s="7" t="s">
        <v>29</v>
      </c>
      <c r="B29" s="9">
        <f t="shared" ref="B29:H29" si="26">(((B27/B6)^(1/7))-1)</f>
        <v>-4.0607041327920479E-2</v>
      </c>
      <c r="C29" s="9">
        <f t="shared" si="26"/>
        <v>9.0171010280579722E-3</v>
      </c>
      <c r="D29" s="9">
        <f t="shared" si="26"/>
        <v>1.8211242045327314E-3</v>
      </c>
      <c r="E29" s="9">
        <f t="shared" si="26"/>
        <v>4.6433810694544331E-2</v>
      </c>
      <c r="F29" s="9">
        <f t="shared" si="26"/>
        <v>8.542650102622229E-3</v>
      </c>
      <c r="G29" s="9">
        <f t="shared" si="26"/>
        <v>3.2284552895693874E-3</v>
      </c>
      <c r="H29" s="9">
        <f t="shared" si="26"/>
        <v>5.297093383898277E-3</v>
      </c>
      <c r="I29" s="14" t="s">
        <v>30</v>
      </c>
      <c r="J29" s="14" t="s">
        <v>30</v>
      </c>
      <c r="K29" s="14" t="s">
        <v>30</v>
      </c>
      <c r="L29" s="9">
        <f t="shared" ref="L29:Q29" si="27">(((L27/L6)^(1/7))-1)</f>
        <v>1.8290178372613486E-2</v>
      </c>
      <c r="M29" s="14" t="s">
        <v>30</v>
      </c>
      <c r="N29" s="14" t="s">
        <v>30</v>
      </c>
      <c r="O29" s="9">
        <f t="shared" si="27"/>
        <v>-3.6471772965766869E-2</v>
      </c>
      <c r="P29" s="9">
        <f t="shared" si="27"/>
        <v>-4.072089193224715E-2</v>
      </c>
      <c r="Q29" s="9">
        <f t="shared" si="27"/>
        <v>4.4294918243754644E-3</v>
      </c>
    </row>
    <row r="30" spans="1:17" ht="16.5" customHeight="1" x14ac:dyDescent="0.25">
      <c r="A30" s="5" t="s">
        <v>27</v>
      </c>
      <c r="B30" s="1">
        <v>20828</v>
      </c>
      <c r="C30" s="1">
        <v>38202</v>
      </c>
      <c r="D30" s="1">
        <v>17564</v>
      </c>
      <c r="E30" s="1">
        <v>1281251</v>
      </c>
      <c r="F30" s="1">
        <v>570.33299999999997</v>
      </c>
      <c r="G30" s="1">
        <v>729.71299999999997</v>
      </c>
      <c r="H30" s="10">
        <v>78.158536301258167</v>
      </c>
      <c r="I30" s="2">
        <v>76</v>
      </c>
      <c r="J30" s="2">
        <v>38</v>
      </c>
      <c r="K30" s="2">
        <v>114</v>
      </c>
      <c r="L30" s="2">
        <v>51.292999999999999</v>
      </c>
      <c r="M30" s="2">
        <v>5.1999999999999998E-2</v>
      </c>
      <c r="N30" s="2">
        <v>2.4E-2</v>
      </c>
      <c r="O30" s="2">
        <v>51.369</v>
      </c>
      <c r="P30" s="2">
        <v>67.221999999999994</v>
      </c>
      <c r="Q30" s="10">
        <v>76.41694683288209</v>
      </c>
    </row>
    <row r="31" spans="1:17" ht="16.5" customHeight="1" x14ac:dyDescent="0.25">
      <c r="A31" s="6" t="s">
        <v>31</v>
      </c>
      <c r="B31" s="11">
        <f>(B30-B27)/B27</f>
        <v>0.64180986914709126</v>
      </c>
      <c r="C31" s="11">
        <f t="shared" ref="C31:Q31" si="28">(C30-C27)/C27</f>
        <v>0.66544598482866857</v>
      </c>
      <c r="D31" s="11">
        <f t="shared" si="28"/>
        <v>0.88374088374088378</v>
      </c>
      <c r="E31" s="11">
        <f t="shared" si="28"/>
        <v>1.0486544048633619</v>
      </c>
      <c r="F31" s="11">
        <f t="shared" si="28"/>
        <v>0.7615375111962196</v>
      </c>
      <c r="G31" s="11">
        <f t="shared" si="28"/>
        <v>0.55062442492769748</v>
      </c>
      <c r="H31" s="11">
        <f t="shared" si="28"/>
        <v>0.13601816331401897</v>
      </c>
      <c r="I31" s="11">
        <f t="shared" si="28"/>
        <v>0.1875</v>
      </c>
      <c r="J31" s="11">
        <f t="shared" si="28"/>
        <v>0.15151515151515152</v>
      </c>
      <c r="K31" s="11">
        <f t="shared" si="28"/>
        <v>0.17525773195876287</v>
      </c>
      <c r="L31" s="11">
        <f t="shared" si="28"/>
        <v>0.75175028175267244</v>
      </c>
      <c r="M31" s="11">
        <f t="shared" si="28"/>
        <v>-7.1428571428571494E-2</v>
      </c>
      <c r="N31" s="11">
        <f t="shared" si="28"/>
        <v>0</v>
      </c>
      <c r="O31" s="11">
        <f t="shared" si="28"/>
        <v>0.74956575048533769</v>
      </c>
      <c r="P31" s="11">
        <f t="shared" si="28"/>
        <v>0.49001440762495824</v>
      </c>
      <c r="Q31" s="11">
        <f t="shared" si="28"/>
        <v>0.17419384774547045</v>
      </c>
    </row>
    <row r="32" spans="1:17" ht="16.5" customHeight="1" x14ac:dyDescent="0.25">
      <c r="A32" s="7" t="s">
        <v>29</v>
      </c>
      <c r="B32" s="9">
        <f>(((B30/B6)^(1/8))-1)</f>
        <v>2.6035337765430322E-2</v>
      </c>
      <c r="C32" s="9">
        <f t="shared" ref="C32:H32" si="29">(((C30/C6)^(1/8))-1)</f>
        <v>7.4242993895034637E-2</v>
      </c>
      <c r="D32" s="9">
        <f t="shared" si="29"/>
        <v>8.4099283115200762E-2</v>
      </c>
      <c r="E32" s="9">
        <f t="shared" si="29"/>
        <v>0.13810250891758313</v>
      </c>
      <c r="F32" s="9">
        <f t="shared" si="29"/>
        <v>8.1356691733707853E-2</v>
      </c>
      <c r="G32" s="9">
        <f t="shared" si="29"/>
        <v>5.9346873573449477E-2</v>
      </c>
      <c r="H32" s="9">
        <f t="shared" si="29"/>
        <v>2.0776781155745105E-2</v>
      </c>
      <c r="I32" s="14" t="s">
        <v>30</v>
      </c>
      <c r="J32" s="14" t="s">
        <v>30</v>
      </c>
      <c r="K32" s="14" t="s">
        <v>30</v>
      </c>
      <c r="L32" s="9">
        <f t="shared" ref="L32:Q32" si="30">(((L30/L6)^(1/8))-1)</f>
        <v>8.9736845054583458E-2</v>
      </c>
      <c r="M32" s="14" t="s">
        <v>30</v>
      </c>
      <c r="N32" s="14" t="s">
        <v>30</v>
      </c>
      <c r="O32" s="9">
        <f t="shared" si="30"/>
        <v>3.8120268371882648E-2</v>
      </c>
      <c r="P32" s="9">
        <f t="shared" si="30"/>
        <v>1.3562820481434645E-2</v>
      </c>
      <c r="Q32" s="9">
        <f t="shared" si="30"/>
        <v>2.4228836530115982E-2</v>
      </c>
    </row>
    <row r="33" spans="1:17" ht="16.5" customHeight="1" x14ac:dyDescent="0.25">
      <c r="A33" s="5" t="s">
        <v>32</v>
      </c>
      <c r="B33" s="1">
        <v>28983</v>
      </c>
      <c r="C33" s="1">
        <v>51698</v>
      </c>
      <c r="D33" s="1">
        <v>23821</v>
      </c>
      <c r="E33" s="1">
        <v>1597382</v>
      </c>
      <c r="F33" s="1">
        <v>679.84728900000005</v>
      </c>
      <c r="G33" s="1">
        <v>984.52216399999998</v>
      </c>
      <c r="H33" s="10">
        <v>69.053528082888349</v>
      </c>
      <c r="I33" s="2">
        <v>83.3</v>
      </c>
      <c r="J33" s="2">
        <v>15</v>
      </c>
      <c r="K33" s="2">
        <v>98.3</v>
      </c>
      <c r="L33" s="2">
        <v>61.920999999999999</v>
      </c>
      <c r="M33" s="2">
        <v>5.1799999999999999E-2</v>
      </c>
      <c r="N33" s="2">
        <v>8.9999999999999993E-3</v>
      </c>
      <c r="O33" s="2">
        <v>61.9818</v>
      </c>
      <c r="P33" s="2">
        <v>91.338999999999999</v>
      </c>
      <c r="Q33" s="10">
        <v>67.859074436987484</v>
      </c>
    </row>
    <row r="34" spans="1:17" ht="16.5" customHeight="1" x14ac:dyDescent="0.25">
      <c r="A34" s="6" t="s">
        <v>31</v>
      </c>
      <c r="B34" s="11">
        <f>(B33-B30)/B30</f>
        <v>0.3915402342999808</v>
      </c>
      <c r="C34" s="11">
        <f t="shared" ref="C34:Q34" si="31">(C33-C30)/C30</f>
        <v>0.35327993298780169</v>
      </c>
      <c r="D34" s="11">
        <f t="shared" si="31"/>
        <v>0.35624003643816898</v>
      </c>
      <c r="E34" s="11">
        <f t="shared" si="31"/>
        <v>0.24673619766930913</v>
      </c>
      <c r="F34" s="11">
        <f t="shared" si="31"/>
        <v>0.19201815255298235</v>
      </c>
      <c r="G34" s="11">
        <f t="shared" si="31"/>
        <v>0.34919093396993067</v>
      </c>
      <c r="H34" s="11">
        <f t="shared" si="31"/>
        <v>-0.11649409839604748</v>
      </c>
      <c r="I34" s="11">
        <f t="shared" si="31"/>
        <v>9.6052631578947334E-2</v>
      </c>
      <c r="J34" s="11">
        <f t="shared" si="31"/>
        <v>-0.60526315789473684</v>
      </c>
      <c r="K34" s="11">
        <f t="shared" si="31"/>
        <v>-0.13771929824561405</v>
      </c>
      <c r="L34" s="11">
        <f t="shared" si="31"/>
        <v>0.20720176242372254</v>
      </c>
      <c r="M34" s="11">
        <f t="shared" si="31"/>
        <v>-3.8461538461538229E-3</v>
      </c>
      <c r="N34" s="11">
        <f t="shared" si="31"/>
        <v>-0.625</v>
      </c>
      <c r="O34" s="11">
        <f t="shared" si="31"/>
        <v>0.20659931086842259</v>
      </c>
      <c r="P34" s="11">
        <f t="shared" si="31"/>
        <v>0.35876647526107536</v>
      </c>
      <c r="Q34" s="11">
        <f t="shared" si="31"/>
        <v>-0.11198919546746622</v>
      </c>
    </row>
    <row r="35" spans="1:17" ht="16.5" customHeight="1" x14ac:dyDescent="0.25">
      <c r="A35" s="7" t="s">
        <v>29</v>
      </c>
      <c r="B35" s="9">
        <f>(((B33/B6)^(1/9))-1)</f>
        <v>6.1368111373349521E-2</v>
      </c>
      <c r="C35" s="9">
        <f t="shared" ref="C35:H35" si="32">(((C33/C6)^(1/9))-1)</f>
        <v>0.10216171243378258</v>
      </c>
      <c r="D35" s="9">
        <f t="shared" si="32"/>
        <v>0.11141577734952968</v>
      </c>
      <c r="E35" s="9">
        <f t="shared" si="32"/>
        <v>0.14968965581176441</v>
      </c>
      <c r="F35" s="9">
        <f t="shared" si="32"/>
        <v>9.3126735242147651E-2</v>
      </c>
      <c r="G35" s="9">
        <f t="shared" si="32"/>
        <v>8.8200120755899114E-2</v>
      </c>
      <c r="H35" s="9">
        <f t="shared" si="32"/>
        <v>4.5273055867944834E-3</v>
      </c>
      <c r="I35" s="14" t="s">
        <v>30</v>
      </c>
      <c r="J35" s="14" t="s">
        <v>30</v>
      </c>
      <c r="K35" s="14" t="s">
        <v>30</v>
      </c>
      <c r="L35" s="9">
        <f t="shared" ref="L35:Q35" si="33">(((L33/L6)^(1/9))-1)</f>
        <v>0.10220261717635393</v>
      </c>
      <c r="M35" s="14" t="s">
        <v>30</v>
      </c>
      <c r="N35" s="14" t="s">
        <v>30</v>
      </c>
      <c r="O35" s="9">
        <f t="shared" si="33"/>
        <v>5.5613503930135089E-2</v>
      </c>
      <c r="P35" s="9">
        <f t="shared" si="33"/>
        <v>4.7115205097101764E-2</v>
      </c>
      <c r="Q35" s="9">
        <f t="shared" si="33"/>
        <v>8.115915795764872E-3</v>
      </c>
    </row>
    <row r="36" spans="1:17" ht="16.5" customHeight="1" x14ac:dyDescent="0.25">
      <c r="A36" s="8" t="s">
        <v>36</v>
      </c>
      <c r="B36" s="1">
        <v>30538</v>
      </c>
      <c r="C36" s="1">
        <v>53498</v>
      </c>
      <c r="D36" s="1">
        <v>20875</v>
      </c>
      <c r="E36" s="1">
        <v>1635463</v>
      </c>
      <c r="F36" s="1">
        <v>670.52899999999988</v>
      </c>
      <c r="G36" s="1">
        <v>1025.3240000000001</v>
      </c>
      <c r="H36" s="10">
        <v>65.396791648298475</v>
      </c>
      <c r="I36" s="12">
        <v>225</v>
      </c>
      <c r="J36" s="2">
        <v>0</v>
      </c>
      <c r="K36" s="2">
        <v>225</v>
      </c>
      <c r="L36" s="2">
        <v>61.018699999999995</v>
      </c>
      <c r="M36" s="2">
        <v>0.1089</v>
      </c>
      <c r="N36" s="2">
        <v>0</v>
      </c>
      <c r="O36" s="2">
        <v>61.127599999999994</v>
      </c>
      <c r="P36" s="2">
        <v>95.059999999999988</v>
      </c>
      <c r="Q36" s="10">
        <v>64.304228908058064</v>
      </c>
    </row>
    <row r="37" spans="1:17" ht="16.5" customHeight="1" x14ac:dyDescent="0.25">
      <c r="A37" s="6" t="s">
        <v>28</v>
      </c>
      <c r="B37" s="11">
        <f>(B36-B33)/B33</f>
        <v>5.3652140910188731E-2</v>
      </c>
      <c r="C37" s="11">
        <f t="shared" ref="C37:Q37" si="34">(C36-C33)/C33</f>
        <v>3.4817594491082828E-2</v>
      </c>
      <c r="D37" s="11">
        <f t="shared" si="34"/>
        <v>-0.12367238990806431</v>
      </c>
      <c r="E37" s="11">
        <f t="shared" si="34"/>
        <v>2.3839632598839852E-2</v>
      </c>
      <c r="F37" s="11">
        <f t="shared" si="34"/>
        <v>-1.370644430119977E-2</v>
      </c>
      <c r="G37" s="11">
        <f t="shared" si="34"/>
        <v>4.1443288421488596E-2</v>
      </c>
      <c r="H37" s="11">
        <f t="shared" si="34"/>
        <v>-5.2955099270243125E-2</v>
      </c>
      <c r="I37" s="11">
        <f t="shared" si="34"/>
        <v>1.701080432172869</v>
      </c>
      <c r="J37" s="11">
        <f t="shared" si="34"/>
        <v>-1</v>
      </c>
      <c r="K37" s="11">
        <f t="shared" si="34"/>
        <v>1.288911495422177</v>
      </c>
      <c r="L37" s="11">
        <f t="shared" si="34"/>
        <v>-1.4571793091196911E-2</v>
      </c>
      <c r="M37" s="11">
        <f t="shared" si="34"/>
        <v>1.1023166023166022</v>
      </c>
      <c r="N37" s="11">
        <f t="shared" si="34"/>
        <v>-1</v>
      </c>
      <c r="O37" s="11">
        <f t="shared" si="34"/>
        <v>-1.3781464881626636E-2</v>
      </c>
      <c r="P37" s="11">
        <f t="shared" si="34"/>
        <v>4.0738348350649663E-2</v>
      </c>
      <c r="Q37" s="11">
        <f t="shared" si="34"/>
        <v>-5.2385706089026825E-2</v>
      </c>
    </row>
    <row r="38" spans="1:17" ht="16.5" customHeight="1" x14ac:dyDescent="0.25">
      <c r="A38" s="7" t="s">
        <v>29</v>
      </c>
      <c r="B38" s="9">
        <f>(((B36/B6)^(1/10))-1)</f>
        <v>6.0593978421076278E-2</v>
      </c>
      <c r="C38" s="9">
        <f t="shared" ref="C38:H38" si="35">(((C36/C6)^(1/10))-1)</f>
        <v>9.5234633421828363E-2</v>
      </c>
      <c r="D38" s="9">
        <f t="shared" si="35"/>
        <v>8.5314365195713338E-2</v>
      </c>
      <c r="E38" s="9">
        <f t="shared" si="35"/>
        <v>0.13643802100909053</v>
      </c>
      <c r="F38" s="9">
        <f t="shared" si="35"/>
        <v>8.1942259391527328E-2</v>
      </c>
      <c r="G38" s="9">
        <f t="shared" si="35"/>
        <v>8.3431492765262849E-2</v>
      </c>
      <c r="H38" s="9">
        <f t="shared" si="35"/>
        <v>-1.3745524139552323E-3</v>
      </c>
      <c r="I38" s="14" t="s">
        <v>30</v>
      </c>
      <c r="J38" s="14" t="s">
        <v>30</v>
      </c>
      <c r="K38" s="14" t="s">
        <v>30</v>
      </c>
      <c r="L38" s="9">
        <f t="shared" ref="L38:Q38" si="36">(((L36/L6)^(1/10))-1)</f>
        <v>8.992795837701606E-2</v>
      </c>
      <c r="M38" s="14" t="s">
        <v>30</v>
      </c>
      <c r="N38" s="14" t="s">
        <v>30</v>
      </c>
      <c r="O38" s="9">
        <f t="shared" si="36"/>
        <v>4.8459742517272142E-2</v>
      </c>
      <c r="P38" s="9">
        <f t="shared" si="36"/>
        <v>4.6475765095228105E-2</v>
      </c>
      <c r="Q38" s="9">
        <f t="shared" si="36"/>
        <v>1.8958656169771881E-3</v>
      </c>
    </row>
    <row r="39" spans="1:17" x14ac:dyDescent="0.25">
      <c r="A39" s="19" t="s">
        <v>35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30.75" customHeight="1" x14ac:dyDescent="0.25">
      <c r="A40" s="15" t="s">
        <v>37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2021-08-27T23:12:54Z</cp:lastPrinted>
  <dcterms:created xsi:type="dcterms:W3CDTF">2018-10-29T04:00:14Z</dcterms:created>
  <dcterms:modified xsi:type="dcterms:W3CDTF">2021-08-27T23:13:09Z</dcterms:modified>
</cp:coreProperties>
</file>