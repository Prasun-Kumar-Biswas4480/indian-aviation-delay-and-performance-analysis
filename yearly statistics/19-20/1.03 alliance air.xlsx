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acer\Desktop\PUBLICATION FY2019-20\Annual Publication FY 2019-20\EXCELL\05. ALLIANCE AIR\"/>
    </mc:Choice>
  </mc:AlternateContent>
  <bookViews>
    <workbookView xWindow="0" yWindow="0" windowWidth="24000" windowHeight="9435"/>
  </bookViews>
  <sheets>
    <sheet name="ALLIANCE AIR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Q7" i="1" l="1"/>
  <c r="Q8" i="1"/>
  <c r="Q9" i="1"/>
  <c r="Q10" i="1"/>
  <c r="Q11" i="1"/>
  <c r="Q12" i="1"/>
  <c r="Q13" i="1"/>
  <c r="Q14" i="1"/>
  <c r="Q15" i="1"/>
  <c r="Q16" i="1"/>
  <c r="Q17" i="1"/>
  <c r="Q6" i="1"/>
  <c r="H7" i="1"/>
  <c r="H8" i="1"/>
  <c r="H9" i="1"/>
  <c r="H10" i="1"/>
  <c r="H11" i="1"/>
  <c r="H12" i="1"/>
  <c r="H13" i="1"/>
  <c r="H14" i="1"/>
  <c r="H15" i="1"/>
  <c r="H16" i="1"/>
  <c r="H17" i="1"/>
  <c r="H6" i="1"/>
  <c r="P18" i="1" l="1"/>
  <c r="O18" i="1"/>
  <c r="Q18" i="1" s="1"/>
  <c r="N18" i="1"/>
  <c r="M18" i="1"/>
  <c r="L18" i="1"/>
  <c r="K18" i="1"/>
  <c r="J18" i="1"/>
  <c r="I18" i="1"/>
  <c r="G18" i="1"/>
  <c r="F18" i="1"/>
  <c r="H18" i="1" s="1"/>
  <c r="E18" i="1"/>
  <c r="D18" i="1"/>
  <c r="C18" i="1"/>
  <c r="B18" i="1"/>
</calcChain>
</file>

<file path=xl/sharedStrings.xml><?xml version="1.0" encoding="utf-8"?>
<sst xmlns="http://schemas.openxmlformats.org/spreadsheetml/2006/main" count="26" uniqueCount="24">
  <si>
    <t xml:space="preserve">तालिका 1.03 (एलाइंस एयर) </t>
  </si>
  <si>
    <t>Table 1.03 (ALLIANCE AIR)</t>
  </si>
  <si>
    <t>MONTH</t>
  </si>
  <si>
    <t>AIRCRAFT FLOWN</t>
  </si>
  <si>
    <t xml:space="preserve">    PASSENGERS</t>
  </si>
  <si>
    <t>AVAILABLE SEAT KILOMETERS (MILLION)</t>
  </si>
  <si>
    <t xml:space="preserve"> PAX. LOAD FACTOR (%)</t>
  </si>
  <si>
    <t xml:space="preserve"> CARGO CARRIED (TON)</t>
  </si>
  <si>
    <t xml:space="preserve">    TON  KMS. PERFORMED (MILLION)</t>
  </si>
  <si>
    <t>AVAILABLE TONNE KILOMETERS (MILLION)</t>
  </si>
  <si>
    <t xml:space="preserve"> WEIGHT LOAD FACTOR (%)</t>
  </si>
  <si>
    <t>DEPARTURES (NOS.)</t>
  </si>
  <si>
    <t>HOURS (NOS.)</t>
  </si>
  <si>
    <t xml:space="preserve">  KMS. (THOUSANDS)</t>
  </si>
  <si>
    <t>CARRIED (NOS.)</t>
  </si>
  <si>
    <t>KMS.PERFORMED (MILLION)</t>
  </si>
  <si>
    <t xml:space="preserve"> FREIGHT </t>
  </si>
  <si>
    <t xml:space="preserve"> MAIL</t>
  </si>
  <si>
    <t xml:space="preserve"> TOTAL</t>
  </si>
  <si>
    <t xml:space="preserve"> PAX.</t>
  </si>
  <si>
    <t>FREIGHT</t>
  </si>
  <si>
    <t>SOURCE:-  ICAO ATR FORM 'A' FURNISHED BY ALLIANCE AIR</t>
  </si>
  <si>
    <t>2019-20</t>
  </si>
  <si>
    <t>MONTHLY TRAFFIC AND OPERATING STATISTICS OF ALLIANCE AIR ON SCHEDULED (DOMESTIC + INTERNATIONAL) SERVICES DURING 2019-20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</si>
</sst>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164" formatCode="_(* #,##0.00_);_(* \(#,##0.00\);_(* &quot;-&quot;??_);_(@_)"/>
    <numFmt numFmtId="165" formatCode="_(* #,##0.0_);_(* \(#,##0.0\);_(* &quot;-&quot;??_);_(@_)"/>
    <numFmt numFmtId="166" formatCode="#,##0.0"/>
    <numFmt numFmtId="167" formatCode="_(* #,##0_);_(* \(#,##0\);_(* &quot;-&quot;??_);_(@_)"/>
  </numFmts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name val="Calibri"/>
      <family val="2"/>
      <scheme val="minor"/>
    </font>
    <font>
      <b/>
      <sz val="1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/>
      </patternFill>
    </fill>
    <fill>
      <patternFill patternType="solid">
        <fgColor theme="4" tint="0.59999389629810485"/>
        <bgColor indexed="65"/>
      </patternFill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164" fontId="1" fillId="0" borderId="0" applyFont="0" applyFill="0" applyBorder="0" applyAlignment="0" applyProtection="0"/>
    <xf numFmtId="0" fontId="3" fillId="2" borderId="0" applyNumberFormat="0" applyBorder="0" applyAlignment="0" applyProtection="0"/>
    <xf numFmtId="0" fontId="1" fillId="3" borderId="0" applyNumberFormat="0" applyBorder="0" applyAlignment="0" applyProtection="0"/>
  </cellStyleXfs>
  <cellXfs count="27">
    <xf numFmtId="0" fontId="0" fillId="0" borderId="0" xfId="0"/>
    <xf numFmtId="17" fontId="1" fillId="3" borderId="1" xfId="3" applyNumberFormat="1" applyBorder="1" applyAlignment="1" applyProtection="1">
      <alignment horizontal="center" vertical="center" wrapText="1"/>
    </xf>
    <xf numFmtId="165" fontId="1" fillId="3" borderId="1" xfId="3" applyNumberFormat="1" applyBorder="1" applyAlignment="1">
      <alignment horizontal="center" vertical="center"/>
    </xf>
    <xf numFmtId="17" fontId="4" fillId="4" borderId="1" xfId="0" applyNumberFormat="1" applyFont="1" applyFill="1" applyBorder="1" applyAlignment="1" applyProtection="1">
      <alignment horizontal="center" vertical="center" wrapText="1"/>
    </xf>
    <xf numFmtId="165" fontId="0" fillId="0" borderId="1" xfId="1" applyNumberFormat="1" applyFont="1" applyBorder="1" applyAlignment="1">
      <alignment horizontal="center" vertical="center"/>
    </xf>
    <xf numFmtId="0" fontId="2" fillId="3" borderId="1" xfId="3" applyFont="1" applyBorder="1" applyAlignment="1" applyProtection="1">
      <alignment horizontal="center" vertical="center" wrapText="1"/>
    </xf>
    <xf numFmtId="3" fontId="2" fillId="3" borderId="1" xfId="3" applyNumberFormat="1" applyFont="1" applyBorder="1" applyAlignment="1" applyProtection="1">
      <alignment horizontal="center" vertical="center" wrapText="1"/>
    </xf>
    <xf numFmtId="166" fontId="2" fillId="3" borderId="1" xfId="3" applyNumberFormat="1" applyFont="1" applyBorder="1" applyAlignment="1" applyProtection="1">
      <alignment horizontal="center" vertical="center" wrapText="1"/>
    </xf>
    <xf numFmtId="164" fontId="1" fillId="3" borderId="1" xfId="3" applyNumberFormat="1" applyBorder="1" applyAlignment="1">
      <alignment horizontal="center" vertical="center"/>
    </xf>
    <xf numFmtId="164" fontId="0" fillId="0" borderId="1" xfId="1" applyNumberFormat="1" applyFont="1" applyBorder="1" applyAlignment="1">
      <alignment horizontal="center" vertical="center"/>
    </xf>
    <xf numFmtId="167" fontId="1" fillId="3" borderId="1" xfId="3" applyNumberFormat="1" applyBorder="1" applyAlignment="1">
      <alignment horizontal="center" vertical="center"/>
    </xf>
    <xf numFmtId="167" fontId="0" fillId="0" borderId="1" xfId="1" applyNumberFormat="1" applyFont="1" applyBorder="1" applyAlignment="1">
      <alignment horizontal="center" vertical="center"/>
    </xf>
    <xf numFmtId="3" fontId="2" fillId="3" borderId="1" xfId="3" applyNumberFormat="1" applyFont="1" applyBorder="1" applyAlignment="1" applyProtection="1">
      <alignment horizontal="right" vertical="center" wrapText="1"/>
    </xf>
    <xf numFmtId="4" fontId="2" fillId="3" borderId="1" xfId="3" applyNumberFormat="1" applyFont="1" applyBorder="1" applyAlignment="1" applyProtection="1">
      <alignment horizontal="right" vertical="center" wrapText="1"/>
    </xf>
    <xf numFmtId="166" fontId="2" fillId="3" borderId="1" xfId="3" applyNumberFormat="1" applyFont="1" applyBorder="1" applyAlignment="1" applyProtection="1">
      <alignment horizontal="right" vertical="center" wrapText="1"/>
    </xf>
    <xf numFmtId="0" fontId="4" fillId="2" borderId="1" xfId="2" applyFont="1" applyBorder="1" applyAlignment="1" applyProtection="1">
      <alignment horizontal="center" vertical="center" textRotation="90" wrapText="1"/>
    </xf>
    <xf numFmtId="0" fontId="4" fillId="2" borderId="1" xfId="2" applyFont="1" applyBorder="1" applyAlignment="1" applyProtection="1">
      <alignment horizontal="center" vertical="center" textRotation="90" wrapText="1"/>
    </xf>
    <xf numFmtId="0" fontId="4" fillId="2" borderId="1" xfId="2" applyFont="1" applyBorder="1" applyAlignment="1">
      <alignment textRotation="90"/>
    </xf>
    <xf numFmtId="0" fontId="5" fillId="4" borderId="2" xfId="0" applyFont="1" applyFill="1" applyBorder="1" applyAlignment="1" applyProtection="1">
      <alignment horizontal="left" vertical="center" wrapText="1"/>
    </xf>
    <xf numFmtId="0" fontId="5" fillId="4" borderId="3" xfId="0" applyFont="1" applyFill="1" applyBorder="1" applyAlignment="1" applyProtection="1">
      <alignment horizontal="left" vertical="center" wrapText="1"/>
    </xf>
    <xf numFmtId="0" fontId="5" fillId="4" borderId="4" xfId="0" applyFont="1" applyFill="1" applyBorder="1" applyAlignment="1" applyProtection="1">
      <alignment horizontal="left" vertical="center" wrapText="1"/>
    </xf>
    <xf numFmtId="0" fontId="4" fillId="3" borderId="1" xfId="3" applyFont="1" applyBorder="1" applyAlignment="1">
      <alignment horizontal="center" vertical="center" wrapText="1"/>
    </xf>
    <xf numFmtId="0" fontId="4" fillId="3" borderId="1" xfId="3" quotePrefix="1" applyFont="1" applyBorder="1" applyAlignment="1" applyProtection="1">
      <alignment horizontal="center" vertical="center" wrapText="1"/>
    </xf>
    <xf numFmtId="0" fontId="4" fillId="3" borderId="1" xfId="3" applyFont="1" applyBorder="1"/>
    <xf numFmtId="0" fontId="4" fillId="2" borderId="1" xfId="2" applyFont="1" applyBorder="1" applyAlignment="1" applyProtection="1">
      <alignment horizontal="center" vertical="center" wrapText="1"/>
    </xf>
    <xf numFmtId="0" fontId="4" fillId="2" borderId="1" xfId="2" applyFont="1" applyBorder="1"/>
    <xf numFmtId="165" fontId="1" fillId="5" borderId="1" xfId="3" applyNumberFormat="1" applyFill="1" applyBorder="1" applyAlignment="1">
      <alignment horizontal="center" vertical="center"/>
    </xf>
  </cellXfs>
  <cellStyles count="4">
    <cellStyle name="40% - Accent1" xfId="3" builtinId="31"/>
    <cellStyle name="Accent1" xfId="2" builtinId="29"/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Q19"/>
  <sheetViews>
    <sheetView tabSelected="1" zoomScale="98" zoomScaleNormal="98" workbookViewId="0">
      <selection activeCell="T7" sqref="T7"/>
    </sheetView>
  </sheetViews>
  <sheetFormatPr defaultRowHeight="18.600000000000001" customHeight="1" x14ac:dyDescent="0.25"/>
  <cols>
    <col min="1" max="1" width="8.85546875" customWidth="1"/>
    <col min="2" max="4" width="8.42578125" customWidth="1"/>
    <col min="5" max="5" width="11.7109375" customWidth="1"/>
    <col min="6" max="17" width="8.140625" customWidth="1"/>
  </cols>
  <sheetData>
    <row r="1" spans="1:17" ht="18.600000000000001" customHeight="1" x14ac:dyDescent="0.25">
      <c r="A1" s="21" t="s">
        <v>0</v>
      </c>
      <c r="B1" s="21"/>
      <c r="C1" s="21"/>
      <c r="D1" s="21"/>
      <c r="E1" s="21"/>
      <c r="F1" s="21"/>
      <c r="G1" s="21"/>
      <c r="H1" s="21"/>
      <c r="I1" s="21"/>
      <c r="J1" s="21"/>
      <c r="K1" s="21"/>
      <c r="L1" s="21"/>
      <c r="M1" s="21"/>
      <c r="N1" s="21"/>
      <c r="O1" s="21"/>
      <c r="P1" s="21"/>
      <c r="Q1" s="21"/>
    </row>
    <row r="2" spans="1:17" ht="18.600000000000001" customHeight="1" x14ac:dyDescent="0.25">
      <c r="A2" s="22" t="s">
        <v>1</v>
      </c>
      <c r="B2" s="23"/>
      <c r="C2" s="23"/>
      <c r="D2" s="23"/>
      <c r="E2" s="23"/>
      <c r="F2" s="23"/>
      <c r="G2" s="23"/>
      <c r="H2" s="23"/>
      <c r="I2" s="23"/>
      <c r="J2" s="23"/>
      <c r="K2" s="23"/>
      <c r="L2" s="23"/>
      <c r="M2" s="23"/>
      <c r="N2" s="23"/>
      <c r="O2" s="23"/>
      <c r="P2" s="23"/>
      <c r="Q2" s="23"/>
    </row>
    <row r="3" spans="1:17" ht="18.600000000000001" customHeight="1" x14ac:dyDescent="0.25">
      <c r="A3" s="24" t="s">
        <v>23</v>
      </c>
      <c r="B3" s="25"/>
      <c r="C3" s="25"/>
      <c r="D3" s="25"/>
      <c r="E3" s="25"/>
      <c r="F3" s="25"/>
      <c r="G3" s="25"/>
      <c r="H3" s="25"/>
      <c r="I3" s="25"/>
      <c r="J3" s="25"/>
      <c r="K3" s="25"/>
      <c r="L3" s="25"/>
      <c r="M3" s="25"/>
      <c r="N3" s="25"/>
      <c r="O3" s="25"/>
      <c r="P3" s="25"/>
      <c r="Q3" s="25"/>
    </row>
    <row r="4" spans="1:17" ht="18.600000000000001" customHeight="1" x14ac:dyDescent="0.25">
      <c r="A4" s="24" t="s">
        <v>2</v>
      </c>
      <c r="B4" s="24" t="s">
        <v>3</v>
      </c>
      <c r="C4" s="24"/>
      <c r="D4" s="24"/>
      <c r="E4" s="24" t="s">
        <v>4</v>
      </c>
      <c r="F4" s="25"/>
      <c r="G4" s="16" t="s">
        <v>5</v>
      </c>
      <c r="H4" s="16" t="s">
        <v>6</v>
      </c>
      <c r="I4" s="24" t="s">
        <v>7</v>
      </c>
      <c r="J4" s="24"/>
      <c r="K4" s="24"/>
      <c r="L4" s="24" t="s">
        <v>8</v>
      </c>
      <c r="M4" s="24"/>
      <c r="N4" s="24"/>
      <c r="O4" s="24"/>
      <c r="P4" s="16" t="s">
        <v>9</v>
      </c>
      <c r="Q4" s="16" t="s">
        <v>10</v>
      </c>
    </row>
    <row r="5" spans="1:17" ht="100.9" customHeight="1" x14ac:dyDescent="0.25">
      <c r="A5" s="24"/>
      <c r="B5" s="15" t="s">
        <v>11</v>
      </c>
      <c r="C5" s="15" t="s">
        <v>12</v>
      </c>
      <c r="D5" s="15" t="s">
        <v>13</v>
      </c>
      <c r="E5" s="15" t="s">
        <v>14</v>
      </c>
      <c r="F5" s="15" t="s">
        <v>15</v>
      </c>
      <c r="G5" s="17"/>
      <c r="H5" s="17"/>
      <c r="I5" s="15" t="s">
        <v>16</v>
      </c>
      <c r="J5" s="15" t="s">
        <v>17</v>
      </c>
      <c r="K5" s="15" t="s">
        <v>18</v>
      </c>
      <c r="L5" s="15" t="s">
        <v>19</v>
      </c>
      <c r="M5" s="15" t="s">
        <v>20</v>
      </c>
      <c r="N5" s="15" t="s">
        <v>17</v>
      </c>
      <c r="O5" s="15" t="s">
        <v>18</v>
      </c>
      <c r="P5" s="17"/>
      <c r="Q5" s="17"/>
    </row>
    <row r="6" spans="1:17" ht="18.600000000000001" customHeight="1" x14ac:dyDescent="0.25">
      <c r="A6" s="1">
        <v>43556</v>
      </c>
      <c r="B6" s="10">
        <v>2385</v>
      </c>
      <c r="C6" s="10">
        <v>4257</v>
      </c>
      <c r="D6" s="10">
        <v>1792</v>
      </c>
      <c r="E6" s="10">
        <v>134597</v>
      </c>
      <c r="F6" s="2">
        <v>56.195</v>
      </c>
      <c r="G6" s="2">
        <v>82.941000000000003</v>
      </c>
      <c r="H6" s="2">
        <f>F6/G6*100</f>
        <v>67.752981034711425</v>
      </c>
      <c r="I6" s="2">
        <v>11.6</v>
      </c>
      <c r="J6" s="2">
        <v>0</v>
      </c>
      <c r="K6" s="2">
        <v>11.6</v>
      </c>
      <c r="L6" s="2">
        <v>5.1139999999999999</v>
      </c>
      <c r="M6" s="8">
        <v>5.5999999999999999E-3</v>
      </c>
      <c r="N6" s="2">
        <v>0</v>
      </c>
      <c r="O6" s="2">
        <v>5.1196000000000002</v>
      </c>
      <c r="P6" s="2">
        <v>7.7130000000000001</v>
      </c>
      <c r="Q6" s="2">
        <f>O6/P6*100</f>
        <v>66.376247893167388</v>
      </c>
    </row>
    <row r="7" spans="1:17" ht="18.600000000000001" customHeight="1" x14ac:dyDescent="0.25">
      <c r="A7" s="3">
        <v>43586</v>
      </c>
      <c r="B7" s="11">
        <v>2617</v>
      </c>
      <c r="C7" s="11">
        <v>4703</v>
      </c>
      <c r="D7" s="11">
        <v>1958</v>
      </c>
      <c r="E7" s="11">
        <v>152294</v>
      </c>
      <c r="F7" s="4">
        <v>64.349999999999994</v>
      </c>
      <c r="G7" s="4">
        <v>91.233999999999995</v>
      </c>
      <c r="H7" s="4">
        <f t="shared" ref="H7:H17" si="0">F7/G7*100</f>
        <v>70.532915360501562</v>
      </c>
      <c r="I7" s="4">
        <v>15.1</v>
      </c>
      <c r="J7" s="4">
        <v>0</v>
      </c>
      <c r="K7" s="4">
        <v>15.1</v>
      </c>
      <c r="L7" s="4">
        <v>5.8559999999999999</v>
      </c>
      <c r="M7" s="9">
        <v>7.1999999999999998E-3</v>
      </c>
      <c r="N7" s="4">
        <v>0</v>
      </c>
      <c r="O7" s="4">
        <v>5.8632</v>
      </c>
      <c r="P7" s="4">
        <v>8.4659999999999993</v>
      </c>
      <c r="Q7" s="4">
        <f t="shared" ref="Q7:Q17" si="1">O7/P7*100</f>
        <v>69.255846917080092</v>
      </c>
    </row>
    <row r="8" spans="1:17" ht="18.600000000000001" customHeight="1" x14ac:dyDescent="0.25">
      <c r="A8" s="1">
        <v>43617</v>
      </c>
      <c r="B8" s="10">
        <v>2494</v>
      </c>
      <c r="C8" s="10">
        <v>4511</v>
      </c>
      <c r="D8" s="10">
        <v>1886</v>
      </c>
      <c r="E8" s="10">
        <v>147259</v>
      </c>
      <c r="F8" s="2">
        <v>61.093000000000004</v>
      </c>
      <c r="G8" s="2">
        <v>86.162999999999997</v>
      </c>
      <c r="H8" s="2">
        <f t="shared" si="0"/>
        <v>70.903984308810053</v>
      </c>
      <c r="I8" s="2">
        <v>13.6</v>
      </c>
      <c r="J8" s="2">
        <v>0</v>
      </c>
      <c r="K8" s="2">
        <v>13.6</v>
      </c>
      <c r="L8" s="2">
        <v>5.56</v>
      </c>
      <c r="M8" s="8">
        <v>6.6E-3</v>
      </c>
      <c r="N8" s="2">
        <v>0</v>
      </c>
      <c r="O8" s="2">
        <v>5.5666000000000002</v>
      </c>
      <c r="P8" s="2">
        <v>7.9880000000000004</v>
      </c>
      <c r="Q8" s="2">
        <f t="shared" si="1"/>
        <v>69.687030545818729</v>
      </c>
    </row>
    <row r="9" spans="1:17" ht="18.600000000000001" customHeight="1" x14ac:dyDescent="0.25">
      <c r="A9" s="3">
        <v>43647</v>
      </c>
      <c r="B9" s="11">
        <v>2469</v>
      </c>
      <c r="C9" s="11">
        <v>4463</v>
      </c>
      <c r="D9" s="11">
        <v>1810</v>
      </c>
      <c r="E9" s="11">
        <v>135724</v>
      </c>
      <c r="F9" s="4">
        <v>56.762999999999998</v>
      </c>
      <c r="G9" s="4">
        <v>85.206999999999994</v>
      </c>
      <c r="H9" s="4">
        <f t="shared" si="0"/>
        <v>66.617766145973917</v>
      </c>
      <c r="I9" s="4">
        <v>11.7</v>
      </c>
      <c r="J9" s="4">
        <v>0</v>
      </c>
      <c r="K9" s="4">
        <v>11.7</v>
      </c>
      <c r="L9" s="4">
        <v>5.165</v>
      </c>
      <c r="M9" s="9">
        <v>5.5999999999999999E-3</v>
      </c>
      <c r="N9" s="4">
        <v>0</v>
      </c>
      <c r="O9" s="4">
        <v>5.1706000000000003</v>
      </c>
      <c r="P9" s="4">
        <v>7.9160000000000004</v>
      </c>
      <c r="Q9" s="4">
        <f t="shared" si="1"/>
        <v>65.318342597271354</v>
      </c>
    </row>
    <row r="10" spans="1:17" ht="18.600000000000001" customHeight="1" x14ac:dyDescent="0.25">
      <c r="A10" s="1">
        <v>43678</v>
      </c>
      <c r="B10" s="10">
        <v>2603</v>
      </c>
      <c r="C10" s="10">
        <v>4532</v>
      </c>
      <c r="D10" s="10">
        <v>1790</v>
      </c>
      <c r="E10" s="10">
        <v>134431</v>
      </c>
      <c r="F10" s="2">
        <v>56.174999999999997</v>
      </c>
      <c r="G10" s="2">
        <v>88.069000000000003</v>
      </c>
      <c r="H10" s="2">
        <f t="shared" si="0"/>
        <v>63.785213866400206</v>
      </c>
      <c r="I10" s="2">
        <v>21.6</v>
      </c>
      <c r="J10" s="2">
        <v>0</v>
      </c>
      <c r="K10" s="2">
        <v>21.6</v>
      </c>
      <c r="L10" s="2">
        <v>5.1120000000000001</v>
      </c>
      <c r="M10" s="8">
        <v>1.03E-2</v>
      </c>
      <c r="N10" s="2">
        <v>0</v>
      </c>
      <c r="O10" s="2">
        <v>5.1223000000000001</v>
      </c>
      <c r="P10" s="2">
        <v>8.1869999999999994</v>
      </c>
      <c r="Q10" s="2">
        <f t="shared" si="1"/>
        <v>62.566263588616103</v>
      </c>
    </row>
    <row r="11" spans="1:17" ht="18.600000000000001" customHeight="1" x14ac:dyDescent="0.25">
      <c r="A11" s="3">
        <v>43709</v>
      </c>
      <c r="B11" s="11">
        <v>2667</v>
      </c>
      <c r="C11" s="11">
        <v>4610</v>
      </c>
      <c r="D11" s="11">
        <v>1787</v>
      </c>
      <c r="E11" s="11">
        <v>135642</v>
      </c>
      <c r="F11" s="4">
        <v>55.414999999999999</v>
      </c>
      <c r="G11" s="4">
        <v>88.337999999999994</v>
      </c>
      <c r="H11" s="4">
        <f t="shared" si="0"/>
        <v>62.730648192170982</v>
      </c>
      <c r="I11" s="4">
        <v>25</v>
      </c>
      <c r="J11" s="4">
        <v>0</v>
      </c>
      <c r="K11" s="4">
        <v>25</v>
      </c>
      <c r="L11" s="4">
        <v>5.0430000000000001</v>
      </c>
      <c r="M11" s="9">
        <v>1.2199999999999999E-2</v>
      </c>
      <c r="N11" s="4">
        <v>0</v>
      </c>
      <c r="O11" s="4">
        <v>5.0552000000000001</v>
      </c>
      <c r="P11" s="4">
        <v>8.2089999999999996</v>
      </c>
      <c r="Q11" s="4">
        <f t="shared" si="1"/>
        <v>61.581191375319776</v>
      </c>
    </row>
    <row r="12" spans="1:17" ht="18.600000000000001" customHeight="1" x14ac:dyDescent="0.25">
      <c r="A12" s="1">
        <v>43739</v>
      </c>
      <c r="B12" s="10">
        <v>2702</v>
      </c>
      <c r="C12" s="10">
        <v>4669.8</v>
      </c>
      <c r="D12" s="10">
        <v>1805.7</v>
      </c>
      <c r="E12" s="10">
        <v>145096</v>
      </c>
      <c r="F12" s="2">
        <v>58.312999999999995</v>
      </c>
      <c r="G12" s="2">
        <v>88.423000000000002</v>
      </c>
      <c r="H12" s="2">
        <f t="shared" si="0"/>
        <v>65.947773769268167</v>
      </c>
      <c r="I12" s="2">
        <v>25.8</v>
      </c>
      <c r="J12" s="2">
        <v>0</v>
      </c>
      <c r="K12" s="2">
        <v>25.8</v>
      </c>
      <c r="L12" s="2">
        <v>5.3063000000000002</v>
      </c>
      <c r="M12" s="8">
        <v>1.26E-2</v>
      </c>
      <c r="N12" s="2">
        <v>0</v>
      </c>
      <c r="O12" s="2">
        <v>5.3189000000000002</v>
      </c>
      <c r="P12" s="2">
        <v>8.2045999999999992</v>
      </c>
      <c r="Q12" s="2">
        <f t="shared" si="1"/>
        <v>64.828267069692629</v>
      </c>
    </row>
    <row r="13" spans="1:17" ht="18.600000000000001" customHeight="1" x14ac:dyDescent="0.25">
      <c r="A13" s="3">
        <v>43770</v>
      </c>
      <c r="B13" s="11">
        <v>2525</v>
      </c>
      <c r="C13" s="11">
        <v>4433.6000000000004</v>
      </c>
      <c r="D13" s="11">
        <v>1664.4</v>
      </c>
      <c r="E13" s="11">
        <v>135140</v>
      </c>
      <c r="F13" s="4">
        <v>54.693000000000005</v>
      </c>
      <c r="G13" s="4">
        <v>83.180999999999997</v>
      </c>
      <c r="H13" s="4">
        <f t="shared" si="0"/>
        <v>65.751794279943738</v>
      </c>
      <c r="I13" s="4">
        <v>22.8</v>
      </c>
      <c r="J13" s="4">
        <v>0</v>
      </c>
      <c r="K13" s="4">
        <v>22.8</v>
      </c>
      <c r="L13" s="4">
        <v>4.9768999999999997</v>
      </c>
      <c r="M13" s="9">
        <v>1.0999999999999999E-2</v>
      </c>
      <c r="N13" s="4">
        <v>0</v>
      </c>
      <c r="O13" s="4">
        <v>4.9878999999999998</v>
      </c>
      <c r="P13" s="4">
        <v>7.7174000000000005</v>
      </c>
      <c r="Q13" s="4">
        <f t="shared" si="1"/>
        <v>64.631870837328634</v>
      </c>
    </row>
    <row r="14" spans="1:17" ht="18.600000000000001" customHeight="1" x14ac:dyDescent="0.25">
      <c r="A14" s="1">
        <v>43800</v>
      </c>
      <c r="B14" s="10">
        <v>2716</v>
      </c>
      <c r="C14" s="10">
        <v>4723.3</v>
      </c>
      <c r="D14" s="10">
        <v>1760.2</v>
      </c>
      <c r="E14" s="10">
        <v>146678</v>
      </c>
      <c r="F14" s="2">
        <v>58.601999999999997</v>
      </c>
      <c r="G14" s="2">
        <v>88.653000000000006</v>
      </c>
      <c r="H14" s="2">
        <f t="shared" si="0"/>
        <v>66.102669960407425</v>
      </c>
      <c r="I14" s="2">
        <v>24.3</v>
      </c>
      <c r="J14" s="2">
        <v>0</v>
      </c>
      <c r="K14" s="2">
        <v>24.3</v>
      </c>
      <c r="L14" s="2">
        <v>5.3329000000000004</v>
      </c>
      <c r="M14" s="8">
        <v>1.1699999999999999E-2</v>
      </c>
      <c r="N14" s="2">
        <v>0</v>
      </c>
      <c r="O14" s="2">
        <v>5.3446000000000007</v>
      </c>
      <c r="P14" s="2">
        <v>8.2167999999999992</v>
      </c>
      <c r="Q14" s="2">
        <f t="shared" si="1"/>
        <v>65.044786291500358</v>
      </c>
    </row>
    <row r="15" spans="1:17" ht="18.600000000000001" customHeight="1" x14ac:dyDescent="0.25">
      <c r="A15" s="3">
        <v>43831</v>
      </c>
      <c r="B15" s="11">
        <v>2710</v>
      </c>
      <c r="C15" s="11">
        <v>4659.3999999999996</v>
      </c>
      <c r="D15" s="11">
        <v>1756.2</v>
      </c>
      <c r="E15" s="11">
        <v>143449</v>
      </c>
      <c r="F15" s="4">
        <v>58.034999999999997</v>
      </c>
      <c r="G15" s="4">
        <v>90.051000000000002</v>
      </c>
      <c r="H15" s="4">
        <f t="shared" si="0"/>
        <v>64.446813472365648</v>
      </c>
      <c r="I15" s="4">
        <v>17.8</v>
      </c>
      <c r="J15" s="26">
        <v>0</v>
      </c>
      <c r="K15" s="4">
        <v>17.8</v>
      </c>
      <c r="L15" s="4">
        <v>5.2810000000000006</v>
      </c>
      <c r="M15" s="9">
        <v>8.5000000000000006E-3</v>
      </c>
      <c r="N15" s="4">
        <v>0</v>
      </c>
      <c r="O15" s="4">
        <v>5.2895000000000003</v>
      </c>
      <c r="P15" s="4">
        <v>8.3507999999999996</v>
      </c>
      <c r="Q15" s="4">
        <f t="shared" si="1"/>
        <v>63.341236767734834</v>
      </c>
    </row>
    <row r="16" spans="1:17" ht="18.600000000000001" customHeight="1" x14ac:dyDescent="0.25">
      <c r="A16" s="1">
        <v>43862</v>
      </c>
      <c r="B16" s="10">
        <v>2765</v>
      </c>
      <c r="C16" s="10">
        <v>4719.7</v>
      </c>
      <c r="D16" s="10">
        <v>1705.6</v>
      </c>
      <c r="E16" s="10">
        <v>146360</v>
      </c>
      <c r="F16" s="2">
        <v>58.737000000000002</v>
      </c>
      <c r="G16" s="2">
        <v>90.405000000000001</v>
      </c>
      <c r="H16" s="2">
        <f t="shared" si="0"/>
        <v>64.970963995354239</v>
      </c>
      <c r="I16" s="2">
        <v>20.2</v>
      </c>
      <c r="J16" s="2">
        <v>0</v>
      </c>
      <c r="K16" s="2">
        <v>20.2</v>
      </c>
      <c r="L16" s="2">
        <v>5.3450999999999995</v>
      </c>
      <c r="M16" s="8">
        <v>9.9000000000000008E-3</v>
      </c>
      <c r="N16" s="2">
        <v>0</v>
      </c>
      <c r="O16" s="2">
        <v>5.3549999999999995</v>
      </c>
      <c r="P16" s="2">
        <v>8.3720000000000017</v>
      </c>
      <c r="Q16" s="2">
        <f t="shared" si="1"/>
        <v>63.963210702341122</v>
      </c>
    </row>
    <row r="17" spans="1:17" ht="18.600000000000001" customHeight="1" x14ac:dyDescent="0.25">
      <c r="A17" s="3">
        <v>43891</v>
      </c>
      <c r="B17" s="11">
        <v>2016</v>
      </c>
      <c r="C17" s="11">
        <v>3379.8</v>
      </c>
      <c r="D17" s="11">
        <v>1206.3</v>
      </c>
      <c r="E17" s="11">
        <v>83087</v>
      </c>
      <c r="F17" s="4">
        <v>33.677999999999997</v>
      </c>
      <c r="G17" s="4">
        <v>65.905999999999992</v>
      </c>
      <c r="H17" s="4">
        <f t="shared" si="0"/>
        <v>51.100051588626229</v>
      </c>
      <c r="I17" s="4">
        <v>15.5</v>
      </c>
      <c r="J17" s="26">
        <v>0</v>
      </c>
      <c r="K17" s="4">
        <v>15.5</v>
      </c>
      <c r="L17" s="4">
        <v>3.0646999999999998</v>
      </c>
      <c r="M17" s="9">
        <v>7.7000000000000002E-3</v>
      </c>
      <c r="N17" s="4">
        <v>0</v>
      </c>
      <c r="O17" s="4">
        <v>3.0723999999999996</v>
      </c>
      <c r="P17" s="4">
        <v>6.0206999999999997</v>
      </c>
      <c r="Q17" s="4">
        <f t="shared" si="1"/>
        <v>51.030611058514786</v>
      </c>
    </row>
    <row r="18" spans="1:17" ht="18.600000000000001" customHeight="1" x14ac:dyDescent="0.25">
      <c r="A18" s="5" t="s">
        <v>22</v>
      </c>
      <c r="B18" s="6">
        <f>SUM(B6:B17)</f>
        <v>30669</v>
      </c>
      <c r="C18" s="6">
        <f t="shared" ref="C18:G18" si="2">SUM(C6:C17)</f>
        <v>53661.600000000006</v>
      </c>
      <c r="D18" s="6">
        <f t="shared" si="2"/>
        <v>20921.399999999998</v>
      </c>
      <c r="E18" s="6">
        <f t="shared" si="2"/>
        <v>1639757</v>
      </c>
      <c r="F18" s="6">
        <f t="shared" si="2"/>
        <v>672.04899999999986</v>
      </c>
      <c r="G18" s="6">
        <f t="shared" si="2"/>
        <v>1028.5710000000001</v>
      </c>
      <c r="H18" s="7">
        <f>F18/G18*100</f>
        <v>65.338124446440716</v>
      </c>
      <c r="I18" s="6">
        <f t="shared" ref="I18" si="3">SUM(I6:I17)</f>
        <v>225</v>
      </c>
      <c r="J18" s="6">
        <f t="shared" ref="J18:P18" si="4">SUM(J6:J17)</f>
        <v>0</v>
      </c>
      <c r="K18" s="14">
        <f t="shared" si="4"/>
        <v>225</v>
      </c>
      <c r="L18" s="14">
        <f t="shared" si="4"/>
        <v>61.1569</v>
      </c>
      <c r="M18" s="13">
        <f t="shared" si="4"/>
        <v>0.1089</v>
      </c>
      <c r="N18" s="12">
        <f t="shared" si="4"/>
        <v>0</v>
      </c>
      <c r="O18" s="14">
        <f t="shared" si="4"/>
        <v>61.265800000000006</v>
      </c>
      <c r="P18" s="14">
        <f t="shared" si="4"/>
        <v>95.361299999999986</v>
      </c>
      <c r="Q18" s="14">
        <f t="shared" ref="Q18" si="5">O18/P18*100</f>
        <v>64.245978190314119</v>
      </c>
    </row>
    <row r="19" spans="1:17" ht="18.600000000000001" customHeight="1" x14ac:dyDescent="0.25">
      <c r="A19" s="18" t="s">
        <v>21</v>
      </c>
      <c r="B19" s="19"/>
      <c r="C19" s="19"/>
      <c r="D19" s="19"/>
      <c r="E19" s="19"/>
      <c r="F19" s="19"/>
      <c r="G19" s="19"/>
      <c r="H19" s="19"/>
      <c r="I19" s="19"/>
      <c r="J19" s="19"/>
      <c r="K19" s="19"/>
      <c r="L19" s="19"/>
      <c r="M19" s="19"/>
      <c r="N19" s="19"/>
      <c r="O19" s="19"/>
      <c r="P19" s="19"/>
      <c r="Q19" s="20"/>
    </row>
  </sheetData>
  <mergeCells count="13">
    <mergeCell ref="P4:P5"/>
    <mergeCell ref="Q4:Q5"/>
    <mergeCell ref="A19:Q19"/>
    <mergeCell ref="A1:Q1"/>
    <mergeCell ref="A2:Q2"/>
    <mergeCell ref="A3:Q3"/>
    <mergeCell ref="A4:A5"/>
    <mergeCell ref="B4:D4"/>
    <mergeCell ref="E4:F4"/>
    <mergeCell ref="G4:G5"/>
    <mergeCell ref="H4:H5"/>
    <mergeCell ref="I4:K4"/>
    <mergeCell ref="L4:O4"/>
  </mergeCells>
  <pageMargins left="0.7" right="0.7" top="0.75" bottom="0.75" header="0.3" footer="0.3"/>
  <pageSetup paperSize="9" scale="93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ALLIANCE AIR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acer</dc:creator>
  <cp:lastModifiedBy>Windows User</cp:lastModifiedBy>
  <cp:lastPrinted>2020-06-15T06:02:31Z</cp:lastPrinted>
  <dcterms:created xsi:type="dcterms:W3CDTF">2020-06-03T10:40:01Z</dcterms:created>
  <dcterms:modified xsi:type="dcterms:W3CDTF">2021-09-14T21:10:14Z</dcterms:modified>
</cp:coreProperties>
</file>