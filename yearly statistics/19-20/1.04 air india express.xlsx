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cer\Desktop\PUBLICATION FY2019-20\Annual Publication FY 2019-20\EXCELL\04. AIR INDIA EXPRESS\"/>
    </mc:Choice>
  </mc:AlternateContent>
  <bookViews>
    <workbookView xWindow="0" yWindow="0" windowWidth="24000" windowHeight="10725"/>
  </bookViews>
  <sheets>
    <sheet name="AIR INDIA EXPRESS" sheetId="3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37" i="3" l="1"/>
  <c r="Q38" i="3"/>
  <c r="H26" i="3"/>
  <c r="H22" i="3"/>
  <c r="H32" i="3"/>
  <c r="I37" i="3"/>
  <c r="J37" i="3"/>
  <c r="K37" i="3"/>
  <c r="L37" i="3"/>
  <c r="M37" i="3"/>
  <c r="N37" i="3"/>
  <c r="O37" i="3"/>
  <c r="P37" i="3"/>
  <c r="L38" i="3"/>
  <c r="O38" i="3"/>
  <c r="P38" i="3"/>
  <c r="I34" i="3"/>
  <c r="J34" i="3"/>
  <c r="K34" i="3"/>
  <c r="L34" i="3"/>
  <c r="M34" i="3"/>
  <c r="N34" i="3"/>
  <c r="O34" i="3"/>
  <c r="P34" i="3"/>
  <c r="L35" i="3"/>
  <c r="O35" i="3"/>
  <c r="P35" i="3"/>
  <c r="I31" i="3"/>
  <c r="J31" i="3"/>
  <c r="K31" i="3"/>
  <c r="L31" i="3"/>
  <c r="M31" i="3"/>
  <c r="N31" i="3"/>
  <c r="O31" i="3"/>
  <c r="P31" i="3"/>
  <c r="L32" i="3"/>
  <c r="O32" i="3"/>
  <c r="P32" i="3"/>
  <c r="L28" i="3"/>
  <c r="M28" i="3"/>
  <c r="N28" i="3"/>
  <c r="O28" i="3"/>
  <c r="P28" i="3"/>
  <c r="L29" i="3"/>
  <c r="O29" i="3"/>
  <c r="P29" i="3"/>
  <c r="L25" i="3"/>
  <c r="O25" i="3"/>
  <c r="P25" i="3"/>
  <c r="L26" i="3"/>
  <c r="O26" i="3"/>
  <c r="P26" i="3"/>
  <c r="L22" i="3"/>
  <c r="O22" i="3"/>
  <c r="P22" i="3"/>
  <c r="L23" i="3"/>
  <c r="O23" i="3"/>
  <c r="P23" i="3"/>
  <c r="L19" i="3"/>
  <c r="O19" i="3"/>
  <c r="P19" i="3"/>
  <c r="L20" i="3"/>
  <c r="O20" i="3"/>
  <c r="P20" i="3"/>
  <c r="L16" i="3"/>
  <c r="O16" i="3"/>
  <c r="P16" i="3"/>
  <c r="L17" i="3"/>
  <c r="O17" i="3"/>
  <c r="P17" i="3"/>
  <c r="L13" i="3"/>
  <c r="O13" i="3"/>
  <c r="P13" i="3"/>
  <c r="L14" i="3"/>
  <c r="O14" i="3"/>
  <c r="P14" i="3"/>
  <c r="L10" i="3"/>
  <c r="O10" i="3"/>
  <c r="P10" i="3"/>
  <c r="L11" i="3"/>
  <c r="O11" i="3"/>
  <c r="P11" i="3"/>
  <c r="H29" i="3" l="1"/>
  <c r="Q31" i="3"/>
  <c r="H11" i="3"/>
  <c r="H23" i="3"/>
  <c r="Q11" i="3"/>
  <c r="Q23" i="3"/>
  <c r="H35" i="3"/>
  <c r="H10" i="3"/>
  <c r="Q13" i="3"/>
  <c r="Q22" i="3"/>
  <c r="H14" i="3"/>
  <c r="H38" i="3"/>
  <c r="Q16" i="3"/>
  <c r="H34" i="3"/>
  <c r="H17" i="3"/>
  <c r="H25" i="3"/>
  <c r="H31" i="3"/>
  <c r="Q20" i="3"/>
  <c r="Q26" i="3"/>
  <c r="Q35" i="3"/>
  <c r="Q29" i="3"/>
  <c r="Q32" i="3"/>
  <c r="Q17" i="3"/>
  <c r="Q25" i="3"/>
  <c r="Q10" i="3"/>
  <c r="Q34" i="3"/>
  <c r="Q19" i="3"/>
  <c r="Q28" i="3"/>
  <c r="Q14" i="3"/>
  <c r="H16" i="3"/>
  <c r="H19" i="3"/>
  <c r="H20" i="3"/>
  <c r="H28" i="3"/>
  <c r="H13" i="3"/>
  <c r="H37" i="3"/>
  <c r="C38" i="3"/>
  <c r="D38" i="3"/>
  <c r="E38" i="3"/>
  <c r="F38" i="3"/>
  <c r="G38" i="3"/>
  <c r="C37" i="3"/>
  <c r="D37" i="3"/>
  <c r="E37" i="3"/>
  <c r="F37" i="3"/>
  <c r="G37" i="3"/>
  <c r="C35" i="3"/>
  <c r="D35" i="3"/>
  <c r="E35" i="3"/>
  <c r="F35" i="3"/>
  <c r="G35" i="3"/>
  <c r="C34" i="3"/>
  <c r="D34" i="3"/>
  <c r="E34" i="3"/>
  <c r="F34" i="3"/>
  <c r="G34" i="3"/>
  <c r="C32" i="3"/>
  <c r="D32" i="3"/>
  <c r="E32" i="3"/>
  <c r="F32" i="3"/>
  <c r="G32" i="3"/>
  <c r="C31" i="3"/>
  <c r="D31" i="3"/>
  <c r="E31" i="3"/>
  <c r="F31" i="3"/>
  <c r="G31" i="3"/>
  <c r="C29" i="3"/>
  <c r="D29" i="3"/>
  <c r="E29" i="3"/>
  <c r="F29" i="3"/>
  <c r="G29" i="3"/>
  <c r="C28" i="3"/>
  <c r="D28" i="3"/>
  <c r="E28" i="3"/>
  <c r="F28" i="3"/>
  <c r="G28" i="3"/>
  <c r="C26" i="3"/>
  <c r="D26" i="3"/>
  <c r="E26" i="3"/>
  <c r="F26" i="3"/>
  <c r="G26" i="3"/>
  <c r="C25" i="3"/>
  <c r="D25" i="3"/>
  <c r="E25" i="3"/>
  <c r="F25" i="3"/>
  <c r="G25" i="3"/>
  <c r="C23" i="3"/>
  <c r="D23" i="3"/>
  <c r="E23" i="3"/>
  <c r="F23" i="3"/>
  <c r="G23" i="3"/>
  <c r="C22" i="3"/>
  <c r="D22" i="3"/>
  <c r="E22" i="3"/>
  <c r="F22" i="3"/>
  <c r="G22" i="3"/>
  <c r="C20" i="3"/>
  <c r="D20" i="3"/>
  <c r="E20" i="3"/>
  <c r="F20" i="3"/>
  <c r="G20" i="3"/>
  <c r="C19" i="3"/>
  <c r="D19" i="3"/>
  <c r="E19" i="3"/>
  <c r="F19" i="3"/>
  <c r="G19" i="3"/>
  <c r="C17" i="3"/>
  <c r="D17" i="3"/>
  <c r="E17" i="3"/>
  <c r="F17" i="3"/>
  <c r="G17" i="3"/>
  <c r="C16" i="3"/>
  <c r="D16" i="3"/>
  <c r="E16" i="3"/>
  <c r="F16" i="3"/>
  <c r="G16" i="3"/>
  <c r="C14" i="3"/>
  <c r="D14" i="3"/>
  <c r="E14" i="3"/>
  <c r="F14" i="3"/>
  <c r="G14" i="3"/>
  <c r="C13" i="3"/>
  <c r="D13" i="3"/>
  <c r="E13" i="3"/>
  <c r="F13" i="3"/>
  <c r="G13" i="3"/>
  <c r="C11" i="3"/>
  <c r="D11" i="3"/>
  <c r="E11" i="3"/>
  <c r="F11" i="3"/>
  <c r="G11" i="3"/>
  <c r="C10" i="3"/>
  <c r="D10" i="3"/>
  <c r="E10" i="3"/>
  <c r="F10" i="3"/>
  <c r="G10" i="3"/>
  <c r="B38" i="3"/>
  <c r="B37" i="3"/>
  <c r="B35" i="3"/>
  <c r="B34" i="3"/>
  <c r="B32" i="3"/>
  <c r="B31" i="3"/>
  <c r="B29" i="3"/>
  <c r="B28" i="3"/>
  <c r="B26" i="3"/>
  <c r="B25" i="3"/>
  <c r="B23" i="3"/>
  <c r="B22" i="3"/>
  <c r="B20" i="3"/>
  <c r="B19" i="3"/>
  <c r="B17" i="3"/>
  <c r="B16" i="3"/>
  <c r="B14" i="3"/>
  <c r="B13" i="3"/>
  <c r="B11" i="3"/>
  <c r="B10" i="3"/>
</calcChain>
</file>

<file path=xl/sharedStrings.xml><?xml version="1.0" encoding="utf-8"?>
<sst xmlns="http://schemas.openxmlformats.org/spreadsheetml/2006/main" count="174" uniqueCount="39">
  <si>
    <t>YEAR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</si>
  <si>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</si>
  <si>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</si>
  <si>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</si>
  <si>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</si>
  <si>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</si>
  <si>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</si>
  <si>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</si>
  <si>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</si>
  <si>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</si>
  <si>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</si>
  <si>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</si>
  <si>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</si>
  <si>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</si>
  <si>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</si>
  <si>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</si>
  <si>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</si>
  <si>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</si>
  <si>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</si>
  <si>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2009-10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</si>
  <si>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</si>
  <si>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</si>
  <si>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</si>
  <si>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</si>
  <si>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</si>
  <si>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</si>
  <si>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</si>
  <si>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</si>
  <si>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>growth</t>
  </si>
  <si>
    <t>CAGR</t>
  </si>
  <si>
    <t>-</t>
  </si>
  <si>
    <t>Growth</t>
  </si>
  <si>
    <t>2018-19</t>
  </si>
  <si>
    <t xml:space="preserve">तालिका 1.04 (एयर इंडिया एक्सप्रेस) </t>
  </si>
  <si>
    <t>Table 1.04 ( AIR INDIA EXPRESS)</t>
  </si>
  <si>
    <t xml:space="preserve">SOURCE: ICAO ATR FORM 'A' FURNISHED BY AIR INDIA EXPRESS </t>
  </si>
  <si>
    <t>2019-20</t>
  </si>
  <si>
    <t>Note: Growth has been calculated with respect to preceeding year while Compound Annual Growth Rate (CAGR) has been calculating taking 2009-10 as a Base Year</t>
  </si>
  <si>
    <t xml:space="preserve">YEAR ON YEAR GROWTH AND CAGR FOR LAST TEN YEARS OF AIR INDIA EXPRESS ON SCHEDULED DOMESTIC SERVICES (ALL AIR TRAFFIC AND OPERATING STATISTICS)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</si>
</sst>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,##0.0"/>
    <numFmt numFmtId="165" formatCode="0.0%"/>
    <numFmt numFmtId="166" formatCode="0.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C99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5">
    <xf numFmtId="0" fontId="0" fillId="0" borderId="0"/>
    <xf numFmtId="0" fontId="5" fillId="3" borderId="2" applyNumberFormat="0" applyAlignment="0" applyProtection="0"/>
    <xf numFmtId="0" fontId="6" fillId="4" borderId="0" applyNumberFormat="0" applyBorder="0" applyAlignment="0" applyProtection="0"/>
    <xf numFmtId="0" fontId="4" fillId="5" borderId="0" applyNumberFormat="0" applyBorder="0" applyAlignment="0" applyProtection="0"/>
    <xf numFmtId="9" fontId="4" fillId="0" borderId="0" applyFont="0" applyFill="0" applyBorder="0" applyAlignment="0" applyProtection="0"/>
  </cellStyleXfs>
  <cellXfs count="25">
    <xf numFmtId="0" fontId="0" fillId="0" borderId="0" xfId="0"/>
    <xf numFmtId="3" fontId="0" fillId="5" borderId="1" xfId="3" applyNumberFormat="1" applyFont="1" applyBorder="1" applyAlignment="1" applyProtection="1">
      <alignment horizontal="center" vertical="center" wrapText="1"/>
    </xf>
    <xf numFmtId="0" fontId="4" fillId="5" borderId="1" xfId="3" applyFont="1" applyBorder="1" applyAlignment="1" applyProtection="1">
      <alignment horizontal="center" vertical="center" wrapText="1"/>
    </xf>
    <xf numFmtId="0" fontId="3" fillId="2" borderId="1" xfId="0" applyFont="1" applyFill="1" applyBorder="1" applyAlignment="1" applyProtection="1">
      <alignment horizontal="center" vertical="center" wrapText="1"/>
    </xf>
    <xf numFmtId="165" fontId="3" fillId="2" borderId="1" xfId="4" applyNumberFormat="1" applyFont="1" applyFill="1" applyBorder="1" applyAlignment="1" applyProtection="1">
      <alignment horizontal="center" vertical="center" wrapText="1"/>
    </xf>
    <xf numFmtId="165" fontId="4" fillId="5" borderId="1" xfId="4" applyNumberFormat="1" applyFill="1" applyBorder="1" applyAlignment="1" applyProtection="1">
      <alignment horizontal="center" vertical="center" wrapText="1"/>
    </xf>
    <xf numFmtId="0" fontId="5" fillId="3" borderId="1" xfId="1" applyFont="1" applyBorder="1" applyAlignment="1" applyProtection="1">
      <alignment horizontal="center" vertical="center" wrapText="1"/>
    </xf>
    <xf numFmtId="3" fontId="5" fillId="3" borderId="1" xfId="1" applyNumberFormat="1" applyBorder="1" applyAlignment="1" applyProtection="1">
      <alignment horizontal="center" vertical="center" wrapText="1"/>
    </xf>
    <xf numFmtId="166" fontId="5" fillId="3" borderId="1" xfId="4" applyNumberFormat="1" applyFont="1" applyFill="1" applyBorder="1" applyAlignment="1" applyProtection="1">
      <alignment horizontal="center" vertical="center" wrapText="1"/>
    </xf>
    <xf numFmtId="164" fontId="5" fillId="3" borderId="1" xfId="1" applyNumberFormat="1" applyBorder="1" applyAlignment="1" applyProtection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5" fillId="3" borderId="1" xfId="1" applyBorder="1" applyAlignment="1" applyProtection="1">
      <alignment horizontal="center" vertical="center" wrapText="1"/>
    </xf>
    <xf numFmtId="166" fontId="5" fillId="3" borderId="1" xfId="1" applyNumberFormat="1" applyBorder="1" applyAlignment="1">
      <alignment horizontal="center" vertical="center"/>
    </xf>
    <xf numFmtId="0" fontId="3" fillId="4" borderId="1" xfId="2" applyFont="1" applyBorder="1" applyAlignment="1" applyProtection="1">
      <alignment horizontal="center" vertical="center" textRotation="90" wrapText="1"/>
    </xf>
    <xf numFmtId="0" fontId="2" fillId="2" borderId="1" xfId="0" applyFont="1" applyFill="1" applyBorder="1" applyAlignment="1" applyProtection="1">
      <alignment horizontal="left" vertical="center" wrapText="1"/>
    </xf>
    <xf numFmtId="0" fontId="1" fillId="0" borderId="1" xfId="0" applyFont="1" applyBorder="1" applyAlignment="1">
      <alignment vertical="center" wrapText="1"/>
    </xf>
    <xf numFmtId="0" fontId="3" fillId="4" borderId="1" xfId="2" applyFont="1" applyBorder="1" applyAlignment="1" applyProtection="1">
      <alignment horizontal="center" vertical="center" textRotation="90" wrapText="1"/>
    </xf>
    <xf numFmtId="0" fontId="3" fillId="4" borderId="1" xfId="2" applyFont="1" applyBorder="1" applyAlignment="1">
      <alignment textRotation="90"/>
    </xf>
    <xf numFmtId="0" fontId="2" fillId="2" borderId="1" xfId="0" applyFont="1" applyFill="1" applyBorder="1" applyAlignment="1" applyProtection="1">
      <alignment horizontal="left" vertical="center"/>
    </xf>
    <xf numFmtId="0" fontId="1" fillId="0" borderId="1" xfId="0" applyFont="1" applyBorder="1" applyAlignment="1">
      <alignment vertical="center"/>
    </xf>
    <xf numFmtId="0" fontId="3" fillId="3" borderId="1" xfId="1" applyFont="1" applyBorder="1" applyAlignment="1">
      <alignment horizontal="center" vertical="center" wrapText="1"/>
    </xf>
    <xf numFmtId="0" fontId="3" fillId="3" borderId="1" xfId="1" quotePrefix="1" applyFont="1" applyBorder="1" applyAlignment="1" applyProtection="1">
      <alignment horizontal="center" vertical="center" wrapText="1"/>
    </xf>
    <xf numFmtId="0" fontId="3" fillId="3" borderId="1" xfId="1" applyFont="1" applyBorder="1"/>
    <xf numFmtId="0" fontId="3" fillId="4" borderId="1" xfId="2" applyFont="1" applyBorder="1" applyAlignment="1" applyProtection="1">
      <alignment horizontal="center" vertical="center" wrapText="1"/>
    </xf>
    <xf numFmtId="0" fontId="3" fillId="4" borderId="1" xfId="2" applyFont="1" applyBorder="1"/>
  </cellXfs>
  <cellStyles count="5">
    <cellStyle name="20% - Accent2" xfId="3" builtinId="34"/>
    <cellStyle name="Accent2" xfId="2" builtinId="33"/>
    <cellStyle name="Input" xfId="1" builtinId="20"/>
    <cellStyle name="Normal" xfId="0" builtinId="0"/>
    <cellStyle name="Percent" xfId="4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0"/>
  <sheetViews>
    <sheetView tabSelected="1" workbookViewId="0">
      <selection activeCell="A3" sqref="A3:Q3"/>
    </sheetView>
  </sheetViews>
  <sheetFormatPr defaultRowHeight="15" x14ac:dyDescent="0.25"/>
  <cols>
    <col min="1" max="1" width="8.5703125" customWidth="1"/>
    <col min="2" max="2" width="8" customWidth="1"/>
    <col min="3" max="3" width="8.42578125" customWidth="1"/>
    <col min="4" max="5" width="8.140625" customWidth="1"/>
    <col min="6" max="7" width="7.7109375" customWidth="1"/>
    <col min="8" max="8" width="8.42578125" customWidth="1"/>
    <col min="9" max="9" width="5.5703125" customWidth="1"/>
    <col min="10" max="10" width="6" customWidth="1"/>
    <col min="11" max="11" width="5.140625" customWidth="1"/>
    <col min="12" max="12" width="7.7109375" customWidth="1"/>
    <col min="13" max="14" width="7.140625" customWidth="1"/>
    <col min="15" max="15" width="7.28515625" customWidth="1"/>
    <col min="16" max="16" width="7.140625" customWidth="1"/>
    <col min="17" max="17" width="7" customWidth="1"/>
  </cols>
  <sheetData>
    <row r="1" spans="1:17" ht="15" customHeight="1" x14ac:dyDescent="0.25">
      <c r="A1" s="20" t="s">
        <v>33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</row>
    <row r="2" spans="1:17" ht="15" customHeight="1" x14ac:dyDescent="0.25">
      <c r="A2" s="21" t="s">
        <v>34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</row>
    <row r="3" spans="1:17" x14ac:dyDescent="0.25">
      <c r="A3" s="23" t="s">
        <v>38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</row>
    <row r="4" spans="1:17" ht="30.6" customHeight="1" x14ac:dyDescent="0.25">
      <c r="A4" s="23" t="s">
        <v>0</v>
      </c>
      <c r="B4" s="23" t="s">
        <v>1</v>
      </c>
      <c r="C4" s="23"/>
      <c r="D4" s="23"/>
      <c r="E4" s="23" t="s">
        <v>2</v>
      </c>
      <c r="F4" s="24"/>
      <c r="G4" s="16" t="s">
        <v>3</v>
      </c>
      <c r="H4" s="16" t="s">
        <v>4</v>
      </c>
      <c r="I4" s="23" t="s">
        <v>5</v>
      </c>
      <c r="J4" s="23"/>
      <c r="K4" s="23"/>
      <c r="L4" s="23" t="s">
        <v>6</v>
      </c>
      <c r="M4" s="23"/>
      <c r="N4" s="23"/>
      <c r="O4" s="23"/>
      <c r="P4" s="16" t="s">
        <v>7</v>
      </c>
      <c r="Q4" s="16" t="s">
        <v>8</v>
      </c>
    </row>
    <row r="5" spans="1:17" ht="114.75" customHeight="1" x14ac:dyDescent="0.25">
      <c r="A5" s="23"/>
      <c r="B5" s="13" t="s">
        <v>9</v>
      </c>
      <c r="C5" s="13" t="s">
        <v>10</v>
      </c>
      <c r="D5" s="13" t="s">
        <v>11</v>
      </c>
      <c r="E5" s="13" t="s">
        <v>12</v>
      </c>
      <c r="F5" s="13" t="s">
        <v>13</v>
      </c>
      <c r="G5" s="17"/>
      <c r="H5" s="17"/>
      <c r="I5" s="13" t="s">
        <v>14</v>
      </c>
      <c r="J5" s="13" t="s">
        <v>15</v>
      </c>
      <c r="K5" s="13" t="s">
        <v>16</v>
      </c>
      <c r="L5" s="13" t="s">
        <v>17</v>
      </c>
      <c r="M5" s="13" t="s">
        <v>18</v>
      </c>
      <c r="N5" s="13" t="s">
        <v>15</v>
      </c>
      <c r="O5" s="13" t="s">
        <v>16</v>
      </c>
      <c r="P5" s="17"/>
      <c r="Q5" s="17"/>
    </row>
    <row r="6" spans="1:17" ht="16.5" customHeight="1" x14ac:dyDescent="0.25">
      <c r="A6" s="6" t="s">
        <v>19</v>
      </c>
      <c r="B6" s="7">
        <v>6138</v>
      </c>
      <c r="C6" s="7">
        <v>6691.87</v>
      </c>
      <c r="D6" s="7">
        <v>2881</v>
      </c>
      <c r="E6" s="7">
        <v>270949</v>
      </c>
      <c r="F6" s="7">
        <v>219.92099999999999</v>
      </c>
      <c r="G6" s="7">
        <v>555.84699999999998</v>
      </c>
      <c r="H6" s="8">
        <v>39.565024188310808</v>
      </c>
      <c r="I6" s="9">
        <v>0</v>
      </c>
      <c r="J6" s="9">
        <v>0</v>
      </c>
      <c r="K6" s="9">
        <v>0</v>
      </c>
      <c r="L6" s="9">
        <v>21.382000000000001</v>
      </c>
      <c r="M6" s="9">
        <v>0</v>
      </c>
      <c r="N6" s="9">
        <v>0</v>
      </c>
      <c r="O6" s="9">
        <v>21.382000000000001</v>
      </c>
      <c r="P6" s="9">
        <v>56.762999999999998</v>
      </c>
      <c r="Q6" s="8">
        <v>37.668904039603269</v>
      </c>
    </row>
    <row r="7" spans="1:17" ht="16.5" customHeight="1" x14ac:dyDescent="0.25">
      <c r="A7" s="2" t="s">
        <v>31</v>
      </c>
      <c r="B7" s="1" t="s">
        <v>30</v>
      </c>
      <c r="C7" s="1" t="s">
        <v>30</v>
      </c>
      <c r="D7" s="1" t="s">
        <v>30</v>
      </c>
      <c r="E7" s="1" t="s">
        <v>30</v>
      </c>
      <c r="F7" s="1" t="s">
        <v>30</v>
      </c>
      <c r="G7" s="1" t="s">
        <v>30</v>
      </c>
      <c r="H7" s="1" t="s">
        <v>30</v>
      </c>
      <c r="I7" s="1" t="s">
        <v>30</v>
      </c>
      <c r="J7" s="1" t="s">
        <v>30</v>
      </c>
      <c r="K7" s="1" t="s">
        <v>30</v>
      </c>
      <c r="L7" s="1" t="s">
        <v>30</v>
      </c>
      <c r="M7" s="1" t="s">
        <v>30</v>
      </c>
      <c r="N7" s="1" t="s">
        <v>30</v>
      </c>
      <c r="O7" s="1" t="s">
        <v>30</v>
      </c>
      <c r="P7" s="1" t="s">
        <v>30</v>
      </c>
      <c r="Q7" s="1" t="s">
        <v>30</v>
      </c>
    </row>
    <row r="8" spans="1:17" ht="16.5" customHeight="1" x14ac:dyDescent="0.25">
      <c r="A8" s="3" t="s">
        <v>29</v>
      </c>
      <c r="B8" s="10" t="s">
        <v>30</v>
      </c>
      <c r="C8" s="10" t="s">
        <v>30</v>
      </c>
      <c r="D8" s="10" t="s">
        <v>30</v>
      </c>
      <c r="E8" s="10" t="s">
        <v>30</v>
      </c>
      <c r="F8" s="10" t="s">
        <v>30</v>
      </c>
      <c r="G8" s="10" t="s">
        <v>30</v>
      </c>
      <c r="H8" s="10" t="s">
        <v>30</v>
      </c>
      <c r="I8" s="10" t="s">
        <v>30</v>
      </c>
      <c r="J8" s="10" t="s">
        <v>30</v>
      </c>
      <c r="K8" s="10" t="s">
        <v>30</v>
      </c>
      <c r="L8" s="10" t="s">
        <v>30</v>
      </c>
      <c r="M8" s="10" t="s">
        <v>30</v>
      </c>
      <c r="N8" s="10" t="s">
        <v>30</v>
      </c>
      <c r="O8" s="10" t="s">
        <v>30</v>
      </c>
      <c r="P8" s="10" t="s">
        <v>30</v>
      </c>
      <c r="Q8" s="10" t="s">
        <v>30</v>
      </c>
    </row>
    <row r="9" spans="1:17" ht="16.5" customHeight="1" x14ac:dyDescent="0.25">
      <c r="A9" s="6" t="s">
        <v>20</v>
      </c>
      <c r="B9" s="7">
        <v>4589</v>
      </c>
      <c r="C9" s="7">
        <v>5900</v>
      </c>
      <c r="D9" s="7">
        <v>2351</v>
      </c>
      <c r="E9" s="7">
        <v>255852</v>
      </c>
      <c r="F9" s="7">
        <v>227.69800000000001</v>
      </c>
      <c r="G9" s="7">
        <v>416.83300000000003</v>
      </c>
      <c r="H9" s="8">
        <v>54.625713415204643</v>
      </c>
      <c r="I9" s="9">
        <v>0</v>
      </c>
      <c r="J9" s="9">
        <v>0</v>
      </c>
      <c r="K9" s="9">
        <v>0</v>
      </c>
      <c r="L9" s="9">
        <v>22.085000000000001</v>
      </c>
      <c r="M9" s="9">
        <v>0</v>
      </c>
      <c r="N9" s="9">
        <v>0</v>
      </c>
      <c r="O9" s="9">
        <v>22.085000000000001</v>
      </c>
      <c r="P9" s="9">
        <v>42.953000000000003</v>
      </c>
      <c r="Q9" s="8">
        <v>51.416664726561592</v>
      </c>
    </row>
    <row r="10" spans="1:17" ht="16.5" customHeight="1" x14ac:dyDescent="0.25">
      <c r="A10" s="2" t="s">
        <v>31</v>
      </c>
      <c r="B10" s="5">
        <f>(B9-B6)/B6</f>
        <v>-0.25236233300749428</v>
      </c>
      <c r="C10" s="5">
        <f t="shared" ref="C10:H10" si="0">(C9-C6)/C6</f>
        <v>-0.11833314155833868</v>
      </c>
      <c r="D10" s="5">
        <f t="shared" si="0"/>
        <v>-0.18396390142311697</v>
      </c>
      <c r="E10" s="5">
        <f t="shared" si="0"/>
        <v>-5.5718972943247624E-2</v>
      </c>
      <c r="F10" s="5">
        <f t="shared" si="0"/>
        <v>3.536269842352488E-2</v>
      </c>
      <c r="G10" s="5">
        <f t="shared" si="0"/>
        <v>-0.25009400068723942</v>
      </c>
      <c r="H10" s="5">
        <f t="shared" si="0"/>
        <v>0.38065664146221861</v>
      </c>
      <c r="I10" s="1" t="s">
        <v>30</v>
      </c>
      <c r="J10" s="1" t="s">
        <v>30</v>
      </c>
      <c r="K10" s="1" t="s">
        <v>30</v>
      </c>
      <c r="L10" s="5">
        <f t="shared" ref="L10:Q10" si="1">(L9-L6)/L6</f>
        <v>3.2878121784678672E-2</v>
      </c>
      <c r="M10" s="1" t="s">
        <v>30</v>
      </c>
      <c r="N10" s="1" t="s">
        <v>30</v>
      </c>
      <c r="O10" s="5">
        <f t="shared" si="1"/>
        <v>3.2878121784678672E-2</v>
      </c>
      <c r="P10" s="5">
        <f t="shared" si="1"/>
        <v>-0.24329228546764611</v>
      </c>
      <c r="Q10" s="5">
        <f t="shared" si="1"/>
        <v>0.36496311845188251</v>
      </c>
    </row>
    <row r="11" spans="1:17" ht="16.5" customHeight="1" x14ac:dyDescent="0.25">
      <c r="A11" s="3" t="s">
        <v>29</v>
      </c>
      <c r="B11" s="4">
        <f t="shared" ref="B11:H11" si="2">(((B9/B6)^(1/1))-1)</f>
        <v>-0.25236233300749433</v>
      </c>
      <c r="C11" s="4">
        <f t="shared" si="2"/>
        <v>-0.11833314155833874</v>
      </c>
      <c r="D11" s="4">
        <f t="shared" si="2"/>
        <v>-0.18396390142311703</v>
      </c>
      <c r="E11" s="4">
        <f t="shared" si="2"/>
        <v>-5.5718972943247569E-2</v>
      </c>
      <c r="F11" s="4">
        <f t="shared" si="2"/>
        <v>3.5362698423524908E-2</v>
      </c>
      <c r="G11" s="4">
        <f t="shared" si="2"/>
        <v>-0.25009400068723942</v>
      </c>
      <c r="H11" s="4">
        <f t="shared" si="2"/>
        <v>0.38065664146221856</v>
      </c>
      <c r="I11" s="10" t="s">
        <v>30</v>
      </c>
      <c r="J11" s="10" t="s">
        <v>30</v>
      </c>
      <c r="K11" s="10" t="s">
        <v>30</v>
      </c>
      <c r="L11" s="4">
        <f t="shared" ref="L11:Q11" si="3">(((L9/L6)^(1/1))-1)</f>
        <v>3.2878121784678749E-2</v>
      </c>
      <c r="M11" s="10" t="s">
        <v>30</v>
      </c>
      <c r="N11" s="10" t="s">
        <v>30</v>
      </c>
      <c r="O11" s="4">
        <f t="shared" si="3"/>
        <v>3.2878121784678749E-2</v>
      </c>
      <c r="P11" s="4">
        <f t="shared" si="3"/>
        <v>-0.24329228546764614</v>
      </c>
      <c r="Q11" s="4">
        <f t="shared" si="3"/>
        <v>0.36496311845188245</v>
      </c>
    </row>
    <row r="12" spans="1:17" ht="16.5" customHeight="1" x14ac:dyDescent="0.25">
      <c r="A12" s="6" t="s">
        <v>21</v>
      </c>
      <c r="B12" s="7">
        <v>4332</v>
      </c>
      <c r="C12" s="7">
        <v>5947</v>
      </c>
      <c r="D12" s="7">
        <v>2899</v>
      </c>
      <c r="E12" s="7">
        <v>221550</v>
      </c>
      <c r="F12" s="7">
        <v>230.85900000000001</v>
      </c>
      <c r="G12" s="7">
        <v>463.73200000000003</v>
      </c>
      <c r="H12" s="8">
        <v>49.782848714343629</v>
      </c>
      <c r="I12" s="9">
        <v>0</v>
      </c>
      <c r="J12" s="9">
        <v>0</v>
      </c>
      <c r="K12" s="9">
        <v>0</v>
      </c>
      <c r="L12" s="9">
        <v>22.398</v>
      </c>
      <c r="M12" s="9">
        <v>0</v>
      </c>
      <c r="N12" s="9">
        <v>0</v>
      </c>
      <c r="O12" s="9">
        <v>22.398</v>
      </c>
      <c r="P12" s="9">
        <v>47.707000000000001</v>
      </c>
      <c r="Q12" s="8">
        <v>46.949085039931241</v>
      </c>
    </row>
    <row r="13" spans="1:17" ht="16.5" customHeight="1" x14ac:dyDescent="0.25">
      <c r="A13" s="2" t="s">
        <v>31</v>
      </c>
      <c r="B13" s="5">
        <f>(B12-B9)/B9</f>
        <v>-5.6003486598387449E-2</v>
      </c>
      <c r="C13" s="5">
        <f t="shared" ref="C13:H13" si="4">(C12-C9)/C9</f>
        <v>7.9661016949152536E-3</v>
      </c>
      <c r="D13" s="5">
        <f t="shared" si="4"/>
        <v>0.23309230114844748</v>
      </c>
      <c r="E13" s="5">
        <f t="shared" si="4"/>
        <v>-0.1340696965433141</v>
      </c>
      <c r="F13" s="5">
        <f t="shared" si="4"/>
        <v>1.3882423209690034E-2</v>
      </c>
      <c r="G13" s="5">
        <f t="shared" si="4"/>
        <v>0.11251268493617347</v>
      </c>
      <c r="H13" s="5">
        <f t="shared" si="4"/>
        <v>-8.8655404169294391E-2</v>
      </c>
      <c r="I13" s="1" t="s">
        <v>30</v>
      </c>
      <c r="J13" s="1" t="s">
        <v>30</v>
      </c>
      <c r="K13" s="1" t="s">
        <v>30</v>
      </c>
      <c r="L13" s="5">
        <f t="shared" ref="L13:Q13" si="5">(L12-L9)/L9</f>
        <v>1.4172515281865467E-2</v>
      </c>
      <c r="M13" s="1" t="s">
        <v>30</v>
      </c>
      <c r="N13" s="1" t="s">
        <v>30</v>
      </c>
      <c r="O13" s="5">
        <f t="shared" si="5"/>
        <v>1.4172515281865467E-2</v>
      </c>
      <c r="P13" s="5">
        <f t="shared" si="5"/>
        <v>0.1106791143808348</v>
      </c>
      <c r="Q13" s="5">
        <f t="shared" si="5"/>
        <v>-8.6889721657158012E-2</v>
      </c>
    </row>
    <row r="14" spans="1:17" ht="16.5" customHeight="1" x14ac:dyDescent="0.25">
      <c r="A14" s="3" t="s">
        <v>29</v>
      </c>
      <c r="B14" s="4">
        <f t="shared" ref="B14:H14" si="6">(((B12/B6)^(1/2))-1)</f>
        <v>-0.15990039225777442</v>
      </c>
      <c r="C14" s="4">
        <f t="shared" si="6"/>
        <v>-5.7296278623530594E-2</v>
      </c>
      <c r="D14" s="4">
        <f t="shared" si="6"/>
        <v>3.1190510674043992E-3</v>
      </c>
      <c r="E14" s="4">
        <f t="shared" si="6"/>
        <v>-9.5742538705018698E-2</v>
      </c>
      <c r="F14" s="4">
        <f t="shared" si="6"/>
        <v>2.4566269978944399E-2</v>
      </c>
      <c r="G14" s="4">
        <f t="shared" si="6"/>
        <v>-8.6610741936832492E-2</v>
      </c>
      <c r="H14" s="4">
        <f t="shared" si="6"/>
        <v>0.12171920233825229</v>
      </c>
      <c r="I14" s="10" t="s">
        <v>30</v>
      </c>
      <c r="J14" s="10" t="s">
        <v>30</v>
      </c>
      <c r="K14" s="10" t="s">
        <v>30</v>
      </c>
      <c r="L14" s="4">
        <f t="shared" ref="L14:Q14" si="7">(((L12/L6)^(1/2))-1)</f>
        <v>2.3482585464929429E-2</v>
      </c>
      <c r="M14" s="10" t="s">
        <v>30</v>
      </c>
      <c r="N14" s="10" t="s">
        <v>30</v>
      </c>
      <c r="O14" s="4">
        <f t="shared" si="7"/>
        <v>2.3482585464929429E-2</v>
      </c>
      <c r="P14" s="4">
        <f t="shared" si="7"/>
        <v>-8.3234242446883044E-2</v>
      </c>
      <c r="Q14" s="4">
        <f t="shared" si="7"/>
        <v>0.1164057743568474</v>
      </c>
    </row>
    <row r="15" spans="1:17" ht="16.5" customHeight="1" x14ac:dyDescent="0.25">
      <c r="A15" s="6" t="s">
        <v>22</v>
      </c>
      <c r="B15" s="7">
        <v>1829</v>
      </c>
      <c r="C15" s="7">
        <v>3247</v>
      </c>
      <c r="D15" s="7">
        <v>1634</v>
      </c>
      <c r="E15" s="7">
        <v>219802</v>
      </c>
      <c r="F15" s="7">
        <v>186.005</v>
      </c>
      <c r="G15" s="7">
        <v>304.149</v>
      </c>
      <c r="H15" s="8">
        <v>61.155880834722453</v>
      </c>
      <c r="I15" s="9">
        <v>0</v>
      </c>
      <c r="J15" s="9">
        <v>0</v>
      </c>
      <c r="K15" s="9">
        <v>0</v>
      </c>
      <c r="L15" s="9">
        <v>18.04718685491472</v>
      </c>
      <c r="M15" s="9">
        <v>0</v>
      </c>
      <c r="N15" s="9">
        <v>0</v>
      </c>
      <c r="O15" s="9">
        <v>18.04718685491472</v>
      </c>
      <c r="P15" s="9">
        <v>31.294193904482349</v>
      </c>
      <c r="Q15" s="8">
        <v>57.669441526435271</v>
      </c>
    </row>
    <row r="16" spans="1:17" ht="16.5" customHeight="1" x14ac:dyDescent="0.25">
      <c r="A16" s="2" t="s">
        <v>31</v>
      </c>
      <c r="B16" s="5">
        <f>(B15-B12)/B12</f>
        <v>-0.57779316712834716</v>
      </c>
      <c r="C16" s="5">
        <f t="shared" ref="C16:H16" si="8">(C15-C12)/C12</f>
        <v>-0.45401042542458381</v>
      </c>
      <c r="D16" s="5">
        <f t="shared" si="8"/>
        <v>-0.43635736460848568</v>
      </c>
      <c r="E16" s="5">
        <f t="shared" si="8"/>
        <v>-7.8898668472128196E-3</v>
      </c>
      <c r="F16" s="5">
        <f t="shared" si="8"/>
        <v>-0.19429175384108921</v>
      </c>
      <c r="G16" s="5">
        <f t="shared" si="8"/>
        <v>-0.34412764269017454</v>
      </c>
      <c r="H16" s="5">
        <f t="shared" si="8"/>
        <v>0.22845281887418351</v>
      </c>
      <c r="I16" s="1" t="s">
        <v>30</v>
      </c>
      <c r="J16" s="1" t="s">
        <v>30</v>
      </c>
      <c r="K16" s="1" t="s">
        <v>30</v>
      </c>
      <c r="L16" s="5">
        <f t="shared" ref="L16:Q16" si="9">(L15-L12)/L12</f>
        <v>-0.19425007344786496</v>
      </c>
      <c r="M16" s="1" t="s">
        <v>30</v>
      </c>
      <c r="N16" s="1" t="s">
        <v>30</v>
      </c>
      <c r="O16" s="5">
        <f t="shared" si="9"/>
        <v>-0.19425007344786496</v>
      </c>
      <c r="P16" s="5">
        <f t="shared" si="9"/>
        <v>-0.34403349813481571</v>
      </c>
      <c r="Q16" s="5">
        <f t="shared" si="9"/>
        <v>0.22834005129995885</v>
      </c>
    </row>
    <row r="17" spans="1:17" ht="16.5" customHeight="1" x14ac:dyDescent="0.25">
      <c r="A17" s="3" t="s">
        <v>29</v>
      </c>
      <c r="B17" s="4">
        <f t="shared" ref="B17:H17" si="10">(((B15/B6)^(1/3))-1)</f>
        <v>-0.33207309088838532</v>
      </c>
      <c r="C17" s="4">
        <f t="shared" si="10"/>
        <v>-0.21420077219515188</v>
      </c>
      <c r="D17" s="4">
        <f t="shared" si="10"/>
        <v>-0.17224286807534084</v>
      </c>
      <c r="E17" s="4">
        <f t="shared" si="10"/>
        <v>-6.7358587398628211E-2</v>
      </c>
      <c r="F17" s="4">
        <f t="shared" si="10"/>
        <v>-5.4301633222601731E-2</v>
      </c>
      <c r="G17" s="4">
        <f t="shared" si="10"/>
        <v>-0.18208085161687737</v>
      </c>
      <c r="H17" s="4">
        <f t="shared" si="10"/>
        <v>0.1562247547900939</v>
      </c>
      <c r="I17" s="10" t="s">
        <v>30</v>
      </c>
      <c r="J17" s="10" t="s">
        <v>30</v>
      </c>
      <c r="K17" s="10" t="s">
        <v>30</v>
      </c>
      <c r="L17" s="4">
        <f t="shared" ref="L17:Q17" si="11">(((L15/L6)^(1/3))-1)</f>
        <v>-5.4952299104303659E-2</v>
      </c>
      <c r="M17" s="10" t="s">
        <v>30</v>
      </c>
      <c r="N17" s="10" t="s">
        <v>30</v>
      </c>
      <c r="O17" s="4">
        <f t="shared" si="11"/>
        <v>-5.4952299104303659E-2</v>
      </c>
      <c r="P17" s="4">
        <f t="shared" si="11"/>
        <v>-0.18002714340022385</v>
      </c>
      <c r="Q17" s="4">
        <f t="shared" si="11"/>
        <v>0.15253534710231076</v>
      </c>
    </row>
    <row r="18" spans="1:17" ht="16.5" customHeight="1" x14ac:dyDescent="0.25">
      <c r="A18" s="6" t="s">
        <v>23</v>
      </c>
      <c r="B18" s="7">
        <v>2538</v>
      </c>
      <c r="C18" s="7">
        <v>4314</v>
      </c>
      <c r="D18" s="7">
        <v>2108.1990000000001</v>
      </c>
      <c r="E18" s="7">
        <v>354640</v>
      </c>
      <c r="F18" s="7">
        <v>292.246624</v>
      </c>
      <c r="G18" s="7">
        <v>392.17998</v>
      </c>
      <c r="H18" s="8">
        <v>74.518496329159888</v>
      </c>
      <c r="I18" s="9">
        <v>0</v>
      </c>
      <c r="J18" s="9">
        <v>0</v>
      </c>
      <c r="K18" s="9">
        <v>0</v>
      </c>
      <c r="L18" s="9">
        <v>28.353575005850356</v>
      </c>
      <c r="M18" s="9">
        <v>0</v>
      </c>
      <c r="N18" s="9">
        <v>0</v>
      </c>
      <c r="O18" s="9">
        <v>28.353575005850356</v>
      </c>
      <c r="P18" s="9">
        <v>40.33931254062621</v>
      </c>
      <c r="Q18" s="8">
        <v>70.287700062550968</v>
      </c>
    </row>
    <row r="19" spans="1:17" ht="16.5" customHeight="1" x14ac:dyDescent="0.25">
      <c r="A19" s="2" t="s">
        <v>31</v>
      </c>
      <c r="B19" s="5">
        <f>(B18-B15)/B15</f>
        <v>0.38764352104975397</v>
      </c>
      <c r="C19" s="5">
        <f t="shared" ref="C19:H19" si="12">(C18-C15)/C15</f>
        <v>0.32861102556205729</v>
      </c>
      <c r="D19" s="5">
        <f t="shared" si="12"/>
        <v>0.29020746634026934</v>
      </c>
      <c r="E19" s="5">
        <f t="shared" si="12"/>
        <v>0.61345210689620655</v>
      </c>
      <c r="F19" s="5">
        <f t="shared" si="12"/>
        <v>0.57117617268353005</v>
      </c>
      <c r="G19" s="5">
        <f t="shared" si="12"/>
        <v>0.28943373149344565</v>
      </c>
      <c r="H19" s="5">
        <f t="shared" si="12"/>
        <v>0.21850090804105543</v>
      </c>
      <c r="I19" s="5" t="s">
        <v>30</v>
      </c>
      <c r="J19" s="5" t="s">
        <v>30</v>
      </c>
      <c r="K19" s="5" t="s">
        <v>30</v>
      </c>
      <c r="L19" s="5">
        <f t="shared" ref="L19:Q19" si="13">(L18-L15)/L15</f>
        <v>0.57108003778045535</v>
      </c>
      <c r="M19" s="1" t="s">
        <v>30</v>
      </c>
      <c r="N19" s="1" t="s">
        <v>30</v>
      </c>
      <c r="O19" s="5">
        <f t="shared" si="13"/>
        <v>0.57108003778045535</v>
      </c>
      <c r="P19" s="5">
        <f t="shared" si="13"/>
        <v>0.28903504157198651</v>
      </c>
      <c r="Q19" s="5">
        <f t="shared" si="13"/>
        <v>0.21880320325855027</v>
      </c>
    </row>
    <row r="20" spans="1:17" ht="16.5" customHeight="1" x14ac:dyDescent="0.25">
      <c r="A20" s="3" t="s">
        <v>29</v>
      </c>
      <c r="B20" s="4">
        <f t="shared" ref="B20:H20" si="14">(((B18/B6)^(1/4))-1)</f>
        <v>-0.19810744124237933</v>
      </c>
      <c r="C20" s="4">
        <f t="shared" si="14"/>
        <v>-0.10394810772352114</v>
      </c>
      <c r="D20" s="4">
        <f t="shared" si="14"/>
        <v>-7.5105735729716461E-2</v>
      </c>
      <c r="E20" s="4">
        <f t="shared" si="14"/>
        <v>6.960898251898251E-2</v>
      </c>
      <c r="F20" s="4">
        <f t="shared" si="14"/>
        <v>7.3669708060853045E-2</v>
      </c>
      <c r="G20" s="4">
        <f t="shared" si="14"/>
        <v>-8.349985396525772E-2</v>
      </c>
      <c r="H20" s="4">
        <f t="shared" si="14"/>
        <v>0.1714888565005781</v>
      </c>
      <c r="I20" s="4" t="s">
        <v>30</v>
      </c>
      <c r="J20" s="4" t="s">
        <v>30</v>
      </c>
      <c r="K20" s="4" t="s">
        <v>30</v>
      </c>
      <c r="L20" s="4">
        <f t="shared" ref="L20:Q20" si="15">(((L18/L6)^(1/4))-1)</f>
        <v>7.3099209750015381E-2</v>
      </c>
      <c r="M20" s="10" t="s">
        <v>30</v>
      </c>
      <c r="N20" s="10" t="s">
        <v>30</v>
      </c>
      <c r="O20" s="4">
        <f t="shared" si="15"/>
        <v>7.3099209750015381E-2</v>
      </c>
      <c r="P20" s="4">
        <f t="shared" si="15"/>
        <v>-8.1845455651137655E-2</v>
      </c>
      <c r="Q20" s="4">
        <f t="shared" si="15"/>
        <v>0.16875662855977769</v>
      </c>
    </row>
    <row r="21" spans="1:17" ht="16.5" customHeight="1" x14ac:dyDescent="0.25">
      <c r="A21" s="6" t="s">
        <v>24</v>
      </c>
      <c r="B21" s="7">
        <v>1217</v>
      </c>
      <c r="C21" s="7">
        <v>1689</v>
      </c>
      <c r="D21" s="7">
        <v>858</v>
      </c>
      <c r="E21" s="7">
        <v>191095</v>
      </c>
      <c r="F21" s="7">
        <v>113.798</v>
      </c>
      <c r="G21" s="7">
        <v>154.88</v>
      </c>
      <c r="H21" s="8">
        <v>73.474948347107443</v>
      </c>
      <c r="I21" s="9">
        <v>0</v>
      </c>
      <c r="J21" s="9">
        <v>0</v>
      </c>
      <c r="K21" s="9">
        <v>0</v>
      </c>
      <c r="L21" s="9">
        <v>14.44186</v>
      </c>
      <c r="M21" s="9">
        <v>0.13560999999999998</v>
      </c>
      <c r="N21" s="9">
        <v>0.47</v>
      </c>
      <c r="O21" s="9">
        <v>14.57794</v>
      </c>
      <c r="P21" s="9">
        <v>24.274489999999997</v>
      </c>
      <c r="Q21" s="8">
        <v>60.054567572789388</v>
      </c>
    </row>
    <row r="22" spans="1:17" ht="16.5" customHeight="1" x14ac:dyDescent="0.25">
      <c r="A22" s="2" t="s">
        <v>31</v>
      </c>
      <c r="B22" s="5">
        <f>(B21-B18)/B18</f>
        <v>-0.52048857368006307</v>
      </c>
      <c r="C22" s="5">
        <f t="shared" ref="C22:H22" si="16">(C21-C18)/C18</f>
        <v>-0.6084840055632823</v>
      </c>
      <c r="D22" s="5">
        <f t="shared" si="16"/>
        <v>-0.59301754720498401</v>
      </c>
      <c r="E22" s="5">
        <f t="shared" si="16"/>
        <v>-0.46115779381908412</v>
      </c>
      <c r="F22" s="5">
        <f t="shared" si="16"/>
        <v>-0.61060970203029619</v>
      </c>
      <c r="G22" s="5">
        <f t="shared" si="16"/>
        <v>-0.60507928018151258</v>
      </c>
      <c r="H22" s="5">
        <f t="shared" si="16"/>
        <v>-1.400387868057522E-2</v>
      </c>
      <c r="I22" s="1" t="s">
        <v>30</v>
      </c>
      <c r="J22" s="1" t="s">
        <v>30</v>
      </c>
      <c r="K22" s="1" t="s">
        <v>30</v>
      </c>
      <c r="L22" s="5">
        <f t="shared" ref="L22:Q22" si="17">(L21-L18)/L18</f>
        <v>-0.49065117901287125</v>
      </c>
      <c r="M22" s="1" t="s">
        <v>30</v>
      </c>
      <c r="N22" s="1" t="s">
        <v>30</v>
      </c>
      <c r="O22" s="5">
        <f t="shared" si="17"/>
        <v>-0.48585178422854791</v>
      </c>
      <c r="P22" s="5">
        <f t="shared" si="17"/>
        <v>-0.39824234794400959</v>
      </c>
      <c r="Q22" s="5">
        <f t="shared" si="17"/>
        <v>-0.1455892351101947</v>
      </c>
    </row>
    <row r="23" spans="1:17" ht="16.5" customHeight="1" x14ac:dyDescent="0.25">
      <c r="A23" s="3" t="s">
        <v>29</v>
      </c>
      <c r="B23" s="4">
        <f t="shared" ref="B23:H23" si="18">(((B21/B6)^(1/5))-1)</f>
        <v>-0.27647633792746107</v>
      </c>
      <c r="C23" s="4">
        <f t="shared" si="18"/>
        <v>-0.24069470084426725</v>
      </c>
      <c r="D23" s="4">
        <f t="shared" si="18"/>
        <v>-0.21514612664455135</v>
      </c>
      <c r="E23" s="4">
        <f t="shared" si="18"/>
        <v>-6.7449510728562867E-2</v>
      </c>
      <c r="F23" s="4">
        <f t="shared" si="18"/>
        <v>-0.12345627400655024</v>
      </c>
      <c r="G23" s="4">
        <f t="shared" si="18"/>
        <v>-0.22552390958773605</v>
      </c>
      <c r="H23" s="4">
        <f t="shared" si="18"/>
        <v>0.1317892661177622</v>
      </c>
      <c r="I23" s="10" t="s">
        <v>30</v>
      </c>
      <c r="J23" s="10" t="s">
        <v>30</v>
      </c>
      <c r="K23" s="10" t="s">
        <v>30</v>
      </c>
      <c r="L23" s="4">
        <f t="shared" ref="L23:Q23" si="19">(((L21/L6)^(1/5))-1)</f>
        <v>-7.5482872883980701E-2</v>
      </c>
      <c r="M23" s="10" t="s">
        <v>30</v>
      </c>
      <c r="N23" s="10" t="s">
        <v>30</v>
      </c>
      <c r="O23" s="4">
        <f t="shared" si="19"/>
        <v>-7.3747130023169016E-2</v>
      </c>
      <c r="P23" s="4">
        <f t="shared" si="19"/>
        <v>-0.15624384336208197</v>
      </c>
      <c r="Q23" s="4">
        <f t="shared" si="19"/>
        <v>9.7773169048785746E-2</v>
      </c>
    </row>
    <row r="24" spans="1:17" ht="16.5" customHeight="1" x14ac:dyDescent="0.25">
      <c r="A24" s="6" t="s">
        <v>25</v>
      </c>
      <c r="B24" s="7">
        <v>934</v>
      </c>
      <c r="C24" s="7">
        <v>1355.7299999999998</v>
      </c>
      <c r="D24" s="7">
        <v>585</v>
      </c>
      <c r="E24" s="7">
        <v>149217</v>
      </c>
      <c r="F24" s="7">
        <v>82.495000000000005</v>
      </c>
      <c r="G24" s="7">
        <v>108.44199999999999</v>
      </c>
      <c r="H24" s="8">
        <v>76.072923774921165</v>
      </c>
      <c r="I24" s="9">
        <v>238.89</v>
      </c>
      <c r="J24" s="9">
        <v>0.21600000000000003</v>
      </c>
      <c r="K24" s="9">
        <v>239.10599999999999</v>
      </c>
      <c r="L24" s="9">
        <v>8.781699999999999</v>
      </c>
      <c r="M24" s="9">
        <v>9.1990000000000002E-2</v>
      </c>
      <c r="N24" s="9">
        <v>0.10011</v>
      </c>
      <c r="O24" s="9">
        <v>8.873899999999999</v>
      </c>
      <c r="P24" s="9">
        <v>14.021330000000001</v>
      </c>
      <c r="Q24" s="8">
        <v>63.288575334864795</v>
      </c>
    </row>
    <row r="25" spans="1:17" ht="16.5" customHeight="1" x14ac:dyDescent="0.25">
      <c r="A25" s="2" t="s">
        <v>31</v>
      </c>
      <c r="B25" s="5">
        <f>(B24-B21)/B21</f>
        <v>-0.23253903040262941</v>
      </c>
      <c r="C25" s="5">
        <f t="shared" ref="C25:H25" si="20">(C24-C21)/C21</f>
        <v>-0.19731793960923635</v>
      </c>
      <c r="D25" s="5">
        <f t="shared" si="20"/>
        <v>-0.31818181818181818</v>
      </c>
      <c r="E25" s="5">
        <f t="shared" si="20"/>
        <v>-0.2191475444150815</v>
      </c>
      <c r="F25" s="5">
        <f t="shared" si="20"/>
        <v>-0.27507513313063497</v>
      </c>
      <c r="G25" s="5">
        <f t="shared" si="20"/>
        <v>-0.29983212809917359</v>
      </c>
      <c r="H25" s="5">
        <f t="shared" si="20"/>
        <v>3.5358656062478185E-2</v>
      </c>
      <c r="I25" s="1" t="s">
        <v>30</v>
      </c>
      <c r="J25" s="1" t="s">
        <v>30</v>
      </c>
      <c r="K25" s="1" t="s">
        <v>30</v>
      </c>
      <c r="L25" s="5">
        <f t="shared" ref="L25:Q25" si="21">(L24-L21)/L21</f>
        <v>-0.39192735561762826</v>
      </c>
      <c r="M25" s="1" t="s">
        <v>30</v>
      </c>
      <c r="N25" s="1" t="s">
        <v>30</v>
      </c>
      <c r="O25" s="5">
        <f t="shared" si="21"/>
        <v>-0.39127887753688112</v>
      </c>
      <c r="P25" s="5">
        <f t="shared" si="21"/>
        <v>-0.42238415719547545</v>
      </c>
      <c r="Q25" s="5">
        <f t="shared" si="21"/>
        <v>5.3851153921899694E-2</v>
      </c>
    </row>
    <row r="26" spans="1:17" ht="16.5" customHeight="1" x14ac:dyDescent="0.25">
      <c r="A26" s="3" t="s">
        <v>29</v>
      </c>
      <c r="B26" s="4">
        <f t="shared" ref="B26:H26" si="22">(((B24/B6)^(1/6))-1)</f>
        <v>-0.2693321495862242</v>
      </c>
      <c r="C26" s="4">
        <f t="shared" si="22"/>
        <v>-0.23363154797093644</v>
      </c>
      <c r="D26" s="4">
        <f t="shared" si="22"/>
        <v>-0.2333412419006351</v>
      </c>
      <c r="E26" s="4">
        <f t="shared" si="22"/>
        <v>-9.4638980419679108E-2</v>
      </c>
      <c r="F26" s="4">
        <f t="shared" si="22"/>
        <v>-0.15076708020787666</v>
      </c>
      <c r="G26" s="4">
        <f t="shared" si="22"/>
        <v>-0.23843488500701437</v>
      </c>
      <c r="H26" s="4">
        <f t="shared" si="22"/>
        <v>0.11511531065855762</v>
      </c>
      <c r="I26" s="10" t="s">
        <v>30</v>
      </c>
      <c r="J26" s="10" t="s">
        <v>30</v>
      </c>
      <c r="K26" s="10" t="s">
        <v>30</v>
      </c>
      <c r="L26" s="4">
        <f t="shared" ref="L26:Q26" si="23">(((L24/L6)^(1/6))-1)</f>
        <v>-0.1378389900734226</v>
      </c>
      <c r="M26" s="10" t="s">
        <v>30</v>
      </c>
      <c r="N26" s="10" t="s">
        <v>30</v>
      </c>
      <c r="O26" s="4">
        <f t="shared" si="23"/>
        <v>-0.13633689451797115</v>
      </c>
      <c r="P26" s="4">
        <f t="shared" si="23"/>
        <v>-0.20788668843112823</v>
      </c>
      <c r="Q26" s="4">
        <f t="shared" si="23"/>
        <v>9.0327725677838311E-2</v>
      </c>
    </row>
    <row r="27" spans="1:17" ht="16.5" customHeight="1" x14ac:dyDescent="0.25">
      <c r="A27" s="6" t="s">
        <v>26</v>
      </c>
      <c r="B27" s="7">
        <v>2005</v>
      </c>
      <c r="C27" s="7">
        <v>1748</v>
      </c>
      <c r="D27" s="7">
        <v>555.58000000000004</v>
      </c>
      <c r="E27" s="7">
        <v>110881</v>
      </c>
      <c r="F27" s="7">
        <v>61.255130000000001</v>
      </c>
      <c r="G27" s="7">
        <v>103.33177000000001</v>
      </c>
      <c r="H27" s="8">
        <v>59.280054914379186</v>
      </c>
      <c r="I27" s="9">
        <v>578.92999999999995</v>
      </c>
      <c r="J27" s="9">
        <v>0.18</v>
      </c>
      <c r="K27" s="9">
        <v>579.11000000000013</v>
      </c>
      <c r="L27" s="9">
        <v>5.0558699999999996</v>
      </c>
      <c r="M27" s="9">
        <v>7.4339999999999989E-2</v>
      </c>
      <c r="N27" s="9">
        <v>1.0999999999999999E-4</v>
      </c>
      <c r="O27" s="9">
        <v>5.1303199999999993</v>
      </c>
      <c r="P27" s="9">
        <v>9.630390000000002</v>
      </c>
      <c r="Q27" s="8">
        <v>53.272193545640398</v>
      </c>
    </row>
    <row r="28" spans="1:17" ht="16.5" customHeight="1" x14ac:dyDescent="0.25">
      <c r="A28" s="2" t="s">
        <v>31</v>
      </c>
      <c r="B28" s="5">
        <f>(B27-B24)/B24</f>
        <v>1.1466809421841542</v>
      </c>
      <c r="C28" s="5">
        <f t="shared" ref="C28:H28" si="24">(C27-C24)/C24</f>
        <v>0.28934227316648614</v>
      </c>
      <c r="D28" s="5">
        <f t="shared" si="24"/>
        <v>-5.0290598290598218E-2</v>
      </c>
      <c r="E28" s="5">
        <f t="shared" si="24"/>
        <v>-0.25691442664039621</v>
      </c>
      <c r="F28" s="5">
        <f t="shared" si="24"/>
        <v>-0.25746857385296079</v>
      </c>
      <c r="G28" s="5">
        <f t="shared" si="24"/>
        <v>-4.7124084764205633E-2</v>
      </c>
      <c r="H28" s="5">
        <f t="shared" si="24"/>
        <v>-0.22074698890537525</v>
      </c>
      <c r="I28" s="1" t="s">
        <v>30</v>
      </c>
      <c r="J28" s="1" t="s">
        <v>30</v>
      </c>
      <c r="K28" s="1" t="s">
        <v>30</v>
      </c>
      <c r="L28" s="5">
        <f t="shared" ref="L28:Q28" si="25">(L27-L24)/L24</f>
        <v>-0.42427206577314186</v>
      </c>
      <c r="M28" s="5">
        <f t="shared" si="25"/>
        <v>-0.19186868137841084</v>
      </c>
      <c r="N28" s="5">
        <f t="shared" si="25"/>
        <v>-0.9989012086704625</v>
      </c>
      <c r="O28" s="5">
        <f t="shared" si="25"/>
        <v>-0.42186411836960075</v>
      </c>
      <c r="P28" s="5">
        <f t="shared" si="25"/>
        <v>-0.31316144759448628</v>
      </c>
      <c r="Q28" s="5">
        <f t="shared" si="25"/>
        <v>-0.15826524354872801</v>
      </c>
    </row>
    <row r="29" spans="1:17" ht="16.5" customHeight="1" x14ac:dyDescent="0.25">
      <c r="A29" s="3" t="s">
        <v>29</v>
      </c>
      <c r="B29" s="4">
        <f t="shared" ref="B29:H29" si="26">(((B27/B6)^(1/7))-1)</f>
        <v>-0.14771680052564706</v>
      </c>
      <c r="C29" s="4">
        <f t="shared" si="26"/>
        <v>-0.17450695423841789</v>
      </c>
      <c r="D29" s="4">
        <f t="shared" si="26"/>
        <v>-0.20952854394775156</v>
      </c>
      <c r="E29" s="4">
        <f t="shared" si="26"/>
        <v>-0.11982894363004126</v>
      </c>
      <c r="F29" s="4">
        <f t="shared" si="26"/>
        <v>-0.16690114466982586</v>
      </c>
      <c r="G29" s="4">
        <f t="shared" si="26"/>
        <v>-0.21365844148297708</v>
      </c>
      <c r="H29" s="4">
        <f t="shared" si="26"/>
        <v>5.9461815678840235E-2</v>
      </c>
      <c r="I29" s="10" t="s">
        <v>30</v>
      </c>
      <c r="J29" s="10" t="s">
        <v>30</v>
      </c>
      <c r="K29" s="10" t="s">
        <v>30</v>
      </c>
      <c r="L29" s="4">
        <f t="shared" ref="L29:Q29" si="27">(((L27/L6)^(1/7))-1)</f>
        <v>-0.18616686583059872</v>
      </c>
      <c r="M29" s="10" t="s">
        <v>30</v>
      </c>
      <c r="N29" s="10" t="s">
        <v>30</v>
      </c>
      <c r="O29" s="4">
        <f t="shared" si="27"/>
        <v>-0.18446556335701858</v>
      </c>
      <c r="P29" s="4">
        <f t="shared" si="27"/>
        <v>-0.22386049259199636</v>
      </c>
      <c r="Q29" s="4">
        <f t="shared" si="27"/>
        <v>5.0757536317847185E-2</v>
      </c>
    </row>
    <row r="30" spans="1:17" ht="16.5" customHeight="1" x14ac:dyDescent="0.25">
      <c r="A30" s="6" t="s">
        <v>27</v>
      </c>
      <c r="B30" s="7">
        <v>2240</v>
      </c>
      <c r="C30" s="7">
        <v>2903.8</v>
      </c>
      <c r="D30" s="7">
        <v>1264.18</v>
      </c>
      <c r="E30" s="7">
        <v>130787</v>
      </c>
      <c r="F30" s="7">
        <v>142.679923</v>
      </c>
      <c r="G30" s="7">
        <v>235.13674000000003</v>
      </c>
      <c r="H30" s="8">
        <v>60.679553097487016</v>
      </c>
      <c r="I30" s="9">
        <v>602.35</v>
      </c>
      <c r="J30" s="9">
        <v>0.18099999999999999</v>
      </c>
      <c r="K30" s="9">
        <v>602.53099999999995</v>
      </c>
      <c r="L30" s="9">
        <v>13.485059999999999</v>
      </c>
      <c r="M30" s="9">
        <v>0.12964000000000001</v>
      </c>
      <c r="N30" s="9">
        <v>3.5009999999999994E-4</v>
      </c>
      <c r="O30" s="9">
        <v>13.615050100000001</v>
      </c>
      <c r="P30" s="9">
        <v>25.340650000000004</v>
      </c>
      <c r="Q30" s="8">
        <v>53.728101291797955</v>
      </c>
    </row>
    <row r="31" spans="1:17" ht="16.5" customHeight="1" x14ac:dyDescent="0.25">
      <c r="A31" s="2" t="s">
        <v>31</v>
      </c>
      <c r="B31" s="5">
        <f>(B30-B27)/B27</f>
        <v>0.1172069825436409</v>
      </c>
      <c r="C31" s="5">
        <f t="shared" ref="C31:H31" si="28">(C30-C27)/C27</f>
        <v>0.66121281464530901</v>
      </c>
      <c r="D31" s="5">
        <f t="shared" si="28"/>
        <v>1.2754238813492207</v>
      </c>
      <c r="E31" s="5">
        <f t="shared" si="28"/>
        <v>0.17952579792750786</v>
      </c>
      <c r="F31" s="5">
        <f t="shared" si="28"/>
        <v>1.3292730421109218</v>
      </c>
      <c r="G31" s="5">
        <f t="shared" si="28"/>
        <v>1.2755512655981798</v>
      </c>
      <c r="H31" s="5">
        <f t="shared" si="28"/>
        <v>2.3608247076174069E-2</v>
      </c>
      <c r="I31" s="5">
        <f t="shared" ref="I31:Q31" si="29">(I30-I27)/I27</f>
        <v>4.0453940890954131E-2</v>
      </c>
      <c r="J31" s="5">
        <f t="shared" si="29"/>
        <v>5.555555555555561E-3</v>
      </c>
      <c r="K31" s="5">
        <f t="shared" si="29"/>
        <v>4.0443093712765825E-2</v>
      </c>
      <c r="L31" s="5">
        <f t="shared" si="29"/>
        <v>1.6672086109808992</v>
      </c>
      <c r="M31" s="5">
        <f t="shared" si="29"/>
        <v>0.74387947269303234</v>
      </c>
      <c r="N31" s="5">
        <f t="shared" si="29"/>
        <v>2.1827272727272726</v>
      </c>
      <c r="O31" s="5">
        <f t="shared" si="29"/>
        <v>1.6538403257496614</v>
      </c>
      <c r="P31" s="5">
        <f t="shared" si="29"/>
        <v>1.6313212652862448</v>
      </c>
      <c r="Q31" s="5">
        <f t="shared" si="29"/>
        <v>8.5580809764659437E-3</v>
      </c>
    </row>
    <row r="32" spans="1:17" ht="16.5" customHeight="1" x14ac:dyDescent="0.25">
      <c r="A32" s="3" t="s">
        <v>29</v>
      </c>
      <c r="B32" s="4">
        <f>(((B30/B6)^(1/8))-1)</f>
        <v>-0.11838769781019554</v>
      </c>
      <c r="C32" s="4">
        <f t="shared" ref="C32:H32" si="30">(((C30/C6)^(1/8))-1)</f>
        <v>-9.9098311947176443E-2</v>
      </c>
      <c r="D32" s="4">
        <f t="shared" si="30"/>
        <v>-9.7840748452852733E-2</v>
      </c>
      <c r="E32" s="4">
        <f t="shared" si="30"/>
        <v>-8.7023438518804785E-2</v>
      </c>
      <c r="F32" s="4">
        <f t="shared" si="30"/>
        <v>-5.2646594614423892E-2</v>
      </c>
      <c r="G32" s="4">
        <f t="shared" si="30"/>
        <v>-0.10196005762341376</v>
      </c>
      <c r="H32" s="4">
        <f t="shared" si="30"/>
        <v>5.4912327038022513E-2</v>
      </c>
      <c r="I32" s="10" t="s">
        <v>30</v>
      </c>
      <c r="J32" s="10" t="s">
        <v>30</v>
      </c>
      <c r="K32" s="10" t="s">
        <v>30</v>
      </c>
      <c r="L32" s="4">
        <f t="shared" ref="L32:Q32" si="31">(((L30/L6)^(1/8))-1)</f>
        <v>-5.5992228243537778E-2</v>
      </c>
      <c r="M32" s="10" t="s">
        <v>30</v>
      </c>
      <c r="N32" s="10" t="s">
        <v>30</v>
      </c>
      <c r="O32" s="4">
        <f t="shared" si="31"/>
        <v>-5.4859518711267596E-2</v>
      </c>
      <c r="P32" s="4">
        <f t="shared" si="31"/>
        <v>-9.5894624815548668E-2</v>
      </c>
      <c r="Q32" s="4">
        <f t="shared" si="31"/>
        <v>4.5387525868773038E-2</v>
      </c>
    </row>
    <row r="33" spans="1:17" ht="16.5" customHeight="1" x14ac:dyDescent="0.25">
      <c r="A33" s="6" t="s">
        <v>32</v>
      </c>
      <c r="B33" s="7">
        <v>3092</v>
      </c>
      <c r="C33" s="7">
        <v>4765.74</v>
      </c>
      <c r="D33" s="7">
        <v>2227.3220000000001</v>
      </c>
      <c r="E33" s="7">
        <v>194080</v>
      </c>
      <c r="F33" s="7">
        <v>265.73710299999999</v>
      </c>
      <c r="G33" s="7">
        <v>414.28162600000007</v>
      </c>
      <c r="H33" s="8">
        <v>64.144071646566331</v>
      </c>
      <c r="I33" s="9">
        <v>434.53500000000003</v>
      </c>
      <c r="J33" s="9">
        <v>0.20699999999999999</v>
      </c>
      <c r="K33" s="9">
        <v>434.74199999999996</v>
      </c>
      <c r="L33" s="9">
        <v>21.119583132999999</v>
      </c>
      <c r="M33" s="9">
        <v>0.122007768</v>
      </c>
      <c r="N33" s="9">
        <v>6.6936600000000001E-4</v>
      </c>
      <c r="O33" s="9">
        <v>21.241849667</v>
      </c>
      <c r="P33" s="9">
        <v>38.793933605999996</v>
      </c>
      <c r="Q33" s="8">
        <v>54.755596281462594</v>
      </c>
    </row>
    <row r="34" spans="1:17" ht="16.5" customHeight="1" x14ac:dyDescent="0.25">
      <c r="A34" s="2" t="s">
        <v>31</v>
      </c>
      <c r="B34" s="5">
        <f>(B33-B30)/B30</f>
        <v>0.38035714285714284</v>
      </c>
      <c r="C34" s="5">
        <f t="shared" ref="C34:H34" si="32">(C33-C30)/C30</f>
        <v>0.64120807218127951</v>
      </c>
      <c r="D34" s="5">
        <f t="shared" si="32"/>
        <v>0.76187093610087175</v>
      </c>
      <c r="E34" s="5">
        <f t="shared" si="32"/>
        <v>0.48393953527491262</v>
      </c>
      <c r="F34" s="5">
        <f t="shared" si="32"/>
        <v>0.86247018790443264</v>
      </c>
      <c r="G34" s="5">
        <f t="shared" si="32"/>
        <v>0.76187534963698156</v>
      </c>
      <c r="H34" s="5">
        <f t="shared" si="32"/>
        <v>5.7095320783151826E-2</v>
      </c>
      <c r="I34" s="5">
        <f t="shared" ref="I34:Q34" si="33">(I33-I30)/I30</f>
        <v>-0.27860048144766331</v>
      </c>
      <c r="J34" s="5">
        <f t="shared" si="33"/>
        <v>0.14364640883977897</v>
      </c>
      <c r="K34" s="5">
        <f t="shared" si="33"/>
        <v>-0.27847363870074737</v>
      </c>
      <c r="L34" s="5">
        <f t="shared" si="33"/>
        <v>0.56614676783047313</v>
      </c>
      <c r="M34" s="5">
        <f t="shared" si="33"/>
        <v>-5.8872508485035502E-2</v>
      </c>
      <c r="N34" s="5">
        <f t="shared" si="33"/>
        <v>0.911928020565553</v>
      </c>
      <c r="O34" s="5">
        <f t="shared" si="33"/>
        <v>0.56017418305350186</v>
      </c>
      <c r="P34" s="5">
        <f t="shared" si="33"/>
        <v>0.53089733712434328</v>
      </c>
      <c r="Q34" s="5">
        <f t="shared" si="33"/>
        <v>1.9123977303502716E-2</v>
      </c>
    </row>
    <row r="35" spans="1:17" ht="16.5" customHeight="1" x14ac:dyDescent="0.25">
      <c r="A35" s="3" t="s">
        <v>29</v>
      </c>
      <c r="B35" s="4">
        <f>(((B33/B6)^(1/9))-1)</f>
        <v>-7.3356867977241835E-2</v>
      </c>
      <c r="C35" s="4">
        <f t="shared" ref="C35:H35" si="34">(((C33/C6)^(1/9))-1)</f>
        <v>-3.7013238804479154E-2</v>
      </c>
      <c r="D35" s="4">
        <f t="shared" si="34"/>
        <v>-2.8188141381880194E-2</v>
      </c>
      <c r="E35" s="4">
        <f t="shared" si="34"/>
        <v>-3.6394549426039147E-2</v>
      </c>
      <c r="F35" s="4">
        <f t="shared" si="34"/>
        <v>2.1249181841457743E-2</v>
      </c>
      <c r="G35" s="4">
        <f t="shared" si="34"/>
        <v>-3.2133182536984273E-2</v>
      </c>
      <c r="H35" s="4">
        <f t="shared" si="34"/>
        <v>5.5154659107301995E-2</v>
      </c>
      <c r="I35" s="10" t="s">
        <v>30</v>
      </c>
      <c r="J35" s="10" t="s">
        <v>30</v>
      </c>
      <c r="K35" s="10" t="s">
        <v>30</v>
      </c>
      <c r="L35" s="4">
        <f t="shared" ref="L35:Q35" si="35">(((L33/L6)^(1/9))-1)</f>
        <v>-1.3711397909023093E-3</v>
      </c>
      <c r="M35" s="10" t="s">
        <v>30</v>
      </c>
      <c r="N35" s="10" t="s">
        <v>30</v>
      </c>
      <c r="O35" s="4">
        <f t="shared" si="35"/>
        <v>-7.3041865604484002E-4</v>
      </c>
      <c r="P35" s="4">
        <f t="shared" si="35"/>
        <v>-4.1409403890582674E-2</v>
      </c>
      <c r="Q35" s="4">
        <f t="shared" si="35"/>
        <v>4.2436244836575376E-2</v>
      </c>
    </row>
    <row r="36" spans="1:17" ht="16.5" customHeight="1" x14ac:dyDescent="0.25">
      <c r="A36" s="11" t="s">
        <v>36</v>
      </c>
      <c r="B36" s="7">
        <v>3299</v>
      </c>
      <c r="C36" s="7">
        <v>4905.7</v>
      </c>
      <c r="D36" s="7">
        <v>2503.732</v>
      </c>
      <c r="E36" s="7">
        <v>177292</v>
      </c>
      <c r="F36" s="7">
        <v>269.783614</v>
      </c>
      <c r="G36" s="7">
        <v>436.67741199999995</v>
      </c>
      <c r="H36" s="8">
        <v>61.780986739016406</v>
      </c>
      <c r="I36" s="12">
        <v>843.56000000000006</v>
      </c>
      <c r="J36" s="9">
        <v>0.14000000000000001</v>
      </c>
      <c r="K36" s="9">
        <v>843.7</v>
      </c>
      <c r="L36" s="9">
        <v>22.292352421000004</v>
      </c>
      <c r="M36" s="9">
        <v>0.25577399599999995</v>
      </c>
      <c r="N36" s="9">
        <v>2.7480199999999999E-4</v>
      </c>
      <c r="O36" s="9">
        <v>22.548401218999999</v>
      </c>
      <c r="P36" s="9">
        <v>37.128391248</v>
      </c>
      <c r="Q36" s="8">
        <v>60.73088669096218</v>
      </c>
    </row>
    <row r="37" spans="1:17" ht="16.5" customHeight="1" x14ac:dyDescent="0.25">
      <c r="A37" s="2" t="s">
        <v>28</v>
      </c>
      <c r="B37" s="5">
        <f>(B36-B33)/B33</f>
        <v>6.6946959896507119E-2</v>
      </c>
      <c r="C37" s="5">
        <f t="shared" ref="C37:H37" si="36">(C36-C33)/C33</f>
        <v>2.9367947055441556E-2</v>
      </c>
      <c r="D37" s="5">
        <f t="shared" si="36"/>
        <v>0.1240997035902307</v>
      </c>
      <c r="E37" s="5">
        <f t="shared" si="36"/>
        <v>-8.6500412201154162E-2</v>
      </c>
      <c r="F37" s="5">
        <f t="shared" si="36"/>
        <v>1.5227497230599409E-2</v>
      </c>
      <c r="G37" s="5">
        <f t="shared" si="36"/>
        <v>5.4059327265457507E-2</v>
      </c>
      <c r="H37" s="5">
        <f t="shared" si="36"/>
        <v>-3.684026983148992E-2</v>
      </c>
      <c r="I37" s="5">
        <f t="shared" ref="I37:Q37" si="37">(I36-I33)/I33</f>
        <v>0.94129356668622788</v>
      </c>
      <c r="J37" s="5">
        <f t="shared" si="37"/>
        <v>-0.32367149758454095</v>
      </c>
      <c r="K37" s="5">
        <f t="shared" si="37"/>
        <v>0.94069126056373698</v>
      </c>
      <c r="L37" s="5">
        <f t="shared" si="37"/>
        <v>5.5529944914846203E-2</v>
      </c>
      <c r="M37" s="5">
        <f t="shared" si="37"/>
        <v>1.0963746832906567</v>
      </c>
      <c r="N37" s="5">
        <f t="shared" si="37"/>
        <v>-0.58945927937779929</v>
      </c>
      <c r="O37" s="5">
        <f t="shared" si="37"/>
        <v>6.1508370150541766E-2</v>
      </c>
      <c r="P37" s="5">
        <f t="shared" si="37"/>
        <v>-4.2933062032729723E-2</v>
      </c>
      <c r="Q37" s="5">
        <f t="shared" si="37"/>
        <v>0.10912656998171544</v>
      </c>
    </row>
    <row r="38" spans="1:17" ht="16.5" customHeight="1" x14ac:dyDescent="0.25">
      <c r="A38" s="3" t="s">
        <v>29</v>
      </c>
      <c r="B38" s="4">
        <f>(((B36/B6)^(1/10))-1)</f>
        <v>-6.0199778283944516E-2</v>
      </c>
      <c r="C38" s="4">
        <f t="shared" ref="C38:H38" si="38">(((C36/C6)^(1/10))-1)</f>
        <v>-3.0572469297884264E-2</v>
      </c>
      <c r="D38" s="4">
        <f t="shared" si="38"/>
        <v>-1.393746526120232E-2</v>
      </c>
      <c r="E38" s="4">
        <f t="shared" si="38"/>
        <v>-4.1526392463638651E-2</v>
      </c>
      <c r="F38" s="4">
        <f t="shared" si="38"/>
        <v>2.0645409608684107E-2</v>
      </c>
      <c r="G38" s="4">
        <f t="shared" si="38"/>
        <v>-2.384103725551534E-2</v>
      </c>
      <c r="H38" s="4">
        <f t="shared" si="38"/>
        <v>4.5572953342686295E-2</v>
      </c>
      <c r="I38" s="10" t="s">
        <v>30</v>
      </c>
      <c r="J38" s="10" t="s">
        <v>30</v>
      </c>
      <c r="K38" s="10" t="s">
        <v>30</v>
      </c>
      <c r="L38" s="4">
        <f t="shared" ref="L38:Q38" si="39">(((L36/L6)^(1/10))-1)</f>
        <v>4.1781273673873187E-3</v>
      </c>
      <c r="M38" s="10" t="s">
        <v>30</v>
      </c>
      <c r="N38" s="10" t="s">
        <v>30</v>
      </c>
      <c r="O38" s="4">
        <f t="shared" si="39"/>
        <v>5.3256026200318995E-3</v>
      </c>
      <c r="P38" s="4">
        <f t="shared" si="39"/>
        <v>-4.1561878796544827E-2</v>
      </c>
      <c r="Q38" s="4">
        <f t="shared" si="39"/>
        <v>4.8920718384722228E-2</v>
      </c>
    </row>
    <row r="39" spans="1:17" x14ac:dyDescent="0.25">
      <c r="A39" s="18" t="s">
        <v>35</v>
      </c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</row>
    <row r="40" spans="1:17" ht="31.5" customHeight="1" x14ac:dyDescent="0.25">
      <c r="A40" s="14" t="s">
        <v>37</v>
      </c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</row>
  </sheetData>
  <mergeCells count="14">
    <mergeCell ref="A40:Q40"/>
    <mergeCell ref="P4:P5"/>
    <mergeCell ref="Q4:Q5"/>
    <mergeCell ref="A39:Q39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AIR INDIA EXPRESS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cp:lastPrinted>2021-08-27T23:03:44Z</cp:lastPrinted>
  <dcterms:created xsi:type="dcterms:W3CDTF">2018-10-29T04:00:14Z</dcterms:created>
  <dcterms:modified xsi:type="dcterms:W3CDTF">2021-08-28T00:52:21Z</dcterms:modified>
</cp:coreProperties>
</file>