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PUBLICATION FY2019-20\Annual Publication FY 2019-20\EXCELL\12. INDIGO\"/>
    </mc:Choice>
  </mc:AlternateContent>
  <bookViews>
    <workbookView xWindow="0" yWindow="0" windowWidth="24000" windowHeight="10725"/>
  </bookViews>
  <sheets>
    <sheet name="INDIGO" sheetId="5" r:id="rId1"/>
  </sheets>
  <definedNames>
    <definedName name="_xlnm._FilterDatabase" localSheetId="0" hidden="1">INDIGO!$A$6:$Q$40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38" i="5" l="1"/>
  <c r="P38" i="5"/>
  <c r="O38" i="5"/>
  <c r="M38" i="5"/>
  <c r="L38" i="5"/>
  <c r="K38" i="5"/>
  <c r="I38" i="5"/>
  <c r="H38" i="5"/>
  <c r="G38" i="5"/>
  <c r="F38" i="5"/>
  <c r="E38" i="5"/>
  <c r="D38" i="5"/>
  <c r="C38" i="5"/>
  <c r="B38" i="5"/>
  <c r="P37" i="5"/>
  <c r="O37" i="5"/>
  <c r="N37" i="5"/>
  <c r="M37" i="5"/>
  <c r="L37" i="5"/>
  <c r="K37" i="5"/>
  <c r="J37" i="5"/>
  <c r="I37" i="5"/>
  <c r="G37" i="5"/>
  <c r="F37" i="5"/>
  <c r="E37" i="5"/>
  <c r="D37" i="5"/>
  <c r="C37" i="5"/>
  <c r="B37" i="5"/>
  <c r="P35" i="5"/>
  <c r="O35" i="5"/>
  <c r="M35" i="5"/>
  <c r="L35" i="5"/>
  <c r="K35" i="5"/>
  <c r="I35" i="5"/>
  <c r="G35" i="5"/>
  <c r="F35" i="5"/>
  <c r="E35" i="5"/>
  <c r="D35" i="5"/>
  <c r="C35" i="5"/>
  <c r="B35" i="5"/>
  <c r="P34" i="5"/>
  <c r="O34" i="5"/>
  <c r="N34" i="5"/>
  <c r="M34" i="5"/>
  <c r="L34" i="5"/>
  <c r="K34" i="5"/>
  <c r="J34" i="5"/>
  <c r="I34" i="5"/>
  <c r="G34" i="5"/>
  <c r="F34" i="5"/>
  <c r="E34" i="5"/>
  <c r="D34" i="5"/>
  <c r="C34" i="5"/>
  <c r="B34" i="5"/>
  <c r="P32" i="5"/>
  <c r="O32" i="5"/>
  <c r="M32" i="5"/>
  <c r="L32" i="5"/>
  <c r="K32" i="5"/>
  <c r="I32" i="5"/>
  <c r="G32" i="5"/>
  <c r="F32" i="5"/>
  <c r="E32" i="5"/>
  <c r="D32" i="5"/>
  <c r="C32" i="5"/>
  <c r="B32" i="5"/>
  <c r="P31" i="5"/>
  <c r="O31" i="5"/>
  <c r="N31" i="5"/>
  <c r="M31" i="5"/>
  <c r="L31" i="5"/>
  <c r="K31" i="5"/>
  <c r="J31" i="5"/>
  <c r="I31" i="5"/>
  <c r="G31" i="5"/>
  <c r="F31" i="5"/>
  <c r="E31" i="5"/>
  <c r="D31" i="5"/>
  <c r="C31" i="5"/>
  <c r="B31" i="5"/>
  <c r="P29" i="5"/>
  <c r="O29" i="5"/>
  <c r="M29" i="5"/>
  <c r="L29" i="5"/>
  <c r="K29" i="5"/>
  <c r="I29" i="5"/>
  <c r="G29" i="5"/>
  <c r="F29" i="5"/>
  <c r="E29" i="5"/>
  <c r="D29" i="5"/>
  <c r="C29" i="5"/>
  <c r="B29" i="5"/>
  <c r="P28" i="5"/>
  <c r="O28" i="5"/>
  <c r="N28" i="5"/>
  <c r="M28" i="5"/>
  <c r="L28" i="5"/>
  <c r="K28" i="5"/>
  <c r="J28" i="5"/>
  <c r="I28" i="5"/>
  <c r="G28" i="5"/>
  <c r="F28" i="5"/>
  <c r="E28" i="5"/>
  <c r="D28" i="5"/>
  <c r="C28" i="5"/>
  <c r="B28" i="5"/>
  <c r="P26" i="5"/>
  <c r="O26" i="5"/>
  <c r="M26" i="5"/>
  <c r="L26" i="5"/>
  <c r="K26" i="5"/>
  <c r="I26" i="5"/>
  <c r="G26" i="5"/>
  <c r="F26" i="5"/>
  <c r="E26" i="5"/>
  <c r="D26" i="5"/>
  <c r="C26" i="5"/>
  <c r="B26" i="5"/>
  <c r="P25" i="5"/>
  <c r="O25" i="5"/>
  <c r="N25" i="5"/>
  <c r="M25" i="5"/>
  <c r="L25" i="5"/>
  <c r="K25" i="5"/>
  <c r="J25" i="5"/>
  <c r="I25" i="5"/>
  <c r="G25" i="5"/>
  <c r="F25" i="5"/>
  <c r="E25" i="5"/>
  <c r="D25" i="5"/>
  <c r="C25" i="5"/>
  <c r="B25" i="5"/>
  <c r="P23" i="5"/>
  <c r="O23" i="5"/>
  <c r="M23" i="5"/>
  <c r="L23" i="5"/>
  <c r="K23" i="5"/>
  <c r="I23" i="5"/>
  <c r="G23" i="5"/>
  <c r="F23" i="5"/>
  <c r="E23" i="5"/>
  <c r="D23" i="5"/>
  <c r="C23" i="5"/>
  <c r="B23" i="5"/>
  <c r="P22" i="5"/>
  <c r="O22" i="5"/>
  <c r="M22" i="5"/>
  <c r="L22" i="5"/>
  <c r="K22" i="5"/>
  <c r="I22" i="5"/>
  <c r="G22" i="5"/>
  <c r="F22" i="5"/>
  <c r="E22" i="5"/>
  <c r="D22" i="5"/>
  <c r="C22" i="5"/>
  <c r="B22" i="5"/>
  <c r="P20" i="5"/>
  <c r="O20" i="5"/>
  <c r="M20" i="5"/>
  <c r="L20" i="5"/>
  <c r="K20" i="5"/>
  <c r="I20" i="5"/>
  <c r="G20" i="5"/>
  <c r="F20" i="5"/>
  <c r="E20" i="5"/>
  <c r="D20" i="5"/>
  <c r="C20" i="5"/>
  <c r="B20" i="5"/>
  <c r="P19" i="5"/>
  <c r="O19" i="5"/>
  <c r="M19" i="5"/>
  <c r="L19" i="5"/>
  <c r="K19" i="5"/>
  <c r="I19" i="5"/>
  <c r="G19" i="5"/>
  <c r="F19" i="5"/>
  <c r="E19" i="5"/>
  <c r="D19" i="5"/>
  <c r="C19" i="5"/>
  <c r="B19" i="5"/>
  <c r="P17" i="5"/>
  <c r="O17" i="5"/>
  <c r="M17" i="5"/>
  <c r="L17" i="5"/>
  <c r="K17" i="5"/>
  <c r="I17" i="5"/>
  <c r="G17" i="5"/>
  <c r="F17" i="5"/>
  <c r="E17" i="5"/>
  <c r="D17" i="5"/>
  <c r="C17" i="5"/>
  <c r="B17" i="5"/>
  <c r="P16" i="5"/>
  <c r="O16" i="5"/>
  <c r="M16" i="5"/>
  <c r="L16" i="5"/>
  <c r="K16" i="5"/>
  <c r="I16" i="5"/>
  <c r="G16" i="5"/>
  <c r="F16" i="5"/>
  <c r="E16" i="5"/>
  <c r="D16" i="5"/>
  <c r="C16" i="5"/>
  <c r="B16" i="5"/>
  <c r="P14" i="5"/>
  <c r="O14" i="5"/>
  <c r="M14" i="5"/>
  <c r="L14" i="5"/>
  <c r="K14" i="5"/>
  <c r="I14" i="5"/>
  <c r="G14" i="5"/>
  <c r="F14" i="5"/>
  <c r="E14" i="5"/>
  <c r="D14" i="5"/>
  <c r="C14" i="5"/>
  <c r="B14" i="5"/>
  <c r="P13" i="5"/>
  <c r="O13" i="5"/>
  <c r="M13" i="5"/>
  <c r="L13" i="5"/>
  <c r="K13" i="5"/>
  <c r="I13" i="5"/>
  <c r="G13" i="5"/>
  <c r="F13" i="5"/>
  <c r="E13" i="5"/>
  <c r="D13" i="5"/>
  <c r="C13" i="5"/>
  <c r="B13" i="5"/>
  <c r="P11" i="5"/>
  <c r="O11" i="5"/>
  <c r="M11" i="5"/>
  <c r="L11" i="5"/>
  <c r="K11" i="5"/>
  <c r="I11" i="5"/>
  <c r="G11" i="5"/>
  <c r="F11" i="5"/>
  <c r="E11" i="5"/>
  <c r="D11" i="5"/>
  <c r="C11" i="5"/>
  <c r="B11" i="5"/>
  <c r="P10" i="5"/>
  <c r="O10" i="5"/>
  <c r="M10" i="5"/>
  <c r="L10" i="5"/>
  <c r="K10" i="5"/>
  <c r="I10" i="5"/>
  <c r="G10" i="5"/>
  <c r="F10" i="5"/>
  <c r="E10" i="5"/>
  <c r="D10" i="5"/>
  <c r="C10" i="5"/>
  <c r="B10" i="5"/>
  <c r="Q33" i="5" l="1"/>
  <c r="Q30" i="5"/>
  <c r="Q27" i="5"/>
  <c r="Q24" i="5"/>
  <c r="Q21" i="5"/>
  <c r="Q18" i="5"/>
  <c r="Q15" i="5"/>
  <c r="Q12" i="5"/>
  <c r="Q9" i="5"/>
  <c r="Q6" i="5"/>
  <c r="H33" i="5"/>
  <c r="H30" i="5"/>
  <c r="H27" i="5"/>
  <c r="H24" i="5"/>
  <c r="H21" i="5"/>
  <c r="H18" i="5"/>
  <c r="H15" i="5"/>
  <c r="H12" i="5"/>
  <c r="H9" i="5"/>
  <c r="H6" i="5"/>
  <c r="Q26" i="5" l="1"/>
  <c r="Q25" i="5"/>
  <c r="H20" i="5"/>
  <c r="H19" i="5"/>
  <c r="H22" i="5"/>
  <c r="H23" i="5"/>
  <c r="Q16" i="5"/>
  <c r="Q17" i="5"/>
  <c r="Q19" i="5"/>
  <c r="Q20" i="5"/>
  <c r="Q22" i="5"/>
  <c r="Q23" i="5"/>
  <c r="H35" i="5"/>
  <c r="H34" i="5"/>
  <c r="H37" i="5"/>
  <c r="Q28" i="5"/>
  <c r="Q29" i="5"/>
  <c r="H14" i="5"/>
  <c r="H13" i="5"/>
  <c r="Q31" i="5"/>
  <c r="Q32" i="5"/>
  <c r="Q13" i="5"/>
  <c r="Q14" i="5"/>
  <c r="H26" i="5"/>
  <c r="H25" i="5"/>
  <c r="H29" i="5"/>
  <c r="H28" i="5"/>
  <c r="H32" i="5"/>
  <c r="H31" i="5"/>
  <c r="H10" i="5"/>
  <c r="H11" i="5"/>
  <c r="H17" i="5"/>
  <c r="H16" i="5"/>
  <c r="Q10" i="5"/>
  <c r="Q11" i="5"/>
  <c r="Q34" i="5"/>
  <c r="Q37" i="5"/>
  <c r="Q35" i="5"/>
</calcChain>
</file>

<file path=xl/sharedStrings.xml><?xml version="1.0" encoding="utf-8"?>
<sst xmlns="http://schemas.openxmlformats.org/spreadsheetml/2006/main" count="121" uniqueCount="38">
  <si>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</si>
  <si>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</si>
  <si>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</si>
  <si>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</si>
  <si>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</si>
  <si>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</si>
  <si>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</si>
  <si>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</si>
  <si>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</si>
  <si>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</si>
  <si>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</si>
  <si>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</si>
  <si>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</si>
  <si>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</si>
  <si>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</si>
  <si>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</si>
  <si>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</si>
  <si>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</si>
  <si>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</si>
  <si>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</si>
  <si>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</si>
  <si>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</si>
  <si>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</si>
  <si>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</si>
  <si>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</si>
  <si>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</si>
  <si>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</si>
  <si>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</si>
  <si>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Growth</t>
  </si>
  <si>
    <t>-</t>
  </si>
  <si>
    <t>CAGR</t>
  </si>
  <si>
    <t>2018-19</t>
  </si>
  <si>
    <t>TABLE - 1.06 (INDIGO)</t>
  </si>
  <si>
    <t>SOURCE: ICAO ATR FORM 'A' FURNISHED BY INDIGO</t>
  </si>
  <si>
    <t xml:space="preserve"> तालिका- 1.06 (इंडिगो) </t>
  </si>
  <si>
    <t>2019-20</t>
  </si>
  <si>
    <t>Note: Growth has been calculated with respect to preceeding year while Compound Annual Growth Rate (CAGR) has been calculating taking 2009-10 as a Base Year</t>
  </si>
  <si>
    <t>YEAR ON YEAR GROWTH AND CAGR FOR LAST TEN YEARS OF INDIGO ON TOTAL (DOMESTIC + INTERNATIONAL) SCHEDULED SERVICES (ALL AIR TRAFFIC AND OPERATING STATISTICS)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</si>
</sst>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0.0%"/>
    <numFmt numFmtId="166" formatCode="_(* #,##0_);_(* \(#,##0\);_(* &quot;-&quot;??_);_(@_)"/>
    <numFmt numFmtId="167" formatCode="_(* #,##0.0_);_(* \(#,##0.0\);_(* &quot;-&quot;??_);_(@_)"/>
    <numFmt numFmtId="168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4" fillId="0" borderId="0" applyFont="0" applyFill="0" applyBorder="0" applyAlignment="0" applyProtection="0"/>
    <xf numFmtId="0" fontId="5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5" fillId="6" borderId="0" applyNumberFormat="0" applyBorder="0" applyAlignment="0" applyProtection="0"/>
    <xf numFmtId="164" fontId="4" fillId="0" borderId="0" applyFont="0" applyFill="0" applyBorder="0" applyAlignment="0" applyProtection="0"/>
  </cellStyleXfs>
  <cellXfs count="27">
    <xf numFmtId="0" fontId="0" fillId="0" borderId="0" xfId="0"/>
    <xf numFmtId="0" fontId="4" fillId="4" borderId="1" xfId="3" applyBorder="1" applyAlignment="1" applyProtection="1">
      <alignment horizontal="center" vertical="center" wrapText="1"/>
    </xf>
    <xf numFmtId="0" fontId="5" fillId="6" borderId="1" xfId="5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167" fontId="5" fillId="6" borderId="1" xfId="6" applyNumberFormat="1" applyFont="1" applyFill="1" applyBorder="1" applyAlignment="1" applyProtection="1">
      <alignment horizontal="center" vertical="center" wrapText="1"/>
    </xf>
    <xf numFmtId="166" fontId="5" fillId="6" borderId="1" xfId="6" applyNumberFormat="1" applyFont="1" applyFill="1" applyBorder="1" applyAlignment="1" applyProtection="1">
      <alignment horizontal="center" vertical="center" wrapText="1"/>
    </xf>
    <xf numFmtId="165" fontId="7" fillId="2" borderId="1" xfId="1" applyNumberFormat="1" applyFont="1" applyFill="1" applyBorder="1" applyAlignment="1" applyProtection="1">
      <alignment horizontal="center" vertical="center" wrapText="1"/>
    </xf>
    <xf numFmtId="168" fontId="8" fillId="7" borderId="1" xfId="1" applyNumberFormat="1" applyFont="1" applyFill="1" applyBorder="1" applyAlignment="1" applyProtection="1">
      <alignment horizontal="center" vertical="center" wrapText="1"/>
    </xf>
    <xf numFmtId="165" fontId="6" fillId="8" borderId="1" xfId="1" applyNumberFormat="1" applyFont="1" applyFill="1" applyBorder="1" applyAlignment="1" applyProtection="1">
      <alignment horizontal="center" vertical="center" wrapText="1"/>
    </xf>
    <xf numFmtId="165" fontId="4" fillId="4" borderId="1" xfId="1" applyNumberFormat="1" applyFill="1" applyBorder="1" applyAlignment="1" applyProtection="1">
      <alignment horizontal="center" vertical="center" wrapText="1"/>
    </xf>
    <xf numFmtId="165" fontId="3" fillId="2" borderId="1" xfId="1" applyNumberFormat="1" applyFont="1" applyFill="1" applyBorder="1" applyAlignment="1" applyProtection="1">
      <alignment horizontal="center" vertical="center" wrapText="1"/>
    </xf>
    <xf numFmtId="0" fontId="3" fillId="3" borderId="1" xfId="2" applyFont="1" applyBorder="1" applyAlignment="1" applyProtection="1">
      <alignment horizontal="center" vertical="center" textRotation="90" wrapText="1"/>
    </xf>
    <xf numFmtId="165" fontId="4" fillId="4" borderId="1" xfId="1" applyNumberFormat="1" applyFill="1" applyBorder="1" applyAlignment="1" applyProtection="1">
      <alignment horizontal="right" vertical="center" wrapText="1"/>
    </xf>
    <xf numFmtId="165" fontId="3" fillId="2" borderId="1" xfId="1" applyNumberFormat="1" applyFont="1" applyFill="1" applyBorder="1" applyAlignment="1" applyProtection="1">
      <alignment horizontal="right" vertical="center" wrapText="1"/>
    </xf>
    <xf numFmtId="165" fontId="4" fillId="4" borderId="1" xfId="3" applyNumberFormat="1" applyBorder="1" applyAlignment="1" applyProtection="1">
      <alignment horizontal="right" vertical="center" wrapText="1"/>
    </xf>
    <xf numFmtId="165" fontId="0" fillId="4" borderId="1" xfId="1" applyNumberFormat="1" applyFont="1" applyFill="1" applyBorder="1" applyAlignment="1" applyProtection="1">
      <alignment horizontal="righ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3" fillId="3" borderId="1" xfId="2" applyFont="1" applyBorder="1" applyAlignment="1" applyProtection="1">
      <alignment horizontal="center" vertical="center" textRotation="90" wrapText="1"/>
    </xf>
    <xf numFmtId="0" fontId="3" fillId="3" borderId="1" xfId="2" applyFont="1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3" fillId="5" borderId="1" xfId="4" applyFont="1" applyBorder="1" applyAlignment="1">
      <alignment horizontal="center" vertical="center" wrapText="1"/>
    </xf>
    <xf numFmtId="0" fontId="3" fillId="5" borderId="1" xfId="4" quotePrefix="1" applyFont="1" applyBorder="1" applyAlignment="1" applyProtection="1">
      <alignment horizontal="center" vertical="center" wrapText="1"/>
    </xf>
    <xf numFmtId="0" fontId="3" fillId="5" borderId="1" xfId="4" applyFont="1" applyBorder="1"/>
    <xf numFmtId="0" fontId="3" fillId="3" borderId="1" xfId="2" applyFont="1" applyBorder="1" applyAlignment="1" applyProtection="1">
      <alignment horizontal="center" vertical="center" wrapText="1"/>
    </xf>
    <xf numFmtId="0" fontId="3" fillId="3" borderId="1" xfId="2" applyFont="1" applyBorder="1"/>
  </cellXfs>
  <cellStyles count="7">
    <cellStyle name="20% - Accent1" xfId="3" builtinId="30"/>
    <cellStyle name="40% - Accent1" xfId="4" builtinId="31"/>
    <cellStyle name="60% - Accent1" xfId="5" builtinId="32"/>
    <cellStyle name="Accent1" xfId="2" builtinId="29"/>
    <cellStyle name="Comma" xfId="6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"/>
  <sheetViews>
    <sheetView tabSelected="1" topLeftCell="A19" workbookViewId="0">
      <selection activeCell="T26" sqref="T26"/>
    </sheetView>
  </sheetViews>
  <sheetFormatPr defaultRowHeight="15" x14ac:dyDescent="0.25"/>
  <cols>
    <col min="1" max="1" width="7.42578125" customWidth="1"/>
    <col min="2" max="2" width="8.7109375" customWidth="1"/>
    <col min="3" max="3" width="10" customWidth="1"/>
    <col min="4" max="4" width="8.85546875" customWidth="1"/>
    <col min="5" max="5" width="11.28515625" customWidth="1"/>
    <col min="6" max="6" width="7.28515625" customWidth="1"/>
    <col min="7" max="7" width="7.42578125" customWidth="1"/>
    <col min="8" max="8" width="6.28515625" customWidth="1"/>
    <col min="9" max="9" width="10.5703125" customWidth="1"/>
    <col min="10" max="10" width="8.85546875" customWidth="1"/>
    <col min="11" max="11" width="10.28515625" customWidth="1"/>
    <col min="12" max="12" width="7.7109375" customWidth="1"/>
    <col min="13" max="13" width="6.5703125" customWidth="1"/>
    <col min="14" max="14" width="6.7109375" customWidth="1"/>
    <col min="15" max="15" width="8.42578125" customWidth="1"/>
    <col min="16" max="16" width="8.85546875" customWidth="1"/>
    <col min="17" max="17" width="7.140625" customWidth="1"/>
  </cols>
  <sheetData>
    <row r="1" spans="1:17" x14ac:dyDescent="0.25">
      <c r="A1" s="22" t="s">
        <v>34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7" x14ac:dyDescent="0.25">
      <c r="A2" s="23" t="s">
        <v>32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</row>
    <row r="3" spans="1:17" x14ac:dyDescent="0.25">
      <c r="A3" s="25" t="s">
        <v>37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</row>
    <row r="4" spans="1:17" x14ac:dyDescent="0.25">
      <c r="A4" s="25" t="s">
        <v>0</v>
      </c>
      <c r="B4" s="25" t="s">
        <v>1</v>
      </c>
      <c r="C4" s="25"/>
      <c r="D4" s="25"/>
      <c r="E4" s="25" t="s">
        <v>2</v>
      </c>
      <c r="F4" s="26"/>
      <c r="G4" s="18" t="s">
        <v>3</v>
      </c>
      <c r="H4" s="18" t="s">
        <v>4</v>
      </c>
      <c r="I4" s="25" t="s">
        <v>5</v>
      </c>
      <c r="J4" s="25"/>
      <c r="K4" s="25"/>
      <c r="L4" s="25" t="s">
        <v>6</v>
      </c>
      <c r="M4" s="25"/>
      <c r="N4" s="25"/>
      <c r="O4" s="25"/>
      <c r="P4" s="18" t="s">
        <v>7</v>
      </c>
      <c r="Q4" s="18" t="s">
        <v>8</v>
      </c>
    </row>
    <row r="5" spans="1:17" ht="122.25" customHeight="1" x14ac:dyDescent="0.25">
      <c r="A5" s="25"/>
      <c r="B5" s="11" t="s">
        <v>9</v>
      </c>
      <c r="C5" s="11" t="s">
        <v>10</v>
      </c>
      <c r="D5" s="11" t="s">
        <v>11</v>
      </c>
      <c r="E5" s="11" t="s">
        <v>12</v>
      </c>
      <c r="F5" s="11" t="s">
        <v>13</v>
      </c>
      <c r="G5" s="19"/>
      <c r="H5" s="19"/>
      <c r="I5" s="11" t="s">
        <v>14</v>
      </c>
      <c r="J5" s="11" t="s">
        <v>15</v>
      </c>
      <c r="K5" s="11" t="s">
        <v>16</v>
      </c>
      <c r="L5" s="11" t="s">
        <v>17</v>
      </c>
      <c r="M5" s="11" t="s">
        <v>18</v>
      </c>
      <c r="N5" s="11" t="s">
        <v>15</v>
      </c>
      <c r="O5" s="11" t="s">
        <v>16</v>
      </c>
      <c r="P5" s="19"/>
      <c r="Q5" s="19"/>
    </row>
    <row r="6" spans="1:17" ht="17.100000000000001" customHeight="1" x14ac:dyDescent="0.25">
      <c r="A6" s="2" t="s">
        <v>19</v>
      </c>
      <c r="B6" s="5">
        <v>51520</v>
      </c>
      <c r="C6" s="5">
        <v>93488.200000000012</v>
      </c>
      <c r="D6" s="5">
        <v>51611</v>
      </c>
      <c r="E6" s="5">
        <v>6554908</v>
      </c>
      <c r="F6" s="5">
        <v>7428.6639999999998</v>
      </c>
      <c r="G6" s="5">
        <v>9285.9599999999991</v>
      </c>
      <c r="H6" s="7">
        <f>F6/G6*100</f>
        <v>79.99888002963614</v>
      </c>
      <c r="I6" s="4">
        <v>50296</v>
      </c>
      <c r="J6" s="4">
        <v>0</v>
      </c>
      <c r="K6" s="4">
        <v>50296</v>
      </c>
      <c r="L6" s="4">
        <v>668.35500000000002</v>
      </c>
      <c r="M6" s="4">
        <v>54.825000000000003</v>
      </c>
      <c r="N6" s="4">
        <v>0</v>
      </c>
      <c r="O6" s="4">
        <v>723.18</v>
      </c>
      <c r="P6" s="4">
        <v>939.33199999999999</v>
      </c>
      <c r="Q6" s="7">
        <f>O6/P6*100</f>
        <v>76.98875371008333</v>
      </c>
    </row>
    <row r="7" spans="1:17" ht="17.100000000000001" customHeight="1" x14ac:dyDescent="0.25">
      <c r="A7" s="1" t="s">
        <v>28</v>
      </c>
      <c r="B7" s="9" t="s">
        <v>29</v>
      </c>
      <c r="C7" s="9" t="s">
        <v>29</v>
      </c>
      <c r="D7" s="9" t="s">
        <v>29</v>
      </c>
      <c r="E7" s="9" t="s">
        <v>29</v>
      </c>
      <c r="F7" s="9" t="s">
        <v>29</v>
      </c>
      <c r="G7" s="9" t="s">
        <v>29</v>
      </c>
      <c r="H7" s="8" t="s">
        <v>29</v>
      </c>
      <c r="I7" s="9" t="s">
        <v>29</v>
      </c>
      <c r="J7" s="9" t="s">
        <v>29</v>
      </c>
      <c r="K7" s="9" t="s">
        <v>29</v>
      </c>
      <c r="L7" s="9" t="s">
        <v>29</v>
      </c>
      <c r="M7" s="9" t="s">
        <v>29</v>
      </c>
      <c r="N7" s="9" t="s">
        <v>29</v>
      </c>
      <c r="O7" s="9" t="s">
        <v>29</v>
      </c>
      <c r="P7" s="9" t="s">
        <v>29</v>
      </c>
      <c r="Q7" s="8" t="s">
        <v>29</v>
      </c>
    </row>
    <row r="8" spans="1:17" ht="17.100000000000001" customHeight="1" x14ac:dyDescent="0.25">
      <c r="A8" s="3" t="s">
        <v>30</v>
      </c>
      <c r="B8" s="10" t="s">
        <v>29</v>
      </c>
      <c r="C8" s="10" t="s">
        <v>29</v>
      </c>
      <c r="D8" s="10" t="s">
        <v>29</v>
      </c>
      <c r="E8" s="10" t="s">
        <v>29</v>
      </c>
      <c r="F8" s="10" t="s">
        <v>29</v>
      </c>
      <c r="G8" s="10" t="s">
        <v>29</v>
      </c>
      <c r="H8" s="6" t="s">
        <v>29</v>
      </c>
      <c r="I8" s="10" t="s">
        <v>29</v>
      </c>
      <c r="J8" s="10" t="s">
        <v>29</v>
      </c>
      <c r="K8" s="10" t="s">
        <v>29</v>
      </c>
      <c r="L8" s="10" t="s">
        <v>29</v>
      </c>
      <c r="M8" s="10" t="s">
        <v>29</v>
      </c>
      <c r="N8" s="10" t="s">
        <v>29</v>
      </c>
      <c r="O8" s="10" t="s">
        <v>29</v>
      </c>
      <c r="P8" s="10" t="s">
        <v>29</v>
      </c>
      <c r="Q8" s="6" t="s">
        <v>29</v>
      </c>
    </row>
    <row r="9" spans="1:17" ht="17.100000000000001" customHeight="1" x14ac:dyDescent="0.25">
      <c r="A9" s="2" t="s">
        <v>20</v>
      </c>
      <c r="B9" s="5">
        <v>70217</v>
      </c>
      <c r="C9" s="5">
        <v>125551.67</v>
      </c>
      <c r="D9" s="5">
        <v>69424</v>
      </c>
      <c r="E9" s="5">
        <v>9466897</v>
      </c>
      <c r="F9" s="5">
        <v>10633.906999999999</v>
      </c>
      <c r="G9" s="5">
        <v>12491.392</v>
      </c>
      <c r="H9" s="7">
        <f t="shared" ref="H9:H33" si="0">F9/G9*100</f>
        <v>85.129879840453327</v>
      </c>
      <c r="I9" s="4">
        <v>77793</v>
      </c>
      <c r="J9" s="4">
        <v>0</v>
      </c>
      <c r="K9" s="4">
        <v>77793</v>
      </c>
      <c r="L9" s="4">
        <v>954.47</v>
      </c>
      <c r="M9" s="4">
        <v>84.308999999999997</v>
      </c>
      <c r="N9" s="4">
        <v>0</v>
      </c>
      <c r="O9" s="4">
        <v>1038.779</v>
      </c>
      <c r="P9" s="4">
        <v>1263.5060000000001</v>
      </c>
      <c r="Q9" s="7">
        <f t="shared" ref="Q9:Q33" si="1">O9/P9*100</f>
        <v>82.214014021302631</v>
      </c>
    </row>
    <row r="10" spans="1:17" ht="17.100000000000001" customHeight="1" x14ac:dyDescent="0.25">
      <c r="A10" s="1" t="s">
        <v>28</v>
      </c>
      <c r="B10" s="12">
        <f>(B9-B6)/B6</f>
        <v>0.3629076086956522</v>
      </c>
      <c r="C10" s="12">
        <f t="shared" ref="C10:Q10" si="2">(C9-C6)/C6</f>
        <v>0.34296809650843618</v>
      </c>
      <c r="D10" s="12">
        <f t="shared" si="2"/>
        <v>0.34513960202282457</v>
      </c>
      <c r="E10" s="12">
        <f t="shared" si="2"/>
        <v>0.44424559429361937</v>
      </c>
      <c r="F10" s="12">
        <f t="shared" si="2"/>
        <v>0.43146964245522473</v>
      </c>
      <c r="G10" s="12">
        <f t="shared" si="2"/>
        <v>0.34519123493962939</v>
      </c>
      <c r="H10" s="8">
        <f t="shared" si="2"/>
        <v>6.4138395548992339E-2</v>
      </c>
      <c r="I10" s="12">
        <f t="shared" si="2"/>
        <v>0.54670351519007476</v>
      </c>
      <c r="J10" s="15" t="s">
        <v>29</v>
      </c>
      <c r="K10" s="12">
        <f t="shared" si="2"/>
        <v>0.54670351519007476</v>
      </c>
      <c r="L10" s="12">
        <f t="shared" si="2"/>
        <v>0.42808836621256668</v>
      </c>
      <c r="M10" s="12">
        <f t="shared" si="2"/>
        <v>0.53778385772913806</v>
      </c>
      <c r="N10" s="15" t="s">
        <v>29</v>
      </c>
      <c r="O10" s="12">
        <f t="shared" si="2"/>
        <v>0.4364044912746482</v>
      </c>
      <c r="P10" s="12">
        <f t="shared" si="2"/>
        <v>0.34511120668730555</v>
      </c>
      <c r="Q10" s="8">
        <f t="shared" si="2"/>
        <v>6.7870436387320571E-2</v>
      </c>
    </row>
    <row r="11" spans="1:17" ht="17.100000000000001" customHeight="1" x14ac:dyDescent="0.25">
      <c r="A11" s="3" t="s">
        <v>30</v>
      </c>
      <c r="B11" s="13">
        <f>(((B9/B6)^(1/1))-1)</f>
        <v>0.3629076086956522</v>
      </c>
      <c r="C11" s="13">
        <f t="shared" ref="C11:Q11" si="3">(((C9/C6)^(1/1))-1)</f>
        <v>0.34296809650843607</v>
      </c>
      <c r="D11" s="13">
        <f t="shared" si="3"/>
        <v>0.34513960202282457</v>
      </c>
      <c r="E11" s="13">
        <f t="shared" si="3"/>
        <v>0.44424559429361943</v>
      </c>
      <c r="F11" s="13">
        <f t="shared" si="3"/>
        <v>0.43146964245522468</v>
      </c>
      <c r="G11" s="13">
        <f t="shared" si="3"/>
        <v>0.34519123493962933</v>
      </c>
      <c r="H11" s="6">
        <f t="shared" si="3"/>
        <v>6.4138395548992255E-2</v>
      </c>
      <c r="I11" s="13">
        <f t="shared" si="3"/>
        <v>0.54670351519007476</v>
      </c>
      <c r="J11" s="13" t="s">
        <v>29</v>
      </c>
      <c r="K11" s="13">
        <f t="shared" si="3"/>
        <v>0.54670351519007476</v>
      </c>
      <c r="L11" s="13">
        <f t="shared" si="3"/>
        <v>0.42808836621256674</v>
      </c>
      <c r="M11" s="13">
        <f t="shared" si="3"/>
        <v>0.53778385772913806</v>
      </c>
      <c r="N11" s="13" t="s">
        <v>29</v>
      </c>
      <c r="O11" s="13">
        <f t="shared" si="3"/>
        <v>0.43640449127464809</v>
      </c>
      <c r="P11" s="13">
        <f t="shared" si="3"/>
        <v>0.34511120668730544</v>
      </c>
      <c r="Q11" s="6">
        <f t="shared" si="3"/>
        <v>6.7870436387320598E-2</v>
      </c>
    </row>
    <row r="12" spans="1:17" ht="17.100000000000001" customHeight="1" x14ac:dyDescent="0.25">
      <c r="A12" s="2" t="s">
        <v>21</v>
      </c>
      <c r="B12" s="5">
        <v>98416</v>
      </c>
      <c r="C12" s="5">
        <v>179254.96000000002</v>
      </c>
      <c r="D12" s="5">
        <v>100095</v>
      </c>
      <c r="E12" s="5">
        <v>12751544</v>
      </c>
      <c r="F12" s="5">
        <v>14826.293</v>
      </c>
      <c r="G12" s="5">
        <v>18006.36</v>
      </c>
      <c r="H12" s="7">
        <f t="shared" si="0"/>
        <v>82.339201259999243</v>
      </c>
      <c r="I12" s="4">
        <v>76149</v>
      </c>
      <c r="J12" s="4">
        <v>0</v>
      </c>
      <c r="K12" s="4">
        <v>76149</v>
      </c>
      <c r="L12" s="4">
        <v>1328.777</v>
      </c>
      <c r="M12" s="4">
        <v>83.692999999999998</v>
      </c>
      <c r="N12" s="4">
        <v>0</v>
      </c>
      <c r="O12" s="4">
        <v>1412.47</v>
      </c>
      <c r="P12" s="4">
        <v>1821.7460000000001</v>
      </c>
      <c r="Q12" s="7">
        <f t="shared" si="1"/>
        <v>77.53386037350981</v>
      </c>
    </row>
    <row r="13" spans="1:17" ht="17.100000000000001" customHeight="1" x14ac:dyDescent="0.25">
      <c r="A13" s="1" t="s">
        <v>28</v>
      </c>
      <c r="B13" s="12">
        <f>(B12-B9)/B9</f>
        <v>0.40159790364156828</v>
      </c>
      <c r="C13" s="12">
        <f t="shared" ref="C13:Q13" si="4">(C12-C9)/C9</f>
        <v>0.42773855576751807</v>
      </c>
      <c r="D13" s="12">
        <f t="shared" si="4"/>
        <v>0.44179246370131364</v>
      </c>
      <c r="E13" s="12">
        <f t="shared" si="4"/>
        <v>0.34696131161034077</v>
      </c>
      <c r="F13" s="12">
        <f t="shared" si="4"/>
        <v>0.39424700629787346</v>
      </c>
      <c r="G13" s="12">
        <f t="shared" si="4"/>
        <v>0.44150147557614083</v>
      </c>
      <c r="H13" s="8">
        <f t="shared" si="4"/>
        <v>-3.278142275878048E-2</v>
      </c>
      <c r="I13" s="12">
        <f t="shared" si="4"/>
        <v>-2.113300682580695E-2</v>
      </c>
      <c r="J13" s="15" t="s">
        <v>29</v>
      </c>
      <c r="K13" s="12">
        <f t="shared" si="4"/>
        <v>-2.113300682580695E-2</v>
      </c>
      <c r="L13" s="12">
        <f t="shared" si="4"/>
        <v>0.39216214234077551</v>
      </c>
      <c r="M13" s="12">
        <f t="shared" si="4"/>
        <v>-7.3064560129997942E-3</v>
      </c>
      <c r="N13" s="15" t="s">
        <v>29</v>
      </c>
      <c r="O13" s="12">
        <f t="shared" si="4"/>
        <v>0.35974061855312828</v>
      </c>
      <c r="P13" s="12">
        <f t="shared" si="4"/>
        <v>0.44181824225607158</v>
      </c>
      <c r="Q13" s="8">
        <f t="shared" si="4"/>
        <v>-5.6926470547711459E-2</v>
      </c>
    </row>
    <row r="14" spans="1:17" ht="17.100000000000001" customHeight="1" x14ac:dyDescent="0.25">
      <c r="A14" s="3" t="s">
        <v>30</v>
      </c>
      <c r="B14" s="13">
        <f>(((B12/B6)^(1/2))-1)</f>
        <v>0.38211737822985525</v>
      </c>
      <c r="C14" s="13">
        <f t="shared" ref="C14:Q14" si="5">(((C12/C6)^(1/2))-1)</f>
        <v>0.38470478100958672</v>
      </c>
      <c r="D14" s="13">
        <f t="shared" si="5"/>
        <v>0.39262778258323316</v>
      </c>
      <c r="E14" s="13">
        <f t="shared" si="5"/>
        <v>0.39475551261760189</v>
      </c>
      <c r="F14" s="13">
        <f t="shared" si="5"/>
        <v>0.41273573735482616</v>
      </c>
      <c r="G14" s="13">
        <f t="shared" si="5"/>
        <v>0.39251396764900237</v>
      </c>
      <c r="H14" s="6">
        <f t="shared" si="5"/>
        <v>1.452177154098111E-2</v>
      </c>
      <c r="I14" s="13">
        <f t="shared" si="5"/>
        <v>0.23045398908129155</v>
      </c>
      <c r="J14" s="13" t="s">
        <v>29</v>
      </c>
      <c r="K14" s="13">
        <f t="shared" si="5"/>
        <v>0.23045398908129155</v>
      </c>
      <c r="L14" s="13">
        <f t="shared" si="5"/>
        <v>0.41001083661028104</v>
      </c>
      <c r="M14" s="13">
        <f t="shared" si="5"/>
        <v>0.23553555497813949</v>
      </c>
      <c r="N14" s="13" t="s">
        <v>29</v>
      </c>
      <c r="O14" s="13">
        <f t="shared" si="5"/>
        <v>0.39754696932098921</v>
      </c>
      <c r="P14" s="13">
        <f t="shared" si="5"/>
        <v>0.39262553317998372</v>
      </c>
      <c r="Q14" s="6">
        <f t="shared" si="5"/>
        <v>3.5339264028624306E-3</v>
      </c>
    </row>
    <row r="15" spans="1:17" ht="17.100000000000001" customHeight="1" x14ac:dyDescent="0.25">
      <c r="A15" s="2" t="s">
        <v>22</v>
      </c>
      <c r="B15" s="5">
        <v>131237</v>
      </c>
      <c r="C15" s="5">
        <v>246142.59000000003</v>
      </c>
      <c r="D15" s="5">
        <v>138813</v>
      </c>
      <c r="E15" s="5">
        <v>16887969</v>
      </c>
      <c r="F15" s="5">
        <v>20259.741999999998</v>
      </c>
      <c r="G15" s="5">
        <v>24976.714</v>
      </c>
      <c r="H15" s="7">
        <f t="shared" si="0"/>
        <v>81.11452130972873</v>
      </c>
      <c r="I15" s="4">
        <v>80968</v>
      </c>
      <c r="J15" s="4">
        <v>0</v>
      </c>
      <c r="K15" s="4">
        <v>80968</v>
      </c>
      <c r="L15" s="4">
        <v>1814.192</v>
      </c>
      <c r="M15" s="4">
        <v>114.797</v>
      </c>
      <c r="N15" s="4">
        <v>0</v>
      </c>
      <c r="O15" s="4">
        <v>1928.989</v>
      </c>
      <c r="P15" s="4">
        <v>2526.38</v>
      </c>
      <c r="Q15" s="7">
        <f t="shared" si="1"/>
        <v>76.353873922371136</v>
      </c>
    </row>
    <row r="16" spans="1:17" ht="17.100000000000001" customHeight="1" x14ac:dyDescent="0.25">
      <c r="A16" s="1" t="s">
        <v>28</v>
      </c>
      <c r="B16" s="12">
        <f>(B15-B12)/B12</f>
        <v>0.33349252154121284</v>
      </c>
      <c r="C16" s="12">
        <f t="shared" ref="C16:Q16" si="6">(C15-C12)/C12</f>
        <v>0.37314242239098988</v>
      </c>
      <c r="D16" s="12">
        <f t="shared" si="6"/>
        <v>0.38681252809830663</v>
      </c>
      <c r="E16" s="12">
        <f t="shared" si="6"/>
        <v>0.32438620766238191</v>
      </c>
      <c r="F16" s="12">
        <f t="shared" si="6"/>
        <v>0.36647387178979929</v>
      </c>
      <c r="G16" s="12">
        <f t="shared" si="6"/>
        <v>0.38710511174940404</v>
      </c>
      <c r="H16" s="8">
        <f t="shared" si="6"/>
        <v>-1.4873595219892764E-2</v>
      </c>
      <c r="I16" s="12">
        <f t="shared" si="6"/>
        <v>6.3283825132306404E-2</v>
      </c>
      <c r="J16" s="15" t="s">
        <v>29</v>
      </c>
      <c r="K16" s="12">
        <f t="shared" si="6"/>
        <v>6.3283825132306404E-2</v>
      </c>
      <c r="L16" s="12">
        <f t="shared" si="6"/>
        <v>0.36530960424510656</v>
      </c>
      <c r="M16" s="12">
        <f t="shared" si="6"/>
        <v>0.3716439845626277</v>
      </c>
      <c r="N16" s="15" t="s">
        <v>29</v>
      </c>
      <c r="O16" s="12">
        <f t="shared" si="6"/>
        <v>0.36568493490127224</v>
      </c>
      <c r="P16" s="12">
        <f t="shared" si="6"/>
        <v>0.38679047463257776</v>
      </c>
      <c r="Q16" s="8">
        <f t="shared" si="6"/>
        <v>-1.5218982331773953E-2</v>
      </c>
    </row>
    <row r="17" spans="1:17" ht="17.100000000000001" customHeight="1" x14ac:dyDescent="0.25">
      <c r="A17" s="3" t="s">
        <v>30</v>
      </c>
      <c r="B17" s="13">
        <f>(((B15/B6)^(1/3))-1)</f>
        <v>0.36571521127148854</v>
      </c>
      <c r="C17" s="13">
        <f t="shared" ref="C17:Q17" si="7">(((C15/C6)^(1/3))-1)</f>
        <v>0.38083988406018476</v>
      </c>
      <c r="D17" s="13">
        <f t="shared" si="7"/>
        <v>0.39068666003342822</v>
      </c>
      <c r="E17" s="13">
        <f t="shared" si="7"/>
        <v>0.37089315351986363</v>
      </c>
      <c r="F17" s="13">
        <f t="shared" si="7"/>
        <v>0.39714366204927298</v>
      </c>
      <c r="G17" s="13">
        <f t="shared" si="7"/>
        <v>0.39070867626709194</v>
      </c>
      <c r="H17" s="6">
        <f t="shared" si="7"/>
        <v>4.627127084195326E-3</v>
      </c>
      <c r="I17" s="13">
        <f t="shared" si="7"/>
        <v>0.1719974178295427</v>
      </c>
      <c r="J17" s="13" t="s">
        <v>29</v>
      </c>
      <c r="K17" s="13">
        <f t="shared" si="7"/>
        <v>0.1719974178295427</v>
      </c>
      <c r="L17" s="13">
        <f t="shared" si="7"/>
        <v>0.39495013112672961</v>
      </c>
      <c r="M17" s="13">
        <f t="shared" si="7"/>
        <v>0.27933407111811981</v>
      </c>
      <c r="N17" s="13" t="s">
        <v>29</v>
      </c>
      <c r="O17" s="13">
        <f t="shared" si="7"/>
        <v>0.38684454109714617</v>
      </c>
      <c r="P17" s="13">
        <f t="shared" si="7"/>
        <v>0.3906777907988781</v>
      </c>
      <c r="Q17" s="6">
        <f t="shared" si="7"/>
        <v>-2.75638952969115E-3</v>
      </c>
    </row>
    <row r="18" spans="1:17" ht="17.100000000000001" customHeight="1" x14ac:dyDescent="0.25">
      <c r="A18" s="2" t="s">
        <v>23</v>
      </c>
      <c r="B18" s="5">
        <v>158488</v>
      </c>
      <c r="C18" s="5">
        <v>297651.5</v>
      </c>
      <c r="D18" s="5">
        <v>166490</v>
      </c>
      <c r="E18" s="5">
        <v>19568603</v>
      </c>
      <c r="F18" s="5">
        <v>23135.406999999999</v>
      </c>
      <c r="G18" s="5">
        <v>29967.616999999998</v>
      </c>
      <c r="H18" s="7">
        <f t="shared" si="0"/>
        <v>77.201357051513313</v>
      </c>
      <c r="I18" s="4">
        <v>106638</v>
      </c>
      <c r="J18" s="4">
        <v>0</v>
      </c>
      <c r="K18" s="4">
        <v>106638</v>
      </c>
      <c r="L18" s="4">
        <v>2074.25</v>
      </c>
      <c r="M18" s="4">
        <v>131.048</v>
      </c>
      <c r="N18" s="4">
        <v>0</v>
      </c>
      <c r="O18" s="4">
        <v>2205.2979999999998</v>
      </c>
      <c r="P18" s="4">
        <v>3030.1060000000002</v>
      </c>
      <c r="Q18" s="7">
        <f t="shared" si="1"/>
        <v>72.7795661273896</v>
      </c>
    </row>
    <row r="19" spans="1:17" ht="17.100000000000001" customHeight="1" x14ac:dyDescent="0.25">
      <c r="A19" s="1" t="s">
        <v>28</v>
      </c>
      <c r="B19" s="14">
        <f>(B18-B15)/B15</f>
        <v>0.20764723363075963</v>
      </c>
      <c r="C19" s="14">
        <f t="shared" ref="C19:Q19" si="8">(C18-C15)/C15</f>
        <v>0.20926451614895239</v>
      </c>
      <c r="D19" s="14">
        <f t="shared" si="8"/>
        <v>0.19938334305864724</v>
      </c>
      <c r="E19" s="14">
        <f t="shared" si="8"/>
        <v>0.1587303955851648</v>
      </c>
      <c r="F19" s="14">
        <f t="shared" si="8"/>
        <v>0.1419398628077298</v>
      </c>
      <c r="G19" s="14">
        <f t="shared" si="8"/>
        <v>0.19982224242948846</v>
      </c>
      <c r="H19" s="8">
        <f t="shared" si="8"/>
        <v>-4.8242462570583886E-2</v>
      </c>
      <c r="I19" s="14">
        <f t="shared" si="8"/>
        <v>0.31703883015512302</v>
      </c>
      <c r="J19" s="15" t="s">
        <v>29</v>
      </c>
      <c r="K19" s="14">
        <f t="shared" si="8"/>
        <v>0.31703883015512302</v>
      </c>
      <c r="L19" s="14">
        <f t="shared" si="8"/>
        <v>0.14334645947066241</v>
      </c>
      <c r="M19" s="14">
        <f t="shared" si="8"/>
        <v>0.14156293282925517</v>
      </c>
      <c r="N19" s="15" t="s">
        <v>29</v>
      </c>
      <c r="O19" s="14">
        <f t="shared" si="8"/>
        <v>0.14324031915163837</v>
      </c>
      <c r="P19" s="14">
        <f t="shared" si="8"/>
        <v>0.19938647392712106</v>
      </c>
      <c r="Q19" s="8">
        <f t="shared" si="8"/>
        <v>-4.6812396167554365E-2</v>
      </c>
    </row>
    <row r="20" spans="1:17" ht="17.100000000000001" customHeight="1" x14ac:dyDescent="0.25">
      <c r="A20" s="3" t="s">
        <v>30</v>
      </c>
      <c r="B20" s="13">
        <f>(((B18/B6)^(1/4))-1)</f>
        <v>0.32435718685033343</v>
      </c>
      <c r="C20" s="13">
        <f t="shared" ref="C20:Q20" si="9">(((C18/C6)^(1/4))-1)</f>
        <v>0.3357888663882358</v>
      </c>
      <c r="D20" s="13">
        <f t="shared" si="9"/>
        <v>0.34017486922946349</v>
      </c>
      <c r="E20" s="13">
        <f t="shared" si="9"/>
        <v>0.31446281703657153</v>
      </c>
      <c r="F20" s="13">
        <f t="shared" si="9"/>
        <v>0.32843896969302433</v>
      </c>
      <c r="G20" s="13">
        <f t="shared" si="9"/>
        <v>0.3403133713294455</v>
      </c>
      <c r="H20" s="6">
        <f t="shared" si="9"/>
        <v>-8.8594219011954856E-3</v>
      </c>
      <c r="I20" s="13">
        <f t="shared" si="9"/>
        <v>0.20668700558088116</v>
      </c>
      <c r="J20" s="13" t="s">
        <v>29</v>
      </c>
      <c r="K20" s="13">
        <f t="shared" si="9"/>
        <v>0.20668700558088116</v>
      </c>
      <c r="L20" s="13">
        <f t="shared" si="9"/>
        <v>0.32728282400119579</v>
      </c>
      <c r="M20" s="13">
        <f t="shared" si="9"/>
        <v>0.24340594427006002</v>
      </c>
      <c r="N20" s="13" t="s">
        <v>29</v>
      </c>
      <c r="O20" s="13">
        <f t="shared" si="9"/>
        <v>0.32146364341343769</v>
      </c>
      <c r="P20" s="13">
        <f t="shared" si="9"/>
        <v>0.34016933349877765</v>
      </c>
      <c r="Q20" s="6">
        <f t="shared" si="9"/>
        <v>-1.395770640155225E-2</v>
      </c>
    </row>
    <row r="21" spans="1:17" ht="17.100000000000001" customHeight="1" x14ac:dyDescent="0.25">
      <c r="A21" s="2" t="s">
        <v>24</v>
      </c>
      <c r="B21" s="5">
        <v>192920</v>
      </c>
      <c r="C21" s="5">
        <v>354277.05</v>
      </c>
      <c r="D21" s="5">
        <v>196267</v>
      </c>
      <c r="E21" s="5">
        <v>25180370</v>
      </c>
      <c r="F21" s="5">
        <v>28177.471000000001</v>
      </c>
      <c r="G21" s="5">
        <v>35326.855000000003</v>
      </c>
      <c r="H21" s="7">
        <f t="shared" si="0"/>
        <v>79.76218375510642</v>
      </c>
      <c r="I21" s="4">
        <v>129532</v>
      </c>
      <c r="J21" s="4">
        <v>8111</v>
      </c>
      <c r="K21" s="4">
        <v>137643</v>
      </c>
      <c r="L21" s="4">
        <v>2532.9899999999998</v>
      </c>
      <c r="M21" s="4">
        <v>172.173</v>
      </c>
      <c r="N21" s="4">
        <v>9.532</v>
      </c>
      <c r="O21" s="4">
        <v>2714.6950000000002</v>
      </c>
      <c r="P21" s="4">
        <v>3572.0729999999999</v>
      </c>
      <c r="Q21" s="7">
        <f t="shared" si="1"/>
        <v>75.997746966537363</v>
      </c>
    </row>
    <row r="22" spans="1:17" ht="17.100000000000001" customHeight="1" x14ac:dyDescent="0.25">
      <c r="A22" s="1" t="s">
        <v>28</v>
      </c>
      <c r="B22" s="14">
        <f>(B21-B18)/B18</f>
        <v>0.21725304123971531</v>
      </c>
      <c r="C22" s="14">
        <f t="shared" ref="C22:Q22" si="10">(C21-C18)/C18</f>
        <v>0.1902411041100078</v>
      </c>
      <c r="D22" s="14">
        <f t="shared" si="10"/>
        <v>0.17885158267763829</v>
      </c>
      <c r="E22" s="14">
        <f t="shared" si="10"/>
        <v>0.28677402265251128</v>
      </c>
      <c r="F22" s="14">
        <f t="shared" si="10"/>
        <v>0.2179371212272169</v>
      </c>
      <c r="G22" s="14">
        <f t="shared" si="10"/>
        <v>0.17883430637811493</v>
      </c>
      <c r="H22" s="8">
        <f t="shared" si="10"/>
        <v>3.3170747269175238E-2</v>
      </c>
      <c r="I22" s="14">
        <f t="shared" si="10"/>
        <v>0.21468894765468219</v>
      </c>
      <c r="J22" s="15" t="s">
        <v>29</v>
      </c>
      <c r="K22" s="14">
        <f t="shared" si="10"/>
        <v>0.29075001406628032</v>
      </c>
      <c r="L22" s="14">
        <f t="shared" si="10"/>
        <v>0.22115945522477995</v>
      </c>
      <c r="M22" s="14">
        <f t="shared" si="10"/>
        <v>0.31381631158048956</v>
      </c>
      <c r="N22" s="15" t="s">
        <v>29</v>
      </c>
      <c r="O22" s="14">
        <f t="shared" si="10"/>
        <v>0.23098783021614333</v>
      </c>
      <c r="P22" s="14">
        <f t="shared" si="10"/>
        <v>0.17886073952528381</v>
      </c>
      <c r="Q22" s="8">
        <f t="shared" si="10"/>
        <v>4.4218192143586361E-2</v>
      </c>
    </row>
    <row r="23" spans="1:17" ht="17.100000000000001" customHeight="1" x14ac:dyDescent="0.25">
      <c r="A23" s="3" t="s">
        <v>30</v>
      </c>
      <c r="B23" s="13">
        <f>(((B21/B6)^(1/5))-1)</f>
        <v>0.30220776225543045</v>
      </c>
      <c r="C23" s="13">
        <f t="shared" ref="C23:Q23" si="11">(((C21/C6)^(1/5))-1)</f>
        <v>0.30532075756115784</v>
      </c>
      <c r="D23" s="13">
        <f t="shared" si="11"/>
        <v>0.30623405480726973</v>
      </c>
      <c r="E23" s="13">
        <f t="shared" si="11"/>
        <v>0.30887779904607893</v>
      </c>
      <c r="F23" s="13">
        <f t="shared" si="11"/>
        <v>0.30556427948629183</v>
      </c>
      <c r="G23" s="13">
        <f t="shared" si="11"/>
        <v>0.30633822028354807</v>
      </c>
      <c r="H23" s="6">
        <f t="shared" si="11"/>
        <v>-5.9245055012502323E-4</v>
      </c>
      <c r="I23" s="13">
        <f t="shared" si="11"/>
        <v>0.20828316572524197</v>
      </c>
      <c r="J23" s="13" t="s">
        <v>29</v>
      </c>
      <c r="K23" s="13">
        <f t="shared" si="11"/>
        <v>0.22304978740500747</v>
      </c>
      <c r="L23" s="13">
        <f t="shared" si="11"/>
        <v>0.30534483405088197</v>
      </c>
      <c r="M23" s="13">
        <f t="shared" si="11"/>
        <v>0.25717947292397292</v>
      </c>
      <c r="N23" s="13" t="s">
        <v>29</v>
      </c>
      <c r="O23" s="13">
        <f t="shared" si="11"/>
        <v>0.30285152969591267</v>
      </c>
      <c r="P23" s="13">
        <f t="shared" si="11"/>
        <v>0.30623176762550752</v>
      </c>
      <c r="Q23" s="6">
        <f t="shared" si="11"/>
        <v>-2.5877780753561508E-3</v>
      </c>
    </row>
    <row r="24" spans="1:17" ht="17.100000000000001" customHeight="1" x14ac:dyDescent="0.25">
      <c r="A24" s="2" t="s">
        <v>25</v>
      </c>
      <c r="B24" s="5">
        <v>236385</v>
      </c>
      <c r="C24" s="5">
        <v>436742.0199999999</v>
      </c>
      <c r="D24" s="5">
        <v>238025</v>
      </c>
      <c r="E24" s="5">
        <v>33103686</v>
      </c>
      <c r="F24" s="5">
        <v>35968.266000000003</v>
      </c>
      <c r="G24" s="5">
        <v>42825.673999999999</v>
      </c>
      <c r="H24" s="7">
        <f t="shared" si="0"/>
        <v>83.987623872539643</v>
      </c>
      <c r="I24" s="4">
        <v>138311.22090000001</v>
      </c>
      <c r="J24" s="4">
        <v>11899.743924999999</v>
      </c>
      <c r="K24" s="4">
        <v>150210.964825</v>
      </c>
      <c r="L24" s="4">
        <v>3236.9180000000001</v>
      </c>
      <c r="M24" s="4">
        <v>183.85900000000001</v>
      </c>
      <c r="N24" s="4">
        <v>14.86</v>
      </c>
      <c r="O24" s="4">
        <v>3435.6370000000002</v>
      </c>
      <c r="P24" s="4">
        <v>4595.1000000000004</v>
      </c>
      <c r="Q24" s="7">
        <f t="shared" si="1"/>
        <v>74.767404409044417</v>
      </c>
    </row>
    <row r="25" spans="1:17" ht="17.100000000000001" customHeight="1" x14ac:dyDescent="0.25">
      <c r="A25" s="1" t="s">
        <v>28</v>
      </c>
      <c r="B25" s="14">
        <f>(B24-B21)/B21</f>
        <v>0.22530064275347295</v>
      </c>
      <c r="C25" s="14">
        <f t="shared" ref="C25:Q25" si="12">(C24-C21)/C21</f>
        <v>0.23276972075950139</v>
      </c>
      <c r="D25" s="14">
        <f t="shared" si="12"/>
        <v>0.21276118756591786</v>
      </c>
      <c r="E25" s="14">
        <f t="shared" si="12"/>
        <v>0.31466241361822722</v>
      </c>
      <c r="F25" s="14">
        <f t="shared" si="12"/>
        <v>0.2764902144695669</v>
      </c>
      <c r="G25" s="14">
        <f t="shared" si="12"/>
        <v>0.21226964585440722</v>
      </c>
      <c r="H25" s="8">
        <f t="shared" si="12"/>
        <v>5.297548184496275E-2</v>
      </c>
      <c r="I25" s="14">
        <f t="shared" si="12"/>
        <v>6.7776463730970071E-2</v>
      </c>
      <c r="J25" s="14">
        <f t="shared" si="12"/>
        <v>0.46711181420293413</v>
      </c>
      <c r="K25" s="14">
        <f t="shared" si="12"/>
        <v>9.1308419788874134E-2</v>
      </c>
      <c r="L25" s="14">
        <f t="shared" si="12"/>
        <v>0.2779039790919034</v>
      </c>
      <c r="M25" s="14">
        <f t="shared" si="12"/>
        <v>6.7873592258948887E-2</v>
      </c>
      <c r="N25" s="14">
        <f t="shared" si="12"/>
        <v>0.55895929500629449</v>
      </c>
      <c r="O25" s="14">
        <f t="shared" si="12"/>
        <v>0.26557016534085781</v>
      </c>
      <c r="P25" s="14">
        <f t="shared" si="12"/>
        <v>0.2863958827269209</v>
      </c>
      <c r="Q25" s="8">
        <f t="shared" si="12"/>
        <v>-1.618919779338563E-2</v>
      </c>
    </row>
    <row r="26" spans="1:17" ht="17.100000000000001" customHeight="1" x14ac:dyDescent="0.25">
      <c r="A26" s="3" t="s">
        <v>30</v>
      </c>
      <c r="B26" s="13">
        <f>(((B24/B6)^(1/6))-1)</f>
        <v>0.28906260528638938</v>
      </c>
      <c r="C26" s="13">
        <f t="shared" ref="C26:Q26" si="13">(((C24/C6)^(1/6))-1)</f>
        <v>0.29293898340450819</v>
      </c>
      <c r="D26" s="13">
        <f t="shared" si="13"/>
        <v>0.29016933906514764</v>
      </c>
      <c r="E26" s="13">
        <f t="shared" si="13"/>
        <v>0.30984013089135121</v>
      </c>
      <c r="F26" s="13">
        <f t="shared" si="13"/>
        <v>0.30067301773404287</v>
      </c>
      <c r="G26" s="13">
        <f t="shared" si="13"/>
        <v>0.290167902337509</v>
      </c>
      <c r="H26" s="6">
        <f t="shared" si="13"/>
        <v>8.142440512975746E-3</v>
      </c>
      <c r="I26" s="13">
        <f t="shared" si="13"/>
        <v>0.18364280162893887</v>
      </c>
      <c r="J26" s="13" t="s">
        <v>29</v>
      </c>
      <c r="K26" s="13">
        <f t="shared" si="13"/>
        <v>0.2000371698394674</v>
      </c>
      <c r="L26" s="13">
        <f t="shared" si="13"/>
        <v>0.3007307761146556</v>
      </c>
      <c r="M26" s="13">
        <f t="shared" si="13"/>
        <v>0.22344478913457833</v>
      </c>
      <c r="N26" s="13" t="s">
        <v>29</v>
      </c>
      <c r="O26" s="13">
        <f t="shared" si="13"/>
        <v>0.29656256230511957</v>
      </c>
      <c r="P26" s="13">
        <f t="shared" si="13"/>
        <v>0.30290467256282594</v>
      </c>
      <c r="Q26" s="6">
        <f t="shared" si="13"/>
        <v>-4.8676702073922051E-3</v>
      </c>
    </row>
    <row r="27" spans="1:17" ht="17.100000000000001" customHeight="1" x14ac:dyDescent="0.25">
      <c r="A27" s="2" t="s">
        <v>26</v>
      </c>
      <c r="B27" s="5">
        <v>300526</v>
      </c>
      <c r="C27" s="5">
        <v>558566.74769999995</v>
      </c>
      <c r="D27" s="5">
        <v>303494.57400000002</v>
      </c>
      <c r="E27" s="5">
        <v>43531952</v>
      </c>
      <c r="F27" s="5">
        <v>46288.307000000001</v>
      </c>
      <c r="G27" s="5">
        <v>54582.542000000001</v>
      </c>
      <c r="H27" s="7">
        <f t="shared" si="0"/>
        <v>84.804234658034062</v>
      </c>
      <c r="I27" s="4">
        <v>163177</v>
      </c>
      <c r="J27" s="4">
        <v>14204</v>
      </c>
      <c r="K27" s="4">
        <v>177381</v>
      </c>
      <c r="L27" s="4">
        <v>4166.085986</v>
      </c>
      <c r="M27" s="4">
        <v>215.91493700000001</v>
      </c>
      <c r="N27" s="4">
        <v>15.645637000000001</v>
      </c>
      <c r="O27" s="4">
        <v>4397.6465599999992</v>
      </c>
      <c r="P27" s="4">
        <v>5935.1954999999998</v>
      </c>
      <c r="Q27" s="7">
        <f t="shared" si="1"/>
        <v>74.094384254065417</v>
      </c>
    </row>
    <row r="28" spans="1:17" ht="17.100000000000001" customHeight="1" x14ac:dyDescent="0.25">
      <c r="A28" s="1" t="s">
        <v>28</v>
      </c>
      <c r="B28" s="14">
        <f>(B27-B24)/B24</f>
        <v>0.27134124415677813</v>
      </c>
      <c r="C28" s="14">
        <f t="shared" ref="C28:Q28" si="14">(C27-C24)/C24</f>
        <v>0.27893979081747178</v>
      </c>
      <c r="D28" s="14">
        <f t="shared" si="14"/>
        <v>0.27505335153870403</v>
      </c>
      <c r="E28" s="14">
        <f t="shared" si="14"/>
        <v>0.31501827319169229</v>
      </c>
      <c r="F28" s="14">
        <f t="shared" si="14"/>
        <v>0.28692072617567932</v>
      </c>
      <c r="G28" s="14">
        <f t="shared" si="14"/>
        <v>0.27452849895602349</v>
      </c>
      <c r="H28" s="8">
        <f t="shared" si="14"/>
        <v>9.722989505378964E-3</v>
      </c>
      <c r="I28" s="14">
        <f t="shared" si="14"/>
        <v>0.17978135785510937</v>
      </c>
      <c r="J28" s="14">
        <f t="shared" si="14"/>
        <v>0.19363913118827902</v>
      </c>
      <c r="K28" s="14">
        <f t="shared" si="14"/>
        <v>0.180879173545379</v>
      </c>
      <c r="L28" s="14">
        <f t="shared" si="14"/>
        <v>0.28705329761211124</v>
      </c>
      <c r="M28" s="14">
        <f t="shared" si="14"/>
        <v>0.17435065457769269</v>
      </c>
      <c r="N28" s="14">
        <f t="shared" si="14"/>
        <v>5.286924629878878E-2</v>
      </c>
      <c r="O28" s="14">
        <f t="shared" si="14"/>
        <v>0.2800090812853625</v>
      </c>
      <c r="P28" s="14">
        <f t="shared" si="14"/>
        <v>0.29163576418358672</v>
      </c>
      <c r="Q28" s="8">
        <f t="shared" si="14"/>
        <v>-9.0015182457983799E-3</v>
      </c>
    </row>
    <row r="29" spans="1:17" ht="17.100000000000001" customHeight="1" x14ac:dyDescent="0.25">
      <c r="A29" s="3" t="s">
        <v>30</v>
      </c>
      <c r="B29" s="13">
        <f>(((B27/B6)^(1/7))-1)</f>
        <v>0.28651593831221067</v>
      </c>
      <c r="C29" s="13">
        <f t="shared" ref="C29:Q29" si="15">(((C27/C6)^(1/7))-1)</f>
        <v>0.29092975595248705</v>
      </c>
      <c r="D29" s="13">
        <f t="shared" si="15"/>
        <v>0.2879989899163542</v>
      </c>
      <c r="E29" s="13">
        <f t="shared" si="15"/>
        <v>0.31057861526476094</v>
      </c>
      <c r="F29" s="13">
        <f t="shared" si="15"/>
        <v>0.29869944353982691</v>
      </c>
      <c r="G29" s="13">
        <f t="shared" si="15"/>
        <v>0.28792200701150072</v>
      </c>
      <c r="H29" s="6">
        <f t="shared" si="15"/>
        <v>8.3680816615085973E-3</v>
      </c>
      <c r="I29" s="13">
        <f t="shared" si="15"/>
        <v>0.18309039397729343</v>
      </c>
      <c r="J29" s="13" t="s">
        <v>29</v>
      </c>
      <c r="K29" s="13">
        <f t="shared" si="15"/>
        <v>0.19728140065019062</v>
      </c>
      <c r="L29" s="13">
        <f t="shared" si="15"/>
        <v>0.29876798744683519</v>
      </c>
      <c r="M29" s="13">
        <f t="shared" si="15"/>
        <v>0.21630764188672069</v>
      </c>
      <c r="N29" s="13" t="s">
        <v>29</v>
      </c>
      <c r="O29" s="13">
        <f t="shared" si="15"/>
        <v>0.29418473680699142</v>
      </c>
      <c r="P29" s="13">
        <f t="shared" si="15"/>
        <v>0.30128882908261745</v>
      </c>
      <c r="Q29" s="6">
        <f t="shared" si="15"/>
        <v>-5.4592740034772325E-3</v>
      </c>
    </row>
    <row r="30" spans="1:17" ht="17.100000000000001" customHeight="1" x14ac:dyDescent="0.25">
      <c r="A30" s="2" t="s">
        <v>27</v>
      </c>
      <c r="B30" s="5">
        <v>347640</v>
      </c>
      <c r="C30" s="5">
        <v>654040.32053000003</v>
      </c>
      <c r="D30" s="5">
        <v>353803.94799999997</v>
      </c>
      <c r="E30" s="5">
        <v>52141844</v>
      </c>
      <c r="F30" s="5">
        <v>55523.815000000002</v>
      </c>
      <c r="G30" s="5">
        <v>63510.063999999998</v>
      </c>
      <c r="H30" s="7">
        <f t="shared" si="0"/>
        <v>87.425222874913189</v>
      </c>
      <c r="I30" s="4">
        <v>192467.33000000002</v>
      </c>
      <c r="J30" s="4">
        <v>15237.461000000001</v>
      </c>
      <c r="K30" s="4">
        <v>207704.79100000003</v>
      </c>
      <c r="L30" s="4">
        <v>4997.0683200000003</v>
      </c>
      <c r="M30" s="4">
        <v>261.02579000000003</v>
      </c>
      <c r="N30" s="4">
        <v>16.439809999999998</v>
      </c>
      <c r="O30" s="4">
        <v>5274.5339199999999</v>
      </c>
      <c r="P30" s="4">
        <v>6890.4937499999996</v>
      </c>
      <c r="Q30" s="7">
        <f t="shared" si="1"/>
        <v>76.547982065871551</v>
      </c>
    </row>
    <row r="31" spans="1:17" ht="17.100000000000001" customHeight="1" x14ac:dyDescent="0.25">
      <c r="A31" s="1" t="s">
        <v>28</v>
      </c>
      <c r="B31" s="14">
        <f>(B30-B27)/B27</f>
        <v>0.15677179345547473</v>
      </c>
      <c r="C31" s="14">
        <f t="shared" ref="C31:Q31" si="16">(C30-C27)/C27</f>
        <v>0.17092598731150727</v>
      </c>
      <c r="D31" s="14">
        <f t="shared" si="16"/>
        <v>0.16576696359652199</v>
      </c>
      <c r="E31" s="14">
        <f t="shared" si="16"/>
        <v>0.19778327422579167</v>
      </c>
      <c r="F31" s="14">
        <f t="shared" si="16"/>
        <v>0.19952140396925733</v>
      </c>
      <c r="G31" s="14">
        <f t="shared" si="16"/>
        <v>0.16356002620764706</v>
      </c>
      <c r="H31" s="8">
        <f t="shared" si="16"/>
        <v>3.0906336546141135E-2</v>
      </c>
      <c r="I31" s="14">
        <f t="shared" si="16"/>
        <v>0.17950035850640725</v>
      </c>
      <c r="J31" s="14">
        <f t="shared" si="16"/>
        <v>7.2758448324415734E-2</v>
      </c>
      <c r="K31" s="14">
        <f t="shared" si="16"/>
        <v>0.17095286981131028</v>
      </c>
      <c r="L31" s="14">
        <f t="shared" si="16"/>
        <v>0.19946355807165048</v>
      </c>
      <c r="M31" s="14">
        <f t="shared" si="16"/>
        <v>0.20892881996394727</v>
      </c>
      <c r="N31" s="14">
        <f t="shared" si="16"/>
        <v>5.0760029776991317E-2</v>
      </c>
      <c r="O31" s="14">
        <f t="shared" si="16"/>
        <v>0.19939923503083903</v>
      </c>
      <c r="P31" s="14">
        <f t="shared" si="16"/>
        <v>0.16095480763860262</v>
      </c>
      <c r="Q31" s="8">
        <f t="shared" si="16"/>
        <v>3.3114490882235913E-2</v>
      </c>
    </row>
    <row r="32" spans="1:17" ht="17.100000000000001" customHeight="1" x14ac:dyDescent="0.25">
      <c r="A32" s="3" t="s">
        <v>30</v>
      </c>
      <c r="B32" s="13">
        <f>(((B30/B6)^(1/8))-1)</f>
        <v>0.2695337060647891</v>
      </c>
      <c r="C32" s="13">
        <f t="shared" ref="C32:Q32" si="17">(((C30/C6)^(1/8))-1)</f>
        <v>0.27528122393072096</v>
      </c>
      <c r="D32" s="13">
        <f t="shared" si="17"/>
        <v>0.27204521930727887</v>
      </c>
      <c r="E32" s="13">
        <f t="shared" si="17"/>
        <v>0.29591785381797542</v>
      </c>
      <c r="F32" s="13">
        <f t="shared" si="17"/>
        <v>0.28586706506271309</v>
      </c>
      <c r="G32" s="13">
        <f t="shared" si="17"/>
        <v>0.27167744264947036</v>
      </c>
      <c r="H32" s="6">
        <f t="shared" si="17"/>
        <v>1.1158193058516064E-2</v>
      </c>
      <c r="I32" s="13">
        <f t="shared" si="17"/>
        <v>0.18264104265619485</v>
      </c>
      <c r="J32" s="13" t="s">
        <v>29</v>
      </c>
      <c r="K32" s="13">
        <f t="shared" si="17"/>
        <v>0.19395822963994824</v>
      </c>
      <c r="L32" s="13">
        <f t="shared" si="17"/>
        <v>0.28591869641472356</v>
      </c>
      <c r="M32" s="13">
        <f t="shared" si="17"/>
        <v>0.21538283178265649</v>
      </c>
      <c r="N32" s="13" t="s">
        <v>29</v>
      </c>
      <c r="O32" s="13">
        <f t="shared" si="17"/>
        <v>0.28193855781268784</v>
      </c>
      <c r="P32" s="13">
        <f t="shared" si="17"/>
        <v>0.2828589345055641</v>
      </c>
      <c r="Q32" s="6">
        <f t="shared" si="17"/>
        <v>-7.174418543773875E-4</v>
      </c>
    </row>
    <row r="33" spans="1:17" ht="17.100000000000001" customHeight="1" x14ac:dyDescent="0.25">
      <c r="A33" s="2" t="s">
        <v>31</v>
      </c>
      <c r="B33" s="5">
        <v>448904</v>
      </c>
      <c r="C33" s="5">
        <v>853552.33082999999</v>
      </c>
      <c r="D33" s="5">
        <v>456346.02600000001</v>
      </c>
      <c r="E33" s="5">
        <v>64742944</v>
      </c>
      <c r="F33" s="5">
        <v>69811.416639000003</v>
      </c>
      <c r="G33" s="5">
        <v>81028.372488000008</v>
      </c>
      <c r="H33" s="7">
        <f t="shared" si="0"/>
        <v>86.156755338185775</v>
      </c>
      <c r="I33" s="4">
        <v>188184.70794999998</v>
      </c>
      <c r="J33" s="4">
        <v>21163.398409999998</v>
      </c>
      <c r="K33" s="4">
        <v>209348.10635999998</v>
      </c>
      <c r="L33" s="4">
        <v>6282.6052390000004</v>
      </c>
      <c r="M33" s="4">
        <v>257.76510559999997</v>
      </c>
      <c r="N33" s="4">
        <v>21.825904699999995</v>
      </c>
      <c r="O33" s="4">
        <v>6562.1962493000001</v>
      </c>
      <c r="P33" s="4">
        <v>8959.9306053</v>
      </c>
      <c r="Q33" s="7">
        <f t="shared" si="1"/>
        <v>73.239364660015497</v>
      </c>
    </row>
    <row r="34" spans="1:17" ht="17.100000000000001" customHeight="1" x14ac:dyDescent="0.25">
      <c r="A34" s="1" t="s">
        <v>28</v>
      </c>
      <c r="B34" s="14">
        <f>(B33-B30)/B30</f>
        <v>0.29128984006443448</v>
      </c>
      <c r="C34" s="14">
        <f t="shared" ref="C34:Q34" si="18">(C33-C30)/C30</f>
        <v>0.30504542921501521</v>
      </c>
      <c r="D34" s="14">
        <f t="shared" si="18"/>
        <v>0.28982739898651455</v>
      </c>
      <c r="E34" s="14">
        <f t="shared" si="18"/>
        <v>0.24166962718081086</v>
      </c>
      <c r="F34" s="14">
        <f t="shared" si="18"/>
        <v>0.25732384633512667</v>
      </c>
      <c r="G34" s="14">
        <f t="shared" si="18"/>
        <v>0.27583515721224922</v>
      </c>
      <c r="H34" s="8">
        <f t="shared" si="18"/>
        <v>-1.4509171323958989E-2</v>
      </c>
      <c r="I34" s="14">
        <f t="shared" si="18"/>
        <v>-2.2251163613066352E-2</v>
      </c>
      <c r="J34" s="14">
        <f t="shared" si="18"/>
        <v>0.38890582952107283</v>
      </c>
      <c r="K34" s="14">
        <f t="shared" si="18"/>
        <v>7.9117836044520964E-3</v>
      </c>
      <c r="L34" s="14">
        <f t="shared" si="18"/>
        <v>0.25725822355776795</v>
      </c>
      <c r="M34" s="14">
        <f t="shared" si="18"/>
        <v>-1.2491809334242638E-2</v>
      </c>
      <c r="N34" s="14">
        <f t="shared" si="18"/>
        <v>0.32762511853847448</v>
      </c>
      <c r="O34" s="14">
        <f t="shared" si="18"/>
        <v>0.24412817299694231</v>
      </c>
      <c r="P34" s="14">
        <f t="shared" si="18"/>
        <v>0.30033215766286714</v>
      </c>
      <c r="Q34" s="8">
        <f t="shared" si="18"/>
        <v>-4.3222790680607387E-2</v>
      </c>
    </row>
    <row r="35" spans="1:17" x14ac:dyDescent="0.25">
      <c r="A35" s="3" t="s">
        <v>30</v>
      </c>
      <c r="B35" s="13">
        <f>(((B33/B6)^(1/9))-1)</f>
        <v>0.2719328388108293</v>
      </c>
      <c r="C35" s="13">
        <f t="shared" ref="C35:Q35" si="19">(((C33/C6)^(1/9))-1)</f>
        <v>0.27855454860869466</v>
      </c>
      <c r="D35" s="13">
        <f t="shared" si="19"/>
        <v>0.27400884842560536</v>
      </c>
      <c r="E35" s="13">
        <f t="shared" si="19"/>
        <v>0.28977508292294996</v>
      </c>
      <c r="F35" s="13">
        <f t="shared" si="19"/>
        <v>0.28266386338059935</v>
      </c>
      <c r="G35" s="13">
        <f t="shared" si="19"/>
        <v>0.27213874102722535</v>
      </c>
      <c r="H35" s="6">
        <f t="shared" si="19"/>
        <v>8.2735648352909585E-3</v>
      </c>
      <c r="I35" s="13">
        <f t="shared" si="19"/>
        <v>0.15790337615745687</v>
      </c>
      <c r="J35" s="13" t="s">
        <v>29</v>
      </c>
      <c r="K35" s="13">
        <f t="shared" si="19"/>
        <v>0.17169631888695092</v>
      </c>
      <c r="L35" s="13">
        <f t="shared" si="19"/>
        <v>0.28270220467798546</v>
      </c>
      <c r="M35" s="13">
        <f t="shared" si="19"/>
        <v>0.18766495786644755</v>
      </c>
      <c r="N35" s="13" t="s">
        <v>29</v>
      </c>
      <c r="O35" s="13">
        <f t="shared" si="19"/>
        <v>0.2776812870341383</v>
      </c>
      <c r="P35" s="13">
        <f t="shared" si="19"/>
        <v>0.28478875073423215</v>
      </c>
      <c r="Q35" s="6">
        <f t="shared" si="19"/>
        <v>-5.5320095977117179E-3</v>
      </c>
    </row>
    <row r="36" spans="1:17" ht="30" x14ac:dyDescent="0.25">
      <c r="A36" s="2" t="s">
        <v>35</v>
      </c>
      <c r="B36" s="5">
        <v>522853</v>
      </c>
      <c r="C36" s="5">
        <v>1022515.0666666665</v>
      </c>
      <c r="D36" s="5">
        <v>541959.89</v>
      </c>
      <c r="E36" s="5">
        <v>75025960</v>
      </c>
      <c r="F36" s="5">
        <v>82539.861999999994</v>
      </c>
      <c r="G36" s="5">
        <v>96240.127770000006</v>
      </c>
      <c r="H36" s="7">
        <v>85.764497525666556</v>
      </c>
      <c r="I36" s="4">
        <v>277755.22699999996</v>
      </c>
      <c r="J36" s="4">
        <v>17195.88</v>
      </c>
      <c r="K36" s="4">
        <v>294951.10399999993</v>
      </c>
      <c r="L36" s="4">
        <v>7426.632757880001</v>
      </c>
      <c r="M36" s="4">
        <v>372.29959941800001</v>
      </c>
      <c r="N36" s="4">
        <v>17.485200213000002</v>
      </c>
      <c r="O36" s="4">
        <v>7816.4175575110003</v>
      </c>
      <c r="P36" s="4">
        <v>10701.684850296002</v>
      </c>
      <c r="Q36" s="7">
        <v>73.039130443976802</v>
      </c>
    </row>
    <row r="37" spans="1:17" ht="30.75" customHeight="1" x14ac:dyDescent="0.25">
      <c r="A37" s="1" t="s">
        <v>28</v>
      </c>
      <c r="B37" s="14">
        <f>(B36-B33)/B33</f>
        <v>0.16473232584249639</v>
      </c>
      <c r="C37" s="14">
        <f t="shared" ref="C37:Q37" si="20">(C36-C33)/C33</f>
        <v>0.19795240401062</v>
      </c>
      <c r="D37" s="14">
        <f t="shared" si="20"/>
        <v>0.18760733987415068</v>
      </c>
      <c r="E37" s="14">
        <f t="shared" si="20"/>
        <v>0.15882836591428404</v>
      </c>
      <c r="F37" s="14">
        <f t="shared" si="20"/>
        <v>0.182326129074557</v>
      </c>
      <c r="G37" s="14">
        <f t="shared" si="20"/>
        <v>0.18773368901433632</v>
      </c>
      <c r="H37" s="8">
        <f t="shared" si="20"/>
        <v>-4.5528387295867114E-3</v>
      </c>
      <c r="I37" s="14">
        <f t="shared" si="20"/>
        <v>0.47597129451027737</v>
      </c>
      <c r="J37" s="14">
        <f t="shared" si="20"/>
        <v>-0.18747076122355139</v>
      </c>
      <c r="K37" s="14">
        <f t="shared" si="20"/>
        <v>0.4089026603985374</v>
      </c>
      <c r="L37" s="14">
        <f t="shared" si="20"/>
        <v>0.18209444575290473</v>
      </c>
      <c r="M37" s="14">
        <f t="shared" si="20"/>
        <v>0.4443366899929998</v>
      </c>
      <c r="N37" s="14">
        <f t="shared" si="20"/>
        <v>-0.19887855952197911</v>
      </c>
      <c r="O37" s="14">
        <f t="shared" si="20"/>
        <v>0.19112828397120704</v>
      </c>
      <c r="P37" s="14">
        <f t="shared" si="20"/>
        <v>0.19439372041182051</v>
      </c>
      <c r="Q37" s="8">
        <f t="shared" si="20"/>
        <v>-2.7339698667267513E-3</v>
      </c>
    </row>
    <row r="38" spans="1:17" x14ac:dyDescent="0.25">
      <c r="A38" s="3" t="s">
        <v>30</v>
      </c>
      <c r="B38" s="13">
        <f>(((B36/B6)^(1/10))-1)</f>
        <v>0.26078308910394776</v>
      </c>
      <c r="C38" s="13">
        <f t="shared" ref="C38:Q38" si="21">(((C36/C6)^(1/10))-1)</f>
        <v>0.27025610774453401</v>
      </c>
      <c r="D38" s="13">
        <f t="shared" si="21"/>
        <v>0.26509310048772328</v>
      </c>
      <c r="E38" s="13">
        <f t="shared" si="21"/>
        <v>0.2760406100765842</v>
      </c>
      <c r="F38" s="13">
        <f t="shared" si="21"/>
        <v>0.27225832773700853</v>
      </c>
      <c r="G38" s="13">
        <f t="shared" si="21"/>
        <v>0.2634351005734763</v>
      </c>
      <c r="H38" s="6">
        <f t="shared" si="21"/>
        <v>6.983522271565068E-3</v>
      </c>
      <c r="I38" s="13">
        <f t="shared" si="21"/>
        <v>0.18635012217386726</v>
      </c>
      <c r="J38" s="13" t="s">
        <v>29</v>
      </c>
      <c r="K38" s="13">
        <f t="shared" si="21"/>
        <v>0.19349789638662895</v>
      </c>
      <c r="L38" s="13">
        <f t="shared" si="21"/>
        <v>0.27226762144354066</v>
      </c>
      <c r="M38" s="13">
        <f t="shared" si="21"/>
        <v>0.21113175971663245</v>
      </c>
      <c r="N38" s="13" t="s">
        <v>29</v>
      </c>
      <c r="O38" s="13">
        <f t="shared" si="21"/>
        <v>0.26875023139660503</v>
      </c>
      <c r="P38" s="13">
        <f t="shared" si="21"/>
        <v>0.27544960603622171</v>
      </c>
      <c r="Q38" s="6">
        <f t="shared" si="21"/>
        <v>-5.2525592606019744E-3</v>
      </c>
    </row>
    <row r="39" spans="1:17" x14ac:dyDescent="0.25">
      <c r="A39" s="20" t="s">
        <v>33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</row>
    <row r="40" spans="1:17" x14ac:dyDescent="0.25">
      <c r="A40" s="16" t="s">
        <v>36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</row>
  </sheetData>
  <mergeCells count="14">
    <mergeCell ref="A40:Q40"/>
    <mergeCell ref="P4:P5"/>
    <mergeCell ref="Q4:Q5"/>
    <mergeCell ref="A39:Q3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rintOptions horizontalCentered="1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INDIGO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2021-09-15T00:35:58Z</cp:lastPrinted>
  <dcterms:created xsi:type="dcterms:W3CDTF">2018-10-29T04:00:16Z</dcterms:created>
  <dcterms:modified xsi:type="dcterms:W3CDTF">2021-09-15T00:41:03Z</dcterms:modified>
</cp:coreProperties>
</file>