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1. ALL SCHEDULED INDIAN AIRLINES\"/>
    </mc:Choice>
  </mc:AlternateContent>
  <bookViews>
    <workbookView showHorizontalScroll="0" showVerticalScroll="0" xWindow="0" yWindow="0" windowWidth="13140" windowHeight="10635"/>
  </bookViews>
  <sheets>
    <sheet name="1.04" sheetId="2" r:id="rId1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2" l="1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</calcChain>
</file>

<file path=xl/sharedStrings.xml><?xml version="1.0" encoding="utf-8"?>
<sst xmlns="http://schemas.openxmlformats.org/spreadsheetml/2006/main" count="91" uniqueCount="39">
  <si>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</si>
  <si>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</si>
  <si>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</si>
  <si>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</si>
  <si>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</si>
  <si>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</si>
  <si>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</si>
  <si>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</si>
  <si>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</si>
  <si>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</si>
  <si>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</si>
  <si>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</si>
  <si>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</si>
  <si>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</si>
  <si>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</si>
  <si>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</si>
  <si>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</si>
  <si>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</si>
  <si>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</si>
  <si>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</si>
  <si>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</si>
  <si>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</si>
  <si>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</si>
  <si>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</si>
  <si>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</si>
  <si>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</si>
  <si>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</si>
  <si>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</si>
  <si>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</si>
  <si>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</si>
  <si>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CAGR</t>
  </si>
  <si>
    <t xml:space="preserve">तालिका - 1.04 (सभी अनुसूचित भारतीय एयरलाइन्स) </t>
  </si>
  <si>
    <t>TABLE - 1.04 (ALL SCHEDULED INDIAN AIRLINES)</t>
  </si>
  <si>
    <t>Growth</t>
  </si>
  <si>
    <t>2018-19</t>
  </si>
  <si>
    <t>2019-20</t>
  </si>
  <si>
    <t>Note: Growth has been calculated with respect to preceeding year while Compound Annual Growth Rate (CAGR) has been calculating taking 2009-10 as a Base Year</t>
  </si>
  <si>
    <t>-</t>
  </si>
  <si>
    <t>YEAR ON YEAR GROWTH AND CAGR FOR LAST TEN YEARS OF ALL SCHEDULED INDIAN AIRLINES ON SCHEDULED DOMESTIC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</si>
</sst>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3F3F76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166" fontId="7" fillId="3" borderId="2" xfId="4" applyNumberFormat="1" applyFont="1" applyFill="1" applyBorder="1" applyAlignment="1" applyProtection="1">
      <alignment horizontal="center" vertical="center" wrapText="1"/>
    </xf>
    <xf numFmtId="165" fontId="8" fillId="5" borderId="1" xfId="4" applyNumberFormat="1" applyFont="1" applyFill="1" applyBorder="1" applyAlignment="1" applyProtection="1">
      <alignment horizontal="center" vertical="center" wrapText="1"/>
    </xf>
    <xf numFmtId="165" fontId="9" fillId="2" borderId="1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5" fontId="3" fillId="2" borderId="1" xfId="4" applyNumberFormat="1" applyFon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 wrapText="1"/>
    </xf>
    <xf numFmtId="0" fontId="0" fillId="5" borderId="1" xfId="3" applyFont="1" applyBorder="1" applyAlignment="1" applyProtection="1">
      <alignment horizontal="center" vertical="center" wrapText="1"/>
    </xf>
    <xf numFmtId="165" fontId="0" fillId="5" borderId="1" xfId="4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Normal="100" zoomScaleSheetLayoutView="100" workbookViewId="0">
      <selection activeCell="A3" sqref="A3:Q3"/>
    </sheetView>
  </sheetViews>
  <sheetFormatPr defaultRowHeight="15" x14ac:dyDescent="0.25"/>
  <cols>
    <col min="1" max="1" width="7.85546875" customWidth="1"/>
    <col min="2" max="2" width="9.5703125" customWidth="1"/>
    <col min="3" max="3" width="9" customWidth="1"/>
    <col min="4" max="4" width="7.85546875" customWidth="1"/>
    <col min="5" max="5" width="12.140625" customWidth="1"/>
    <col min="6" max="6" width="8.28515625" customWidth="1"/>
    <col min="7" max="7" width="8.140625" customWidth="1"/>
    <col min="8" max="8" width="6.42578125" customWidth="1"/>
    <col min="9" max="9" width="9.42578125" customWidth="1"/>
    <col min="10" max="10" width="8.5703125" customWidth="1"/>
    <col min="11" max="11" width="9.5703125" customWidth="1"/>
    <col min="12" max="12" width="9" customWidth="1"/>
    <col min="13" max="13" width="7" customWidth="1"/>
    <col min="14" max="14" width="7.85546875" customWidth="1"/>
    <col min="15" max="15" width="8" customWidth="1"/>
    <col min="16" max="16" width="8.42578125" customWidth="1"/>
    <col min="17" max="17" width="6" customWidth="1"/>
  </cols>
  <sheetData>
    <row r="1" spans="1:17" x14ac:dyDescent="0.25">
      <c r="A1" s="23" t="s">
        <v>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25">
      <c r="A2" s="24" t="s">
        <v>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32.25" customHeight="1" x14ac:dyDescent="0.25">
      <c r="A3" s="26" t="s">
        <v>38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25.5" customHeight="1" x14ac:dyDescent="0.25">
      <c r="A4" s="26" t="s">
        <v>0</v>
      </c>
      <c r="B4" s="26" t="s">
        <v>1</v>
      </c>
      <c r="C4" s="26"/>
      <c r="D4" s="26"/>
      <c r="E4" s="26" t="s">
        <v>2</v>
      </c>
      <c r="F4" s="27"/>
      <c r="G4" s="19" t="s">
        <v>3</v>
      </c>
      <c r="H4" s="19" t="s">
        <v>4</v>
      </c>
      <c r="I4" s="26" t="s">
        <v>5</v>
      </c>
      <c r="J4" s="26"/>
      <c r="K4" s="26"/>
      <c r="L4" s="26" t="s">
        <v>6</v>
      </c>
      <c r="M4" s="26"/>
      <c r="N4" s="26"/>
      <c r="O4" s="26"/>
      <c r="P4" s="19" t="s">
        <v>7</v>
      </c>
      <c r="Q4" s="19" t="s">
        <v>8</v>
      </c>
    </row>
    <row r="5" spans="1:17" ht="104.25" customHeight="1" x14ac:dyDescent="0.25">
      <c r="A5" s="26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20"/>
      <c r="H5" s="20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20"/>
      <c r="Q5" s="20"/>
    </row>
    <row r="6" spans="1:17" s="3" customFormat="1" ht="20.100000000000001" customHeight="1" x14ac:dyDescent="0.25">
      <c r="A6" s="4" t="s">
        <v>19</v>
      </c>
      <c r="B6" s="1">
        <v>512923</v>
      </c>
      <c r="C6" s="1">
        <v>820991.07000000007</v>
      </c>
      <c r="D6" s="1">
        <v>412594.40400000004</v>
      </c>
      <c r="E6" s="1">
        <v>45337263</v>
      </c>
      <c r="F6" s="1">
        <v>43959.366477000032</v>
      </c>
      <c r="G6" s="1">
        <v>61090.525477000025</v>
      </c>
      <c r="H6" s="8">
        <v>71.957748167594829</v>
      </c>
      <c r="I6" s="2">
        <v>298245</v>
      </c>
      <c r="J6" s="2">
        <v>29658.502</v>
      </c>
      <c r="K6" s="2">
        <v>327903.50199999998</v>
      </c>
      <c r="L6" s="2">
        <v>3705.8688280000001</v>
      </c>
      <c r="M6" s="2">
        <v>285.55206400000003</v>
      </c>
      <c r="N6" s="2">
        <v>28.577999999999999</v>
      </c>
      <c r="O6" s="2">
        <v>4019.9988920000001</v>
      </c>
      <c r="P6" s="2">
        <v>6128.9993019999993</v>
      </c>
      <c r="Q6" s="8">
        <v>65.589808285476622</v>
      </c>
    </row>
    <row r="7" spans="1:17" s="3" customFormat="1" ht="20.100000000000001" customHeight="1" x14ac:dyDescent="0.25">
      <c r="A7" s="5" t="s">
        <v>33</v>
      </c>
      <c r="B7" s="16" t="s">
        <v>37</v>
      </c>
      <c r="C7" s="16" t="s">
        <v>37</v>
      </c>
      <c r="D7" s="16" t="s">
        <v>37</v>
      </c>
      <c r="E7" s="16" t="s">
        <v>37</v>
      </c>
      <c r="F7" s="16" t="s">
        <v>37</v>
      </c>
      <c r="G7" s="16" t="s">
        <v>37</v>
      </c>
      <c r="H7" s="16" t="s">
        <v>37</v>
      </c>
      <c r="I7" s="16" t="s">
        <v>37</v>
      </c>
      <c r="J7" s="16" t="s">
        <v>37</v>
      </c>
      <c r="K7" s="16" t="s">
        <v>37</v>
      </c>
      <c r="L7" s="16" t="s">
        <v>37</v>
      </c>
      <c r="M7" s="16" t="s">
        <v>37</v>
      </c>
      <c r="N7" s="16" t="s">
        <v>37</v>
      </c>
      <c r="O7" s="16" t="s">
        <v>37</v>
      </c>
      <c r="P7" s="16" t="s">
        <v>37</v>
      </c>
      <c r="Q7" s="16" t="s">
        <v>37</v>
      </c>
    </row>
    <row r="8" spans="1:17" s="3" customFormat="1" ht="20.100000000000001" customHeight="1" x14ac:dyDescent="0.25">
      <c r="A8" s="6" t="s">
        <v>30</v>
      </c>
      <c r="B8" s="12" t="s">
        <v>37</v>
      </c>
      <c r="C8" s="12" t="s">
        <v>37</v>
      </c>
      <c r="D8" s="12" t="s">
        <v>37</v>
      </c>
      <c r="E8" s="12" t="s">
        <v>37</v>
      </c>
      <c r="F8" s="12" t="s">
        <v>37</v>
      </c>
      <c r="G8" s="12" t="s">
        <v>37</v>
      </c>
      <c r="H8" s="12" t="s">
        <v>37</v>
      </c>
      <c r="I8" s="12" t="s">
        <v>37</v>
      </c>
      <c r="J8" s="12" t="s">
        <v>37</v>
      </c>
      <c r="K8" s="12" t="s">
        <v>37</v>
      </c>
      <c r="L8" s="12" t="s">
        <v>37</v>
      </c>
      <c r="M8" s="12" t="s">
        <v>37</v>
      </c>
      <c r="N8" s="12" t="s">
        <v>37</v>
      </c>
      <c r="O8" s="12" t="s">
        <v>37</v>
      </c>
      <c r="P8" s="12" t="s">
        <v>37</v>
      </c>
      <c r="Q8" s="12" t="s">
        <v>37</v>
      </c>
    </row>
    <row r="9" spans="1:17" s="3" customFormat="1" ht="20.100000000000001" customHeight="1" x14ac:dyDescent="0.25">
      <c r="A9" s="4" t="s">
        <v>20</v>
      </c>
      <c r="B9" s="1">
        <v>531052</v>
      </c>
      <c r="C9" s="1">
        <v>892629.86999999988</v>
      </c>
      <c r="D9" s="1">
        <v>438558.80700000003</v>
      </c>
      <c r="E9" s="1">
        <v>53842538</v>
      </c>
      <c r="F9" s="1">
        <v>52707.259845999994</v>
      </c>
      <c r="G9" s="1">
        <v>68215.732792999988</v>
      </c>
      <c r="H9" s="8">
        <v>77.265548119140917</v>
      </c>
      <c r="I9" s="2">
        <v>360766</v>
      </c>
      <c r="J9" s="2">
        <v>21278.800000000003</v>
      </c>
      <c r="K9" s="2">
        <v>382044.8</v>
      </c>
      <c r="L9" s="2">
        <v>4363.2996750000002</v>
      </c>
      <c r="M9" s="2">
        <v>374.87342400000006</v>
      </c>
      <c r="N9" s="2">
        <v>20.253000000000004</v>
      </c>
      <c r="O9" s="2">
        <v>4758.4260990000002</v>
      </c>
      <c r="P9" s="2">
        <v>6777.6978010000012</v>
      </c>
      <c r="Q9" s="8">
        <v>70.207115140157597</v>
      </c>
    </row>
    <row r="10" spans="1:17" s="3" customFormat="1" ht="20.100000000000001" customHeight="1" x14ac:dyDescent="0.25">
      <c r="A10" s="5" t="s">
        <v>33</v>
      </c>
      <c r="B10" s="11">
        <f t="shared" ref="B10:Q10" si="0">(B9-B6)/B6</f>
        <v>3.5344486404392084E-2</v>
      </c>
      <c r="C10" s="11">
        <f t="shared" si="0"/>
        <v>8.7258927189061641E-2</v>
      </c>
      <c r="D10" s="11">
        <f t="shared" si="0"/>
        <v>6.2929605317671708E-2</v>
      </c>
      <c r="E10" s="11">
        <f t="shared" si="0"/>
        <v>0.18760009840029382</v>
      </c>
      <c r="F10" s="11">
        <f t="shared" si="0"/>
        <v>0.19899953229710315</v>
      </c>
      <c r="G10" s="11">
        <f t="shared" si="0"/>
        <v>0.11663359023949685</v>
      </c>
      <c r="H10" s="9">
        <f t="shared" si="0"/>
        <v>7.3762730028513884E-2</v>
      </c>
      <c r="I10" s="11">
        <f t="shared" si="0"/>
        <v>0.2096296668846083</v>
      </c>
      <c r="J10" s="11">
        <f t="shared" si="0"/>
        <v>-0.28253962388255471</v>
      </c>
      <c r="K10" s="11">
        <f t="shared" si="0"/>
        <v>0.16511350952268883</v>
      </c>
      <c r="L10" s="11">
        <f t="shared" si="0"/>
        <v>0.17740262203365825</v>
      </c>
      <c r="M10" s="11">
        <f t="shared" si="0"/>
        <v>0.31280236167370173</v>
      </c>
      <c r="N10" s="11">
        <f t="shared" si="0"/>
        <v>-0.29130799916019301</v>
      </c>
      <c r="O10" s="11">
        <f t="shared" si="0"/>
        <v>0.18368841057879579</v>
      </c>
      <c r="P10" s="11">
        <f t="shared" si="0"/>
        <v>0.10584085052649954</v>
      </c>
      <c r="Q10" s="9">
        <f t="shared" si="0"/>
        <v>7.0396712162724431E-2</v>
      </c>
    </row>
    <row r="11" spans="1:17" s="3" customFormat="1" ht="20.100000000000001" customHeight="1" x14ac:dyDescent="0.25">
      <c r="A11" s="6" t="s">
        <v>30</v>
      </c>
      <c r="B11" s="12">
        <f t="shared" ref="B11:Q11" si="1">(((B9/B6)^(1/1))-1)</f>
        <v>3.5344486404392139E-2</v>
      </c>
      <c r="C11" s="12">
        <f t="shared" si="1"/>
        <v>8.7258927189061586E-2</v>
      </c>
      <c r="D11" s="12">
        <f t="shared" si="1"/>
        <v>6.2929605317671777E-2</v>
      </c>
      <c r="E11" s="12">
        <f t="shared" si="1"/>
        <v>0.1876000984002939</v>
      </c>
      <c r="F11" s="12">
        <f t="shared" si="1"/>
        <v>0.19899953229710321</v>
      </c>
      <c r="G11" s="12">
        <f t="shared" si="1"/>
        <v>0.11663359023949682</v>
      </c>
      <c r="H11" s="10">
        <f t="shared" si="1"/>
        <v>7.3762730028513968E-2</v>
      </c>
      <c r="I11" s="12">
        <f t="shared" si="1"/>
        <v>0.20962966688460827</v>
      </c>
      <c r="J11" s="12">
        <f t="shared" si="1"/>
        <v>-0.28253962388255471</v>
      </c>
      <c r="K11" s="12">
        <f t="shared" si="1"/>
        <v>0.16511350952268877</v>
      </c>
      <c r="L11" s="12">
        <f t="shared" si="1"/>
        <v>0.1774026220336582</v>
      </c>
      <c r="M11" s="12">
        <f t="shared" si="1"/>
        <v>0.31280236167370168</v>
      </c>
      <c r="N11" s="12">
        <f t="shared" si="1"/>
        <v>-0.29130799916019301</v>
      </c>
      <c r="O11" s="12">
        <f t="shared" si="1"/>
        <v>0.1836884105787957</v>
      </c>
      <c r="P11" s="12">
        <f t="shared" si="1"/>
        <v>0.10584085052649961</v>
      </c>
      <c r="Q11" s="10">
        <f t="shared" si="1"/>
        <v>7.0396712162724473E-2</v>
      </c>
    </row>
    <row r="12" spans="1:17" s="3" customFormat="1" ht="20.100000000000001" customHeight="1" x14ac:dyDescent="0.25">
      <c r="A12" s="4" t="s">
        <v>21</v>
      </c>
      <c r="B12" s="1">
        <v>600509</v>
      </c>
      <c r="C12" s="1">
        <v>987924.72</v>
      </c>
      <c r="D12" s="1">
        <v>500233.22900000005</v>
      </c>
      <c r="E12" s="1">
        <v>60837455</v>
      </c>
      <c r="F12" s="1">
        <v>59084.130873000009</v>
      </c>
      <c r="G12" s="1">
        <v>78638.841017000028</v>
      </c>
      <c r="H12" s="8">
        <v>75.133521945252596</v>
      </c>
      <c r="I12" s="2">
        <v>345248.33999999997</v>
      </c>
      <c r="J12" s="2">
        <v>15464</v>
      </c>
      <c r="K12" s="2">
        <v>360712.33999999997</v>
      </c>
      <c r="L12" s="2">
        <v>5066.0135989999999</v>
      </c>
      <c r="M12" s="2">
        <v>374.98542800000001</v>
      </c>
      <c r="N12" s="2">
        <v>18.087</v>
      </c>
      <c r="O12" s="2">
        <v>5459.0860270000003</v>
      </c>
      <c r="P12" s="2">
        <v>8032.6233609999981</v>
      </c>
      <c r="Q12" s="8">
        <v>67.961434037912952</v>
      </c>
    </row>
    <row r="13" spans="1:17" s="3" customFormat="1" ht="20.100000000000001" customHeight="1" x14ac:dyDescent="0.25">
      <c r="A13" s="5" t="s">
        <v>33</v>
      </c>
      <c r="B13" s="11">
        <f t="shared" ref="B13:Q13" si="2">(B12-B9)/B9</f>
        <v>0.13079133493518524</v>
      </c>
      <c r="C13" s="11">
        <f t="shared" si="2"/>
        <v>0.10675740662812472</v>
      </c>
      <c r="D13" s="11">
        <f t="shared" si="2"/>
        <v>0.14062976507504046</v>
      </c>
      <c r="E13" s="11">
        <f t="shared" si="2"/>
        <v>0.12991432536111133</v>
      </c>
      <c r="F13" s="11">
        <f t="shared" si="2"/>
        <v>0.12098657842642455</v>
      </c>
      <c r="G13" s="11">
        <f t="shared" si="2"/>
        <v>0.15279625091221793</v>
      </c>
      <c r="H13" s="9">
        <f t="shared" si="2"/>
        <v>-2.7593490576172535E-2</v>
      </c>
      <c r="I13" s="11">
        <f t="shared" si="2"/>
        <v>-4.3013088816573716E-2</v>
      </c>
      <c r="J13" s="11">
        <f t="shared" si="2"/>
        <v>-0.27326728950880697</v>
      </c>
      <c r="K13" s="11">
        <f t="shared" si="2"/>
        <v>-5.5837587633701655E-2</v>
      </c>
      <c r="L13" s="11">
        <f t="shared" si="2"/>
        <v>0.16105103392881207</v>
      </c>
      <c r="M13" s="11">
        <f t="shared" si="2"/>
        <v>2.9877818172556356E-4</v>
      </c>
      <c r="N13" s="11">
        <f t="shared" si="2"/>
        <v>-0.1069471189453416</v>
      </c>
      <c r="O13" s="11">
        <f t="shared" si="2"/>
        <v>0.14724615102192007</v>
      </c>
      <c r="P13" s="11">
        <f t="shared" si="2"/>
        <v>0.18515513627869948</v>
      </c>
      <c r="Q13" s="9">
        <f t="shared" si="2"/>
        <v>-3.1986517289045314E-2</v>
      </c>
    </row>
    <row r="14" spans="1:17" s="3" customFormat="1" ht="20.100000000000001" customHeight="1" x14ac:dyDescent="0.25">
      <c r="A14" s="6" t="s">
        <v>30</v>
      </c>
      <c r="B14" s="12">
        <f t="shared" ref="B14:Q14" si="3">(((B12/B6)^(1/2))-1)</f>
        <v>8.2015976730013929E-2</v>
      </c>
      <c r="C14" s="12">
        <f t="shared" si="3"/>
        <v>9.6964844737078559E-2</v>
      </c>
      <c r="D14" s="12">
        <f t="shared" si="3"/>
        <v>0.10109452183034739</v>
      </c>
      <c r="E14" s="12">
        <f t="shared" si="3"/>
        <v>0.15839818887235713</v>
      </c>
      <c r="F14" s="12">
        <f t="shared" si="3"/>
        <v>0.15933704471331933</v>
      </c>
      <c r="G14" s="12">
        <f t="shared" si="3"/>
        <v>0.13457085123439594</v>
      </c>
      <c r="H14" s="10">
        <f t="shared" si="3"/>
        <v>2.1828688311512856E-2</v>
      </c>
      <c r="I14" s="12">
        <f t="shared" si="3"/>
        <v>7.5918100316068715E-2</v>
      </c>
      <c r="J14" s="12">
        <f t="shared" si="3"/>
        <v>-0.27791833993248261</v>
      </c>
      <c r="K14" s="12">
        <f t="shared" si="3"/>
        <v>4.8835726809258739E-2</v>
      </c>
      <c r="L14" s="12">
        <f t="shared" si="3"/>
        <v>0.16919824309766796</v>
      </c>
      <c r="M14" s="12">
        <f t="shared" si="3"/>
        <v>0.14594703122626385</v>
      </c>
      <c r="N14" s="12">
        <f t="shared" si="3"/>
        <v>-0.20445023214736591</v>
      </c>
      <c r="O14" s="12">
        <f t="shared" si="3"/>
        <v>0.16532483584869051</v>
      </c>
      <c r="P14" s="12">
        <f t="shared" si="3"/>
        <v>0.14481132240569949</v>
      </c>
      <c r="Q14" s="10">
        <f t="shared" si="3"/>
        <v>1.7918684975865018E-2</v>
      </c>
    </row>
    <row r="15" spans="1:17" s="3" customFormat="1" ht="20.100000000000001" customHeight="1" x14ac:dyDescent="0.25">
      <c r="A15" s="4" t="s">
        <v>22</v>
      </c>
      <c r="B15" s="1">
        <v>554058</v>
      </c>
      <c r="C15" s="1">
        <v>903440.7899999998</v>
      </c>
      <c r="D15" s="1">
        <v>474809.71199999994</v>
      </c>
      <c r="E15" s="1">
        <v>57867052</v>
      </c>
      <c r="F15" s="1">
        <v>56739.181310000022</v>
      </c>
      <c r="G15" s="1">
        <v>76147.903636000017</v>
      </c>
      <c r="H15" s="8">
        <v>74.511810044335562</v>
      </c>
      <c r="I15" s="2">
        <v>368873.26</v>
      </c>
      <c r="J15" s="2">
        <v>4220.58</v>
      </c>
      <c r="K15" s="2">
        <v>373093.84</v>
      </c>
      <c r="L15" s="2">
        <v>4857.1924048549145</v>
      </c>
      <c r="M15" s="2">
        <v>424.3158899999998</v>
      </c>
      <c r="N15" s="2">
        <v>16.936000000000007</v>
      </c>
      <c r="O15" s="2">
        <v>5298.444294854914</v>
      </c>
      <c r="P15" s="2">
        <v>7842.8224529044828</v>
      </c>
      <c r="Q15" s="8">
        <v>67.557876347088637</v>
      </c>
    </row>
    <row r="16" spans="1:17" s="3" customFormat="1" ht="20.100000000000001" customHeight="1" x14ac:dyDescent="0.25">
      <c r="A16" s="5" t="s">
        <v>33</v>
      </c>
      <c r="B16" s="11">
        <f t="shared" ref="B16:Q16" si="4">(B15-B12)/B12</f>
        <v>-7.7352712448939154E-2</v>
      </c>
      <c r="C16" s="11">
        <f t="shared" si="4"/>
        <v>-8.551656648494449E-2</v>
      </c>
      <c r="D16" s="11">
        <f t="shared" si="4"/>
        <v>-5.0823327052509956E-2</v>
      </c>
      <c r="E16" s="11">
        <f t="shared" si="4"/>
        <v>-4.8825234388913868E-2</v>
      </c>
      <c r="F16" s="11">
        <f t="shared" si="4"/>
        <v>-3.9688314414582877E-2</v>
      </c>
      <c r="G16" s="11">
        <f t="shared" si="4"/>
        <v>-3.1675662418034919E-2</v>
      </c>
      <c r="H16" s="9">
        <f t="shared" si="4"/>
        <v>-8.2747605172835675E-3</v>
      </c>
      <c r="I16" s="11">
        <f t="shared" si="4"/>
        <v>6.8428772170200866E-2</v>
      </c>
      <c r="J16" s="11">
        <f t="shared" si="4"/>
        <v>-0.72707061562338338</v>
      </c>
      <c r="K16" s="11">
        <f t="shared" si="4"/>
        <v>3.4325135646870467E-2</v>
      </c>
      <c r="L16" s="11">
        <f t="shared" si="4"/>
        <v>-4.1220022422818893E-2</v>
      </c>
      <c r="M16" s="11">
        <f t="shared" si="4"/>
        <v>0.1315530106412556</v>
      </c>
      <c r="N16" s="11">
        <f t="shared" si="4"/>
        <v>-6.3636866257532634E-2</v>
      </c>
      <c r="O16" s="11">
        <f t="shared" si="4"/>
        <v>-2.9426488491035144E-2</v>
      </c>
      <c r="P16" s="11">
        <f t="shared" si="4"/>
        <v>-2.3628757326907283E-2</v>
      </c>
      <c r="Q16" s="9">
        <f t="shared" si="4"/>
        <v>-5.938039662305915E-3</v>
      </c>
    </row>
    <row r="17" spans="1:17" s="3" customFormat="1" ht="20.100000000000001" customHeight="1" x14ac:dyDescent="0.25">
      <c r="A17" s="6" t="s">
        <v>30</v>
      </c>
      <c r="B17" s="12">
        <f t="shared" ref="B17:Q17" si="5">(((B15/B6)^(1/3))-1)</f>
        <v>2.6048017144932434E-2</v>
      </c>
      <c r="C17" s="12">
        <f t="shared" si="5"/>
        <v>3.2413687942307146E-2</v>
      </c>
      <c r="D17" s="12">
        <f t="shared" si="5"/>
        <v>4.7929549515061787E-2</v>
      </c>
      <c r="E17" s="12">
        <f t="shared" si="5"/>
        <v>8.4739245949750464E-2</v>
      </c>
      <c r="F17" s="12">
        <f t="shared" si="5"/>
        <v>8.8789389816509745E-2</v>
      </c>
      <c r="G17" s="12">
        <f t="shared" si="5"/>
        <v>7.6204235583373414E-2</v>
      </c>
      <c r="H17" s="10">
        <f t="shared" si="5"/>
        <v>1.1694020351364465E-2</v>
      </c>
      <c r="I17" s="12">
        <f t="shared" si="5"/>
        <v>7.3415842623221206E-2</v>
      </c>
      <c r="J17" s="12">
        <f t="shared" si="5"/>
        <v>-0.47791528941261896</v>
      </c>
      <c r="K17" s="12">
        <f t="shared" si="5"/>
        <v>4.397638412113003E-2</v>
      </c>
      <c r="L17" s="12">
        <f t="shared" si="5"/>
        <v>9.4372290182408891E-2</v>
      </c>
      <c r="M17" s="12">
        <f t="shared" si="5"/>
        <v>0.1411287940469681</v>
      </c>
      <c r="N17" s="12">
        <f t="shared" si="5"/>
        <v>-0.16003793796162114</v>
      </c>
      <c r="O17" s="12">
        <f t="shared" si="5"/>
        <v>9.6412924749583739E-2</v>
      </c>
      <c r="P17" s="12">
        <f t="shared" si="5"/>
        <v>8.5661083758423739E-2</v>
      </c>
      <c r="Q17" s="10">
        <f t="shared" si="5"/>
        <v>9.9034967284066244E-3</v>
      </c>
    </row>
    <row r="18" spans="1:17" s="3" customFormat="1" ht="20.100000000000001" customHeight="1" x14ac:dyDescent="0.25">
      <c r="A18" s="4" t="s">
        <v>23</v>
      </c>
      <c r="B18" s="1">
        <v>588630</v>
      </c>
      <c r="C18" s="1">
        <v>974029.45</v>
      </c>
      <c r="D18" s="1">
        <v>499922.66200000001</v>
      </c>
      <c r="E18" s="1">
        <v>60668409</v>
      </c>
      <c r="F18" s="1">
        <v>59138.948364000018</v>
      </c>
      <c r="G18" s="1">
        <v>80716.19875299999</v>
      </c>
      <c r="H18" s="8">
        <v>73.267757002496353</v>
      </c>
      <c r="I18" s="2">
        <v>505284</v>
      </c>
      <c r="J18" s="2">
        <v>3660</v>
      </c>
      <c r="K18" s="2">
        <v>508944</v>
      </c>
      <c r="L18" s="2">
        <v>5101.4660340058517</v>
      </c>
      <c r="M18" s="2">
        <v>554.09655500000019</v>
      </c>
      <c r="N18" s="2">
        <v>18.398000000000007</v>
      </c>
      <c r="O18" s="2">
        <v>5673.9605890058519</v>
      </c>
      <c r="P18" s="2">
        <v>8389.9665435406259</v>
      </c>
      <c r="Q18" s="8">
        <v>67.62792866408023</v>
      </c>
    </row>
    <row r="19" spans="1:17" s="3" customFormat="1" ht="20.100000000000001" customHeight="1" x14ac:dyDescent="0.25">
      <c r="A19" s="5" t="s">
        <v>33</v>
      </c>
      <c r="B19" s="11">
        <f t="shared" ref="B19:Q19" si="6">(B18-B15)/B15</f>
        <v>6.2397799508354723E-2</v>
      </c>
      <c r="C19" s="11">
        <f t="shared" si="6"/>
        <v>7.8133133661144702E-2</v>
      </c>
      <c r="D19" s="11">
        <f t="shared" si="6"/>
        <v>5.289055671211728E-2</v>
      </c>
      <c r="E19" s="11">
        <f t="shared" si="6"/>
        <v>4.8410224872004887E-2</v>
      </c>
      <c r="F19" s="11">
        <f t="shared" si="6"/>
        <v>4.2294707089420909E-2</v>
      </c>
      <c r="G19" s="11">
        <f t="shared" si="6"/>
        <v>5.9992395047895254E-2</v>
      </c>
      <c r="H19" s="9">
        <f t="shared" si="6"/>
        <v>-1.6696051821838441E-2</v>
      </c>
      <c r="I19" s="11">
        <f t="shared" si="6"/>
        <v>0.36980381825454084</v>
      </c>
      <c r="J19" s="11">
        <f t="shared" si="6"/>
        <v>-0.13282060759421691</v>
      </c>
      <c r="K19" s="11">
        <f t="shared" si="6"/>
        <v>0.36411793880059762</v>
      </c>
      <c r="L19" s="11">
        <f t="shared" si="6"/>
        <v>5.0291116511418862E-2</v>
      </c>
      <c r="M19" s="11">
        <f t="shared" si="6"/>
        <v>0.30585860218433125</v>
      </c>
      <c r="N19" s="11">
        <f t="shared" si="6"/>
        <v>8.6324988190836033E-2</v>
      </c>
      <c r="O19" s="11">
        <f t="shared" si="6"/>
        <v>7.0872934252717401E-2</v>
      </c>
      <c r="P19" s="11">
        <f t="shared" si="6"/>
        <v>6.976367167836571E-2</v>
      </c>
      <c r="Q19" s="9">
        <f t="shared" si="6"/>
        <v>1.036923017409374E-3</v>
      </c>
    </row>
    <row r="20" spans="1:17" s="3" customFormat="1" ht="20.100000000000001" customHeight="1" x14ac:dyDescent="0.25">
      <c r="A20" s="6" t="s">
        <v>30</v>
      </c>
      <c r="B20" s="12">
        <f t="shared" ref="B20:Q20" si="7">(((B18/B6)^(1/4))-1)</f>
        <v>3.5017170686771459E-2</v>
      </c>
      <c r="C20" s="12">
        <f t="shared" si="7"/>
        <v>4.3658497973499966E-2</v>
      </c>
      <c r="D20" s="12">
        <f t="shared" si="7"/>
        <v>4.9167605569769846E-2</v>
      </c>
      <c r="E20" s="12">
        <f t="shared" si="7"/>
        <v>7.5540644380624133E-2</v>
      </c>
      <c r="F20" s="12">
        <f t="shared" si="7"/>
        <v>7.6974804241813688E-2</v>
      </c>
      <c r="G20" s="12">
        <f t="shared" si="7"/>
        <v>7.2128177126623116E-2</v>
      </c>
      <c r="H20" s="10">
        <f t="shared" si="7"/>
        <v>4.5205668674617172E-3</v>
      </c>
      <c r="I20" s="12">
        <f t="shared" si="7"/>
        <v>0.14088164665470582</v>
      </c>
      <c r="J20" s="12">
        <f t="shared" si="7"/>
        <v>-0.40730267329857539</v>
      </c>
      <c r="K20" s="12">
        <f t="shared" si="7"/>
        <v>0.11617164594559104</v>
      </c>
      <c r="L20" s="12">
        <f t="shared" si="7"/>
        <v>8.3181512811177472E-2</v>
      </c>
      <c r="M20" s="12">
        <f t="shared" si="7"/>
        <v>0.1802527923410524</v>
      </c>
      <c r="N20" s="12">
        <f t="shared" si="7"/>
        <v>-0.10425437501225332</v>
      </c>
      <c r="O20" s="12">
        <f t="shared" si="7"/>
        <v>8.9971382016069912E-2</v>
      </c>
      <c r="P20" s="12">
        <f t="shared" si="7"/>
        <v>8.1664718652078028E-2</v>
      </c>
      <c r="Q20" s="10">
        <f t="shared" si="7"/>
        <v>7.6795177107589208E-3</v>
      </c>
    </row>
    <row r="21" spans="1:17" s="3" customFormat="1" ht="20.100000000000001" customHeight="1" x14ac:dyDescent="0.25">
      <c r="A21" s="4" t="s">
        <v>24</v>
      </c>
      <c r="B21" s="1">
        <v>616920</v>
      </c>
      <c r="C21" s="1">
        <v>1012898.6199999999</v>
      </c>
      <c r="D21" s="1">
        <v>528582.15100000007</v>
      </c>
      <c r="E21" s="1">
        <v>70083961</v>
      </c>
      <c r="F21" s="1">
        <v>67023.209906000062</v>
      </c>
      <c r="G21" s="1">
        <v>84805.46082600001</v>
      </c>
      <c r="H21" s="8">
        <v>79.031714766004555</v>
      </c>
      <c r="I21" s="2">
        <v>564539.79200000002</v>
      </c>
      <c r="J21" s="2">
        <v>27379</v>
      </c>
      <c r="K21" s="2">
        <v>591918.79200000002</v>
      </c>
      <c r="L21" s="2">
        <v>5841.8371040000011</v>
      </c>
      <c r="M21" s="2">
        <v>633.06448399999988</v>
      </c>
      <c r="N21" s="2">
        <v>27.327000000000005</v>
      </c>
      <c r="O21" s="2">
        <v>6502.2285880000009</v>
      </c>
      <c r="P21" s="2">
        <v>8889.588200000002</v>
      </c>
      <c r="Q21" s="8">
        <v>73.144317168707545</v>
      </c>
    </row>
    <row r="22" spans="1:17" s="3" customFormat="1" ht="20.100000000000001" customHeight="1" x14ac:dyDescent="0.25">
      <c r="A22" s="5" t="s">
        <v>33</v>
      </c>
      <c r="B22" s="11">
        <f t="shared" ref="B22:Q22" si="8">(B21-B18)/B18</f>
        <v>4.8060751235920698E-2</v>
      </c>
      <c r="C22" s="11">
        <f t="shared" si="8"/>
        <v>3.9905538790433827E-2</v>
      </c>
      <c r="D22" s="11">
        <f t="shared" si="8"/>
        <v>5.7327845241790736E-2</v>
      </c>
      <c r="E22" s="11">
        <f t="shared" si="8"/>
        <v>0.15519694937112988</v>
      </c>
      <c r="F22" s="11">
        <f t="shared" si="8"/>
        <v>0.13331758105457747</v>
      </c>
      <c r="G22" s="11">
        <f t="shared" si="8"/>
        <v>5.0662223149452186E-2</v>
      </c>
      <c r="H22" s="9">
        <f t="shared" si="8"/>
        <v>7.866977234354007E-2</v>
      </c>
      <c r="I22" s="11">
        <f t="shared" si="8"/>
        <v>0.11727225085298568</v>
      </c>
      <c r="J22" s="11">
        <f t="shared" si="8"/>
        <v>6.4806010928961753</v>
      </c>
      <c r="K22" s="11">
        <f t="shared" si="8"/>
        <v>0.16303324530793176</v>
      </c>
      <c r="L22" s="11">
        <f t="shared" si="8"/>
        <v>0.14512907957416779</v>
      </c>
      <c r="M22" s="11">
        <f t="shared" si="8"/>
        <v>0.14251654930429888</v>
      </c>
      <c r="N22" s="11">
        <f t="shared" si="8"/>
        <v>0.48532449179258591</v>
      </c>
      <c r="O22" s="11">
        <f t="shared" si="8"/>
        <v>0.14597704478227116</v>
      </c>
      <c r="P22" s="11">
        <f t="shared" si="8"/>
        <v>5.9549898544474067E-2</v>
      </c>
      <c r="Q22" s="9">
        <f t="shared" si="8"/>
        <v>8.1569680065586264E-2</v>
      </c>
    </row>
    <row r="23" spans="1:17" s="3" customFormat="1" ht="20.100000000000001" customHeight="1" x14ac:dyDescent="0.25">
      <c r="A23" s="6" t="s">
        <v>30</v>
      </c>
      <c r="B23" s="12">
        <f t="shared" ref="B23:Q23" si="9">(((B21/B6)^(1/5))-1)</f>
        <v>3.7612835049398052E-2</v>
      </c>
      <c r="C23" s="12">
        <f t="shared" si="9"/>
        <v>4.2906824160878987E-2</v>
      </c>
      <c r="D23" s="12">
        <f t="shared" si="9"/>
        <v>5.0794599559294218E-2</v>
      </c>
      <c r="E23" s="12">
        <f t="shared" si="9"/>
        <v>9.101989015000167E-2</v>
      </c>
      <c r="F23" s="12">
        <f t="shared" si="9"/>
        <v>8.8014691507020126E-2</v>
      </c>
      <c r="G23" s="12">
        <f t="shared" si="9"/>
        <v>6.7800184414851916E-2</v>
      </c>
      <c r="H23" s="10">
        <f t="shared" si="9"/>
        <v>1.893098295655915E-2</v>
      </c>
      <c r="I23" s="12">
        <f t="shared" si="9"/>
        <v>0.13612018923496882</v>
      </c>
      <c r="J23" s="12">
        <f t="shared" si="9"/>
        <v>-1.5867273826974615E-2</v>
      </c>
      <c r="K23" s="12">
        <f t="shared" si="9"/>
        <v>0.12539042194923655</v>
      </c>
      <c r="L23" s="12">
        <f t="shared" si="9"/>
        <v>9.5296954083613938E-2</v>
      </c>
      <c r="M23" s="12">
        <f t="shared" si="9"/>
        <v>0.17260712624793118</v>
      </c>
      <c r="N23" s="12">
        <f t="shared" si="9"/>
        <v>-8.9124399650448716E-3</v>
      </c>
      <c r="O23" s="12">
        <f t="shared" si="9"/>
        <v>0.10094914865301385</v>
      </c>
      <c r="P23" s="12">
        <f t="shared" si="9"/>
        <v>7.7205133160607176E-2</v>
      </c>
      <c r="Q23" s="10">
        <f t="shared" si="9"/>
        <v>2.2042241316414524E-2</v>
      </c>
    </row>
    <row r="24" spans="1:17" s="3" customFormat="1" ht="20.100000000000001" customHeight="1" x14ac:dyDescent="0.25">
      <c r="A24" s="4" t="s">
        <v>25</v>
      </c>
      <c r="B24" s="1">
        <v>699921</v>
      </c>
      <c r="C24" s="1">
        <v>1160022.6960000002</v>
      </c>
      <c r="D24" s="1">
        <v>624853.27600000007</v>
      </c>
      <c r="E24" s="1">
        <v>85197675</v>
      </c>
      <c r="F24" s="1">
        <v>80965.882337000003</v>
      </c>
      <c r="G24" s="1">
        <v>97728.035216000018</v>
      </c>
      <c r="H24" s="8">
        <v>82.848163434420798</v>
      </c>
      <c r="I24" s="2">
        <v>590793.71669999999</v>
      </c>
      <c r="J24" s="2">
        <v>32770.949925000008</v>
      </c>
      <c r="K24" s="2">
        <v>623564.66662499995</v>
      </c>
      <c r="L24" s="2">
        <v>7037.1620817349985</v>
      </c>
      <c r="M24" s="2">
        <v>663.94372766500021</v>
      </c>
      <c r="N24" s="2">
        <v>34.01010999999999</v>
      </c>
      <c r="O24" s="2">
        <v>7735.1159193999993</v>
      </c>
      <c r="P24" s="2">
        <v>10501.916390585002</v>
      </c>
      <c r="Q24" s="8">
        <v>73.654327759974876</v>
      </c>
    </row>
    <row r="25" spans="1:17" s="3" customFormat="1" ht="20.100000000000001" customHeight="1" x14ac:dyDescent="0.25">
      <c r="A25" s="5" t="s">
        <v>33</v>
      </c>
      <c r="B25" s="11">
        <f t="shared" ref="B25:Q25" si="10">(B24-B21)/B21</f>
        <v>0.13454094534137329</v>
      </c>
      <c r="C25" s="11">
        <f t="shared" si="10"/>
        <v>0.14525054442269886</v>
      </c>
      <c r="D25" s="11">
        <f t="shared" si="10"/>
        <v>0.18213086616312926</v>
      </c>
      <c r="E25" s="11">
        <f t="shared" si="10"/>
        <v>0.21565153830275088</v>
      </c>
      <c r="F25" s="11">
        <f t="shared" si="10"/>
        <v>0.20802752435394417</v>
      </c>
      <c r="G25" s="11">
        <f t="shared" si="10"/>
        <v>0.15237903625703964</v>
      </c>
      <c r="H25" s="9">
        <f t="shared" si="10"/>
        <v>4.8290090626477031E-2</v>
      </c>
      <c r="I25" s="11">
        <f t="shared" si="10"/>
        <v>4.6505002963546586E-2</v>
      </c>
      <c r="J25" s="11">
        <f t="shared" si="10"/>
        <v>0.19693743106030198</v>
      </c>
      <c r="K25" s="11">
        <f t="shared" si="10"/>
        <v>5.3463203150002268E-2</v>
      </c>
      <c r="L25" s="11">
        <f t="shared" si="10"/>
        <v>0.20461456840632186</v>
      </c>
      <c r="M25" s="11">
        <f t="shared" si="10"/>
        <v>4.8777406481391457E-2</v>
      </c>
      <c r="N25" s="11">
        <f t="shared" si="10"/>
        <v>0.24456069089179142</v>
      </c>
      <c r="O25" s="11">
        <f t="shared" si="10"/>
        <v>0.18960996444746925</v>
      </c>
      <c r="P25" s="11">
        <f t="shared" si="10"/>
        <v>0.18137265240081646</v>
      </c>
      <c r="Q25" s="9">
        <f t="shared" si="10"/>
        <v>6.9726618691509654E-3</v>
      </c>
    </row>
    <row r="26" spans="1:17" s="3" customFormat="1" ht="20.100000000000001" customHeight="1" x14ac:dyDescent="0.25">
      <c r="A26" s="6" t="s">
        <v>30</v>
      </c>
      <c r="B26" s="12">
        <f t="shared" ref="B26:Q26" si="11">(((B24/B6)^(1/6))-1)</f>
        <v>5.31724141135268E-2</v>
      </c>
      <c r="C26" s="12">
        <f t="shared" si="11"/>
        <v>5.9305780490590099E-2</v>
      </c>
      <c r="D26" s="12">
        <f t="shared" si="11"/>
        <v>7.1624053023823908E-2</v>
      </c>
      <c r="E26" s="12">
        <f t="shared" si="11"/>
        <v>0.11086702193488551</v>
      </c>
      <c r="F26" s="12">
        <f t="shared" si="11"/>
        <v>0.1071550314051164</v>
      </c>
      <c r="G26" s="12">
        <f t="shared" si="11"/>
        <v>8.1452754472776556E-2</v>
      </c>
      <c r="H26" s="10">
        <f t="shared" si="11"/>
        <v>2.3766435312164935E-2</v>
      </c>
      <c r="I26" s="12">
        <f t="shared" si="11"/>
        <v>0.12066837401713393</v>
      </c>
      <c r="J26" s="12">
        <f t="shared" si="11"/>
        <v>1.6771356278161065E-2</v>
      </c>
      <c r="K26" s="12">
        <f t="shared" si="11"/>
        <v>0.11307024691520162</v>
      </c>
      <c r="L26" s="12">
        <f t="shared" si="11"/>
        <v>0.11280205367504803</v>
      </c>
      <c r="M26" s="12">
        <f t="shared" si="11"/>
        <v>0.15099736166418798</v>
      </c>
      <c r="N26" s="12">
        <f t="shared" si="11"/>
        <v>2.942813609814543E-2</v>
      </c>
      <c r="O26" s="12">
        <f t="shared" si="11"/>
        <v>0.11525321064098382</v>
      </c>
      <c r="P26" s="12">
        <f t="shared" si="11"/>
        <v>9.3905562571952927E-2</v>
      </c>
      <c r="Q26" s="10">
        <f t="shared" si="11"/>
        <v>1.9515074060725279E-2</v>
      </c>
    </row>
    <row r="27" spans="1:17" s="3" customFormat="1" ht="20.100000000000001" customHeight="1" x14ac:dyDescent="0.25">
      <c r="A27" s="4" t="s">
        <v>26</v>
      </c>
      <c r="B27" s="1">
        <v>810194</v>
      </c>
      <c r="C27" s="1">
        <v>1359242.1113</v>
      </c>
      <c r="D27" s="1">
        <v>721348.56200000027</v>
      </c>
      <c r="E27" s="1">
        <v>103748598</v>
      </c>
      <c r="F27" s="1">
        <v>98641.198876000009</v>
      </c>
      <c r="G27" s="1">
        <v>116944.84715400006</v>
      </c>
      <c r="H27" s="8">
        <v>84.348478172880334</v>
      </c>
      <c r="I27" s="2">
        <v>601798.28399999999</v>
      </c>
      <c r="J27" s="2">
        <v>35999.18</v>
      </c>
      <c r="K27" s="2">
        <v>637797.46400000004</v>
      </c>
      <c r="L27" s="2">
        <v>8557.4469480000007</v>
      </c>
      <c r="M27" s="2">
        <v>675.51252199999999</v>
      </c>
      <c r="N27" s="2">
        <v>36.364746999999994</v>
      </c>
      <c r="O27" s="2">
        <v>9269.3242170000012</v>
      </c>
      <c r="P27" s="2">
        <v>12595.923799779996</v>
      </c>
      <c r="Q27" s="8">
        <v>73.589872123249123</v>
      </c>
    </row>
    <row r="28" spans="1:17" s="3" customFormat="1" ht="20.100000000000001" customHeight="1" x14ac:dyDescent="0.25">
      <c r="A28" s="5" t="s">
        <v>33</v>
      </c>
      <c r="B28" s="11">
        <f t="shared" ref="B28:Q28" si="12">(B27-B24)/B24</f>
        <v>0.15755063785770107</v>
      </c>
      <c r="C28" s="11">
        <f t="shared" si="12"/>
        <v>0.17173751512530727</v>
      </c>
      <c r="D28" s="11">
        <f t="shared" si="12"/>
        <v>0.15442871103711744</v>
      </c>
      <c r="E28" s="11">
        <f t="shared" si="12"/>
        <v>0.21773977987075352</v>
      </c>
      <c r="F28" s="11">
        <f t="shared" si="12"/>
        <v>0.21830573605597198</v>
      </c>
      <c r="G28" s="11">
        <f t="shared" si="12"/>
        <v>0.19663561121971548</v>
      </c>
      <c r="H28" s="9">
        <f t="shared" si="12"/>
        <v>1.8109209380931225E-2</v>
      </c>
      <c r="I28" s="11">
        <f t="shared" si="12"/>
        <v>1.862675074045857E-2</v>
      </c>
      <c r="J28" s="11">
        <f t="shared" si="12"/>
        <v>9.8508895298676374E-2</v>
      </c>
      <c r="K28" s="11">
        <f t="shared" si="12"/>
        <v>2.2824893931264741E-2</v>
      </c>
      <c r="L28" s="11">
        <f t="shared" si="12"/>
        <v>0.21603664213034282</v>
      </c>
      <c r="M28" s="11">
        <f t="shared" si="12"/>
        <v>1.7424359705431144E-2</v>
      </c>
      <c r="N28" s="11">
        <f t="shared" si="12"/>
        <v>6.9233442643966886E-2</v>
      </c>
      <c r="O28" s="11">
        <f t="shared" si="12"/>
        <v>0.1983432845204223</v>
      </c>
      <c r="P28" s="11">
        <f t="shared" si="12"/>
        <v>0.19939288519496093</v>
      </c>
      <c r="Q28" s="9">
        <f t="shared" si="12"/>
        <v>-8.7510997229927863E-4</v>
      </c>
    </row>
    <row r="29" spans="1:17" s="3" customFormat="1" ht="20.100000000000001" customHeight="1" x14ac:dyDescent="0.25">
      <c r="A29" s="6" t="s">
        <v>30</v>
      </c>
      <c r="B29" s="12">
        <f t="shared" ref="B29:Q29" si="13">(((B27/B6)^(1/7))-1)</f>
        <v>6.7486538281377628E-2</v>
      </c>
      <c r="C29" s="12">
        <f t="shared" si="13"/>
        <v>7.4681492263232396E-2</v>
      </c>
      <c r="D29" s="12">
        <f t="shared" si="13"/>
        <v>8.3079317028369681E-2</v>
      </c>
      <c r="E29" s="12">
        <f t="shared" si="13"/>
        <v>0.12554014876089603</v>
      </c>
      <c r="F29" s="12">
        <f t="shared" si="13"/>
        <v>0.12239014635162659</v>
      </c>
      <c r="G29" s="12">
        <f t="shared" si="13"/>
        <v>9.7202395492985927E-2</v>
      </c>
      <c r="H29" s="10">
        <f t="shared" si="13"/>
        <v>2.2956339652652202E-2</v>
      </c>
      <c r="I29" s="12">
        <f t="shared" si="13"/>
        <v>0.10548783438064668</v>
      </c>
      <c r="J29" s="12">
        <f t="shared" si="13"/>
        <v>2.8064789756887309E-2</v>
      </c>
      <c r="K29" s="12">
        <f t="shared" si="13"/>
        <v>9.9706206595139069E-2</v>
      </c>
      <c r="L29" s="12">
        <f t="shared" si="13"/>
        <v>0.12699509172991408</v>
      </c>
      <c r="M29" s="12">
        <f t="shared" si="13"/>
        <v>0.13089206597289671</v>
      </c>
      <c r="N29" s="12">
        <f t="shared" si="13"/>
        <v>3.502256890530786E-2</v>
      </c>
      <c r="O29" s="12">
        <f t="shared" si="13"/>
        <v>0.12676081231124936</v>
      </c>
      <c r="P29" s="12">
        <f t="shared" si="13"/>
        <v>0.10838717826096955</v>
      </c>
      <c r="Q29" s="10">
        <f t="shared" si="13"/>
        <v>1.6576909594991251E-2</v>
      </c>
    </row>
    <row r="30" spans="1:17" s="3" customFormat="1" ht="20.100000000000001" customHeight="1" x14ac:dyDescent="0.25">
      <c r="A30" s="4" t="s">
        <v>27</v>
      </c>
      <c r="B30" s="1">
        <v>922339</v>
      </c>
      <c r="C30" s="1">
        <v>1565387.78993</v>
      </c>
      <c r="D30" s="1">
        <v>826155.44800000021</v>
      </c>
      <c r="E30" s="1">
        <v>123315916</v>
      </c>
      <c r="F30" s="1">
        <v>117041.70689099999</v>
      </c>
      <c r="G30" s="1">
        <v>134541.20041199998</v>
      </c>
      <c r="H30" s="8">
        <v>86.993208424325047</v>
      </c>
      <c r="I30" s="2">
        <v>660016.33749999967</v>
      </c>
      <c r="J30" s="2">
        <v>36513.440299999995</v>
      </c>
      <c r="K30" s="2">
        <v>696529.77779999969</v>
      </c>
      <c r="L30" s="2">
        <v>10184.313995500004</v>
      </c>
      <c r="M30" s="2">
        <v>754.63844899999992</v>
      </c>
      <c r="N30" s="2">
        <v>37.229360100000008</v>
      </c>
      <c r="O30" s="2">
        <v>10976.181804600004</v>
      </c>
      <c r="P30" s="2">
        <v>14590.537565000001</v>
      </c>
      <c r="Q30" s="8">
        <v>75.228083651488163</v>
      </c>
    </row>
    <row r="31" spans="1:17" s="3" customFormat="1" ht="20.100000000000001" customHeight="1" x14ac:dyDescent="0.25">
      <c r="A31" s="5" t="s">
        <v>33</v>
      </c>
      <c r="B31" s="11">
        <f t="shared" ref="B31:Q31" si="14">(B30-B27)/B27</f>
        <v>0.13841746544654737</v>
      </c>
      <c r="C31" s="11">
        <f t="shared" si="14"/>
        <v>0.15166222184864409</v>
      </c>
      <c r="D31" s="11">
        <f t="shared" si="14"/>
        <v>0.14529298527942433</v>
      </c>
      <c r="E31" s="11">
        <f t="shared" si="14"/>
        <v>0.18860320406450215</v>
      </c>
      <c r="F31" s="11">
        <f t="shared" si="14"/>
        <v>0.18653978484315581</v>
      </c>
      <c r="G31" s="11">
        <f t="shared" si="14"/>
        <v>0.15046711066138699</v>
      </c>
      <c r="H31" s="9">
        <f t="shared" si="14"/>
        <v>3.1354806971432059E-2</v>
      </c>
      <c r="I31" s="11">
        <f t="shared" si="14"/>
        <v>9.6740145407260239E-2</v>
      </c>
      <c r="J31" s="11">
        <f t="shared" si="14"/>
        <v>1.4285333721490169E-2</v>
      </c>
      <c r="K31" s="11">
        <f t="shared" si="14"/>
        <v>9.2086151349136836E-2</v>
      </c>
      <c r="L31" s="11">
        <f t="shared" si="14"/>
        <v>0.19011126301872383</v>
      </c>
      <c r="M31" s="11">
        <f t="shared" si="14"/>
        <v>0.11713465616555949</v>
      </c>
      <c r="N31" s="11">
        <f t="shared" si="14"/>
        <v>2.3776134067425632E-2</v>
      </c>
      <c r="O31" s="11">
        <f t="shared" si="14"/>
        <v>0.18414045594279843</v>
      </c>
      <c r="P31" s="11">
        <f t="shared" si="14"/>
        <v>0.15835390852831641</v>
      </c>
      <c r="Q31" s="9">
        <f t="shared" si="14"/>
        <v>2.2261372128699254E-2</v>
      </c>
    </row>
    <row r="32" spans="1:17" s="3" customFormat="1" ht="20.100000000000001" customHeight="1" x14ac:dyDescent="0.25">
      <c r="A32" s="6" t="s">
        <v>30</v>
      </c>
      <c r="B32" s="12">
        <f>(((B30/B6)^(1/8))-1)</f>
        <v>7.6105373075576077E-2</v>
      </c>
      <c r="C32" s="12">
        <f t="shared" ref="C32:Q32" si="15">(((C30/C6)^(1/8))-1)</f>
        <v>8.4015366461840379E-2</v>
      </c>
      <c r="D32" s="12">
        <f t="shared" si="15"/>
        <v>9.0667330769401699E-2</v>
      </c>
      <c r="E32" s="12">
        <f t="shared" si="15"/>
        <v>0.13323630497332117</v>
      </c>
      <c r="F32" s="12">
        <f t="shared" si="15"/>
        <v>0.13021522342217762</v>
      </c>
      <c r="G32" s="12">
        <f t="shared" si="15"/>
        <v>0.10372322101839004</v>
      </c>
      <c r="H32" s="10">
        <f t="shared" si="15"/>
        <v>2.4002396524142933E-2</v>
      </c>
      <c r="I32" s="12">
        <f t="shared" si="15"/>
        <v>0.10439056895198906</v>
      </c>
      <c r="J32" s="12">
        <f t="shared" si="15"/>
        <v>2.6332172077581761E-2</v>
      </c>
      <c r="K32" s="12">
        <f t="shared" si="15"/>
        <v>9.8750799584109039E-2</v>
      </c>
      <c r="L32" s="12">
        <f t="shared" si="15"/>
        <v>0.13469781141499593</v>
      </c>
      <c r="M32" s="12">
        <f t="shared" si="15"/>
        <v>0.12916316703345165</v>
      </c>
      <c r="N32" s="12">
        <f t="shared" si="15"/>
        <v>3.3610035861400656E-2</v>
      </c>
      <c r="O32" s="12">
        <f t="shared" si="15"/>
        <v>0.13377837642971691</v>
      </c>
      <c r="P32" s="12">
        <f t="shared" si="15"/>
        <v>0.11451319648862013</v>
      </c>
      <c r="Q32" s="10">
        <f t="shared" si="15"/>
        <v>1.7285735154858095E-2</v>
      </c>
    </row>
    <row r="33" spans="1:17" s="3" customFormat="1" ht="20.100000000000001" customHeight="1" x14ac:dyDescent="0.25">
      <c r="A33" s="7" t="s">
        <v>34</v>
      </c>
      <c r="B33" s="1">
        <v>1054821</v>
      </c>
      <c r="C33" s="1">
        <v>1838009.1303299996</v>
      </c>
      <c r="D33" s="1">
        <v>962163.69799999997</v>
      </c>
      <c r="E33" s="1">
        <v>140333572</v>
      </c>
      <c r="F33" s="1">
        <v>134881.03724999999</v>
      </c>
      <c r="G33" s="1">
        <v>156783.807137</v>
      </c>
      <c r="H33" s="8">
        <v>86.029954057780316</v>
      </c>
      <c r="I33" s="13">
        <v>721575.42956999992</v>
      </c>
      <c r="J33" s="2">
        <v>39369.031309999998</v>
      </c>
      <c r="K33" s="2">
        <v>760944.46088000003</v>
      </c>
      <c r="L33" s="2">
        <v>11863.3389111998</v>
      </c>
      <c r="M33" s="2">
        <v>818.10314708999999</v>
      </c>
      <c r="N33" s="2">
        <v>39.887461066</v>
      </c>
      <c r="O33" s="2">
        <v>12721.329108755801</v>
      </c>
      <c r="P33" s="2">
        <v>17249.243536575999</v>
      </c>
      <c r="Q33" s="8">
        <v>73.750069571346572</v>
      </c>
    </row>
    <row r="34" spans="1:17" s="3" customFormat="1" ht="20.100000000000001" customHeight="1" x14ac:dyDescent="0.25">
      <c r="A34" s="5" t="s">
        <v>29</v>
      </c>
      <c r="B34" s="11">
        <f>(B33-B30)/B30</f>
        <v>0.14363699247239897</v>
      </c>
      <c r="C34" s="11">
        <f t="shared" ref="C34:Q34" si="16">(C33-C30)/C30</f>
        <v>0.17415578564860951</v>
      </c>
      <c r="D34" s="11">
        <f t="shared" si="16"/>
        <v>0.16462791636762253</v>
      </c>
      <c r="E34" s="11">
        <f t="shared" si="16"/>
        <v>0.13800048324662326</v>
      </c>
      <c r="F34" s="11">
        <f t="shared" si="16"/>
        <v>0.15241857653027588</v>
      </c>
      <c r="G34" s="11">
        <f t="shared" si="16"/>
        <v>0.16532189884501849</v>
      </c>
      <c r="H34" s="9">
        <f t="shared" si="16"/>
        <v>-1.107275365504724E-2</v>
      </c>
      <c r="I34" s="11">
        <f t="shared" si="16"/>
        <v>9.3269042859109946E-2</v>
      </c>
      <c r="J34" s="11">
        <f t="shared" si="16"/>
        <v>7.8206572334407073E-2</v>
      </c>
      <c r="K34" s="11">
        <f t="shared" si="16"/>
        <v>9.247943897453334E-2</v>
      </c>
      <c r="L34" s="11">
        <f t="shared" si="16"/>
        <v>0.16486382062077845</v>
      </c>
      <c r="M34" s="11">
        <f t="shared" si="16"/>
        <v>8.4099475946527183E-2</v>
      </c>
      <c r="N34" s="11">
        <f t="shared" si="16"/>
        <v>7.1397976190302331E-2</v>
      </c>
      <c r="O34" s="11">
        <f t="shared" si="16"/>
        <v>0.15899402316973496</v>
      </c>
      <c r="P34" s="11">
        <f t="shared" si="16"/>
        <v>0.18222124851340243</v>
      </c>
      <c r="Q34" s="9">
        <f t="shared" si="16"/>
        <v>-1.9647105288350022E-2</v>
      </c>
    </row>
    <row r="35" spans="1:17" s="3" customFormat="1" ht="20.100000000000001" customHeight="1" x14ac:dyDescent="0.25">
      <c r="A35" s="6" t="s">
        <v>30</v>
      </c>
      <c r="B35" s="12">
        <f>(((B33/B6)^(1/9))-1)</f>
        <v>8.3407515048744774E-2</v>
      </c>
      <c r="C35" s="12">
        <f t="shared" ref="C35:Q35" si="17">(((C33/C6)^(1/9))-1)</f>
        <v>9.3679104185340867E-2</v>
      </c>
      <c r="D35" s="12">
        <f t="shared" si="17"/>
        <v>9.8647580825146131E-2</v>
      </c>
      <c r="E35" s="12">
        <f t="shared" si="17"/>
        <v>0.13376467164704975</v>
      </c>
      <c r="F35" s="12">
        <f t="shared" si="17"/>
        <v>0.1326609851088798</v>
      </c>
      <c r="G35" s="12">
        <f t="shared" si="17"/>
        <v>0.11040348499947328</v>
      </c>
      <c r="H35" s="10">
        <f t="shared" si="17"/>
        <v>2.0044515718911748E-2</v>
      </c>
      <c r="I35" s="12">
        <f t="shared" si="17"/>
        <v>0.10314927779362826</v>
      </c>
      <c r="J35" s="12">
        <f t="shared" si="17"/>
        <v>3.1970492863310884E-2</v>
      </c>
      <c r="K35" s="12">
        <f t="shared" si="17"/>
        <v>9.8052207697395311E-2</v>
      </c>
      <c r="L35" s="12">
        <f t="shared" si="17"/>
        <v>0.13801063743545927</v>
      </c>
      <c r="M35" s="12">
        <f t="shared" si="17"/>
        <v>0.1240649801753364</v>
      </c>
      <c r="N35" s="12">
        <f t="shared" si="17"/>
        <v>3.7742003925230083E-2</v>
      </c>
      <c r="O35" s="12">
        <f t="shared" si="17"/>
        <v>0.13655280255342395</v>
      </c>
      <c r="P35" s="12">
        <f t="shared" si="17"/>
        <v>0.12184062935473272</v>
      </c>
      <c r="Q35" s="10">
        <f t="shared" si="17"/>
        <v>1.3114316609440069E-2</v>
      </c>
    </row>
    <row r="36" spans="1:17" ht="20.100000000000001" customHeight="1" x14ac:dyDescent="0.25">
      <c r="A36" s="7" t="s">
        <v>35</v>
      </c>
      <c r="B36" s="1">
        <v>1054823</v>
      </c>
      <c r="C36" s="1">
        <v>1795402.7220000001</v>
      </c>
      <c r="D36" s="1">
        <v>969633.71090000006</v>
      </c>
      <c r="E36" s="1">
        <v>141202179</v>
      </c>
      <c r="F36" s="1">
        <v>136682.72716900002</v>
      </c>
      <c r="G36" s="1">
        <v>158570.873123</v>
      </c>
      <c r="H36" s="8">
        <v>86.196616362816002</v>
      </c>
      <c r="I36" s="13">
        <v>703494.83584605309</v>
      </c>
      <c r="J36" s="2">
        <v>25959.876199999999</v>
      </c>
      <c r="K36" s="2">
        <v>729454.71004605305</v>
      </c>
      <c r="L36" s="2">
        <v>12109.815869753575</v>
      </c>
      <c r="M36" s="2">
        <v>786.13279887401995</v>
      </c>
      <c r="N36" s="2">
        <v>25.704592522799999</v>
      </c>
      <c r="O36" s="2">
        <v>12921.653261150394</v>
      </c>
      <c r="P36" s="2">
        <v>19117.874774457403</v>
      </c>
      <c r="Q36" s="8">
        <v>67.589381213096317</v>
      </c>
    </row>
    <row r="37" spans="1:17" ht="25.5" customHeight="1" x14ac:dyDescent="0.25">
      <c r="A37" s="15" t="s">
        <v>29</v>
      </c>
      <c r="B37" s="11">
        <f>(B36-B33)/B33</f>
        <v>1.8960562977035914E-6</v>
      </c>
      <c r="C37" s="11">
        <f t="shared" ref="C37:Q37" si="18">(C36-C33)/C33</f>
        <v>-2.3180738129603255E-2</v>
      </c>
      <c r="D37" s="11">
        <f t="shared" si="18"/>
        <v>7.7637650594463495E-3</v>
      </c>
      <c r="E37" s="11">
        <f t="shared" si="18"/>
        <v>6.1895880481115384E-3</v>
      </c>
      <c r="F37" s="11">
        <f t="shared" si="18"/>
        <v>1.3357622062622638E-2</v>
      </c>
      <c r="G37" s="11">
        <f t="shared" si="18"/>
        <v>1.1398281612325161E-2</v>
      </c>
      <c r="H37" s="9">
        <f t="shared" si="18"/>
        <v>1.9372590263590133E-3</v>
      </c>
      <c r="I37" s="11">
        <f t="shared" si="18"/>
        <v>-2.5057108353483421E-2</v>
      </c>
      <c r="J37" s="11">
        <f t="shared" si="18"/>
        <v>-0.3406016014062806</v>
      </c>
      <c r="K37" s="11">
        <f t="shared" si="18"/>
        <v>-4.1382456214387076E-2</v>
      </c>
      <c r="L37" s="11">
        <f t="shared" si="18"/>
        <v>2.0776356504582635E-2</v>
      </c>
      <c r="M37" s="11">
        <f t="shared" si="18"/>
        <v>-3.907862759078589E-2</v>
      </c>
      <c r="N37" s="11">
        <f t="shared" si="18"/>
        <v>-0.35557210622486707</v>
      </c>
      <c r="O37" s="11">
        <f t="shared" si="18"/>
        <v>1.5747108708689412E-2</v>
      </c>
      <c r="P37" s="11">
        <f t="shared" si="18"/>
        <v>0.10833119921572687</v>
      </c>
      <c r="Q37" s="9">
        <f t="shared" si="18"/>
        <v>-8.3534678598375309E-2</v>
      </c>
    </row>
    <row r="38" spans="1:17" x14ac:dyDescent="0.25">
      <c r="A38" s="6" t="s">
        <v>30</v>
      </c>
      <c r="B38" s="12">
        <f>(((B36/B6)^(1/10))-1)</f>
        <v>7.4763086121880207E-2</v>
      </c>
      <c r="C38" s="12">
        <f t="shared" ref="C38:Q38" si="19">(((C36/C6)^(1/10))-1)</f>
        <v>8.1389988590750084E-2</v>
      </c>
      <c r="D38" s="12">
        <f t="shared" si="19"/>
        <v>8.9202017919781884E-2</v>
      </c>
      <c r="E38" s="12">
        <f t="shared" si="19"/>
        <v>0.1203110253737032</v>
      </c>
      <c r="F38" s="12">
        <f t="shared" si="19"/>
        <v>0.12012430548840736</v>
      </c>
      <c r="G38" s="12">
        <f t="shared" si="19"/>
        <v>0.10008173920373697</v>
      </c>
      <c r="H38" s="10">
        <f t="shared" si="19"/>
        <v>1.8219160968145465E-2</v>
      </c>
      <c r="I38" s="12">
        <f t="shared" si="19"/>
        <v>8.9604214075238886E-2</v>
      </c>
      <c r="J38" s="12">
        <f t="shared" si="19"/>
        <v>-1.3231356402404915E-2</v>
      </c>
      <c r="K38" s="12">
        <f t="shared" si="19"/>
        <v>8.3241345107774478E-2</v>
      </c>
      <c r="L38" s="12">
        <f t="shared" si="19"/>
        <v>0.1257054006838898</v>
      </c>
      <c r="M38" s="12">
        <f t="shared" si="19"/>
        <v>0.10657552730353603</v>
      </c>
      <c r="N38" s="12">
        <f t="shared" si="19"/>
        <v>-1.0540803994383841E-2</v>
      </c>
      <c r="O38" s="12">
        <f t="shared" si="19"/>
        <v>0.12385223853851968</v>
      </c>
      <c r="P38" s="12">
        <f t="shared" si="19"/>
        <v>0.12048230926823078</v>
      </c>
      <c r="Q38" s="10">
        <f t="shared" si="19"/>
        <v>3.0075702600691478E-3</v>
      </c>
    </row>
    <row r="39" spans="1:17" x14ac:dyDescent="0.25">
      <c r="A39" s="21" t="s">
        <v>28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5">
      <c r="A40" s="17" t="s">
        <v>36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5" right="0.25" top="0.75" bottom="0.75" header="0.3" footer="0.3"/>
  <pageSetup paperSize="9"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2021-08-27T22:37:41Z</cp:lastPrinted>
  <dcterms:created xsi:type="dcterms:W3CDTF">2018-10-29T04:00:14Z</dcterms:created>
  <dcterms:modified xsi:type="dcterms:W3CDTF">2021-09-14T20:35:26Z</dcterms:modified>
</cp:coreProperties>
</file>