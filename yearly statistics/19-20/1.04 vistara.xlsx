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8. VISTARA\"/>
    </mc:Choice>
  </mc:AlternateContent>
  <bookViews>
    <workbookView xWindow="0" yWindow="0" windowWidth="24000" windowHeight="10725"/>
  </bookViews>
  <sheets>
    <sheet name="VISTARA" sheetId="17" r:id="rId1"/>
  </sheets>
  <definedNames>
    <definedName name="_xlnm._FilterDatabase" localSheetId="0" hidden="1">VISTARA!$A$21:$Q$40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17" l="1"/>
  <c r="Q36" i="17"/>
  <c r="P37" i="17" l="1"/>
  <c r="O37" i="17"/>
  <c r="M37" i="17"/>
  <c r="L37" i="17"/>
  <c r="K37" i="17"/>
  <c r="I37" i="17"/>
  <c r="G37" i="17"/>
  <c r="F37" i="17"/>
  <c r="E37" i="17"/>
  <c r="D37" i="17"/>
  <c r="C37" i="17"/>
  <c r="B37" i="17"/>
  <c r="P34" i="17"/>
  <c r="O34" i="17"/>
  <c r="M34" i="17"/>
  <c r="L34" i="17"/>
  <c r="K34" i="17"/>
  <c r="I34" i="17"/>
  <c r="G34" i="17"/>
  <c r="F34" i="17"/>
  <c r="E34" i="17"/>
  <c r="D34" i="17"/>
  <c r="C34" i="17"/>
  <c r="B34" i="17"/>
  <c r="P31" i="17"/>
  <c r="O31" i="17"/>
  <c r="M31" i="17"/>
  <c r="L31" i="17"/>
  <c r="K31" i="17"/>
  <c r="I31" i="17"/>
  <c r="G31" i="17"/>
  <c r="F31" i="17"/>
  <c r="E31" i="17"/>
  <c r="D31" i="17"/>
  <c r="C31" i="17"/>
  <c r="B31" i="17"/>
  <c r="P28" i="17"/>
  <c r="O28" i="17"/>
  <c r="M28" i="17"/>
  <c r="L28" i="17"/>
  <c r="K28" i="17"/>
  <c r="I28" i="17"/>
  <c r="G28" i="17"/>
  <c r="F28" i="17"/>
  <c r="E28" i="17"/>
  <c r="D28" i="17"/>
  <c r="C28" i="17"/>
  <c r="B28" i="17"/>
  <c r="P25" i="17"/>
  <c r="O25" i="17"/>
  <c r="M25" i="17"/>
  <c r="L25" i="17"/>
  <c r="K25" i="17"/>
  <c r="I25" i="17"/>
  <c r="G25" i="17"/>
  <c r="F25" i="17"/>
  <c r="E25" i="17"/>
  <c r="D25" i="17"/>
  <c r="C25" i="17"/>
  <c r="B25" i="17"/>
  <c r="Q33" i="17" l="1"/>
  <c r="Q30" i="17"/>
  <c r="Q27" i="17"/>
  <c r="Q24" i="17"/>
  <c r="Q21" i="17"/>
  <c r="H33" i="17"/>
  <c r="H30" i="17"/>
  <c r="H27" i="17"/>
  <c r="H28" i="17" s="1"/>
  <c r="H24" i="17"/>
  <c r="H21" i="17"/>
  <c r="Q25" i="17" l="1"/>
  <c r="H34" i="17"/>
  <c r="H37" i="17"/>
  <c r="Q31" i="17"/>
  <c r="H31" i="17"/>
  <c r="Q28" i="17"/>
  <c r="H25" i="17"/>
  <c r="Q37" i="17"/>
  <c r="Q34" i="17"/>
</calcChain>
</file>

<file path=xl/sharedStrings.xml><?xml version="1.0" encoding="utf-8"?>
<sst xmlns="http://schemas.openxmlformats.org/spreadsheetml/2006/main" count="181" uniqueCount="39">
  <si>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</si>
  <si>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</si>
  <si>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</si>
  <si>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</si>
  <si>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</si>
  <si>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</si>
  <si>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</si>
  <si>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</si>
  <si>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</si>
  <si>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</si>
  <si>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</si>
  <si>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</si>
  <si>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</si>
  <si>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</si>
  <si>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</si>
  <si>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</si>
  <si>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</si>
  <si>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</si>
  <si>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</si>
  <si>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</si>
  <si>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</si>
  <si>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</si>
  <si>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</si>
  <si>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</si>
  <si>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</si>
  <si>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</si>
  <si>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</si>
  <si>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</si>
  <si>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</si>
  <si>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</si>
  <si>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</si>
  <si>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</si>
  <si>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</si>
  <si>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>तालिका - 1.04 (विस्तारा)</t>
  </si>
  <si>
    <t>TABLE - 1.04 (VISTARA)</t>
  </si>
  <si>
    <t>SOURCE: ICAO ATR FORM 'A' FURNISHED BY VISTARA</t>
  </si>
  <si>
    <t>2019-20</t>
  </si>
  <si>
    <t>Note: Growth has been calculated with respect to preceeding year while Compound Annual Growth Rate (CAGR) has been calculating taking 2009-10 as a Base Year</t>
  </si>
  <si>
    <t>YEAR ON YEAR GROWTH AND CAGR FOR LAST TEN YEARS OF VISTARA ON SCHEDULED DOMESTIC SERVICES (ALL AIR TRAFFIC AND OPERATING STATISTICS)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</si>
</sst>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8">
    <xf numFmtId="0" fontId="0" fillId="0" borderId="0" xfId="0"/>
    <xf numFmtId="3" fontId="0" fillId="5" borderId="1" xfId="3" applyNumberFormat="1" applyFont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right" vertical="center" wrapText="1"/>
    </xf>
    <xf numFmtId="165" fontId="3" fillId="2" borderId="1" xfId="4" applyNumberFormat="1" applyFont="1" applyFill="1" applyBorder="1" applyAlignment="1" applyProtection="1">
      <alignment horizontal="right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5" fontId="7" fillId="2" borderId="1" xfId="4" applyNumberFormat="1" applyFont="1" applyFill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165" fontId="0" fillId="5" borderId="1" xfId="4" applyNumberFormat="1" applyFont="1" applyFill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wrapText="1"/>
    </xf>
    <xf numFmtId="3" fontId="5" fillId="3" borderId="1" xfId="1" applyNumberFormat="1" applyBorder="1" applyAlignment="1" applyProtection="1">
      <alignment horizontal="center" vertical="center" wrapText="1"/>
    </xf>
    <xf numFmtId="166" fontId="5" fillId="3" borderId="1" xfId="4" applyNumberFormat="1" applyFont="1" applyFill="1" applyBorder="1" applyAlignment="1" applyProtection="1">
      <alignment horizontal="center" vertical="center" wrapText="1"/>
    </xf>
    <xf numFmtId="164" fontId="5" fillId="3" borderId="1" xfId="1" applyNumberForma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1" applyBorder="1" applyAlignment="1" applyProtection="1">
      <alignment horizontal="center" vertical="center" wrapText="1"/>
    </xf>
    <xf numFmtId="166" fontId="5" fillId="3" borderId="1" xfId="1" applyNumberForma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 wrapText="1"/>
    </xf>
    <xf numFmtId="0" fontId="3" fillId="3" borderId="1" xfId="1" quotePrefix="1" applyFont="1" applyBorder="1" applyAlignment="1" applyProtection="1">
      <alignment horizontal="center" vertical="center" wrapText="1"/>
    </xf>
    <xf numFmtId="0" fontId="3" fillId="3" borderId="1" xfId="1" applyFont="1" applyBorder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T5" sqref="T5"/>
    </sheetView>
  </sheetViews>
  <sheetFormatPr defaultRowHeight="15" x14ac:dyDescent="0.25"/>
  <cols>
    <col min="1" max="1" width="8.140625" customWidth="1"/>
    <col min="2" max="2" width="7.42578125" customWidth="1"/>
    <col min="3" max="3" width="7.85546875" customWidth="1"/>
    <col min="4" max="4" width="8.28515625" customWidth="1"/>
    <col min="6" max="6" width="8.28515625" customWidth="1"/>
    <col min="7" max="7" width="7.140625" customWidth="1"/>
    <col min="8" max="8" width="6" customWidth="1"/>
    <col min="9" max="9" width="8.42578125" customWidth="1"/>
    <col min="10" max="10" width="4.28515625" customWidth="1"/>
    <col min="11" max="11" width="8.42578125" customWidth="1"/>
    <col min="12" max="12" width="8.140625" customWidth="1"/>
    <col min="13" max="13" width="8.28515625" customWidth="1"/>
    <col min="14" max="14" width="4.85546875" customWidth="1"/>
    <col min="15" max="15" width="8.28515625" customWidth="1"/>
    <col min="16" max="16" width="7.85546875" customWidth="1"/>
    <col min="17" max="17" width="5.85546875" customWidth="1"/>
  </cols>
  <sheetData>
    <row r="1" spans="1:17" x14ac:dyDescent="0.25">
      <c r="A1" s="23" t="s">
        <v>33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x14ac:dyDescent="0.25">
      <c r="A2" s="24" t="s">
        <v>34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ht="30" customHeight="1" x14ac:dyDescent="0.25">
      <c r="A3" s="26" t="s">
        <v>38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x14ac:dyDescent="0.25">
      <c r="A4" s="26" t="s">
        <v>0</v>
      </c>
      <c r="B4" s="26" t="s">
        <v>1</v>
      </c>
      <c r="C4" s="26"/>
      <c r="D4" s="26"/>
      <c r="E4" s="26" t="s">
        <v>2</v>
      </c>
      <c r="F4" s="27"/>
      <c r="G4" s="19" t="s">
        <v>3</v>
      </c>
      <c r="H4" s="19" t="s">
        <v>4</v>
      </c>
      <c r="I4" s="26" t="s">
        <v>5</v>
      </c>
      <c r="J4" s="26"/>
      <c r="K4" s="26"/>
      <c r="L4" s="26" t="s">
        <v>6</v>
      </c>
      <c r="M4" s="26"/>
      <c r="N4" s="26"/>
      <c r="O4" s="26"/>
      <c r="P4" s="19" t="s">
        <v>7</v>
      </c>
      <c r="Q4" s="19" t="s">
        <v>8</v>
      </c>
    </row>
    <row r="5" spans="1:17" ht="117.75" customHeight="1" x14ac:dyDescent="0.25">
      <c r="A5" s="26"/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20"/>
      <c r="H5" s="20"/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15</v>
      </c>
      <c r="O5" s="8" t="s">
        <v>16</v>
      </c>
      <c r="P5" s="20"/>
      <c r="Q5" s="20"/>
    </row>
    <row r="6" spans="1:17" ht="17.100000000000001" customHeight="1" x14ac:dyDescent="0.25">
      <c r="A6" s="10" t="s">
        <v>19</v>
      </c>
      <c r="B6" s="11"/>
      <c r="C6" s="11"/>
      <c r="D6" s="11"/>
      <c r="E6" s="11"/>
      <c r="F6" s="11"/>
      <c r="G6" s="11"/>
      <c r="H6" s="12"/>
      <c r="I6" s="13"/>
      <c r="J6" s="13"/>
      <c r="K6" s="13"/>
      <c r="L6" s="13"/>
      <c r="M6" s="13"/>
      <c r="N6" s="13"/>
      <c r="O6" s="13"/>
      <c r="P6" s="13"/>
      <c r="Q6" s="12"/>
    </row>
    <row r="7" spans="1:17" ht="17.100000000000001" customHeight="1" x14ac:dyDescent="0.25">
      <c r="A7" s="4" t="s">
        <v>31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7.100000000000001" customHeight="1" x14ac:dyDescent="0.25">
      <c r="A8" s="5" t="s">
        <v>29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7.100000000000001" customHeight="1" x14ac:dyDescent="0.25">
      <c r="A9" s="10" t="s">
        <v>20</v>
      </c>
      <c r="B9" s="11"/>
      <c r="C9" s="11"/>
      <c r="D9" s="11"/>
      <c r="E9" s="11"/>
      <c r="F9" s="11"/>
      <c r="G9" s="11"/>
      <c r="H9" s="12"/>
      <c r="I9" s="13"/>
      <c r="J9" s="13"/>
      <c r="K9" s="13"/>
      <c r="L9" s="13"/>
      <c r="M9" s="13"/>
      <c r="N9" s="13"/>
      <c r="O9" s="13"/>
      <c r="P9" s="13"/>
      <c r="Q9" s="12"/>
    </row>
    <row r="10" spans="1:17" ht="17.100000000000001" customHeight="1" x14ac:dyDescent="0.25">
      <c r="A10" s="4" t="s">
        <v>31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7.100000000000001" customHeight="1" x14ac:dyDescent="0.25">
      <c r="A11" s="5" t="s">
        <v>29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17.100000000000001" customHeight="1" x14ac:dyDescent="0.25">
      <c r="A12" s="10" t="s">
        <v>21</v>
      </c>
      <c r="B12" s="11"/>
      <c r="C12" s="11"/>
      <c r="D12" s="11"/>
      <c r="E12" s="11"/>
      <c r="F12" s="11"/>
      <c r="G12" s="11"/>
      <c r="H12" s="12"/>
      <c r="I12" s="13"/>
      <c r="J12" s="13"/>
      <c r="K12" s="13"/>
      <c r="L12" s="13"/>
      <c r="M12" s="13"/>
      <c r="N12" s="13"/>
      <c r="O12" s="13"/>
      <c r="P12" s="13"/>
      <c r="Q12" s="12"/>
    </row>
    <row r="13" spans="1:17" ht="17.100000000000001" customHeight="1" x14ac:dyDescent="0.25">
      <c r="A13" s="4" t="s">
        <v>31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7.100000000000001" customHeight="1" x14ac:dyDescent="0.25">
      <c r="A14" s="5" t="s">
        <v>29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17.100000000000001" customHeight="1" x14ac:dyDescent="0.25">
      <c r="A15" s="10" t="s">
        <v>22</v>
      </c>
      <c r="B15" s="11"/>
      <c r="C15" s="11"/>
      <c r="D15" s="11"/>
      <c r="E15" s="11"/>
      <c r="F15" s="11"/>
      <c r="G15" s="11"/>
      <c r="H15" s="12"/>
      <c r="I15" s="13"/>
      <c r="J15" s="13"/>
      <c r="K15" s="13"/>
      <c r="L15" s="13"/>
      <c r="M15" s="13"/>
      <c r="N15" s="13"/>
      <c r="O15" s="13"/>
      <c r="P15" s="13"/>
      <c r="Q15" s="12"/>
    </row>
    <row r="16" spans="1:17" ht="17.100000000000001" customHeight="1" x14ac:dyDescent="0.25">
      <c r="A16" s="4" t="s">
        <v>31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7.100000000000001" customHeight="1" x14ac:dyDescent="0.25">
      <c r="A17" s="5" t="s">
        <v>29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7.100000000000001" customHeight="1" x14ac:dyDescent="0.25">
      <c r="A18" s="10" t="s">
        <v>23</v>
      </c>
      <c r="B18" s="11"/>
      <c r="C18" s="11"/>
      <c r="D18" s="11"/>
      <c r="E18" s="11"/>
      <c r="F18" s="11"/>
      <c r="G18" s="11"/>
      <c r="H18" s="12"/>
      <c r="I18" s="13"/>
      <c r="J18" s="13"/>
      <c r="K18" s="13"/>
      <c r="L18" s="13"/>
      <c r="M18" s="13"/>
      <c r="N18" s="13"/>
      <c r="O18" s="13"/>
      <c r="P18" s="13"/>
      <c r="Q18" s="12"/>
    </row>
    <row r="19" spans="1:17" ht="17.100000000000001" customHeight="1" x14ac:dyDescent="0.25">
      <c r="A19" s="4" t="s">
        <v>31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7.100000000000001" customHeight="1" x14ac:dyDescent="0.25">
      <c r="A20" s="5" t="s">
        <v>29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7.100000000000001" customHeight="1" x14ac:dyDescent="0.25">
      <c r="A21" s="10" t="s">
        <v>24</v>
      </c>
      <c r="B21" s="11">
        <v>1304</v>
      </c>
      <c r="C21" s="11">
        <v>1980.64</v>
      </c>
      <c r="D21" s="11">
        <v>1311</v>
      </c>
      <c r="E21" s="11">
        <v>100919</v>
      </c>
      <c r="F21" s="11">
        <v>104.248</v>
      </c>
      <c r="G21" s="11">
        <v>193.96</v>
      </c>
      <c r="H21" s="12">
        <f t="shared" ref="H21:H33" si="0">F21/G21*100</f>
        <v>53.747164363786347</v>
      </c>
      <c r="I21" s="13">
        <v>1957</v>
      </c>
      <c r="J21" s="13">
        <v>0</v>
      </c>
      <c r="K21" s="13">
        <v>1957</v>
      </c>
      <c r="L21" s="13">
        <v>7.8183809999999996</v>
      </c>
      <c r="M21" s="13">
        <v>2.1248180000000003</v>
      </c>
      <c r="N21" s="13">
        <v>0</v>
      </c>
      <c r="O21" s="13">
        <v>9.9431989999999999</v>
      </c>
      <c r="P21" s="13">
        <v>19.540830000000003</v>
      </c>
      <c r="Q21" s="12">
        <f t="shared" ref="Q21:Q33" si="1">O21/P21*100</f>
        <v>50.884220373443704</v>
      </c>
    </row>
    <row r="22" spans="1:17" ht="17.100000000000001" customHeight="1" x14ac:dyDescent="0.25">
      <c r="A22" s="4" t="s">
        <v>31</v>
      </c>
      <c r="B22" s="1" t="s">
        <v>30</v>
      </c>
      <c r="C22" s="1" t="s">
        <v>30</v>
      </c>
      <c r="D22" s="1" t="s">
        <v>30</v>
      </c>
      <c r="E22" s="1" t="s">
        <v>30</v>
      </c>
      <c r="F22" s="1" t="s">
        <v>30</v>
      </c>
      <c r="G22" s="1" t="s">
        <v>30</v>
      </c>
      <c r="H22" s="1" t="s">
        <v>30</v>
      </c>
      <c r="I22" s="1" t="s">
        <v>30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30</v>
      </c>
      <c r="O22" s="1" t="s">
        <v>30</v>
      </c>
      <c r="P22" s="1" t="s">
        <v>30</v>
      </c>
      <c r="Q22" s="1" t="s">
        <v>30</v>
      </c>
    </row>
    <row r="23" spans="1:17" ht="17.100000000000001" customHeight="1" x14ac:dyDescent="0.25">
      <c r="A23" s="5" t="s">
        <v>29</v>
      </c>
      <c r="B23" s="14" t="s">
        <v>30</v>
      </c>
      <c r="C23" s="14" t="s">
        <v>30</v>
      </c>
      <c r="D23" s="14" t="s">
        <v>30</v>
      </c>
      <c r="E23" s="14" t="s">
        <v>30</v>
      </c>
      <c r="F23" s="14" t="s">
        <v>30</v>
      </c>
      <c r="G23" s="14" t="s">
        <v>30</v>
      </c>
      <c r="H23" s="14" t="s">
        <v>30</v>
      </c>
      <c r="I23" s="14" t="s">
        <v>30</v>
      </c>
      <c r="J23" s="14" t="s">
        <v>30</v>
      </c>
      <c r="K23" s="14" t="s">
        <v>30</v>
      </c>
      <c r="L23" s="14" t="s">
        <v>30</v>
      </c>
      <c r="M23" s="14" t="s">
        <v>30</v>
      </c>
      <c r="N23" s="14" t="s">
        <v>30</v>
      </c>
      <c r="O23" s="14" t="s">
        <v>30</v>
      </c>
      <c r="P23" s="14" t="s">
        <v>30</v>
      </c>
      <c r="Q23" s="14" t="s">
        <v>30</v>
      </c>
    </row>
    <row r="24" spans="1:17" ht="17.100000000000001" customHeight="1" x14ac:dyDescent="0.25">
      <c r="A24" s="10" t="s">
        <v>25</v>
      </c>
      <c r="B24" s="11">
        <v>13920</v>
      </c>
      <c r="C24" s="11">
        <v>20665.93</v>
      </c>
      <c r="D24" s="11">
        <v>14235</v>
      </c>
      <c r="E24" s="11">
        <v>1422611</v>
      </c>
      <c r="F24" s="11">
        <v>1462.2139999999999</v>
      </c>
      <c r="G24" s="11">
        <v>2107.0390000000002</v>
      </c>
      <c r="H24" s="12">
        <f t="shared" si="0"/>
        <v>69.396627210032648</v>
      </c>
      <c r="I24" s="13">
        <v>20414.741699999999</v>
      </c>
      <c r="J24" s="13">
        <v>0</v>
      </c>
      <c r="K24" s="13">
        <v>20414.741699999999</v>
      </c>
      <c r="L24" s="13">
        <v>109.66699999999999</v>
      </c>
      <c r="M24" s="13">
        <v>23.181415000000001</v>
      </c>
      <c r="N24" s="13">
        <v>0</v>
      </c>
      <c r="O24" s="13">
        <v>132.84841499999999</v>
      </c>
      <c r="P24" s="13">
        <v>213.54567000000003</v>
      </c>
      <c r="Q24" s="12">
        <f t="shared" si="1"/>
        <v>62.210774397813815</v>
      </c>
    </row>
    <row r="25" spans="1:17" ht="17.100000000000001" customHeight="1" x14ac:dyDescent="0.25">
      <c r="A25" s="4" t="s">
        <v>31</v>
      </c>
      <c r="B25" s="6">
        <f>(B24-B21)/B21</f>
        <v>9.6748466257668717</v>
      </c>
      <c r="C25" s="6">
        <f t="shared" ref="C25:Q25" si="2">(C24-C21)/C21</f>
        <v>9.4339657888359323</v>
      </c>
      <c r="D25" s="6">
        <f t="shared" si="2"/>
        <v>9.858123569794051</v>
      </c>
      <c r="E25" s="6">
        <f t="shared" si="2"/>
        <v>13.09656258979974</v>
      </c>
      <c r="F25" s="6">
        <f t="shared" si="2"/>
        <v>13.026302662880822</v>
      </c>
      <c r="G25" s="6">
        <f t="shared" si="2"/>
        <v>9.8632656217776873</v>
      </c>
      <c r="H25" s="6">
        <f t="shared" si="2"/>
        <v>0.29116815801338469</v>
      </c>
      <c r="I25" s="6">
        <f t="shared" si="2"/>
        <v>9.4316513541134377</v>
      </c>
      <c r="J25" s="9" t="s">
        <v>30</v>
      </c>
      <c r="K25" s="6">
        <f t="shared" si="2"/>
        <v>9.4316513541134377</v>
      </c>
      <c r="L25" s="6">
        <f t="shared" si="2"/>
        <v>13.026817060974643</v>
      </c>
      <c r="M25" s="6">
        <f t="shared" si="2"/>
        <v>9.9098355717995599</v>
      </c>
      <c r="N25" s="9" t="s">
        <v>30</v>
      </c>
      <c r="O25" s="6">
        <f t="shared" si="2"/>
        <v>12.360731792655463</v>
      </c>
      <c r="P25" s="6">
        <f t="shared" si="2"/>
        <v>9.9281780763662546</v>
      </c>
      <c r="Q25" s="6">
        <f t="shared" si="2"/>
        <v>0.22259462641352368</v>
      </c>
    </row>
    <row r="26" spans="1:17" ht="17.100000000000001" customHeight="1" x14ac:dyDescent="0.25">
      <c r="A26" s="5" t="s">
        <v>29</v>
      </c>
      <c r="B26" s="14" t="s">
        <v>30</v>
      </c>
      <c r="C26" s="14" t="s">
        <v>30</v>
      </c>
      <c r="D26" s="14" t="s">
        <v>30</v>
      </c>
      <c r="E26" s="14" t="s">
        <v>30</v>
      </c>
      <c r="F26" s="14" t="s">
        <v>30</v>
      </c>
      <c r="G26" s="14" t="s">
        <v>30</v>
      </c>
      <c r="H26" s="14" t="s">
        <v>30</v>
      </c>
      <c r="I26" s="14" t="s">
        <v>30</v>
      </c>
      <c r="J26" s="14" t="s">
        <v>30</v>
      </c>
      <c r="K26" s="14" t="s">
        <v>30</v>
      </c>
      <c r="L26" s="14" t="s">
        <v>30</v>
      </c>
      <c r="M26" s="14" t="s">
        <v>30</v>
      </c>
      <c r="N26" s="14" t="s">
        <v>30</v>
      </c>
      <c r="O26" s="14" t="s">
        <v>30</v>
      </c>
      <c r="P26" s="14" t="s">
        <v>30</v>
      </c>
      <c r="Q26" s="14" t="s">
        <v>30</v>
      </c>
    </row>
    <row r="27" spans="1:17" ht="17.100000000000001" customHeight="1" x14ac:dyDescent="0.25">
      <c r="A27" s="10" t="s">
        <v>26</v>
      </c>
      <c r="B27" s="11">
        <v>23982</v>
      </c>
      <c r="C27" s="11">
        <v>40723.776000000005</v>
      </c>
      <c r="D27" s="11">
        <v>26343</v>
      </c>
      <c r="E27" s="11">
        <v>2926586</v>
      </c>
      <c r="F27" s="11">
        <v>3175.2959999999998</v>
      </c>
      <c r="G27" s="11">
        <v>4071.1559999999999</v>
      </c>
      <c r="H27" s="12">
        <f t="shared" si="0"/>
        <v>77.994947872299662</v>
      </c>
      <c r="I27" s="13">
        <v>31381</v>
      </c>
      <c r="J27" s="13">
        <v>0</v>
      </c>
      <c r="K27" s="13">
        <v>31381</v>
      </c>
      <c r="L27" s="13">
        <v>242.20099999999999</v>
      </c>
      <c r="M27" s="13">
        <v>33.417999999999999</v>
      </c>
      <c r="N27" s="13">
        <v>0</v>
      </c>
      <c r="O27" s="13">
        <v>275.61900000000003</v>
      </c>
      <c r="P27" s="13">
        <v>395.17099999999999</v>
      </c>
      <c r="Q27" s="12">
        <f t="shared" si="1"/>
        <v>69.746767854928635</v>
      </c>
    </row>
    <row r="28" spans="1:17" ht="17.100000000000001" customHeight="1" x14ac:dyDescent="0.25">
      <c r="A28" s="4" t="s">
        <v>31</v>
      </c>
      <c r="B28" s="6">
        <f>(B27-B24)/B24</f>
        <v>0.72284482758620694</v>
      </c>
      <c r="C28" s="6">
        <f t="shared" ref="C28:Q28" si="3">(C27-C24)/C24</f>
        <v>0.97057553180524681</v>
      </c>
      <c r="D28" s="6">
        <f t="shared" si="3"/>
        <v>0.85057955742887248</v>
      </c>
      <c r="E28" s="6">
        <f t="shared" si="3"/>
        <v>1.0571934281402295</v>
      </c>
      <c r="F28" s="6">
        <f t="shared" si="3"/>
        <v>1.1715672261378978</v>
      </c>
      <c r="G28" s="6">
        <f t="shared" si="3"/>
        <v>0.93216926691912183</v>
      </c>
      <c r="H28" s="6">
        <f t="shared" si="3"/>
        <v>0.12390113191299242</v>
      </c>
      <c r="I28" s="6">
        <f t="shared" si="3"/>
        <v>0.53717350242055728</v>
      </c>
      <c r="J28" s="9" t="s">
        <v>30</v>
      </c>
      <c r="K28" s="6">
        <f t="shared" si="3"/>
        <v>0.53717350242055728</v>
      </c>
      <c r="L28" s="6">
        <f t="shared" si="3"/>
        <v>1.208513044033301</v>
      </c>
      <c r="M28" s="6">
        <f t="shared" si="3"/>
        <v>0.44158585660107452</v>
      </c>
      <c r="N28" s="9" t="s">
        <v>30</v>
      </c>
      <c r="O28" s="6">
        <f t="shared" si="3"/>
        <v>1.0746879065136008</v>
      </c>
      <c r="P28" s="6">
        <f t="shared" si="3"/>
        <v>0.85052218572261351</v>
      </c>
      <c r="Q28" s="6">
        <f t="shared" si="3"/>
        <v>0.121136467598443</v>
      </c>
    </row>
    <row r="29" spans="1:17" ht="17.100000000000001" customHeight="1" x14ac:dyDescent="0.25">
      <c r="A29" s="5" t="s">
        <v>29</v>
      </c>
      <c r="B29" s="14" t="s">
        <v>30</v>
      </c>
      <c r="C29" s="14" t="s">
        <v>30</v>
      </c>
      <c r="D29" s="14" t="s">
        <v>30</v>
      </c>
      <c r="E29" s="14" t="s">
        <v>30</v>
      </c>
      <c r="F29" s="14" t="s">
        <v>30</v>
      </c>
      <c r="G29" s="14" t="s">
        <v>30</v>
      </c>
      <c r="H29" s="14" t="s">
        <v>30</v>
      </c>
      <c r="I29" s="14" t="s">
        <v>30</v>
      </c>
      <c r="J29" s="14" t="s">
        <v>30</v>
      </c>
      <c r="K29" s="14" t="s">
        <v>30</v>
      </c>
      <c r="L29" s="14" t="s">
        <v>30</v>
      </c>
      <c r="M29" s="14" t="s">
        <v>30</v>
      </c>
      <c r="N29" s="14" t="s">
        <v>30</v>
      </c>
      <c r="O29" s="14" t="s">
        <v>30</v>
      </c>
      <c r="P29" s="14" t="s">
        <v>30</v>
      </c>
      <c r="Q29" s="14" t="s">
        <v>30</v>
      </c>
    </row>
    <row r="30" spans="1:17" ht="17.100000000000001" customHeight="1" x14ac:dyDescent="0.25">
      <c r="A30" s="10" t="s">
        <v>27</v>
      </c>
      <c r="B30" s="11">
        <v>32823</v>
      </c>
      <c r="C30" s="11">
        <v>57063.286600000007</v>
      </c>
      <c r="D30" s="11">
        <v>37197</v>
      </c>
      <c r="E30" s="11">
        <v>4434987</v>
      </c>
      <c r="F30" s="11">
        <v>5048.6270000000004</v>
      </c>
      <c r="G30" s="11">
        <v>5877.7309999999998</v>
      </c>
      <c r="H30" s="12">
        <f t="shared" si="0"/>
        <v>85.89414860938686</v>
      </c>
      <c r="I30" s="13">
        <v>41388.8655</v>
      </c>
      <c r="J30" s="13">
        <v>0</v>
      </c>
      <c r="K30" s="13">
        <v>41388.8655</v>
      </c>
      <c r="L30" s="13">
        <v>378.64299999999997</v>
      </c>
      <c r="M30" s="13">
        <v>51.070999999999998</v>
      </c>
      <c r="N30" s="13">
        <v>0</v>
      </c>
      <c r="O30" s="13">
        <v>429.714</v>
      </c>
      <c r="P30" s="13">
        <v>558.01</v>
      </c>
      <c r="Q30" s="12">
        <f t="shared" si="1"/>
        <v>77.008297342341535</v>
      </c>
    </row>
    <row r="31" spans="1:17" ht="17.100000000000001" customHeight="1" x14ac:dyDescent="0.25">
      <c r="A31" s="4" t="s">
        <v>31</v>
      </c>
      <c r="B31" s="6">
        <f>(B30-B27)/B27</f>
        <v>0.36865148861646235</v>
      </c>
      <c r="C31" s="6">
        <f t="shared" ref="C31:Q31" si="4">(C30-C27)/C27</f>
        <v>0.40122778889658955</v>
      </c>
      <c r="D31" s="6">
        <f t="shared" si="4"/>
        <v>0.41202596515203282</v>
      </c>
      <c r="E31" s="6">
        <f t="shared" si="4"/>
        <v>0.51541318109223511</v>
      </c>
      <c r="F31" s="6">
        <f t="shared" si="4"/>
        <v>0.58997050983593358</v>
      </c>
      <c r="G31" s="6">
        <f t="shared" si="4"/>
        <v>0.44374988332552223</v>
      </c>
      <c r="H31" s="6">
        <f t="shared" si="4"/>
        <v>0.10127836420918544</v>
      </c>
      <c r="I31" s="6">
        <f t="shared" si="4"/>
        <v>0.31891480513686626</v>
      </c>
      <c r="J31" s="9" t="s">
        <v>30</v>
      </c>
      <c r="K31" s="6">
        <f t="shared" si="4"/>
        <v>0.31891480513686626</v>
      </c>
      <c r="L31" s="6">
        <f t="shared" si="4"/>
        <v>0.56334201758043934</v>
      </c>
      <c r="M31" s="6">
        <f t="shared" si="4"/>
        <v>0.52824824944640614</v>
      </c>
      <c r="N31" s="9" t="s">
        <v>30</v>
      </c>
      <c r="O31" s="6">
        <f t="shared" si="4"/>
        <v>0.55908700053334481</v>
      </c>
      <c r="P31" s="6">
        <f t="shared" si="4"/>
        <v>0.4120722421432747</v>
      </c>
      <c r="Q31" s="6">
        <f t="shared" si="4"/>
        <v>0.10411277412190172</v>
      </c>
    </row>
    <row r="32" spans="1:17" ht="17.100000000000001" customHeight="1" x14ac:dyDescent="0.25">
      <c r="A32" s="5" t="s">
        <v>29</v>
      </c>
      <c r="B32" s="14" t="s">
        <v>30</v>
      </c>
      <c r="C32" s="14" t="s">
        <v>30</v>
      </c>
      <c r="D32" s="14" t="s">
        <v>30</v>
      </c>
      <c r="E32" s="14" t="s">
        <v>30</v>
      </c>
      <c r="F32" s="14" t="s">
        <v>30</v>
      </c>
      <c r="G32" s="14" t="s">
        <v>30</v>
      </c>
      <c r="H32" s="14" t="s">
        <v>30</v>
      </c>
      <c r="I32" s="14" t="s">
        <v>30</v>
      </c>
      <c r="J32" s="14" t="s">
        <v>30</v>
      </c>
      <c r="K32" s="14" t="s">
        <v>30</v>
      </c>
      <c r="L32" s="14" t="s">
        <v>30</v>
      </c>
      <c r="M32" s="14" t="s">
        <v>30</v>
      </c>
      <c r="N32" s="14" t="s">
        <v>30</v>
      </c>
      <c r="O32" s="14" t="s">
        <v>30</v>
      </c>
      <c r="P32" s="14" t="s">
        <v>30</v>
      </c>
      <c r="Q32" s="14" t="s">
        <v>30</v>
      </c>
    </row>
    <row r="33" spans="1:17" ht="17.100000000000001" customHeight="1" x14ac:dyDescent="0.25">
      <c r="A33" s="15" t="s">
        <v>32</v>
      </c>
      <c r="B33" s="11">
        <v>40645</v>
      </c>
      <c r="C33" s="11">
        <v>72019.224999999991</v>
      </c>
      <c r="D33" s="11">
        <v>47251.866000000002</v>
      </c>
      <c r="E33" s="11">
        <v>5438275</v>
      </c>
      <c r="F33" s="11">
        <v>6371.8714829999999</v>
      </c>
      <c r="G33" s="11">
        <v>7563.5130140000001</v>
      </c>
      <c r="H33" s="12">
        <f t="shared" si="0"/>
        <v>84.244867050611518</v>
      </c>
      <c r="I33" s="16">
        <v>53703.477399999996</v>
      </c>
      <c r="J33" s="13">
        <v>0</v>
      </c>
      <c r="K33" s="13">
        <v>53703.477399999996</v>
      </c>
      <c r="L33" s="13">
        <v>557.06781009999997</v>
      </c>
      <c r="M33" s="13">
        <v>69.627595499999998</v>
      </c>
      <c r="N33" s="13">
        <v>0</v>
      </c>
      <c r="O33" s="13">
        <v>626.69540559999996</v>
      </c>
      <c r="P33" s="13">
        <v>795.26014060000011</v>
      </c>
      <c r="Q33" s="12">
        <f t="shared" si="1"/>
        <v>78.803824510452259</v>
      </c>
    </row>
    <row r="34" spans="1:17" ht="17.100000000000001" customHeight="1" x14ac:dyDescent="0.25">
      <c r="A34" s="4" t="s">
        <v>28</v>
      </c>
      <c r="B34" s="6">
        <f>(B33-B30)/B30</f>
        <v>0.23830850318374311</v>
      </c>
      <c r="C34" s="6">
        <f t="shared" ref="C34:Q34" si="5">(C33-C30)/C30</f>
        <v>0.26209388367055575</v>
      </c>
      <c r="D34" s="6">
        <f t="shared" si="5"/>
        <v>0.27031389628195829</v>
      </c>
      <c r="E34" s="6">
        <f t="shared" si="5"/>
        <v>0.22622118170808617</v>
      </c>
      <c r="F34" s="6">
        <f t="shared" si="5"/>
        <v>0.26209987051925193</v>
      </c>
      <c r="G34" s="6">
        <f t="shared" si="5"/>
        <v>0.2868082962626225</v>
      </c>
      <c r="H34" s="6">
        <f t="shared" si="5"/>
        <v>-1.9201326114490439E-2</v>
      </c>
      <c r="I34" s="6">
        <f t="shared" si="5"/>
        <v>0.29753441538521985</v>
      </c>
      <c r="J34" s="9" t="s">
        <v>30</v>
      </c>
      <c r="K34" s="6">
        <f t="shared" si="5"/>
        <v>0.29753441538521985</v>
      </c>
      <c r="L34" s="6">
        <f t="shared" si="5"/>
        <v>0.47122173155188402</v>
      </c>
      <c r="M34" s="6">
        <f t="shared" si="5"/>
        <v>0.3633489749564332</v>
      </c>
      <c r="N34" s="9" t="s">
        <v>30</v>
      </c>
      <c r="O34" s="6">
        <f t="shared" si="5"/>
        <v>0.458401182181637</v>
      </c>
      <c r="P34" s="6">
        <f t="shared" si="5"/>
        <v>0.42517184387376594</v>
      </c>
      <c r="Q34" s="6">
        <f t="shared" si="5"/>
        <v>2.331602217003553E-2</v>
      </c>
    </row>
    <row r="35" spans="1:17" ht="17.100000000000001" customHeight="1" x14ac:dyDescent="0.25">
      <c r="A35" s="5" t="s">
        <v>29</v>
      </c>
      <c r="B35" s="14" t="s">
        <v>30</v>
      </c>
      <c r="C35" s="14" t="s">
        <v>30</v>
      </c>
      <c r="D35" s="14" t="s">
        <v>30</v>
      </c>
      <c r="E35" s="14" t="s">
        <v>30</v>
      </c>
      <c r="F35" s="14" t="s">
        <v>30</v>
      </c>
      <c r="G35" s="14" t="s">
        <v>30</v>
      </c>
      <c r="H35" s="14" t="s">
        <v>30</v>
      </c>
      <c r="I35" s="14" t="s">
        <v>30</v>
      </c>
      <c r="J35" s="14" t="s">
        <v>30</v>
      </c>
      <c r="K35" s="14" t="s">
        <v>30</v>
      </c>
      <c r="L35" s="14" t="s">
        <v>30</v>
      </c>
      <c r="M35" s="14" t="s">
        <v>30</v>
      </c>
      <c r="N35" s="14" t="s">
        <v>30</v>
      </c>
      <c r="O35" s="14" t="s">
        <v>30</v>
      </c>
      <c r="P35" s="14" t="s">
        <v>30</v>
      </c>
      <c r="Q35" s="14" t="s">
        <v>30</v>
      </c>
    </row>
    <row r="36" spans="1:17" x14ac:dyDescent="0.25">
      <c r="A36" s="15" t="s">
        <v>36</v>
      </c>
      <c r="B36" s="11">
        <v>60793</v>
      </c>
      <c r="C36" s="11">
        <v>99477.08666666667</v>
      </c>
      <c r="D36" s="11">
        <v>64558.156999999999</v>
      </c>
      <c r="E36" s="11">
        <v>8148986</v>
      </c>
      <c r="F36" s="11">
        <v>8711.7219379999988</v>
      </c>
      <c r="G36" s="11">
        <v>10651.602151000001</v>
      </c>
      <c r="H36" s="12">
        <f t="shared" ref="H36" si="6">F36/G36*100</f>
        <v>81.78790208740682</v>
      </c>
      <c r="I36" s="16">
        <v>24133.291260000002</v>
      </c>
      <c r="J36" s="13">
        <v>0</v>
      </c>
      <c r="K36" s="13">
        <v>24133.291260000002</v>
      </c>
      <c r="L36" s="13">
        <v>784.05497433000005</v>
      </c>
      <c r="M36" s="13">
        <v>30.342095361859997</v>
      </c>
      <c r="N36" s="13">
        <v>0</v>
      </c>
      <c r="O36" s="13">
        <v>814.39706969185988</v>
      </c>
      <c r="P36" s="13">
        <v>1077.6076608000008</v>
      </c>
      <c r="Q36" s="12">
        <f t="shared" ref="Q36" si="7">O36/P36*100</f>
        <v>75.574543437011471</v>
      </c>
    </row>
    <row r="37" spans="1:17" ht="29.25" customHeight="1" x14ac:dyDescent="0.25">
      <c r="A37" s="4" t="s">
        <v>28</v>
      </c>
      <c r="B37" s="6">
        <f>(B36-B33)/B33</f>
        <v>0.49570672899495632</v>
      </c>
      <c r="C37" s="6">
        <f t="shared" ref="C37:Q37" si="8">(C36-C33)/C33</f>
        <v>0.3812573887967648</v>
      </c>
      <c r="D37" s="6">
        <f t="shared" si="8"/>
        <v>0.3662562447798357</v>
      </c>
      <c r="E37" s="6">
        <f t="shared" si="8"/>
        <v>0.49845051969604331</v>
      </c>
      <c r="F37" s="6">
        <f t="shared" si="8"/>
        <v>0.36721557571314234</v>
      </c>
      <c r="G37" s="6">
        <f t="shared" si="8"/>
        <v>0.40828767416463402</v>
      </c>
      <c r="H37" s="6">
        <f t="shared" si="8"/>
        <v>-2.9164565738214465E-2</v>
      </c>
      <c r="I37" s="6">
        <f t="shared" si="8"/>
        <v>-0.5506195794315546</v>
      </c>
      <c r="J37" s="9" t="s">
        <v>30</v>
      </c>
      <c r="K37" s="6">
        <f t="shared" si="8"/>
        <v>-0.5506195794315546</v>
      </c>
      <c r="L37" s="6">
        <f t="shared" si="8"/>
        <v>0.40746774470643587</v>
      </c>
      <c r="M37" s="6">
        <f t="shared" si="8"/>
        <v>-0.56422313388863188</v>
      </c>
      <c r="N37" s="9" t="s">
        <v>30</v>
      </c>
      <c r="O37" s="6">
        <f t="shared" si="8"/>
        <v>0.29951019652386601</v>
      </c>
      <c r="P37" s="6">
        <f t="shared" si="8"/>
        <v>0.35503793763255609</v>
      </c>
      <c r="Q37" s="6">
        <f t="shared" si="8"/>
        <v>-4.0978735404047145E-2</v>
      </c>
    </row>
    <row r="38" spans="1:17" x14ac:dyDescent="0.25">
      <c r="A38" s="5" t="s">
        <v>29</v>
      </c>
      <c r="B38" s="7" t="s">
        <v>30</v>
      </c>
      <c r="C38" s="7" t="s">
        <v>30</v>
      </c>
      <c r="D38" s="7" t="s">
        <v>30</v>
      </c>
      <c r="E38" s="7" t="s">
        <v>30</v>
      </c>
      <c r="F38" s="7" t="s">
        <v>30</v>
      </c>
      <c r="G38" s="7" t="s">
        <v>30</v>
      </c>
      <c r="H38" s="7" t="s">
        <v>30</v>
      </c>
      <c r="I38" s="7" t="s">
        <v>30</v>
      </c>
      <c r="J38" s="7" t="s">
        <v>30</v>
      </c>
      <c r="K38" s="7" t="s">
        <v>30</v>
      </c>
      <c r="L38" s="7" t="s">
        <v>30</v>
      </c>
      <c r="M38" s="7" t="s">
        <v>30</v>
      </c>
      <c r="N38" s="7" t="s">
        <v>30</v>
      </c>
      <c r="O38" s="7" t="s">
        <v>30</v>
      </c>
      <c r="P38" s="7" t="s">
        <v>30</v>
      </c>
      <c r="Q38" s="7" t="s">
        <v>30</v>
      </c>
    </row>
    <row r="39" spans="1:17" x14ac:dyDescent="0.25">
      <c r="A39" s="21" t="s">
        <v>35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ht="27" customHeight="1" x14ac:dyDescent="0.25">
      <c r="A40" s="17" t="s">
        <v>37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2021-08-28T00:14:37Z</cp:lastPrinted>
  <dcterms:created xsi:type="dcterms:W3CDTF">2018-10-29T04:00:14Z</dcterms:created>
  <dcterms:modified xsi:type="dcterms:W3CDTF">2021-08-28T00:14:53Z</dcterms:modified>
</cp:coreProperties>
</file>