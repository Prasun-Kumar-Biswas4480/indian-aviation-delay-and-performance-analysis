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04. AIR INDIA EXPRESS\"/>
    </mc:Choice>
  </mc:AlternateContent>
  <bookViews>
    <workbookView xWindow="0" yWindow="0" windowWidth="24000" windowHeight="9435"/>
  </bookViews>
  <sheets>
    <sheet name="AIR INDIA EXPRES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8" i="1" l="1"/>
  <c r="O18" i="1"/>
  <c r="Q18" i="1" s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Q17" i="1" l="1"/>
  <c r="H17" i="1"/>
  <c r="Q16" i="1"/>
  <c r="H16" i="1"/>
  <c r="Q15" i="1"/>
  <c r="H15" i="1"/>
  <c r="Q14" i="1"/>
  <c r="H14" i="1"/>
  <c r="Q13" i="1"/>
  <c r="H13" i="1"/>
  <c r="Q12" i="1"/>
  <c r="H12" i="1"/>
  <c r="Q11" i="1"/>
  <c r="H11" i="1"/>
  <c r="Q10" i="1"/>
  <c r="H10" i="1"/>
  <c r="Q9" i="1"/>
  <c r="H9" i="1"/>
  <c r="Q8" i="1"/>
  <c r="H8" i="1"/>
  <c r="Q7" i="1"/>
  <c r="H7" i="1"/>
  <c r="Q6" i="1"/>
  <c r="H6" i="1"/>
</calcChain>
</file>

<file path=xl/sharedStrings.xml><?xml version="1.0" encoding="utf-8"?>
<sst xmlns="http://schemas.openxmlformats.org/spreadsheetml/2006/main" count="26" uniqueCount="24">
  <si>
    <t xml:space="preserve">तालिका 1.03 (एयर इंडिया एक्सप्रेस) </t>
  </si>
  <si>
    <t>Table 1.03 (AIR INDIA EXPRESS)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</si>
  <si>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</si>
  <si>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</si>
  <si>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</si>
  <si>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</si>
  <si>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</si>
  <si>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</si>
  <si>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>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</si>
  <si>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</si>
  <si>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</si>
  <si>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</si>
  <si>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</si>
  <si>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</si>
  <si>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</si>
  <si>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</si>
  <si>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</si>
  <si>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</si>
  <si>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</si>
  <si>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</si>
  <si>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</si>
  <si>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AIR INDIA EXPRESS</t>
  </si>
  <si>
    <t>MONTHLY TRAFFIC AND OPERATING STATISTICS OF AIR INDIA EXPRESS ON SCHEDULED (DOMESTIC + INTERNATIONAL) SERVICES DURING 2019-20</t>
  </si>
  <si>
    <t>2019-20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</si>
</sst>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??_);_(@_)"/>
    <numFmt numFmtId="167" formatCode="_(* #,##0.0_);_(* \(#,##0.0\);_(* &quot;-&quot;??_);_(@_)"/>
    <numFmt numFmtId="168" formatCode="#,##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4">
    <xf numFmtId="0" fontId="0" fillId="0" borderId="0" xfId="0"/>
    <xf numFmtId="17" fontId="1" fillId="3" borderId="1" xfId="3" applyNumberFormat="1" applyBorder="1" applyAlignment="1" applyProtection="1">
      <alignment horizontal="center" vertical="center" wrapText="1"/>
    </xf>
    <xf numFmtId="165" fontId="1" fillId="3" borderId="1" xfId="3" applyNumberFormat="1" applyBorder="1" applyAlignment="1">
      <alignment horizontal="right" vertical="center"/>
    </xf>
    <xf numFmtId="167" fontId="1" fillId="3" borderId="1" xfId="3" applyNumberFormat="1" applyBorder="1" applyAlignment="1">
      <alignment horizontal="right" vertical="center"/>
    </xf>
    <xf numFmtId="164" fontId="1" fillId="3" borderId="1" xfId="3" applyNumberFormat="1" applyBorder="1" applyAlignment="1">
      <alignment horizontal="right" vertical="center"/>
    </xf>
    <xf numFmtId="17" fontId="4" fillId="4" borderId="1" xfId="0" applyNumberFormat="1" applyFont="1" applyFill="1" applyBorder="1" applyAlignment="1" applyProtection="1">
      <alignment horizontal="center" vertical="center" wrapText="1"/>
    </xf>
    <xf numFmtId="165" fontId="0" fillId="0" borderId="1" xfId="1" applyNumberFormat="1" applyFont="1" applyBorder="1" applyAlignment="1">
      <alignment horizontal="right" vertical="center"/>
    </xf>
    <xf numFmtId="167" fontId="0" fillId="0" borderId="1" xfId="1" applyNumberFormat="1" applyFont="1" applyBorder="1" applyAlignment="1">
      <alignment horizontal="right" vertical="center"/>
    </xf>
    <xf numFmtId="164" fontId="0" fillId="0" borderId="1" xfId="1" applyNumberFormat="1" applyFont="1" applyBorder="1" applyAlignment="1">
      <alignment horizontal="right" vertical="center"/>
    </xf>
    <xf numFmtId="0" fontId="2" fillId="3" borderId="1" xfId="3" applyFont="1" applyBorder="1" applyAlignment="1" applyProtection="1">
      <alignment horizontal="center" vertical="center" wrapText="1"/>
    </xf>
    <xf numFmtId="3" fontId="2" fillId="3" borderId="1" xfId="3" applyNumberFormat="1" applyFont="1" applyBorder="1" applyAlignment="1" applyProtection="1">
      <alignment horizontal="right" vertical="center" wrapText="1"/>
    </xf>
    <xf numFmtId="168" fontId="2" fillId="3" borderId="1" xfId="3" applyNumberFormat="1" applyFont="1" applyBorder="1" applyAlignment="1" applyProtection="1">
      <alignment horizontal="right" vertical="center" wrapText="1"/>
    </xf>
    <xf numFmtId="164" fontId="2" fillId="3" borderId="1" xfId="3" applyNumberFormat="1" applyFont="1" applyBorder="1" applyAlignment="1" applyProtection="1">
      <alignment horizontal="right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5" fillId="4" borderId="2" xfId="0" applyFont="1" applyFill="1" applyBorder="1" applyAlignment="1" applyProtection="1">
      <alignment horizontal="left" vertical="center" wrapText="1"/>
    </xf>
    <xf numFmtId="0" fontId="5" fillId="4" borderId="3" xfId="0" applyFont="1" applyFill="1" applyBorder="1" applyAlignment="1" applyProtection="1">
      <alignment horizontal="left" vertical="center" wrapText="1"/>
    </xf>
    <xf numFmtId="0" fontId="5" fillId="4" borderId="4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</cellXfs>
  <cellStyles count="4">
    <cellStyle name="40% - Accent1" xfId="3" builtinId="31"/>
    <cellStyle name="Accent1" xfId="2" builtinId="2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topLeftCell="A5" zoomScaleNormal="100" zoomScaleSheetLayoutView="95" workbookViewId="0">
      <selection activeCell="H6" sqref="H6:H18"/>
    </sheetView>
  </sheetViews>
  <sheetFormatPr defaultRowHeight="15" x14ac:dyDescent="0.25"/>
  <cols>
    <col min="1" max="1" width="8.140625" customWidth="1"/>
    <col min="2" max="2" width="9.5703125" customWidth="1"/>
    <col min="3" max="3" width="9.28515625" customWidth="1"/>
    <col min="4" max="4" width="9.85546875" customWidth="1"/>
    <col min="5" max="5" width="11.5703125" customWidth="1"/>
    <col min="6" max="7" width="8.28515625" customWidth="1"/>
    <col min="8" max="8" width="7.28515625" customWidth="1"/>
    <col min="9" max="9" width="9.140625" bestFit="1" customWidth="1"/>
    <col min="10" max="10" width="8.140625" bestFit="1" customWidth="1"/>
    <col min="11" max="11" width="9.140625" bestFit="1" customWidth="1"/>
    <col min="12" max="12" width="8.7109375" customWidth="1"/>
    <col min="13" max="13" width="7.28515625" customWidth="1"/>
    <col min="14" max="14" width="7.140625" customWidth="1"/>
    <col min="15" max="15" width="8.5703125" customWidth="1"/>
    <col min="16" max="16" width="8.7109375" customWidth="1"/>
    <col min="17" max="17" width="7" customWidth="1"/>
  </cols>
  <sheetData>
    <row r="1" spans="1:17" ht="24" customHeight="1" x14ac:dyDescent="0.2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ht="24.75" customHeight="1" x14ac:dyDescent="0.25">
      <c r="A2" s="20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7" ht="24.75" customHeight="1" x14ac:dyDescent="0.25">
      <c r="A3" s="22" t="s">
        <v>22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ht="22.15" customHeight="1" x14ac:dyDescent="0.25">
      <c r="A4" s="22" t="s">
        <v>2</v>
      </c>
      <c r="B4" s="22" t="s">
        <v>3</v>
      </c>
      <c r="C4" s="22"/>
      <c r="D4" s="22"/>
      <c r="E4" s="22" t="s">
        <v>4</v>
      </c>
      <c r="F4" s="23"/>
      <c r="G4" s="14" t="s">
        <v>5</v>
      </c>
      <c r="H4" s="14" t="s">
        <v>6</v>
      </c>
      <c r="I4" s="22" t="s">
        <v>7</v>
      </c>
      <c r="J4" s="22"/>
      <c r="K4" s="22"/>
      <c r="L4" s="22" t="s">
        <v>8</v>
      </c>
      <c r="M4" s="22"/>
      <c r="N4" s="22"/>
      <c r="O4" s="22"/>
      <c r="P4" s="14" t="s">
        <v>9</v>
      </c>
      <c r="Q4" s="14" t="s">
        <v>10</v>
      </c>
    </row>
    <row r="5" spans="1:17" ht="119.25" customHeight="1" x14ac:dyDescent="0.25">
      <c r="A5" s="22"/>
      <c r="B5" s="13" t="s">
        <v>11</v>
      </c>
      <c r="C5" s="13" t="s">
        <v>12</v>
      </c>
      <c r="D5" s="13" t="s">
        <v>13</v>
      </c>
      <c r="E5" s="13" t="s">
        <v>14</v>
      </c>
      <c r="F5" s="13" t="s">
        <v>15</v>
      </c>
      <c r="G5" s="15"/>
      <c r="H5" s="15"/>
      <c r="I5" s="13" t="s">
        <v>16</v>
      </c>
      <c r="J5" s="13" t="s">
        <v>17</v>
      </c>
      <c r="K5" s="13" t="s">
        <v>18</v>
      </c>
      <c r="L5" s="13" t="s">
        <v>19</v>
      </c>
      <c r="M5" s="13" t="s">
        <v>20</v>
      </c>
      <c r="N5" s="13" t="s">
        <v>17</v>
      </c>
      <c r="O5" s="13" t="s">
        <v>18</v>
      </c>
      <c r="P5" s="15"/>
      <c r="Q5" s="15"/>
    </row>
    <row r="6" spans="1:17" ht="21" customHeight="1" x14ac:dyDescent="0.25">
      <c r="A6" s="1">
        <v>43556</v>
      </c>
      <c r="B6" s="2">
        <v>2767</v>
      </c>
      <c r="C6" s="2">
        <v>10471.959999999999</v>
      </c>
      <c r="D6" s="2">
        <v>6810.17</v>
      </c>
      <c r="E6" s="2">
        <v>442190</v>
      </c>
      <c r="F6" s="2">
        <v>1142.9501499999999</v>
      </c>
      <c r="G6" s="2">
        <v>1266.6903199999999</v>
      </c>
      <c r="H6" s="3">
        <f>F6/G6*100</f>
        <v>90.231221629608726</v>
      </c>
      <c r="I6" s="3">
        <v>1909.269</v>
      </c>
      <c r="J6" s="3">
        <v>0.95</v>
      </c>
      <c r="K6" s="3">
        <v>1910.2190000000001</v>
      </c>
      <c r="L6" s="3">
        <v>103.57526</v>
      </c>
      <c r="M6" s="3">
        <v>5.0956200000000003</v>
      </c>
      <c r="N6" s="4">
        <v>1.9499999999999999E-3</v>
      </c>
      <c r="O6" s="3">
        <v>108.67282999999999</v>
      </c>
      <c r="P6" s="3">
        <v>124.93671000000001</v>
      </c>
      <c r="Q6" s="3">
        <f>O6/P6*100</f>
        <v>86.982304880607145</v>
      </c>
    </row>
    <row r="7" spans="1:17" ht="21" customHeight="1" x14ac:dyDescent="0.25">
      <c r="A7" s="5">
        <v>43586</v>
      </c>
      <c r="B7" s="6">
        <v>2881</v>
      </c>
      <c r="C7" s="6">
        <v>10858.509999999998</v>
      </c>
      <c r="D7" s="6">
        <v>7072.6989999999996</v>
      </c>
      <c r="E7" s="6">
        <v>443065</v>
      </c>
      <c r="F7" s="6">
        <v>1151.4318110000002</v>
      </c>
      <c r="G7" s="6">
        <v>1315.5220139999999</v>
      </c>
      <c r="H7" s="7">
        <f t="shared" ref="H7:H18" si="0">F7/G7*100</f>
        <v>87.526609113817557</v>
      </c>
      <c r="I7" s="7">
        <v>1983.4769999999999</v>
      </c>
      <c r="J7" s="7">
        <v>2.2569999999999997</v>
      </c>
      <c r="K7" s="7">
        <v>1985.7339999999999</v>
      </c>
      <c r="L7" s="7">
        <v>100.55489747199999</v>
      </c>
      <c r="M7" s="7">
        <v>5.3295898450000001</v>
      </c>
      <c r="N7" s="8">
        <v>4.435838000000001E-3</v>
      </c>
      <c r="O7" s="7">
        <v>105.88892315499999</v>
      </c>
      <c r="P7" s="7">
        <v>125.06014804499999</v>
      </c>
      <c r="Q7" s="7">
        <f t="shared" ref="Q7:Q18" si="1">O7/P7*100</f>
        <v>84.670396453471582</v>
      </c>
    </row>
    <row r="8" spans="1:17" ht="21" customHeight="1" x14ac:dyDescent="0.25">
      <c r="A8" s="1">
        <v>43617</v>
      </c>
      <c r="B8" s="2">
        <v>2786</v>
      </c>
      <c r="C8" s="2">
        <v>10471.62000000001</v>
      </c>
      <c r="D8" s="2">
        <v>6865.1440000000002</v>
      </c>
      <c r="E8" s="2">
        <v>414909</v>
      </c>
      <c r="F8" s="2">
        <v>1072.2393240000001</v>
      </c>
      <c r="G8" s="2">
        <v>1276.916784</v>
      </c>
      <c r="H8" s="3">
        <f t="shared" si="0"/>
        <v>83.970963294973828</v>
      </c>
      <c r="I8" s="3">
        <v>1857.75</v>
      </c>
      <c r="J8" s="3">
        <v>0.79899999999999993</v>
      </c>
      <c r="K8" s="3">
        <v>1858.549</v>
      </c>
      <c r="L8" s="3">
        <v>96.450149298999989</v>
      </c>
      <c r="M8" s="3">
        <v>5.0030447489999998</v>
      </c>
      <c r="N8" s="4">
        <v>1.617615E-3</v>
      </c>
      <c r="O8" s="3">
        <v>101.45481166299997</v>
      </c>
      <c r="P8" s="3">
        <v>125.21206568700001</v>
      </c>
      <c r="Q8" s="3">
        <f t="shared" si="1"/>
        <v>81.026386000701052</v>
      </c>
    </row>
    <row r="9" spans="1:17" ht="21" customHeight="1" x14ac:dyDescent="0.25">
      <c r="A9" s="5">
        <v>43647</v>
      </c>
      <c r="B9" s="6">
        <v>2869</v>
      </c>
      <c r="C9" s="6">
        <v>10709.540000000003</v>
      </c>
      <c r="D9" s="6">
        <v>7040.0159999999996</v>
      </c>
      <c r="E9" s="6">
        <v>416385</v>
      </c>
      <c r="F9" s="6">
        <v>1080.9501619999999</v>
      </c>
      <c r="G9" s="6">
        <v>1309.4429759999998</v>
      </c>
      <c r="H9" s="7">
        <f t="shared" si="0"/>
        <v>82.550380720053596</v>
      </c>
      <c r="I9" s="7">
        <v>2086.5219999999999</v>
      </c>
      <c r="J9" s="7">
        <v>0.35499999999999998</v>
      </c>
      <c r="K9" s="7">
        <v>2086.877</v>
      </c>
      <c r="L9" s="7">
        <v>98.54777201200001</v>
      </c>
      <c r="M9" s="7">
        <v>5.710194035999999</v>
      </c>
      <c r="N9" s="8">
        <v>7.6250999999999999E-4</v>
      </c>
      <c r="O9" s="7">
        <v>104.258728558</v>
      </c>
      <c r="P9" s="7">
        <v>108.92741987299999</v>
      </c>
      <c r="Q9" s="7">
        <f t="shared" si="1"/>
        <v>95.713942990256001</v>
      </c>
    </row>
    <row r="10" spans="1:17" ht="21" customHeight="1" x14ac:dyDescent="0.25">
      <c r="A10" s="1">
        <v>43678</v>
      </c>
      <c r="B10" s="2">
        <v>2901</v>
      </c>
      <c r="C10" s="2">
        <v>10673.770000000013</v>
      </c>
      <c r="D10" s="2">
        <v>7099.7930000000006</v>
      </c>
      <c r="E10" s="2">
        <v>421750</v>
      </c>
      <c r="F10" s="2">
        <v>1095.4190649999998</v>
      </c>
      <c r="G10" s="2">
        <v>1320.561498</v>
      </c>
      <c r="H10" s="3">
        <f t="shared" si="0"/>
        <v>82.951007329762376</v>
      </c>
      <c r="I10" s="3">
        <v>2069.518</v>
      </c>
      <c r="J10" s="3">
        <v>1.7170000000000001</v>
      </c>
      <c r="K10" s="3">
        <v>2071.2349999999997</v>
      </c>
      <c r="L10" s="3">
        <v>100.330723519</v>
      </c>
      <c r="M10" s="3">
        <v>5.7144599400000002</v>
      </c>
      <c r="N10" s="4">
        <v>3.404196E-3</v>
      </c>
      <c r="O10" s="3">
        <v>106.04858765500001</v>
      </c>
      <c r="P10" s="3">
        <v>111.49836763899999</v>
      </c>
      <c r="Q10" s="3">
        <f t="shared" si="1"/>
        <v>95.112233390138215</v>
      </c>
    </row>
    <row r="11" spans="1:17" ht="21" customHeight="1" x14ac:dyDescent="0.25">
      <c r="A11" s="5">
        <v>43709</v>
      </c>
      <c r="B11" s="6">
        <v>2787</v>
      </c>
      <c r="C11" s="6">
        <v>10271.430000000018</v>
      </c>
      <c r="D11" s="6">
        <v>6823.0159999999987</v>
      </c>
      <c r="E11" s="6">
        <v>380091</v>
      </c>
      <c r="F11" s="6">
        <v>991.813489</v>
      </c>
      <c r="G11" s="6">
        <v>1269.080976</v>
      </c>
      <c r="H11" s="7">
        <f t="shared" si="0"/>
        <v>78.152104377616965</v>
      </c>
      <c r="I11" s="7">
        <v>2040.441</v>
      </c>
      <c r="J11" s="7">
        <v>1.4019999999999999</v>
      </c>
      <c r="K11" s="7">
        <v>2041.8430000000001</v>
      </c>
      <c r="L11" s="7">
        <v>90.651282210999995</v>
      </c>
      <c r="M11" s="7">
        <v>5.5110146550000003</v>
      </c>
      <c r="N11" s="8">
        <v>2.7870459999999996E-3</v>
      </c>
      <c r="O11" s="7">
        <v>96.165083911999986</v>
      </c>
      <c r="P11" s="7">
        <v>101.64969557600001</v>
      </c>
      <c r="Q11" s="7">
        <f t="shared" si="1"/>
        <v>94.604399321688703</v>
      </c>
    </row>
    <row r="12" spans="1:17" ht="21" customHeight="1" x14ac:dyDescent="0.25">
      <c r="A12" s="1">
        <v>43739</v>
      </c>
      <c r="B12" s="2">
        <v>2862</v>
      </c>
      <c r="C12" s="2">
        <v>10349.459999999999</v>
      </c>
      <c r="D12" s="2">
        <v>7200.7449999999999</v>
      </c>
      <c r="E12" s="2">
        <v>392515</v>
      </c>
      <c r="F12" s="2">
        <v>1024.19066</v>
      </c>
      <c r="G12" s="2">
        <v>1310.32257</v>
      </c>
      <c r="H12" s="3">
        <f t="shared" si="0"/>
        <v>78.163246474492155</v>
      </c>
      <c r="I12" s="3">
        <v>2218.0650000000001</v>
      </c>
      <c r="J12" s="3">
        <v>1.6560000000000001</v>
      </c>
      <c r="K12" s="3">
        <v>2219.721</v>
      </c>
      <c r="L12" s="3">
        <v>94.680465027000011</v>
      </c>
      <c r="M12" s="3">
        <v>5.8912658340000004</v>
      </c>
      <c r="N12" s="4">
        <v>4.0098599999999996E-3</v>
      </c>
      <c r="O12" s="3">
        <v>100.575740721</v>
      </c>
      <c r="P12" s="3">
        <v>128.149643064</v>
      </c>
      <c r="Q12" s="3">
        <f t="shared" si="1"/>
        <v>78.483043975995201</v>
      </c>
    </row>
    <row r="13" spans="1:17" ht="21" customHeight="1" x14ac:dyDescent="0.25">
      <c r="A13" s="5">
        <v>43770</v>
      </c>
      <c r="B13" s="6">
        <v>2798</v>
      </c>
      <c r="C13" s="6">
        <v>10402.68</v>
      </c>
      <c r="D13" s="6">
        <v>6870.4159999999993</v>
      </c>
      <c r="E13" s="6">
        <v>407100</v>
      </c>
      <c r="F13" s="6">
        <v>1051.177091</v>
      </c>
      <c r="G13" s="6">
        <v>1277.8973759999999</v>
      </c>
      <c r="H13" s="7">
        <f t="shared" si="0"/>
        <v>82.258333943084963</v>
      </c>
      <c r="I13" s="7">
        <v>1838.4649999999999</v>
      </c>
      <c r="J13" s="7">
        <v>0.55799999999999994</v>
      </c>
      <c r="K13" s="7">
        <v>1839.0229999999999</v>
      </c>
      <c r="L13" s="7">
        <v>94.459508311999997</v>
      </c>
      <c r="M13" s="7">
        <v>4.845628252</v>
      </c>
      <c r="N13" s="8">
        <v>1.513066E-3</v>
      </c>
      <c r="O13" s="7">
        <v>99.30664963000001</v>
      </c>
      <c r="P13" s="7">
        <v>123.710079862</v>
      </c>
      <c r="Q13" s="7">
        <f t="shared" si="1"/>
        <v>80.273692928480614</v>
      </c>
    </row>
    <row r="14" spans="1:17" ht="21" customHeight="1" x14ac:dyDescent="0.25">
      <c r="A14" s="1">
        <v>43800</v>
      </c>
      <c r="B14" s="2">
        <v>2879</v>
      </c>
      <c r="C14" s="2">
        <v>10684.230000000009</v>
      </c>
      <c r="D14" s="2">
        <v>7061.8879999999999</v>
      </c>
      <c r="E14" s="2">
        <v>451492</v>
      </c>
      <c r="F14" s="2">
        <v>1166.6921920000002</v>
      </c>
      <c r="G14" s="2">
        <v>1313.511168</v>
      </c>
      <c r="H14" s="3">
        <f t="shared" si="0"/>
        <v>88.82240367826094</v>
      </c>
      <c r="I14" s="3">
        <v>1865.297</v>
      </c>
      <c r="J14" s="3">
        <v>0.85899999999999999</v>
      </c>
      <c r="K14" s="3">
        <v>1866.1559999999999</v>
      </c>
      <c r="L14" s="3">
        <v>106.29151001300001</v>
      </c>
      <c r="M14" s="3">
        <v>4.9313589690000006</v>
      </c>
      <c r="N14" s="4">
        <v>2.41056E-3</v>
      </c>
      <c r="O14" s="3">
        <v>111.22527954200001</v>
      </c>
      <c r="P14" s="3">
        <v>129.79943293900001</v>
      </c>
      <c r="Q14" s="3">
        <f t="shared" si="1"/>
        <v>85.69011206256269</v>
      </c>
    </row>
    <row r="15" spans="1:17" ht="21" customHeight="1" x14ac:dyDescent="0.25">
      <c r="A15" s="5">
        <v>43831</v>
      </c>
      <c r="B15" s="6">
        <v>2894</v>
      </c>
      <c r="C15" s="6">
        <v>10830.949999999992</v>
      </c>
      <c r="D15" s="6">
        <v>7106.1880000000001</v>
      </c>
      <c r="E15" s="6">
        <v>455297</v>
      </c>
      <c r="F15" s="6">
        <v>1177.4245640000001</v>
      </c>
      <c r="G15" s="6">
        <v>1321.7509679999998</v>
      </c>
      <c r="H15" s="7">
        <f t="shared" si="0"/>
        <v>89.080665912551865</v>
      </c>
      <c r="I15" s="7">
        <v>1950.8299999999997</v>
      </c>
      <c r="J15" s="7">
        <v>0.53800000000000003</v>
      </c>
      <c r="K15" s="7">
        <v>1951.3679999999997</v>
      </c>
      <c r="L15" s="7">
        <v>108.59082194800001</v>
      </c>
      <c r="M15" s="7">
        <v>5.1260382400000006</v>
      </c>
      <c r="N15" s="8">
        <v>1.5067559999999999E-3</v>
      </c>
      <c r="O15" s="7">
        <v>113.71836694400002</v>
      </c>
      <c r="P15" s="7">
        <v>131.38495325999997</v>
      </c>
      <c r="Q15" s="7">
        <f t="shared" si="1"/>
        <v>86.553569584913404</v>
      </c>
    </row>
    <row r="16" spans="1:17" ht="21" customHeight="1" x14ac:dyDescent="0.25">
      <c r="A16" s="1">
        <v>43862</v>
      </c>
      <c r="B16" s="2">
        <v>2697</v>
      </c>
      <c r="C16" s="2">
        <v>9977.4300000000148</v>
      </c>
      <c r="D16" s="2">
        <v>6626.5730000000003</v>
      </c>
      <c r="E16" s="2">
        <v>389090</v>
      </c>
      <c r="F16" s="2">
        <v>1006.8711129999999</v>
      </c>
      <c r="G16" s="2">
        <v>1232.542578</v>
      </c>
      <c r="H16" s="3">
        <f t="shared" si="0"/>
        <v>81.690574506059775</v>
      </c>
      <c r="I16" s="3">
        <v>2092.1820000000002</v>
      </c>
      <c r="J16" s="3">
        <v>0.11700000000000001</v>
      </c>
      <c r="K16" s="3">
        <v>2092.299</v>
      </c>
      <c r="L16" s="3">
        <v>90.114690122999988</v>
      </c>
      <c r="M16" s="3">
        <v>5.5198024210000005</v>
      </c>
      <c r="N16" s="4">
        <v>2.6232899999999995E-4</v>
      </c>
      <c r="O16" s="3">
        <v>95.634754872999991</v>
      </c>
      <c r="P16" s="3">
        <v>118.10410293399998</v>
      </c>
      <c r="Q16" s="3">
        <f t="shared" si="1"/>
        <v>80.974964033589487</v>
      </c>
    </row>
    <row r="17" spans="1:17" ht="21" customHeight="1" x14ac:dyDescent="0.25">
      <c r="A17" s="5">
        <v>43891</v>
      </c>
      <c r="B17" s="6">
        <v>1709</v>
      </c>
      <c r="C17" s="6">
        <v>6185.6099999999915</v>
      </c>
      <c r="D17" s="6">
        <v>4136.1179999999995</v>
      </c>
      <c r="E17" s="6">
        <v>211570</v>
      </c>
      <c r="F17" s="6">
        <v>550.64861000000008</v>
      </c>
      <c r="G17" s="6">
        <v>769.31794799999989</v>
      </c>
      <c r="H17" s="7">
        <f t="shared" si="0"/>
        <v>71.576207396632867</v>
      </c>
      <c r="I17" s="7">
        <v>1484.6299999999999</v>
      </c>
      <c r="J17" s="7">
        <v>3.9000000000000007E-2</v>
      </c>
      <c r="K17" s="7">
        <v>1484.6690000000001</v>
      </c>
      <c r="L17" s="7">
        <v>46.005805379000002</v>
      </c>
      <c r="M17" s="7">
        <v>3.8867361300000001</v>
      </c>
      <c r="N17" s="8">
        <v>8.8694000000000002E-5</v>
      </c>
      <c r="O17" s="7">
        <v>49.892630202999996</v>
      </c>
      <c r="P17" s="7">
        <v>50.647481349000003</v>
      </c>
      <c r="Q17" s="7">
        <f t="shared" si="1"/>
        <v>98.509597859766203</v>
      </c>
    </row>
    <row r="18" spans="1:17" ht="21" customHeight="1" x14ac:dyDescent="0.25">
      <c r="A18" s="9" t="s">
        <v>23</v>
      </c>
      <c r="B18" s="10">
        <f>SUM(B6:B17)</f>
        <v>32830</v>
      </c>
      <c r="C18" s="10">
        <f t="shared" ref="C18:P18" si="2">SUM(C6:C17)</f>
        <v>121887.19000000003</v>
      </c>
      <c r="D18" s="10">
        <f t="shared" si="2"/>
        <v>80712.766000000003</v>
      </c>
      <c r="E18" s="10">
        <f t="shared" si="2"/>
        <v>4825454</v>
      </c>
      <c r="F18" s="10">
        <f t="shared" si="2"/>
        <v>12511.808231000001</v>
      </c>
      <c r="G18" s="10">
        <f t="shared" si="2"/>
        <v>14983.557176000002</v>
      </c>
      <c r="H18" s="11">
        <f t="shared" si="0"/>
        <v>83.503590529496293</v>
      </c>
      <c r="I18" s="11">
        <f t="shared" si="2"/>
        <v>23396.446</v>
      </c>
      <c r="J18" s="11">
        <f t="shared" si="2"/>
        <v>11.247000000000002</v>
      </c>
      <c r="K18" s="11">
        <f t="shared" si="2"/>
        <v>23407.692999999999</v>
      </c>
      <c r="L18" s="11">
        <f t="shared" si="2"/>
        <v>1130.252885315</v>
      </c>
      <c r="M18" s="11">
        <f t="shared" si="2"/>
        <v>62.564753071000005</v>
      </c>
      <c r="N18" s="12">
        <f t="shared" si="2"/>
        <v>2.4748469999999998E-2</v>
      </c>
      <c r="O18" s="11">
        <f t="shared" si="2"/>
        <v>1192.8423868560001</v>
      </c>
      <c r="P18" s="11">
        <f t="shared" si="2"/>
        <v>1379.0801002279998</v>
      </c>
      <c r="Q18" s="11">
        <f t="shared" si="1"/>
        <v>86.495511512260265</v>
      </c>
    </row>
    <row r="19" spans="1:17" ht="21" customHeight="1" x14ac:dyDescent="0.25">
      <c r="A19" s="16" t="s">
        <v>21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8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 EXPRESS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Windows User</cp:lastModifiedBy>
  <dcterms:created xsi:type="dcterms:W3CDTF">2020-06-03T10:33:04Z</dcterms:created>
  <dcterms:modified xsi:type="dcterms:W3CDTF">2021-09-14T21:05:16Z</dcterms:modified>
</cp:coreProperties>
</file>