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5. SPICEJET\"/>
    </mc:Choice>
  </mc:AlternateContent>
  <bookViews>
    <workbookView xWindow="0" yWindow="0" windowWidth="24000" windowHeight="10725"/>
  </bookViews>
  <sheets>
    <sheet name="SPICE JET" sheetId="15" r:id="rId1"/>
  </sheets>
  <definedNames>
    <definedName name="_xlnm._FilterDatabase" localSheetId="0" hidden="1">'SPICE JET'!$A$6:$Q$40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8" i="15" l="1"/>
  <c r="O38" i="15"/>
  <c r="M38" i="15"/>
  <c r="L38" i="15"/>
  <c r="K38" i="15"/>
  <c r="I38" i="15"/>
  <c r="G38" i="15"/>
  <c r="F38" i="15"/>
  <c r="E38" i="15"/>
  <c r="D38" i="15"/>
  <c r="C38" i="15"/>
  <c r="B38" i="15"/>
  <c r="P37" i="15"/>
  <c r="O37" i="15"/>
  <c r="M37" i="15"/>
  <c r="L37" i="15"/>
  <c r="K37" i="15"/>
  <c r="I37" i="15"/>
  <c r="G37" i="15"/>
  <c r="F37" i="15"/>
  <c r="E37" i="15"/>
  <c r="D37" i="15"/>
  <c r="C37" i="15"/>
  <c r="B37" i="15"/>
  <c r="P35" i="15"/>
  <c r="O35" i="15"/>
  <c r="M35" i="15"/>
  <c r="L35" i="15"/>
  <c r="K35" i="15"/>
  <c r="I35" i="15"/>
  <c r="G35" i="15"/>
  <c r="F35" i="15"/>
  <c r="E35" i="15"/>
  <c r="D35" i="15"/>
  <c r="C35" i="15"/>
  <c r="B35" i="15"/>
  <c r="P34" i="15"/>
  <c r="O34" i="15"/>
  <c r="M34" i="15"/>
  <c r="L34" i="15"/>
  <c r="K34" i="15"/>
  <c r="I34" i="15"/>
  <c r="G34" i="15"/>
  <c r="F34" i="15"/>
  <c r="E34" i="15"/>
  <c r="D34" i="15"/>
  <c r="C34" i="15"/>
  <c r="B34" i="15"/>
  <c r="P32" i="15"/>
  <c r="O32" i="15"/>
  <c r="M32" i="15"/>
  <c r="L32" i="15"/>
  <c r="K32" i="15"/>
  <c r="I32" i="15"/>
  <c r="G32" i="15"/>
  <c r="F32" i="15"/>
  <c r="E32" i="15"/>
  <c r="D32" i="15"/>
  <c r="C32" i="15"/>
  <c r="B32" i="15"/>
  <c r="P31" i="15"/>
  <c r="O31" i="15"/>
  <c r="M31" i="15"/>
  <c r="L31" i="15"/>
  <c r="K31" i="15"/>
  <c r="I31" i="15"/>
  <c r="G31" i="15"/>
  <c r="F31" i="15"/>
  <c r="E31" i="15"/>
  <c r="D31" i="15"/>
  <c r="C31" i="15"/>
  <c r="B31" i="15"/>
  <c r="P29" i="15"/>
  <c r="O29" i="15"/>
  <c r="M29" i="15"/>
  <c r="L29" i="15"/>
  <c r="K29" i="15"/>
  <c r="I29" i="15"/>
  <c r="G29" i="15"/>
  <c r="F29" i="15"/>
  <c r="E29" i="15"/>
  <c r="D29" i="15"/>
  <c r="C29" i="15"/>
  <c r="B29" i="15"/>
  <c r="P28" i="15"/>
  <c r="O28" i="15"/>
  <c r="M28" i="15"/>
  <c r="L28" i="15"/>
  <c r="K28" i="15"/>
  <c r="I28" i="15"/>
  <c r="G28" i="15"/>
  <c r="F28" i="15"/>
  <c r="E28" i="15"/>
  <c r="D28" i="15"/>
  <c r="C28" i="15"/>
  <c r="B28" i="15"/>
  <c r="P26" i="15"/>
  <c r="O26" i="15"/>
  <c r="M26" i="15"/>
  <c r="L26" i="15"/>
  <c r="K26" i="15"/>
  <c r="I26" i="15"/>
  <c r="G26" i="15"/>
  <c r="F26" i="15"/>
  <c r="E26" i="15"/>
  <c r="D26" i="15"/>
  <c r="C26" i="15"/>
  <c r="B26" i="15"/>
  <c r="P25" i="15"/>
  <c r="O25" i="15"/>
  <c r="M25" i="15"/>
  <c r="L25" i="15"/>
  <c r="K25" i="15"/>
  <c r="I25" i="15"/>
  <c r="G25" i="15"/>
  <c r="F25" i="15"/>
  <c r="E25" i="15"/>
  <c r="D25" i="15"/>
  <c r="C25" i="15"/>
  <c r="B25" i="15"/>
  <c r="P23" i="15"/>
  <c r="O23" i="15"/>
  <c r="M23" i="15"/>
  <c r="L23" i="15"/>
  <c r="K23" i="15"/>
  <c r="I23" i="15"/>
  <c r="G23" i="15"/>
  <c r="F23" i="15"/>
  <c r="E23" i="15"/>
  <c r="D23" i="15"/>
  <c r="C23" i="15"/>
  <c r="B23" i="15"/>
  <c r="P22" i="15"/>
  <c r="O22" i="15"/>
  <c r="M22" i="15"/>
  <c r="L22" i="15"/>
  <c r="K22" i="15"/>
  <c r="I22" i="15"/>
  <c r="G22" i="15"/>
  <c r="F22" i="15"/>
  <c r="E22" i="15"/>
  <c r="D22" i="15"/>
  <c r="C22" i="15"/>
  <c r="B22" i="15"/>
  <c r="P20" i="15"/>
  <c r="O20" i="15"/>
  <c r="M20" i="15"/>
  <c r="L20" i="15"/>
  <c r="K20" i="15"/>
  <c r="I20" i="15"/>
  <c r="G20" i="15"/>
  <c r="F20" i="15"/>
  <c r="E20" i="15"/>
  <c r="D20" i="15"/>
  <c r="C20" i="15"/>
  <c r="B20" i="15"/>
  <c r="P19" i="15"/>
  <c r="O19" i="15"/>
  <c r="M19" i="15"/>
  <c r="L19" i="15"/>
  <c r="K19" i="15"/>
  <c r="I19" i="15"/>
  <c r="G19" i="15"/>
  <c r="F19" i="15"/>
  <c r="E19" i="15"/>
  <c r="D19" i="15"/>
  <c r="C19" i="15"/>
  <c r="B19" i="15"/>
  <c r="P17" i="15"/>
  <c r="O17" i="15"/>
  <c r="M17" i="15"/>
  <c r="L17" i="15"/>
  <c r="K17" i="15"/>
  <c r="I17" i="15"/>
  <c r="G17" i="15"/>
  <c r="F17" i="15"/>
  <c r="E17" i="15"/>
  <c r="D17" i="15"/>
  <c r="C17" i="15"/>
  <c r="B17" i="15"/>
  <c r="P16" i="15"/>
  <c r="O16" i="15"/>
  <c r="M16" i="15"/>
  <c r="L16" i="15"/>
  <c r="K16" i="15"/>
  <c r="I16" i="15"/>
  <c r="G16" i="15"/>
  <c r="F16" i="15"/>
  <c r="E16" i="15"/>
  <c r="D16" i="15"/>
  <c r="C16" i="15"/>
  <c r="B16" i="15"/>
  <c r="P14" i="15"/>
  <c r="O14" i="15"/>
  <c r="M14" i="15"/>
  <c r="L14" i="15"/>
  <c r="K14" i="15"/>
  <c r="I14" i="15"/>
  <c r="G14" i="15"/>
  <c r="F14" i="15"/>
  <c r="E14" i="15"/>
  <c r="D14" i="15"/>
  <c r="C14" i="15"/>
  <c r="B14" i="15"/>
  <c r="P13" i="15"/>
  <c r="O13" i="15"/>
  <c r="M13" i="15"/>
  <c r="L13" i="15"/>
  <c r="K13" i="15"/>
  <c r="I13" i="15"/>
  <c r="G13" i="15"/>
  <c r="F13" i="15"/>
  <c r="E13" i="15"/>
  <c r="D13" i="15"/>
  <c r="C13" i="15"/>
  <c r="B13" i="15"/>
  <c r="P11" i="15"/>
  <c r="O11" i="15"/>
  <c r="M11" i="15"/>
  <c r="L11" i="15"/>
  <c r="K11" i="15"/>
  <c r="I11" i="15"/>
  <c r="G11" i="15"/>
  <c r="F11" i="15"/>
  <c r="E11" i="15"/>
  <c r="D11" i="15"/>
  <c r="C11" i="15"/>
  <c r="B11" i="15"/>
  <c r="P10" i="15"/>
  <c r="O10" i="15"/>
  <c r="M10" i="15"/>
  <c r="L10" i="15"/>
  <c r="K10" i="15"/>
  <c r="I10" i="15"/>
  <c r="G10" i="15"/>
  <c r="F10" i="15"/>
  <c r="E10" i="15"/>
  <c r="D10" i="15"/>
  <c r="C10" i="15"/>
  <c r="B10" i="15"/>
  <c r="Q33" i="15" l="1"/>
  <c r="Q30" i="15"/>
  <c r="Q27" i="15"/>
  <c r="Q24" i="15"/>
  <c r="Q21" i="15"/>
  <c r="Q18" i="15"/>
  <c r="Q15" i="15"/>
  <c r="Q12" i="15"/>
  <c r="Q9" i="15"/>
  <c r="Q6" i="15"/>
  <c r="Q38" i="15" s="1"/>
  <c r="H33" i="15"/>
  <c r="H30" i="15"/>
  <c r="H27" i="15"/>
  <c r="H24" i="15"/>
  <c r="H21" i="15"/>
  <c r="H18" i="15"/>
  <c r="H15" i="15"/>
  <c r="H12" i="15"/>
  <c r="H9" i="15"/>
  <c r="H6" i="15"/>
  <c r="H38" i="15" s="1"/>
  <c r="H19" i="15" l="1"/>
  <c r="H20" i="15"/>
  <c r="H28" i="15"/>
  <c r="H29" i="15"/>
  <c r="Q14" i="15"/>
  <c r="Q13" i="15"/>
  <c r="H22" i="15"/>
  <c r="H23" i="15"/>
  <c r="H31" i="15"/>
  <c r="H32" i="15"/>
  <c r="Q16" i="15"/>
  <c r="Q17" i="15"/>
  <c r="Q22" i="15"/>
  <c r="Q23" i="15"/>
  <c r="H10" i="15"/>
  <c r="H11" i="15"/>
  <c r="H34" i="15"/>
  <c r="H35" i="15"/>
  <c r="H37" i="15"/>
  <c r="Q28" i="15"/>
  <c r="Q29" i="15"/>
  <c r="H25" i="15"/>
  <c r="H26" i="15"/>
  <c r="Q32" i="15"/>
  <c r="Q31" i="15"/>
  <c r="Q20" i="15"/>
  <c r="Q19" i="15"/>
  <c r="Q26" i="15"/>
  <c r="Q25" i="15"/>
  <c r="H14" i="15"/>
  <c r="H13" i="15"/>
  <c r="H16" i="15"/>
  <c r="H17" i="15"/>
  <c r="Q10" i="15"/>
  <c r="Q11" i="15"/>
  <c r="Q34" i="15"/>
  <c r="Q35" i="15"/>
  <c r="Q37" i="15"/>
</calcChain>
</file>

<file path=xl/sharedStrings.xml><?xml version="1.0" encoding="utf-8"?>
<sst xmlns="http://schemas.openxmlformats.org/spreadsheetml/2006/main" count="131" uniqueCount="39">
  <si>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</si>
  <si>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</si>
  <si>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</si>
  <si>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</si>
  <si>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</si>
  <si>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</si>
  <si>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</si>
  <si>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</si>
  <si>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</si>
  <si>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</si>
  <si>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</si>
  <si>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</si>
  <si>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</si>
  <si>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</si>
  <si>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</si>
  <si>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</si>
  <si>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</si>
  <si>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</si>
  <si>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</si>
  <si>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</si>
  <si>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</si>
  <si>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</si>
  <si>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</si>
  <si>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</si>
  <si>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</si>
  <si>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</si>
  <si>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</si>
  <si>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</si>
  <si>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</si>
  <si>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</si>
  <si>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</si>
  <si>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</si>
  <si>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</si>
  <si>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(स्पाइसजेट) </t>
  </si>
  <si>
    <t>TABLE - 1.04 (SPICEJET)</t>
  </si>
  <si>
    <t>SOURCE: ICAO ATR FORM 'A' FURNISHED BY SPICEJET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</si>
  <si>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</si>
  <si>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</si>
  <si>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SPICEJET ON SCHEDULED DOMESTIC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</si>
</sst>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6">
    <xf numFmtId="0" fontId="0" fillId="0" borderId="0" xfId="0"/>
    <xf numFmtId="3" fontId="0" fillId="5" borderId="1" xfId="3" applyNumberFormat="1" applyFont="1" applyBorder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Border="1" applyAlignment="1" applyProtection="1">
      <alignment horizontal="center" vertical="center" wrapText="1"/>
    </xf>
    <xf numFmtId="166" fontId="5" fillId="3" borderId="1" xfId="1" applyNumberFormat="1" applyBorder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T4" sqref="T4"/>
    </sheetView>
  </sheetViews>
  <sheetFormatPr defaultRowHeight="15" x14ac:dyDescent="0.25"/>
  <cols>
    <col min="1" max="1" width="7.7109375" customWidth="1"/>
    <col min="2" max="2" width="8.28515625" customWidth="1"/>
    <col min="3" max="3" width="8" customWidth="1"/>
    <col min="4" max="4" width="8.42578125" customWidth="1"/>
    <col min="5" max="5" width="10.42578125" customWidth="1"/>
    <col min="6" max="6" width="7.28515625" customWidth="1"/>
    <col min="7" max="7" width="7" customWidth="1"/>
    <col min="8" max="8" width="7.28515625" customWidth="1"/>
    <col min="9" max="9" width="8.7109375" customWidth="1"/>
    <col min="10" max="10" width="5.28515625" customWidth="1"/>
    <col min="11" max="11" width="9.42578125" customWidth="1"/>
    <col min="12" max="12" width="7.7109375" customWidth="1"/>
    <col min="13" max="13" width="7.28515625" customWidth="1"/>
    <col min="14" max="14" width="4.5703125" customWidth="1"/>
    <col min="15" max="15" width="7.42578125" customWidth="1"/>
    <col min="16" max="16" width="8" customWidth="1"/>
    <col min="17" max="17" width="6.7109375" customWidth="1"/>
  </cols>
  <sheetData>
    <row r="1" spans="1:17" x14ac:dyDescent="0.25">
      <c r="A1" s="19" t="s">
        <v>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20" t="s">
        <v>34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8.5" customHeight="1" x14ac:dyDescent="0.25">
      <c r="A3" s="22" t="s">
        <v>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4.9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24" t="s">
        <v>3</v>
      </c>
      <c r="H4" s="24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24" t="s">
        <v>7</v>
      </c>
      <c r="Q4" s="24" t="s">
        <v>8</v>
      </c>
    </row>
    <row r="5" spans="1:17" ht="113.25" customHeight="1" x14ac:dyDescent="0.25">
      <c r="A5" s="22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25"/>
      <c r="H5" s="25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25"/>
      <c r="Q5" s="25"/>
    </row>
    <row r="6" spans="1:17" ht="17.100000000000001" customHeight="1" x14ac:dyDescent="0.25">
      <c r="A6" s="6" t="s">
        <v>19</v>
      </c>
      <c r="B6" s="7">
        <v>44609</v>
      </c>
      <c r="C6" s="7">
        <v>74242</v>
      </c>
      <c r="D6" s="7">
        <v>44979.204000000005</v>
      </c>
      <c r="E6" s="7">
        <v>5692049</v>
      </c>
      <c r="F6" s="7">
        <v>6712.6885159999993</v>
      </c>
      <c r="G6" s="7">
        <v>8760.3131970000013</v>
      </c>
      <c r="H6" s="8">
        <f t="shared" ref="H6:H33" si="0">F6/G6*100</f>
        <v>76.626124717764455</v>
      </c>
      <c r="I6" s="9">
        <v>25771</v>
      </c>
      <c r="J6" s="9">
        <v>0</v>
      </c>
      <c r="K6" s="9">
        <v>25771</v>
      </c>
      <c r="L6" s="9">
        <v>590.52082799999994</v>
      </c>
      <c r="M6" s="9">
        <v>33.714064</v>
      </c>
      <c r="N6" s="9">
        <v>0</v>
      </c>
      <c r="O6" s="9">
        <v>624.23489199999995</v>
      </c>
      <c r="P6" s="9">
        <v>827.63430199999993</v>
      </c>
      <c r="Q6" s="8">
        <f t="shared" ref="Q6:Q33" si="1">O6/P6*100</f>
        <v>75.423999523886337</v>
      </c>
    </row>
    <row r="7" spans="1:17" ht="17.100000000000001" customHeight="1" x14ac:dyDescent="0.25">
      <c r="A7" s="2" t="s">
        <v>31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1" t="s">
        <v>30</v>
      </c>
      <c r="J7" s="1" t="s">
        <v>30</v>
      </c>
      <c r="K7" s="1" t="s">
        <v>30</v>
      </c>
      <c r="L7" s="5" t="s">
        <v>30</v>
      </c>
      <c r="M7" s="1" t="s">
        <v>30</v>
      </c>
      <c r="N7" s="1" t="s">
        <v>30</v>
      </c>
      <c r="O7" s="5" t="s">
        <v>30</v>
      </c>
      <c r="P7" s="5" t="s">
        <v>30</v>
      </c>
      <c r="Q7" s="5" t="s">
        <v>30</v>
      </c>
    </row>
    <row r="8" spans="1:17" ht="17.100000000000001" customHeight="1" x14ac:dyDescent="0.25">
      <c r="A8" s="3" t="s">
        <v>29</v>
      </c>
      <c r="B8" s="4" t="s">
        <v>30</v>
      </c>
      <c r="C8" s="4" t="s">
        <v>30</v>
      </c>
      <c r="D8" s="4" t="s">
        <v>30</v>
      </c>
      <c r="E8" s="4" t="s">
        <v>30</v>
      </c>
      <c r="F8" s="4" t="s">
        <v>30</v>
      </c>
      <c r="G8" s="4" t="s">
        <v>30</v>
      </c>
      <c r="H8" s="4" t="s">
        <v>30</v>
      </c>
      <c r="I8" s="10" t="s">
        <v>30</v>
      </c>
      <c r="J8" s="10" t="s">
        <v>30</v>
      </c>
      <c r="K8" s="10" t="s">
        <v>30</v>
      </c>
      <c r="L8" s="4" t="s">
        <v>30</v>
      </c>
      <c r="M8" s="10" t="s">
        <v>30</v>
      </c>
      <c r="N8" s="10" t="s">
        <v>30</v>
      </c>
      <c r="O8" s="4" t="s">
        <v>30</v>
      </c>
      <c r="P8" s="4" t="s">
        <v>30</v>
      </c>
      <c r="Q8" s="4" t="s">
        <v>30</v>
      </c>
    </row>
    <row r="9" spans="1:17" ht="17.100000000000001" customHeight="1" x14ac:dyDescent="0.25">
      <c r="A9" s="6" t="s">
        <v>20</v>
      </c>
      <c r="B9" s="7">
        <v>53263</v>
      </c>
      <c r="C9" s="7">
        <v>84339</v>
      </c>
      <c r="D9" s="7">
        <v>53294.406999999999</v>
      </c>
      <c r="E9" s="7">
        <v>7281571</v>
      </c>
      <c r="F9" s="7">
        <v>8430.7223620000004</v>
      </c>
      <c r="G9" s="7">
        <v>10364.068723999999</v>
      </c>
      <c r="H9" s="8">
        <f t="shared" si="0"/>
        <v>81.34568176373665</v>
      </c>
      <c r="I9" s="9">
        <v>46599</v>
      </c>
      <c r="J9" s="9">
        <v>0</v>
      </c>
      <c r="K9" s="9">
        <v>46599</v>
      </c>
      <c r="L9" s="9">
        <v>632.35007499999995</v>
      </c>
      <c r="M9" s="9">
        <v>61.092424000000001</v>
      </c>
      <c r="N9" s="9">
        <v>0</v>
      </c>
      <c r="O9" s="9">
        <v>693.442499</v>
      </c>
      <c r="P9" s="9">
        <v>889.66330099999993</v>
      </c>
      <c r="Q9" s="8">
        <f t="shared" si="1"/>
        <v>77.944374936063596</v>
      </c>
    </row>
    <row r="10" spans="1:17" ht="17.100000000000001" customHeight="1" x14ac:dyDescent="0.25">
      <c r="A10" s="2" t="s">
        <v>31</v>
      </c>
      <c r="B10" s="5">
        <f>(B9-B6)/B6</f>
        <v>0.19399672711784618</v>
      </c>
      <c r="C10" s="5">
        <f t="shared" ref="C10:Q10" si="2">(C9-C6)/C6</f>
        <v>0.13600118531289568</v>
      </c>
      <c r="D10" s="5">
        <f t="shared" si="2"/>
        <v>0.18486772242567906</v>
      </c>
      <c r="E10" s="5">
        <f t="shared" si="2"/>
        <v>0.27925304227001557</v>
      </c>
      <c r="F10" s="5">
        <f t="shared" si="2"/>
        <v>0.255938264065879</v>
      </c>
      <c r="G10" s="5">
        <f t="shared" si="2"/>
        <v>0.18307056961721516</v>
      </c>
      <c r="H10" s="5">
        <f t="shared" si="2"/>
        <v>6.1592010079534222E-2</v>
      </c>
      <c r="I10" s="5">
        <f t="shared" si="2"/>
        <v>0.80819525823600169</v>
      </c>
      <c r="J10" s="14" t="s">
        <v>30</v>
      </c>
      <c r="K10" s="5">
        <f t="shared" si="2"/>
        <v>0.80819525823600169</v>
      </c>
      <c r="L10" s="5">
        <f t="shared" si="2"/>
        <v>7.0834498999246154E-2</v>
      </c>
      <c r="M10" s="5">
        <f t="shared" si="2"/>
        <v>0.8120753404276625</v>
      </c>
      <c r="N10" s="14" t="s">
        <v>30</v>
      </c>
      <c r="O10" s="5">
        <f t="shared" si="2"/>
        <v>0.11086789265858606</v>
      </c>
      <c r="P10" s="5">
        <f t="shared" si="2"/>
        <v>7.494735156590937E-2</v>
      </c>
      <c r="Q10" s="5">
        <f t="shared" si="2"/>
        <v>3.3416093393178796E-2</v>
      </c>
    </row>
    <row r="11" spans="1:17" ht="17.100000000000001" customHeight="1" x14ac:dyDescent="0.25">
      <c r="A11" s="3" t="s">
        <v>29</v>
      </c>
      <c r="B11" s="4">
        <f t="shared" ref="B11:Q11" si="3">(((B9/B6)^(1/1))-1)</f>
        <v>0.19399672711784621</v>
      </c>
      <c r="C11" s="4">
        <f t="shared" si="3"/>
        <v>0.13600118531289573</v>
      </c>
      <c r="D11" s="4">
        <f t="shared" si="3"/>
        <v>0.18486772242567895</v>
      </c>
      <c r="E11" s="4">
        <f t="shared" si="3"/>
        <v>0.27925304227001568</v>
      </c>
      <c r="F11" s="4">
        <f t="shared" si="3"/>
        <v>0.25593826406587894</v>
      </c>
      <c r="G11" s="4">
        <f t="shared" si="3"/>
        <v>0.18307056961721524</v>
      </c>
      <c r="H11" s="4">
        <f t="shared" si="3"/>
        <v>6.1592010079534187E-2</v>
      </c>
      <c r="I11" s="4">
        <f t="shared" si="3"/>
        <v>0.80819525823600169</v>
      </c>
      <c r="J11" s="4" t="s">
        <v>30</v>
      </c>
      <c r="K11" s="4">
        <f t="shared" si="3"/>
        <v>0.80819525823600169</v>
      </c>
      <c r="L11" s="4">
        <f t="shared" si="3"/>
        <v>7.0834498999246209E-2</v>
      </c>
      <c r="M11" s="4">
        <f t="shared" si="3"/>
        <v>0.81207534042766238</v>
      </c>
      <c r="N11" s="4" t="s">
        <v>30</v>
      </c>
      <c r="O11" s="4">
        <f t="shared" si="3"/>
        <v>0.11086789265858599</v>
      </c>
      <c r="P11" s="4">
        <f t="shared" si="3"/>
        <v>7.494735156590937E-2</v>
      </c>
      <c r="Q11" s="4">
        <f t="shared" si="3"/>
        <v>3.3416093393178858E-2</v>
      </c>
    </row>
    <row r="12" spans="1:17" ht="17.100000000000001" customHeight="1" x14ac:dyDescent="0.25">
      <c r="A12" s="6" t="s">
        <v>21</v>
      </c>
      <c r="B12" s="7">
        <v>78942</v>
      </c>
      <c r="C12" s="7">
        <v>114472</v>
      </c>
      <c r="D12" s="7">
        <v>74096.228999999992</v>
      </c>
      <c r="E12" s="7">
        <v>9274872</v>
      </c>
      <c r="F12" s="7">
        <v>10030.506873</v>
      </c>
      <c r="G12" s="7">
        <v>13473.585491999998</v>
      </c>
      <c r="H12" s="8">
        <f t="shared" si="0"/>
        <v>74.445713644342547</v>
      </c>
      <c r="I12" s="9">
        <v>51849</v>
      </c>
      <c r="J12" s="9">
        <v>0</v>
      </c>
      <c r="K12" s="9">
        <v>51849</v>
      </c>
      <c r="L12" s="9">
        <v>752.28759899999989</v>
      </c>
      <c r="M12" s="9">
        <v>66.979427999999999</v>
      </c>
      <c r="N12" s="9">
        <v>0</v>
      </c>
      <c r="O12" s="9">
        <v>819.26702699999987</v>
      </c>
      <c r="P12" s="9">
        <v>1158.426361</v>
      </c>
      <c r="Q12" s="8">
        <f t="shared" si="1"/>
        <v>70.722408828194801</v>
      </c>
    </row>
    <row r="13" spans="1:17" ht="17.100000000000001" customHeight="1" x14ac:dyDescent="0.25">
      <c r="A13" s="2" t="s">
        <v>31</v>
      </c>
      <c r="B13" s="5">
        <f>(B12-B9)/B9</f>
        <v>0.48211704184893828</v>
      </c>
      <c r="C13" s="5">
        <f t="shared" ref="C13:Q13" si="4">(C12-C9)/C9</f>
        <v>0.35728429315026261</v>
      </c>
      <c r="D13" s="5">
        <f t="shared" si="4"/>
        <v>0.3903190441728715</v>
      </c>
      <c r="E13" s="5">
        <f t="shared" si="4"/>
        <v>0.2737460089313144</v>
      </c>
      <c r="F13" s="5">
        <f t="shared" si="4"/>
        <v>0.18975651697543111</v>
      </c>
      <c r="G13" s="5">
        <f t="shared" si="4"/>
        <v>0.30002857476227596</v>
      </c>
      <c r="H13" s="5">
        <f t="shared" si="4"/>
        <v>-8.4822795381254784E-2</v>
      </c>
      <c r="I13" s="5">
        <f t="shared" si="4"/>
        <v>0.11266336187471834</v>
      </c>
      <c r="J13" s="14" t="s">
        <v>30</v>
      </c>
      <c r="K13" s="5">
        <f t="shared" si="4"/>
        <v>0.11266336187471834</v>
      </c>
      <c r="L13" s="5">
        <f t="shared" si="4"/>
        <v>0.18966950229269752</v>
      </c>
      <c r="M13" s="5">
        <f t="shared" si="4"/>
        <v>9.6362259254928195E-2</v>
      </c>
      <c r="N13" s="14" t="s">
        <v>30</v>
      </c>
      <c r="O13" s="5">
        <f t="shared" si="4"/>
        <v>0.18144911536493508</v>
      </c>
      <c r="P13" s="5">
        <f t="shared" si="4"/>
        <v>0.3020952529995391</v>
      </c>
      <c r="Q13" s="5">
        <f t="shared" si="4"/>
        <v>-9.265538550784258E-2</v>
      </c>
    </row>
    <row r="14" spans="1:17" ht="17.100000000000001" customHeight="1" x14ac:dyDescent="0.25">
      <c r="A14" s="3" t="s">
        <v>29</v>
      </c>
      <c r="B14" s="4">
        <f t="shared" ref="B14:Q14" si="5">(((B12/B6)^(1/2))-1)</f>
        <v>0.33027925533446401</v>
      </c>
      <c r="C14" s="4">
        <f t="shared" si="5"/>
        <v>0.2417232243238725</v>
      </c>
      <c r="D14" s="4">
        <f t="shared" si="5"/>
        <v>0.28348905695146365</v>
      </c>
      <c r="E14" s="4">
        <f t="shared" si="5"/>
        <v>0.27649655581387078</v>
      </c>
      <c r="F14" s="4">
        <f t="shared" si="5"/>
        <v>0.22239958057551279</v>
      </c>
      <c r="G14" s="4">
        <f t="shared" si="5"/>
        <v>0.24017157944482115</v>
      </c>
      <c r="H14" s="4">
        <f t="shared" si="5"/>
        <v>-1.4330274265165976E-2</v>
      </c>
      <c r="I14" s="4">
        <f t="shared" si="5"/>
        <v>0.41841905477711139</v>
      </c>
      <c r="J14" s="4" t="s">
        <v>30</v>
      </c>
      <c r="K14" s="4">
        <f t="shared" si="5"/>
        <v>0.41841905477711139</v>
      </c>
      <c r="L14" s="4">
        <f t="shared" si="5"/>
        <v>0.12868912702403734</v>
      </c>
      <c r="M14" s="4">
        <f t="shared" si="5"/>
        <v>0.40950027107887244</v>
      </c>
      <c r="N14" s="4" t="s">
        <v>30</v>
      </c>
      <c r="O14" s="4">
        <f t="shared" si="5"/>
        <v>0.14561507019975783</v>
      </c>
      <c r="P14" s="4">
        <f t="shared" si="5"/>
        <v>0.18308234865473216</v>
      </c>
      <c r="Q14" s="4">
        <f t="shared" si="5"/>
        <v>-3.1669205865152095E-2</v>
      </c>
    </row>
    <row r="15" spans="1:17" ht="17.100000000000001" customHeight="1" x14ac:dyDescent="0.25">
      <c r="A15" s="6" t="s">
        <v>22</v>
      </c>
      <c r="B15" s="7">
        <v>104735</v>
      </c>
      <c r="C15" s="7">
        <v>141788</v>
      </c>
      <c r="D15" s="7">
        <v>89468.712</v>
      </c>
      <c r="E15" s="7">
        <v>11105152</v>
      </c>
      <c r="F15" s="7">
        <v>11186.471603</v>
      </c>
      <c r="G15" s="7">
        <v>15030.876635999999</v>
      </c>
      <c r="H15" s="8">
        <f t="shared" si="0"/>
        <v>74.423281315526339</v>
      </c>
      <c r="I15" s="9">
        <v>65689.259999999995</v>
      </c>
      <c r="J15" s="9">
        <v>0</v>
      </c>
      <c r="K15" s="9">
        <v>65689.259999999995</v>
      </c>
      <c r="L15" s="9">
        <v>839.00021800000002</v>
      </c>
      <c r="M15" s="9">
        <v>79.512844999999999</v>
      </c>
      <c r="N15" s="9">
        <v>0</v>
      </c>
      <c r="O15" s="9">
        <v>918.51306299999999</v>
      </c>
      <c r="P15" s="9">
        <v>1300.2403660000002</v>
      </c>
      <c r="Q15" s="8">
        <f t="shared" si="1"/>
        <v>70.641789550471458</v>
      </c>
    </row>
    <row r="16" spans="1:17" ht="17.100000000000001" customHeight="1" x14ac:dyDescent="0.25">
      <c r="A16" s="2" t="s">
        <v>31</v>
      </c>
      <c r="B16" s="5">
        <f>(B15-B12)/B12</f>
        <v>0.32673355121481595</v>
      </c>
      <c r="C16" s="5">
        <f t="shared" ref="C16:Q16" si="6">(C15-C12)/C12</f>
        <v>0.2386260395555245</v>
      </c>
      <c r="D16" s="5">
        <f t="shared" si="6"/>
        <v>0.20746646904257449</v>
      </c>
      <c r="E16" s="5">
        <f t="shared" si="6"/>
        <v>0.19733749425328997</v>
      </c>
      <c r="F16" s="5">
        <f t="shared" si="6"/>
        <v>0.11524489685676921</v>
      </c>
      <c r="G16" s="5">
        <f t="shared" si="6"/>
        <v>0.11558104892900627</v>
      </c>
      <c r="H16" s="5">
        <f t="shared" si="6"/>
        <v>-3.0132465279836832E-4</v>
      </c>
      <c r="I16" s="5">
        <f t="shared" si="6"/>
        <v>0.26693398136897517</v>
      </c>
      <c r="J16" s="14" t="s">
        <v>30</v>
      </c>
      <c r="K16" s="5">
        <f t="shared" si="6"/>
        <v>0.26693398136897517</v>
      </c>
      <c r="L16" s="5">
        <f t="shared" si="6"/>
        <v>0.11526525110245789</v>
      </c>
      <c r="M16" s="5">
        <f t="shared" si="6"/>
        <v>0.18712338062964648</v>
      </c>
      <c r="N16" s="14" t="s">
        <v>30</v>
      </c>
      <c r="O16" s="5">
        <f t="shared" si="6"/>
        <v>0.12114003460315037</v>
      </c>
      <c r="P16" s="5">
        <f t="shared" si="6"/>
        <v>0.12241952511990546</v>
      </c>
      <c r="Q16" s="5">
        <f t="shared" si="6"/>
        <v>-1.1399396465580094E-3</v>
      </c>
    </row>
    <row r="17" spans="1:17" ht="17.100000000000001" customHeight="1" x14ac:dyDescent="0.25">
      <c r="A17" s="3" t="s">
        <v>29</v>
      </c>
      <c r="B17" s="4">
        <f t="shared" ref="B17:Q17" si="7">(((B15/B6)^(1/3))-1)</f>
        <v>0.3290963023301674</v>
      </c>
      <c r="C17" s="4">
        <f t="shared" si="7"/>
        <v>0.24068996985473379</v>
      </c>
      <c r="D17" s="4">
        <f t="shared" si="7"/>
        <v>0.2576307276809382</v>
      </c>
      <c r="E17" s="4">
        <f t="shared" si="7"/>
        <v>0.24954516696691376</v>
      </c>
      <c r="F17" s="4">
        <f t="shared" si="7"/>
        <v>0.18558367249617946</v>
      </c>
      <c r="G17" s="4">
        <f t="shared" si="7"/>
        <v>0.19716742839505219</v>
      </c>
      <c r="H17" s="4">
        <f t="shared" si="7"/>
        <v>-9.6759698135140404E-3</v>
      </c>
      <c r="I17" s="4">
        <f t="shared" si="7"/>
        <v>0.36601153347774917</v>
      </c>
      <c r="J17" s="4" t="s">
        <v>30</v>
      </c>
      <c r="K17" s="4">
        <f t="shared" si="7"/>
        <v>0.36601153347774917</v>
      </c>
      <c r="L17" s="4">
        <f t="shared" si="7"/>
        <v>0.12419664416452858</v>
      </c>
      <c r="M17" s="4">
        <f t="shared" si="7"/>
        <v>0.33109400875276318</v>
      </c>
      <c r="N17" s="4" t="s">
        <v>30</v>
      </c>
      <c r="O17" s="4">
        <f t="shared" si="7"/>
        <v>0.13739792688520613</v>
      </c>
      <c r="P17" s="4">
        <f t="shared" si="7"/>
        <v>0.16250560143123383</v>
      </c>
      <c r="Q17" s="4">
        <f t="shared" si="7"/>
        <v>-2.159789554142022E-2</v>
      </c>
    </row>
    <row r="18" spans="1:17" ht="17.100000000000001" customHeight="1" x14ac:dyDescent="0.25">
      <c r="A18" s="6" t="s">
        <v>23</v>
      </c>
      <c r="B18" s="7">
        <v>112426</v>
      </c>
      <c r="C18" s="7">
        <v>150116</v>
      </c>
      <c r="D18" s="7">
        <v>92282.463000000018</v>
      </c>
      <c r="E18" s="7">
        <v>11473350</v>
      </c>
      <c r="F18" s="7">
        <v>11188.453740000001</v>
      </c>
      <c r="G18" s="7">
        <v>15503.596772999999</v>
      </c>
      <c r="H18" s="8">
        <f t="shared" si="0"/>
        <v>72.166826213418062</v>
      </c>
      <c r="I18" s="9">
        <v>77067</v>
      </c>
      <c r="J18" s="9">
        <v>0</v>
      </c>
      <c r="K18" s="9">
        <v>77067</v>
      </c>
      <c r="L18" s="9">
        <v>838.98345900000004</v>
      </c>
      <c r="M18" s="9">
        <v>98.427074999999988</v>
      </c>
      <c r="N18" s="9">
        <v>0</v>
      </c>
      <c r="O18" s="9">
        <v>937.41053399999998</v>
      </c>
      <c r="P18" s="9">
        <v>1330.3648260000002</v>
      </c>
      <c r="Q18" s="8">
        <f t="shared" si="1"/>
        <v>70.462666757246311</v>
      </c>
    </row>
    <row r="19" spans="1:17" ht="17.100000000000001" customHeight="1" x14ac:dyDescent="0.25">
      <c r="A19" s="2" t="s">
        <v>31</v>
      </c>
      <c r="B19" s="5">
        <f>(B18-B15)/B15</f>
        <v>7.3432949825750701E-2</v>
      </c>
      <c r="C19" s="5">
        <f t="shared" ref="C19:Q19" si="8">(C18-C15)/C15</f>
        <v>5.8735577058707363E-2</v>
      </c>
      <c r="D19" s="5">
        <f t="shared" si="8"/>
        <v>3.1449553001277344E-2</v>
      </c>
      <c r="E19" s="5">
        <f t="shared" si="8"/>
        <v>3.3155602012471329E-2</v>
      </c>
      <c r="F19" s="5">
        <f t="shared" si="8"/>
        <v>1.7719054500342217E-4</v>
      </c>
      <c r="G19" s="5">
        <f t="shared" si="8"/>
        <v>3.1449937914319818E-2</v>
      </c>
      <c r="H19" s="5">
        <f t="shared" si="8"/>
        <v>-3.0319210094241437E-2</v>
      </c>
      <c r="I19" s="5">
        <f t="shared" si="8"/>
        <v>0.17320548290542481</v>
      </c>
      <c r="J19" s="14" t="s">
        <v>30</v>
      </c>
      <c r="K19" s="5">
        <f t="shared" si="8"/>
        <v>0.17320548290542481</v>
      </c>
      <c r="L19" s="5">
        <f t="shared" si="8"/>
        <v>-1.997496501243948E-5</v>
      </c>
      <c r="M19" s="5">
        <f t="shared" si="8"/>
        <v>0.23787640852242162</v>
      </c>
      <c r="N19" s="14" t="s">
        <v>30</v>
      </c>
      <c r="O19" s="5">
        <f t="shared" si="8"/>
        <v>2.0573981755118487E-2</v>
      </c>
      <c r="P19" s="5">
        <f t="shared" si="8"/>
        <v>2.3168377776697939E-2</v>
      </c>
      <c r="Q19" s="5">
        <f t="shared" si="8"/>
        <v>-2.5356491442953813E-3</v>
      </c>
    </row>
    <row r="20" spans="1:17" ht="17.100000000000001" customHeight="1" x14ac:dyDescent="0.25">
      <c r="A20" s="3" t="s">
        <v>29</v>
      </c>
      <c r="B20" s="4">
        <f t="shared" ref="B20:Q20" si="9">(((B18/B6)^(1/4))-1)</f>
        <v>0.259972504325507</v>
      </c>
      <c r="C20" s="4">
        <f t="shared" si="9"/>
        <v>0.1924614010899941</v>
      </c>
      <c r="D20" s="4">
        <f t="shared" si="9"/>
        <v>0.19681452950461331</v>
      </c>
      <c r="E20" s="4">
        <f t="shared" si="9"/>
        <v>0.19153115687157585</v>
      </c>
      <c r="F20" s="4">
        <f t="shared" si="9"/>
        <v>0.13623560399430912</v>
      </c>
      <c r="G20" s="4">
        <f t="shared" si="9"/>
        <v>0.15339538084083482</v>
      </c>
      <c r="H20" s="4">
        <f t="shared" si="9"/>
        <v>-1.4877618838750606E-2</v>
      </c>
      <c r="I20" s="4">
        <f t="shared" si="9"/>
        <v>0.3150258670073347</v>
      </c>
      <c r="J20" s="4" t="s">
        <v>30</v>
      </c>
      <c r="K20" s="4">
        <f t="shared" si="9"/>
        <v>0.3150258670073347</v>
      </c>
      <c r="L20" s="4">
        <f t="shared" si="9"/>
        <v>9.1765948068241121E-2</v>
      </c>
      <c r="M20" s="4">
        <f t="shared" si="9"/>
        <v>0.30715132681674917</v>
      </c>
      <c r="N20" s="4" t="s">
        <v>30</v>
      </c>
      <c r="O20" s="4">
        <f t="shared" si="9"/>
        <v>0.10699445974454203</v>
      </c>
      <c r="P20" s="4">
        <f t="shared" si="9"/>
        <v>0.12598620022899198</v>
      </c>
      <c r="Q20" s="4">
        <f t="shared" si="9"/>
        <v>-1.6866761316069012E-2</v>
      </c>
    </row>
    <row r="21" spans="1:17" ht="17.100000000000001" customHeight="1" x14ac:dyDescent="0.25">
      <c r="A21" s="6" t="s">
        <v>24</v>
      </c>
      <c r="B21" s="7">
        <v>94754</v>
      </c>
      <c r="C21" s="7">
        <v>122055</v>
      </c>
      <c r="D21" s="7">
        <v>75051.286999999997</v>
      </c>
      <c r="E21" s="7">
        <v>10716089</v>
      </c>
      <c r="F21" s="7">
        <v>10191.412585</v>
      </c>
      <c r="G21" s="7">
        <v>12464.116246</v>
      </c>
      <c r="H21" s="8">
        <f t="shared" si="0"/>
        <v>81.766026438261449</v>
      </c>
      <c r="I21" s="9">
        <v>68571</v>
      </c>
      <c r="J21" s="9">
        <v>0</v>
      </c>
      <c r="K21" s="9">
        <v>68571</v>
      </c>
      <c r="L21" s="9">
        <v>763.89556300000004</v>
      </c>
      <c r="M21" s="9">
        <v>84.743220000000008</v>
      </c>
      <c r="N21" s="9">
        <v>0</v>
      </c>
      <c r="O21" s="9">
        <v>848.6387830000001</v>
      </c>
      <c r="P21" s="9">
        <v>1086.1130660000001</v>
      </c>
      <c r="Q21" s="8">
        <f t="shared" si="1"/>
        <v>78.135399487036466</v>
      </c>
    </row>
    <row r="22" spans="1:17" ht="17.100000000000001" customHeight="1" x14ac:dyDescent="0.25">
      <c r="A22" s="2" t="s">
        <v>31</v>
      </c>
      <c r="B22" s="5">
        <f>(B21-B18)/B18</f>
        <v>-0.1571878391119492</v>
      </c>
      <c r="C22" s="5">
        <f t="shared" ref="C22:Q22" si="10">(C21-C18)/C18</f>
        <v>-0.18692877508060432</v>
      </c>
      <c r="D22" s="5">
        <f t="shared" si="10"/>
        <v>-0.18672210775301931</v>
      </c>
      <c r="E22" s="5">
        <f t="shared" si="10"/>
        <v>-6.6001734454191677E-2</v>
      </c>
      <c r="F22" s="5">
        <f t="shared" si="10"/>
        <v>-8.9113400132805193E-2</v>
      </c>
      <c r="G22" s="5">
        <f t="shared" si="10"/>
        <v>-0.19605002448808204</v>
      </c>
      <c r="H22" s="5">
        <f t="shared" si="10"/>
        <v>0.13301402775363558</v>
      </c>
      <c r="I22" s="5">
        <f t="shared" si="10"/>
        <v>-0.11024173770874693</v>
      </c>
      <c r="J22" s="14" t="s">
        <v>30</v>
      </c>
      <c r="K22" s="5">
        <f t="shared" si="10"/>
        <v>-0.11024173770874693</v>
      </c>
      <c r="L22" s="5">
        <f t="shared" si="10"/>
        <v>-8.9498660783489892E-2</v>
      </c>
      <c r="M22" s="5">
        <f t="shared" si="10"/>
        <v>-0.13902531391895961</v>
      </c>
      <c r="N22" s="14" t="s">
        <v>30</v>
      </c>
      <c r="O22" s="5">
        <f t="shared" si="10"/>
        <v>-9.4698904887706201E-2</v>
      </c>
      <c r="P22" s="5">
        <f t="shared" si="10"/>
        <v>-0.18359757806765711</v>
      </c>
      <c r="Q22" s="5">
        <f t="shared" si="10"/>
        <v>0.10889075141342276</v>
      </c>
    </row>
    <row r="23" spans="1:17" ht="17.100000000000001" customHeight="1" x14ac:dyDescent="0.25">
      <c r="A23" s="3" t="s">
        <v>29</v>
      </c>
      <c r="B23" s="4">
        <f t="shared" ref="B23:Q23" si="11">(((B21/B6)^(1/5))-1)</f>
        <v>0.16261256675416558</v>
      </c>
      <c r="C23" s="4">
        <f t="shared" si="11"/>
        <v>0.10453932435850866</v>
      </c>
      <c r="D23" s="4">
        <f t="shared" si="11"/>
        <v>0.10782018957205186</v>
      </c>
      <c r="E23" s="4">
        <f t="shared" si="11"/>
        <v>0.13488939136685119</v>
      </c>
      <c r="F23" s="4">
        <f t="shared" si="11"/>
        <v>8.7095198802819462E-2</v>
      </c>
      <c r="G23" s="4">
        <f t="shared" si="11"/>
        <v>7.3070785996883325E-2</v>
      </c>
      <c r="H23" s="4">
        <f t="shared" si="11"/>
        <v>1.306942001305833E-2</v>
      </c>
      <c r="I23" s="4">
        <f t="shared" si="11"/>
        <v>0.21619116010299155</v>
      </c>
      <c r="J23" s="4" t="s">
        <v>30</v>
      </c>
      <c r="K23" s="4">
        <f t="shared" si="11"/>
        <v>0.21619116010299155</v>
      </c>
      <c r="L23" s="4">
        <f t="shared" si="11"/>
        <v>5.283364116438638E-2</v>
      </c>
      <c r="M23" s="4">
        <f t="shared" si="11"/>
        <v>0.20242714234601511</v>
      </c>
      <c r="N23" s="4" t="s">
        <v>30</v>
      </c>
      <c r="O23" s="4">
        <f t="shared" si="11"/>
        <v>6.3346894405230891E-2</v>
      </c>
      <c r="P23" s="4">
        <f t="shared" si="11"/>
        <v>5.5862367484466713E-2</v>
      </c>
      <c r="Q23" s="4">
        <f t="shared" si="11"/>
        <v>7.0885440671550892E-3</v>
      </c>
    </row>
    <row r="24" spans="1:17" ht="17.100000000000001" customHeight="1" x14ac:dyDescent="0.25">
      <c r="A24" s="6" t="s">
        <v>25</v>
      </c>
      <c r="B24" s="7">
        <v>86707</v>
      </c>
      <c r="C24" s="7">
        <v>111610</v>
      </c>
      <c r="D24" s="7">
        <v>64126.817999999999</v>
      </c>
      <c r="E24" s="7">
        <v>10670866</v>
      </c>
      <c r="F24" s="7">
        <v>9327.0007880000012</v>
      </c>
      <c r="G24" s="7">
        <v>10139.353436000003</v>
      </c>
      <c r="H24" s="8">
        <f t="shared" si="0"/>
        <v>91.988121795658827</v>
      </c>
      <c r="I24" s="9">
        <v>58952</v>
      </c>
      <c r="J24" s="9">
        <v>0</v>
      </c>
      <c r="K24" s="9">
        <v>58952</v>
      </c>
      <c r="L24" s="9">
        <v>699.59894000000008</v>
      </c>
      <c r="M24" s="9">
        <v>64.847374000000002</v>
      </c>
      <c r="N24" s="9">
        <v>0</v>
      </c>
      <c r="O24" s="9">
        <v>764.44631400000003</v>
      </c>
      <c r="P24" s="9">
        <v>888.47056399999997</v>
      </c>
      <c r="Q24" s="8">
        <f t="shared" si="1"/>
        <v>86.040702413186537</v>
      </c>
    </row>
    <row r="25" spans="1:17" ht="17.100000000000001" customHeight="1" x14ac:dyDescent="0.25">
      <c r="A25" s="2" t="s">
        <v>31</v>
      </c>
      <c r="B25" s="5">
        <f>(B24-B21)/B21</f>
        <v>-8.4925174662811062E-2</v>
      </c>
      <c r="C25" s="5">
        <f t="shared" ref="C25:Q25" si="12">(C24-C21)/C21</f>
        <v>-8.557617467535128E-2</v>
      </c>
      <c r="D25" s="5">
        <f t="shared" si="12"/>
        <v>-0.14556004882367971</v>
      </c>
      <c r="E25" s="5">
        <f t="shared" si="12"/>
        <v>-4.220103061854003E-3</v>
      </c>
      <c r="F25" s="5">
        <f t="shared" si="12"/>
        <v>-8.4817662889270506E-2</v>
      </c>
      <c r="G25" s="5">
        <f t="shared" si="12"/>
        <v>-0.18651645765467426</v>
      </c>
      <c r="H25" s="5">
        <f t="shared" si="12"/>
        <v>0.12501641332804292</v>
      </c>
      <c r="I25" s="5">
        <f t="shared" si="12"/>
        <v>-0.14027796007058377</v>
      </c>
      <c r="J25" s="14" t="s">
        <v>30</v>
      </c>
      <c r="K25" s="5">
        <f t="shared" si="12"/>
        <v>-0.14027796007058377</v>
      </c>
      <c r="L25" s="5">
        <f t="shared" si="12"/>
        <v>-8.4169389265061026E-2</v>
      </c>
      <c r="M25" s="5">
        <f t="shared" si="12"/>
        <v>-0.23477802707992457</v>
      </c>
      <c r="N25" s="14" t="s">
        <v>30</v>
      </c>
      <c r="O25" s="5">
        <f t="shared" si="12"/>
        <v>-9.9208839716673741E-2</v>
      </c>
      <c r="P25" s="5">
        <f t="shared" si="12"/>
        <v>-0.18197230858099273</v>
      </c>
      <c r="Q25" s="5">
        <f t="shared" si="12"/>
        <v>0.1011744097815952</v>
      </c>
    </row>
    <row r="26" spans="1:17" ht="17.100000000000001" customHeight="1" x14ac:dyDescent="0.25">
      <c r="A26" s="3" t="s">
        <v>29</v>
      </c>
      <c r="B26" s="4">
        <f t="shared" ref="B26:Q26" si="13">(((B24/B6)^(1/6))-1)</f>
        <v>0.11713402305470666</v>
      </c>
      <c r="C26" s="4">
        <f t="shared" si="13"/>
        <v>7.030833514501289E-2</v>
      </c>
      <c r="D26" s="4">
        <f t="shared" si="13"/>
        <v>6.0892357559824806E-2</v>
      </c>
      <c r="E26" s="4">
        <f t="shared" si="13"/>
        <v>0.11042314667186282</v>
      </c>
      <c r="F26" s="4">
        <f t="shared" si="13"/>
        <v>5.6349391170222862E-2</v>
      </c>
      <c r="G26" s="4">
        <f t="shared" si="13"/>
        <v>2.4664691852553045E-2</v>
      </c>
      <c r="H26" s="4">
        <f t="shared" si="13"/>
        <v>3.0922017289758408E-2</v>
      </c>
      <c r="I26" s="4">
        <f t="shared" si="13"/>
        <v>0.14787486283510964</v>
      </c>
      <c r="J26" s="4" t="s">
        <v>30</v>
      </c>
      <c r="K26" s="4">
        <f t="shared" si="13"/>
        <v>0.14787486283510964</v>
      </c>
      <c r="L26" s="4">
        <f t="shared" si="13"/>
        <v>2.8653213429481461E-2</v>
      </c>
      <c r="M26" s="4">
        <f t="shared" si="13"/>
        <v>0.11518490227812728</v>
      </c>
      <c r="N26" s="4" t="s">
        <v>30</v>
      </c>
      <c r="O26" s="4">
        <f t="shared" si="13"/>
        <v>3.4347554034311667E-2</v>
      </c>
      <c r="P26" s="4">
        <f t="shared" si="13"/>
        <v>1.1891839726986264E-2</v>
      </c>
      <c r="Q26" s="4">
        <f t="shared" si="13"/>
        <v>2.2191812825947954E-2</v>
      </c>
    </row>
    <row r="27" spans="1:17" ht="17.100000000000001" customHeight="1" x14ac:dyDescent="0.25">
      <c r="A27" s="6" t="s">
        <v>26</v>
      </c>
      <c r="B27" s="7">
        <v>103769</v>
      </c>
      <c r="C27" s="7">
        <v>133842</v>
      </c>
      <c r="D27" s="7">
        <v>77943.888000000006</v>
      </c>
      <c r="E27" s="7">
        <v>13236143</v>
      </c>
      <c r="F27" s="7">
        <v>11687.869246</v>
      </c>
      <c r="G27" s="7">
        <v>12575.172293999998</v>
      </c>
      <c r="H27" s="8">
        <f t="shared" si="0"/>
        <v>92.944008819478697</v>
      </c>
      <c r="I27" s="9">
        <v>53975</v>
      </c>
      <c r="J27" s="9">
        <v>0</v>
      </c>
      <c r="K27" s="9">
        <v>53975</v>
      </c>
      <c r="L27" s="9">
        <v>872.65429999999992</v>
      </c>
      <c r="M27" s="9">
        <v>58.85808500000001</v>
      </c>
      <c r="N27" s="9">
        <v>0</v>
      </c>
      <c r="O27" s="9">
        <v>931.51238499999988</v>
      </c>
      <c r="P27" s="9">
        <v>1103.6345900000001</v>
      </c>
      <c r="Q27" s="8">
        <f t="shared" si="1"/>
        <v>84.404058502733207</v>
      </c>
    </row>
    <row r="28" spans="1:17" ht="17.100000000000001" customHeight="1" x14ac:dyDescent="0.25">
      <c r="A28" s="2" t="s">
        <v>31</v>
      </c>
      <c r="B28" s="5">
        <f>(B27-B24)/B24</f>
        <v>0.19677765347665124</v>
      </c>
      <c r="C28" s="5">
        <f t="shared" ref="C28:Q28" si="14">(C27-C24)/C24</f>
        <v>0.19919362064331153</v>
      </c>
      <c r="D28" s="5">
        <f t="shared" si="14"/>
        <v>0.21546476857778921</v>
      </c>
      <c r="E28" s="5">
        <f t="shared" si="14"/>
        <v>0.2404000762449833</v>
      </c>
      <c r="F28" s="5">
        <f t="shared" si="14"/>
        <v>0.25312193186875914</v>
      </c>
      <c r="G28" s="5">
        <f t="shared" si="14"/>
        <v>0.24023414050757569</v>
      </c>
      <c r="H28" s="5">
        <f t="shared" si="14"/>
        <v>1.0391417991371363E-2</v>
      </c>
      <c r="I28" s="5">
        <f t="shared" si="14"/>
        <v>-8.4424616637264221E-2</v>
      </c>
      <c r="J28" s="14" t="s">
        <v>30</v>
      </c>
      <c r="K28" s="5">
        <f t="shared" si="14"/>
        <v>-8.4424616637264221E-2</v>
      </c>
      <c r="L28" s="5">
        <f t="shared" si="14"/>
        <v>0.24736366810389937</v>
      </c>
      <c r="M28" s="5">
        <f t="shared" si="14"/>
        <v>-9.235977697416077E-2</v>
      </c>
      <c r="N28" s="14" t="s">
        <v>30</v>
      </c>
      <c r="O28" s="5">
        <f t="shared" si="14"/>
        <v>0.21854519793001428</v>
      </c>
      <c r="P28" s="5">
        <f t="shared" si="14"/>
        <v>0.2421734998527201</v>
      </c>
      <c r="Q28" s="5">
        <f t="shared" si="14"/>
        <v>-1.9021740461785199E-2</v>
      </c>
    </row>
    <row r="29" spans="1:17" ht="17.100000000000001" customHeight="1" x14ac:dyDescent="0.25">
      <c r="A29" s="3" t="s">
        <v>29</v>
      </c>
      <c r="B29" s="4">
        <f t="shared" ref="B29:Q29" si="15">(((B27/B6)^(1/7))-1)</f>
        <v>0.12817865243665105</v>
      </c>
      <c r="C29" s="4">
        <f t="shared" si="15"/>
        <v>8.7835558582187057E-2</v>
      </c>
      <c r="D29" s="4">
        <f t="shared" si="15"/>
        <v>8.1708003063348578E-2</v>
      </c>
      <c r="E29" s="4">
        <f t="shared" si="15"/>
        <v>0.1281221260780665</v>
      </c>
      <c r="F29" s="4">
        <f t="shared" si="15"/>
        <v>8.2444280107516699E-2</v>
      </c>
      <c r="G29" s="4">
        <f t="shared" si="15"/>
        <v>5.2998514932557805E-2</v>
      </c>
      <c r="H29" s="4">
        <f t="shared" si="15"/>
        <v>2.7963729062661313E-2</v>
      </c>
      <c r="I29" s="4">
        <f t="shared" si="15"/>
        <v>0.11138853273428695</v>
      </c>
      <c r="J29" s="4" t="s">
        <v>30</v>
      </c>
      <c r="K29" s="4">
        <f t="shared" si="15"/>
        <v>0.11138853273428695</v>
      </c>
      <c r="L29" s="4">
        <f t="shared" si="15"/>
        <v>5.7376303331061917E-2</v>
      </c>
      <c r="M29" s="4">
        <f t="shared" si="15"/>
        <v>8.2856024974386377E-2</v>
      </c>
      <c r="N29" s="4" t="s">
        <v>30</v>
      </c>
      <c r="O29" s="4">
        <f t="shared" si="15"/>
        <v>5.8849828163150653E-2</v>
      </c>
      <c r="P29" s="4">
        <f t="shared" si="15"/>
        <v>4.1970108253214455E-2</v>
      </c>
      <c r="Q29" s="4">
        <f t="shared" si="15"/>
        <v>1.6199812044736861E-2</v>
      </c>
    </row>
    <row r="30" spans="1:17" ht="17.100000000000001" customHeight="1" x14ac:dyDescent="0.25">
      <c r="A30" s="6" t="s">
        <v>27</v>
      </c>
      <c r="B30" s="7">
        <v>124380</v>
      </c>
      <c r="C30" s="7">
        <v>164328</v>
      </c>
      <c r="D30" s="7">
        <v>95149</v>
      </c>
      <c r="E30" s="7">
        <v>16130815</v>
      </c>
      <c r="F30" s="7">
        <v>14447.7345</v>
      </c>
      <c r="G30" s="7">
        <v>15254.328599999999</v>
      </c>
      <c r="H30" s="8">
        <f t="shared" si="0"/>
        <v>94.712359218484394</v>
      </c>
      <c r="I30" s="9">
        <v>66133.97</v>
      </c>
      <c r="J30" s="9">
        <v>0</v>
      </c>
      <c r="K30" s="9">
        <v>66133.97</v>
      </c>
      <c r="L30" s="9">
        <v>1083.5771000000002</v>
      </c>
      <c r="M30" s="9">
        <v>68.503299999999996</v>
      </c>
      <c r="N30" s="9">
        <v>0</v>
      </c>
      <c r="O30" s="9">
        <v>1152.0803999999998</v>
      </c>
      <c r="P30" s="9">
        <v>1329.2952</v>
      </c>
      <c r="Q30" s="8">
        <f t="shared" si="1"/>
        <v>86.668514262294778</v>
      </c>
    </row>
    <row r="31" spans="1:17" ht="17.100000000000001" customHeight="1" x14ac:dyDescent="0.25">
      <c r="A31" s="2" t="s">
        <v>31</v>
      </c>
      <c r="B31" s="5">
        <f>(B30-B27)/B27</f>
        <v>0.19862386647264596</v>
      </c>
      <c r="C31" s="5">
        <f t="shared" ref="C31:Q31" si="16">(C30-C27)/C27</f>
        <v>0.22777603442865468</v>
      </c>
      <c r="D31" s="5">
        <f t="shared" si="16"/>
        <v>0.2207371538869089</v>
      </c>
      <c r="E31" s="5">
        <f t="shared" si="16"/>
        <v>0.21869452453029556</v>
      </c>
      <c r="F31" s="5">
        <f t="shared" si="16"/>
        <v>0.23613074341540252</v>
      </c>
      <c r="G31" s="5">
        <f t="shared" si="16"/>
        <v>0.21305126032176186</v>
      </c>
      <c r="H31" s="5">
        <f t="shared" si="16"/>
        <v>1.9025975116269103E-2</v>
      </c>
      <c r="I31" s="5">
        <f t="shared" si="16"/>
        <v>0.22527040296433537</v>
      </c>
      <c r="J31" s="14" t="s">
        <v>30</v>
      </c>
      <c r="K31" s="5">
        <f t="shared" si="16"/>
        <v>0.22527040296433537</v>
      </c>
      <c r="L31" s="5">
        <f t="shared" si="16"/>
        <v>0.24170258486092408</v>
      </c>
      <c r="M31" s="5">
        <f t="shared" si="16"/>
        <v>0.16387238898445278</v>
      </c>
      <c r="N31" s="14" t="s">
        <v>30</v>
      </c>
      <c r="O31" s="5">
        <f t="shared" si="16"/>
        <v>0.23678484425088989</v>
      </c>
      <c r="P31" s="5">
        <f t="shared" si="16"/>
        <v>0.20447040355993182</v>
      </c>
      <c r="Q31" s="5">
        <f t="shared" si="16"/>
        <v>2.6828754442989756E-2</v>
      </c>
    </row>
    <row r="32" spans="1:17" ht="17.100000000000001" customHeight="1" x14ac:dyDescent="0.25">
      <c r="A32" s="3" t="s">
        <v>29</v>
      </c>
      <c r="B32" s="4">
        <f>(((B30/B6)^(1/8))-1)</f>
        <v>0.13675273580552139</v>
      </c>
      <c r="C32" s="4">
        <f t="shared" ref="C32:Q32" si="17">(((C30/C6)^(1/8))-1)</f>
        <v>0.10441612354675156</v>
      </c>
      <c r="D32" s="4">
        <f t="shared" si="17"/>
        <v>9.8181334525984987E-2</v>
      </c>
      <c r="E32" s="4">
        <f t="shared" si="17"/>
        <v>0.13906487549248081</v>
      </c>
      <c r="F32" s="4">
        <f t="shared" si="17"/>
        <v>0.10055792917919848</v>
      </c>
      <c r="G32" s="4">
        <f t="shared" si="17"/>
        <v>7.1788722496721524E-2</v>
      </c>
      <c r="H32" s="4">
        <f t="shared" si="17"/>
        <v>2.6842236794075935E-2</v>
      </c>
      <c r="I32" s="4">
        <f t="shared" si="17"/>
        <v>0.12502368419623822</v>
      </c>
      <c r="J32" s="4" t="s">
        <v>30</v>
      </c>
      <c r="K32" s="4">
        <f t="shared" si="17"/>
        <v>0.12502368419623822</v>
      </c>
      <c r="L32" s="4">
        <f t="shared" si="17"/>
        <v>7.8830149057158794E-2</v>
      </c>
      <c r="M32" s="4">
        <f t="shared" si="17"/>
        <v>9.266629876375343E-2</v>
      </c>
      <c r="N32" s="4" t="s">
        <v>30</v>
      </c>
      <c r="O32" s="4">
        <f t="shared" si="17"/>
        <v>7.9609863023515803E-2</v>
      </c>
      <c r="P32" s="4">
        <f t="shared" si="17"/>
        <v>6.1018287330463439E-2</v>
      </c>
      <c r="Q32" s="4">
        <f t="shared" si="17"/>
        <v>1.7522389496065216E-2</v>
      </c>
    </row>
    <row r="33" spans="1:17" ht="17.100000000000001" customHeight="1" x14ac:dyDescent="0.25">
      <c r="A33" s="11" t="s">
        <v>32</v>
      </c>
      <c r="B33" s="7">
        <v>141316</v>
      </c>
      <c r="C33" s="7">
        <v>193973</v>
      </c>
      <c r="D33" s="7">
        <v>109732.59099999999</v>
      </c>
      <c r="E33" s="7">
        <v>17655832</v>
      </c>
      <c r="F33" s="7">
        <v>16034.203518</v>
      </c>
      <c r="G33" s="7">
        <v>17241.165756999999</v>
      </c>
      <c r="H33" s="8">
        <f t="shared" si="0"/>
        <v>92.999532305349092</v>
      </c>
      <c r="I33" s="12">
        <v>88974.290040000007</v>
      </c>
      <c r="J33" s="9">
        <v>0</v>
      </c>
      <c r="K33" s="9">
        <v>88974.290040000007</v>
      </c>
      <c r="L33" s="9">
        <v>1202.5638465</v>
      </c>
      <c r="M33" s="9">
        <v>90.092035199999998</v>
      </c>
      <c r="N33" s="9">
        <v>0</v>
      </c>
      <c r="O33" s="9">
        <v>1292.6558817000002</v>
      </c>
      <c r="P33" s="9">
        <v>1504.885256</v>
      </c>
      <c r="Q33" s="8">
        <f t="shared" si="1"/>
        <v>85.897305229495871</v>
      </c>
    </row>
    <row r="34" spans="1:17" ht="17.100000000000001" customHeight="1" x14ac:dyDescent="0.25">
      <c r="A34" s="2" t="s">
        <v>28</v>
      </c>
      <c r="B34" s="5">
        <f>(B33-B30)/B30</f>
        <v>0.1361633703167712</v>
      </c>
      <c r="C34" s="5">
        <f t="shared" ref="C34:Q34" si="18">(C33-C30)/C30</f>
        <v>0.18040139233727667</v>
      </c>
      <c r="D34" s="5">
        <f t="shared" si="18"/>
        <v>0.15327109060526106</v>
      </c>
      <c r="E34" s="5">
        <f t="shared" si="18"/>
        <v>9.4540604426992678E-2</v>
      </c>
      <c r="F34" s="5">
        <f t="shared" si="18"/>
        <v>0.10980745929405054</v>
      </c>
      <c r="G34" s="5">
        <f t="shared" si="18"/>
        <v>0.13024743396441585</v>
      </c>
      <c r="H34" s="5">
        <f t="shared" si="18"/>
        <v>-1.8084513227931726E-2</v>
      </c>
      <c r="I34" s="5">
        <f t="shared" si="18"/>
        <v>0.34536441771150295</v>
      </c>
      <c r="J34" s="14" t="s">
        <v>30</v>
      </c>
      <c r="K34" s="5">
        <f t="shared" si="18"/>
        <v>0.34536441771150295</v>
      </c>
      <c r="L34" s="5">
        <f t="shared" si="18"/>
        <v>0.10980921108428715</v>
      </c>
      <c r="M34" s="5">
        <f t="shared" si="18"/>
        <v>0.31514883516560521</v>
      </c>
      <c r="N34" s="14" t="s">
        <v>30</v>
      </c>
      <c r="O34" s="5">
        <f t="shared" si="18"/>
        <v>0.12201881196833175</v>
      </c>
      <c r="P34" s="5">
        <f t="shared" si="18"/>
        <v>0.1320925976412162</v>
      </c>
      <c r="Q34" s="5">
        <f t="shared" si="18"/>
        <v>-8.898376063825323E-3</v>
      </c>
    </row>
    <row r="35" spans="1:17" ht="17.100000000000001" customHeight="1" x14ac:dyDescent="0.25">
      <c r="A35" s="3" t="s">
        <v>29</v>
      </c>
      <c r="B35" s="4">
        <f>(((B33/B6)^(1/9))-1)</f>
        <v>0.13668723565666574</v>
      </c>
      <c r="C35" s="4">
        <f t="shared" ref="C35:Q35" si="19">(((C33/C6)^(1/9))-1)</f>
        <v>0.11261142008393632</v>
      </c>
      <c r="D35" s="4">
        <f t="shared" si="19"/>
        <v>0.10417010698653284</v>
      </c>
      <c r="E35" s="4">
        <f t="shared" si="19"/>
        <v>0.13402961255587087</v>
      </c>
      <c r="F35" s="4">
        <f t="shared" si="19"/>
        <v>0.10158183608658056</v>
      </c>
      <c r="G35" s="4">
        <f t="shared" si="19"/>
        <v>7.8131880104833851E-2</v>
      </c>
      <c r="H35" s="4">
        <f t="shared" si="19"/>
        <v>2.1750545007041655E-2</v>
      </c>
      <c r="I35" s="4">
        <f t="shared" si="19"/>
        <v>0.14760540357601193</v>
      </c>
      <c r="J35" s="4" t="s">
        <v>30</v>
      </c>
      <c r="K35" s="4">
        <f t="shared" si="19"/>
        <v>0.14760540357601193</v>
      </c>
      <c r="L35" s="4">
        <f t="shared" si="19"/>
        <v>8.2229115481463833E-2</v>
      </c>
      <c r="M35" s="4">
        <f t="shared" si="19"/>
        <v>0.11539986574469374</v>
      </c>
      <c r="N35" s="4" t="s">
        <v>30</v>
      </c>
      <c r="O35" s="4">
        <f t="shared" si="19"/>
        <v>8.4241680615696479E-2</v>
      </c>
      <c r="P35" s="4">
        <f t="shared" si="19"/>
        <v>6.8689779822101338E-2</v>
      </c>
      <c r="Q35" s="4">
        <f t="shared" si="19"/>
        <v>1.4552306092217027E-2</v>
      </c>
    </row>
    <row r="36" spans="1:17" x14ac:dyDescent="0.25">
      <c r="A36" s="11" t="s">
        <v>36</v>
      </c>
      <c r="B36" s="7">
        <v>176599</v>
      </c>
      <c r="C36" s="7">
        <v>257936.91666666669</v>
      </c>
      <c r="D36" s="7">
        <v>152262.07299999997</v>
      </c>
      <c r="E36" s="7">
        <v>21989717</v>
      </c>
      <c r="F36" s="7">
        <v>21697.095179000004</v>
      </c>
      <c r="G36" s="7">
        <v>23580.343010999997</v>
      </c>
      <c r="H36" s="8">
        <v>92.013484150245489</v>
      </c>
      <c r="I36" s="12">
        <v>131029.344396053</v>
      </c>
      <c r="J36" s="9">
        <v>0</v>
      </c>
      <c r="K36" s="9">
        <v>131029.344396053</v>
      </c>
      <c r="L36" s="9">
        <v>1627.2819672449996</v>
      </c>
      <c r="M36" s="9">
        <v>132.91885040999992</v>
      </c>
      <c r="N36" s="9">
        <v>0</v>
      </c>
      <c r="O36" s="9">
        <v>1760.2008176549998</v>
      </c>
      <c r="P36" s="9">
        <v>2104.6010529999999</v>
      </c>
      <c r="Q36" s="8">
        <v>83.635842296378442</v>
      </c>
    </row>
    <row r="37" spans="1:17" ht="30.75" customHeight="1" x14ac:dyDescent="0.25">
      <c r="A37" s="2" t="s">
        <v>28</v>
      </c>
      <c r="B37" s="5">
        <f>(B36-B33)/B33</f>
        <v>0.24967448838065046</v>
      </c>
      <c r="C37" s="5">
        <f t="shared" ref="C37:Q37" si="20">(C36-C33)/C33</f>
        <v>0.32975680464119589</v>
      </c>
      <c r="D37" s="5">
        <f t="shared" si="20"/>
        <v>0.38757384303447273</v>
      </c>
      <c r="E37" s="5">
        <f t="shared" si="20"/>
        <v>0.24546478466718533</v>
      </c>
      <c r="F37" s="5">
        <f t="shared" si="20"/>
        <v>0.35317573801797136</v>
      </c>
      <c r="G37" s="5">
        <f t="shared" si="20"/>
        <v>0.36767683481183755</v>
      </c>
      <c r="H37" s="5">
        <f t="shared" si="20"/>
        <v>-1.0602721655266736E-2</v>
      </c>
      <c r="I37" s="5">
        <f t="shared" si="20"/>
        <v>0.47266524225308659</v>
      </c>
      <c r="J37" s="14" t="s">
        <v>30</v>
      </c>
      <c r="K37" s="5">
        <f t="shared" si="20"/>
        <v>0.47266524225308659</v>
      </c>
      <c r="L37" s="5">
        <f t="shared" si="20"/>
        <v>0.35317719053430702</v>
      </c>
      <c r="M37" s="5">
        <f t="shared" si="20"/>
        <v>0.47536738530688583</v>
      </c>
      <c r="N37" s="14" t="s">
        <v>30</v>
      </c>
      <c r="O37" s="5">
        <f t="shared" si="20"/>
        <v>0.36169327241223775</v>
      </c>
      <c r="P37" s="5">
        <f t="shared" si="20"/>
        <v>0.39851264048798668</v>
      </c>
      <c r="Q37" s="5">
        <f t="shared" si="20"/>
        <v>-2.632751897251458E-2</v>
      </c>
    </row>
    <row r="38" spans="1:17" x14ac:dyDescent="0.25">
      <c r="A38" s="3" t="s">
        <v>29</v>
      </c>
      <c r="B38" s="4">
        <f>(((B36/B6)^(1/10))-1)</f>
        <v>0.14751025453310929</v>
      </c>
      <c r="C38" s="4">
        <f t="shared" ref="C38:Q38" si="21">(((C36/C6)^(1/10))-1)</f>
        <v>0.13262562776996578</v>
      </c>
      <c r="D38" s="4">
        <f t="shared" si="21"/>
        <v>0.12968665194207607</v>
      </c>
      <c r="E38" s="4">
        <f t="shared" si="21"/>
        <v>0.14470900960408839</v>
      </c>
      <c r="F38" s="4">
        <f t="shared" si="21"/>
        <v>0.12447682664778936</v>
      </c>
      <c r="G38" s="4">
        <f t="shared" si="21"/>
        <v>0.10408636993370757</v>
      </c>
      <c r="H38" s="4">
        <f t="shared" si="21"/>
        <v>1.8468171756622853E-2</v>
      </c>
      <c r="I38" s="4">
        <f t="shared" si="21"/>
        <v>0.17658614419691743</v>
      </c>
      <c r="J38" s="4" t="s">
        <v>30</v>
      </c>
      <c r="K38" s="4">
        <f t="shared" si="21"/>
        <v>0.17658614419691743</v>
      </c>
      <c r="L38" s="4">
        <f t="shared" si="21"/>
        <v>0.10668177805835355</v>
      </c>
      <c r="M38" s="4">
        <f t="shared" si="21"/>
        <v>0.14703731636669626</v>
      </c>
      <c r="N38" s="4" t="s">
        <v>30</v>
      </c>
      <c r="O38" s="4">
        <f t="shared" si="21"/>
        <v>0.10922951707477546</v>
      </c>
      <c r="P38" s="4">
        <f t="shared" si="21"/>
        <v>9.7825034596894067E-2</v>
      </c>
      <c r="Q38" s="4">
        <f t="shared" si="21"/>
        <v>1.0388251423022909E-2</v>
      </c>
    </row>
    <row r="39" spans="1:17" x14ac:dyDescent="0.25">
      <c r="A39" s="17" t="s">
        <v>35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ht="28.5" customHeight="1" x14ac:dyDescent="0.25">
      <c r="A40" s="15" t="s">
        <v>37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</sheetData>
  <mergeCells count="14">
    <mergeCell ref="A40:Q40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 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2021-08-27T23:56:47Z</cp:lastPrinted>
  <dcterms:created xsi:type="dcterms:W3CDTF">2018-10-29T04:00:14Z</dcterms:created>
  <dcterms:modified xsi:type="dcterms:W3CDTF">2021-09-15T01:10:47Z</dcterms:modified>
</cp:coreProperties>
</file>