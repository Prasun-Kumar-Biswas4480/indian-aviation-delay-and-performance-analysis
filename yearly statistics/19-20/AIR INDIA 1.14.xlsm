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4" sheetId="6" r:id="rId4"/>
  </sheets>
  <definedNames>
    <definedName name="\a" localSheetId="3">'1.14'!#REF!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'1.14'!$A$1:$D$19</definedName>
    <definedName name="Print_Area_MI" localSheetId="3">'1.14'!$B$2:$D$21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<sst xmlns="http://schemas.openxmlformats.org/spreadsheetml/2006/main" count="887" uniqueCount="192">
  <si>
    <t xml:space="preserve"> </t>
  </si>
  <si>
    <t>2010-11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</si>
  <si>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</si>
  <si>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</si>
  <si>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</si>
  <si>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</si>
  <si>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</si>
  <si>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</si>
  <si>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</si>
  <si>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</si>
  <si>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</si>
  <si>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</si>
  <si>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</si>
  <si>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</si>
  <si>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</si>
  <si>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</si>
  <si>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</si>
  <si>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</si>
  <si>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</si>
  <si>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</si>
  <si>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</si>
  <si>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</si>
  <si>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</si>
  <si>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</si>
  <si>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</si>
  <si>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</si>
  <si>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</si>
  <si>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</si>
  <si>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</si>
  <si>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</si>
  <si>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</si>
  <si>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</si>
  <si>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</si>
  <si>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</si>
  <si>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</si>
  <si>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</si>
  <si>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</si>
  <si>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</si>
  <si>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</si>
  <si>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</si>
  <si>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</si>
  <si>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</si>
  <si>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</si>
  <si>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</si>
  <si>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</si>
  <si>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</si>
  <si>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</si>
  <si>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</si>
  <si>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</si>
  <si>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</si>
  <si>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</si>
  <si>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</si>
  <si>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</si>
  <si>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</si>
  <si>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</si>
  <si>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</si>
  <si>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</si>
  <si>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</si>
  <si>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</si>
  <si>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</si>
  <si>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</si>
  <si>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</si>
  <si>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</si>
  <si>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</si>
  <si>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</si>
  <si>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</si>
  <si>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</si>
  <si>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</si>
  <si>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</si>
  <si>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</si>
  <si>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</si>
  <si>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</si>
  <si>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</si>
  <si>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</si>
  <si>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</si>
  <si>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</si>
  <si>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</si>
  <si>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</si>
  <si>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</si>
  <si>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</si>
  <si>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</si>
  <si>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</si>
  <si>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</si>
  <si>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</si>
  <si>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</si>
  <si>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</si>
  <si>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</si>
  <si>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</si>
  <si>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</si>
  <si>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</si>
  <si>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</si>
  <si>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</si>
  <si>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</si>
  <si>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</si>
  <si>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</si>
  <si>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</si>
  <si>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</si>
  <si>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</si>
  <si>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</si>
  <si>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</si>
  <si>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</si>
  <si>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</si>
  <si>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</si>
  <si>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</si>
  <si>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</si>
  <si>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</si>
  <si>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</si>
  <si>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</si>
  <si>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</si>
  <si>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</si>
  <si>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</si>
  <si>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</si>
  <si>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</si>
  <si>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</si>
  <si>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</si>
  <si>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</si>
  <si>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</si>
  <si>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</si>
  <si>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</si>
  <si>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</si>
  <si>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</si>
  <si>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</si>
  <si>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</si>
  <si>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</si>
  <si>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</si>
  <si>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</si>
  <si>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</si>
  <si>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</si>
  <si>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</si>
  <si>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</si>
  <si>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</si>
  <si>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</si>
  <si>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</si>
  <si>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</si>
  <si>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</si>
  <si>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</si>
  <si>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</si>
  <si>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</si>
  <si>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</si>
  <si>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</si>
  <si>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</si>
  <si>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</si>
  <si>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</si>
  <si>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</si>
  <si>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</si>
  <si>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</si>
  <si>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</si>
  <si>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</si>
  <si>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</si>
  <si>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</si>
  <si>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</si>
  <si>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</si>
  <si>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</si>
  <si>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</si>
  <si>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</si>
  <si>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</si>
  <si>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</si>
  <si>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</si>
  <si>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</si>
  <si>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</si>
  <si>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</si>
  <si>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</si>
  <si>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</si>
  <si>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</si>
  <si>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</si>
  <si>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</si>
  <si>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</si>
  <si>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</si>
  <si>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</si>
  <si>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</si>
  <si>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</si>
  <si>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</si>
  <si>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</si>
  <si>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</si>
  <si>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</si>
  <si>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</si>
  <si>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</si>
  <si>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</si>
  <si>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</si>
  <si>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</si>
  <si>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</si>
  <si>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</si>
  <si>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</si>
  <si>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</si>
  <si>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</si>
  <si>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</si>
  <si>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2019-20</t>
  </si>
  <si>
    <t>SOURCE : ICAO ATR FORM-D FURNISHED BY  AIR INDIA</t>
  </si>
  <si>
    <t xml:space="preserve">तालिका 1.14 (एयर इंडिया) </t>
  </si>
  <si>
    <t>TABLE - 1.14 (AIR INDIA)</t>
  </si>
  <si>
    <t xml:space="preserve">      EMPLOYEES PRODUCTIVITY (TEN YEARS) OF AIR INDIA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</si>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</sst>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5" formatCode="_(* #,##0.00_);_(* \(#,##0.00\);_(* &quot;-&quot;??_);_(@_)"/>
    <numFmt numFmtId="167" formatCode="0.0_)"/>
    <numFmt numFmtId="168" formatCode="0.0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9" fillId="0" borderId="0" applyFont="0" applyFill="0" applyBorder="0" applyAlignment="0" applyProtection="0"/>
    <xf numFmtId="0" fontId="6" fillId="0" borderId="0"/>
    <xf numFmtId="37" fontId="6" fillId="0" borderId="0"/>
    <xf numFmtId="167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3" fontId="18" fillId="0" borderId="0" applyFont="0" applyFill="0" applyBorder="0" applyAlignment="0" applyProtection="0"/>
  </cellStyleXfs>
  <cellXfs count="41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5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3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vertical="top" wrapText="1"/>
    </xf>
    <xf numFmtId="170" fontId="12" fillId="4" borderId="12" xfId="7" applyNumberFormat="1" applyFont="1" applyFill="1" applyBorder="1" applyAlignment="1" applyProtection="1">
      <alignment horizontal="left" vertical="center"/>
    </xf>
    <xf numFmtId="170" fontId="12" fillId="4" borderId="12" xfId="7" applyNumberFormat="1" applyFont="1" applyFill="1" applyBorder="1" applyAlignment="1" applyProtection="1">
      <alignment vertical="center"/>
    </xf>
    <xf numFmtId="170" fontId="13" fillId="4" borderId="11" xfId="7" applyNumberFormat="1" applyFont="1" applyFill="1" applyBorder="1" applyAlignment="1" applyProtection="1">
      <alignment vertical="center"/>
    </xf>
    <xf numFmtId="170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8" fontId="4" fillId="2" borderId="1" xfId="2" applyNumberFormat="1" applyFont="1" applyFill="1" applyBorder="1" applyAlignment="1" applyProtection="1">
      <alignment horizontal="center" vertical="center" wrapText="1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0" xfId="2" applyFont="1" applyFill="1" applyBorder="1" applyAlignment="1" applyProtection="1">
      <alignment horizontal="left" vertical="center"/>
    </xf>
    <xf numFmtId="0" fontId="8" fillId="2" borderId="1" xfId="2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3" fillId="2" borderId="5" xfId="2" quotePrefix="1" applyFont="1" applyFill="1" applyBorder="1" applyAlignment="1" applyProtection="1">
      <alignment horizontal="center" vertical="center" wrapText="1"/>
    </xf>
    <xf numFmtId="0" fontId="3" fillId="2" borderId="6" xfId="2" quotePrefix="1" applyFont="1" applyFill="1" applyBorder="1" applyAlignment="1" applyProtection="1">
      <alignment horizontal="center" vertical="center" wrapText="1"/>
    </xf>
    <xf numFmtId="0" fontId="3" fillId="2" borderId="10" xfId="2" quotePrefix="1" applyFont="1" applyFill="1" applyBorder="1" applyAlignment="1" applyProtection="1">
      <alignment horizontal="center" vertical="center" wrapText="1"/>
    </xf>
    <xf numFmtId="0" fontId="3" fillId="2" borderId="3" xfId="2" applyFont="1" applyFill="1" applyBorder="1" applyAlignment="1" applyProtection="1">
      <alignment horizontal="center" vertical="center" wrapText="1"/>
    </xf>
    <xf numFmtId="0" fontId="3" fillId="2" borderId="4" xfId="2" applyFont="1" applyFill="1" applyBorder="1" applyAlignment="1" applyProtection="1">
      <alignment horizontal="center" vertical="center" wrapText="1"/>
    </xf>
    <xf numFmtId="0" fontId="3" fillId="2" borderId="2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100</v>
      </c>
      <c r="B1" s="9" t="s">
        <v>100</v>
      </c>
      <c r="C1" s="9" t="s">
        <v>100</v>
      </c>
      <c r="D1" s="9" t="s">
        <v>100</v>
      </c>
      <c r="E1" s="9" t="s">
        <v>100</v>
      </c>
      <c r="F1" s="9" t="s">
        <v>100</v>
      </c>
      <c r="G1" s="9" t="s">
        <v>100</v>
      </c>
      <c r="H1" s="9" t="s">
        <v>100</v>
      </c>
      <c r="I1" s="9" t="s">
        <v>100</v>
      </c>
      <c r="J1" s="9" t="s">
        <v>100</v>
      </c>
      <c r="K1" s="9" t="s">
        <v>100</v>
      </c>
      <c r="L1" s="9" t="s">
        <v>100</v>
      </c>
      <c r="M1" s="9" t="s">
        <v>100</v>
      </c>
      <c r="N1" s="9" t="s">
        <v>100</v>
      </c>
      <c r="O1" s="9" t="s">
        <v>100</v>
      </c>
      <c r="P1" s="9" t="s">
        <v>100</v>
      </c>
      <c r="Q1" s="9" t="s">
        <v>100</v>
      </c>
      <c r="R1" s="9" t="s">
        <v>100</v>
      </c>
      <c r="S1" s="9" t="s">
        <v>100</v>
      </c>
      <c r="T1" s="9" t="s">
        <v>100</v>
      </c>
      <c r="U1" s="9" t="s">
        <v>100</v>
      </c>
      <c r="V1" s="9" t="s">
        <v>100</v>
      </c>
      <c r="W1" s="9" t="s">
        <v>100</v>
      </c>
      <c r="X1" s="9" t="s">
        <v>100</v>
      </c>
      <c r="Y1" s="9" t="s">
        <v>100</v>
      </c>
      <c r="Z1" s="9" t="s">
        <v>100</v>
      </c>
      <c r="AA1" s="9" t="s">
        <v>100</v>
      </c>
      <c r="AB1" s="9" t="s">
        <v>100</v>
      </c>
      <c r="AC1" s="9" t="s">
        <v>100</v>
      </c>
      <c r="AD1" s="9" t="s">
        <v>100</v>
      </c>
      <c r="AE1" s="9" t="s">
        <v>100</v>
      </c>
      <c r="AF1" s="9" t="s">
        <v>100</v>
      </c>
      <c r="AG1" s="9" t="s">
        <v>100</v>
      </c>
      <c r="AH1" s="9" t="s">
        <v>100</v>
      </c>
      <c r="AI1" s="9" t="s">
        <v>100</v>
      </c>
      <c r="AJ1" s="9" t="s">
        <v>100</v>
      </c>
      <c r="AK1" s="9" t="s">
        <v>100</v>
      </c>
      <c r="AQ1" s="5" t="s">
        <v>35</v>
      </c>
      <c r="AR1" t="s">
        <v>25</v>
      </c>
    </row>
    <row r="2" spans="1:57">
      <c r="A2" s="9" t="s">
        <v>100</v>
      </c>
      <c r="B2" s="28" t="e">
        <f>#REF!</f>
        <v>#REF!</v>
      </c>
      <c r="C2" s="9" t="s">
        <v>100</v>
      </c>
      <c r="D2" s="9" t="s">
        <v>100</v>
      </c>
      <c r="E2" s="9" t="s">
        <v>100</v>
      </c>
      <c r="F2" s="9" t="s">
        <v>100</v>
      </c>
      <c r="G2" s="9" t="s">
        <v>100</v>
      </c>
      <c r="H2" s="9" t="s">
        <v>100</v>
      </c>
      <c r="I2" s="9" t="s">
        <v>100</v>
      </c>
      <c r="J2" s="9" t="s">
        <v>100</v>
      </c>
      <c r="K2" s="9" t="s">
        <v>100</v>
      </c>
      <c r="L2" s="9" t="s">
        <v>100</v>
      </c>
      <c r="M2" s="9" t="s">
        <v>100</v>
      </c>
      <c r="N2" s="9" t="s">
        <v>100</v>
      </c>
      <c r="O2" s="9" t="s">
        <v>100</v>
      </c>
      <c r="P2" s="9" t="s">
        <v>100</v>
      </c>
      <c r="Q2" s="9" t="s">
        <v>100</v>
      </c>
      <c r="R2" s="9" t="s">
        <v>100</v>
      </c>
      <c r="S2" s="9" t="s">
        <v>100</v>
      </c>
      <c r="T2" s="9" t="s">
        <v>100</v>
      </c>
      <c r="U2" s="9" t="s">
        <v>100</v>
      </c>
      <c r="V2" s="9" t="s">
        <v>100</v>
      </c>
      <c r="W2" s="9" t="s">
        <v>100</v>
      </c>
      <c r="X2" s="9" t="s">
        <v>100</v>
      </c>
      <c r="Y2" s="9" t="s">
        <v>100</v>
      </c>
      <c r="Z2" s="9" t="s">
        <v>100</v>
      </c>
      <c r="AA2" s="9" t="s">
        <v>100</v>
      </c>
      <c r="AB2" s="9" t="s">
        <v>100</v>
      </c>
      <c r="AC2" s="9" t="s">
        <v>100</v>
      </c>
      <c r="AD2" s="9" t="s">
        <v>100</v>
      </c>
      <c r="AE2" s="9" t="s">
        <v>100</v>
      </c>
      <c r="AF2" s="9" t="s">
        <v>100</v>
      </c>
      <c r="AG2" s="9" t="s">
        <v>100</v>
      </c>
      <c r="AH2" s="9" t="s">
        <v>100</v>
      </c>
      <c r="AI2" s="9" t="s">
        <v>100</v>
      </c>
      <c r="AJ2" s="9" t="s">
        <v>100</v>
      </c>
      <c r="AK2" s="9" t="s">
        <v>100</v>
      </c>
    </row>
    <row r="3" spans="1:57" ht="15.75" customHeight="1">
      <c r="A3" s="5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9" t="s">
        <v>100</v>
      </c>
      <c r="L3" s="9" t="s">
        <v>100</v>
      </c>
      <c r="M3" s="9" t="s">
        <v>100</v>
      </c>
      <c r="N3" s="9" t="s">
        <v>100</v>
      </c>
      <c r="O3" s="9" t="s">
        <v>100</v>
      </c>
      <c r="P3" s="9" t="s">
        <v>100</v>
      </c>
      <c r="Q3" s="9" t="s">
        <v>100</v>
      </c>
      <c r="R3" s="9" t="s">
        <v>100</v>
      </c>
      <c r="S3" s="9" t="s">
        <v>100</v>
      </c>
      <c r="T3" s="22" t="s">
        <v>100</v>
      </c>
      <c r="U3" s="5" t="s">
        <v>35</v>
      </c>
      <c r="V3" s="5" t="s">
        <v>36</v>
      </c>
      <c r="W3" s="5" t="s">
        <v>50</v>
      </c>
      <c r="X3" s="5" t="s">
        <v>51</v>
      </c>
      <c r="Y3" s="5" t="s">
        <v>52</v>
      </c>
      <c r="Z3" s="5" t="s">
        <v>53</v>
      </c>
      <c r="AA3" s="5" t="s">
        <v>37</v>
      </c>
      <c r="AB3" s="5" t="s">
        <v>38</v>
      </c>
      <c r="AC3" s="5" t="s">
        <v>39</v>
      </c>
      <c r="AD3" s="5" t="s">
        <v>54</v>
      </c>
      <c r="AE3" s="5" t="s">
        <v>55</v>
      </c>
      <c r="AF3" s="5" t="s">
        <v>56</v>
      </c>
      <c r="AG3" s="5" t="s">
        <v>57</v>
      </c>
      <c r="AH3" s="5" t="s">
        <v>58</v>
      </c>
      <c r="AI3" s="5" t="s">
        <v>59</v>
      </c>
      <c r="AJ3" s="5" t="s">
        <v>60</v>
      </c>
      <c r="AK3" s="5" t="s">
        <v>61</v>
      </c>
      <c r="AQ3" s="5" t="s">
        <v>36</v>
      </c>
      <c r="AR3" s="5" t="s">
        <v>50</v>
      </c>
      <c r="AS3" s="5" t="s">
        <v>51</v>
      </c>
      <c r="AT3" s="5" t="s">
        <v>52</v>
      </c>
      <c r="AU3" s="5" t="s">
        <v>53</v>
      </c>
      <c r="AV3" s="5" t="s">
        <v>37</v>
      </c>
      <c r="AW3" s="5" t="s">
        <v>38</v>
      </c>
      <c r="AX3" s="5" t="s">
        <v>39</v>
      </c>
      <c r="AY3" s="5" t="s">
        <v>54</v>
      </c>
      <c r="AZ3" s="5" t="s">
        <v>55</v>
      </c>
      <c r="BA3" s="5" t="s">
        <v>57</v>
      </c>
      <c r="BB3" s="5" t="s">
        <v>58</v>
      </c>
      <c r="BC3" s="5" t="s">
        <v>59</v>
      </c>
      <c r="BD3" s="5" t="s">
        <v>61</v>
      </c>
    </row>
    <row r="4" spans="1:57" ht="15.75" customHeight="1">
      <c r="A4" s="6" t="s">
        <v>18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6" t="s">
        <v>47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6"/>
    </row>
    <row r="6" spans="1:57">
      <c r="A6" s="6" t="s">
        <v>25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6"/>
    </row>
    <row r="7" spans="1:57">
      <c r="A7" s="6" t="s">
        <v>22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6" t="s">
        <v>23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6" t="s">
        <v>24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6" t="s">
        <v>28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6" t="s">
        <v>30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6" t="s">
        <v>31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6" t="s">
        <v>174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6" t="s">
        <v>34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6" t="s">
        <v>43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6" t="s">
        <v>44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6" t="s">
        <v>45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6" t="s">
        <v>182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6" t="s">
        <v>183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6" t="s">
        <v>48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3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3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3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3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3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3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3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3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3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3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3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3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3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3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3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3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3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3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3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3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3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3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3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3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3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3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3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3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3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3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3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3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3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46</v>
      </c>
      <c r="B3" t="s">
        <v>64</v>
      </c>
      <c r="C3" t="s">
        <v>74</v>
      </c>
      <c r="V3" s="8" t="s">
        <v>75</v>
      </c>
      <c r="W3" s="5" t="s">
        <v>40</v>
      </c>
      <c r="X3" s="5" t="s">
        <v>62</v>
      </c>
      <c r="Y3" t="s">
        <v>73</v>
      </c>
      <c r="Z3" t="s">
        <v>64</v>
      </c>
      <c r="AA3" t="s">
        <v>74</v>
      </c>
    </row>
    <row r="4" spans="1:27">
      <c r="A4" s="6" t="s">
        <v>30</v>
      </c>
      <c r="B4" s="7">
        <v>2467</v>
      </c>
      <c r="C4" s="7">
        <v>3806.1423290000002</v>
      </c>
      <c r="V4" t="str">
        <f>W4&amp;X4</f>
        <v>AIR ASIAP1</v>
      </c>
      <c r="W4" t="s">
        <v>30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22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7"/>
      <c r="Z5" s="7"/>
      <c r="AA5" s="7"/>
    </row>
    <row r="6" spans="1:27">
      <c r="A6" s="6" t="s">
        <v>23</v>
      </c>
      <c r="B6" s="7">
        <v>1472</v>
      </c>
      <c r="C6" s="7">
        <v>2956.1</v>
      </c>
      <c r="V6" t="str">
        <f t="shared" si="0"/>
        <v>AIR ASIAP3</v>
      </c>
      <c r="W6" t="s">
        <v>30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45</v>
      </c>
      <c r="B7" s="7">
        <v>61052</v>
      </c>
      <c r="C7" s="7">
        <v>93775.981349000009</v>
      </c>
      <c r="V7" t="str">
        <f t="shared" si="0"/>
        <v>AIR ASIAP4</v>
      </c>
      <c r="W7" t="s">
        <v>30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24</v>
      </c>
      <c r="B8" s="7">
        <v>648</v>
      </c>
      <c r="C8" s="7">
        <v>1392.7165519999999</v>
      </c>
      <c r="V8" t="str">
        <f t="shared" si="0"/>
        <v>AIR ASIAP4.1</v>
      </c>
      <c r="W8" t="s">
        <v>30</v>
      </c>
      <c r="X8" t="s">
        <v>41</v>
      </c>
      <c r="Y8" s="7">
        <v>180</v>
      </c>
      <c r="Z8" s="7">
        <v>199</v>
      </c>
      <c r="AA8" s="7">
        <v>337.623289</v>
      </c>
    </row>
    <row r="9" spans="1:27">
      <c r="A9" s="6" t="s">
        <v>32</v>
      </c>
      <c r="B9" s="7">
        <v>1389</v>
      </c>
      <c r="C9" s="7">
        <v>1617.18</v>
      </c>
      <c r="V9" t="str">
        <f t="shared" si="0"/>
        <v>AIR ASIAP4.2</v>
      </c>
      <c r="W9" t="s">
        <v>30</v>
      </c>
      <c r="X9" t="s">
        <v>42</v>
      </c>
      <c r="Y9" s="7"/>
      <c r="Z9" s="7"/>
      <c r="AA9" s="7"/>
    </row>
    <row r="10" spans="1:27">
      <c r="A10" s="6" t="s">
        <v>25</v>
      </c>
      <c r="B10" s="7">
        <v>4140</v>
      </c>
      <c r="C10" s="7">
        <v>6380</v>
      </c>
      <c r="V10" t="str">
        <f t="shared" si="0"/>
        <v>AIR ASIAP5</v>
      </c>
      <c r="W10" t="s">
        <v>30</v>
      </c>
      <c r="X10" t="s">
        <v>13</v>
      </c>
      <c r="Y10" s="7"/>
      <c r="Z10" s="7"/>
      <c r="AA10" s="7"/>
    </row>
    <row r="11" spans="1:27">
      <c r="A11" s="6" t="s">
        <v>18</v>
      </c>
      <c r="B11" s="7">
        <v>25201</v>
      </c>
      <c r="C11" s="7">
        <v>33290.79</v>
      </c>
      <c r="V11" t="str">
        <f t="shared" si="0"/>
        <v>AIR ASIAP6</v>
      </c>
      <c r="W11" t="s">
        <v>30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43</v>
      </c>
      <c r="B12" s="7">
        <v>12112</v>
      </c>
      <c r="C12" s="7">
        <v>34401.086552000001</v>
      </c>
      <c r="V12" t="str">
        <f t="shared" si="0"/>
        <v>AIR INDIAP1</v>
      </c>
      <c r="W12" t="s">
        <v>22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44</v>
      </c>
      <c r="B13" s="7">
        <v>48940</v>
      </c>
      <c r="C13" s="7">
        <v>59374.894797000001</v>
      </c>
      <c r="V13" t="str">
        <f t="shared" si="0"/>
        <v>AIR INDIAP2</v>
      </c>
      <c r="W13" t="s">
        <v>22</v>
      </c>
      <c r="X13" t="s">
        <v>10</v>
      </c>
      <c r="Y13" s="7"/>
      <c r="Z13" s="7"/>
      <c r="AA13" s="7"/>
    </row>
    <row r="14" spans="1:27">
      <c r="A14" s="6" t="s">
        <v>28</v>
      </c>
      <c r="B14" s="7">
        <v>12094</v>
      </c>
      <c r="C14" s="7">
        <v>9401.4900000000016</v>
      </c>
      <c r="V14" t="str">
        <f t="shared" si="0"/>
        <v>AIR INDIAP3</v>
      </c>
      <c r="W14" t="s">
        <v>22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34</v>
      </c>
      <c r="B15" s="7">
        <v>895</v>
      </c>
      <c r="C15" s="7">
        <v>801.87858399999982</v>
      </c>
      <c r="V15" t="str">
        <f t="shared" si="0"/>
        <v>AIR INDIAP4</v>
      </c>
      <c r="W15" t="s">
        <v>22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31</v>
      </c>
      <c r="B16" s="7">
        <v>2721</v>
      </c>
      <c r="C16" s="7">
        <v>4070.3999999999996</v>
      </c>
      <c r="V16" t="str">
        <f t="shared" si="0"/>
        <v>AIR INDIAP4.1</v>
      </c>
      <c r="W16" t="s">
        <v>22</v>
      </c>
      <c r="X16" t="s">
        <v>41</v>
      </c>
      <c r="Y16" s="7"/>
      <c r="Z16" s="7"/>
      <c r="AA16" s="7"/>
    </row>
    <row r="17" spans="1:27">
      <c r="A17" s="6" t="s">
        <v>47</v>
      </c>
      <c r="B17" s="7"/>
      <c r="C17" s="7"/>
      <c r="V17" t="str">
        <f t="shared" si="0"/>
        <v>AIR INDIAP4.2</v>
      </c>
      <c r="W17" t="s">
        <v>22</v>
      </c>
      <c r="X17" t="s">
        <v>42</v>
      </c>
      <c r="Y17" s="7"/>
      <c r="Z17" s="7"/>
      <c r="AA17" s="7"/>
    </row>
    <row r="18" spans="1:27">
      <c r="A18" s="6" t="s">
        <v>182</v>
      </c>
      <c r="B18" s="7"/>
      <c r="C18" s="7"/>
      <c r="V18" t="str">
        <f t="shared" si="0"/>
        <v>AIR INDIAP5</v>
      </c>
      <c r="W18" t="s">
        <v>22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184</v>
      </c>
      <c r="B19" s="7">
        <v>33</v>
      </c>
      <c r="C19" s="7">
        <v>7.0138840000000009</v>
      </c>
      <c r="V19" t="str">
        <f t="shared" si="0"/>
        <v>AIR INDIAP6</v>
      </c>
      <c r="W19" t="s">
        <v>22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48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23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23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23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24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24</v>
      </c>
      <c r="X40" t="s">
        <v>41</v>
      </c>
      <c r="Y40" s="7"/>
      <c r="Z40" s="7"/>
      <c r="AA40" s="7"/>
    </row>
    <row r="41" spans="22:27">
      <c r="V41" t="str">
        <f t="shared" si="0"/>
        <v>ALLIANCE AIRP4.2</v>
      </c>
      <c r="W41" t="s">
        <v>24</v>
      </c>
      <c r="X41" t="s">
        <v>42</v>
      </c>
      <c r="Y41" s="7"/>
      <c r="Z41" s="7"/>
      <c r="AA41" s="7"/>
    </row>
    <row r="42" spans="22:27">
      <c r="V42" t="str">
        <f t="shared" si="0"/>
        <v>ALLIANCE AIRP5</v>
      </c>
      <c r="W42" t="s">
        <v>24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24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32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32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32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25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34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31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7"/>
      <c r="Z108" s="7"/>
      <c r="AA108" s="7"/>
    </row>
    <row r="109" spans="22:27">
      <c r="V109" t="str">
        <f t="shared" si="1"/>
        <v>STAR AIRP1</v>
      </c>
      <c r="W109" t="s">
        <v>182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182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182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182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182</v>
      </c>
      <c r="X113" t="s">
        <v>41</v>
      </c>
      <c r="Y113" s="7"/>
      <c r="Z113" s="7"/>
      <c r="AA113" s="7"/>
    </row>
    <row r="114" spans="22:27">
      <c r="V114" t="str">
        <f t="shared" si="1"/>
        <v>STAR AIRP4.2</v>
      </c>
      <c r="W114" t="s">
        <v>182</v>
      </c>
      <c r="X114" t="s">
        <v>42</v>
      </c>
      <c r="Y114" s="7"/>
      <c r="Z114" s="7"/>
      <c r="AA114" s="7"/>
    </row>
    <row r="115" spans="22:27">
      <c r="V115" t="str">
        <f t="shared" si="1"/>
        <v>STAR AIRP5</v>
      </c>
      <c r="W115" t="s">
        <v>182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182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16</v>
      </c>
      <c r="C2" s="11" t="s">
        <v>102</v>
      </c>
      <c r="D2" s="11" t="s">
        <v>103</v>
      </c>
      <c r="E2" s="11" t="s">
        <v>17</v>
      </c>
      <c r="F2" s="11" t="s">
        <v>104</v>
      </c>
      <c r="G2" s="12" t="s">
        <v>105</v>
      </c>
      <c r="H2" s="12" t="s">
        <v>106</v>
      </c>
      <c r="I2" s="13" t="s">
        <v>107</v>
      </c>
      <c r="J2" s="12" t="s">
        <v>108</v>
      </c>
      <c r="K2" s="12" t="s">
        <v>109</v>
      </c>
      <c r="L2" s="12" t="s">
        <v>110</v>
      </c>
      <c r="M2" s="12" t="s">
        <v>111</v>
      </c>
      <c r="N2" s="12" t="s">
        <v>112</v>
      </c>
      <c r="O2" s="12" t="s">
        <v>113</v>
      </c>
      <c r="P2" s="12" t="s">
        <v>114</v>
      </c>
      <c r="Q2" s="12" t="s">
        <v>115</v>
      </c>
      <c r="R2" s="12" t="s">
        <v>116</v>
      </c>
      <c r="S2" s="14" t="s">
        <v>117</v>
      </c>
      <c r="T2" s="12" t="s">
        <v>118</v>
      </c>
      <c r="U2" s="12" t="s">
        <v>119</v>
      </c>
      <c r="V2" s="11" t="s">
        <v>120</v>
      </c>
      <c r="W2" s="12" t="s">
        <v>121</v>
      </c>
      <c r="X2" s="11" t="s">
        <v>122</v>
      </c>
      <c r="Y2" s="11" t="s">
        <v>123</v>
      </c>
    </row>
    <row r="3" spans="1:25">
      <c r="A3" s="5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19" customFormat="1">
      <c r="A4" s="21" t="s">
        <v>30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22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23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24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32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25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18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27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28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34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31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47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43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44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45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182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183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181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48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7"/>
  <sheetViews>
    <sheetView showGridLines="0" tabSelected="1" view="pageBreakPreview" zoomScale="75" zoomScaleNormal="50" zoomScaleSheetLayoutView="75" workbookViewId="0">
      <selection activeCell="A3" sqref="A3:D3"/>
    </sheetView>
  </sheetViews>
  <sheetFormatPr defaultColWidth="11" defaultRowHeight="15"/>
  <cols>
    <col min="1" max="1" width="11" style="3"/>
    <col min="2" max="2" width="24.5703125" style="3" customWidth="1"/>
    <col min="3" max="3" width="32.5703125" style="3" customWidth="1"/>
    <col min="4" max="4" width="38.28515625" style="3" customWidth="1"/>
    <col min="5" max="16384" width="11" style="3"/>
  </cols>
  <sheetData>
    <row r="1" spans="1:4" ht="24.95" customHeight="1">
      <c r="A1" s="32" t="s">
        <v>188</v>
      </c>
      <c r="B1" s="33"/>
      <c r="C1" s="33"/>
      <c r="D1" s="34"/>
    </row>
    <row r="2" spans="1:4" ht="24.95" customHeight="1">
      <c r="A2" s="35" t="s">
        <v>189</v>
      </c>
      <c r="B2" s="36"/>
      <c r="C2" s="36"/>
      <c r="D2" s="37"/>
    </row>
    <row r="3" spans="1:4" ht="24.95" customHeight="1">
      <c r="A3" s="38" t="s">
        <v>190</v>
      </c>
      <c r="B3" s="39"/>
      <c r="C3" s="39"/>
      <c r="D3" s="40"/>
    </row>
    <row r="4" spans="1:4" ht="24.95" customHeight="1">
      <c r="A4" s="38" t="s">
        <v>8</v>
      </c>
      <c r="B4" s="39"/>
      <c r="C4" s="39"/>
      <c r="D4" s="40"/>
    </row>
    <row r="5" spans="1:4" ht="39.950000000000003" customHeight="1">
      <c r="A5" s="31" t="s">
        <v>191</v>
      </c>
      <c r="B5" s="31" t="s">
        <v>2</v>
      </c>
      <c r="C5" s="31" t="s">
        <v>7</v>
      </c>
      <c r="D5" s="31" t="s">
        <v>6</v>
      </c>
    </row>
    <row r="6" spans="1:4" ht="18.75" customHeight="1">
      <c r="A6" s="31"/>
      <c r="B6" s="31"/>
      <c r="C6" s="31"/>
      <c r="D6" s="31"/>
    </row>
    <row r="7" spans="1:4" ht="35.1" customHeight="1">
      <c r="A7" s="31"/>
      <c r="B7" s="31"/>
      <c r="C7" s="2" t="s">
        <v>5</v>
      </c>
      <c r="D7" s="2" t="s">
        <v>5</v>
      </c>
    </row>
    <row r="8" spans="1:4" ht="35.1" customHeight="1">
      <c r="A8" s="29">
        <v>1</v>
      </c>
      <c r="B8" s="29">
        <v>2</v>
      </c>
      <c r="C8" s="2">
        <v>3</v>
      </c>
      <c r="D8" s="2">
        <v>4</v>
      </c>
    </row>
    <row r="9" spans="1:4" ht="30" customHeight="1">
      <c r="A9" s="29">
        <v>1</v>
      </c>
      <c r="B9" s="1" t="s">
        <v>1</v>
      </c>
      <c r="C9" s="24">
        <v>0.50013782203255897</v>
      </c>
      <c r="D9" s="24">
        <v>0.29093195827406354</v>
      </c>
    </row>
    <row r="10" spans="1:4" ht="30" customHeight="1">
      <c r="A10" s="29">
        <v>2</v>
      </c>
      <c r="B10" s="1" t="s">
        <v>4</v>
      </c>
      <c r="C10" s="24">
        <v>0.23842754726793211</v>
      </c>
      <c r="D10" s="24">
        <v>0.13760320939043869</v>
      </c>
    </row>
    <row r="11" spans="1:4" ht="30" customHeight="1">
      <c r="A11" s="29">
        <v>3</v>
      </c>
      <c r="B11" s="1" t="s">
        <v>3</v>
      </c>
      <c r="C11" s="24">
        <v>0.22169817949536888</v>
      </c>
      <c r="D11" s="24">
        <v>0.13359445863941233</v>
      </c>
    </row>
    <row r="12" spans="1:4" ht="35.1" customHeight="1">
      <c r="A12" s="29">
        <v>4</v>
      </c>
      <c r="B12" s="1" t="s">
        <v>15</v>
      </c>
      <c r="C12" s="24">
        <v>0.26880499045304634</v>
      </c>
      <c r="D12" s="24">
        <v>0.16967440548515883</v>
      </c>
    </row>
    <row r="13" spans="1:4" ht="33.75" customHeight="1">
      <c r="A13" s="29">
        <v>5</v>
      </c>
      <c r="B13" s="1" t="s">
        <v>20</v>
      </c>
      <c r="C13" s="24">
        <v>0.30763261858959318</v>
      </c>
      <c r="D13" s="24">
        <v>0.1968741613099986</v>
      </c>
    </row>
    <row r="14" spans="1:4" ht="27" customHeight="1">
      <c r="A14" s="29">
        <v>6</v>
      </c>
      <c r="B14" s="1" t="s">
        <v>21</v>
      </c>
      <c r="C14" s="24">
        <v>0.53216614906832305</v>
      </c>
      <c r="D14" s="24">
        <v>0.33879658385093164</v>
      </c>
    </row>
    <row r="15" spans="1:4" ht="30" customHeight="1">
      <c r="A15" s="29">
        <v>7</v>
      </c>
      <c r="B15" s="1" t="s">
        <v>76</v>
      </c>
      <c r="C15" s="24">
        <v>0.61029810275352581</v>
      </c>
      <c r="D15" s="24">
        <v>0.39783168233713906</v>
      </c>
    </row>
    <row r="16" spans="1:4" ht="30" customHeight="1">
      <c r="A16" s="29">
        <v>8</v>
      </c>
      <c r="B16" s="25" t="s">
        <v>180</v>
      </c>
      <c r="C16" s="24">
        <v>0.71465155690272808</v>
      </c>
      <c r="D16" s="24">
        <v>0.49561354826857723</v>
      </c>
    </row>
    <row r="17" spans="1:4" ht="30" customHeight="1">
      <c r="A17" s="29">
        <v>9</v>
      </c>
      <c r="B17" s="25" t="s">
        <v>185</v>
      </c>
      <c r="C17" s="24">
        <v>0.83479783827061638</v>
      </c>
      <c r="D17" s="24">
        <v>0.57867293835068057</v>
      </c>
    </row>
    <row r="18" spans="1:4" ht="30" customHeight="1">
      <c r="A18" s="29">
        <v>10</v>
      </c>
      <c r="B18" s="25" t="s">
        <v>186</v>
      </c>
      <c r="C18" s="24">
        <v>0.9233533507169982</v>
      </c>
      <c r="D18" s="24">
        <v>0.64172905838885108</v>
      </c>
    </row>
    <row r="19" spans="1:4" ht="36.75" customHeight="1">
      <c r="A19" s="30" t="s">
        <v>187</v>
      </c>
      <c r="B19" s="30"/>
      <c r="C19" s="30"/>
      <c r="D19" s="30"/>
    </row>
    <row r="23" spans="1:4">
      <c r="C23" s="4" t="s">
        <v>0</v>
      </c>
    </row>
    <row r="24" spans="1:4">
      <c r="C24" s="4" t="s">
        <v>0</v>
      </c>
      <c r="D24" s="4" t="s">
        <v>0</v>
      </c>
    </row>
    <row r="25" spans="1:4">
      <c r="C25" s="4" t="s">
        <v>0</v>
      </c>
    </row>
    <row r="26" spans="1:4">
      <c r="C26" s="4" t="s">
        <v>0</v>
      </c>
    </row>
    <row r="27" spans="1:4">
      <c r="C27" s="4" t="s">
        <v>0</v>
      </c>
    </row>
  </sheetData>
  <mergeCells count="9">
    <mergeCell ref="A19:D19"/>
    <mergeCell ref="A1:D1"/>
    <mergeCell ref="A2:D2"/>
    <mergeCell ref="A3:D3"/>
    <mergeCell ref="A4:D4"/>
    <mergeCell ref="A5:A7"/>
    <mergeCell ref="C5:C6"/>
    <mergeCell ref="D5:D6"/>
    <mergeCell ref="B5:B7"/>
  </mergeCells>
  <printOptions horizontalCentered="1"/>
  <pageMargins left="0.5" right="0.59" top="0.5" bottom="0.5" header="0.5" footer="0.75"/>
  <pageSetup scale="90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1.14</vt:lpstr>
      <vt:lpstr>'1.14'!Print_Area</vt:lpstr>
      <vt:lpstr>'1.14'!Print_Area_MI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2021-11-29T19:49:47Z</dcterms:modified>
</cp:coreProperties>
</file>