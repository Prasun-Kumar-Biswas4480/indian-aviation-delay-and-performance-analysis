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6. STAR AIR\"/>
    </mc:Choice>
  </mc:AlternateContent>
  <bookViews>
    <workbookView xWindow="0" yWindow="0" windowWidth="24000" windowHeight="943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G18" i="1"/>
  <c r="H18" i="1" s="1"/>
  <c r="F18" i="1"/>
  <c r="E18" i="1"/>
  <c r="D18" i="1"/>
  <c r="C18" i="1"/>
  <c r="B18" i="1"/>
  <c r="Q7" i="1" l="1"/>
  <c r="Q8" i="1"/>
  <c r="Q9" i="1"/>
  <c r="Q10" i="1"/>
  <c r="Q11" i="1"/>
  <c r="Q12" i="1"/>
  <c r="Q13" i="1"/>
  <c r="Q14" i="1"/>
  <c r="Q15" i="1"/>
  <c r="Q16" i="1"/>
  <c r="Q17" i="1"/>
  <c r="H7" i="1"/>
  <c r="H8" i="1"/>
  <c r="H9" i="1"/>
  <c r="H10" i="1"/>
  <c r="H11" i="1"/>
  <c r="H12" i="1"/>
  <c r="H13" i="1"/>
  <c r="H14" i="1"/>
  <c r="H15" i="1"/>
  <c r="H16" i="1"/>
  <c r="H1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<sst xmlns="http://schemas.openxmlformats.org/spreadsheetml/2006/main" count="26" uniqueCount="24">
  <si>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(स्टार एयर) </t>
  </si>
  <si>
    <t>Table 1.03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</si>
  <si>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</si>
  <si>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</si>
  <si>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</si>
  <si>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</si>
  <si>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</si>
  <si>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</si>
  <si>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</si>
  <si>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</si>
  <si>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</si>
  <si>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</si>
  <si>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</si>
  <si>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</si>
  <si>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</si>
  <si>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</si>
  <si>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</si>
  <si>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</si>
  <si>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</si>
  <si>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</si>
  <si>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</si>
  <si>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</si>
  <si>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2019-20</t>
  </si>
  <si>
    <t>MONTHLY TRAFFIC AND OPERATING STATISTICS OF STAR AIR ON SCHEDULED (DOMESTIC + INTERNATIONAL)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</si>
</sst>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R5" sqref="R5"/>
    </sheetView>
  </sheetViews>
  <sheetFormatPr defaultRowHeight="18.600000000000001" customHeight="1" x14ac:dyDescent="0.25"/>
  <cols>
    <col min="1" max="1" width="8.85546875" customWidth="1"/>
    <col min="2" max="4" width="8.140625" customWidth="1"/>
    <col min="5" max="5" width="9.7109375" customWidth="1"/>
    <col min="6" max="17" width="8.140625" customWidth="1"/>
  </cols>
  <sheetData>
    <row r="1" spans="1:17" ht="18.600000000000001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600000000000001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600000000000001" customHeight="1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8.600000000000001" customHeight="1" x14ac:dyDescent="0.25">
      <c r="A4" s="18" t="s">
        <v>2</v>
      </c>
      <c r="B4" s="18" t="s">
        <v>3</v>
      </c>
      <c r="C4" s="18"/>
      <c r="D4" s="18"/>
      <c r="E4" s="18" t="s">
        <v>4</v>
      </c>
      <c r="F4" s="19"/>
      <c r="G4" s="10" t="s">
        <v>5</v>
      </c>
      <c r="H4" s="10" t="s">
        <v>6</v>
      </c>
      <c r="I4" s="18" t="s">
        <v>7</v>
      </c>
      <c r="J4" s="18"/>
      <c r="K4" s="18"/>
      <c r="L4" s="18" t="s">
        <v>8</v>
      </c>
      <c r="M4" s="18"/>
      <c r="N4" s="18"/>
      <c r="O4" s="18"/>
      <c r="P4" s="10" t="s">
        <v>9</v>
      </c>
      <c r="Q4" s="10" t="s">
        <v>10</v>
      </c>
    </row>
    <row r="5" spans="1:17" ht="100.9" customHeight="1" x14ac:dyDescent="0.25">
      <c r="A5" s="18"/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11"/>
      <c r="H5" s="11"/>
      <c r="I5" s="9" t="s">
        <v>16</v>
      </c>
      <c r="J5" s="9" t="s">
        <v>17</v>
      </c>
      <c r="K5" s="9" t="s">
        <v>18</v>
      </c>
      <c r="L5" s="9" t="s">
        <v>19</v>
      </c>
      <c r="M5" s="9" t="s">
        <v>20</v>
      </c>
      <c r="N5" s="9" t="s">
        <v>17</v>
      </c>
      <c r="O5" s="9" t="s">
        <v>18</v>
      </c>
      <c r="P5" s="11"/>
      <c r="Q5" s="11"/>
    </row>
    <row r="6" spans="1:17" ht="18.600000000000001" customHeight="1" x14ac:dyDescent="0.25">
      <c r="A6" s="1">
        <v>43556</v>
      </c>
      <c r="B6" s="2">
        <v>148</v>
      </c>
      <c r="C6" s="2">
        <v>158</v>
      </c>
      <c r="D6" s="2">
        <v>67.775000000000006</v>
      </c>
      <c r="E6" s="2">
        <v>3956</v>
      </c>
      <c r="F6" s="2">
        <v>1.790961</v>
      </c>
      <c r="G6" s="2">
        <v>3.3443499999999999</v>
      </c>
      <c r="H6" s="2">
        <f>F6/G6*100</f>
        <v>53.551841164949842</v>
      </c>
      <c r="I6" s="2">
        <v>0</v>
      </c>
      <c r="J6" s="2">
        <v>0</v>
      </c>
      <c r="K6" s="2">
        <v>0</v>
      </c>
      <c r="L6" s="2">
        <v>0.16119</v>
      </c>
      <c r="M6" s="2">
        <v>0</v>
      </c>
      <c r="N6" s="2">
        <v>0</v>
      </c>
      <c r="O6" s="2">
        <v>0.16119</v>
      </c>
      <c r="P6" s="2">
        <v>1.4715100000000001</v>
      </c>
      <c r="Q6" s="2">
        <f>O6/P6*100</f>
        <v>10.954053998953455</v>
      </c>
    </row>
    <row r="7" spans="1:17" ht="18.600000000000001" customHeight="1" x14ac:dyDescent="0.25">
      <c r="A7" s="3">
        <v>43586</v>
      </c>
      <c r="B7" s="4">
        <v>184</v>
      </c>
      <c r="C7" s="4">
        <v>201</v>
      </c>
      <c r="D7" s="4">
        <v>96.475999999999999</v>
      </c>
      <c r="E7" s="4">
        <v>5612</v>
      </c>
      <c r="F7" s="4">
        <v>2.9981869999999997</v>
      </c>
      <c r="G7" s="4">
        <v>4.8238000000000003</v>
      </c>
      <c r="H7" s="4">
        <f t="shared" ref="H7:H18" si="0">F7/G7*100</f>
        <v>62.154048675318208</v>
      </c>
      <c r="I7" s="4">
        <v>0</v>
      </c>
      <c r="J7" s="4">
        <v>0</v>
      </c>
      <c r="K7" s="4">
        <v>0</v>
      </c>
      <c r="L7" s="4">
        <v>0.26983699999999999</v>
      </c>
      <c r="M7" s="4">
        <v>0</v>
      </c>
      <c r="N7" s="4">
        <v>0</v>
      </c>
      <c r="O7" s="4">
        <v>0.26983699999999999</v>
      </c>
      <c r="P7" s="4">
        <v>2.4124099999999999</v>
      </c>
      <c r="Q7" s="4">
        <f t="shared" ref="Q7:Q18" si="1">O7/P7*100</f>
        <v>11.18537064595156</v>
      </c>
    </row>
    <row r="8" spans="1:17" ht="18.600000000000001" customHeight="1" x14ac:dyDescent="0.25">
      <c r="A8" s="1">
        <v>43617</v>
      </c>
      <c r="B8" s="2">
        <v>202</v>
      </c>
      <c r="C8" s="2">
        <v>245</v>
      </c>
      <c r="D8" s="2">
        <v>113.91200000000001</v>
      </c>
      <c r="E8" s="2">
        <v>5473</v>
      </c>
      <c r="F8" s="2">
        <v>3.1792530000000001</v>
      </c>
      <c r="G8" s="2">
        <v>5.6956000000000007</v>
      </c>
      <c r="H8" s="2">
        <f t="shared" si="0"/>
        <v>55.819457124798092</v>
      </c>
      <c r="I8" s="2">
        <v>0</v>
      </c>
      <c r="J8" s="2">
        <v>0</v>
      </c>
      <c r="K8" s="2">
        <v>0</v>
      </c>
      <c r="L8" s="2">
        <v>0.28613299999999997</v>
      </c>
      <c r="M8" s="2">
        <v>0</v>
      </c>
      <c r="N8" s="2">
        <v>0</v>
      </c>
      <c r="O8" s="2">
        <v>0.28613299999999997</v>
      </c>
      <c r="P8" s="2">
        <v>2.5060639999999998</v>
      </c>
      <c r="Q8" s="2">
        <f t="shared" si="1"/>
        <v>11.417625407810814</v>
      </c>
    </row>
    <row r="9" spans="1:17" ht="18.600000000000001" customHeight="1" x14ac:dyDescent="0.25">
      <c r="A9" s="3">
        <v>43647</v>
      </c>
      <c r="B9" s="4">
        <v>194</v>
      </c>
      <c r="C9" s="4">
        <v>210</v>
      </c>
      <c r="D9" s="4">
        <v>110.745</v>
      </c>
      <c r="E9" s="4">
        <v>4875</v>
      </c>
      <c r="F9" s="4">
        <v>2.8186230000000001</v>
      </c>
      <c r="G9" s="4">
        <v>5.5372500000000002</v>
      </c>
      <c r="H9" s="4">
        <f t="shared" si="0"/>
        <v>50.902939184613302</v>
      </c>
      <c r="I9" s="4">
        <v>0</v>
      </c>
      <c r="J9" s="4">
        <v>0</v>
      </c>
      <c r="K9" s="4">
        <v>0</v>
      </c>
      <c r="L9" s="4">
        <v>0.25367600000000001</v>
      </c>
      <c r="M9" s="4">
        <v>0</v>
      </c>
      <c r="N9" s="4">
        <v>0</v>
      </c>
      <c r="O9" s="4">
        <v>0.25367600000000001</v>
      </c>
      <c r="P9" s="4">
        <v>2.4363899999999998</v>
      </c>
      <c r="Q9" s="4">
        <f t="shared" si="1"/>
        <v>10.411961960113119</v>
      </c>
    </row>
    <row r="10" spans="1:17" ht="18.600000000000001" customHeight="1" x14ac:dyDescent="0.25">
      <c r="A10" s="1">
        <v>43678</v>
      </c>
      <c r="B10" s="2">
        <v>168</v>
      </c>
      <c r="C10" s="2">
        <v>201</v>
      </c>
      <c r="D10" s="2">
        <v>95.738</v>
      </c>
      <c r="E10" s="2">
        <v>4232</v>
      </c>
      <c r="F10" s="2">
        <v>2.5400520000000002</v>
      </c>
      <c r="G10" s="2">
        <v>4.7868999999999993</v>
      </c>
      <c r="H10" s="2">
        <f t="shared" si="0"/>
        <v>53.06256658797971</v>
      </c>
      <c r="I10" s="2">
        <v>0</v>
      </c>
      <c r="J10" s="2">
        <v>0</v>
      </c>
      <c r="K10" s="2">
        <v>0</v>
      </c>
      <c r="L10" s="2">
        <v>0.228605</v>
      </c>
      <c r="M10" s="2">
        <v>0</v>
      </c>
      <c r="N10" s="2">
        <v>0</v>
      </c>
      <c r="O10" s="2">
        <v>0.228605</v>
      </c>
      <c r="P10" s="2">
        <v>2.106236</v>
      </c>
      <c r="Q10" s="2">
        <f t="shared" si="1"/>
        <v>10.853721995066081</v>
      </c>
    </row>
    <row r="11" spans="1:17" ht="18.600000000000001" customHeight="1" x14ac:dyDescent="0.25">
      <c r="A11" s="3">
        <v>43709</v>
      </c>
      <c r="B11" s="4">
        <v>183</v>
      </c>
      <c r="C11" s="4">
        <v>219</v>
      </c>
      <c r="D11" s="4">
        <v>100.361</v>
      </c>
      <c r="E11" s="4">
        <v>4653</v>
      </c>
      <c r="F11" s="4">
        <v>2.5605279999999997</v>
      </c>
      <c r="G11" s="4">
        <v>5.0180500000000006</v>
      </c>
      <c r="H11" s="4">
        <f t="shared" si="0"/>
        <v>51.026354858959145</v>
      </c>
      <c r="I11" s="4">
        <v>0</v>
      </c>
      <c r="J11" s="4">
        <v>0</v>
      </c>
      <c r="K11" s="4">
        <v>0</v>
      </c>
      <c r="L11" s="4">
        <v>0.23044800000000001</v>
      </c>
      <c r="M11" s="4">
        <v>0</v>
      </c>
      <c r="N11" s="4">
        <v>0</v>
      </c>
      <c r="O11" s="4">
        <v>0.23044800000000001</v>
      </c>
      <c r="P11" s="4">
        <v>2.2079420000000001</v>
      </c>
      <c r="Q11" s="4">
        <f t="shared" si="1"/>
        <v>10.437230688124959</v>
      </c>
    </row>
    <row r="12" spans="1:17" ht="18.600000000000001" customHeight="1" x14ac:dyDescent="0.25">
      <c r="A12" s="1">
        <v>43739</v>
      </c>
      <c r="B12" s="2">
        <v>209</v>
      </c>
      <c r="C12" s="2">
        <v>208</v>
      </c>
      <c r="D12" s="2">
        <v>113.48099999999999</v>
      </c>
      <c r="E12" s="2">
        <v>6232</v>
      </c>
      <c r="F12" s="2">
        <v>3.3763930000000002</v>
      </c>
      <c r="G12" s="2">
        <v>5.6740500000000003</v>
      </c>
      <c r="H12" s="2">
        <f t="shared" si="0"/>
        <v>59.505873229879889</v>
      </c>
      <c r="I12" s="2">
        <v>0</v>
      </c>
      <c r="J12" s="2">
        <v>0</v>
      </c>
      <c r="K12" s="2">
        <v>0</v>
      </c>
      <c r="L12" s="2">
        <v>0.30387500000000001</v>
      </c>
      <c r="M12" s="2">
        <v>0</v>
      </c>
      <c r="N12" s="2">
        <v>0</v>
      </c>
      <c r="O12" s="2">
        <v>0.30387500000000001</v>
      </c>
      <c r="P12" s="2">
        <v>2.4965820000000001</v>
      </c>
      <c r="Q12" s="2">
        <f t="shared" si="1"/>
        <v>12.171641067667716</v>
      </c>
    </row>
    <row r="13" spans="1:17" ht="18.600000000000001" customHeight="1" x14ac:dyDescent="0.25">
      <c r="A13" s="3">
        <v>43770</v>
      </c>
      <c r="B13" s="4">
        <v>235</v>
      </c>
      <c r="C13" s="4">
        <v>208</v>
      </c>
      <c r="D13" s="4">
        <v>159.14699999999999</v>
      </c>
      <c r="E13" s="4">
        <v>8562</v>
      </c>
      <c r="F13" s="4">
        <v>6.0019170000000006</v>
      </c>
      <c r="G13" s="4">
        <v>7.9573499999999999</v>
      </c>
      <c r="H13" s="4">
        <f t="shared" si="0"/>
        <v>75.42607777714943</v>
      </c>
      <c r="I13" s="4">
        <v>0</v>
      </c>
      <c r="J13" s="4">
        <v>0</v>
      </c>
      <c r="K13" s="4">
        <v>0</v>
      </c>
      <c r="L13" s="4">
        <v>0.53415499999999994</v>
      </c>
      <c r="M13" s="4">
        <v>0</v>
      </c>
      <c r="N13" s="4">
        <v>0</v>
      </c>
      <c r="O13" s="4">
        <v>0.53415499999999994</v>
      </c>
      <c r="P13" s="4">
        <v>3.5012339999999997</v>
      </c>
      <c r="Q13" s="4">
        <f t="shared" si="1"/>
        <v>15.25619253097622</v>
      </c>
    </row>
    <row r="14" spans="1:17" ht="18.600000000000001" customHeight="1" x14ac:dyDescent="0.25">
      <c r="A14" s="1">
        <v>43800</v>
      </c>
      <c r="B14" s="2">
        <v>263</v>
      </c>
      <c r="C14" s="2">
        <v>320</v>
      </c>
      <c r="D14" s="2">
        <v>173.59899999999999</v>
      </c>
      <c r="E14" s="2">
        <v>10705</v>
      </c>
      <c r="F14" s="2">
        <v>7.1364999999999998</v>
      </c>
      <c r="G14" s="2">
        <v>8.6799500000000016</v>
      </c>
      <c r="H14" s="2">
        <f t="shared" si="0"/>
        <v>82.218215542716251</v>
      </c>
      <c r="I14" s="2">
        <v>0</v>
      </c>
      <c r="J14" s="2">
        <v>0</v>
      </c>
      <c r="K14" s="2">
        <v>0</v>
      </c>
      <c r="L14" s="2">
        <v>0.64228499999999999</v>
      </c>
      <c r="M14" s="2">
        <v>0</v>
      </c>
      <c r="N14" s="2">
        <v>0</v>
      </c>
      <c r="O14" s="2">
        <v>0.64228499999999999</v>
      </c>
      <c r="P14" s="2">
        <v>3.819178</v>
      </c>
      <c r="Q14" s="2">
        <f t="shared" si="1"/>
        <v>16.817362270101054</v>
      </c>
    </row>
    <row r="15" spans="1:17" ht="18.600000000000001" customHeight="1" x14ac:dyDescent="0.25">
      <c r="A15" s="3">
        <v>43831</v>
      </c>
      <c r="B15" s="4">
        <v>278</v>
      </c>
      <c r="C15" s="4">
        <v>349</v>
      </c>
      <c r="D15" s="4">
        <v>190.67099999999999</v>
      </c>
      <c r="E15" s="4">
        <v>10921</v>
      </c>
      <c r="F15" s="4">
        <v>7.6017030000000005</v>
      </c>
      <c r="G15" s="4">
        <v>9.53355</v>
      </c>
      <c r="H15" s="4">
        <f t="shared" si="0"/>
        <v>79.736331167298644</v>
      </c>
      <c r="I15" s="4">
        <v>0</v>
      </c>
      <c r="J15" s="4">
        <v>0</v>
      </c>
      <c r="K15" s="4">
        <v>0</v>
      </c>
      <c r="L15" s="4">
        <v>0.68415300000000001</v>
      </c>
      <c r="M15" s="4">
        <v>0</v>
      </c>
      <c r="N15" s="4">
        <v>0</v>
      </c>
      <c r="O15" s="4">
        <v>0.68415300000000001</v>
      </c>
      <c r="P15" s="4">
        <v>4.0755660000000002</v>
      </c>
      <c r="Q15" s="4">
        <f t="shared" si="1"/>
        <v>16.786699074435305</v>
      </c>
    </row>
    <row r="16" spans="1:17" ht="18.600000000000001" customHeight="1" x14ac:dyDescent="0.25">
      <c r="A16" s="1">
        <v>43862</v>
      </c>
      <c r="B16" s="2">
        <v>278</v>
      </c>
      <c r="C16" s="2">
        <v>380.4</v>
      </c>
      <c r="D16" s="2">
        <v>210.11699999999999</v>
      </c>
      <c r="E16" s="2">
        <v>11622</v>
      </c>
      <c r="F16" s="2">
        <v>8.4737340000000003</v>
      </c>
      <c r="G16" s="2">
        <v>10.505850000000001</v>
      </c>
      <c r="H16" s="2">
        <f t="shared" si="0"/>
        <v>80.657290937906026</v>
      </c>
      <c r="I16" s="2">
        <v>0</v>
      </c>
      <c r="J16" s="2">
        <v>0</v>
      </c>
      <c r="K16" s="2">
        <v>0</v>
      </c>
      <c r="L16" s="2">
        <v>0.76187000000000005</v>
      </c>
      <c r="M16" s="2">
        <v>0</v>
      </c>
      <c r="N16" s="2">
        <v>0</v>
      </c>
      <c r="O16" s="2">
        <v>0.76187000000000005</v>
      </c>
      <c r="P16" s="2">
        <v>4.384182</v>
      </c>
      <c r="Q16" s="2">
        <f t="shared" si="1"/>
        <v>17.377700104603321</v>
      </c>
    </row>
    <row r="17" spans="1:17" ht="18.600000000000001" customHeight="1" x14ac:dyDescent="0.25">
      <c r="A17" s="3">
        <v>43891</v>
      </c>
      <c r="B17" s="4">
        <v>253</v>
      </c>
      <c r="C17" s="4">
        <v>330</v>
      </c>
      <c r="D17" s="4">
        <v>210.11699999999999</v>
      </c>
      <c r="E17" s="4">
        <v>8033</v>
      </c>
      <c r="F17" s="4">
        <v>6.4214089999999997</v>
      </c>
      <c r="G17" s="4">
        <v>9.3714999999999993</v>
      </c>
      <c r="H17" s="4">
        <f t="shared" si="0"/>
        <v>68.52061036120152</v>
      </c>
      <c r="I17" s="4">
        <v>0</v>
      </c>
      <c r="J17" s="4">
        <v>0</v>
      </c>
      <c r="K17" s="4">
        <v>0</v>
      </c>
      <c r="L17" s="4">
        <v>0.57792699999999997</v>
      </c>
      <c r="M17" s="4">
        <v>0</v>
      </c>
      <c r="N17" s="4">
        <v>0</v>
      </c>
      <c r="O17" s="4">
        <v>0.57792699999999997</v>
      </c>
      <c r="P17" s="4">
        <v>4.1234599999999997</v>
      </c>
      <c r="Q17" s="4">
        <f t="shared" si="1"/>
        <v>14.015583999844791</v>
      </c>
    </row>
    <row r="18" spans="1:17" ht="18.600000000000001" customHeight="1" x14ac:dyDescent="0.25">
      <c r="A18" s="5" t="s">
        <v>22</v>
      </c>
      <c r="B18" s="6">
        <f>SUM(B6:B17)</f>
        <v>2595</v>
      </c>
      <c r="C18" s="6">
        <f t="shared" ref="C18:G18" si="2">SUM(C6:C17)</f>
        <v>3029.4</v>
      </c>
      <c r="D18" s="6">
        <f t="shared" si="2"/>
        <v>1642.1389999999999</v>
      </c>
      <c r="E18" s="6">
        <f t="shared" si="2"/>
        <v>84876</v>
      </c>
      <c r="F18" s="8">
        <f t="shared" si="2"/>
        <v>54.899259999999998</v>
      </c>
      <c r="G18" s="8">
        <f t="shared" si="2"/>
        <v>80.928200000000004</v>
      </c>
      <c r="H18" s="2">
        <f t="shared" si="0"/>
        <v>67.8369962509978</v>
      </c>
      <c r="I18" s="6">
        <v>0</v>
      </c>
      <c r="J18" s="6">
        <v>0</v>
      </c>
      <c r="K18" s="6">
        <v>0</v>
      </c>
      <c r="L18" s="7">
        <f t="shared" ref="L18:P18" si="3">SUM(L6:L17)</f>
        <v>4.9341540000000004</v>
      </c>
      <c r="M18" s="6">
        <f t="shared" si="3"/>
        <v>0</v>
      </c>
      <c r="N18" s="6">
        <f t="shared" si="3"/>
        <v>0</v>
      </c>
      <c r="O18" s="7">
        <f t="shared" si="3"/>
        <v>4.9341540000000004</v>
      </c>
      <c r="P18" s="7">
        <f t="shared" si="3"/>
        <v>35.540754</v>
      </c>
      <c r="Q18" s="2">
        <f t="shared" si="1"/>
        <v>13.88308756758509</v>
      </c>
    </row>
    <row r="19" spans="1:17" ht="18.600000000000001" customHeight="1" x14ac:dyDescent="0.25">
      <c r="A19" s="12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2020-06-15T06:15:01Z</cp:lastPrinted>
  <dcterms:created xsi:type="dcterms:W3CDTF">2020-06-03T10:41:53Z</dcterms:created>
  <dcterms:modified xsi:type="dcterms:W3CDTF">2021-09-15T01:21:38Z</dcterms:modified>
</cp:coreProperties>
</file>