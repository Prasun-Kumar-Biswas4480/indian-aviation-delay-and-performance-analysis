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7" i="1" l="1"/>
  <c r="Q8" i="1"/>
  <c r="Q9" i="1"/>
  <c r="Q10" i="1"/>
  <c r="Q11" i="1"/>
  <c r="Q12" i="1"/>
  <c r="Q13" i="1"/>
  <c r="Q14" i="1"/>
  <c r="Q15" i="1"/>
  <c r="Q16" i="1"/>
  <c r="Q17" i="1"/>
  <c r="Q6" i="1"/>
  <c r="H7" i="1"/>
  <c r="H8" i="1"/>
  <c r="H9" i="1"/>
  <c r="H10" i="1"/>
  <c r="H11" i="1"/>
  <c r="H12" i="1"/>
  <c r="H13" i="1"/>
  <c r="H14" i="1"/>
  <c r="H15" i="1"/>
  <c r="H16" i="1"/>
  <c r="H17" i="1"/>
  <c r="H6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<sst xmlns="http://schemas.openxmlformats.org/spreadsheetml/2006/main" count="26" uniqueCount="24">
  <si>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</si>
  <si>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</si>
  <si>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</si>
  <si>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</si>
  <si>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</si>
  <si>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</si>
  <si>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</si>
  <si>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</si>
  <si>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</si>
  <si>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</si>
  <si>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</si>
  <si>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</si>
  <si>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</si>
  <si>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</si>
  <si>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</si>
  <si>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</si>
  <si>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</si>
  <si>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</si>
  <si>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</si>
  <si>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NATIONAL AIRLINES</t>
  </si>
  <si>
    <t>2019-20</t>
  </si>
  <si>
    <t>MONTHLY TRAFFIC AND OPERATING STATISTICS OF ALL SCHEDULED NATIONAL AIRLINES ON SCHEDULED DOMESTIC SERVICES DURING 2019-20</t>
  </si>
  <si>
    <t xml:space="preserve">तालिका 1.01 (सभी अनुसूचित  राष्ट्रीय एयरलाइन्स) </t>
  </si>
  <si>
    <t>Table 1.01 (ALL SCHEDULED NATIONAL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</si>
</sst>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zoomScaleSheetLayoutView="100" workbookViewId="0">
      <selection activeCell="W9" sqref="W9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1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8.75" customHeight="1" x14ac:dyDescent="0.25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1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5" t="s">
        <v>3</v>
      </c>
      <c r="H4" s="15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5" t="s">
        <v>7</v>
      </c>
      <c r="Q4" s="15" t="s">
        <v>8</v>
      </c>
    </row>
    <row r="5" spans="1:17" ht="139.5" customHeight="1" x14ac:dyDescent="0.25">
      <c r="A5" s="20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6"/>
      <c r="H5" s="16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6"/>
      <c r="Q5" s="16"/>
    </row>
    <row r="6" spans="1:17" ht="30" customHeight="1" x14ac:dyDescent="0.25">
      <c r="A6" s="9">
        <v>43556</v>
      </c>
      <c r="B6" s="3">
        <v>13038</v>
      </c>
      <c r="C6" s="3">
        <v>23616.13</v>
      </c>
      <c r="D6" s="3">
        <v>13328.119999999999</v>
      </c>
      <c r="E6" s="3">
        <v>1495717</v>
      </c>
      <c r="F6" s="3">
        <v>1394.2852800000001</v>
      </c>
      <c r="G6" s="3">
        <v>1719.5505800000001</v>
      </c>
      <c r="H6" s="6">
        <f>F6/G6*100</f>
        <v>81.084284243619052</v>
      </c>
      <c r="I6" s="6">
        <v>6273.8101999999999</v>
      </c>
      <c r="J6" s="6">
        <v>803.55400000000031</v>
      </c>
      <c r="K6" s="6">
        <v>7077.3682000000008</v>
      </c>
      <c r="L6" s="6">
        <v>136.29125000000002</v>
      </c>
      <c r="M6" s="6">
        <v>7.0404200000000001</v>
      </c>
      <c r="N6" s="6">
        <v>0.83218000000000003</v>
      </c>
      <c r="O6" s="6">
        <v>144.16385000000002</v>
      </c>
      <c r="P6" s="6">
        <v>182.73458000000002</v>
      </c>
      <c r="Q6" s="6">
        <f>O6/P6*100</f>
        <v>78.892484389106869</v>
      </c>
    </row>
    <row r="7" spans="1:17" ht="30" customHeight="1" x14ac:dyDescent="0.25">
      <c r="A7" s="10">
        <v>43586</v>
      </c>
      <c r="B7" s="4">
        <v>13665</v>
      </c>
      <c r="C7" s="4">
        <v>24915.910000000011</v>
      </c>
      <c r="D7" s="4">
        <v>13959.071</v>
      </c>
      <c r="E7" s="4">
        <v>1597539</v>
      </c>
      <c r="F7" s="4">
        <v>1474.806077</v>
      </c>
      <c r="G7" s="4">
        <v>1794.7810939999999</v>
      </c>
      <c r="H7" s="7">
        <f t="shared" ref="H7:H18" si="0">F7/G7*100</f>
        <v>82.171919568927663</v>
      </c>
      <c r="I7" s="7">
        <v>7019.7433999999967</v>
      </c>
      <c r="J7" s="7">
        <v>849.11299999999994</v>
      </c>
      <c r="K7" s="7">
        <v>7868.8563999999969</v>
      </c>
      <c r="L7" s="7">
        <v>135.55930386500003</v>
      </c>
      <c r="M7" s="7">
        <v>8.0548557786999986</v>
      </c>
      <c r="N7" s="7">
        <v>0.80966864000000005</v>
      </c>
      <c r="O7" s="7">
        <v>144.42382828370003</v>
      </c>
      <c r="P7" s="7">
        <v>190.81988786499983</v>
      </c>
      <c r="Q7" s="7">
        <f t="shared" ref="Q7:Q18" si="1">O7/P7*100</f>
        <v>75.685941281904633</v>
      </c>
    </row>
    <row r="8" spans="1:17" ht="30" customHeight="1" x14ac:dyDescent="0.25">
      <c r="A8" s="9">
        <v>43617</v>
      </c>
      <c r="B8" s="3">
        <v>13140</v>
      </c>
      <c r="C8" s="3">
        <v>24296.880000000005</v>
      </c>
      <c r="D8" s="3">
        <v>13561.23</v>
      </c>
      <c r="E8" s="3">
        <v>1515713</v>
      </c>
      <c r="F8" s="3">
        <v>1414.473483</v>
      </c>
      <c r="G8" s="3">
        <v>1753.410126</v>
      </c>
      <c r="H8" s="6">
        <f t="shared" si="0"/>
        <v>80.669859380063826</v>
      </c>
      <c r="I8" s="6">
        <v>6304.2584000000015</v>
      </c>
      <c r="J8" s="6">
        <v>673.428</v>
      </c>
      <c r="K8" s="6">
        <v>6977.6864000000014</v>
      </c>
      <c r="L8" s="6">
        <v>129.86363532999997</v>
      </c>
      <c r="M8" s="6">
        <v>7.2393586359000013</v>
      </c>
      <c r="N8" s="6">
        <v>0.62722620500000004</v>
      </c>
      <c r="O8" s="6">
        <v>137.73022017089997</v>
      </c>
      <c r="P8" s="6">
        <v>186.59200215799999</v>
      </c>
      <c r="Q8" s="6">
        <f t="shared" si="1"/>
        <v>73.81357109522547</v>
      </c>
    </row>
    <row r="9" spans="1:17" ht="30" customHeight="1" x14ac:dyDescent="0.25">
      <c r="A9" s="10">
        <v>43647</v>
      </c>
      <c r="B9" s="4">
        <v>12933</v>
      </c>
      <c r="C9" s="4">
        <v>24249.453333333349</v>
      </c>
      <c r="D9" s="4">
        <v>13298.752</v>
      </c>
      <c r="E9" s="4">
        <v>1438686</v>
      </c>
      <c r="F9" s="4">
        <v>1332.4857160000001</v>
      </c>
      <c r="G9" s="4">
        <v>1721.8341009999999</v>
      </c>
      <c r="H9" s="7">
        <f t="shared" si="0"/>
        <v>77.387578467990863</v>
      </c>
      <c r="I9" s="7">
        <v>6177.2628999999988</v>
      </c>
      <c r="J9" s="7">
        <v>709.64200000000005</v>
      </c>
      <c r="K9" s="7">
        <v>6886.9048999999986</v>
      </c>
      <c r="L9" s="7">
        <v>122.43165641899995</v>
      </c>
      <c r="M9" s="7">
        <v>7.124759409000001</v>
      </c>
      <c r="N9" s="7">
        <v>0.65909699999999716</v>
      </c>
      <c r="O9" s="7">
        <v>130.21551282799993</v>
      </c>
      <c r="P9" s="7">
        <v>182.07331854099999</v>
      </c>
      <c r="Q9" s="7">
        <f t="shared" si="1"/>
        <v>71.518174036399245</v>
      </c>
    </row>
    <row r="10" spans="1:17" ht="30" customHeight="1" x14ac:dyDescent="0.25">
      <c r="A10" s="9">
        <v>43678</v>
      </c>
      <c r="B10" s="3">
        <v>13203</v>
      </c>
      <c r="C10" s="3">
        <v>24557.68</v>
      </c>
      <c r="D10" s="3">
        <v>13389.921</v>
      </c>
      <c r="E10" s="3">
        <v>1478596</v>
      </c>
      <c r="F10" s="3">
        <v>1364.4630740000002</v>
      </c>
      <c r="G10" s="3">
        <v>1743.3578779999998</v>
      </c>
      <c r="H10" s="6">
        <f t="shared" si="0"/>
        <v>78.266378419405655</v>
      </c>
      <c r="I10" s="6">
        <v>6010.7190000000001</v>
      </c>
      <c r="J10" s="6">
        <v>755.14300000000003</v>
      </c>
      <c r="K10" s="6">
        <v>6765.8620000000001</v>
      </c>
      <c r="L10" s="6">
        <v>125.4395984300002</v>
      </c>
      <c r="M10" s="6">
        <v>7.0737822570000004</v>
      </c>
      <c r="N10" s="6">
        <v>0.71440629999999994</v>
      </c>
      <c r="O10" s="6">
        <v>133.2277869870002</v>
      </c>
      <c r="P10" s="6">
        <v>185.99316408900023</v>
      </c>
      <c r="Q10" s="6">
        <f t="shared" si="1"/>
        <v>71.630475044367174</v>
      </c>
    </row>
    <row r="11" spans="1:17" ht="30" customHeight="1" x14ac:dyDescent="0.25">
      <c r="A11" s="10">
        <v>43709</v>
      </c>
      <c r="B11" s="4">
        <v>13297</v>
      </c>
      <c r="C11" s="4">
        <v>24638.089999999989</v>
      </c>
      <c r="D11" s="4">
        <v>13353.679</v>
      </c>
      <c r="E11" s="4">
        <v>1450856</v>
      </c>
      <c r="F11" s="4">
        <v>1333.3377700000001</v>
      </c>
      <c r="G11" s="4">
        <v>1734.7818369999998</v>
      </c>
      <c r="H11" s="7">
        <f t="shared" si="0"/>
        <v>76.859103638401777</v>
      </c>
      <c r="I11" s="7">
        <v>6021.9429999999984</v>
      </c>
      <c r="J11" s="7">
        <v>684.226</v>
      </c>
      <c r="K11" s="7">
        <v>6706.1689999999981</v>
      </c>
      <c r="L11" s="7">
        <v>122.59510703999995</v>
      </c>
      <c r="M11" s="7">
        <v>7.055079625800003</v>
      </c>
      <c r="N11" s="7">
        <v>0.66471999999999998</v>
      </c>
      <c r="O11" s="7">
        <v>130.31490666579995</v>
      </c>
      <c r="P11" s="7">
        <v>184.55678224099989</v>
      </c>
      <c r="Q11" s="7">
        <f t="shared" si="1"/>
        <v>70.609654699999453</v>
      </c>
    </row>
    <row r="12" spans="1:17" ht="30" customHeight="1" x14ac:dyDescent="0.25">
      <c r="A12" s="9">
        <v>43739</v>
      </c>
      <c r="B12" s="3">
        <v>14182</v>
      </c>
      <c r="C12" s="3">
        <v>26160.363333333342</v>
      </c>
      <c r="D12" s="3">
        <v>14491.154</v>
      </c>
      <c r="E12" s="3">
        <v>1511830</v>
      </c>
      <c r="F12" s="3">
        <v>1378.6575809999999</v>
      </c>
      <c r="G12" s="3">
        <v>1861.5960669999997</v>
      </c>
      <c r="H12" s="6">
        <f t="shared" si="0"/>
        <v>74.057826262049147</v>
      </c>
      <c r="I12" s="6">
        <v>6856.1832000000022</v>
      </c>
      <c r="J12" s="6">
        <v>630.83399999999995</v>
      </c>
      <c r="K12" s="6">
        <v>7487.017200000002</v>
      </c>
      <c r="L12" s="6">
        <v>126.79805081600006</v>
      </c>
      <c r="M12" s="6">
        <v>8.0111907223000056</v>
      </c>
      <c r="N12" s="6">
        <v>0.57319600000000004</v>
      </c>
      <c r="O12" s="6">
        <v>135.38243753830005</v>
      </c>
      <c r="P12" s="6">
        <v>199.47528287200007</v>
      </c>
      <c r="Q12" s="6">
        <f t="shared" si="1"/>
        <v>67.869279636601746</v>
      </c>
    </row>
    <row r="13" spans="1:17" ht="30" customHeight="1" x14ac:dyDescent="0.25">
      <c r="A13" s="10">
        <v>43770</v>
      </c>
      <c r="B13" s="4">
        <v>13242</v>
      </c>
      <c r="C13" s="4">
        <v>24840.19</v>
      </c>
      <c r="D13" s="4">
        <v>13396.682999999999</v>
      </c>
      <c r="E13" s="4">
        <v>1528005</v>
      </c>
      <c r="F13" s="4">
        <v>1410.549904</v>
      </c>
      <c r="G13" s="4">
        <v>1747.1506770000001</v>
      </c>
      <c r="H13" s="7">
        <f t="shared" si="0"/>
        <v>80.734302002047642</v>
      </c>
      <c r="I13" s="7">
        <v>6018.5194999999994</v>
      </c>
      <c r="J13" s="7">
        <v>755.92799999999886</v>
      </c>
      <c r="K13" s="7">
        <v>6774.4474999999984</v>
      </c>
      <c r="L13" s="7">
        <v>129.7328235089999</v>
      </c>
      <c r="M13" s="7">
        <v>7.012681282</v>
      </c>
      <c r="N13" s="7">
        <v>0.67184399999999889</v>
      </c>
      <c r="O13" s="7">
        <v>137.41734879099991</v>
      </c>
      <c r="P13" s="7">
        <v>188.25990382500029</v>
      </c>
      <c r="Q13" s="7">
        <f t="shared" si="1"/>
        <v>72.993423452897432</v>
      </c>
    </row>
    <row r="14" spans="1:17" ht="30" customHeight="1" x14ac:dyDescent="0.25">
      <c r="A14" s="9">
        <v>43800</v>
      </c>
      <c r="B14" s="3">
        <v>13361</v>
      </c>
      <c r="C14" s="3">
        <v>25165.366666666705</v>
      </c>
      <c r="D14" s="3">
        <v>13553.007</v>
      </c>
      <c r="E14" s="3">
        <v>1513289</v>
      </c>
      <c r="F14" s="3">
        <v>1401.6173900000001</v>
      </c>
      <c r="G14" s="3">
        <v>1783.6219229999999</v>
      </c>
      <c r="H14" s="6">
        <f t="shared" si="0"/>
        <v>78.582650948947787</v>
      </c>
      <c r="I14" s="6">
        <v>7649.8104999999969</v>
      </c>
      <c r="J14" s="6">
        <v>659.7039999999995</v>
      </c>
      <c r="K14" s="6">
        <v>8309.5144999999957</v>
      </c>
      <c r="L14" s="6">
        <v>128.81551440000001</v>
      </c>
      <c r="M14" s="6">
        <v>8.9738485718999996</v>
      </c>
      <c r="N14" s="6">
        <v>0.57902399999999998</v>
      </c>
      <c r="O14" s="6">
        <v>138.36838697190001</v>
      </c>
      <c r="P14" s="6">
        <v>193.12070283700024</v>
      </c>
      <c r="Q14" s="6">
        <f t="shared" si="1"/>
        <v>71.648655446685666</v>
      </c>
    </row>
    <row r="15" spans="1:17" ht="30" customHeight="1" x14ac:dyDescent="0.25">
      <c r="A15" s="10">
        <v>43831</v>
      </c>
      <c r="B15" s="4">
        <v>13431</v>
      </c>
      <c r="C15" s="4">
        <v>25167.393333333344</v>
      </c>
      <c r="D15" s="4">
        <v>13558.741</v>
      </c>
      <c r="E15" s="4">
        <v>1442741</v>
      </c>
      <c r="F15" s="4">
        <v>1329.0681520000001</v>
      </c>
      <c r="G15" s="4">
        <v>1756.003385</v>
      </c>
      <c r="H15" s="7">
        <f t="shared" si="0"/>
        <v>75.687106491540163</v>
      </c>
      <c r="I15" s="7">
        <v>6884.4481000000014</v>
      </c>
      <c r="J15" s="7">
        <v>751.94999999999857</v>
      </c>
      <c r="K15" s="7">
        <v>7636.3981000000003</v>
      </c>
      <c r="L15" s="7">
        <v>122.24834896100008</v>
      </c>
      <c r="M15" s="7">
        <v>7.9706019267000059</v>
      </c>
      <c r="N15" s="7">
        <v>0.6774419999999991</v>
      </c>
      <c r="O15" s="7">
        <v>130.89639288770007</v>
      </c>
      <c r="P15" s="7">
        <v>188.77400496199942</v>
      </c>
      <c r="Q15" s="7">
        <f t="shared" si="1"/>
        <v>69.340263726485958</v>
      </c>
    </row>
    <row r="16" spans="1:17" ht="30" customHeight="1" x14ac:dyDescent="0.25">
      <c r="A16" s="9">
        <v>43862</v>
      </c>
      <c r="B16" s="3">
        <v>12931</v>
      </c>
      <c r="C16" s="3">
        <v>24088.010000000031</v>
      </c>
      <c r="D16" s="3">
        <v>12865.697</v>
      </c>
      <c r="E16" s="3">
        <v>1444273</v>
      </c>
      <c r="F16" s="3">
        <v>1337.3431329999999</v>
      </c>
      <c r="G16" s="3">
        <v>1674.9432390000002</v>
      </c>
      <c r="H16" s="6">
        <f t="shared" si="0"/>
        <v>79.844086764303754</v>
      </c>
      <c r="I16" s="6">
        <v>6147.3270000000011</v>
      </c>
      <c r="J16" s="6">
        <v>789.40200000000004</v>
      </c>
      <c r="K16" s="6">
        <v>6936.7290000000012</v>
      </c>
      <c r="L16" s="6">
        <v>122.92447663600002</v>
      </c>
      <c r="M16" s="6">
        <v>7.3400808800000004</v>
      </c>
      <c r="N16" s="6">
        <v>0.7356333570000001</v>
      </c>
      <c r="O16" s="6">
        <v>131.00019087300001</v>
      </c>
      <c r="P16" s="6">
        <v>180.13398282299994</v>
      </c>
      <c r="Q16" s="6">
        <f t="shared" si="1"/>
        <v>72.723751965069852</v>
      </c>
    </row>
    <row r="17" spans="1:17" ht="30" customHeight="1" x14ac:dyDescent="0.25">
      <c r="A17" s="10">
        <v>43891</v>
      </c>
      <c r="B17" s="4">
        <v>9682</v>
      </c>
      <c r="C17" s="4">
        <v>17760.316666666673</v>
      </c>
      <c r="D17" s="4">
        <v>9835.8670000000002</v>
      </c>
      <c r="E17" s="4">
        <v>815158</v>
      </c>
      <c r="F17" s="4">
        <v>771.56843500000002</v>
      </c>
      <c r="G17" s="4">
        <v>1249.479769</v>
      </c>
      <c r="H17" s="7">
        <f t="shared" si="0"/>
        <v>61.75117470029241</v>
      </c>
      <c r="I17" s="7">
        <v>4055.3219999999983</v>
      </c>
      <c r="J17" s="7">
        <v>368.95000000000005</v>
      </c>
      <c r="K17" s="7">
        <v>4424.2719999999981</v>
      </c>
      <c r="L17" s="7">
        <v>70.748120141999991</v>
      </c>
      <c r="M17" s="7">
        <v>4.8169659479000027</v>
      </c>
      <c r="N17" s="7">
        <v>0.33774830000000011</v>
      </c>
      <c r="O17" s="7">
        <v>75.902834389899994</v>
      </c>
      <c r="P17" s="7">
        <v>132.2997352349999</v>
      </c>
      <c r="Q17" s="7">
        <f t="shared" si="1"/>
        <v>57.371871723761316</v>
      </c>
    </row>
    <row r="18" spans="1:17" ht="30" customHeight="1" x14ac:dyDescent="0.25">
      <c r="A18" s="2" t="s">
        <v>20</v>
      </c>
      <c r="B18" s="5">
        <f>SUM(B6:B17)</f>
        <v>156105</v>
      </c>
      <c r="C18" s="5">
        <f t="shared" ref="C18:G18" si="2">SUM(C6:C17)</f>
        <v>289455.78333333344</v>
      </c>
      <c r="D18" s="5">
        <f t="shared" si="2"/>
        <v>158591.92199999999</v>
      </c>
      <c r="E18" s="5">
        <f t="shared" si="2"/>
        <v>17232403</v>
      </c>
      <c r="F18" s="5">
        <f t="shared" si="2"/>
        <v>15942.655994999997</v>
      </c>
      <c r="G18" s="5">
        <f t="shared" si="2"/>
        <v>20540.510676000002</v>
      </c>
      <c r="H18" s="8">
        <f t="shared" si="0"/>
        <v>77.615674928801837</v>
      </c>
      <c r="I18" s="8">
        <f t="shared" ref="I18:P18" si="3">SUM(I6:I17)</f>
        <v>75419.347200000004</v>
      </c>
      <c r="J18" s="8">
        <f t="shared" si="3"/>
        <v>8431.873999999998</v>
      </c>
      <c r="K18" s="8">
        <f t="shared" si="3"/>
        <v>83851.225199999986</v>
      </c>
      <c r="L18" s="8">
        <f t="shared" si="3"/>
        <v>1473.4478855480002</v>
      </c>
      <c r="M18" s="8">
        <f t="shared" si="3"/>
        <v>87.713625037200032</v>
      </c>
      <c r="N18" s="8">
        <f t="shared" si="3"/>
        <v>7.8821858019999969</v>
      </c>
      <c r="O18" s="8">
        <f t="shared" si="3"/>
        <v>1569.0436963872003</v>
      </c>
      <c r="P18" s="8">
        <f t="shared" si="3"/>
        <v>2194.8333474479996</v>
      </c>
      <c r="Q18" s="8">
        <f t="shared" si="1"/>
        <v>71.488056175726314</v>
      </c>
    </row>
    <row r="19" spans="1:17" ht="19.5" customHeight="1" x14ac:dyDescent="0.25">
      <c r="A19" s="12" t="s">
        <v>19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2020-05-06T11:06:29Z</cp:lastPrinted>
  <dcterms:created xsi:type="dcterms:W3CDTF">2018-10-29T04:00:07Z</dcterms:created>
  <dcterms:modified xsi:type="dcterms:W3CDTF">2021-09-14T20:39:12Z</dcterms:modified>
</cp:coreProperties>
</file>