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5. SPICEJET\"/>
    </mc:Choice>
  </mc:AlternateContent>
  <bookViews>
    <workbookView xWindow="0" yWindow="0" windowWidth="24000" windowHeight="9435"/>
  </bookViews>
  <sheets>
    <sheet name="spicej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" i="1" l="1"/>
  <c r="O18" i="1"/>
  <c r="Q18" i="1" s="1"/>
  <c r="M18" i="1"/>
  <c r="L18" i="1"/>
  <c r="K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H18" i="1" l="1"/>
</calcChain>
</file>

<file path=xl/sharedStrings.xml><?xml version="1.0" encoding="utf-8"?>
<sst xmlns="http://schemas.openxmlformats.org/spreadsheetml/2006/main" count="26" uniqueCount="24">
  <si>
    <t xml:space="preserve">तालिका 1.03 (स्पाइसजेट) </t>
  </si>
  <si>
    <t>Table 1.03 (SPICEJET)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</si>
  <si>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</si>
  <si>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</si>
  <si>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</si>
  <si>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</si>
  <si>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</si>
  <si>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</si>
  <si>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</si>
  <si>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</si>
  <si>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</si>
  <si>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</si>
  <si>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</si>
  <si>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</si>
  <si>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</si>
  <si>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</si>
  <si>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</si>
  <si>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</si>
  <si>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</si>
  <si>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</si>
  <si>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</si>
  <si>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SPICEJET</t>
  </si>
  <si>
    <t>2019-20</t>
  </si>
  <si>
    <t>MONTHLY TRAFFIC AND OPERATING STATISTICS OF SPICEJET ON SCHEDULED (DOMESTIC + INTERNATIONAL)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</si>
</sst>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7" formatCode="_(* #,##0.0_);_(* \(#,##0.0\);_(* &quot;-&quot;??_);_(@_)"/>
    <numFmt numFmtId="168" formatCode="#,##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2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17" fontId="1" fillId="3" borderId="1" xfId="3" applyNumberForma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horizontal="right" vertical="center"/>
    </xf>
    <xf numFmtId="167" fontId="1" fillId="3" borderId="1" xfId="3" applyNumberFormat="1" applyBorder="1" applyAlignment="1">
      <alignment horizontal="right" vertical="center"/>
    </xf>
    <xf numFmtId="17" fontId="4" fillId="4" borderId="1" xfId="0" applyNumberFormat="1" applyFont="1" applyFill="1" applyBorder="1" applyAlignment="1" applyProtection="1">
      <alignment horizontal="center" vertical="center" wrapText="1"/>
    </xf>
    <xf numFmtId="165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horizontal="right" vertical="center"/>
    </xf>
    <xf numFmtId="0" fontId="2" fillId="3" borderId="1" xfId="3" applyFont="1" applyBorder="1" applyAlignment="1" applyProtection="1">
      <alignment horizontal="center" vertical="center" wrapText="1"/>
    </xf>
    <xf numFmtId="3" fontId="2" fillId="3" borderId="1" xfId="3" applyNumberFormat="1" applyFont="1" applyBorder="1" applyAlignment="1" applyProtection="1">
      <alignment horizontal="right" vertical="center" wrapText="1"/>
    </xf>
    <xf numFmtId="168" fontId="2" fillId="3" borderId="1" xfId="3" applyNumberFormat="1" applyFont="1" applyBorder="1" applyAlignment="1" applyProtection="1">
      <alignment horizontal="right" vertical="center" wrapText="1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topLeftCell="A5" workbookViewId="0">
      <selection activeCell="X8" sqref="X8"/>
    </sheetView>
  </sheetViews>
  <sheetFormatPr defaultRowHeight="15" x14ac:dyDescent="0.25"/>
  <cols>
    <col min="1" max="1" width="8.1406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7" width="8.28515625" customWidth="1"/>
    <col min="8" max="8" width="7.28515625" customWidth="1"/>
    <col min="9" max="9" width="9.42578125" customWidth="1"/>
    <col min="10" max="10" width="8.140625" bestFit="1" customWidth="1"/>
    <col min="11" max="11" width="9.85546875" customWidth="1"/>
    <col min="12" max="12" width="8.7109375" customWidth="1"/>
    <col min="13" max="13" width="7.28515625" customWidth="1"/>
    <col min="14" max="14" width="7.140625" customWidth="1"/>
    <col min="15" max="15" width="8.5703125" customWidth="1"/>
    <col min="16" max="16" width="8.7109375" customWidth="1"/>
    <col min="17" max="17" width="7" customWidth="1"/>
  </cols>
  <sheetData>
    <row r="1" spans="1:17" ht="18" customHeight="1" x14ac:dyDescent="0.2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8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</row>
    <row r="3" spans="1:17" ht="18" customHeight="1" x14ac:dyDescent="0.25">
      <c r="A3" s="20" t="s">
        <v>23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 ht="18" customHeight="1" x14ac:dyDescent="0.25">
      <c r="A4" s="20" t="s">
        <v>2</v>
      </c>
      <c r="B4" s="20" t="s">
        <v>3</v>
      </c>
      <c r="C4" s="20"/>
      <c r="D4" s="20"/>
      <c r="E4" s="20" t="s">
        <v>4</v>
      </c>
      <c r="F4" s="21"/>
      <c r="G4" s="11" t="s">
        <v>5</v>
      </c>
      <c r="H4" s="11" t="s">
        <v>6</v>
      </c>
      <c r="I4" s="20" t="s">
        <v>7</v>
      </c>
      <c r="J4" s="20"/>
      <c r="K4" s="20"/>
      <c r="L4" s="20" t="s">
        <v>8</v>
      </c>
      <c r="M4" s="20"/>
      <c r="N4" s="20"/>
      <c r="O4" s="20"/>
      <c r="P4" s="11" t="s">
        <v>9</v>
      </c>
      <c r="Q4" s="11" t="s">
        <v>10</v>
      </c>
    </row>
    <row r="5" spans="1:17" ht="120.75" customHeight="1" x14ac:dyDescent="0.25">
      <c r="A5" s="20"/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2"/>
      <c r="H5" s="12"/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17</v>
      </c>
      <c r="O5" s="1" t="s">
        <v>18</v>
      </c>
      <c r="P5" s="12"/>
      <c r="Q5" s="12"/>
    </row>
    <row r="6" spans="1:17" ht="22.15" customHeight="1" x14ac:dyDescent="0.25">
      <c r="A6" s="2">
        <v>43556</v>
      </c>
      <c r="B6" s="3">
        <v>13228</v>
      </c>
      <c r="C6" s="3">
        <v>19841</v>
      </c>
      <c r="D6" s="3">
        <v>11851.120999999999</v>
      </c>
      <c r="E6" s="3">
        <v>1636854</v>
      </c>
      <c r="F6" s="3">
        <v>1750.1998209999999</v>
      </c>
      <c r="G6" s="3">
        <v>1883.5619340000001</v>
      </c>
      <c r="H6" s="4">
        <f>F6/G6*100</f>
        <v>92.919685273274368</v>
      </c>
      <c r="I6" s="4">
        <v>10309.41827</v>
      </c>
      <c r="J6" s="4">
        <v>0</v>
      </c>
      <c r="K6" s="4">
        <v>10309.41827</v>
      </c>
      <c r="L6" s="4">
        <v>131.26499000000001</v>
      </c>
      <c r="M6" s="4">
        <v>8.9504899999999985</v>
      </c>
      <c r="N6" s="4">
        <v>0</v>
      </c>
      <c r="O6" s="4">
        <v>140.21548000000001</v>
      </c>
      <c r="P6" s="4">
        <v>163.90662</v>
      </c>
      <c r="Q6" s="4">
        <f>O6/P6*100</f>
        <v>85.545952933444667</v>
      </c>
    </row>
    <row r="7" spans="1:17" ht="22.15" customHeight="1" x14ac:dyDescent="0.25">
      <c r="A7" s="5">
        <v>43586</v>
      </c>
      <c r="B7" s="6">
        <v>16154</v>
      </c>
      <c r="C7" s="6">
        <v>25141</v>
      </c>
      <c r="D7" s="6">
        <v>15204.174999999999</v>
      </c>
      <c r="E7" s="6">
        <v>2015753</v>
      </c>
      <c r="F7" s="6">
        <v>2227.5264120000002</v>
      </c>
      <c r="G7" s="6">
        <v>2399.1648930000001</v>
      </c>
      <c r="H7" s="7">
        <f t="shared" ref="H7:H18" si="0">F7/G7*100</f>
        <v>92.845907277953827</v>
      </c>
      <c r="I7" s="7">
        <v>10604.098173607998</v>
      </c>
      <c r="J7" s="7">
        <v>0</v>
      </c>
      <c r="K7" s="7">
        <v>10604.098173607998</v>
      </c>
      <c r="L7" s="7">
        <v>167.06448113000002</v>
      </c>
      <c r="M7" s="7">
        <v>11.730351030000001</v>
      </c>
      <c r="N7" s="7">
        <v>0</v>
      </c>
      <c r="O7" s="7">
        <v>178.79483216000003</v>
      </c>
      <c r="P7" s="7">
        <v>214.09912750000001</v>
      </c>
      <c r="Q7" s="7">
        <f t="shared" ref="Q7:Q18" si="1">O7/P7*100</f>
        <v>83.510303964223311</v>
      </c>
    </row>
    <row r="8" spans="1:17" ht="22.15" customHeight="1" x14ac:dyDescent="0.25">
      <c r="A8" s="2">
        <v>43617</v>
      </c>
      <c r="B8" s="3">
        <v>16611</v>
      </c>
      <c r="C8" s="3">
        <v>26167</v>
      </c>
      <c r="D8" s="3">
        <v>15936.19</v>
      </c>
      <c r="E8" s="3">
        <v>2090944</v>
      </c>
      <c r="F8" s="3">
        <v>2314.3677239999997</v>
      </c>
      <c r="G8" s="3">
        <v>2513.8335630000001</v>
      </c>
      <c r="H8" s="4">
        <f t="shared" si="0"/>
        <v>92.065272660217062</v>
      </c>
      <c r="I8" s="4">
        <v>11263.960230000002</v>
      </c>
      <c r="J8" s="4">
        <v>0</v>
      </c>
      <c r="K8" s="4">
        <v>11263.960230000002</v>
      </c>
      <c r="L8" s="4">
        <v>173.57740428</v>
      </c>
      <c r="M8" s="4">
        <v>12.66264689</v>
      </c>
      <c r="N8" s="4">
        <v>0</v>
      </c>
      <c r="O8" s="4">
        <v>186.24005116999999</v>
      </c>
      <c r="P8" s="4">
        <v>226.66824</v>
      </c>
      <c r="Q8" s="4">
        <f t="shared" si="1"/>
        <v>82.164158141431727</v>
      </c>
    </row>
    <row r="9" spans="1:17" ht="22.15" customHeight="1" x14ac:dyDescent="0.25">
      <c r="A9" s="5">
        <v>43647</v>
      </c>
      <c r="B9" s="6">
        <v>16584</v>
      </c>
      <c r="C9" s="6">
        <v>26712</v>
      </c>
      <c r="D9" s="6">
        <v>16231.521999999999</v>
      </c>
      <c r="E9" s="6">
        <v>2071139</v>
      </c>
      <c r="F9" s="6">
        <v>2299.1759080000002</v>
      </c>
      <c r="G9" s="6">
        <v>2559.1464970000002</v>
      </c>
      <c r="H9" s="7">
        <f t="shared" si="0"/>
        <v>89.841512031266873</v>
      </c>
      <c r="I9" s="7">
        <v>12823.854979999996</v>
      </c>
      <c r="J9" s="7">
        <v>0</v>
      </c>
      <c r="K9" s="7">
        <v>12823.854979999996</v>
      </c>
      <c r="L9" s="7">
        <v>172.43819351000002</v>
      </c>
      <c r="M9" s="7">
        <v>14.078493890000001</v>
      </c>
      <c r="N9" s="7">
        <v>0</v>
      </c>
      <c r="O9" s="7">
        <v>186.5166874</v>
      </c>
      <c r="P9" s="7">
        <v>231.9116865</v>
      </c>
      <c r="Q9" s="7">
        <f t="shared" si="1"/>
        <v>80.425738872801475</v>
      </c>
    </row>
    <row r="10" spans="1:17" ht="22.15" customHeight="1" x14ac:dyDescent="0.25">
      <c r="A10" s="2">
        <v>43678</v>
      </c>
      <c r="B10" s="3">
        <v>16455</v>
      </c>
      <c r="C10" s="3">
        <v>27152</v>
      </c>
      <c r="D10" s="3">
        <v>16789.096000000001</v>
      </c>
      <c r="E10" s="3">
        <v>2084575</v>
      </c>
      <c r="F10" s="3">
        <v>2365.2287769999998</v>
      </c>
      <c r="G10" s="3">
        <v>2673.6948259999999</v>
      </c>
      <c r="H10" s="4">
        <f t="shared" si="0"/>
        <v>88.46292980035112</v>
      </c>
      <c r="I10" s="4">
        <v>13352.467129999995</v>
      </c>
      <c r="J10" s="4">
        <v>0</v>
      </c>
      <c r="K10" s="4">
        <v>13352.467129999995</v>
      </c>
      <c r="L10" s="4">
        <v>177.39215859999996</v>
      </c>
      <c r="M10" s="4">
        <v>15.39405507</v>
      </c>
      <c r="N10" s="4">
        <v>0</v>
      </c>
      <c r="O10" s="4">
        <v>192.78621366999997</v>
      </c>
      <c r="P10" s="4">
        <v>242.23600399999998</v>
      </c>
      <c r="Q10" s="4">
        <f t="shared" si="1"/>
        <v>79.586110440461184</v>
      </c>
    </row>
    <row r="11" spans="1:17" ht="22.15" customHeight="1" x14ac:dyDescent="0.25">
      <c r="A11" s="5">
        <v>43709</v>
      </c>
      <c r="B11" s="6">
        <v>15408</v>
      </c>
      <c r="C11" s="6">
        <v>24496</v>
      </c>
      <c r="D11" s="6">
        <v>15704.451999999999</v>
      </c>
      <c r="E11" s="6">
        <v>1950459</v>
      </c>
      <c r="F11" s="6">
        <v>2216.6707449999999</v>
      </c>
      <c r="G11" s="6">
        <v>2514.8504819999998</v>
      </c>
      <c r="H11" s="7">
        <f t="shared" si="0"/>
        <v>88.143241948807045</v>
      </c>
      <c r="I11" s="7">
        <v>13154.79651</v>
      </c>
      <c r="J11" s="7">
        <v>0</v>
      </c>
      <c r="K11" s="7">
        <v>13154.800000000001</v>
      </c>
      <c r="L11" s="7">
        <v>166.25030629</v>
      </c>
      <c r="M11" s="7">
        <v>15.356563949999899</v>
      </c>
      <c r="N11" s="7">
        <v>0</v>
      </c>
      <c r="O11" s="7">
        <v>181.60687023999992</v>
      </c>
      <c r="P11" s="7">
        <v>226.68852300000003</v>
      </c>
      <c r="Q11" s="7">
        <f t="shared" si="1"/>
        <v>80.112953155550741</v>
      </c>
    </row>
    <row r="12" spans="1:17" ht="22.15" customHeight="1" x14ac:dyDescent="0.25">
      <c r="A12" s="2">
        <v>43739</v>
      </c>
      <c r="B12" s="3">
        <v>18026</v>
      </c>
      <c r="C12" s="3">
        <v>29618</v>
      </c>
      <c r="D12" s="3">
        <v>18334.827000000001</v>
      </c>
      <c r="E12" s="3">
        <v>2262071</v>
      </c>
      <c r="F12" s="3">
        <v>2580.9628400000001</v>
      </c>
      <c r="G12" s="3">
        <v>2977.1880810000002</v>
      </c>
      <c r="H12" s="4">
        <f t="shared" si="0"/>
        <v>86.691292917345251</v>
      </c>
      <c r="I12" s="4">
        <v>15228.343359999995</v>
      </c>
      <c r="J12" s="4">
        <v>0</v>
      </c>
      <c r="K12" s="4">
        <v>15228.343359999995</v>
      </c>
      <c r="L12" s="4">
        <v>193.57221342</v>
      </c>
      <c r="M12" s="4">
        <v>16.525372730000001</v>
      </c>
      <c r="N12" s="4">
        <v>0</v>
      </c>
      <c r="O12" s="4">
        <v>210.09758614999998</v>
      </c>
      <c r="P12" s="4">
        <v>264.0475295</v>
      </c>
      <c r="Q12" s="4">
        <f t="shared" si="1"/>
        <v>79.56809387606863</v>
      </c>
    </row>
    <row r="13" spans="1:17" ht="22.15" customHeight="1" x14ac:dyDescent="0.25">
      <c r="A13" s="5">
        <v>43770</v>
      </c>
      <c r="B13" s="6">
        <v>17998</v>
      </c>
      <c r="C13" s="6">
        <v>29076</v>
      </c>
      <c r="D13" s="6">
        <v>18477.171999999999</v>
      </c>
      <c r="E13" s="6">
        <v>2352605</v>
      </c>
      <c r="F13" s="6">
        <v>2747.5695890000002</v>
      </c>
      <c r="G13" s="6">
        <v>3025.0308329999998</v>
      </c>
      <c r="H13" s="7">
        <f t="shared" si="0"/>
        <v>90.82782096059384</v>
      </c>
      <c r="I13" s="7">
        <v>13152.570099999995</v>
      </c>
      <c r="J13" s="7">
        <v>0</v>
      </c>
      <c r="K13" s="7">
        <v>13152.570099999995</v>
      </c>
      <c r="L13" s="7">
        <v>206.06771965500002</v>
      </c>
      <c r="M13" s="7">
        <v>14.653142649999999</v>
      </c>
      <c r="N13" s="7">
        <v>0</v>
      </c>
      <c r="O13" s="7">
        <v>220.72086230499997</v>
      </c>
      <c r="P13" s="7">
        <v>266.40062599999999</v>
      </c>
      <c r="Q13" s="7">
        <f t="shared" si="1"/>
        <v>82.852981848848955</v>
      </c>
    </row>
    <row r="14" spans="1:17" ht="22.15" customHeight="1" x14ac:dyDescent="0.25">
      <c r="A14" s="2">
        <v>43800</v>
      </c>
      <c r="B14" s="3">
        <v>18518</v>
      </c>
      <c r="C14" s="3">
        <v>31213.516666666666</v>
      </c>
      <c r="D14" s="3">
        <v>19111.046000000002</v>
      </c>
      <c r="E14" s="3">
        <v>2433398</v>
      </c>
      <c r="F14" s="3">
        <v>2865.4520109999999</v>
      </c>
      <c r="G14" s="3">
        <v>3130.5957250000001</v>
      </c>
      <c r="H14" s="4">
        <f t="shared" si="0"/>
        <v>91.530566790127452</v>
      </c>
      <c r="I14" s="4">
        <v>15275.755490000009</v>
      </c>
      <c r="J14" s="4">
        <v>0</v>
      </c>
      <c r="K14" s="4">
        <v>15275.755490000009</v>
      </c>
      <c r="L14" s="4">
        <v>214.90890127</v>
      </c>
      <c r="M14" s="4">
        <v>17.518066910000002</v>
      </c>
      <c r="N14" s="4">
        <v>0</v>
      </c>
      <c r="O14" s="4">
        <v>232.42696818000002</v>
      </c>
      <c r="P14" s="4">
        <v>274.98103100000003</v>
      </c>
      <c r="Q14" s="4">
        <f t="shared" si="1"/>
        <v>84.524727882047983</v>
      </c>
    </row>
    <row r="15" spans="1:17" ht="22.15" customHeight="1" x14ac:dyDescent="0.25">
      <c r="A15" s="5">
        <v>43831</v>
      </c>
      <c r="B15" s="6">
        <v>18575</v>
      </c>
      <c r="C15" s="6">
        <v>31314.916666666664</v>
      </c>
      <c r="D15" s="6">
        <v>19094.084999999999</v>
      </c>
      <c r="E15" s="6">
        <v>2401130</v>
      </c>
      <c r="F15" s="6">
        <v>2805.4912450000002</v>
      </c>
      <c r="G15" s="6">
        <v>3130.7793530000004</v>
      </c>
      <c r="H15" s="7">
        <f t="shared" si="0"/>
        <v>89.609995744724074</v>
      </c>
      <c r="I15" s="7">
        <v>15866.005439999997</v>
      </c>
      <c r="J15" s="7">
        <v>0</v>
      </c>
      <c r="K15" s="7">
        <v>15866.005439999997</v>
      </c>
      <c r="L15" s="7">
        <v>210.41184393500001</v>
      </c>
      <c r="M15" s="7">
        <v>17.444025809999999</v>
      </c>
      <c r="N15" s="7">
        <v>0</v>
      </c>
      <c r="O15" s="7">
        <v>227.85586974500001</v>
      </c>
      <c r="P15" s="7">
        <v>274.55838549999999</v>
      </c>
      <c r="Q15" s="7">
        <f t="shared" si="1"/>
        <v>82.98995105541951</v>
      </c>
    </row>
    <row r="16" spans="1:17" ht="22.15" customHeight="1" x14ac:dyDescent="0.25">
      <c r="A16" s="2">
        <v>43862</v>
      </c>
      <c r="B16" s="3">
        <v>16557</v>
      </c>
      <c r="C16" s="3">
        <v>27439.266666666666</v>
      </c>
      <c r="D16" s="3">
        <v>16634.362000000001</v>
      </c>
      <c r="E16" s="3">
        <v>2124082</v>
      </c>
      <c r="F16" s="3">
        <v>2407.1952890000002</v>
      </c>
      <c r="G16" s="3">
        <v>2703.3649140000002</v>
      </c>
      <c r="H16" s="4">
        <f t="shared" si="0"/>
        <v>89.044408194165086</v>
      </c>
      <c r="I16" s="4">
        <v>14553.523540000006</v>
      </c>
      <c r="J16" s="4">
        <v>0</v>
      </c>
      <c r="K16" s="4">
        <v>14553.523540000006</v>
      </c>
      <c r="L16" s="4">
        <v>180.53964687000001</v>
      </c>
      <c r="M16" s="4">
        <v>15.43078259</v>
      </c>
      <c r="N16" s="4">
        <v>0</v>
      </c>
      <c r="O16" s="4">
        <v>195.97042946000002</v>
      </c>
      <c r="P16" s="4">
        <v>235.30112299999999</v>
      </c>
      <c r="Q16" s="4">
        <f t="shared" si="1"/>
        <v>83.284952898418609</v>
      </c>
    </row>
    <row r="17" spans="1:17" ht="22.15" customHeight="1" x14ac:dyDescent="0.25">
      <c r="A17" s="5">
        <v>43891</v>
      </c>
      <c r="B17" s="6">
        <v>11862</v>
      </c>
      <c r="C17" s="6">
        <v>18663.966666666667</v>
      </c>
      <c r="D17" s="6">
        <v>11238.932999999999</v>
      </c>
      <c r="E17" s="6">
        <v>1360256</v>
      </c>
      <c r="F17" s="6">
        <v>1490.7748799999999</v>
      </c>
      <c r="G17" s="6">
        <v>1813.2385089999998</v>
      </c>
      <c r="H17" s="7">
        <f t="shared" si="0"/>
        <v>82.216149315191942</v>
      </c>
      <c r="I17" s="7">
        <v>10674.830870000003</v>
      </c>
      <c r="J17" s="7">
        <v>0</v>
      </c>
      <c r="K17" s="7">
        <v>10674.830870000003</v>
      </c>
      <c r="L17" s="7">
        <v>111.8081163649999</v>
      </c>
      <c r="M17" s="7">
        <v>9.67229399</v>
      </c>
      <c r="N17" s="7">
        <v>0</v>
      </c>
      <c r="O17" s="7">
        <v>121.4804103549999</v>
      </c>
      <c r="P17" s="7">
        <v>157.257487</v>
      </c>
      <c r="Q17" s="7">
        <f t="shared" si="1"/>
        <v>77.249365147873633</v>
      </c>
    </row>
    <row r="18" spans="1:17" ht="22.15" customHeight="1" x14ac:dyDescent="0.25">
      <c r="A18" s="8" t="s">
        <v>22</v>
      </c>
      <c r="B18" s="9">
        <f>SUM(B6:B17)</f>
        <v>195976</v>
      </c>
      <c r="C18" s="9">
        <f t="shared" ref="C18:P18" si="2">SUM(C6:C17)</f>
        <v>316834.66666666669</v>
      </c>
      <c r="D18" s="9">
        <f t="shared" si="2"/>
        <v>194606.98099999997</v>
      </c>
      <c r="E18" s="9">
        <f t="shared" si="2"/>
        <v>24783266</v>
      </c>
      <c r="F18" s="9">
        <f t="shared" si="2"/>
        <v>28070.615241000003</v>
      </c>
      <c r="G18" s="9">
        <f t="shared" si="2"/>
        <v>31324.449610000003</v>
      </c>
      <c r="H18" s="10">
        <f t="shared" si="0"/>
        <v>89.612477124063346</v>
      </c>
      <c r="I18" s="10">
        <f t="shared" si="2"/>
        <v>156259.624093608</v>
      </c>
      <c r="J18" s="4">
        <v>0</v>
      </c>
      <c r="K18" s="9">
        <f t="shared" si="2"/>
        <v>156259.627583608</v>
      </c>
      <c r="L18" s="9">
        <f t="shared" si="2"/>
        <v>2105.2959753250002</v>
      </c>
      <c r="M18" s="10">
        <f t="shared" si="2"/>
        <v>169.41628550999991</v>
      </c>
      <c r="N18" s="4">
        <v>0</v>
      </c>
      <c r="O18" s="9">
        <f t="shared" si="2"/>
        <v>2274.7122608350001</v>
      </c>
      <c r="P18" s="9">
        <f t="shared" si="2"/>
        <v>2778.0563829999996</v>
      </c>
      <c r="Q18" s="10">
        <f t="shared" si="1"/>
        <v>81.881428856334352</v>
      </c>
    </row>
    <row r="19" spans="1:17" ht="22.15" customHeight="1" x14ac:dyDescent="0.25">
      <c r="A19" s="13" t="s">
        <v>21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dcterms:created xsi:type="dcterms:W3CDTF">2020-06-03T10:37:13Z</dcterms:created>
  <dcterms:modified xsi:type="dcterms:W3CDTF">2021-09-15T01:09:28Z</dcterms:modified>
</cp:coreProperties>
</file>