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6" i="1"/>
  <c r="Q17" i="1" l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<sst xmlns="http://schemas.openxmlformats.org/spreadsheetml/2006/main" count="26" uniqueCount="24">
  <si>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Table 1.03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</si>
  <si>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</si>
  <si>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</si>
  <si>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</si>
  <si>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</si>
  <si>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</si>
  <si>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</si>
  <si>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</si>
  <si>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</si>
  <si>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</si>
  <si>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</si>
  <si>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</si>
  <si>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</si>
  <si>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</si>
  <si>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</si>
  <si>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</si>
  <si>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</si>
  <si>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</si>
  <si>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</si>
  <si>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</si>
  <si>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</si>
  <si>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 तालिका- 1.03 (सभी अनुसूचित भारतीय एयरलाइन्स) </t>
  </si>
  <si>
    <t xml:space="preserve"> MONTHLY TRAFFIC AND OPERATING STATISTICS OF ALL SCHEDULED INDIAN AIRLINES ON TOTAL SCHEDULED (INTERNATIONAL+DOMESTIC) SERVICES DURING2019-20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</si>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</sst>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3" fontId="0" fillId="0" borderId="0" xfId="0" applyNumberFormat="1" applyFont="1"/>
    <xf numFmtId="17" fontId="1" fillId="2" borderId="1" xfId="0" applyNumberFormat="1" applyFont="1" applyFill="1" applyBorder="1" applyAlignment="1" applyProtection="1">
      <alignment horizontal="center" vertical="center" wrapText="1"/>
    </xf>
    <xf numFmtId="17" fontId="3" fillId="4" borderId="1" xfId="2" applyNumberFormat="1" applyBorder="1" applyAlignment="1" applyProtection="1">
      <alignment horizontal="center" vertical="center" wrapText="1"/>
    </xf>
    <xf numFmtId="0" fontId="4" fillId="4" borderId="1" xfId="2" applyFon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64" fontId="3" fillId="4" borderId="1" xfId="2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3" fillId="3" borderId="1" xfId="1" applyFont="1" applyBorder="1" applyAlignment="1" applyProtection="1">
      <alignment horizontal="center" vertical="center" textRotation="90" wrapText="1"/>
    </xf>
    <xf numFmtId="0" fontId="3" fillId="3" borderId="1" xfId="1" applyFont="1" applyBorder="1" applyAlignment="1" applyProtection="1">
      <alignment horizontal="center" vertical="center" textRotation="90" wrapText="1"/>
    </xf>
    <xf numFmtId="0" fontId="3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4" borderId="1" xfId="2" applyFont="1" applyBorder="1" applyAlignment="1">
      <alignment horizontal="center" vertical="center" wrapText="1"/>
    </xf>
    <xf numFmtId="0" fontId="3" fillId="4" borderId="1" xfId="2" quotePrefix="1" applyFont="1" applyBorder="1" applyAlignment="1" applyProtection="1">
      <alignment horizontal="center" vertical="center" wrapText="1"/>
    </xf>
    <xf numFmtId="0" fontId="3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3" borderId="1" xfId="1" applyFont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R19"/>
  <sheetViews>
    <sheetView tabSelected="1" zoomScale="95" zoomScaleNormal="95" zoomScaleSheetLayoutView="100" workbookViewId="0">
      <selection activeCell="R13" sqref="R13"/>
    </sheetView>
  </sheetViews>
  <sheetFormatPr defaultColWidth="9.140625" defaultRowHeight="15" x14ac:dyDescent="0.25"/>
  <cols>
    <col min="1" max="1" width="8.8554687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9.1406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8" ht="18.75" customHeight="1" x14ac:dyDescent="0.25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8" ht="18.75" customHeight="1" x14ac:dyDescent="0.25">
      <c r="A3" s="19" t="s">
        <v>22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8" ht="28.5" customHeight="1" x14ac:dyDescent="0.25">
      <c r="A4" s="21" t="s">
        <v>1</v>
      </c>
      <c r="B4" s="21" t="s">
        <v>2</v>
      </c>
      <c r="C4" s="21"/>
      <c r="D4" s="21"/>
      <c r="E4" s="21" t="s">
        <v>3</v>
      </c>
      <c r="F4" s="20"/>
      <c r="G4" s="13" t="s">
        <v>4</v>
      </c>
      <c r="H4" s="13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3" t="s">
        <v>8</v>
      </c>
      <c r="Q4" s="13" t="s">
        <v>9</v>
      </c>
    </row>
    <row r="5" spans="1:18" ht="115.5" customHeight="1" x14ac:dyDescent="0.25">
      <c r="A5" s="21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4"/>
      <c r="H5" s="14"/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16</v>
      </c>
      <c r="O5" s="12" t="s">
        <v>17</v>
      </c>
      <c r="P5" s="14"/>
      <c r="Q5" s="14"/>
    </row>
    <row r="6" spans="1:18" ht="30" customHeight="1" x14ac:dyDescent="0.25">
      <c r="A6" s="4">
        <v>43556</v>
      </c>
      <c r="B6" s="6">
        <v>92571</v>
      </c>
      <c r="C6" s="6">
        <v>185912.58499999999</v>
      </c>
      <c r="D6" s="6">
        <v>116829.09789999999</v>
      </c>
      <c r="E6" s="6">
        <v>12798463</v>
      </c>
      <c r="F6" s="6">
        <v>16829.273991999999</v>
      </c>
      <c r="G6" s="6">
        <v>19563.860654000004</v>
      </c>
      <c r="H6" s="9">
        <f>F6/G6*100</f>
        <v>86.022254449860355</v>
      </c>
      <c r="I6" s="9">
        <v>76943.697149999993</v>
      </c>
      <c r="J6" s="9">
        <v>2762.4634000000005</v>
      </c>
      <c r="K6" s="9">
        <v>79706.161550000004</v>
      </c>
      <c r="L6" s="9">
        <v>1511.6620480000001</v>
      </c>
      <c r="M6" s="9">
        <v>158.39961899999997</v>
      </c>
      <c r="N6" s="9">
        <v>4.245266</v>
      </c>
      <c r="O6" s="9">
        <f>SUM(L6:N6)</f>
        <v>1674.3069330000001</v>
      </c>
      <c r="P6" s="9">
        <v>2274.9994558000003</v>
      </c>
      <c r="Q6" s="9">
        <f>O6/P6*100</f>
        <v>73.595926747649813</v>
      </c>
    </row>
    <row r="7" spans="1:18" ht="30" customHeight="1" x14ac:dyDescent="0.25">
      <c r="A7" s="3">
        <v>43586</v>
      </c>
      <c r="B7" s="7">
        <v>98338</v>
      </c>
      <c r="C7" s="7">
        <v>195617.02599999998</v>
      </c>
      <c r="D7" s="7">
        <v>122398.003</v>
      </c>
      <c r="E7" s="7">
        <v>13924452</v>
      </c>
      <c r="F7" s="7">
        <v>17851.558116</v>
      </c>
      <c r="G7" s="7">
        <v>20272.640237</v>
      </c>
      <c r="H7" s="10">
        <f t="shared" ref="H7:H18" si="0">F7/G7*100</f>
        <v>88.057391179954763</v>
      </c>
      <c r="I7" s="10">
        <v>81162.98896360799</v>
      </c>
      <c r="J7" s="10">
        <v>2961.2580000000007</v>
      </c>
      <c r="K7" s="10">
        <v>84124.243963608009</v>
      </c>
      <c r="L7" s="10">
        <v>1604.0466343925766</v>
      </c>
      <c r="M7" s="10">
        <v>156.01631373306</v>
      </c>
      <c r="N7" s="10">
        <v>4.8855399819999992</v>
      </c>
      <c r="O7" s="10">
        <f t="shared" ref="O7:O17" si="1">SUM(L7:N7)</f>
        <v>1764.9484881076366</v>
      </c>
      <c r="P7" s="10">
        <v>2319.0110801700025</v>
      </c>
      <c r="Q7" s="10">
        <f t="shared" ref="Q7:Q18" si="2">O7/P7*100</f>
        <v>76.107807470167472</v>
      </c>
      <c r="R7" s="2"/>
    </row>
    <row r="8" spans="1:18" ht="30" customHeight="1" x14ac:dyDescent="0.25">
      <c r="A8" s="4">
        <v>43617</v>
      </c>
      <c r="B8" s="6">
        <v>97416</v>
      </c>
      <c r="C8" s="6">
        <v>193174.47333333333</v>
      </c>
      <c r="D8" s="6">
        <v>120568.07499999998</v>
      </c>
      <c r="E8" s="6">
        <v>13799659</v>
      </c>
      <c r="F8" s="6">
        <v>17849.105669</v>
      </c>
      <c r="G8" s="6">
        <v>20198.729946000003</v>
      </c>
      <c r="H8" s="9">
        <f t="shared" si="0"/>
        <v>88.367465264986606</v>
      </c>
      <c r="I8" s="9">
        <v>76054.822140000018</v>
      </c>
      <c r="J8" s="9">
        <v>2752.1489999999999</v>
      </c>
      <c r="K8" s="9">
        <v>78806.971140000009</v>
      </c>
      <c r="L8" s="9">
        <v>1607.1006658439987</v>
      </c>
      <c r="M8" s="9">
        <v>139.35689495329001</v>
      </c>
      <c r="N8" s="9">
        <v>4.8153399170000002</v>
      </c>
      <c r="O8" s="9">
        <f t="shared" si="1"/>
        <v>1751.2729007142889</v>
      </c>
      <c r="P8" s="9">
        <v>2312.2545556832979</v>
      </c>
      <c r="Q8" s="9">
        <f t="shared" si="2"/>
        <v>75.73875879754803</v>
      </c>
    </row>
    <row r="9" spans="1:18" ht="30" customHeight="1" x14ac:dyDescent="0.25">
      <c r="A9" s="3">
        <v>43647</v>
      </c>
      <c r="B9" s="7">
        <v>100019</v>
      </c>
      <c r="C9" s="7">
        <v>198654.45666666667</v>
      </c>
      <c r="D9" s="7">
        <v>123388.99799999998</v>
      </c>
      <c r="E9" s="7">
        <v>13693754</v>
      </c>
      <c r="F9" s="7">
        <v>17525.791810000002</v>
      </c>
      <c r="G9" s="7">
        <v>20640.896102000002</v>
      </c>
      <c r="H9" s="10">
        <f t="shared" si="0"/>
        <v>84.908095672754442</v>
      </c>
      <c r="I9" s="10">
        <v>81384.942979999978</v>
      </c>
      <c r="J9" s="10">
        <v>3058.5199999999995</v>
      </c>
      <c r="K9" s="10">
        <v>84443.462979999982</v>
      </c>
      <c r="L9" s="10">
        <v>1579.3836590489984</v>
      </c>
      <c r="M9" s="10">
        <v>148.22438832563998</v>
      </c>
      <c r="N9" s="10">
        <v>5.6956910400000016</v>
      </c>
      <c r="O9" s="10">
        <f t="shared" si="1"/>
        <v>1733.3037384146382</v>
      </c>
      <c r="P9" s="10">
        <v>2346.3916923950019</v>
      </c>
      <c r="Q9" s="10">
        <f t="shared" si="2"/>
        <v>73.871031168092216</v>
      </c>
    </row>
    <row r="10" spans="1:18" ht="30" customHeight="1" x14ac:dyDescent="0.25">
      <c r="A10" s="4">
        <v>43678</v>
      </c>
      <c r="B10" s="6">
        <v>101201</v>
      </c>
      <c r="C10" s="6">
        <v>204155.02000000002</v>
      </c>
      <c r="D10" s="6">
        <v>126537.15500000001</v>
      </c>
      <c r="E10" s="6">
        <v>13732155</v>
      </c>
      <c r="F10" s="6">
        <v>17788.915364999997</v>
      </c>
      <c r="G10" s="6">
        <v>21293.503228999998</v>
      </c>
      <c r="H10" s="9">
        <f t="shared" si="0"/>
        <v>83.541515802683691</v>
      </c>
      <c r="I10" s="9">
        <v>79994.487329999989</v>
      </c>
      <c r="J10" s="9">
        <v>2782.4670000000006</v>
      </c>
      <c r="K10" s="9">
        <v>82776.954329999993</v>
      </c>
      <c r="L10" s="9">
        <v>1601.443481301</v>
      </c>
      <c r="M10" s="9">
        <v>140.59605782170993</v>
      </c>
      <c r="N10" s="9">
        <v>5.2054739220000004</v>
      </c>
      <c r="O10" s="9">
        <f t="shared" si="1"/>
        <v>1747.24501304471</v>
      </c>
      <c r="P10" s="9">
        <v>2438.9448193162011</v>
      </c>
      <c r="Q10" s="9">
        <f t="shared" si="2"/>
        <v>71.639382703811208</v>
      </c>
    </row>
    <row r="11" spans="1:18" ht="30" customHeight="1" x14ac:dyDescent="0.25">
      <c r="A11" s="3">
        <v>43709</v>
      </c>
      <c r="B11" s="7">
        <v>99325</v>
      </c>
      <c r="C11" s="7">
        <v>197996.42333333331</v>
      </c>
      <c r="D11" s="7">
        <v>124140.73699999998</v>
      </c>
      <c r="E11" s="7">
        <v>13368171</v>
      </c>
      <c r="F11" s="7">
        <v>17073.322924</v>
      </c>
      <c r="G11" s="7">
        <v>20981.137848000002</v>
      </c>
      <c r="H11" s="10">
        <f t="shared" si="0"/>
        <v>81.374628238417927</v>
      </c>
      <c r="I11" s="10">
        <v>79576.831269999995</v>
      </c>
      <c r="J11" s="10">
        <v>2634.5630000000001</v>
      </c>
      <c r="K11" s="10">
        <v>82211.397759999993</v>
      </c>
      <c r="L11" s="10">
        <v>1550.2868210950001</v>
      </c>
      <c r="M11" s="10">
        <v>141.39331764904995</v>
      </c>
      <c r="N11" s="10">
        <v>5.5340999759999994</v>
      </c>
      <c r="O11" s="10">
        <f t="shared" si="1"/>
        <v>1697.2142387200502</v>
      </c>
      <c r="P11" s="10">
        <v>2576.977858238798</v>
      </c>
      <c r="Q11" s="10">
        <f t="shared" si="2"/>
        <v>65.86064499133839</v>
      </c>
    </row>
    <row r="12" spans="1:18" ht="30" customHeight="1" x14ac:dyDescent="0.25">
      <c r="A12" s="4">
        <v>43739</v>
      </c>
      <c r="B12" s="6">
        <v>107798</v>
      </c>
      <c r="C12" s="6">
        <v>218038.32666666666</v>
      </c>
      <c r="D12" s="6">
        <v>133249.52199999997</v>
      </c>
      <c r="E12" s="6">
        <v>14273907</v>
      </c>
      <c r="F12" s="6">
        <v>18315.526505999998</v>
      </c>
      <c r="G12" s="6">
        <v>22751.386029999998</v>
      </c>
      <c r="H12" s="9">
        <f t="shared" si="0"/>
        <v>80.502904226797995</v>
      </c>
      <c r="I12" s="9">
        <v>84543.265679999997</v>
      </c>
      <c r="J12" s="9">
        <v>2519.3979999999997</v>
      </c>
      <c r="K12" s="9">
        <v>87062.663679999983</v>
      </c>
      <c r="L12" s="9">
        <v>1676.7054685999999</v>
      </c>
      <c r="M12" s="9">
        <v>149.73860136519994</v>
      </c>
      <c r="N12" s="9">
        <v>4.9696354220000005</v>
      </c>
      <c r="O12" s="9">
        <f t="shared" si="1"/>
        <v>1831.4137053871998</v>
      </c>
      <c r="P12" s="9">
        <v>2952.027683004103</v>
      </c>
      <c r="Q12" s="9">
        <f t="shared" si="2"/>
        <v>62.03917788208134</v>
      </c>
    </row>
    <row r="13" spans="1:18" ht="30" customHeight="1" x14ac:dyDescent="0.25">
      <c r="A13" s="3">
        <v>43770</v>
      </c>
      <c r="B13" s="7">
        <v>106140</v>
      </c>
      <c r="C13" s="7">
        <v>216133.47666666668</v>
      </c>
      <c r="D13" s="7">
        <v>131814.152</v>
      </c>
      <c r="E13" s="7">
        <v>15036750</v>
      </c>
      <c r="F13" s="7">
        <v>19362.933505999998</v>
      </c>
      <c r="G13" s="7">
        <v>22433.34823</v>
      </c>
      <c r="H13" s="10">
        <f t="shared" si="0"/>
        <v>86.31316782265273</v>
      </c>
      <c r="I13" s="10">
        <v>76771.566690000007</v>
      </c>
      <c r="J13" s="10">
        <v>2930.8559999999975</v>
      </c>
      <c r="K13" s="10">
        <v>79702.422690000007</v>
      </c>
      <c r="L13" s="10">
        <v>1743.4420791769999</v>
      </c>
      <c r="M13" s="10">
        <v>146.32478606647004</v>
      </c>
      <c r="N13" s="10">
        <v>5.7654080560000054</v>
      </c>
      <c r="O13" s="10">
        <f t="shared" si="1"/>
        <v>1895.53227329947</v>
      </c>
      <c r="P13" s="10">
        <v>2649.6250669748006</v>
      </c>
      <c r="Q13" s="10">
        <f t="shared" si="2"/>
        <v>71.539641473262733</v>
      </c>
    </row>
    <row r="14" spans="1:18" ht="30" customHeight="1" x14ac:dyDescent="0.25">
      <c r="A14" s="4">
        <v>43800</v>
      </c>
      <c r="B14" s="6">
        <v>109364</v>
      </c>
      <c r="C14" s="6">
        <v>225077.56366666668</v>
      </c>
      <c r="D14" s="6">
        <v>136235.76700000002</v>
      </c>
      <c r="E14" s="6">
        <v>15323321</v>
      </c>
      <c r="F14" s="6">
        <v>20099.846224000001</v>
      </c>
      <c r="G14" s="6">
        <v>23220.091141000001</v>
      </c>
      <c r="H14" s="9">
        <f t="shared" si="0"/>
        <v>86.562305470496</v>
      </c>
      <c r="I14" s="9">
        <v>76195.40429000002</v>
      </c>
      <c r="J14" s="9">
        <v>3020.027</v>
      </c>
      <c r="K14" s="9">
        <v>79215.431290000008</v>
      </c>
      <c r="L14" s="9">
        <v>1840.1080845150002</v>
      </c>
      <c r="M14" s="9">
        <v>152.17091990699998</v>
      </c>
      <c r="N14" s="9">
        <v>5.9453794010000003</v>
      </c>
      <c r="O14" s="9">
        <f t="shared" si="1"/>
        <v>1998.2243838230002</v>
      </c>
      <c r="P14" s="9">
        <v>3051.7738311721018</v>
      </c>
      <c r="Q14" s="9">
        <f t="shared" si="2"/>
        <v>65.477472917956618</v>
      </c>
    </row>
    <row r="15" spans="1:18" ht="30" customHeight="1" x14ac:dyDescent="0.25">
      <c r="A15" s="3">
        <v>43831</v>
      </c>
      <c r="B15" s="7">
        <v>109887</v>
      </c>
      <c r="C15" s="7">
        <v>229245.83999999997</v>
      </c>
      <c r="D15" s="7">
        <v>136522.29400000002</v>
      </c>
      <c r="E15" s="7">
        <v>15059232</v>
      </c>
      <c r="F15" s="7">
        <v>19895.257666000001</v>
      </c>
      <c r="G15" s="7">
        <v>23241.992108000002</v>
      </c>
      <c r="H15" s="10">
        <f t="shared" si="0"/>
        <v>85.600483700155635</v>
      </c>
      <c r="I15" s="10">
        <v>77129.823339999988</v>
      </c>
      <c r="J15" s="10">
        <v>3172.8214999999987</v>
      </c>
      <c r="K15" s="10">
        <v>80302.644839999994</v>
      </c>
      <c r="L15" s="10">
        <v>1818.22604082</v>
      </c>
      <c r="M15" s="10">
        <v>146.3069189448</v>
      </c>
      <c r="N15" s="10">
        <v>5.8007552310000055</v>
      </c>
      <c r="O15" s="10">
        <f t="shared" si="1"/>
        <v>1970.3337149957999</v>
      </c>
      <c r="P15" s="10">
        <v>2968.6189373226998</v>
      </c>
      <c r="Q15" s="10">
        <f t="shared" si="2"/>
        <v>66.372065819022879</v>
      </c>
    </row>
    <row r="16" spans="1:18" ht="30" customHeight="1" x14ac:dyDescent="0.25">
      <c r="A16" s="4">
        <v>43862</v>
      </c>
      <c r="B16" s="6">
        <v>103950</v>
      </c>
      <c r="C16" s="6">
        <v>213860.14666666675</v>
      </c>
      <c r="D16" s="6">
        <v>126470.64000000001</v>
      </c>
      <c r="E16" s="6">
        <v>14266157</v>
      </c>
      <c r="F16" s="6">
        <v>18201.465836000003</v>
      </c>
      <c r="G16" s="6">
        <v>21587.561647000002</v>
      </c>
      <c r="H16" s="9">
        <f t="shared" si="0"/>
        <v>84.314598071012057</v>
      </c>
      <c r="I16" s="9">
        <v>75054.536439999996</v>
      </c>
      <c r="J16" s="9">
        <v>2879.5916000000007</v>
      </c>
      <c r="K16" s="9">
        <v>77934.128040000011</v>
      </c>
      <c r="L16" s="9">
        <v>1659.947390221</v>
      </c>
      <c r="M16" s="9">
        <v>145.04489993419998</v>
      </c>
      <c r="N16" s="9">
        <v>4.8110943510000004</v>
      </c>
      <c r="O16" s="9">
        <f t="shared" si="1"/>
        <v>1809.8033845062</v>
      </c>
      <c r="P16" s="9">
        <v>2715.1624572316</v>
      </c>
      <c r="Q16" s="9">
        <f t="shared" si="2"/>
        <v>66.655436387828118</v>
      </c>
    </row>
    <row r="17" spans="1:17" ht="30" customHeight="1" x14ac:dyDescent="0.25">
      <c r="A17" s="3">
        <v>43891</v>
      </c>
      <c r="B17" s="7">
        <v>76213</v>
      </c>
      <c r="C17" s="7">
        <v>148388.54666666666</v>
      </c>
      <c r="D17" s="7">
        <v>87110.807000000015</v>
      </c>
      <c r="E17" s="7">
        <v>8649003</v>
      </c>
      <c r="F17" s="7">
        <v>10692.269059999999</v>
      </c>
      <c r="G17" s="7">
        <v>14746.701019000002</v>
      </c>
      <c r="H17" s="10">
        <f t="shared" si="0"/>
        <v>72.50617644057354</v>
      </c>
      <c r="I17" s="10">
        <v>54605.212370000001</v>
      </c>
      <c r="J17" s="10">
        <v>662.1948000000001</v>
      </c>
      <c r="K17" s="10">
        <v>55267.407170000006</v>
      </c>
      <c r="L17" s="10">
        <v>970.83886209299999</v>
      </c>
      <c r="M17" s="10">
        <v>99.243595000200031</v>
      </c>
      <c r="N17" s="10">
        <v>1.9553928927999999</v>
      </c>
      <c r="O17" s="10">
        <f t="shared" si="1"/>
        <v>1072.0378499860001</v>
      </c>
      <c r="P17" s="10">
        <v>1823.4317631048</v>
      </c>
      <c r="Q17" s="10">
        <f t="shared" si="2"/>
        <v>58.792320704154896</v>
      </c>
    </row>
    <row r="18" spans="1:17" ht="30" customHeight="1" x14ac:dyDescent="0.25">
      <c r="A18" s="5" t="s">
        <v>23</v>
      </c>
      <c r="B18" s="8">
        <f>SUM(B6:B17)</f>
        <v>1202222</v>
      </c>
      <c r="C18" s="8">
        <f t="shared" ref="C18:G18" si="3">SUM(C6:C17)</f>
        <v>2426253.8846666673</v>
      </c>
      <c r="D18" s="8">
        <f t="shared" si="3"/>
        <v>1485265.2478999998</v>
      </c>
      <c r="E18" s="8">
        <f t="shared" si="3"/>
        <v>163925024</v>
      </c>
      <c r="F18" s="8">
        <f t="shared" si="3"/>
        <v>211485.26667399998</v>
      </c>
      <c r="G18" s="8">
        <f t="shared" si="3"/>
        <v>250931.84819100003</v>
      </c>
      <c r="H18" s="11">
        <f t="shared" si="0"/>
        <v>84.279962148537336</v>
      </c>
      <c r="I18" s="11">
        <f t="shared" ref="I18" si="4">SUM(I6:I17)</f>
        <v>919417.57864360779</v>
      </c>
      <c r="J18" s="11">
        <f t="shared" ref="J18" si="5">SUM(J6:J17)</f>
        <v>32136.309299999997</v>
      </c>
      <c r="K18" s="11">
        <f t="shared" ref="K18" si="6">SUM(K6:K17)</f>
        <v>951553.88943360792</v>
      </c>
      <c r="L18" s="8">
        <f t="shared" ref="L18" si="7">SUM(L6:L17)</f>
        <v>19163.191235107573</v>
      </c>
      <c r="M18" s="8">
        <f t="shared" ref="M18:N18" si="8">SUM(M6:M17)</f>
        <v>1722.8163127006196</v>
      </c>
      <c r="N18" s="8">
        <f t="shared" si="8"/>
        <v>59.629076190800014</v>
      </c>
      <c r="O18" s="8">
        <f t="shared" ref="O18" si="9">SUM(O6:O17)</f>
        <v>20945.636623998995</v>
      </c>
      <c r="P18" s="8">
        <f t="shared" ref="P18" si="10">SUM(P6:P17)</f>
        <v>30429.219200413405</v>
      </c>
      <c r="Q18" s="11">
        <f t="shared" si="2"/>
        <v>68.833960168502884</v>
      </c>
    </row>
    <row r="19" spans="1:17" x14ac:dyDescent="0.25">
      <c r="A19" s="15" t="s">
        <v>20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2020-06-11T07:28:47Z</cp:lastPrinted>
  <dcterms:created xsi:type="dcterms:W3CDTF">2018-10-29T04:00:10Z</dcterms:created>
  <dcterms:modified xsi:type="dcterms:W3CDTF">2021-09-14T20:34:56Z</dcterms:modified>
</cp:coreProperties>
</file>