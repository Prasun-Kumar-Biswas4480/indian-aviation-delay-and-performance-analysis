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02. SCHEDULED NATIONAL AIRLINES\"/>
    </mc:Choice>
  </mc:AlternateContent>
  <bookViews>
    <workbookView showHorizontalScroll="0" showVerticalScroll="0" showSheetTabs="0" xWindow="0" yWindow="0" windowWidth="24000" windowHeight="9435"/>
  </bookViews>
  <sheets>
    <sheet name="1.03" sheetId="1" r:id="rId1"/>
  </sheets>
  <definedNames>
    <definedName name="_xlnm.Print_Area" localSheetId="0">'1.03'!$A$1:$Q$19</definedName>
  </definedNames>
  <calcPr calcId="15251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7" i="1" l="1"/>
  <c r="Q16" i="1"/>
  <c r="Q15" i="1"/>
  <c r="Q14" i="1"/>
  <c r="Q13" i="1"/>
  <c r="Q12" i="1"/>
  <c r="Q11" i="1"/>
  <c r="Q10" i="1"/>
  <c r="Q9" i="1"/>
  <c r="Q8" i="1"/>
  <c r="Q7" i="1"/>
  <c r="Q6" i="1"/>
  <c r="H7" i="1"/>
  <c r="H8" i="1"/>
  <c r="H9" i="1"/>
  <c r="H10" i="1"/>
  <c r="H11" i="1"/>
  <c r="H12" i="1"/>
  <c r="H13" i="1"/>
  <c r="H14" i="1"/>
  <c r="H15" i="1"/>
  <c r="H16" i="1"/>
  <c r="H17" i="1"/>
  <c r="H6" i="1"/>
  <c r="J18" i="1" l="1"/>
  <c r="K18" i="1"/>
  <c r="L18" i="1"/>
  <c r="M18" i="1"/>
  <c r="N18" i="1"/>
  <c r="O18" i="1"/>
  <c r="P18" i="1"/>
  <c r="I18" i="1"/>
  <c r="C18" i="1"/>
  <c r="D18" i="1"/>
  <c r="E18" i="1"/>
  <c r="F18" i="1"/>
  <c r="G18" i="1"/>
  <c r="B18" i="1"/>
  <c r="Q18" i="1" l="1"/>
  <c r="H18" i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<sst xmlns="http://schemas.openxmlformats.org/spreadsheetml/2006/main" count="26" uniqueCount="24">
  <si>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</si>
  <si>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</si>
  <si>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</si>
  <si>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</si>
  <si>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</si>
  <si>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</si>
  <si>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</si>
  <si>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</si>
  <si>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</si>
  <si>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</si>
  <si>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</si>
  <si>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</si>
  <si>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</si>
  <si>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</si>
  <si>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</si>
  <si>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</si>
  <si>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</si>
  <si>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</si>
  <si>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</si>
  <si>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ALL SCHEDULED NATIONAL AIRLINES</t>
  </si>
  <si>
    <t>2019-20</t>
  </si>
  <si>
    <t xml:space="preserve"> MONTHLY TRAFFIC AND OPERATING STATISTICS OF ALL SCHEDULED NATIONAL AIRLINES ON TOTAL SCHEDULED (INTERNATIONAL+DOMESTIC) SERVICES DURING 2019-20</t>
  </si>
  <si>
    <t xml:space="preserve"> तालिका- 1.03 (सभी अनुसूचित राष्ट्रीय एयरलाइन्स) </t>
  </si>
  <si>
    <t>Table 1.03 (ALL SCHEDULED NATIONAL AIRLINES)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</si>
</sst>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3">
    <xf numFmtId="0" fontId="0" fillId="0" borderId="0" xfId="0"/>
    <xf numFmtId="0" fontId="0" fillId="0" borderId="0" xfId="0" applyFont="1"/>
    <xf numFmtId="3" fontId="0" fillId="0" borderId="0" xfId="0" applyNumberFormat="1" applyFont="1"/>
    <xf numFmtId="17" fontId="1" fillId="2" borderId="1" xfId="0" applyNumberFormat="1" applyFont="1" applyFill="1" applyBorder="1" applyAlignment="1" applyProtection="1">
      <alignment horizontal="center" vertical="center" wrapText="1"/>
    </xf>
    <xf numFmtId="17" fontId="3" fillId="4" borderId="1" xfId="2" applyNumberFormat="1" applyBorder="1" applyAlignment="1" applyProtection="1">
      <alignment horizontal="center" vertical="center" wrapText="1"/>
    </xf>
    <xf numFmtId="0" fontId="4" fillId="4" borderId="1" xfId="2" applyFont="1" applyBorder="1" applyAlignment="1" applyProtection="1">
      <alignment horizontal="center" vertical="center" wrapText="1"/>
    </xf>
    <xf numFmtId="3" fontId="3" fillId="4" borderId="1" xfId="2" applyNumberFormat="1" applyBorder="1" applyAlignment="1" applyProtection="1">
      <alignment horizontal="right" vertical="center" wrapText="1"/>
    </xf>
    <xf numFmtId="3" fontId="2" fillId="2" borderId="1" xfId="0" applyNumberFormat="1" applyFont="1" applyFill="1" applyBorder="1" applyAlignment="1" applyProtection="1">
      <alignment horizontal="right" vertical="center" wrapText="1"/>
    </xf>
    <xf numFmtId="3" fontId="4" fillId="5" borderId="1" xfId="0" applyNumberFormat="1" applyFont="1" applyFill="1" applyBorder="1" applyAlignment="1">
      <alignment horizontal="right" vertical="center"/>
    </xf>
    <xf numFmtId="164" fontId="3" fillId="4" borderId="1" xfId="2" applyNumberFormat="1" applyBorder="1" applyAlignment="1" applyProtection="1">
      <alignment horizontal="right" vertical="center" wrapText="1"/>
    </xf>
    <xf numFmtId="164" fontId="2" fillId="2" borderId="1" xfId="0" applyNumberFormat="1" applyFont="1" applyFill="1" applyBorder="1" applyAlignment="1" applyProtection="1">
      <alignment horizontal="right" vertical="center" wrapText="1"/>
    </xf>
    <xf numFmtId="165" fontId="3" fillId="4" borderId="1" xfId="2" applyNumberFormat="1" applyBorder="1" applyAlignment="1" applyProtection="1">
      <alignment horizontal="right" vertical="center" wrapText="1"/>
    </xf>
    <xf numFmtId="165" fontId="2" fillId="2" borderId="1" xfId="0" applyNumberFormat="1" applyFont="1" applyFill="1" applyBorder="1" applyAlignment="1" applyProtection="1">
      <alignment horizontal="right" vertical="center" wrapText="1"/>
    </xf>
    <xf numFmtId="0" fontId="2" fillId="3" borderId="1" xfId="1" applyFont="1" applyBorder="1" applyAlignment="1" applyProtection="1">
      <alignment horizontal="center" vertical="center" textRotation="90" wrapText="1"/>
    </xf>
    <xf numFmtId="0" fontId="2" fillId="3" borderId="1" xfId="1" applyFont="1" applyBorder="1" applyAlignment="1" applyProtection="1">
      <alignment horizontal="center" vertical="center" textRotation="90" wrapText="1"/>
    </xf>
    <xf numFmtId="0" fontId="2" fillId="3" borderId="1" xfId="1" applyFont="1" applyBorder="1" applyAlignment="1">
      <alignment textRotation="90"/>
    </xf>
    <xf numFmtId="0" fontId="1" fillId="2" borderId="1" xfId="0" applyFont="1" applyFill="1" applyBorder="1" applyAlignment="1" applyProtection="1">
      <alignment horizontal="left" vertical="center" wrapText="1"/>
    </xf>
    <xf numFmtId="0" fontId="2" fillId="4" borderId="1" xfId="2" applyFont="1" applyBorder="1" applyAlignment="1">
      <alignment horizontal="center" vertical="center" wrapText="1"/>
    </xf>
    <xf numFmtId="0" fontId="2" fillId="4" borderId="1" xfId="2" quotePrefix="1" applyFont="1" applyBorder="1" applyAlignment="1" applyProtection="1">
      <alignment horizontal="center" vertical="center" wrapText="1"/>
    </xf>
    <xf numFmtId="0" fontId="2" fillId="4" borderId="1" xfId="2" applyFont="1" applyBorder="1"/>
    <xf numFmtId="0" fontId="2" fillId="3" borderId="1" xfId="1" applyFont="1" applyBorder="1" applyAlignment="1" applyProtection="1">
      <alignment horizontal="center" vertical="center" wrapText="1"/>
    </xf>
    <xf numFmtId="0" fontId="2" fillId="3" borderId="1" xfId="1" applyFont="1" applyBorder="1"/>
    <xf numFmtId="164" fontId="4" fillId="5" borderId="1" xfId="0" applyNumberFormat="1" applyFont="1" applyFill="1" applyBorder="1" applyAlignment="1">
      <alignment horizontal="right" vertical="center"/>
    </xf>
  </cellXfs>
  <cellStyles count="3">
    <cellStyle name="40% - Accent1" xfId="2" builtinId="31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R19"/>
  <sheetViews>
    <sheetView tabSelected="1" view="pageBreakPreview" zoomScaleSheetLayoutView="100" workbookViewId="0">
      <selection activeCell="T10" sqref="T10"/>
    </sheetView>
  </sheetViews>
  <sheetFormatPr defaultColWidth="9.140625" defaultRowHeight="15" x14ac:dyDescent="0.25"/>
  <cols>
    <col min="1" max="1" width="12.28515625" style="1" customWidth="1"/>
    <col min="2" max="2" width="9.28515625" style="1" customWidth="1"/>
    <col min="3" max="3" width="9.7109375" style="1" customWidth="1"/>
    <col min="4" max="4" width="8.85546875" style="1" customWidth="1"/>
    <col min="5" max="5" width="11.42578125" style="1" customWidth="1"/>
    <col min="6" max="6" width="10.85546875" style="1" customWidth="1"/>
    <col min="7" max="7" width="11.140625" style="1" customWidth="1"/>
    <col min="8" max="8" width="6.5703125" style="1" customWidth="1"/>
    <col min="9" max="9" width="11.140625" style="1" customWidth="1"/>
    <col min="10" max="10" width="10.140625" style="1" customWidth="1"/>
    <col min="11" max="11" width="11.28515625" style="1" customWidth="1"/>
    <col min="12" max="13" width="10.85546875" style="1" customWidth="1"/>
    <col min="14" max="14" width="7" style="1" customWidth="1"/>
    <col min="15" max="15" width="11.7109375" style="1" customWidth="1"/>
    <col min="16" max="16" width="11.5703125" style="1" customWidth="1"/>
    <col min="17" max="17" width="6.7109375" style="1" customWidth="1"/>
    <col min="18" max="16384" width="9.140625" style="1"/>
  </cols>
  <sheetData>
    <row r="1" spans="1:18" ht="18.75" customHeight="1" x14ac:dyDescent="0.25">
      <c r="A1" s="17" t="s">
        <v>22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8" ht="18.75" customHeight="1" x14ac:dyDescent="0.25">
      <c r="A2" s="18" t="s">
        <v>23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8" ht="18.75" customHeight="1" x14ac:dyDescent="0.25">
      <c r="A3" s="20" t="s">
        <v>21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8" ht="19.5" customHeight="1" x14ac:dyDescent="0.25">
      <c r="A4" s="20" t="s">
        <v>0</v>
      </c>
      <c r="B4" s="20" t="s">
        <v>1</v>
      </c>
      <c r="C4" s="20"/>
      <c r="D4" s="20"/>
      <c r="E4" s="20" t="s">
        <v>2</v>
      </c>
      <c r="F4" s="21"/>
      <c r="G4" s="14" t="s">
        <v>3</v>
      </c>
      <c r="H4" s="14" t="s">
        <v>4</v>
      </c>
      <c r="I4" s="20" t="s">
        <v>5</v>
      </c>
      <c r="J4" s="20"/>
      <c r="K4" s="20"/>
      <c r="L4" s="20" t="s">
        <v>6</v>
      </c>
      <c r="M4" s="20"/>
      <c r="N4" s="20"/>
      <c r="O4" s="20"/>
      <c r="P4" s="14" t="s">
        <v>7</v>
      </c>
      <c r="Q4" s="14" t="s">
        <v>8</v>
      </c>
    </row>
    <row r="5" spans="1:18" ht="115.5" customHeight="1" x14ac:dyDescent="0.25">
      <c r="A5" s="20"/>
      <c r="B5" s="13" t="s">
        <v>9</v>
      </c>
      <c r="C5" s="13" t="s">
        <v>10</v>
      </c>
      <c r="D5" s="13" t="s">
        <v>11</v>
      </c>
      <c r="E5" s="13" t="s">
        <v>12</v>
      </c>
      <c r="F5" s="13" t="s">
        <v>13</v>
      </c>
      <c r="G5" s="15"/>
      <c r="H5" s="15"/>
      <c r="I5" s="13" t="s">
        <v>14</v>
      </c>
      <c r="J5" s="13" t="s">
        <v>15</v>
      </c>
      <c r="K5" s="13" t="s">
        <v>16</v>
      </c>
      <c r="L5" s="13" t="s">
        <v>17</v>
      </c>
      <c r="M5" s="13" t="s">
        <v>18</v>
      </c>
      <c r="N5" s="13" t="s">
        <v>15</v>
      </c>
      <c r="O5" s="13" t="s">
        <v>16</v>
      </c>
      <c r="P5" s="15"/>
      <c r="Q5" s="15"/>
    </row>
    <row r="6" spans="1:18" ht="30" customHeight="1" x14ac:dyDescent="0.25">
      <c r="A6" s="4">
        <v>43556</v>
      </c>
      <c r="B6" s="6">
        <v>18906</v>
      </c>
      <c r="C6" s="6">
        <v>54136.959999999999</v>
      </c>
      <c r="D6" s="6">
        <v>41633.17</v>
      </c>
      <c r="E6" s="6">
        <v>2518865</v>
      </c>
      <c r="F6" s="6">
        <v>5360.9531900000002</v>
      </c>
      <c r="G6" s="6">
        <v>6521.6109099999994</v>
      </c>
      <c r="H6" s="9">
        <f>F6/G6*100</f>
        <v>82.202898394010461</v>
      </c>
      <c r="I6" s="9">
        <v>20118.034100000001</v>
      </c>
      <c r="J6" s="9">
        <v>1166.4390000000003</v>
      </c>
      <c r="K6" s="9">
        <v>21284.4771</v>
      </c>
      <c r="L6" s="9">
        <v>516.12411999999995</v>
      </c>
      <c r="M6" s="9">
        <v>81.995990000000006</v>
      </c>
      <c r="N6" s="11">
        <v>2.6333799999999998</v>
      </c>
      <c r="O6" s="9">
        <v>600.75349000000006</v>
      </c>
      <c r="P6" s="9">
        <v>819.54081000000008</v>
      </c>
      <c r="Q6" s="9">
        <f>O6/P6*100</f>
        <v>73.303669892900146</v>
      </c>
    </row>
    <row r="7" spans="1:18" ht="30" customHeight="1" x14ac:dyDescent="0.25">
      <c r="A7" s="3">
        <v>43586</v>
      </c>
      <c r="B7" s="7">
        <v>19699</v>
      </c>
      <c r="C7" s="7">
        <v>56421.476666666684</v>
      </c>
      <c r="D7" s="7">
        <v>43806.161999999997</v>
      </c>
      <c r="E7" s="7">
        <v>2623512</v>
      </c>
      <c r="F7" s="7">
        <v>5636.5685469999999</v>
      </c>
      <c r="G7" s="7">
        <v>6771.8557700000001</v>
      </c>
      <c r="H7" s="10">
        <f t="shared" ref="H7:H18" si="0">F7/G7*100</f>
        <v>83.235212598156082</v>
      </c>
      <c r="I7" s="10">
        <v>21733.993099999996</v>
      </c>
      <c r="J7" s="10">
        <v>1350.9870000000001</v>
      </c>
      <c r="K7" s="10">
        <v>23084.980099999993</v>
      </c>
      <c r="L7" s="10">
        <v>543.36071994899999</v>
      </c>
      <c r="M7" s="10">
        <v>84.878254939000001</v>
      </c>
      <c r="N7" s="10">
        <v>3.275359838</v>
      </c>
      <c r="O7" s="10">
        <v>631.51433472600002</v>
      </c>
      <c r="P7" s="10">
        <v>846.81228634900015</v>
      </c>
      <c r="Q7" s="10">
        <f t="shared" ref="Q7:Q18" si="1">O7/P7*100</f>
        <v>74.575480883579374</v>
      </c>
      <c r="R7" s="2"/>
    </row>
    <row r="8" spans="1:18" ht="30" customHeight="1" x14ac:dyDescent="0.25">
      <c r="A8" s="4">
        <v>43617</v>
      </c>
      <c r="B8" s="6">
        <v>19071</v>
      </c>
      <c r="C8" s="6">
        <v>54964.37</v>
      </c>
      <c r="D8" s="6">
        <v>41682.828000000001</v>
      </c>
      <c r="E8" s="6">
        <v>2545202</v>
      </c>
      <c r="F8" s="6">
        <v>5643.0039120000001</v>
      </c>
      <c r="G8" s="6">
        <v>6628.3770100000002</v>
      </c>
      <c r="H8" s="9">
        <f t="shared" si="0"/>
        <v>85.134021548360906</v>
      </c>
      <c r="I8" s="9">
        <v>18521.157000000007</v>
      </c>
      <c r="J8" s="9">
        <v>1203.597</v>
      </c>
      <c r="K8" s="9">
        <v>19724.754000000008</v>
      </c>
      <c r="L8" s="9">
        <v>548.75256941699979</v>
      </c>
      <c r="M8" s="9">
        <v>70.188003274499991</v>
      </c>
      <c r="N8" s="9">
        <v>3.2616176149999996</v>
      </c>
      <c r="O8" s="9">
        <v>622.2021903064998</v>
      </c>
      <c r="P8" s="9">
        <v>832.54079968699989</v>
      </c>
      <c r="Q8" s="9">
        <f t="shared" si="1"/>
        <v>74.735339161807019</v>
      </c>
    </row>
    <row r="9" spans="1:18" ht="30" customHeight="1" x14ac:dyDescent="0.25">
      <c r="A9" s="3">
        <v>43647</v>
      </c>
      <c r="B9" s="7">
        <v>19079</v>
      </c>
      <c r="C9" s="7">
        <v>55130.17333333334</v>
      </c>
      <c r="D9" s="7">
        <v>42137.767999999996</v>
      </c>
      <c r="E9" s="7">
        <v>2441006</v>
      </c>
      <c r="F9" s="7">
        <v>5467.4946680000003</v>
      </c>
      <c r="G9" s="7">
        <v>6668.9938709999997</v>
      </c>
      <c r="H9" s="10">
        <f t="shared" si="0"/>
        <v>81.983801061436012</v>
      </c>
      <c r="I9" s="10">
        <v>19455.882700000002</v>
      </c>
      <c r="J9" s="10">
        <v>1328.2840000000001</v>
      </c>
      <c r="K9" s="10">
        <v>20784.166700000005</v>
      </c>
      <c r="L9" s="10">
        <v>534.47681926799942</v>
      </c>
      <c r="M9" s="10">
        <v>73.978283803499977</v>
      </c>
      <c r="N9" s="12">
        <v>3.8991435100000009</v>
      </c>
      <c r="O9" s="10">
        <v>612.35424658149941</v>
      </c>
      <c r="P9" s="10">
        <v>820.07943913300028</v>
      </c>
      <c r="Q9" s="10">
        <f t="shared" si="1"/>
        <v>74.670113328153803</v>
      </c>
    </row>
    <row r="10" spans="1:18" ht="30" customHeight="1" x14ac:dyDescent="0.25">
      <c r="A10" s="4">
        <v>43678</v>
      </c>
      <c r="B10" s="6">
        <v>19452</v>
      </c>
      <c r="C10" s="6">
        <v>55503.770000000011</v>
      </c>
      <c r="D10" s="6">
        <v>42265.65</v>
      </c>
      <c r="E10" s="6">
        <v>2507910</v>
      </c>
      <c r="F10" s="6">
        <v>5562.9187629999997</v>
      </c>
      <c r="G10" s="6">
        <v>6780.326716999999</v>
      </c>
      <c r="H10" s="9">
        <f t="shared" si="0"/>
        <v>82.044995693973732</v>
      </c>
      <c r="I10" s="9">
        <v>17809.1103</v>
      </c>
      <c r="J10" s="9">
        <v>1282.5340000000001</v>
      </c>
      <c r="K10" s="9">
        <v>19091.6443</v>
      </c>
      <c r="L10" s="9">
        <v>541.80287100500027</v>
      </c>
      <c r="M10" s="9">
        <v>65.258188270799977</v>
      </c>
      <c r="N10" s="9">
        <v>3.689640196</v>
      </c>
      <c r="O10" s="9">
        <v>610.75069947180009</v>
      </c>
      <c r="P10" s="9">
        <v>835.46296229100062</v>
      </c>
      <c r="Q10" s="9">
        <f t="shared" si="1"/>
        <v>73.103264541734305</v>
      </c>
    </row>
    <row r="11" spans="1:18" ht="30" customHeight="1" x14ac:dyDescent="0.25">
      <c r="A11" s="3">
        <v>43709</v>
      </c>
      <c r="B11" s="7">
        <v>19333</v>
      </c>
      <c r="C11" s="7">
        <v>54682.313333333324</v>
      </c>
      <c r="D11" s="7">
        <v>41094.542000000001</v>
      </c>
      <c r="E11" s="7">
        <v>2373759</v>
      </c>
      <c r="F11" s="7">
        <v>5050.6764030000004</v>
      </c>
      <c r="G11" s="7">
        <v>6655.8465889999998</v>
      </c>
      <c r="H11" s="10">
        <f t="shared" si="0"/>
        <v>75.883305533922069</v>
      </c>
      <c r="I11" s="10">
        <v>17789.0265</v>
      </c>
      <c r="J11" s="10">
        <v>1342.7080000000001</v>
      </c>
      <c r="K11" s="10">
        <v>19131.734499999999</v>
      </c>
      <c r="L11" s="10">
        <v>488.32622427700005</v>
      </c>
      <c r="M11" s="10">
        <v>65.784430056500042</v>
      </c>
      <c r="N11" s="10">
        <v>4.2523370459999992</v>
      </c>
      <c r="O11" s="10">
        <v>558.36299137950016</v>
      </c>
      <c r="P11" s="10">
        <v>817.09029524399989</v>
      </c>
      <c r="Q11" s="10">
        <f t="shared" si="1"/>
        <v>68.335530923514582</v>
      </c>
    </row>
    <row r="12" spans="1:18" ht="30" customHeight="1" x14ac:dyDescent="0.25">
      <c r="A12" s="4">
        <v>43739</v>
      </c>
      <c r="B12" s="6">
        <v>20559</v>
      </c>
      <c r="C12" s="6">
        <v>57989.893333333341</v>
      </c>
      <c r="D12" s="6">
        <v>43171.315999999999</v>
      </c>
      <c r="E12" s="6">
        <v>2477430</v>
      </c>
      <c r="F12" s="6">
        <v>5301.6006749999997</v>
      </c>
      <c r="G12" s="6">
        <v>7119.3330690000003</v>
      </c>
      <c r="H12" s="9">
        <f t="shared" si="0"/>
        <v>74.467659029537103</v>
      </c>
      <c r="I12" s="9">
        <v>19515.551100000004</v>
      </c>
      <c r="J12" s="9">
        <v>1216.424</v>
      </c>
      <c r="K12" s="9">
        <v>20731.975100000003</v>
      </c>
      <c r="L12" s="9">
        <v>514.75646364300019</v>
      </c>
      <c r="M12" s="9">
        <v>73.162237663800042</v>
      </c>
      <c r="N12" s="9">
        <v>3.6858678600000001</v>
      </c>
      <c r="O12" s="9">
        <v>591.60456916680027</v>
      </c>
      <c r="P12" s="9">
        <v>896.76320156800091</v>
      </c>
      <c r="Q12" s="9">
        <f t="shared" si="1"/>
        <v>65.971102307986413</v>
      </c>
    </row>
    <row r="13" spans="1:18" ht="30" customHeight="1" x14ac:dyDescent="0.25">
      <c r="A13" s="3">
        <v>43770</v>
      </c>
      <c r="B13" s="7">
        <v>19534</v>
      </c>
      <c r="C13" s="7">
        <v>56714.28</v>
      </c>
      <c r="D13" s="7">
        <v>41742.322999999997</v>
      </c>
      <c r="E13" s="7">
        <v>2543622</v>
      </c>
      <c r="F13" s="7">
        <v>5528.4840380000005</v>
      </c>
      <c r="G13" s="7">
        <v>6926.9448749999992</v>
      </c>
      <c r="H13" s="10">
        <f t="shared" si="0"/>
        <v>79.811289648815077</v>
      </c>
      <c r="I13" s="10">
        <v>19218.804200000002</v>
      </c>
      <c r="J13" s="10">
        <v>1371.0409999999981</v>
      </c>
      <c r="K13" s="10">
        <v>20589.845200000003</v>
      </c>
      <c r="L13" s="10">
        <v>536.09489666599973</v>
      </c>
      <c r="M13" s="10">
        <v>77.469232249700013</v>
      </c>
      <c r="N13" s="10">
        <v>4.1634820660000047</v>
      </c>
      <c r="O13" s="10">
        <v>617.72761098169974</v>
      </c>
      <c r="P13" s="10">
        <v>872.51684615000011</v>
      </c>
      <c r="Q13" s="10">
        <f t="shared" si="1"/>
        <v>70.798359218786032</v>
      </c>
    </row>
    <row r="14" spans="1:18" ht="30" customHeight="1" x14ac:dyDescent="0.25">
      <c r="A14" s="4">
        <v>43800</v>
      </c>
      <c r="B14" s="6">
        <v>19857</v>
      </c>
      <c r="C14" s="6">
        <v>58101.396666666711</v>
      </c>
      <c r="D14" s="6">
        <v>42851.082000000002</v>
      </c>
      <c r="E14" s="6">
        <v>2628664</v>
      </c>
      <c r="F14" s="6">
        <v>5849.3883220000007</v>
      </c>
      <c r="G14" s="6">
        <v>7135.3667930000001</v>
      </c>
      <c r="H14" s="9">
        <f t="shared" si="0"/>
        <v>81.977402027018684</v>
      </c>
      <c r="I14" s="9">
        <v>21995.056499999999</v>
      </c>
      <c r="J14" s="9">
        <v>1299.9389999999989</v>
      </c>
      <c r="K14" s="9">
        <v>23294.995499999997</v>
      </c>
      <c r="L14" s="9">
        <v>567.8233600210001</v>
      </c>
      <c r="M14" s="9">
        <v>86.405298755099977</v>
      </c>
      <c r="N14" s="9">
        <v>4.1571335600000001</v>
      </c>
      <c r="O14" s="9">
        <v>658.38579233610005</v>
      </c>
      <c r="P14" s="9">
        <v>903.6268996950007</v>
      </c>
      <c r="Q14" s="9">
        <f t="shared" si="1"/>
        <v>72.860357804567755</v>
      </c>
    </row>
    <row r="15" spans="1:18" ht="30" customHeight="1" x14ac:dyDescent="0.25">
      <c r="A15" s="3">
        <v>43831</v>
      </c>
      <c r="B15" s="7">
        <v>19920</v>
      </c>
      <c r="C15" s="7">
        <v>58260.099999999991</v>
      </c>
      <c r="D15" s="7">
        <v>42957.275999999998</v>
      </c>
      <c r="E15" s="7">
        <v>2565207</v>
      </c>
      <c r="F15" s="7">
        <v>5930.5663260000001</v>
      </c>
      <c r="G15" s="7">
        <v>7109.6855729999988</v>
      </c>
      <c r="H15" s="10">
        <f t="shared" si="0"/>
        <v>83.415310917857397</v>
      </c>
      <c r="I15" s="10">
        <v>20312.999900000003</v>
      </c>
      <c r="J15" s="10">
        <v>1314.6059999999986</v>
      </c>
      <c r="K15" s="10">
        <v>21627.605900000002</v>
      </c>
      <c r="L15" s="10">
        <v>579.10355486200035</v>
      </c>
      <c r="M15" s="10">
        <v>78.048862198799952</v>
      </c>
      <c r="N15" s="10">
        <v>3.8688117560000048</v>
      </c>
      <c r="O15" s="10">
        <v>661.02122881680032</v>
      </c>
      <c r="P15" s="10">
        <v>899.94153683200034</v>
      </c>
      <c r="Q15" s="10">
        <f t="shared" si="1"/>
        <v>73.451574548247436</v>
      </c>
    </row>
    <row r="16" spans="1:18" ht="30" customHeight="1" x14ac:dyDescent="0.25">
      <c r="A16" s="4">
        <v>43862</v>
      </c>
      <c r="B16" s="6">
        <v>18929</v>
      </c>
      <c r="C16" s="6">
        <v>54386.496666666695</v>
      </c>
      <c r="D16" s="6">
        <v>39700.195000000007</v>
      </c>
      <c r="E16" s="6">
        <v>2410261</v>
      </c>
      <c r="F16" s="6">
        <v>5338.0684330000004</v>
      </c>
      <c r="G16" s="6">
        <v>6617.0083410000007</v>
      </c>
      <c r="H16" s="9">
        <f t="shared" si="0"/>
        <v>80.671931451627586</v>
      </c>
      <c r="I16" s="9">
        <v>19171.4539</v>
      </c>
      <c r="J16" s="9">
        <v>1135.2760000000001</v>
      </c>
      <c r="K16" s="9">
        <v>20306.729900000002</v>
      </c>
      <c r="L16" s="9">
        <v>517.7857091530002</v>
      </c>
      <c r="M16" s="9">
        <v>77.159058958199964</v>
      </c>
      <c r="N16" s="9">
        <v>3.0204383290000001</v>
      </c>
      <c r="O16" s="9">
        <v>597.96520644020018</v>
      </c>
      <c r="P16" s="9">
        <v>831.14227182600007</v>
      </c>
      <c r="Q16" s="9">
        <f t="shared" si="1"/>
        <v>71.944987845039407</v>
      </c>
    </row>
    <row r="17" spans="1:17" ht="30" customHeight="1" x14ac:dyDescent="0.25">
      <c r="A17" s="3">
        <v>43891</v>
      </c>
      <c r="B17" s="7">
        <v>13249</v>
      </c>
      <c r="C17" s="7">
        <v>35730.659999999996</v>
      </c>
      <c r="D17" s="7">
        <v>26213.800999999999</v>
      </c>
      <c r="E17" s="7">
        <v>1310950</v>
      </c>
      <c r="F17" s="7">
        <v>2953.1634979999999</v>
      </c>
      <c r="G17" s="7">
        <v>4262.1223090000003</v>
      </c>
      <c r="H17" s="10">
        <f t="shared" si="0"/>
        <v>69.288567617218035</v>
      </c>
      <c r="I17" s="10">
        <v>12743.5805</v>
      </c>
      <c r="J17" s="10">
        <v>592.78500000000008</v>
      </c>
      <c r="K17" s="10">
        <v>13336.3655</v>
      </c>
      <c r="L17" s="10">
        <v>286.19005162100012</v>
      </c>
      <c r="M17" s="10">
        <v>51.477188431700029</v>
      </c>
      <c r="N17" s="10">
        <v>1.875495694</v>
      </c>
      <c r="O17" s="10">
        <v>339.54273574670015</v>
      </c>
      <c r="P17" s="10">
        <v>513.44313653699987</v>
      </c>
      <c r="Q17" s="10">
        <f t="shared" si="1"/>
        <v>66.130543303548848</v>
      </c>
    </row>
    <row r="18" spans="1:17" ht="30" customHeight="1" x14ac:dyDescent="0.25">
      <c r="A18" s="5" t="s">
        <v>20</v>
      </c>
      <c r="B18" s="8">
        <f>SUM(B6:B17)</f>
        <v>227588</v>
      </c>
      <c r="C18" s="8">
        <f t="shared" ref="C18:G18" si="2">SUM(C6:C17)</f>
        <v>652021.89000000013</v>
      </c>
      <c r="D18" s="8">
        <f t="shared" si="2"/>
        <v>489256.11299999995</v>
      </c>
      <c r="E18" s="8">
        <f t="shared" si="2"/>
        <v>28946388</v>
      </c>
      <c r="F18" s="8">
        <f t="shared" si="2"/>
        <v>63622.886774999999</v>
      </c>
      <c r="G18" s="8">
        <f t="shared" si="2"/>
        <v>79197.471827000001</v>
      </c>
      <c r="H18" s="22">
        <f t="shared" si="0"/>
        <v>80.334492133762396</v>
      </c>
      <c r="I18" s="22">
        <f>SUM(I6:I17)</f>
        <v>228384.64980000004</v>
      </c>
      <c r="J18" s="8">
        <f t="shared" ref="J18:P18" si="3">SUM(J6:J17)</f>
        <v>14604.619999999995</v>
      </c>
      <c r="K18" s="8">
        <f t="shared" si="3"/>
        <v>242989.27380000002</v>
      </c>
      <c r="L18" s="8">
        <f t="shared" si="3"/>
        <v>6174.5973598819992</v>
      </c>
      <c r="M18" s="8">
        <f t="shared" si="3"/>
        <v>885.80502860159993</v>
      </c>
      <c r="N18" s="8">
        <f t="shared" si="3"/>
        <v>41.782707470000013</v>
      </c>
      <c r="O18" s="8">
        <f t="shared" si="3"/>
        <v>7102.1850959536005</v>
      </c>
      <c r="P18" s="22">
        <f t="shared" si="3"/>
        <v>9888.9604853120036</v>
      </c>
      <c r="Q18" s="22">
        <f t="shared" si="1"/>
        <v>71.819329306679109</v>
      </c>
    </row>
    <row r="19" spans="1:17" x14ac:dyDescent="0.25">
      <c r="A19" s="16" t="s">
        <v>19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24" right="0.25" top="0.48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1.03</vt:lpstr>
      <vt:lpstr>'1.03'!Print_Area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2020-05-08T08:48:27Z</cp:lastPrinted>
  <dcterms:created xsi:type="dcterms:W3CDTF">2018-10-29T04:00:10Z</dcterms:created>
  <dcterms:modified xsi:type="dcterms:W3CDTF">2021-09-14T20:41:48Z</dcterms:modified>
</cp:coreProperties>
</file>