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2. SCHEDULED NATIONAL AIRLINES\"/>
    </mc:Choice>
  </mc:AlternateContent>
  <bookViews>
    <workbookView showHorizontalScroll="0" showVerticalScroll="0" xWindow="0" yWindow="0" windowWidth="15330" windowHeight="10455"/>
  </bookViews>
  <sheets>
    <sheet name="2018-19" sheetId="2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2" l="1"/>
  <c r="Q37" i="2"/>
  <c r="Q31" i="2"/>
  <c r="Q28" i="2"/>
  <c r="Q26" i="2"/>
  <c r="Q23" i="2"/>
  <c r="Q22" i="2"/>
  <c r="Q19" i="2"/>
  <c r="Q13" i="2"/>
  <c r="Q14" i="2"/>
  <c r="Q11" i="2"/>
  <c r="Q29" i="2"/>
  <c r="H37" i="2"/>
  <c r="H38" i="2"/>
  <c r="H34" i="2"/>
  <c r="H29" i="2"/>
  <c r="H25" i="2"/>
  <c r="H22" i="2"/>
  <c r="H20" i="2"/>
  <c r="H17" i="2"/>
  <c r="H13" i="2"/>
  <c r="H14" i="2"/>
  <c r="H11" i="2"/>
  <c r="H10" i="2"/>
  <c r="H35" i="2"/>
  <c r="Q32" i="2" l="1"/>
  <c r="Q25" i="2"/>
  <c r="Q16" i="2"/>
  <c r="Q17" i="2"/>
  <c r="Q10" i="2"/>
  <c r="Q34" i="2"/>
  <c r="Q35" i="2"/>
  <c r="Q20" i="2"/>
  <c r="H32" i="2"/>
  <c r="H23" i="2"/>
  <c r="H31" i="2"/>
  <c r="H16" i="2"/>
  <c r="H26" i="2"/>
  <c r="H19" i="2"/>
  <c r="H28" i="2"/>
  <c r="P37" i="2"/>
  <c r="M37" i="2"/>
  <c r="L37" i="2"/>
  <c r="G37" i="2"/>
  <c r="F38" i="2"/>
  <c r="P38" i="2"/>
  <c r="O38" i="2"/>
  <c r="N38" i="2"/>
  <c r="M38" i="2"/>
  <c r="L38" i="2"/>
  <c r="K38" i="2"/>
  <c r="J38" i="2"/>
  <c r="I38" i="2"/>
  <c r="E38" i="2"/>
  <c r="D38" i="2"/>
  <c r="C38" i="2"/>
  <c r="B38" i="2"/>
  <c r="O37" i="2"/>
  <c r="N37" i="2"/>
  <c r="K37" i="2"/>
  <c r="J37" i="2"/>
  <c r="I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  <c r="G38" i="2" l="1"/>
</calcChain>
</file>

<file path=xl/sharedStrings.xml><?xml version="1.0" encoding="utf-8"?>
<sst xmlns="http://schemas.openxmlformats.org/spreadsheetml/2006/main" count="91" uniqueCount="38">
  <si>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</si>
  <si>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</si>
  <si>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</si>
  <si>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</si>
  <si>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</si>
  <si>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</si>
  <si>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</si>
  <si>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</si>
  <si>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</si>
  <si>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</si>
  <si>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</si>
  <si>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</si>
  <si>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</si>
  <si>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</si>
  <si>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</si>
  <si>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</si>
  <si>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</si>
  <si>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</si>
  <si>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</si>
  <si>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</si>
  <si>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</si>
  <si>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</si>
  <si>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</si>
  <si>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</si>
  <si>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</si>
  <si>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</si>
  <si>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</si>
  <si>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</si>
  <si>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</si>
  <si>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</si>
  <si>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</si>
  <si>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</si>
  <si>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SOURCE: ICAO ATR FORM 'A' FURNISHED BY ALL SCHEDULED NATIONAL AIRLINES </t>
  </si>
  <si>
    <t>2019-20</t>
  </si>
  <si>
    <t>Note: Growth has been calculated with respect to preceeding year while Compound Annual Growth Rate (CAGR) has been calculating taking 2009-10 as a Base Year</t>
  </si>
  <si>
    <t xml:space="preserve">तालिका - 1.05 (सभी अनुसूचित राष्ट्रीय एयरलाइन्स) </t>
  </si>
  <si>
    <t>TABLE - 1.05 (ALL SCHEDULED NATIONAL AIRLINES)</t>
  </si>
  <si>
    <t>YEAR ON YEAR GROWTH AND CAGR FOR LAST TEN YEARS OF ALL SCHEDULED NATIONAL AIRLINES ON SCHEDULED INTERNATIONAL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</si>
</sst>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5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zoomScaleNormal="100" zoomScaleSheetLayoutView="100" workbookViewId="0">
      <selection activeCell="T5" sqref="T5"/>
    </sheetView>
  </sheetViews>
  <sheetFormatPr defaultRowHeight="15" x14ac:dyDescent="0.25"/>
  <cols>
    <col min="1" max="1" width="8" customWidth="1"/>
    <col min="2" max="2" width="8.140625" customWidth="1"/>
    <col min="3" max="3" width="8.5703125" customWidth="1"/>
    <col min="4" max="4" width="8.42578125" customWidth="1"/>
    <col min="5" max="5" width="10.140625" customWidth="1"/>
    <col min="6" max="6" width="8.7109375" customWidth="1"/>
    <col min="7" max="7" width="8.5703125" customWidth="1"/>
    <col min="8" max="8" width="7" customWidth="1"/>
    <col min="9" max="9" width="10" customWidth="1"/>
    <col min="10" max="10" width="7.7109375" customWidth="1"/>
    <col min="11" max="11" width="10.140625" customWidth="1"/>
    <col min="12" max="12" width="8.42578125" customWidth="1"/>
    <col min="13" max="13" width="9" customWidth="1"/>
    <col min="14" max="14" width="7" customWidth="1"/>
    <col min="15" max="15" width="8.28515625" customWidth="1"/>
    <col min="16" max="16" width="8.85546875" customWidth="1"/>
    <col min="17" max="17" width="6.85546875" customWidth="1"/>
  </cols>
  <sheetData>
    <row r="1" spans="1:17" x14ac:dyDescent="0.25">
      <c r="A1" s="20" t="s">
        <v>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36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30.75" customHeight="1" x14ac:dyDescent="0.25">
      <c r="A3" s="23" t="s">
        <v>37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33.5" customHeight="1" x14ac:dyDescent="0.25">
      <c r="A5" s="23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7"/>
      <c r="H5" s="17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17"/>
      <c r="Q5" s="17"/>
    </row>
    <row r="6" spans="1:17" ht="20.100000000000001" customHeight="1" x14ac:dyDescent="0.25">
      <c r="A6" s="1" t="s">
        <v>19</v>
      </c>
      <c r="B6" s="2">
        <v>61530</v>
      </c>
      <c r="C6" s="2">
        <v>270166.46999999997</v>
      </c>
      <c r="D6" s="2">
        <v>191197</v>
      </c>
      <c r="E6" s="2">
        <v>7131829</v>
      </c>
      <c r="F6" s="2">
        <v>27740.894</v>
      </c>
      <c r="G6" s="2">
        <v>41466.404000000002</v>
      </c>
      <c r="H6" s="8">
        <v>66.899685827591895</v>
      </c>
      <c r="I6" s="3">
        <v>82580</v>
      </c>
      <c r="J6" s="3">
        <v>2722.14</v>
      </c>
      <c r="K6" s="3">
        <v>85302.139999999985</v>
      </c>
      <c r="L6" s="3">
        <v>2879.009</v>
      </c>
      <c r="M6" s="3">
        <v>495.05900000000003</v>
      </c>
      <c r="N6" s="3">
        <v>23.518000000000001</v>
      </c>
      <c r="O6" s="3">
        <v>3397.5859999999998</v>
      </c>
      <c r="P6" s="3">
        <v>5581.9920000000002</v>
      </c>
      <c r="Q6" s="8">
        <v>60.866909160744044</v>
      </c>
    </row>
    <row r="7" spans="1:17" ht="20.100000000000001" customHeight="1" x14ac:dyDescent="0.25">
      <c r="A7" s="4" t="s">
        <v>28</v>
      </c>
      <c r="B7" s="5" t="s">
        <v>30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</row>
    <row r="8" spans="1:17" ht="20.100000000000001" customHeight="1" x14ac:dyDescent="0.25">
      <c r="A8" s="9" t="s">
        <v>29</v>
      </c>
      <c r="B8" s="9" t="s">
        <v>30</v>
      </c>
      <c r="C8" s="9" t="s">
        <v>30</v>
      </c>
      <c r="D8" s="9" t="s">
        <v>30</v>
      </c>
      <c r="E8" s="9" t="s">
        <v>30</v>
      </c>
      <c r="F8" s="9" t="s">
        <v>30</v>
      </c>
      <c r="G8" s="9" t="s">
        <v>30</v>
      </c>
      <c r="H8" s="9" t="s">
        <v>30</v>
      </c>
      <c r="I8" s="9" t="s">
        <v>30</v>
      </c>
      <c r="J8" s="9" t="s">
        <v>30</v>
      </c>
      <c r="K8" s="9" t="s">
        <v>30</v>
      </c>
      <c r="L8" s="9" t="s">
        <v>30</v>
      </c>
      <c r="M8" s="9" t="s">
        <v>30</v>
      </c>
      <c r="N8" s="9" t="s">
        <v>30</v>
      </c>
      <c r="O8" s="9" t="s">
        <v>30</v>
      </c>
      <c r="P8" s="9" t="s">
        <v>30</v>
      </c>
      <c r="Q8" s="9" t="s">
        <v>30</v>
      </c>
    </row>
    <row r="9" spans="1:17" ht="20.100000000000001" customHeight="1" x14ac:dyDescent="0.25">
      <c r="A9" s="1" t="s">
        <v>20</v>
      </c>
      <c r="B9" s="2">
        <v>55963</v>
      </c>
      <c r="C9" s="2">
        <v>252054</v>
      </c>
      <c r="D9" s="2">
        <v>178088</v>
      </c>
      <c r="E9" s="2">
        <v>7015599</v>
      </c>
      <c r="F9" s="2">
        <v>27763.022000000001</v>
      </c>
      <c r="G9" s="2">
        <v>40780.158000000003</v>
      </c>
      <c r="H9" s="8">
        <v>68.079731324238608</v>
      </c>
      <c r="I9" s="3">
        <v>89075</v>
      </c>
      <c r="J9" s="3">
        <v>2792</v>
      </c>
      <c r="K9" s="3">
        <v>91867</v>
      </c>
      <c r="L9" s="3">
        <v>2861.6350000000002</v>
      </c>
      <c r="M9" s="3">
        <v>536.39599999999996</v>
      </c>
      <c r="N9" s="3">
        <v>23.841000000000001</v>
      </c>
      <c r="O9" s="3">
        <v>3421.8719999999998</v>
      </c>
      <c r="P9" s="3">
        <v>5672.9530000000004</v>
      </c>
      <c r="Q9" s="8">
        <v>60.319061342478946</v>
      </c>
    </row>
    <row r="10" spans="1:17" ht="20.100000000000001" customHeight="1" x14ac:dyDescent="0.25">
      <c r="A10" s="4" t="s">
        <v>28</v>
      </c>
      <c r="B10" s="6">
        <f>(B9-B6)/B6</f>
        <v>-9.0476190476190474E-2</v>
      </c>
      <c r="C10" s="6">
        <f t="shared" ref="C10:Q10" si="0">(C9-C6)/C6</f>
        <v>-6.704188717422993E-2</v>
      </c>
      <c r="D10" s="6">
        <f t="shared" si="0"/>
        <v>-6.8562791257184993E-2</v>
      </c>
      <c r="E10" s="6">
        <f t="shared" si="0"/>
        <v>-1.6297362149316815E-2</v>
      </c>
      <c r="F10" s="6">
        <f t="shared" si="0"/>
        <v>7.9766715521138612E-4</v>
      </c>
      <c r="G10" s="6">
        <f t="shared" si="0"/>
        <v>-1.6549445666906616E-2</v>
      </c>
      <c r="H10" s="10">
        <f t="shared" si="0"/>
        <v>1.7639028973735756E-2</v>
      </c>
      <c r="I10" s="6">
        <f t="shared" si="0"/>
        <v>7.8651005085977235E-2</v>
      </c>
      <c r="J10" s="6">
        <f t="shared" si="0"/>
        <v>2.5663632289301849E-2</v>
      </c>
      <c r="K10" s="6">
        <f t="shared" si="0"/>
        <v>7.6960085643807019E-2</v>
      </c>
      <c r="L10" s="6">
        <f t="shared" si="0"/>
        <v>-6.0347154177009506E-3</v>
      </c>
      <c r="M10" s="6">
        <f t="shared" si="0"/>
        <v>8.3499138486523683E-2</v>
      </c>
      <c r="N10" s="6">
        <f t="shared" si="0"/>
        <v>1.3734161068118055E-2</v>
      </c>
      <c r="O10" s="6">
        <f t="shared" si="0"/>
        <v>7.1480162680209007E-3</v>
      </c>
      <c r="P10" s="6">
        <f t="shared" si="0"/>
        <v>1.6295437184431695E-2</v>
      </c>
      <c r="Q10" s="10">
        <f t="shared" si="0"/>
        <v>-9.0007497640184186E-3</v>
      </c>
    </row>
    <row r="11" spans="1:17" ht="20.100000000000001" customHeight="1" x14ac:dyDescent="0.25">
      <c r="A11" s="9" t="s">
        <v>29</v>
      </c>
      <c r="B11" s="12">
        <f>((B9/B6)^(1/1))-1</f>
        <v>-9.0476190476190488E-2</v>
      </c>
      <c r="C11" s="12">
        <f t="shared" ref="C11:P11" si="1">((C9/C6)^(1/1))-1</f>
        <v>-6.7041887174229875E-2</v>
      </c>
      <c r="D11" s="12">
        <f t="shared" si="1"/>
        <v>-6.8562791257185007E-2</v>
      </c>
      <c r="E11" s="12">
        <f t="shared" si="1"/>
        <v>-1.6297362149316763E-2</v>
      </c>
      <c r="F11" s="12">
        <f t="shared" si="1"/>
        <v>7.976671552114567E-4</v>
      </c>
      <c r="G11" s="12">
        <f t="shared" si="1"/>
        <v>-1.6549445666906637E-2</v>
      </c>
      <c r="H11" s="11">
        <f t="shared" ref="H11" si="2">(((H9/H6)^(1/1))-1)</f>
        <v>1.7639028973735815E-2</v>
      </c>
      <c r="I11" s="12">
        <f t="shared" si="1"/>
        <v>7.8651005085977221E-2</v>
      </c>
      <c r="J11" s="12">
        <f t="shared" si="1"/>
        <v>2.5663632289301797E-2</v>
      </c>
      <c r="K11" s="12">
        <f t="shared" si="1"/>
        <v>7.6960085643807075E-2</v>
      </c>
      <c r="L11" s="12">
        <f t="shared" si="1"/>
        <v>-6.0347154177009532E-3</v>
      </c>
      <c r="M11" s="12">
        <f t="shared" si="1"/>
        <v>8.3499138486523794E-2</v>
      </c>
      <c r="N11" s="12">
        <f t="shared" si="1"/>
        <v>1.3734161068118089E-2</v>
      </c>
      <c r="O11" s="12">
        <f t="shared" si="1"/>
        <v>7.1480162680208625E-3</v>
      </c>
      <c r="P11" s="12">
        <f t="shared" si="1"/>
        <v>1.6295437184431716E-2</v>
      </c>
      <c r="Q11" s="11">
        <f t="shared" ref="Q11" si="3">(((Q9/Q6)^(1/1))-1)</f>
        <v>-9.0007497640184342E-3</v>
      </c>
    </row>
    <row r="12" spans="1:17" ht="20.100000000000001" customHeight="1" x14ac:dyDescent="0.25">
      <c r="A12" s="1" t="s">
        <v>21</v>
      </c>
      <c r="B12" s="2">
        <v>50535</v>
      </c>
      <c r="C12" s="2">
        <v>237714.69</v>
      </c>
      <c r="D12" s="2">
        <v>169394</v>
      </c>
      <c r="E12" s="2">
        <v>6982381</v>
      </c>
      <c r="F12" s="2">
        <v>27821.012999999999</v>
      </c>
      <c r="G12" s="2">
        <v>39181.557000000001</v>
      </c>
      <c r="H12" s="8">
        <v>71.005378882722809</v>
      </c>
      <c r="I12" s="3">
        <v>82042</v>
      </c>
      <c r="J12" s="3">
        <v>2414</v>
      </c>
      <c r="K12" s="3">
        <v>84456</v>
      </c>
      <c r="L12" s="3">
        <v>2863.7460000000001</v>
      </c>
      <c r="M12" s="3">
        <v>491.255</v>
      </c>
      <c r="N12" s="3">
        <v>22.681999999999999</v>
      </c>
      <c r="O12" s="3">
        <v>3377.683</v>
      </c>
      <c r="P12" s="3">
        <v>5572.3410000000003</v>
      </c>
      <c r="Q12" s="8">
        <v>60.615152590266817</v>
      </c>
    </row>
    <row r="13" spans="1:17" ht="20.100000000000001" customHeight="1" x14ac:dyDescent="0.25">
      <c r="A13" s="4" t="s">
        <v>28</v>
      </c>
      <c r="B13" s="6">
        <f>(B12-B9)/B9</f>
        <v>-9.6992655861908764E-2</v>
      </c>
      <c r="C13" s="6">
        <f t="shared" ref="C13:Q13" si="4">(C12-C9)/C9</f>
        <v>-5.6889833130995729E-2</v>
      </c>
      <c r="D13" s="6">
        <f t="shared" si="4"/>
        <v>-4.8818561609990568E-2</v>
      </c>
      <c r="E13" s="6">
        <f t="shared" si="4"/>
        <v>-4.734877235714299E-3</v>
      </c>
      <c r="F13" s="6">
        <f t="shared" si="4"/>
        <v>2.0887855796101074E-3</v>
      </c>
      <c r="G13" s="6">
        <f t="shared" si="4"/>
        <v>-3.9200461165452137E-2</v>
      </c>
      <c r="H13" s="10">
        <f t="shared" si="4"/>
        <v>4.2973841135629964E-2</v>
      </c>
      <c r="I13" s="6">
        <f t="shared" si="4"/>
        <v>-7.8955936008981195E-2</v>
      </c>
      <c r="J13" s="6">
        <f t="shared" si="4"/>
        <v>-0.13538681948424069</v>
      </c>
      <c r="K13" s="6">
        <f t="shared" si="4"/>
        <v>-8.0670969989223545E-2</v>
      </c>
      <c r="L13" s="6">
        <f t="shared" si="4"/>
        <v>7.3769016663546405E-4</v>
      </c>
      <c r="M13" s="6">
        <f t="shared" si="4"/>
        <v>-8.4156108546670674E-2</v>
      </c>
      <c r="N13" s="6">
        <f t="shared" si="4"/>
        <v>-4.8613732645442824E-2</v>
      </c>
      <c r="O13" s="6">
        <f t="shared" si="4"/>
        <v>-1.2913691686889472E-2</v>
      </c>
      <c r="P13" s="6">
        <f t="shared" si="4"/>
        <v>-1.7735384023100504E-2</v>
      </c>
      <c r="Q13" s="10">
        <f t="shared" si="4"/>
        <v>4.908750918830234E-3</v>
      </c>
    </row>
    <row r="14" spans="1:17" ht="20.100000000000001" customHeight="1" x14ac:dyDescent="0.25">
      <c r="A14" s="9" t="s">
        <v>29</v>
      </c>
      <c r="B14" s="12">
        <f>((B12/B6)^(1/2))-1</f>
        <v>-9.3740280235045215E-2</v>
      </c>
      <c r="C14" s="12">
        <f t="shared" ref="C14:P14" si="5">((C12/C6)^(1/2))-1</f>
        <v>-6.1979594321688869E-2</v>
      </c>
      <c r="D14" s="12">
        <f t="shared" si="5"/>
        <v>-5.8742445458223047E-2</v>
      </c>
      <c r="E14" s="12">
        <f t="shared" si="5"/>
        <v>-1.0533008825452606E-2</v>
      </c>
      <c r="F14" s="12">
        <f t="shared" si="5"/>
        <v>1.4430182943374614E-3</v>
      </c>
      <c r="G14" s="12">
        <f t="shared" si="5"/>
        <v>-2.7940928199414183E-2</v>
      </c>
      <c r="H14" s="11">
        <f t="shared" ref="H14" si="6">(((H12/H6)^(1/2))-1)</f>
        <v>3.0228560533180904E-2</v>
      </c>
      <c r="I14" s="12">
        <f t="shared" si="5"/>
        <v>-3.2627701583604063E-3</v>
      </c>
      <c r="J14" s="12">
        <f t="shared" si="5"/>
        <v>-5.8298191966799195E-2</v>
      </c>
      <c r="K14" s="12">
        <f t="shared" si="5"/>
        <v>-4.9720250690215018E-3</v>
      </c>
      <c r="L14" s="12">
        <f t="shared" si="5"/>
        <v>-2.6542610515085663E-3</v>
      </c>
      <c r="M14" s="12">
        <f t="shared" si="5"/>
        <v>-3.8493751556305522E-3</v>
      </c>
      <c r="N14" s="12">
        <f t="shared" si="5"/>
        <v>-1.7934442316399957E-2</v>
      </c>
      <c r="O14" s="12">
        <f t="shared" si="5"/>
        <v>-2.9332934538064404E-3</v>
      </c>
      <c r="P14" s="12">
        <f t="shared" si="5"/>
        <v>-8.6485032051797361E-4</v>
      </c>
      <c r="Q14" s="11">
        <f t="shared" ref="Q14" si="7">(((Q12/Q6)^(1/2))-1)</f>
        <v>-2.0702335754597678E-3</v>
      </c>
    </row>
    <row r="15" spans="1:17" ht="20.100000000000001" customHeight="1" x14ac:dyDescent="0.25">
      <c r="A15" s="1" t="s">
        <v>22</v>
      </c>
      <c r="B15" s="2">
        <v>49287</v>
      </c>
      <c r="C15" s="2">
        <v>198765</v>
      </c>
      <c r="D15" s="2">
        <v>140145</v>
      </c>
      <c r="E15" s="2">
        <v>6444007</v>
      </c>
      <c r="F15" s="2">
        <v>24474.670999999998</v>
      </c>
      <c r="G15" s="2">
        <v>32579.521000000001</v>
      </c>
      <c r="H15" s="8">
        <v>75.122869363242017</v>
      </c>
      <c r="I15" s="3">
        <v>67799</v>
      </c>
      <c r="J15" s="3">
        <v>1670</v>
      </c>
      <c r="K15" s="3">
        <v>69469</v>
      </c>
      <c r="L15" s="3">
        <v>2463.7337917003319</v>
      </c>
      <c r="M15" s="3">
        <v>359.79500000000002</v>
      </c>
      <c r="N15" s="3">
        <v>24.745999999999999</v>
      </c>
      <c r="O15" s="3">
        <v>2848.2747917003321</v>
      </c>
      <c r="P15" s="3">
        <v>4567.0207827366976</v>
      </c>
      <c r="Q15" s="8">
        <v>62.366144740720003</v>
      </c>
    </row>
    <row r="16" spans="1:17" ht="20.100000000000001" customHeight="1" x14ac:dyDescent="0.25">
      <c r="A16" s="4" t="s">
        <v>28</v>
      </c>
      <c r="B16" s="6">
        <f>(B15-B12)/B12</f>
        <v>-2.4695755417037696E-2</v>
      </c>
      <c r="C16" s="6">
        <f t="shared" ref="C16:Q16" si="8">(C15-C12)/C12</f>
        <v>-0.16385058071085132</v>
      </c>
      <c r="D16" s="6">
        <f t="shared" si="8"/>
        <v>-0.17266845342810253</v>
      </c>
      <c r="E16" s="6">
        <f t="shared" si="8"/>
        <v>-7.7104643817058963E-2</v>
      </c>
      <c r="F16" s="6">
        <f t="shared" si="8"/>
        <v>-0.12028109831946093</v>
      </c>
      <c r="G16" s="6">
        <f t="shared" si="8"/>
        <v>-0.16849856170850994</v>
      </c>
      <c r="H16" s="10">
        <f t="shared" si="8"/>
        <v>5.7988430528903012E-2</v>
      </c>
      <c r="I16" s="6">
        <f t="shared" si="8"/>
        <v>-0.17360620170156749</v>
      </c>
      <c r="J16" s="6">
        <f t="shared" si="8"/>
        <v>-0.30820215410107704</v>
      </c>
      <c r="K16" s="6">
        <f t="shared" si="8"/>
        <v>-0.17745334848915412</v>
      </c>
      <c r="L16" s="6">
        <f t="shared" si="8"/>
        <v>-0.13968145509401605</v>
      </c>
      <c r="M16" s="6">
        <f t="shared" si="8"/>
        <v>-0.26760032976763592</v>
      </c>
      <c r="N16" s="6">
        <f t="shared" si="8"/>
        <v>9.0997266554977529E-2</v>
      </c>
      <c r="O16" s="6">
        <f t="shared" si="8"/>
        <v>-0.15673709116565049</v>
      </c>
      <c r="P16" s="6">
        <f t="shared" si="8"/>
        <v>-0.18041254425443501</v>
      </c>
      <c r="Q16" s="10">
        <f t="shared" si="8"/>
        <v>2.8887036914501618E-2</v>
      </c>
    </row>
    <row r="17" spans="1:17" ht="20.100000000000001" customHeight="1" x14ac:dyDescent="0.25">
      <c r="A17" s="9" t="s">
        <v>29</v>
      </c>
      <c r="B17" s="12">
        <f>((B15/B6)^(1/3))-1</f>
        <v>-7.1286362113588408E-2</v>
      </c>
      <c r="C17" s="12">
        <f t="shared" ref="C17:P17" si="9">((C15/C6)^(1/3))-1</f>
        <v>-9.7245861093374075E-2</v>
      </c>
      <c r="D17" s="12">
        <f t="shared" si="9"/>
        <v>-9.836206000445169E-2</v>
      </c>
      <c r="E17" s="12">
        <f t="shared" si="9"/>
        <v>-3.324069536966634E-2</v>
      </c>
      <c r="F17" s="12">
        <f t="shared" si="9"/>
        <v>-4.0896513158231729E-2</v>
      </c>
      <c r="G17" s="12">
        <f t="shared" si="9"/>
        <v>-7.7252720632454475E-2</v>
      </c>
      <c r="H17" s="11">
        <f t="shared" ref="H17" si="10">(((H15/H6)^(1/3))-1)</f>
        <v>3.9399961709062348E-2</v>
      </c>
      <c r="I17" s="12">
        <f t="shared" si="9"/>
        <v>-6.3625733412507657E-2</v>
      </c>
      <c r="J17" s="12">
        <f t="shared" si="9"/>
        <v>-0.15029402668149627</v>
      </c>
      <c r="K17" s="12">
        <f t="shared" si="9"/>
        <v>-6.6150178222736833E-2</v>
      </c>
      <c r="L17" s="12">
        <f t="shared" si="9"/>
        <v>-5.0597758895573386E-2</v>
      </c>
      <c r="M17" s="12">
        <f t="shared" si="9"/>
        <v>-0.10091782436100061</v>
      </c>
      <c r="N17" s="12">
        <f t="shared" si="9"/>
        <v>1.7110663482259758E-2</v>
      </c>
      <c r="O17" s="12">
        <f t="shared" si="9"/>
        <v>-5.7089491376297929E-2</v>
      </c>
      <c r="P17" s="12">
        <f t="shared" si="9"/>
        <v>-6.4706478640273568E-2</v>
      </c>
      <c r="Q17" s="11">
        <f t="shared" ref="Q17" si="11">(((Q15/Q6)^(1/3))-1)</f>
        <v>8.1439538391137045E-3</v>
      </c>
    </row>
    <row r="18" spans="1:17" ht="20.100000000000001" customHeight="1" x14ac:dyDescent="0.25">
      <c r="A18" s="1" t="s">
        <v>23</v>
      </c>
      <c r="B18" s="2">
        <v>52715</v>
      </c>
      <c r="C18" s="2">
        <v>229678</v>
      </c>
      <c r="D18" s="2">
        <v>164907.47200000001</v>
      </c>
      <c r="E18" s="2">
        <v>7364123</v>
      </c>
      <c r="F18" s="2">
        <v>28928.715265999999</v>
      </c>
      <c r="G18" s="2">
        <v>38223.178767999998</v>
      </c>
      <c r="H18" s="8">
        <v>75.683698212506556</v>
      </c>
      <c r="I18" s="3">
        <v>97065</v>
      </c>
      <c r="J18" s="3">
        <v>2377.7629999999999</v>
      </c>
      <c r="K18" s="3">
        <v>99442.763000000006</v>
      </c>
      <c r="L18" s="3">
        <v>2898.8569904613919</v>
      </c>
      <c r="M18" s="3">
        <v>520.32000000000005</v>
      </c>
      <c r="N18" s="3">
        <v>17.411000000000001</v>
      </c>
      <c r="O18" s="3">
        <v>3436.5879904613917</v>
      </c>
      <c r="P18" s="3">
        <v>5295.5058194201874</v>
      </c>
      <c r="Q18" s="8">
        <v>64.896312224951316</v>
      </c>
    </row>
    <row r="19" spans="1:17" ht="20.100000000000001" customHeight="1" x14ac:dyDescent="0.25">
      <c r="A19" s="4" t="s">
        <v>28</v>
      </c>
      <c r="B19" s="6">
        <f>(B18-B15)/B15</f>
        <v>6.9551808793393802E-2</v>
      </c>
      <c r="C19" s="6">
        <f t="shared" ref="C19:Q19" si="12">(C18-C15)/C15</f>
        <v>0.15552536915452922</v>
      </c>
      <c r="D19" s="6">
        <f t="shared" si="12"/>
        <v>0.17669179778086988</v>
      </c>
      <c r="E19" s="6">
        <f t="shared" si="12"/>
        <v>0.14278631292610328</v>
      </c>
      <c r="F19" s="6">
        <f t="shared" si="12"/>
        <v>0.1819858688192377</v>
      </c>
      <c r="G19" s="6">
        <f t="shared" si="12"/>
        <v>0.17322715604075326</v>
      </c>
      <c r="H19" s="10">
        <f t="shared" si="12"/>
        <v>7.4654875941008031E-3</v>
      </c>
      <c r="I19" s="6">
        <f t="shared" si="12"/>
        <v>0.43165828404548739</v>
      </c>
      <c r="J19" s="6">
        <f t="shared" si="12"/>
        <v>0.42381017964071849</v>
      </c>
      <c r="K19" s="6">
        <f t="shared" si="12"/>
        <v>0.43146961954252983</v>
      </c>
      <c r="L19" s="6">
        <f t="shared" si="12"/>
        <v>0.17661128821095648</v>
      </c>
      <c r="M19" s="6">
        <f t="shared" si="12"/>
        <v>0.44615683931127453</v>
      </c>
      <c r="N19" s="6">
        <f t="shared" si="12"/>
        <v>-0.29641154125919333</v>
      </c>
      <c r="O19" s="6">
        <f t="shared" si="12"/>
        <v>0.20655071641098741</v>
      </c>
      <c r="P19" s="6">
        <f t="shared" si="12"/>
        <v>0.15950990182421712</v>
      </c>
      <c r="Q19" s="10">
        <f t="shared" si="12"/>
        <v>4.0569566946140258E-2</v>
      </c>
    </row>
    <row r="20" spans="1:17" ht="20.100000000000001" customHeight="1" x14ac:dyDescent="0.25">
      <c r="A20" s="9" t="s">
        <v>29</v>
      </c>
      <c r="B20" s="12">
        <f>((B18/B6)^(1/4))-1</f>
        <v>-3.7918587896416112E-2</v>
      </c>
      <c r="C20" s="12">
        <f t="shared" ref="C20:P20" si="13">((C18/C6)^(1/4))-1</f>
        <v>-3.9777258597043952E-2</v>
      </c>
      <c r="D20" s="12">
        <f t="shared" si="13"/>
        <v>-3.6304535346698641E-2</v>
      </c>
      <c r="E20" s="12">
        <f t="shared" si="13"/>
        <v>8.0452512052291425E-3</v>
      </c>
      <c r="F20" s="12">
        <f t="shared" si="13"/>
        <v>1.053689301633276E-2</v>
      </c>
      <c r="G20" s="12">
        <f t="shared" si="13"/>
        <v>-2.0154490287666804E-2</v>
      </c>
      <c r="H20" s="11">
        <f t="shared" ref="H20" si="14">(((H18/H6)^(1/4))-1)</f>
        <v>3.1322675870617545E-2</v>
      </c>
      <c r="I20" s="12">
        <f t="shared" si="13"/>
        <v>4.1230653422505092E-2</v>
      </c>
      <c r="J20" s="12">
        <f t="shared" si="13"/>
        <v>-3.3249229494807575E-2</v>
      </c>
      <c r="K20" s="12">
        <f t="shared" si="13"/>
        <v>3.909035584645415E-2</v>
      </c>
      <c r="L20" s="12">
        <f t="shared" si="13"/>
        <v>1.719071003223327E-3</v>
      </c>
      <c r="M20" s="12">
        <f t="shared" si="13"/>
        <v>1.2519485633579741E-2</v>
      </c>
      <c r="N20" s="12">
        <f t="shared" si="13"/>
        <v>-7.241048196309785E-2</v>
      </c>
      <c r="O20" s="12">
        <f t="shared" si="13"/>
        <v>2.8575591791113464E-3</v>
      </c>
      <c r="P20" s="12">
        <f t="shared" si="13"/>
        <v>-1.3085431393216052E-2</v>
      </c>
      <c r="Q20" s="11">
        <f t="shared" ref="Q20" si="15">(((Q18/Q6)^(1/4))-1)</f>
        <v>1.6154377571742318E-2</v>
      </c>
    </row>
    <row r="21" spans="1:17" ht="20.100000000000001" customHeight="1" x14ac:dyDescent="0.25">
      <c r="A21" s="1" t="s">
        <v>24</v>
      </c>
      <c r="B21" s="2">
        <v>54302</v>
      </c>
      <c r="C21" s="2">
        <v>243544</v>
      </c>
      <c r="D21" s="2">
        <v>201120</v>
      </c>
      <c r="E21" s="2">
        <v>7928588</v>
      </c>
      <c r="F21" s="2">
        <v>30914.725999999999</v>
      </c>
      <c r="G21" s="2">
        <v>41551.408000000003</v>
      </c>
      <c r="H21" s="8">
        <v>74.401151460378898</v>
      </c>
      <c r="I21" s="3">
        <v>105242</v>
      </c>
      <c r="J21" s="3">
        <v>3009</v>
      </c>
      <c r="K21" s="3">
        <v>108251</v>
      </c>
      <c r="L21" s="3">
        <v>2956.2339900000002</v>
      </c>
      <c r="M21" s="3">
        <v>550.62327000000005</v>
      </c>
      <c r="N21" s="3">
        <v>22.364619999999999</v>
      </c>
      <c r="O21" s="3">
        <v>3529.2218800000001</v>
      </c>
      <c r="P21" s="3">
        <v>5489.4757800000007</v>
      </c>
      <c r="Q21" s="8">
        <v>64.290690430917607</v>
      </c>
    </row>
    <row r="22" spans="1:17" ht="20.100000000000001" customHeight="1" x14ac:dyDescent="0.25">
      <c r="A22" s="4" t="s">
        <v>28</v>
      </c>
      <c r="B22" s="6">
        <f>(B21-B18)/B18</f>
        <v>3.0105283126244903E-2</v>
      </c>
      <c r="C22" s="6">
        <f t="shared" ref="C22:Q22" si="16">(C21-C18)/C18</f>
        <v>6.0371476588963677E-2</v>
      </c>
      <c r="D22" s="6">
        <f t="shared" si="16"/>
        <v>0.21959300910270452</v>
      </c>
      <c r="E22" s="6">
        <f t="shared" si="16"/>
        <v>7.6650675172046961E-2</v>
      </c>
      <c r="F22" s="6">
        <f t="shared" si="16"/>
        <v>6.8651881555699901E-2</v>
      </c>
      <c r="G22" s="6">
        <f t="shared" si="16"/>
        <v>8.7073585695242067E-2</v>
      </c>
      <c r="H22" s="10">
        <f t="shared" si="16"/>
        <v>-1.6946142728470951E-2</v>
      </c>
      <c r="I22" s="6">
        <f t="shared" si="16"/>
        <v>8.424251790037604E-2</v>
      </c>
      <c r="J22" s="6">
        <f t="shared" si="16"/>
        <v>0.26547515458857762</v>
      </c>
      <c r="K22" s="6">
        <f t="shared" si="16"/>
        <v>8.8575947955106524E-2</v>
      </c>
      <c r="L22" s="6">
        <f t="shared" si="16"/>
        <v>1.9792973481412054E-2</v>
      </c>
      <c r="M22" s="6">
        <f t="shared" si="16"/>
        <v>5.8239679428044269E-2</v>
      </c>
      <c r="N22" s="6">
        <f t="shared" si="16"/>
        <v>0.28451094135891086</v>
      </c>
      <c r="O22" s="6">
        <f t="shared" si="16"/>
        <v>2.6955192125364874E-2</v>
      </c>
      <c r="P22" s="6">
        <f t="shared" si="16"/>
        <v>3.6629165785913777E-2</v>
      </c>
      <c r="Q22" s="10">
        <f t="shared" si="16"/>
        <v>-9.3321449751170901E-3</v>
      </c>
    </row>
    <row r="23" spans="1:17" ht="20.100000000000001" customHeight="1" x14ac:dyDescent="0.25">
      <c r="A23" s="9" t="s">
        <v>29</v>
      </c>
      <c r="B23" s="12">
        <f>((B21/B6)^(1/5))-1</f>
        <v>-2.4683027107739397E-2</v>
      </c>
      <c r="C23" s="12">
        <f t="shared" ref="C23:P23" si="17">((C21/C6)^(1/5))-1</f>
        <v>-2.0534378323225133E-2</v>
      </c>
      <c r="D23" s="12">
        <f t="shared" si="17"/>
        <v>1.017086210338447E-2</v>
      </c>
      <c r="E23" s="12">
        <f t="shared" si="17"/>
        <v>2.1407366845199727E-2</v>
      </c>
      <c r="F23" s="12">
        <f t="shared" si="17"/>
        <v>2.1901389699598317E-2</v>
      </c>
      <c r="G23" s="12">
        <f t="shared" si="17"/>
        <v>4.096539650411124E-4</v>
      </c>
      <c r="H23" s="11">
        <f t="shared" ref="H23" si="18">(((H21/H6)^(1/5))-1)</f>
        <v>2.1482935164986117E-2</v>
      </c>
      <c r="I23" s="12">
        <f t="shared" si="17"/>
        <v>4.9694309469206832E-2</v>
      </c>
      <c r="J23" s="12">
        <f t="shared" si="17"/>
        <v>2.0239998630571687E-2</v>
      </c>
      <c r="K23" s="12">
        <f t="shared" si="17"/>
        <v>4.8804152264169343E-2</v>
      </c>
      <c r="L23" s="12">
        <f t="shared" si="17"/>
        <v>5.3080419781394994E-3</v>
      </c>
      <c r="M23" s="12">
        <f t="shared" si="17"/>
        <v>2.150270310474145E-2</v>
      </c>
      <c r="N23" s="12">
        <f t="shared" si="17"/>
        <v>-1.0006763701869481E-2</v>
      </c>
      <c r="O23" s="12">
        <f t="shared" si="17"/>
        <v>7.6314192952258164E-3</v>
      </c>
      <c r="P23" s="12">
        <f t="shared" si="17"/>
        <v>-3.3370072360247027E-3</v>
      </c>
      <c r="Q23" s="11">
        <f t="shared" ref="Q23" si="19">(((Q21/Q6)^(1/5))-1)</f>
        <v>1.1005150799100694E-2</v>
      </c>
    </row>
    <row r="24" spans="1:17" ht="20.100000000000001" customHeight="1" x14ac:dyDescent="0.25">
      <c r="A24" s="1" t="s">
        <v>25</v>
      </c>
      <c r="B24" s="2">
        <v>55061</v>
      </c>
      <c r="C24" s="2">
        <v>259125.75</v>
      </c>
      <c r="D24" s="2">
        <v>268904</v>
      </c>
      <c r="E24" s="2">
        <v>8368458</v>
      </c>
      <c r="F24" s="2">
        <v>33406.072999999997</v>
      </c>
      <c r="G24" s="2">
        <v>44202.758000000002</v>
      </c>
      <c r="H24" s="8">
        <v>75.57463495829829</v>
      </c>
      <c r="I24" s="3">
        <v>108002.76999999999</v>
      </c>
      <c r="J24" s="3">
        <v>2839.2959999999998</v>
      </c>
      <c r="K24" s="3">
        <v>110842.06599999999</v>
      </c>
      <c r="L24" s="3">
        <v>3287.6017800000004</v>
      </c>
      <c r="M24" s="3">
        <v>481.33940000000001</v>
      </c>
      <c r="N24" s="3">
        <v>20.849620000000002</v>
      </c>
      <c r="O24" s="3">
        <v>3789.7907999999998</v>
      </c>
      <c r="P24" s="3">
        <v>5917.2492099999999</v>
      </c>
      <c r="Q24" s="8">
        <v>64.04649636177821</v>
      </c>
    </row>
    <row r="25" spans="1:17" ht="20.100000000000001" customHeight="1" x14ac:dyDescent="0.25">
      <c r="A25" s="4" t="s">
        <v>28</v>
      </c>
      <c r="B25" s="6">
        <f>(B24-B21)/B21</f>
        <v>1.3977385731648926E-2</v>
      </c>
      <c r="C25" s="6">
        <f t="shared" ref="C25:Q25" si="20">(C24-C21)/C21</f>
        <v>6.397919883060145E-2</v>
      </c>
      <c r="D25" s="6">
        <f t="shared" si="20"/>
        <v>0.33703261734287987</v>
      </c>
      <c r="E25" s="6">
        <f t="shared" si="20"/>
        <v>5.5478983143026225E-2</v>
      </c>
      <c r="F25" s="6">
        <f t="shared" si="20"/>
        <v>8.0587710853397124E-2</v>
      </c>
      <c r="G25" s="6">
        <f t="shared" si="20"/>
        <v>6.3808908713755219E-2</v>
      </c>
      <c r="H25" s="10">
        <f t="shared" si="20"/>
        <v>1.5772383557051683E-2</v>
      </c>
      <c r="I25" s="6">
        <f t="shared" si="20"/>
        <v>2.6232587750137679E-2</v>
      </c>
      <c r="J25" s="6">
        <f t="shared" si="20"/>
        <v>-5.6398803589232362E-2</v>
      </c>
      <c r="K25" s="6">
        <f t="shared" si="20"/>
        <v>2.3935723457519945E-2</v>
      </c>
      <c r="L25" s="6">
        <f t="shared" si="20"/>
        <v>0.11209119140125989</v>
      </c>
      <c r="M25" s="6">
        <f t="shared" si="20"/>
        <v>-0.1258280820569026</v>
      </c>
      <c r="N25" s="6">
        <f t="shared" si="20"/>
        <v>-6.7740922939893325E-2</v>
      </c>
      <c r="O25" s="6">
        <f t="shared" si="20"/>
        <v>7.3831832868496136E-2</v>
      </c>
      <c r="P25" s="6">
        <f t="shared" si="20"/>
        <v>7.7926098437034949E-2</v>
      </c>
      <c r="Q25" s="10">
        <f t="shared" si="20"/>
        <v>-3.7982803964718807E-3</v>
      </c>
    </row>
    <row r="26" spans="1:17" ht="20.100000000000001" customHeight="1" x14ac:dyDescent="0.25">
      <c r="A26" s="9" t="s">
        <v>29</v>
      </c>
      <c r="B26" s="12">
        <f>((B24/B6)^(1/6))-1</f>
        <v>-1.8343537674279209E-2</v>
      </c>
      <c r="C26" s="12">
        <f t="shared" ref="C26:P26" si="21">((C24/C6)^(1/6))-1</f>
        <v>-6.9300191414060075E-3</v>
      </c>
      <c r="D26" s="12">
        <f t="shared" si="21"/>
        <v>5.8488225824543605E-2</v>
      </c>
      <c r="E26" s="12">
        <f t="shared" si="21"/>
        <v>2.7008614715921642E-2</v>
      </c>
      <c r="F26" s="12">
        <f t="shared" si="21"/>
        <v>3.145629049975307E-2</v>
      </c>
      <c r="G26" s="12">
        <f t="shared" si="21"/>
        <v>1.0707524272487667E-2</v>
      </c>
      <c r="H26" s="11">
        <f t="shared" ref="H26" si="22">(((H24/H6)^(1/6))-1)</f>
        <v>2.0528951975696819E-2</v>
      </c>
      <c r="I26" s="12">
        <f t="shared" si="21"/>
        <v>4.5747100913906324E-2</v>
      </c>
      <c r="J26" s="12">
        <f t="shared" si="21"/>
        <v>7.0476852684993041E-3</v>
      </c>
      <c r="K26" s="12">
        <f t="shared" si="21"/>
        <v>4.4617861954942439E-2</v>
      </c>
      <c r="L26" s="12">
        <f t="shared" si="21"/>
        <v>2.2365135248658463E-2</v>
      </c>
      <c r="M26" s="12">
        <f t="shared" si="21"/>
        <v>-4.6730990696755015E-3</v>
      </c>
      <c r="N26" s="12">
        <f t="shared" si="21"/>
        <v>-1.9871631003336332E-2</v>
      </c>
      <c r="O26" s="12">
        <f t="shared" si="21"/>
        <v>1.8374375793503539E-2</v>
      </c>
      <c r="P26" s="12">
        <f t="shared" si="21"/>
        <v>9.7683987771794989E-3</v>
      </c>
      <c r="Q26" s="11">
        <f t="shared" ref="Q26" si="23">(((Q24/Q6)^(1/6))-1)</f>
        <v>8.522723653013653E-3</v>
      </c>
    </row>
    <row r="27" spans="1:17" ht="20.100000000000001" customHeight="1" x14ac:dyDescent="0.25">
      <c r="A27" s="1" t="s">
        <v>26</v>
      </c>
      <c r="B27" s="2">
        <v>59887</v>
      </c>
      <c r="C27" s="2">
        <v>293919</v>
      </c>
      <c r="D27" s="2">
        <v>291800.49</v>
      </c>
      <c r="E27" s="2">
        <v>9174845</v>
      </c>
      <c r="F27" s="2">
        <v>37004.607189999995</v>
      </c>
      <c r="G27" s="2">
        <v>49093.413590000004</v>
      </c>
      <c r="H27" s="8">
        <v>75.37590989097076</v>
      </c>
      <c r="I27" s="3">
        <v>123718.67</v>
      </c>
      <c r="J27" s="3">
        <v>3141.6249999999995</v>
      </c>
      <c r="K27" s="3">
        <v>126860.29500000001</v>
      </c>
      <c r="L27" s="3">
        <v>3665.8865019900004</v>
      </c>
      <c r="M27" s="3">
        <v>593.40436999999997</v>
      </c>
      <c r="N27" s="3">
        <v>20.674539999999997</v>
      </c>
      <c r="O27" s="3">
        <v>4279.9654119899997</v>
      </c>
      <c r="P27" s="3">
        <v>6478.1411104499985</v>
      </c>
      <c r="Q27" s="8">
        <v>66.067801534701303</v>
      </c>
    </row>
    <row r="28" spans="1:17" ht="20.100000000000001" customHeight="1" x14ac:dyDescent="0.25">
      <c r="A28" s="4" t="s">
        <v>28</v>
      </c>
      <c r="B28" s="6">
        <f>(B27-B24)/B24</f>
        <v>8.7648244674088743E-2</v>
      </c>
      <c r="C28" s="6">
        <f t="shared" ref="C28:Q28" si="24">(C27-C24)/C24</f>
        <v>0.13427168083449831</v>
      </c>
      <c r="D28" s="6">
        <f t="shared" si="24"/>
        <v>8.5147450391217655E-2</v>
      </c>
      <c r="E28" s="6">
        <f t="shared" si="24"/>
        <v>9.6360285252073921E-2</v>
      </c>
      <c r="F28" s="6">
        <f t="shared" si="24"/>
        <v>0.10772095810243841</v>
      </c>
      <c r="G28" s="6">
        <f t="shared" si="24"/>
        <v>0.11064141269194112</v>
      </c>
      <c r="H28" s="10">
        <f t="shared" si="24"/>
        <v>-2.6295207040984759E-3</v>
      </c>
      <c r="I28" s="6">
        <f t="shared" si="24"/>
        <v>0.14551386043154274</v>
      </c>
      <c r="J28" s="6">
        <f t="shared" si="24"/>
        <v>0.10648026834821017</v>
      </c>
      <c r="K28" s="6">
        <f t="shared" si="24"/>
        <v>0.14451398803771867</v>
      </c>
      <c r="L28" s="6">
        <f t="shared" si="24"/>
        <v>0.11506403369510279</v>
      </c>
      <c r="M28" s="6">
        <f t="shared" si="24"/>
        <v>0.23281902541117547</v>
      </c>
      <c r="N28" s="6">
        <f t="shared" si="24"/>
        <v>-8.3972753460257194E-3</v>
      </c>
      <c r="O28" s="6">
        <f t="shared" si="24"/>
        <v>0.12934081004946235</v>
      </c>
      <c r="P28" s="6">
        <f t="shared" si="24"/>
        <v>9.4789298294569974E-2</v>
      </c>
      <c r="Q28" s="10">
        <f t="shared" si="24"/>
        <v>3.1559964834069691E-2</v>
      </c>
    </row>
    <row r="29" spans="1:17" ht="20.100000000000001" customHeight="1" x14ac:dyDescent="0.25">
      <c r="A29" s="9" t="s">
        <v>29</v>
      </c>
      <c r="B29" s="12">
        <f>((B27/B6)^(1/7))-1</f>
        <v>-3.8590215595419863E-3</v>
      </c>
      <c r="C29" s="12">
        <f t="shared" ref="C29:P29" si="25">((C27/C6)^(1/7))-1</f>
        <v>1.2110733106170724E-2</v>
      </c>
      <c r="D29" s="12">
        <f t="shared" si="25"/>
        <v>6.225620736895876E-2</v>
      </c>
      <c r="E29" s="12">
        <f t="shared" si="25"/>
        <v>3.6640707989691546E-2</v>
      </c>
      <c r="F29" s="12">
        <f t="shared" si="25"/>
        <v>4.2021015569450482E-2</v>
      </c>
      <c r="G29" s="12">
        <f t="shared" si="25"/>
        <v>2.4413434130899692E-2</v>
      </c>
      <c r="H29" s="11">
        <f t="shared" ref="H29" si="26">(((H27/H6)^(1/7))-1)</f>
        <v>1.7187964206549999E-2</v>
      </c>
      <c r="I29" s="12">
        <f t="shared" si="25"/>
        <v>5.9448991772463655E-2</v>
      </c>
      <c r="J29" s="12">
        <f t="shared" si="25"/>
        <v>2.0685590925104913E-2</v>
      </c>
      <c r="K29" s="12">
        <f t="shared" si="25"/>
        <v>5.8336280607901081E-2</v>
      </c>
      <c r="L29" s="12">
        <f t="shared" si="25"/>
        <v>3.5120372261304933E-2</v>
      </c>
      <c r="M29" s="12">
        <f t="shared" si="25"/>
        <v>2.6223530758043401E-2</v>
      </c>
      <c r="N29" s="12">
        <f t="shared" si="25"/>
        <v>-1.824060252676929E-2</v>
      </c>
      <c r="O29" s="12">
        <f t="shared" si="25"/>
        <v>3.3532784294505236E-2</v>
      </c>
      <c r="P29" s="12">
        <f t="shared" si="25"/>
        <v>2.1497512603138258E-2</v>
      </c>
      <c r="Q29" s="11">
        <f t="shared" ref="Q29" si="27">(((Q27/Q6)^(1/7))-1)</f>
        <v>1.1781988250462616E-2</v>
      </c>
    </row>
    <row r="30" spans="1:17" ht="20.100000000000001" customHeight="1" x14ac:dyDescent="0.25">
      <c r="A30" s="1" t="s">
        <v>27</v>
      </c>
      <c r="B30" s="2">
        <v>64373</v>
      </c>
      <c r="C30" s="2">
        <v>318478.59999999998</v>
      </c>
      <c r="D30" s="2">
        <v>314077.11</v>
      </c>
      <c r="E30" s="2">
        <v>10175936</v>
      </c>
      <c r="F30" s="2">
        <v>41607.796982999993</v>
      </c>
      <c r="G30" s="2">
        <v>52871.542490000007</v>
      </c>
      <c r="H30" s="8">
        <v>78.696014951463908</v>
      </c>
      <c r="I30" s="3">
        <v>143834.55800000005</v>
      </c>
      <c r="J30" s="3">
        <v>4527.6810000000014</v>
      </c>
      <c r="K30" s="3">
        <v>148362.239</v>
      </c>
      <c r="L30" s="3">
        <v>4105.5166199999994</v>
      </c>
      <c r="M30" s="3">
        <v>748.43958999999995</v>
      </c>
      <c r="N30" s="3">
        <v>29.651769999999996</v>
      </c>
      <c r="O30" s="3">
        <v>4883.6079799999998</v>
      </c>
      <c r="P30" s="3">
        <v>7004.9306599999982</v>
      </c>
      <c r="Q30" s="8">
        <v>69.716721221620219</v>
      </c>
    </row>
    <row r="31" spans="1:17" ht="20.100000000000001" customHeight="1" x14ac:dyDescent="0.25">
      <c r="A31" s="4" t="s">
        <v>28</v>
      </c>
      <c r="B31" s="6">
        <f>(B30-B27)/B27</f>
        <v>7.4907742915824804E-2</v>
      </c>
      <c r="C31" s="6">
        <f t="shared" ref="C31:Q31" si="28">(C30-C27)/C27</f>
        <v>8.3559075799795102E-2</v>
      </c>
      <c r="D31" s="6">
        <f t="shared" si="28"/>
        <v>7.6341955423035776E-2</v>
      </c>
      <c r="E31" s="6">
        <f t="shared" si="28"/>
        <v>0.10911257901359642</v>
      </c>
      <c r="F31" s="6">
        <f t="shared" si="28"/>
        <v>0.12439504544298875</v>
      </c>
      <c r="G31" s="6">
        <f t="shared" si="28"/>
        <v>7.6957958791636819E-2</v>
      </c>
      <c r="H31" s="10">
        <f t="shared" si="28"/>
        <v>4.4047296613673938E-2</v>
      </c>
      <c r="I31" s="6">
        <f t="shared" si="28"/>
        <v>0.16259379445317387</v>
      </c>
      <c r="J31" s="6">
        <f t="shared" si="28"/>
        <v>0.4411907850236747</v>
      </c>
      <c r="K31" s="6">
        <f t="shared" si="28"/>
        <v>0.16949309474646884</v>
      </c>
      <c r="L31" s="6">
        <f t="shared" si="28"/>
        <v>0.1199246397212104</v>
      </c>
      <c r="M31" s="6">
        <f t="shared" si="28"/>
        <v>0.2612640348435587</v>
      </c>
      <c r="N31" s="6">
        <f t="shared" si="28"/>
        <v>0.43421667422830207</v>
      </c>
      <c r="O31" s="6">
        <f t="shared" si="28"/>
        <v>0.1410391229608868</v>
      </c>
      <c r="P31" s="6">
        <f t="shared" si="28"/>
        <v>8.1318010918321401E-2</v>
      </c>
      <c r="Q31" s="10">
        <f t="shared" si="28"/>
        <v>5.5229924443639396E-2</v>
      </c>
    </row>
    <row r="32" spans="1:17" ht="20.100000000000001" customHeight="1" x14ac:dyDescent="0.25">
      <c r="A32" s="9" t="s">
        <v>29</v>
      </c>
      <c r="B32" s="12">
        <f>((B30/B6)^(1/8))-1</f>
        <v>5.6621484323498006E-3</v>
      </c>
      <c r="C32" s="12">
        <f t="shared" ref="C32:P32" si="29">((C30/C6)^(1/8))-1</f>
        <v>2.0777528531364942E-2</v>
      </c>
      <c r="D32" s="12">
        <f t="shared" si="29"/>
        <v>6.4006795195884036E-2</v>
      </c>
      <c r="E32" s="12">
        <f t="shared" si="29"/>
        <v>4.5434145363692391E-2</v>
      </c>
      <c r="F32" s="12">
        <f t="shared" si="29"/>
        <v>5.1978305414118742E-2</v>
      </c>
      <c r="G32" s="12">
        <f t="shared" si="29"/>
        <v>3.0838667242867768E-2</v>
      </c>
      <c r="H32" s="11">
        <f t="shared" ref="H32" si="30">(((H30/H6)^(1/8))-1)</f>
        <v>2.0507222752705001E-2</v>
      </c>
      <c r="I32" s="12">
        <f t="shared" si="29"/>
        <v>7.1824168185730786E-2</v>
      </c>
      <c r="J32" s="12">
        <f t="shared" si="29"/>
        <v>6.5664921763565864E-2</v>
      </c>
      <c r="K32" s="12">
        <f t="shared" si="29"/>
        <v>7.1631402701789249E-2</v>
      </c>
      <c r="L32" s="12">
        <f t="shared" si="29"/>
        <v>4.5359328236966645E-2</v>
      </c>
      <c r="M32" s="12">
        <f t="shared" si="29"/>
        <v>5.3022071100771617E-2</v>
      </c>
      <c r="N32" s="12">
        <f t="shared" si="29"/>
        <v>2.9393163369054731E-2</v>
      </c>
      <c r="O32" s="12">
        <f t="shared" si="29"/>
        <v>4.6396532972883042E-2</v>
      </c>
      <c r="P32" s="12">
        <f t="shared" si="29"/>
        <v>2.8790224279712229E-2</v>
      </c>
      <c r="Q32" s="11">
        <f t="shared" ref="Q32" si="31">(((Q30/Q6)^(1/8))-1)</f>
        <v>1.7113604190297949E-2</v>
      </c>
    </row>
    <row r="33" spans="1:17" ht="20.100000000000001" customHeight="1" x14ac:dyDescent="0.25">
      <c r="A33" s="1" t="s">
        <v>31</v>
      </c>
      <c r="B33" s="2">
        <v>68254</v>
      </c>
      <c r="C33" s="2">
        <v>352692.63299999997</v>
      </c>
      <c r="D33" s="2">
        <v>331708.61100000003</v>
      </c>
      <c r="E33" s="2">
        <v>10951995</v>
      </c>
      <c r="F33" s="2">
        <v>45127.805807000004</v>
      </c>
      <c r="G33" s="2">
        <v>57376.122995000005</v>
      </c>
      <c r="H33" s="8">
        <v>78.652588309134501</v>
      </c>
      <c r="I33" s="3">
        <v>158493.07584999999</v>
      </c>
      <c r="J33" s="3">
        <v>4929.277</v>
      </c>
      <c r="K33" s="3">
        <v>163422.35285000002</v>
      </c>
      <c r="L33" s="3">
        <v>4357.9867948370002</v>
      </c>
      <c r="M33" s="3">
        <v>836.19324326540004</v>
      </c>
      <c r="N33" s="3">
        <v>29.172819008900003</v>
      </c>
      <c r="O33" s="3">
        <v>5223.3572264413997</v>
      </c>
      <c r="P33" s="3">
        <v>7554.1438601600003</v>
      </c>
      <c r="Q33" s="8">
        <v>69.145588476134293</v>
      </c>
    </row>
    <row r="34" spans="1:17" ht="20.100000000000001" customHeight="1" x14ac:dyDescent="0.25">
      <c r="A34" s="4" t="s">
        <v>28</v>
      </c>
      <c r="B34" s="6">
        <f>(B33-B30)/B30</f>
        <v>6.0289251704907336E-2</v>
      </c>
      <c r="C34" s="6">
        <f t="shared" ref="C34:Q34" si="32">(C33-C30)/C30</f>
        <v>0.10742961379508702</v>
      </c>
      <c r="D34" s="6">
        <f t="shared" si="32"/>
        <v>5.6137491203991426E-2</v>
      </c>
      <c r="E34" s="6">
        <f t="shared" si="32"/>
        <v>7.6264139239869438E-2</v>
      </c>
      <c r="F34" s="6">
        <f t="shared" si="32"/>
        <v>8.4599740414956548E-2</v>
      </c>
      <c r="G34" s="6">
        <f t="shared" si="32"/>
        <v>8.5198583072396333E-2</v>
      </c>
      <c r="H34" s="10">
        <f t="shared" si="32"/>
        <v>-5.5182771778458141E-4</v>
      </c>
      <c r="I34" s="6">
        <f t="shared" si="32"/>
        <v>0.10191235022949033</v>
      </c>
      <c r="J34" s="6">
        <f t="shared" si="32"/>
        <v>8.8697944930307263E-2</v>
      </c>
      <c r="K34" s="6">
        <f t="shared" si="32"/>
        <v>0.1015090763762336</v>
      </c>
      <c r="L34" s="6">
        <f t="shared" si="32"/>
        <v>6.1495348382489504E-2</v>
      </c>
      <c r="M34" s="6">
        <f t="shared" si="32"/>
        <v>0.11724881264685651</v>
      </c>
      <c r="N34" s="6">
        <f t="shared" si="32"/>
        <v>-1.6152526176346053E-2</v>
      </c>
      <c r="O34" s="6">
        <f t="shared" si="32"/>
        <v>6.9569311835181322E-2</v>
      </c>
      <c r="P34" s="6">
        <f t="shared" si="32"/>
        <v>7.840380252386428E-2</v>
      </c>
      <c r="Q34" s="10">
        <f t="shared" si="32"/>
        <v>-8.1921917077880137E-3</v>
      </c>
    </row>
    <row r="35" spans="1:17" ht="20.100000000000001" customHeight="1" x14ac:dyDescent="0.25">
      <c r="A35" s="9" t="s">
        <v>29</v>
      </c>
      <c r="B35" s="12">
        <f>((B33/B6)^(1/9))-1</f>
        <v>1.1590115292279712E-2</v>
      </c>
      <c r="C35" s="12">
        <f t="shared" ref="C35:P35" si="33">((C33/C6)^(1/9))-1</f>
        <v>3.0060589225775702E-2</v>
      </c>
      <c r="D35" s="12">
        <f t="shared" si="33"/>
        <v>6.3129540521068339E-2</v>
      </c>
      <c r="E35" s="12">
        <f t="shared" si="33"/>
        <v>4.881561872621476E-2</v>
      </c>
      <c r="F35" s="12">
        <f t="shared" si="33"/>
        <v>5.5553908847810973E-2</v>
      </c>
      <c r="G35" s="12">
        <f t="shared" si="33"/>
        <v>3.6741625694430846E-2</v>
      </c>
      <c r="H35" s="11">
        <f t="shared" ref="H35" si="34">(((H33/H6)^(1/9))-1)</f>
        <v>1.8145584866218867E-2</v>
      </c>
      <c r="I35" s="12">
        <f t="shared" si="33"/>
        <v>7.5126311821812397E-2</v>
      </c>
      <c r="J35" s="12">
        <f t="shared" si="33"/>
        <v>6.8199891775617472E-2</v>
      </c>
      <c r="K35" s="12">
        <f t="shared" si="33"/>
        <v>7.4910716010707423E-2</v>
      </c>
      <c r="L35" s="12">
        <f t="shared" si="33"/>
        <v>4.7140037670408308E-2</v>
      </c>
      <c r="M35" s="12">
        <f t="shared" si="33"/>
        <v>5.9972042056466002E-2</v>
      </c>
      <c r="N35" s="12">
        <f t="shared" si="33"/>
        <v>2.4230152218274181E-2</v>
      </c>
      <c r="O35" s="12">
        <f t="shared" si="33"/>
        <v>4.8946292319902662E-2</v>
      </c>
      <c r="P35" s="12">
        <f t="shared" si="33"/>
        <v>3.4188157051785906E-2</v>
      </c>
      <c r="Q35" s="11">
        <f t="shared" ref="Q35" si="35">(((Q33/Q6)^(1/9))-1)</f>
        <v>1.4270261332510747E-2</v>
      </c>
    </row>
    <row r="36" spans="1:17" ht="20.100000000000001" customHeight="1" x14ac:dyDescent="0.25">
      <c r="A36" s="7" t="s">
        <v>33</v>
      </c>
      <c r="B36" s="2">
        <v>71483</v>
      </c>
      <c r="C36" s="2">
        <v>362566.10666666669</v>
      </c>
      <c r="D36" s="2">
        <v>330664.19100000005</v>
      </c>
      <c r="E36" s="2">
        <v>11713985</v>
      </c>
      <c r="F36" s="2">
        <v>47680.230779999998</v>
      </c>
      <c r="G36" s="2">
        <v>58656.961151000003</v>
      </c>
      <c r="H36" s="8">
        <v>81.286568285147396</v>
      </c>
      <c r="I36" s="3">
        <v>152965.30260000002</v>
      </c>
      <c r="J36" s="3">
        <v>6172.7459999999992</v>
      </c>
      <c r="K36" s="3">
        <v>159138.04860000001</v>
      </c>
      <c r="L36" s="3">
        <v>4701.1494743339999</v>
      </c>
      <c r="M36" s="3">
        <v>798.09140356440003</v>
      </c>
      <c r="N36" s="3">
        <v>33.900521668000017</v>
      </c>
      <c r="O36" s="3">
        <v>5533.1413995663997</v>
      </c>
      <c r="P36" s="3">
        <v>7694.1271378640022</v>
      </c>
      <c r="Q36" s="8">
        <v>71.9138285659064</v>
      </c>
    </row>
    <row r="37" spans="1:17" ht="20.100000000000001" customHeight="1" x14ac:dyDescent="0.25">
      <c r="A37" s="4" t="s">
        <v>28</v>
      </c>
      <c r="B37" s="6">
        <f>(B36-B33)/B33</f>
        <v>4.730858264717086E-2</v>
      </c>
      <c r="C37" s="6">
        <f t="shared" ref="C37:Q37" si="36">(C36-C33)/C33</f>
        <v>2.7994556003858227E-2</v>
      </c>
      <c r="D37" s="6">
        <f t="shared" si="36"/>
        <v>-3.1486068355336834E-3</v>
      </c>
      <c r="E37" s="6">
        <f t="shared" si="36"/>
        <v>6.9575451778420283E-2</v>
      </c>
      <c r="F37" s="6">
        <f t="shared" si="36"/>
        <v>5.6559917491137451E-2</v>
      </c>
      <c r="G37" s="6">
        <f t="shared" si="36"/>
        <v>2.2323539638807864E-2</v>
      </c>
      <c r="H37" s="10">
        <f t="shared" si="36"/>
        <v>3.3488789531761563E-2</v>
      </c>
      <c r="I37" s="6">
        <f t="shared" si="36"/>
        <v>-3.4877064631085392E-2</v>
      </c>
      <c r="J37" s="6">
        <f t="shared" si="36"/>
        <v>0.25226194429730753</v>
      </c>
      <c r="K37" s="6">
        <f t="shared" si="36"/>
        <v>-2.6216145926698516E-2</v>
      </c>
      <c r="L37" s="6">
        <f t="shared" si="36"/>
        <v>7.8743395896369375E-2</v>
      </c>
      <c r="M37" s="6">
        <f t="shared" si="36"/>
        <v>-4.5565830635283959E-2</v>
      </c>
      <c r="N37" s="6">
        <f t="shared" si="36"/>
        <v>0.16205847839585519</v>
      </c>
      <c r="O37" s="6">
        <f t="shared" si="36"/>
        <v>5.9307483615485303E-2</v>
      </c>
      <c r="P37" s="6">
        <f t="shared" si="36"/>
        <v>1.8530660826075004E-2</v>
      </c>
      <c r="Q37" s="10">
        <f t="shared" si="36"/>
        <v>4.0034948733245201E-2</v>
      </c>
    </row>
    <row r="38" spans="1:17" ht="20.100000000000001" customHeight="1" x14ac:dyDescent="0.25">
      <c r="A38" s="9" t="s">
        <v>29</v>
      </c>
      <c r="B38" s="12">
        <f>((B36/B6)^(1/10))-1</f>
        <v>1.510644594174515E-2</v>
      </c>
      <c r="C38" s="12">
        <f t="shared" ref="C38:P38" si="37">((C36/C6)^(1/10))-1</f>
        <v>2.9853799189756502E-2</v>
      </c>
      <c r="D38" s="12">
        <f t="shared" si="37"/>
        <v>5.6308097954942626E-2</v>
      </c>
      <c r="E38" s="12">
        <f t="shared" si="37"/>
        <v>5.0873339528986872E-2</v>
      </c>
      <c r="F38" s="12">
        <f t="shared" si="37"/>
        <v>5.5654466592667262E-2</v>
      </c>
      <c r="G38" s="12">
        <f t="shared" si="37"/>
        <v>3.5290713674689167E-2</v>
      </c>
      <c r="H38" s="11">
        <f t="shared" ref="H38" si="38">(((H36/H6)^(1/10))-1)</f>
        <v>1.966959874072316E-2</v>
      </c>
      <c r="I38" s="12">
        <f t="shared" si="37"/>
        <v>6.3584023886121166E-2</v>
      </c>
      <c r="J38" s="12">
        <f t="shared" si="37"/>
        <v>8.5317472956222939E-2</v>
      </c>
      <c r="K38" s="12">
        <f t="shared" si="37"/>
        <v>6.434251462750562E-2</v>
      </c>
      <c r="L38" s="12">
        <f t="shared" si="37"/>
        <v>5.0258254938310376E-2</v>
      </c>
      <c r="M38" s="12">
        <f t="shared" si="37"/>
        <v>4.8913239767035099E-2</v>
      </c>
      <c r="N38" s="12">
        <f t="shared" si="37"/>
        <v>3.724320759009192E-2</v>
      </c>
      <c r="O38" s="12">
        <f t="shared" si="37"/>
        <v>4.9977834536597987E-2</v>
      </c>
      <c r="P38" s="12">
        <f t="shared" si="37"/>
        <v>3.261163663233968E-2</v>
      </c>
      <c r="Q38" s="11">
        <f t="shared" ref="Q38" si="39">(((Q36/Q6)^(1/10))-1)</f>
        <v>1.6817743755914716E-2</v>
      </c>
    </row>
    <row r="39" spans="1:17" x14ac:dyDescent="0.25">
      <c r="A39" s="18" t="s">
        <v>32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19.5" customHeight="1" x14ac:dyDescent="0.25">
      <c r="A40" s="14" t="s">
        <v>34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9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2020-06-11T11:10:24Z</cp:lastPrinted>
  <dcterms:created xsi:type="dcterms:W3CDTF">2018-10-29T04:00:15Z</dcterms:created>
  <dcterms:modified xsi:type="dcterms:W3CDTF">2021-08-27T22:54:05Z</dcterms:modified>
</cp:coreProperties>
</file>