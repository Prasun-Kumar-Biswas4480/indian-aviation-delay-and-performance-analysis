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9. AIRLINE WISE DOMESTIC AND INTERNATIONAL DATA\"/>
    </mc:Choice>
  </mc:AlternateContent>
  <bookViews>
    <workbookView xWindow="0" yWindow="0" windowWidth="24000" windowHeight="10725"/>
  </bookViews>
  <sheets>
    <sheet name="inter indian" sheetId="1" r:id="rId1"/>
  </sheets>
  <definedNames>
    <definedName name="_xlnm.Print_Area" localSheetId="0">'inter indian'!$A$1:$Q$15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" i="1" l="1"/>
  <c r="O14" i="1"/>
  <c r="N14" i="1"/>
  <c r="M14" i="1"/>
  <c r="L14" i="1"/>
  <c r="K14" i="1"/>
  <c r="J14" i="1"/>
  <c r="I14" i="1"/>
  <c r="G14" i="1"/>
  <c r="F14" i="1"/>
  <c r="E14" i="1"/>
  <c r="D14" i="1"/>
  <c r="C14" i="1"/>
  <c r="B14" i="1"/>
  <c r="Q7" i="1"/>
  <c r="Q8" i="1"/>
  <c r="Q9" i="1"/>
  <c r="Q10" i="1"/>
  <c r="Q11" i="1"/>
  <c r="Q12" i="1"/>
  <c r="Q13" i="1"/>
  <c r="Q14" i="1"/>
  <c r="H7" i="1"/>
  <c r="H8" i="1"/>
  <c r="H9" i="1"/>
  <c r="H10" i="1"/>
  <c r="H11" i="1"/>
  <c r="H12" i="1"/>
  <c r="H13" i="1"/>
  <c r="H14" i="1"/>
  <c r="Q6" i="1" l="1"/>
  <c r="H6" i="1"/>
</calcChain>
</file>

<file path=xl/sharedStrings.xml><?xml version="1.0" encoding="utf-8"?>
<sst xmlns="http://schemas.openxmlformats.org/spreadsheetml/2006/main" count="34" uniqueCount="32">
  <si>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</si>
  <si>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</si>
  <si>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</si>
  <si>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</si>
  <si>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</si>
  <si>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</si>
  <si>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</si>
  <si>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</si>
  <si>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</si>
  <si>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</si>
  <si>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</si>
  <si>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</si>
  <si>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</si>
  <si>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</si>
  <si>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</si>
  <si>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</si>
  <si>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</si>
  <si>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</si>
  <si>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</si>
  <si>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AIRLINE</t>
  </si>
  <si>
    <t>AIR INDIA</t>
  </si>
  <si>
    <t>AIR INDIA EXPRESS</t>
  </si>
  <si>
    <t>GO AIR</t>
  </si>
  <si>
    <t>INDIGO</t>
  </si>
  <si>
    <t>JET AIRWAYS</t>
  </si>
  <si>
    <t>SPICEJET</t>
  </si>
  <si>
    <t>YEAR TOTAL</t>
  </si>
  <si>
    <t>Table 1.02 ( SCHEDULED INDIAN AIRLINES)</t>
  </si>
  <si>
    <t xml:space="preserve">तालिका  1.02 ( अनुसूचित भारतीय एयरलाइन्स) </t>
  </si>
  <si>
    <t>ALLIANCE AIR</t>
  </si>
  <si>
    <t>VISTARA</t>
  </si>
  <si>
    <t>AIRLINE-WISE TRAFFIC AND OPERATING STATISTICS OF SCHEDULED INDIAN AIRLINES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</si>
</sst>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27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 applyAlignment="1">
      <alignment horizontal="right" vertical="center"/>
    </xf>
    <xf numFmtId="0" fontId="2" fillId="4" borderId="1" xfId="3" applyBorder="1" applyAlignment="1">
      <alignment horizontal="center" vertical="center"/>
    </xf>
    <xf numFmtId="166" fontId="2" fillId="4" borderId="1" xfId="3" applyNumberFormat="1" applyBorder="1" applyAlignment="1">
      <alignment horizontal="right" vertical="center"/>
    </xf>
    <xf numFmtId="165" fontId="2" fillId="4" borderId="1" xfId="3" applyNumberForma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4" fillId="3" borderId="1" xfId="2" applyFont="1" applyBorder="1" applyAlignment="1" applyProtection="1">
      <alignment horizontal="center" vertical="center" textRotation="90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3" borderId="5" xfId="2" applyFont="1" applyBorder="1" applyAlignment="1" applyProtection="1">
      <alignment horizontal="center" vertical="center" textRotation="90" wrapText="1"/>
    </xf>
    <xf numFmtId="0" fontId="4" fillId="3" borderId="6" xfId="2" applyFont="1" applyBorder="1" applyAlignment="1">
      <alignment textRotation="90"/>
    </xf>
    <xf numFmtId="0" fontId="4" fillId="4" borderId="2" xfId="3" applyFont="1" applyBorder="1" applyAlignment="1">
      <alignment horizontal="center" vertical="center" wrapText="1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2" xfId="3" quotePrefix="1" applyFont="1" applyBorder="1" applyAlignment="1" applyProtection="1">
      <alignment horizontal="center" vertical="center" wrapText="1"/>
    </xf>
    <xf numFmtId="0" fontId="4" fillId="4" borderId="3" xfId="3" applyFont="1" applyBorder="1"/>
    <xf numFmtId="0" fontId="4" fillId="4" borderId="4" xfId="3" applyFont="1" applyBorder="1"/>
    <xf numFmtId="0" fontId="4" fillId="3" borderId="2" xfId="2" applyFont="1" applyBorder="1" applyAlignment="1" applyProtection="1">
      <alignment horizontal="center" vertical="center" wrapText="1"/>
    </xf>
    <xf numFmtId="0" fontId="4" fillId="3" borderId="3" xfId="2" applyFont="1" applyBorder="1"/>
    <xf numFmtId="0" fontId="4" fillId="3" borderId="4" xfId="2" applyFont="1" applyBorder="1"/>
    <xf numFmtId="0" fontId="4" fillId="3" borderId="5" xfId="2" applyFont="1" applyBorder="1" applyAlignment="1" applyProtection="1">
      <alignment horizontal="center" vertical="center" wrapText="1"/>
    </xf>
    <xf numFmtId="0" fontId="4" fillId="3" borderId="6" xfId="2" applyFont="1" applyBorder="1" applyAlignment="1" applyProtection="1">
      <alignment horizontal="center" vertical="center" wrapText="1"/>
    </xf>
    <xf numFmtId="0" fontId="4" fillId="3" borderId="3" xfId="2" applyFont="1" applyBorder="1" applyAlignment="1" applyProtection="1">
      <alignment horizontal="center" vertical="center" wrapText="1"/>
    </xf>
    <xf numFmtId="0" fontId="4" fillId="3" borderId="4" xfId="2" applyFont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15"/>
  <sheetViews>
    <sheetView tabSelected="1" zoomScale="95" zoomScaleNormal="95" zoomScaleSheetLayoutView="100" workbookViewId="0">
      <selection activeCell="U5" sqref="U5"/>
    </sheetView>
  </sheetViews>
  <sheetFormatPr defaultColWidth="9.140625" defaultRowHeight="15" x14ac:dyDescent="0.25"/>
  <cols>
    <col min="1" max="1" width="16.7109375" style="1" customWidth="1"/>
    <col min="2" max="3" width="9.5703125" style="1" customWidth="1"/>
    <col min="4" max="4" width="9.7109375" style="1" customWidth="1"/>
    <col min="5" max="5" width="12.7109375" style="1" customWidth="1"/>
    <col min="6" max="6" width="7.85546875" style="1" bestFit="1" customWidth="1"/>
    <col min="7" max="7" width="8.7109375" style="1" customWidth="1"/>
    <col min="8" max="8" width="6.28515625" style="1" customWidth="1"/>
    <col min="9" max="9" width="11.42578125" style="1" customWidth="1"/>
    <col min="10" max="10" width="8.42578125" style="1" bestFit="1" customWidth="1"/>
    <col min="11" max="11" width="12" style="1" customWidth="1"/>
    <col min="12" max="12" width="8.42578125" style="1" bestFit="1" customWidth="1"/>
    <col min="13" max="13" width="8.42578125" style="1" customWidth="1"/>
    <col min="14" max="14" width="5.85546875" style="1" bestFit="1" customWidth="1"/>
    <col min="15" max="15" width="9.42578125" style="1" bestFit="1" customWidth="1"/>
    <col min="16" max="16" width="10" style="1" customWidth="1"/>
    <col min="17" max="17" width="6.28515625" style="1" customWidth="1"/>
    <col min="18" max="16384" width="9.140625" style="1"/>
  </cols>
  <sheetData>
    <row r="1" spans="1:17" ht="18.75" customHeight="1" x14ac:dyDescent="0.25">
      <c r="A1" s="14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ht="18.75" customHeight="1" x14ac:dyDescent="0.25">
      <c r="A2" s="17" t="s">
        <v>27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17" ht="18.75" customHeight="1" x14ac:dyDescent="0.25">
      <c r="A3" s="20" t="s">
        <v>31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7" ht="21" customHeight="1" x14ac:dyDescent="0.25">
      <c r="A4" s="23" t="s">
        <v>19</v>
      </c>
      <c r="B4" s="20" t="s">
        <v>0</v>
      </c>
      <c r="C4" s="25"/>
      <c r="D4" s="26"/>
      <c r="E4" s="20" t="s">
        <v>1</v>
      </c>
      <c r="F4" s="22"/>
      <c r="G4" s="12" t="s">
        <v>2</v>
      </c>
      <c r="H4" s="12" t="s">
        <v>3</v>
      </c>
      <c r="I4" s="20" t="s">
        <v>4</v>
      </c>
      <c r="J4" s="25"/>
      <c r="K4" s="26"/>
      <c r="L4" s="20" t="s">
        <v>5</v>
      </c>
      <c r="M4" s="25"/>
      <c r="N4" s="25"/>
      <c r="O4" s="26"/>
      <c r="P4" s="12" t="s">
        <v>6</v>
      </c>
      <c r="Q4" s="12" t="s">
        <v>7</v>
      </c>
    </row>
    <row r="5" spans="1:17" ht="139.5" customHeight="1" x14ac:dyDescent="0.25">
      <c r="A5" s="24"/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13"/>
      <c r="H5" s="13"/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14</v>
      </c>
      <c r="O5" s="8" t="s">
        <v>15</v>
      </c>
      <c r="P5" s="13"/>
      <c r="Q5" s="13"/>
    </row>
    <row r="6" spans="1:17" ht="30" customHeight="1" x14ac:dyDescent="0.25">
      <c r="A6" s="4" t="s">
        <v>20</v>
      </c>
      <c r="B6" s="6">
        <v>41821</v>
      </c>
      <c r="C6" s="6">
        <v>245421.01666666658</v>
      </c>
      <c r="D6" s="6">
        <v>252408.75699999998</v>
      </c>
      <c r="E6" s="6">
        <v>7061529</v>
      </c>
      <c r="F6" s="6">
        <v>35436.686162999998</v>
      </c>
      <c r="G6" s="6">
        <v>44106.834386999988</v>
      </c>
      <c r="H6" s="5">
        <f>F6/G6*100</f>
        <v>80.342846308291342</v>
      </c>
      <c r="I6" s="5">
        <v>130412.41660000003</v>
      </c>
      <c r="J6" s="5">
        <v>6161.6389999999983</v>
      </c>
      <c r="K6" s="5">
        <v>136574.05560000002</v>
      </c>
      <c r="L6" s="5">
        <v>3593.0507414399999</v>
      </c>
      <c r="M6" s="5">
        <v>735.7824244894</v>
      </c>
      <c r="N6" s="5">
        <v>33.876048000000019</v>
      </c>
      <c r="O6" s="5">
        <v>4362.7092139293991</v>
      </c>
      <c r="P6" s="5">
        <v>6351.8741288840029</v>
      </c>
      <c r="Q6" s="5">
        <f>O6/P6*100</f>
        <v>68.683810878599829</v>
      </c>
    </row>
    <row r="7" spans="1:17" ht="30" customHeight="1" x14ac:dyDescent="0.25">
      <c r="A7" s="2" t="s">
        <v>21</v>
      </c>
      <c r="B7" s="7">
        <v>29531</v>
      </c>
      <c r="C7" s="7">
        <v>116981.49000000005</v>
      </c>
      <c r="D7" s="7">
        <v>78209.034</v>
      </c>
      <c r="E7" s="7">
        <v>4648162</v>
      </c>
      <c r="F7" s="7">
        <v>12242.024616999999</v>
      </c>
      <c r="G7" s="7">
        <v>14546.879764000001</v>
      </c>
      <c r="H7" s="3">
        <f t="shared" ref="H7:H14" si="0">F7/G7*100</f>
        <v>84.155673351312359</v>
      </c>
      <c r="I7" s="3">
        <v>22552.886000000002</v>
      </c>
      <c r="J7" s="3">
        <v>11.107000000000001</v>
      </c>
      <c r="K7" s="3">
        <v>22563.992999999995</v>
      </c>
      <c r="L7" s="3">
        <v>1107.9605328939999</v>
      </c>
      <c r="M7" s="3">
        <v>62.308979075000003</v>
      </c>
      <c r="N7" s="3">
        <v>2.4473668000000001E-2</v>
      </c>
      <c r="O7" s="3">
        <v>1170.2939856370001</v>
      </c>
      <c r="P7" s="3">
        <v>1341.9517089799999</v>
      </c>
      <c r="Q7" s="3">
        <f t="shared" ref="Q7:Q14" si="1">O7/P7*100</f>
        <v>87.20835316246405</v>
      </c>
    </row>
    <row r="8" spans="1:17" ht="30" customHeight="1" x14ac:dyDescent="0.25">
      <c r="A8" s="4" t="s">
        <v>29</v>
      </c>
      <c r="B8" s="6">
        <v>131</v>
      </c>
      <c r="C8" s="6">
        <v>163.6</v>
      </c>
      <c r="D8" s="6">
        <v>46.4</v>
      </c>
      <c r="E8" s="6">
        <v>4294</v>
      </c>
      <c r="F8" s="6">
        <v>1.5199999999999998</v>
      </c>
      <c r="G8" s="6">
        <v>3.2469999999999999</v>
      </c>
      <c r="H8" s="5">
        <f t="shared" si="0"/>
        <v>46.812442254388664</v>
      </c>
      <c r="I8" s="5">
        <v>0</v>
      </c>
      <c r="J8" s="5">
        <v>0</v>
      </c>
      <c r="K8" s="5">
        <v>0</v>
      </c>
      <c r="L8" s="5">
        <v>0.13819999999999999</v>
      </c>
      <c r="M8" s="5">
        <v>0</v>
      </c>
      <c r="N8" s="5">
        <v>0</v>
      </c>
      <c r="O8" s="5">
        <v>0.13819999999999999</v>
      </c>
      <c r="P8" s="5">
        <v>0.30130000000000001</v>
      </c>
      <c r="Q8" s="5">
        <f t="shared" si="1"/>
        <v>45.867905741785592</v>
      </c>
    </row>
    <row r="9" spans="1:17" ht="30" customHeight="1" x14ac:dyDescent="0.25">
      <c r="A9" s="2" t="s">
        <v>22</v>
      </c>
      <c r="B9" s="7">
        <v>7287</v>
      </c>
      <c r="C9" s="7">
        <v>26106.912666666671</v>
      </c>
      <c r="D9" s="7">
        <v>18906.578000000001</v>
      </c>
      <c r="E9" s="7">
        <v>962920</v>
      </c>
      <c r="F9" s="7">
        <v>2515.443166</v>
      </c>
      <c r="G9" s="7">
        <v>3334.0275380000003</v>
      </c>
      <c r="H9" s="3">
        <f t="shared" si="0"/>
        <v>75.447582160912546</v>
      </c>
      <c r="I9" s="3">
        <v>36.544000000000004</v>
      </c>
      <c r="J9" s="3">
        <v>0</v>
      </c>
      <c r="K9" s="3">
        <v>36.544000000000004</v>
      </c>
      <c r="L9" s="3">
        <v>226.38988456999996</v>
      </c>
      <c r="M9" s="3">
        <v>0.11014361600000001</v>
      </c>
      <c r="N9" s="3">
        <v>0</v>
      </c>
      <c r="O9" s="3">
        <v>226.50002818599998</v>
      </c>
      <c r="P9" s="3">
        <v>358.27965349999994</v>
      </c>
      <c r="Q9" s="3">
        <f t="shared" si="1"/>
        <v>63.218780629416905</v>
      </c>
    </row>
    <row r="10" spans="1:17" ht="30" customHeight="1" x14ac:dyDescent="0.25">
      <c r="A10" s="4" t="s">
        <v>23</v>
      </c>
      <c r="B10" s="6">
        <v>46985</v>
      </c>
      <c r="C10" s="6">
        <v>178727.1333333333</v>
      </c>
      <c r="D10" s="6">
        <v>116278.16599999998</v>
      </c>
      <c r="E10" s="6">
        <v>6967074</v>
      </c>
      <c r="F10" s="6">
        <v>17183.677</v>
      </c>
      <c r="G10" s="6">
        <v>21188.975770000005</v>
      </c>
      <c r="H10" s="5">
        <f t="shared" si="0"/>
        <v>81.097251639360366</v>
      </c>
      <c r="I10" s="5">
        <v>35676.603999999992</v>
      </c>
      <c r="J10" s="5">
        <v>0</v>
      </c>
      <c r="K10" s="5">
        <v>35676.603999999992</v>
      </c>
      <c r="L10" s="5">
        <v>1546.1133310799999</v>
      </c>
      <c r="M10" s="5">
        <v>88.26625919899999</v>
      </c>
      <c r="N10" s="5">
        <v>0</v>
      </c>
      <c r="O10" s="5">
        <v>1634.3795902789998</v>
      </c>
      <c r="P10" s="5">
        <v>2410.2792157919998</v>
      </c>
      <c r="Q10" s="5">
        <f t="shared" si="1"/>
        <v>67.80872438224776</v>
      </c>
    </row>
    <row r="11" spans="1:17" ht="30" customHeight="1" x14ac:dyDescent="0.25">
      <c r="A11" s="2" t="s">
        <v>24</v>
      </c>
      <c r="B11" s="7">
        <v>289</v>
      </c>
      <c r="C11" s="7">
        <v>1182</v>
      </c>
      <c r="D11" s="7">
        <v>1516.8</v>
      </c>
      <c r="E11" s="7">
        <v>61411</v>
      </c>
      <c r="F11" s="7">
        <v>373.42391900000001</v>
      </c>
      <c r="G11" s="7">
        <v>458.55996199999998</v>
      </c>
      <c r="H11" s="3">
        <f t="shared" si="0"/>
        <v>81.434043515556638</v>
      </c>
      <c r="I11" s="3">
        <v>2013.4471000000001</v>
      </c>
      <c r="J11" s="3">
        <v>3.6871</v>
      </c>
      <c r="K11" s="3">
        <v>2017.1342000000002</v>
      </c>
      <c r="L11" s="3">
        <v>30.705010999999999</v>
      </c>
      <c r="M11" s="3">
        <v>13.716953999999999</v>
      </c>
      <c r="N11" s="3">
        <v>2.3962000000000001E-2</v>
      </c>
      <c r="O11" s="3">
        <v>44.445926999999998</v>
      </c>
      <c r="P11" s="3">
        <v>72.622160999999991</v>
      </c>
      <c r="Q11" s="3">
        <f t="shared" si="1"/>
        <v>61.201603460960087</v>
      </c>
    </row>
    <row r="12" spans="1:17" ht="30" customHeight="1" x14ac:dyDescent="0.25">
      <c r="A12" s="4" t="s">
        <v>25</v>
      </c>
      <c r="B12" s="6">
        <v>19377</v>
      </c>
      <c r="C12" s="6">
        <v>58897.75</v>
      </c>
      <c r="D12" s="6">
        <v>42344.908000000003</v>
      </c>
      <c r="E12" s="6">
        <v>2793549</v>
      </c>
      <c r="F12" s="6">
        <v>6373.5200619999996</v>
      </c>
      <c r="G12" s="6">
        <v>7744.1065989999988</v>
      </c>
      <c r="H12" s="5">
        <f t="shared" si="0"/>
        <v>82.301553839961556</v>
      </c>
      <c r="I12" s="5">
        <v>25230.279697554997</v>
      </c>
      <c r="J12" s="5">
        <v>0</v>
      </c>
      <c r="K12" s="5">
        <v>25230.283187555</v>
      </c>
      <c r="L12" s="5">
        <v>478.01400808</v>
      </c>
      <c r="M12" s="5">
        <v>36.497435100000004</v>
      </c>
      <c r="N12" s="5">
        <v>0</v>
      </c>
      <c r="O12" s="5">
        <v>514.51144318000001</v>
      </c>
      <c r="P12" s="5">
        <v>673.45533</v>
      </c>
      <c r="Q12" s="5">
        <f t="shared" si="1"/>
        <v>76.398748403995853</v>
      </c>
    </row>
    <row r="13" spans="1:17" ht="30" customHeight="1" x14ac:dyDescent="0.25">
      <c r="A13" s="2" t="s">
        <v>30</v>
      </c>
      <c r="B13" s="7">
        <v>1978</v>
      </c>
      <c r="C13" s="7">
        <v>3371.2599999999998</v>
      </c>
      <c r="D13" s="7">
        <v>5920.8940000000002</v>
      </c>
      <c r="E13" s="7">
        <v>223906</v>
      </c>
      <c r="F13" s="7">
        <v>676.24457800000005</v>
      </c>
      <c r="G13" s="7">
        <v>978.34404800000004</v>
      </c>
      <c r="H13" s="3">
        <f t="shared" si="0"/>
        <v>69.121346358924242</v>
      </c>
      <c r="I13" s="3">
        <v>0.56540000000000001</v>
      </c>
      <c r="J13" s="3">
        <v>0</v>
      </c>
      <c r="K13" s="3">
        <v>0.56540000000000001</v>
      </c>
      <c r="L13" s="3">
        <v>71.003656290000009</v>
      </c>
      <c r="M13" s="3">
        <v>1.3183472000000002E-3</v>
      </c>
      <c r="N13" s="3">
        <v>0</v>
      </c>
      <c r="O13" s="3">
        <v>71.004974637200007</v>
      </c>
      <c r="P13" s="3">
        <v>102.58092780000001</v>
      </c>
      <c r="Q13" s="3">
        <f t="shared" si="1"/>
        <v>69.218495250537202</v>
      </c>
    </row>
    <row r="14" spans="1:17" ht="30" customHeight="1" x14ac:dyDescent="0.25">
      <c r="A14" s="4" t="s">
        <v>26</v>
      </c>
      <c r="B14" s="6">
        <f>SUM(B6:B13)</f>
        <v>147399</v>
      </c>
      <c r="C14" s="6">
        <f t="shared" ref="C14:G14" si="2">SUM(C6:C13)</f>
        <v>630851.16266666655</v>
      </c>
      <c r="D14" s="6">
        <f t="shared" si="2"/>
        <v>515631.53699999989</v>
      </c>
      <c r="E14" s="6">
        <f t="shared" si="2"/>
        <v>22722845</v>
      </c>
      <c r="F14" s="6">
        <f t="shared" si="2"/>
        <v>74802.539504999979</v>
      </c>
      <c r="G14" s="6">
        <f t="shared" si="2"/>
        <v>92360.975068</v>
      </c>
      <c r="H14" s="5">
        <f t="shared" si="0"/>
        <v>80.989334997738212</v>
      </c>
      <c r="I14" s="5">
        <f>SUM(I6:I13)</f>
        <v>215922.74279755499</v>
      </c>
      <c r="J14" s="5">
        <f t="shared" ref="J14:P14" si="3">SUM(J6:J13)</f>
        <v>6176.4330999999984</v>
      </c>
      <c r="K14" s="5">
        <f t="shared" si="3"/>
        <v>222099.17938755499</v>
      </c>
      <c r="L14" s="5">
        <f t="shared" si="3"/>
        <v>7053.3753653539998</v>
      </c>
      <c r="M14" s="5">
        <f t="shared" si="3"/>
        <v>936.68351382659989</v>
      </c>
      <c r="N14" s="5">
        <f t="shared" si="3"/>
        <v>33.924483668000015</v>
      </c>
      <c r="O14" s="5">
        <f t="shared" si="3"/>
        <v>8023.9833628485994</v>
      </c>
      <c r="P14" s="5">
        <f t="shared" si="3"/>
        <v>11311.344425956002</v>
      </c>
      <c r="Q14" s="5">
        <f t="shared" si="1"/>
        <v>70.937485949380729</v>
      </c>
    </row>
    <row r="15" spans="1:17" ht="19.5" customHeight="1" x14ac:dyDescent="0.25">
      <c r="A15" s="9" t="s">
        <v>18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</sheetData>
  <mergeCells count="13">
    <mergeCell ref="A15:Q15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2021-08-23T21:02:12Z</cp:lastPrinted>
  <dcterms:created xsi:type="dcterms:W3CDTF">2018-10-29T04:00:07Z</dcterms:created>
  <dcterms:modified xsi:type="dcterms:W3CDTF">2021-08-28T00:22:28Z</dcterms:modified>
</cp:coreProperties>
</file>