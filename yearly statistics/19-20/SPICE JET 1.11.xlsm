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'1.11'!$A$1:$P$17</definedName>
    <definedName name="Print_Area_MI" localSheetId="3">'1.11'!$B$11:$P$23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<sst xmlns="http://schemas.openxmlformats.org/spreadsheetml/2006/main" count="899" uniqueCount="199">
  <si>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</si>
  <si>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</si>
  <si>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</si>
  <si>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</si>
  <si>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</si>
  <si>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</si>
  <si>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</si>
  <si>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</si>
  <si>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</si>
  <si>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</si>
  <si>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</si>
  <si>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</si>
  <si>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</si>
  <si>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</si>
  <si>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</si>
  <si>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</si>
  <si>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</si>
  <si>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</si>
  <si>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</si>
  <si>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</si>
  <si>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</si>
  <si>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</si>
  <si>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</si>
  <si>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</si>
  <si>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</si>
  <si>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</si>
  <si>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</si>
  <si>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</si>
  <si>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</si>
  <si>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</si>
  <si>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</si>
  <si>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</si>
  <si>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</si>
  <si>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</si>
  <si>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</si>
  <si>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</si>
  <si>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</si>
  <si>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</si>
  <si>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</si>
  <si>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</si>
  <si>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</si>
  <si>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</si>
  <si>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</si>
  <si>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</si>
  <si>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</si>
  <si>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</si>
  <si>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</si>
  <si>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</si>
  <si>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</si>
  <si>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</si>
  <si>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</si>
  <si>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</si>
  <si>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</si>
  <si>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</si>
  <si>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</si>
  <si>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</si>
  <si>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</si>
  <si>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</si>
  <si>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</si>
  <si>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</si>
  <si>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</si>
  <si>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</si>
  <si>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</si>
  <si>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</si>
  <si>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</si>
  <si>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</si>
  <si>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</si>
  <si>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</si>
  <si>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</si>
  <si>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</si>
  <si>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</si>
  <si>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</si>
  <si>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</si>
  <si>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</si>
  <si>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</si>
  <si>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</si>
  <si>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</si>
  <si>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</si>
  <si>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</si>
  <si>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</si>
  <si>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</si>
  <si>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</si>
  <si>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</si>
  <si>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</si>
  <si>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</si>
  <si>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</si>
  <si>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</si>
  <si>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</si>
  <si>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</si>
  <si>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</si>
  <si>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</si>
  <si>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</si>
  <si>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</si>
  <si>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</si>
  <si>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</si>
  <si>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</si>
  <si>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</si>
  <si>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</si>
  <si>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</si>
  <si>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</si>
  <si>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</si>
  <si>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</si>
  <si>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</si>
  <si>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</si>
  <si>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</si>
  <si>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</si>
  <si>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</si>
  <si>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</si>
  <si>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</si>
  <si>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</si>
  <si>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</si>
  <si>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</si>
  <si>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</si>
  <si>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</si>
  <si>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</si>
  <si>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</si>
  <si>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</si>
  <si>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</si>
  <si>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</si>
  <si>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</si>
  <si>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</si>
  <si>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</si>
  <si>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</si>
  <si>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</si>
  <si>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</si>
  <si>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</si>
  <si>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</si>
  <si>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</si>
  <si>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</si>
  <si>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</si>
  <si>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</si>
  <si>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</si>
  <si>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</si>
  <si>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</si>
  <si>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</si>
  <si>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</si>
  <si>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</si>
  <si>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</si>
  <si>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</si>
  <si>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</si>
  <si>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</si>
  <si>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</si>
  <si>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</si>
  <si>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</si>
  <si>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</si>
  <si>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</si>
  <si>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</si>
  <si>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</si>
  <si>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</si>
  <si>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</si>
  <si>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</si>
  <si>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</si>
  <si>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</si>
  <si>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</si>
  <si>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</si>
  <si>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</si>
  <si>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</si>
  <si>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</si>
  <si>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</si>
  <si>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</si>
  <si>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</si>
  <si>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</si>
  <si>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</si>
  <si>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</si>
  <si>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</si>
  <si>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</si>
  <si>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</si>
  <si>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</si>
  <si>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</si>
  <si>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</si>
  <si>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</si>
  <si>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</si>
  <si>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</si>
  <si>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</si>
  <si>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</si>
  <si>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</si>
  <si>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</si>
  <si>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</si>
  <si>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</si>
  <si>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</si>
  <si>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</si>
  <si>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</si>
  <si>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</si>
  <si>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</si>
  <si>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</si>
  <si>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</si>
  <si>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</si>
  <si>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</si>
  <si>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</si>
  <si>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</si>
  <si>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 737-700F</t>
  </si>
  <si>
    <t>TYPE OF AIRCRAFT WISE FLEET STATISTICS OF SPICEJET DURING 2019-20</t>
  </si>
  <si>
    <t xml:space="preserve">तालिका 1.11 (स्पाइसजेट) </t>
  </si>
  <si>
    <t>TABLE - 1.11 (SPICEJET)</t>
  </si>
  <si>
    <t xml:space="preserve"> 737-800F</t>
  </si>
  <si>
    <t>144/149</t>
  </si>
  <si>
    <t>78/90</t>
  </si>
  <si>
    <t>737 - 800/Max</t>
  </si>
  <si>
    <t>S. N0.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</si>
</sst>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6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vertical="top" wrapText="1"/>
    </xf>
    <xf numFmtId="168" fontId="12" fillId="5" borderId="14" xfId="7" applyNumberFormat="1" applyFont="1" applyFill="1" applyBorder="1" applyAlignment="1" applyProtection="1">
      <alignment horizontal="left" vertical="center"/>
    </xf>
    <xf numFmtId="168" fontId="12" fillId="5" borderId="14" xfId="7" applyNumberFormat="1" applyFont="1" applyFill="1" applyBorder="1" applyAlignment="1" applyProtection="1">
      <alignment vertical="center"/>
    </xf>
    <xf numFmtId="168" fontId="13" fillId="5" borderId="13" xfId="7" applyNumberFormat="1" applyFont="1" applyFill="1" applyBorder="1" applyAlignment="1" applyProtection="1">
      <alignment vertical="center"/>
    </xf>
    <xf numFmtId="168" fontId="12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 applyAlignment="1" applyProtection="1">
      <alignment horizontal="center" vertical="center"/>
      <protection locked="0"/>
    </xf>
    <xf numFmtId="164" fontId="5" fillId="3" borderId="1" xfId="3" applyNumberFormat="1" applyFont="1" applyFill="1" applyBorder="1" applyAlignment="1" applyProtection="1">
      <alignment horizontal="right"/>
    </xf>
    <xf numFmtId="3" fontId="5" fillId="3" borderId="1" xfId="3" applyNumberFormat="1" applyFont="1" applyFill="1" applyBorder="1" applyAlignment="1" applyProtection="1">
      <alignment horizontal="right"/>
    </xf>
    <xf numFmtId="165" fontId="5" fillId="3" borderId="1" xfId="1" applyNumberFormat="1" applyFont="1" applyFill="1" applyBorder="1" applyAlignment="1" applyProtection="1">
      <alignment horizontal="right"/>
    </xf>
    <xf numFmtId="170" fontId="10" fillId="3" borderId="1" xfId="8" applyNumberFormat="1" applyFont="1" applyFill="1" applyBorder="1" applyAlignment="1">
      <alignment horizontal="right"/>
    </xf>
    <xf numFmtId="169" fontId="5" fillId="3" borderId="1" xfId="1" applyNumberFormat="1" applyFont="1" applyFill="1" applyBorder="1" applyAlignment="1" applyProtection="1">
      <alignment horizontal="right"/>
    </xf>
    <xf numFmtId="3" fontId="10" fillId="3" borderId="1" xfId="8" applyNumberFormat="1" applyFont="1" applyFill="1" applyBorder="1" applyAlignment="1">
      <alignment horizontal="right"/>
    </xf>
    <xf numFmtId="3" fontId="21" fillId="3" borderId="1" xfId="3" applyNumberFormat="1" applyFont="1" applyFill="1" applyBorder="1" applyAlignment="1" applyProtection="1">
      <alignment horizontal="right"/>
    </xf>
    <xf numFmtId="167" fontId="8" fillId="3" borderId="1" xfId="2" applyNumberFormat="1" applyFont="1" applyFill="1" applyBorder="1" applyAlignment="1" applyProtection="1">
      <alignment horizontal="right" wrapText="1"/>
    </xf>
    <xf numFmtId="1" fontId="5" fillId="3" borderId="1" xfId="3" applyNumberFormat="1" applyFont="1" applyFill="1" applyBorder="1" applyAlignment="1" applyProtection="1">
      <alignment horizontal="right"/>
    </xf>
    <xf numFmtId="0" fontId="10" fillId="3" borderId="1" xfId="8" applyFont="1" applyFill="1" applyBorder="1" applyAlignment="1">
      <alignment horizontal="right"/>
    </xf>
    <xf numFmtId="167" fontId="8" fillId="3" borderId="1" xfId="2" applyNumberFormat="1" applyFont="1" applyFill="1" applyBorder="1" applyAlignment="1">
      <alignment horizontal="right" wrapText="1"/>
    </xf>
    <xf numFmtId="167" fontId="5" fillId="3" borderId="1" xfId="2" applyNumberFormat="1" applyFont="1" applyFill="1" applyBorder="1" applyAlignment="1">
      <alignment horizontal="right"/>
    </xf>
    <xf numFmtId="2" fontId="10" fillId="3" borderId="1" xfId="8" applyNumberFormat="1" applyFont="1" applyFill="1" applyBorder="1" applyAlignment="1">
      <alignment horizontal="right"/>
    </xf>
    <xf numFmtId="3" fontId="5" fillId="3" borderId="1" xfId="1" quotePrefix="1" applyNumberFormat="1" applyFont="1" applyFill="1" applyBorder="1" applyAlignment="1" applyProtection="1">
      <alignment horizontal="right"/>
    </xf>
    <xf numFmtId="3" fontId="10" fillId="3" borderId="1" xfId="8" quotePrefix="1" applyNumberFormat="1" applyFont="1" applyFill="1" applyBorder="1" applyAlignment="1">
      <alignment horizontal="right"/>
    </xf>
    <xf numFmtId="0" fontId="10" fillId="3" borderId="2" xfId="8" applyFont="1" applyFill="1" applyBorder="1" applyAlignment="1">
      <alignment wrapText="1"/>
    </xf>
    <xf numFmtId="0" fontId="10" fillId="3" borderId="2" xfId="8" quotePrefix="1" applyFont="1" applyFill="1" applyBorder="1" applyAlignment="1">
      <alignment wrapText="1"/>
    </xf>
    <xf numFmtId="164" fontId="15" fillId="3" borderId="12" xfId="0" applyNumberFormat="1" applyFont="1" applyFill="1" applyBorder="1" applyAlignment="1" applyProtection="1">
      <alignment horizontal="center" vertical="center"/>
    </xf>
    <xf numFmtId="164" fontId="15" fillId="3" borderId="12" xfId="0" applyNumberFormat="1" applyFont="1" applyFill="1" applyBorder="1" applyAlignment="1" applyProtection="1">
      <alignment horizontal="left" vertical="center"/>
    </xf>
    <xf numFmtId="164" fontId="15" fillId="3" borderId="12" xfId="0" applyNumberFormat="1" applyFont="1" applyFill="1" applyBorder="1" applyAlignment="1" applyProtection="1">
      <alignment vertical="center"/>
    </xf>
    <xf numFmtId="164" fontId="15" fillId="3" borderId="16" xfId="0" applyNumberFormat="1" applyFont="1" applyFill="1" applyBorder="1" applyAlignment="1" applyProtection="1">
      <alignment horizontal="center" vertical="center"/>
    </xf>
    <xf numFmtId="3" fontId="15" fillId="3" borderId="12" xfId="0" applyNumberFormat="1" applyFont="1" applyFill="1" applyBorder="1" applyAlignment="1" applyProtection="1">
      <alignment horizontal="center" vertical="center"/>
    </xf>
    <xf numFmtId="166" fontId="15" fillId="3" borderId="12" xfId="0" applyNumberFormat="1" applyFont="1" applyFill="1" applyBorder="1" applyAlignment="1" applyProtection="1">
      <alignment horizontal="center" vertical="center"/>
    </xf>
    <xf numFmtId="0" fontId="22" fillId="2" borderId="8" xfId="2" applyFont="1" applyFill="1" applyBorder="1" applyAlignment="1">
      <alignment horizontal="center" vertical="center"/>
    </xf>
    <xf numFmtId="0" fontId="22" fillId="2" borderId="9" xfId="2" applyFont="1" applyFill="1" applyBorder="1" applyAlignment="1">
      <alignment horizontal="center" vertical="center"/>
    </xf>
    <xf numFmtId="0" fontId="22" fillId="2" borderId="10" xfId="2" applyFont="1" applyFill="1" applyBorder="1" applyAlignment="1">
      <alignment horizontal="center" vertical="center"/>
    </xf>
    <xf numFmtId="0" fontId="9" fillId="2" borderId="6" xfId="2" quotePrefix="1" applyFont="1" applyFill="1" applyBorder="1" applyAlignment="1" applyProtection="1">
      <alignment horizontal="center" vertical="center" wrapText="1"/>
    </xf>
    <xf numFmtId="0" fontId="9" fillId="2" borderId="7" xfId="2" quotePrefix="1" applyFont="1" applyFill="1" applyBorder="1" applyAlignment="1" applyProtection="1">
      <alignment horizontal="center" vertical="center" wrapText="1"/>
    </xf>
    <xf numFmtId="0" fontId="9" fillId="2" borderId="11" xfId="2" quotePrefix="1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textRotation="180" wrapText="1"/>
    </xf>
    <xf numFmtId="0" fontId="9" fillId="2" borderId="1" xfId="2" applyFont="1" applyFill="1" applyBorder="1" applyAlignment="1" applyProtection="1">
      <alignment horizontal="center" vertical="center" textRotation="180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0" fontId="5" fillId="2" borderId="1" xfId="2" applyFont="1" applyFill="1" applyBorder="1" applyAlignment="1">
      <alignment horizontal="center" vertical="center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187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189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187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187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187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187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187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187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187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187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33"/>
  <sheetViews>
    <sheetView showGridLines="0" tabSelected="1" view="pageBreakPreview" zoomScaleNormal="100" zoomScaleSheetLayoutView="100" workbookViewId="0">
      <selection activeCell="O11" sqref="O11"/>
    </sheetView>
  </sheetViews>
  <sheetFormatPr defaultColWidth="11" defaultRowHeight="35.1" customHeight="1"/>
  <cols>
    <col min="1" max="1" width="6" style="1" customWidth="1"/>
    <col min="2" max="2" width="13.7109375" style="1" customWidth="1"/>
    <col min="3" max="3" width="5.140625" style="1" customWidth="1"/>
    <col min="4" max="5" width="5.28515625" style="1" customWidth="1"/>
    <col min="6" max="6" width="6.28515625" style="1" customWidth="1"/>
    <col min="7" max="7" width="9" style="1" customWidth="1"/>
    <col min="8" max="8" width="7.42578125" style="1" customWidth="1"/>
    <col min="9" max="9" width="8.28515625" style="1" customWidth="1"/>
    <col min="10" max="10" width="10" style="1" customWidth="1"/>
    <col min="11" max="11" width="7.7109375" style="1" customWidth="1"/>
    <col min="12" max="12" width="9.85546875" style="1" customWidth="1"/>
    <col min="13" max="13" width="10.28515625" style="1" customWidth="1"/>
    <col min="14" max="14" width="8" style="1" customWidth="1"/>
    <col min="15" max="15" width="10.140625" style="1" customWidth="1"/>
    <col min="16" max="16" width="6.570312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50" t="s">
        <v>192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2"/>
    </row>
    <row r="2" spans="1:20" ht="24.95" customHeight="1">
      <c r="A2" s="53" t="s">
        <v>193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5"/>
    </row>
    <row r="3" spans="1:20" ht="32.25" customHeight="1">
      <c r="A3" s="63" t="s">
        <v>191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5"/>
    </row>
    <row r="4" spans="1:20" ht="35.1" customHeight="1">
      <c r="A4" s="66" t="s">
        <v>198</v>
      </c>
      <c r="B4" s="56" t="s">
        <v>21</v>
      </c>
      <c r="C4" s="58" t="s">
        <v>6</v>
      </c>
      <c r="D4" s="58"/>
      <c r="E4" s="58"/>
      <c r="F4" s="58"/>
      <c r="G4" s="58" t="s">
        <v>5</v>
      </c>
      <c r="H4" s="58"/>
      <c r="I4" s="58"/>
      <c r="J4" s="58" t="s">
        <v>4</v>
      </c>
      <c r="K4" s="58"/>
      <c r="L4" s="58"/>
      <c r="M4" s="58"/>
      <c r="N4" s="58"/>
      <c r="O4" s="58"/>
      <c r="P4" s="56" t="s">
        <v>184</v>
      </c>
    </row>
    <row r="5" spans="1:20" ht="35.1" customHeight="1">
      <c r="A5" s="66"/>
      <c r="B5" s="57"/>
      <c r="C5" s="57" t="s">
        <v>20</v>
      </c>
      <c r="D5" s="57" t="s">
        <v>19</v>
      </c>
      <c r="E5" s="57" t="s">
        <v>18</v>
      </c>
      <c r="F5" s="57" t="s">
        <v>17</v>
      </c>
      <c r="G5" s="57" t="s">
        <v>3</v>
      </c>
      <c r="H5" s="57" t="s">
        <v>26</v>
      </c>
      <c r="I5" s="57" t="s">
        <v>13</v>
      </c>
      <c r="J5" s="59" t="s">
        <v>2</v>
      </c>
      <c r="K5" s="59"/>
      <c r="L5" s="59"/>
      <c r="M5" s="59" t="s">
        <v>1</v>
      </c>
      <c r="N5" s="59"/>
      <c r="O5" s="59"/>
      <c r="P5" s="57"/>
    </row>
    <row r="6" spans="1:20" ht="95.25" customHeight="1">
      <c r="A6" s="66"/>
      <c r="B6" s="57"/>
      <c r="C6" s="57"/>
      <c r="D6" s="57"/>
      <c r="E6" s="57"/>
      <c r="F6" s="57"/>
      <c r="G6" s="57"/>
      <c r="H6" s="57"/>
      <c r="I6" s="57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57"/>
    </row>
    <row r="7" spans="1:20" ht="22.5" customHeight="1">
      <c r="A7" s="46">
        <v>1</v>
      </c>
      <c r="B7" s="45">
        <v>2</v>
      </c>
      <c r="C7" s="45">
        <v>3</v>
      </c>
      <c r="D7" s="45">
        <v>4</v>
      </c>
      <c r="E7" s="45">
        <v>5</v>
      </c>
      <c r="F7" s="45">
        <v>6</v>
      </c>
      <c r="G7" s="45">
        <v>7</v>
      </c>
      <c r="H7" s="45">
        <v>8</v>
      </c>
      <c r="I7" s="45">
        <v>9</v>
      </c>
      <c r="J7" s="45">
        <v>10</v>
      </c>
      <c r="K7" s="45">
        <v>11</v>
      </c>
      <c r="L7" s="45">
        <v>12</v>
      </c>
      <c r="M7" s="45">
        <v>13</v>
      </c>
      <c r="N7" s="45">
        <v>14</v>
      </c>
      <c r="O7" s="45">
        <v>15</v>
      </c>
      <c r="P7" s="45">
        <v>16</v>
      </c>
    </row>
    <row r="8" spans="1:20" ht="21" customHeight="1">
      <c r="A8" s="46">
        <v>1</v>
      </c>
      <c r="B8" s="42" t="s">
        <v>156</v>
      </c>
      <c r="C8" s="27">
        <v>3</v>
      </c>
      <c r="D8" s="28">
        <v>4</v>
      </c>
      <c r="E8" s="28">
        <v>0</v>
      </c>
      <c r="F8" s="28">
        <v>7</v>
      </c>
      <c r="G8" s="40" t="s">
        <v>195</v>
      </c>
      <c r="H8" s="29">
        <v>0.74</v>
      </c>
      <c r="I8" s="30">
        <v>62</v>
      </c>
      <c r="J8" s="31">
        <v>15637</v>
      </c>
      <c r="K8" s="32">
        <v>1</v>
      </c>
      <c r="L8" s="33">
        <v>15638</v>
      </c>
      <c r="M8" s="32">
        <v>19506</v>
      </c>
      <c r="N8" s="32">
        <v>1</v>
      </c>
      <c r="O8" s="32">
        <v>19507</v>
      </c>
      <c r="P8" s="34">
        <v>7.6348336594911936</v>
      </c>
    </row>
    <row r="9" spans="1:20" ht="18" customHeight="1">
      <c r="A9" s="46">
        <v>2</v>
      </c>
      <c r="B9" s="42" t="s">
        <v>157</v>
      </c>
      <c r="C9" s="35">
        <v>30</v>
      </c>
      <c r="D9" s="28">
        <v>31</v>
      </c>
      <c r="E9" s="28">
        <v>9</v>
      </c>
      <c r="F9" s="28">
        <v>52</v>
      </c>
      <c r="G9" s="41" t="s">
        <v>164</v>
      </c>
      <c r="H9" s="36">
        <v>14.26</v>
      </c>
      <c r="I9" s="30">
        <v>79.02</v>
      </c>
      <c r="J9" s="33">
        <v>96023</v>
      </c>
      <c r="K9" s="33">
        <v>55</v>
      </c>
      <c r="L9" s="33">
        <v>96078</v>
      </c>
      <c r="M9" s="28">
        <v>195773</v>
      </c>
      <c r="N9" s="28">
        <v>79</v>
      </c>
      <c r="O9" s="32">
        <v>195852</v>
      </c>
      <c r="P9" s="37">
        <v>10.31886195995785</v>
      </c>
    </row>
    <row r="10" spans="1:20" ht="18" customHeight="1">
      <c r="A10" s="46">
        <v>3</v>
      </c>
      <c r="B10" s="43" t="s">
        <v>197</v>
      </c>
      <c r="C10" s="35">
        <v>13</v>
      </c>
      <c r="D10" s="28">
        <v>0</v>
      </c>
      <c r="E10" s="28">
        <v>0</v>
      </c>
      <c r="F10" s="28">
        <v>13</v>
      </c>
      <c r="G10" s="32">
        <v>189</v>
      </c>
      <c r="H10" s="36">
        <v>14.26</v>
      </c>
      <c r="I10" s="30">
        <v>79.02</v>
      </c>
      <c r="J10" s="33">
        <v>0</v>
      </c>
      <c r="K10" s="33">
        <v>0</v>
      </c>
      <c r="L10" s="33">
        <v>0</v>
      </c>
      <c r="M10" s="28">
        <v>0</v>
      </c>
      <c r="N10" s="28">
        <v>0</v>
      </c>
      <c r="O10" s="32">
        <v>0</v>
      </c>
      <c r="P10" s="37">
        <v>0</v>
      </c>
    </row>
    <row r="11" spans="1:20" ht="30" customHeight="1">
      <c r="A11" s="46">
        <v>4</v>
      </c>
      <c r="B11" s="42" t="s">
        <v>158</v>
      </c>
      <c r="C11" s="35">
        <v>4</v>
      </c>
      <c r="D11" s="28">
        <v>1</v>
      </c>
      <c r="E11" s="28">
        <v>0</v>
      </c>
      <c r="F11" s="28">
        <v>5</v>
      </c>
      <c r="G11" s="32">
        <v>212</v>
      </c>
      <c r="H11" s="36">
        <v>9.4700000000000006</v>
      </c>
      <c r="I11" s="30">
        <v>75.75</v>
      </c>
      <c r="J11" s="33">
        <v>9433</v>
      </c>
      <c r="K11" s="33">
        <v>0</v>
      </c>
      <c r="L11" s="33">
        <v>9433</v>
      </c>
      <c r="M11" s="28">
        <v>16809</v>
      </c>
      <c r="N11" s="28">
        <v>1</v>
      </c>
      <c r="O11" s="32">
        <v>16810</v>
      </c>
      <c r="P11" s="38">
        <v>9.2109589041095887</v>
      </c>
      <c r="T11" s="1" t="s">
        <v>0</v>
      </c>
    </row>
    <row r="12" spans="1:20" ht="18" customHeight="1">
      <c r="A12" s="46">
        <v>5</v>
      </c>
      <c r="B12" s="42" t="s">
        <v>159</v>
      </c>
      <c r="C12" s="35">
        <v>27</v>
      </c>
      <c r="D12" s="28">
        <v>5</v>
      </c>
      <c r="E12" s="28">
        <v>0</v>
      </c>
      <c r="F12" s="28">
        <v>32</v>
      </c>
      <c r="G12" s="41" t="s">
        <v>196</v>
      </c>
      <c r="H12" s="36">
        <v>5.75</v>
      </c>
      <c r="I12" s="30">
        <v>29.26</v>
      </c>
      <c r="J12" s="33">
        <v>74653</v>
      </c>
      <c r="K12" s="33">
        <v>3</v>
      </c>
      <c r="L12" s="33">
        <v>74656</v>
      </c>
      <c r="M12" s="28">
        <v>85964</v>
      </c>
      <c r="N12" s="28">
        <v>4</v>
      </c>
      <c r="O12" s="32">
        <v>85968</v>
      </c>
      <c r="P12" s="38">
        <v>7.36027397260274</v>
      </c>
    </row>
    <row r="13" spans="1:20" ht="18.75" customHeight="1">
      <c r="A13" s="46">
        <v>6</v>
      </c>
      <c r="B13" s="42" t="s">
        <v>190</v>
      </c>
      <c r="C13" s="35">
        <v>1</v>
      </c>
      <c r="D13" s="28">
        <v>2</v>
      </c>
      <c r="E13" s="28">
        <v>0</v>
      </c>
      <c r="F13" s="28">
        <v>3</v>
      </c>
      <c r="G13" s="32">
        <v>0</v>
      </c>
      <c r="H13" s="39">
        <v>18</v>
      </c>
      <c r="I13" s="30"/>
      <c r="J13" s="33">
        <v>0</v>
      </c>
      <c r="K13" s="33">
        <v>0</v>
      </c>
      <c r="L13" s="33">
        <v>0</v>
      </c>
      <c r="M13" s="28">
        <v>0</v>
      </c>
      <c r="N13" s="28">
        <v>0</v>
      </c>
      <c r="O13" s="32">
        <v>0</v>
      </c>
      <c r="P13" s="38">
        <v>0</v>
      </c>
    </row>
    <row r="14" spans="1:20" ht="19.5" customHeight="1">
      <c r="A14" s="46">
        <v>7</v>
      </c>
      <c r="B14" s="42" t="s">
        <v>194</v>
      </c>
      <c r="C14" s="35">
        <v>0</v>
      </c>
      <c r="D14" s="28">
        <v>2</v>
      </c>
      <c r="E14" s="28">
        <v>0</v>
      </c>
      <c r="F14" s="28">
        <v>2</v>
      </c>
      <c r="G14" s="32">
        <v>0</v>
      </c>
      <c r="H14" s="39">
        <v>18</v>
      </c>
      <c r="I14" s="30"/>
      <c r="J14" s="33">
        <v>0</v>
      </c>
      <c r="K14" s="33">
        <v>0</v>
      </c>
      <c r="L14" s="33">
        <v>0</v>
      </c>
      <c r="M14" s="28">
        <v>0</v>
      </c>
      <c r="N14" s="28">
        <v>0</v>
      </c>
      <c r="O14" s="32">
        <v>0</v>
      </c>
      <c r="P14" s="38">
        <v>0</v>
      </c>
    </row>
    <row r="15" spans="1:20" ht="19.5" customHeight="1">
      <c r="A15" s="46">
        <v>8</v>
      </c>
      <c r="B15" s="42" t="s">
        <v>25</v>
      </c>
      <c r="C15" s="35">
        <v>0</v>
      </c>
      <c r="D15" s="28">
        <v>2</v>
      </c>
      <c r="E15" s="28">
        <v>2</v>
      </c>
      <c r="F15" s="28">
        <v>0</v>
      </c>
      <c r="G15" s="32">
        <v>180</v>
      </c>
      <c r="H15" s="39">
        <v>14.26</v>
      </c>
      <c r="I15" s="30">
        <v>79.02</v>
      </c>
      <c r="J15" s="33">
        <v>230</v>
      </c>
      <c r="K15" s="33">
        <v>0</v>
      </c>
      <c r="L15" s="33">
        <v>230</v>
      </c>
      <c r="M15" s="28">
        <v>551</v>
      </c>
      <c r="N15" s="28">
        <v>0</v>
      </c>
      <c r="O15" s="32">
        <v>551</v>
      </c>
      <c r="P15" s="38">
        <v>0</v>
      </c>
    </row>
    <row r="16" spans="1:20" ht="22.5" customHeight="1">
      <c r="A16" s="46">
        <v>9</v>
      </c>
      <c r="B16" s="47" t="s">
        <v>53</v>
      </c>
      <c r="C16" s="44">
        <v>78</v>
      </c>
      <c r="D16" s="44">
        <v>47</v>
      </c>
      <c r="E16" s="44">
        <v>11</v>
      </c>
      <c r="F16" s="44">
        <v>114</v>
      </c>
      <c r="G16" s="26"/>
      <c r="H16" s="26"/>
      <c r="I16" s="48"/>
      <c r="J16" s="48">
        <v>195976</v>
      </c>
      <c r="K16" s="48">
        <v>59</v>
      </c>
      <c r="L16" s="48">
        <v>196035</v>
      </c>
      <c r="M16" s="48">
        <v>318603</v>
      </c>
      <c r="N16" s="48">
        <v>85</v>
      </c>
      <c r="O16" s="48">
        <v>318688</v>
      </c>
      <c r="P16" s="49">
        <v>7.6589281422734921</v>
      </c>
    </row>
    <row r="17" spans="2:20" ht="20.100000000000001" customHeight="1">
      <c r="B17" s="60" t="s">
        <v>185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2"/>
      <c r="T17" s="1" t="s">
        <v>0</v>
      </c>
    </row>
    <row r="18" spans="2:20" ht="35.1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2:20" ht="35.1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2:20" ht="35.1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2:20" ht="35.1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2:20" ht="35.1" customHeight="1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2:20" ht="35.1" customHeight="1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2:20" ht="35.1" customHeight="1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2:20" ht="35.1" customHeight="1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2:20" ht="35.1" customHeight="1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2:20" ht="35.1" customHeight="1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2:20" ht="35.1" customHeight="1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2:20" ht="35.1" customHeight="1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2:20" ht="35.1" customHeight="1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2:20" ht="35.1" customHeight="1"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2:20" ht="35.1" customHeight="1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2:16" ht="35.1" customHeight="1"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</sheetData>
  <mergeCells count="19">
    <mergeCell ref="A1:P1"/>
    <mergeCell ref="A2:P2"/>
    <mergeCell ref="A3:P3"/>
    <mergeCell ref="A4:A6"/>
    <mergeCell ref="B17:P17"/>
    <mergeCell ref="C5:C6"/>
    <mergeCell ref="M5:O5"/>
    <mergeCell ref="B4:B6"/>
    <mergeCell ref="E5:E6"/>
    <mergeCell ref="J5:L5"/>
    <mergeCell ref="F5:F6"/>
    <mergeCell ref="C4:F4"/>
    <mergeCell ref="G4:I4"/>
    <mergeCell ref="P4:P6"/>
    <mergeCell ref="H5:H6"/>
    <mergeCell ref="G5:G6"/>
    <mergeCell ref="I5:I6"/>
    <mergeCell ref="J4:O4"/>
    <mergeCell ref="D5:D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2021-12-02T20:18:44Z</dcterms:modified>
</cp:coreProperties>
</file>