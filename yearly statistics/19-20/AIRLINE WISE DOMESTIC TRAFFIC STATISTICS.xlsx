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9. AIRLINE WISE DOMESTIC AND INTERNATIONAL DATA\"/>
    </mc:Choice>
  </mc:AlternateContent>
  <bookViews>
    <workbookView xWindow="0" yWindow="0" windowWidth="24000" windowHeight="10725"/>
  </bookViews>
  <sheets>
    <sheet name="Airline wise domestic traffic" sheetId="1" r:id="rId1"/>
  </sheets>
  <definedNames>
    <definedName name="_xlnm.Print_Area" localSheetId="0">'Airline wise domestic traffic'!$A$1:$Q$23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1" l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6" i="1"/>
  <c r="P22" i="1" l="1"/>
  <c r="O22" i="1"/>
  <c r="N22" i="1"/>
  <c r="M22" i="1"/>
  <c r="L22" i="1"/>
  <c r="K22" i="1"/>
  <c r="J22" i="1"/>
  <c r="I22" i="1"/>
  <c r="G22" i="1"/>
  <c r="F22" i="1"/>
  <c r="E22" i="1"/>
  <c r="D22" i="1"/>
  <c r="C22" i="1"/>
  <c r="B22" i="1"/>
  <c r="H13" i="1"/>
  <c r="Q22" i="1" l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6" i="1"/>
  <c r="H7" i="1"/>
  <c r="H8" i="1"/>
  <c r="H9" i="1"/>
  <c r="H10" i="1"/>
  <c r="H11" i="1"/>
  <c r="H14" i="1"/>
  <c r="H15" i="1"/>
  <c r="H16" i="1"/>
  <c r="H17" i="1"/>
  <c r="H18" i="1"/>
  <c r="H19" i="1"/>
  <c r="H20" i="1"/>
  <c r="H21" i="1"/>
  <c r="H22" i="1"/>
  <c r="H6" i="1"/>
</calcChain>
</file>

<file path=xl/sharedStrings.xml><?xml version="1.0" encoding="utf-8"?>
<sst xmlns="http://schemas.openxmlformats.org/spreadsheetml/2006/main" count="46" uniqueCount="41">
  <si>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</si>
  <si>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</si>
  <si>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</si>
  <si>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</si>
  <si>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</si>
  <si>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</si>
  <si>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</si>
  <si>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</si>
  <si>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</si>
  <si>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</si>
  <si>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</si>
  <si>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</si>
  <si>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</si>
  <si>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</si>
  <si>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</si>
  <si>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</si>
  <si>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</si>
  <si>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</si>
  <si>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</si>
  <si>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>AIRLINE</t>
  </si>
  <si>
    <t>AIR ASIA</t>
  </si>
  <si>
    <t>AIR HERITAGE</t>
  </si>
  <si>
    <t>AIR INDIA</t>
  </si>
  <si>
    <t>AIR INDIA EXPRESS</t>
  </si>
  <si>
    <t>ALLIANCE AIR</t>
  </si>
  <si>
    <t>BLUEDART</t>
  </si>
  <si>
    <t>GO AIR</t>
  </si>
  <si>
    <t>INDIGO</t>
  </si>
  <si>
    <t>JET AIRWAYS</t>
  </si>
  <si>
    <t>SPICEJET</t>
  </si>
  <si>
    <t>TRUJET</t>
  </si>
  <si>
    <t>VISTARA</t>
  </si>
  <si>
    <t>YEAR TOTAL</t>
  </si>
  <si>
    <t>AIR DECCAN</t>
  </si>
  <si>
    <t>-</t>
  </si>
  <si>
    <t xml:space="preserve">तालिका  1.01 ( अनुसूचित भारतीय एयरलाइन्स) </t>
  </si>
  <si>
    <t>Table 1.01 ( SCHEDULED INDIAN AIRLINES)</t>
  </si>
  <si>
    <t>JET LITE</t>
  </si>
  <si>
    <t>PAWAN HANS</t>
  </si>
  <si>
    <t>STAR AIR</t>
  </si>
  <si>
    <t>AIRLINE-WISE TRAFFIC AND OPERATING STATISTICS OF SCHEDULED INDIAN AIRLINES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</si>
</sst>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164" fontId="2" fillId="0" borderId="0" applyFont="0" applyFill="0" applyBorder="0" applyAlignment="0" applyProtection="0"/>
    <xf numFmtId="0" fontId="2" fillId="5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2" fillId="4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2" fillId="4" borderId="1" xfId="3" applyNumberFormat="1" applyFill="1" applyBorder="1" applyAlignment="1">
      <alignment horizontal="right" vertical="center"/>
    </xf>
    <xf numFmtId="166" fontId="0" fillId="0" borderId="1" xfId="3" applyNumberFormat="1" applyFont="1" applyBorder="1" applyAlignment="1">
      <alignment horizontal="right" vertical="center"/>
    </xf>
    <xf numFmtId="165" fontId="2" fillId="4" borderId="1" xfId="3" applyNumberFormat="1" applyFill="1" applyBorder="1" applyAlignment="1">
      <alignment horizontal="right" vertical="center"/>
    </xf>
    <xf numFmtId="165" fontId="0" fillId="0" borderId="1" xfId="3" applyNumberFormat="1" applyFont="1" applyBorder="1" applyAlignment="1">
      <alignment horizontal="right" vertical="center"/>
    </xf>
    <xf numFmtId="164" fontId="2" fillId="4" borderId="1" xfId="3" applyNumberFormat="1" applyFill="1" applyBorder="1" applyAlignment="1">
      <alignment horizontal="right" vertical="center"/>
    </xf>
    <xf numFmtId="166" fontId="0" fillId="0" borderId="1" xfId="3" applyNumberFormat="1" applyFont="1" applyBorder="1" applyAlignment="1">
      <alignment horizontal="center" vertical="center"/>
    </xf>
    <xf numFmtId="0" fontId="4" fillId="3" borderId="1" xfId="1" applyFont="1" applyBorder="1" applyAlignment="1" applyProtection="1">
      <alignment horizontal="center" vertical="center" textRotation="90" wrapText="1"/>
    </xf>
    <xf numFmtId="167" fontId="2" fillId="6" borderId="1" xfId="4" applyNumberFormat="1" applyFill="1" applyBorder="1" applyAlignment="1">
      <alignment horizontal="center" vertical="center"/>
    </xf>
    <xf numFmtId="167" fontId="2" fillId="7" borderId="1" xfId="4" applyNumberFormat="1" applyFill="1" applyBorder="1" applyAlignment="1">
      <alignment horizontal="center" vertical="center"/>
    </xf>
    <xf numFmtId="167" fontId="0" fillId="7" borderId="1" xfId="4" applyNumberFormat="1" applyFont="1" applyFill="1" applyBorder="1" applyAlignment="1">
      <alignment horizontal="center" vertical="center"/>
    </xf>
    <xf numFmtId="0" fontId="2" fillId="6" borderId="1" xfId="2" applyFill="1" applyBorder="1" applyAlignment="1">
      <alignment horizontal="center" vertical="center"/>
    </xf>
    <xf numFmtId="165" fontId="2" fillId="6" borderId="1" xfId="3" applyNumberFormat="1" applyFill="1" applyBorder="1" applyAlignment="1">
      <alignment horizontal="right" vertical="center"/>
    </xf>
    <xf numFmtId="166" fontId="2" fillId="6" borderId="1" xfId="3" applyNumberFormat="1" applyFill="1" applyBorder="1" applyAlignment="1">
      <alignment horizontal="right" vertical="center"/>
    </xf>
    <xf numFmtId="0" fontId="1" fillId="2" borderId="1" xfId="0" applyFont="1" applyFill="1" applyBorder="1" applyAlignment="1" applyProtection="1">
      <alignment horizontal="left" vertical="center" wrapText="1"/>
    </xf>
    <xf numFmtId="0" fontId="4" fillId="3" borderId="1" xfId="1" applyFont="1" applyBorder="1" applyAlignment="1" applyProtection="1">
      <alignment horizontal="center" vertical="center" textRotation="90" wrapText="1"/>
    </xf>
    <xf numFmtId="0" fontId="4" fillId="3" borderId="1" xfId="1" applyFont="1" applyBorder="1" applyAlignment="1">
      <alignment textRotation="90"/>
    </xf>
    <xf numFmtId="0" fontId="4" fillId="4" borderId="1" xfId="2" applyFont="1" applyBorder="1" applyAlignment="1">
      <alignment horizontal="center" vertical="center" wrapText="1"/>
    </xf>
    <xf numFmtId="0" fontId="4" fillId="4" borderId="1" xfId="2" quotePrefix="1" applyFont="1" applyBorder="1" applyAlignment="1" applyProtection="1">
      <alignment horizontal="center" vertical="center" wrapText="1"/>
    </xf>
    <xf numFmtId="0" fontId="4" fillId="4" borderId="1" xfId="2" applyFont="1" applyBorder="1"/>
    <xf numFmtId="0" fontId="4" fillId="3" borderId="1" xfId="1" applyFont="1" applyBorder="1" applyAlignment="1" applyProtection="1">
      <alignment horizontal="center" vertical="center" wrapText="1"/>
    </xf>
    <xf numFmtId="0" fontId="4" fillId="3" borderId="1" xfId="1" applyFont="1" applyBorder="1"/>
  </cellXfs>
  <cellStyles count="5">
    <cellStyle name="20% - Accent2" xfId="4" builtinId="34"/>
    <cellStyle name="40% - Accent2" xfId="2" builtinId="35"/>
    <cellStyle name="Accent2" xfId="1" builtinId="33"/>
    <cellStyle name="Comma" xfId="3" builtinId="3"/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  <pageSetUpPr fitToPage="1"/>
  </sheetPr>
  <dimension ref="A1:Q23"/>
  <sheetViews>
    <sheetView tabSelected="1" topLeftCell="D1" zoomScaleNormal="100" zoomScaleSheetLayoutView="100" workbookViewId="0">
      <selection activeCell="A3" sqref="A3:Q3"/>
    </sheetView>
  </sheetViews>
  <sheetFormatPr defaultColWidth="9.140625" defaultRowHeight="15" x14ac:dyDescent="0.25"/>
  <cols>
    <col min="1" max="1" width="17" style="1" customWidth="1"/>
    <col min="2" max="2" width="10.7109375" style="1" customWidth="1"/>
    <col min="3" max="3" width="11" style="1" customWidth="1"/>
    <col min="4" max="4" width="9.28515625" style="1" customWidth="1"/>
    <col min="5" max="5" width="13.28515625" style="1" customWidth="1"/>
    <col min="6" max="6" width="9.5703125" style="1" customWidth="1"/>
    <col min="7" max="7" width="9.28515625" style="1" customWidth="1"/>
    <col min="8" max="8" width="8.28515625" style="1" customWidth="1"/>
    <col min="9" max="9" width="11.140625" style="1" customWidth="1"/>
    <col min="10" max="10" width="9.42578125" style="1" customWidth="1"/>
    <col min="11" max="11" width="11" style="1" customWidth="1"/>
    <col min="12" max="12" width="10.28515625" style="1" customWidth="1"/>
    <col min="13" max="13" width="8.42578125" style="1" customWidth="1"/>
    <col min="14" max="14" width="7.85546875" style="1" customWidth="1"/>
    <col min="15" max="15" width="9.5703125" style="1" customWidth="1"/>
    <col min="16" max="16" width="9.85546875" style="1" customWidth="1"/>
    <col min="17" max="17" width="8" style="1" customWidth="1"/>
    <col min="18" max="16384" width="9.140625" style="1"/>
  </cols>
  <sheetData>
    <row r="1" spans="1:17" ht="18.75" customHeight="1" x14ac:dyDescent="0.25">
      <c r="A1" s="20" t="s">
        <v>35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75" customHeight="1" x14ac:dyDescent="0.25">
      <c r="A2" s="21" t="s">
        <v>36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75" customHeight="1" x14ac:dyDescent="0.25">
      <c r="A3" s="23" t="s">
        <v>40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21" customHeight="1" x14ac:dyDescent="0.25">
      <c r="A4" s="23" t="s">
        <v>19</v>
      </c>
      <c r="B4" s="23" t="s">
        <v>0</v>
      </c>
      <c r="C4" s="23"/>
      <c r="D4" s="23"/>
      <c r="E4" s="23" t="s">
        <v>1</v>
      </c>
      <c r="F4" s="24"/>
      <c r="G4" s="18" t="s">
        <v>2</v>
      </c>
      <c r="H4" s="18" t="s">
        <v>3</v>
      </c>
      <c r="I4" s="23" t="s">
        <v>4</v>
      </c>
      <c r="J4" s="23"/>
      <c r="K4" s="23"/>
      <c r="L4" s="23" t="s">
        <v>5</v>
      </c>
      <c r="M4" s="23"/>
      <c r="N4" s="23"/>
      <c r="O4" s="23"/>
      <c r="P4" s="18" t="s">
        <v>6</v>
      </c>
      <c r="Q4" s="18" t="s">
        <v>7</v>
      </c>
    </row>
    <row r="5" spans="1:17" ht="139.5" customHeight="1" x14ac:dyDescent="0.25">
      <c r="A5" s="23"/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9"/>
      <c r="H5" s="19"/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14</v>
      </c>
      <c r="O5" s="10" t="s">
        <v>15</v>
      </c>
      <c r="P5" s="19"/>
      <c r="Q5" s="19"/>
    </row>
    <row r="6" spans="1:17" ht="20.100000000000001" customHeight="1" x14ac:dyDescent="0.25">
      <c r="A6" s="2" t="s">
        <v>20</v>
      </c>
      <c r="B6" s="6">
        <v>63177</v>
      </c>
      <c r="C6" s="6">
        <v>116601.96666666665</v>
      </c>
      <c r="D6" s="6">
        <v>64079.015000000007</v>
      </c>
      <c r="E6" s="6">
        <v>9441070</v>
      </c>
      <c r="F6" s="6">
        <v>9989.0609849999964</v>
      </c>
      <c r="G6" s="6">
        <v>11826.70974</v>
      </c>
      <c r="H6" s="12">
        <f>F6/G6*100</f>
        <v>84.461876587832748</v>
      </c>
      <c r="I6" s="4">
        <v>37778.034799999994</v>
      </c>
      <c r="J6" s="4">
        <v>297.29789999999997</v>
      </c>
      <c r="K6" s="4">
        <f>SUM(I6:J6)</f>
        <v>38075.332699999992</v>
      </c>
      <c r="L6" s="4">
        <v>827.24941353399981</v>
      </c>
      <c r="M6" s="4">
        <v>47.614323085100004</v>
      </c>
      <c r="N6" s="4">
        <v>0.30141250780000001</v>
      </c>
      <c r="O6" s="4">
        <v>875.16514912689991</v>
      </c>
      <c r="P6" s="4">
        <v>1716.6833459194002</v>
      </c>
      <c r="Q6" s="4">
        <f>O6/P6*100</f>
        <v>50.979998798682914</v>
      </c>
    </row>
    <row r="7" spans="1:17" ht="20.100000000000001" customHeight="1" x14ac:dyDescent="0.25">
      <c r="A7" s="3" t="s">
        <v>33</v>
      </c>
      <c r="B7" s="7">
        <v>120</v>
      </c>
      <c r="C7" s="7">
        <v>112.11</v>
      </c>
      <c r="D7" s="7">
        <v>35.884999999999998</v>
      </c>
      <c r="E7" s="7">
        <v>465</v>
      </c>
      <c r="F7" s="5">
        <v>0.14105200000000001</v>
      </c>
      <c r="G7" s="5">
        <v>0.57099599999999995</v>
      </c>
      <c r="H7" s="11">
        <f t="shared" ref="H7:H22" si="0">F7/G7*100</f>
        <v>24.702800019614855</v>
      </c>
      <c r="I7" s="9" t="s">
        <v>34</v>
      </c>
      <c r="J7" s="9" t="s">
        <v>34</v>
      </c>
      <c r="K7" s="9">
        <f t="shared" ref="K7:K21" si="1">SUM(I7:J7)</f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 t="s">
        <v>34</v>
      </c>
    </row>
    <row r="8" spans="1:17" ht="20.100000000000001" customHeight="1" x14ac:dyDescent="0.25">
      <c r="A8" s="2" t="s">
        <v>21</v>
      </c>
      <c r="B8" s="6">
        <v>562</v>
      </c>
      <c r="C8" s="6">
        <v>488.35</v>
      </c>
      <c r="D8" s="6">
        <v>257.41500000000002</v>
      </c>
      <c r="E8" s="6">
        <v>4751</v>
      </c>
      <c r="F8" s="4">
        <v>2.176247</v>
      </c>
      <c r="G8" s="4">
        <v>2.316735</v>
      </c>
      <c r="H8" s="12">
        <f t="shared" si="0"/>
        <v>93.935948651874298</v>
      </c>
      <c r="I8" s="4">
        <v>0</v>
      </c>
      <c r="J8" s="4">
        <v>0</v>
      </c>
      <c r="K8" s="4">
        <f t="shared" si="1"/>
        <v>0</v>
      </c>
      <c r="L8" s="8">
        <v>163.218525</v>
      </c>
      <c r="M8" s="4">
        <v>0</v>
      </c>
      <c r="N8" s="4">
        <v>0</v>
      </c>
      <c r="O8" s="8">
        <v>163.218525</v>
      </c>
      <c r="P8" s="8">
        <v>1750.422</v>
      </c>
      <c r="Q8" s="8">
        <f t="shared" ref="Q8:Q22" si="2">O8/P8*100</f>
        <v>9.3245243147081105</v>
      </c>
    </row>
    <row r="9" spans="1:17" ht="20.100000000000001" customHeight="1" x14ac:dyDescent="0.25">
      <c r="A9" s="3" t="s">
        <v>22</v>
      </c>
      <c r="B9" s="7">
        <v>122268</v>
      </c>
      <c r="C9" s="7">
        <v>231052.08333333343</v>
      </c>
      <c r="D9" s="7">
        <v>135213.19</v>
      </c>
      <c r="E9" s="7">
        <v>15419648</v>
      </c>
      <c r="F9" s="7">
        <v>15002.343381000001</v>
      </c>
      <c r="G9" s="7">
        <v>19078.509264000004</v>
      </c>
      <c r="H9" s="11">
        <f t="shared" si="0"/>
        <v>78.634777871814748</v>
      </c>
      <c r="I9" s="5">
        <v>74350.787199999992</v>
      </c>
      <c r="J9" s="5">
        <v>8431.7339999999967</v>
      </c>
      <c r="K9" s="9">
        <f t="shared" si="1"/>
        <v>82782.521199999988</v>
      </c>
      <c r="L9" s="5">
        <v>1390.136833127</v>
      </c>
      <c r="M9" s="5">
        <v>87.348951041200024</v>
      </c>
      <c r="N9" s="5">
        <v>7.8819109999999952</v>
      </c>
      <c r="O9" s="5">
        <v>1485.3676951682</v>
      </c>
      <c r="P9" s="5">
        <v>2062.6449561999998</v>
      </c>
      <c r="Q9" s="5">
        <f t="shared" si="2"/>
        <v>72.012766458105588</v>
      </c>
    </row>
    <row r="10" spans="1:17" ht="20.100000000000001" customHeight="1" x14ac:dyDescent="0.25">
      <c r="A10" s="2" t="s">
        <v>23</v>
      </c>
      <c r="B10" s="6">
        <v>3299</v>
      </c>
      <c r="C10" s="6">
        <v>4905.7000000000007</v>
      </c>
      <c r="D10" s="6">
        <v>2503.7320000000004</v>
      </c>
      <c r="E10" s="6">
        <v>177292</v>
      </c>
      <c r="F10" s="6">
        <v>269.783614</v>
      </c>
      <c r="G10" s="6">
        <v>436.67741200000006</v>
      </c>
      <c r="H10" s="12">
        <f t="shared" si="0"/>
        <v>61.780986739016384</v>
      </c>
      <c r="I10" s="4">
        <v>843.56000000000006</v>
      </c>
      <c r="J10" s="4">
        <v>0.14000000000000001</v>
      </c>
      <c r="K10" s="4">
        <f t="shared" si="1"/>
        <v>843.7</v>
      </c>
      <c r="L10" s="4">
        <v>22.292352421</v>
      </c>
      <c r="M10" s="4">
        <v>0.255773996</v>
      </c>
      <c r="N10" s="4">
        <v>2.7480200000000004E-4</v>
      </c>
      <c r="O10" s="4">
        <v>22.548401219000002</v>
      </c>
      <c r="P10" s="4">
        <v>37.128391248</v>
      </c>
      <c r="Q10" s="4">
        <f t="shared" si="2"/>
        <v>60.730886690962194</v>
      </c>
    </row>
    <row r="11" spans="1:17" ht="20.100000000000001" customHeight="1" x14ac:dyDescent="0.25">
      <c r="A11" s="3" t="s">
        <v>24</v>
      </c>
      <c r="B11" s="7">
        <v>30538</v>
      </c>
      <c r="C11" s="7">
        <v>53498</v>
      </c>
      <c r="D11" s="7">
        <v>20875</v>
      </c>
      <c r="E11" s="7">
        <v>1635463</v>
      </c>
      <c r="F11" s="7">
        <v>670.52900000000011</v>
      </c>
      <c r="G11" s="7">
        <v>1025.3239999999998</v>
      </c>
      <c r="H11" s="11">
        <f t="shared" si="0"/>
        <v>65.396791648298517</v>
      </c>
      <c r="I11" s="5">
        <v>224.99999999999994</v>
      </c>
      <c r="J11" s="5">
        <v>0</v>
      </c>
      <c r="K11" s="9">
        <f t="shared" si="1"/>
        <v>224.99999999999994</v>
      </c>
      <c r="L11" s="5">
        <v>61.018700000000003</v>
      </c>
      <c r="M11" s="5">
        <v>0.10889999999999998</v>
      </c>
      <c r="N11" s="5">
        <v>0</v>
      </c>
      <c r="O11" s="5">
        <v>61.127600000000001</v>
      </c>
      <c r="P11" s="5">
        <v>95.059999999999988</v>
      </c>
      <c r="Q11" s="5">
        <f t="shared" si="2"/>
        <v>64.304228908058079</v>
      </c>
    </row>
    <row r="12" spans="1:17" ht="20.100000000000001" customHeight="1" x14ac:dyDescent="0.25">
      <c r="A12" s="2" t="s">
        <v>25</v>
      </c>
      <c r="B12" s="6">
        <v>5548</v>
      </c>
      <c r="C12" s="6">
        <v>7822.8286666666663</v>
      </c>
      <c r="D12" s="6">
        <v>5503.9669000000004</v>
      </c>
      <c r="E12" s="6">
        <v>0</v>
      </c>
      <c r="F12" s="6">
        <v>0</v>
      </c>
      <c r="G12" s="6">
        <v>0</v>
      </c>
      <c r="H12" s="13" t="s">
        <v>34</v>
      </c>
      <c r="I12" s="4">
        <v>122512.30200000005</v>
      </c>
      <c r="J12" s="4">
        <v>0</v>
      </c>
      <c r="K12" s="4">
        <f t="shared" si="1"/>
        <v>122512.30200000005</v>
      </c>
      <c r="L12" s="4">
        <v>0</v>
      </c>
      <c r="M12" s="4">
        <v>125.94250600000001</v>
      </c>
      <c r="N12" s="4">
        <v>0</v>
      </c>
      <c r="O12" s="4">
        <v>125.94250600000001</v>
      </c>
      <c r="P12" s="4">
        <v>169.30934999999999</v>
      </c>
      <c r="Q12" s="4">
        <f t="shared" si="2"/>
        <v>74.386031249898494</v>
      </c>
    </row>
    <row r="13" spans="1:17" ht="20.100000000000001" customHeight="1" x14ac:dyDescent="0.25">
      <c r="A13" s="3" t="s">
        <v>26</v>
      </c>
      <c r="B13" s="7">
        <v>95657</v>
      </c>
      <c r="C13" s="7">
        <v>152683.91333333333</v>
      </c>
      <c r="D13" s="7">
        <v>90405.431999999986</v>
      </c>
      <c r="E13" s="7">
        <v>15298589</v>
      </c>
      <c r="F13" s="7">
        <v>14539.603066999996</v>
      </c>
      <c r="G13" s="7">
        <v>16326.295735999996</v>
      </c>
      <c r="H13" s="11">
        <f t="shared" si="0"/>
        <v>89.056349965165168</v>
      </c>
      <c r="I13" s="5">
        <v>70105.506909999996</v>
      </c>
      <c r="J13" s="5">
        <v>0</v>
      </c>
      <c r="K13" s="9">
        <f t="shared" si="1"/>
        <v>70105.506909999996</v>
      </c>
      <c r="L13" s="5">
        <v>1308.5643166999998</v>
      </c>
      <c r="M13" s="5">
        <v>77.084056760859994</v>
      </c>
      <c r="N13" s="5">
        <v>0</v>
      </c>
      <c r="O13" s="5">
        <v>1385.6483734608598</v>
      </c>
      <c r="P13" s="5">
        <v>1713.1829362499996</v>
      </c>
      <c r="Q13" s="5">
        <f t="shared" si="2"/>
        <v>80.881518496437806</v>
      </c>
    </row>
    <row r="14" spans="1:17" ht="20.100000000000001" customHeight="1" x14ac:dyDescent="0.25">
      <c r="A14" s="2" t="s">
        <v>27</v>
      </c>
      <c r="B14" s="6">
        <v>475868</v>
      </c>
      <c r="C14" s="6">
        <v>843787.93333333335</v>
      </c>
      <c r="D14" s="6">
        <v>425681.72399999999</v>
      </c>
      <c r="E14" s="6">
        <v>68058886</v>
      </c>
      <c r="F14" s="6">
        <v>65356.185000000012</v>
      </c>
      <c r="G14" s="6">
        <v>75051.152000000002</v>
      </c>
      <c r="H14" s="12">
        <f t="shared" si="0"/>
        <v>87.082187625847524</v>
      </c>
      <c r="I14" s="4">
        <v>242078.62299999996</v>
      </c>
      <c r="J14" s="4">
        <v>17195.88</v>
      </c>
      <c r="K14" s="4">
        <f t="shared" si="1"/>
        <v>259274.50299999997</v>
      </c>
      <c r="L14" s="4">
        <v>5880.5194267999996</v>
      </c>
      <c r="M14" s="4">
        <v>284.03334021900002</v>
      </c>
      <c r="N14" s="4">
        <v>17.485200212999999</v>
      </c>
      <c r="O14" s="4">
        <v>6182.0379672320005</v>
      </c>
      <c r="P14" s="4">
        <v>8291.4056345040026</v>
      </c>
      <c r="Q14" s="4">
        <f t="shared" si="2"/>
        <v>74.559589046107661</v>
      </c>
    </row>
    <row r="15" spans="1:17" ht="20.100000000000001" customHeight="1" x14ac:dyDescent="0.25">
      <c r="A15" s="3" t="s">
        <v>28</v>
      </c>
      <c r="B15" s="7">
        <v>1086</v>
      </c>
      <c r="C15" s="7">
        <v>2765</v>
      </c>
      <c r="D15" s="7">
        <v>676</v>
      </c>
      <c r="E15" s="7">
        <v>86256</v>
      </c>
      <c r="F15" s="7">
        <v>67.994305999999995</v>
      </c>
      <c r="G15" s="7">
        <v>89.093702000000008</v>
      </c>
      <c r="H15" s="11">
        <f t="shared" si="0"/>
        <v>76.317746904264894</v>
      </c>
      <c r="I15" s="5">
        <v>353.10867999999999</v>
      </c>
      <c r="J15" s="5">
        <v>29.307200000000002</v>
      </c>
      <c r="K15" s="9">
        <f t="shared" si="1"/>
        <v>382.41588000000002</v>
      </c>
      <c r="L15" s="5">
        <v>5.6607719999999997</v>
      </c>
      <c r="M15" s="5">
        <v>0.409437</v>
      </c>
      <c r="N15" s="5">
        <v>3.0993E-2</v>
      </c>
      <c r="O15" s="5">
        <v>6.1012019999999998</v>
      </c>
      <c r="P15" s="5">
        <v>8.7616640000000015</v>
      </c>
      <c r="Q15" s="5">
        <f t="shared" si="2"/>
        <v>69.635197149765148</v>
      </c>
    </row>
    <row r="16" spans="1:17" ht="20.100000000000001" customHeight="1" x14ac:dyDescent="0.25">
      <c r="A16" s="2" t="s">
        <v>37</v>
      </c>
      <c r="B16" s="6">
        <v>127</v>
      </c>
      <c r="C16" s="6">
        <v>220</v>
      </c>
      <c r="D16" s="6">
        <v>110</v>
      </c>
      <c r="E16" s="6">
        <v>17053</v>
      </c>
      <c r="F16" s="6">
        <v>14.63885</v>
      </c>
      <c r="G16" s="6">
        <v>18.508900000000001</v>
      </c>
      <c r="H16" s="12">
        <f t="shared" si="0"/>
        <v>79.090869797772953</v>
      </c>
      <c r="I16" s="4">
        <v>85.277600000000007</v>
      </c>
      <c r="J16" s="4">
        <v>5.5171000000000001</v>
      </c>
      <c r="K16" s="4">
        <f t="shared" si="1"/>
        <v>90.794700000000006</v>
      </c>
      <c r="L16" s="4">
        <v>1.221282</v>
      </c>
      <c r="M16" s="4">
        <v>7.4564999999999992E-2</v>
      </c>
      <c r="N16" s="4">
        <v>4.8010000000000006E-3</v>
      </c>
      <c r="O16" s="4">
        <v>1.3006479999999998</v>
      </c>
      <c r="P16" s="4">
        <v>1.8091600000000001</v>
      </c>
      <c r="Q16" s="4">
        <f t="shared" si="2"/>
        <v>71.892369939640474</v>
      </c>
    </row>
    <row r="17" spans="1:17" ht="20.100000000000001" customHeight="1" x14ac:dyDescent="0.25">
      <c r="A17" s="3" t="s">
        <v>38</v>
      </c>
      <c r="B17" s="7">
        <v>858</v>
      </c>
      <c r="C17" s="7">
        <v>567.43033333333324</v>
      </c>
      <c r="D17" s="7">
        <v>74.951999999999998</v>
      </c>
      <c r="E17" s="7">
        <v>2674</v>
      </c>
      <c r="F17" s="5">
        <v>0.19225199999999998</v>
      </c>
      <c r="G17" s="5">
        <v>0.82299800000000001</v>
      </c>
      <c r="H17" s="11">
        <f t="shared" si="0"/>
        <v>23.35995956247767</v>
      </c>
      <c r="I17" s="5">
        <v>0</v>
      </c>
      <c r="J17" s="5">
        <v>0</v>
      </c>
      <c r="K17" s="9">
        <f t="shared" si="1"/>
        <v>0</v>
      </c>
      <c r="L17" s="5">
        <v>4.3302852615750007</v>
      </c>
      <c r="M17" s="5">
        <v>0</v>
      </c>
      <c r="N17" s="5">
        <v>0</v>
      </c>
      <c r="O17" s="5">
        <v>4.3302852615750007</v>
      </c>
      <c r="P17" s="5">
        <v>12.63377846</v>
      </c>
      <c r="Q17" s="5">
        <f t="shared" si="2"/>
        <v>34.275456667893799</v>
      </c>
    </row>
    <row r="18" spans="1:17" ht="20.100000000000001" customHeight="1" x14ac:dyDescent="0.25">
      <c r="A18" s="2" t="s">
        <v>29</v>
      </c>
      <c r="B18" s="6">
        <v>176599</v>
      </c>
      <c r="C18" s="6">
        <v>257936.91666666666</v>
      </c>
      <c r="D18" s="6">
        <v>152262.073</v>
      </c>
      <c r="E18" s="6">
        <v>21989717</v>
      </c>
      <c r="F18" s="6">
        <v>21697.095179</v>
      </c>
      <c r="G18" s="6">
        <v>23580.343011000001</v>
      </c>
      <c r="H18" s="12">
        <f t="shared" si="0"/>
        <v>92.013484150245461</v>
      </c>
      <c r="I18" s="4">
        <v>131029.344396053</v>
      </c>
      <c r="J18" s="4">
        <v>0</v>
      </c>
      <c r="K18" s="4">
        <f t="shared" si="1"/>
        <v>131029.344396053</v>
      </c>
      <c r="L18" s="4">
        <v>1627.2819672449998</v>
      </c>
      <c r="M18" s="4">
        <v>132.91885040999989</v>
      </c>
      <c r="N18" s="4">
        <v>0</v>
      </c>
      <c r="O18" s="4">
        <v>1760.2008176549998</v>
      </c>
      <c r="P18" s="4">
        <v>2104.6010530000003</v>
      </c>
      <c r="Q18" s="4">
        <f t="shared" si="2"/>
        <v>83.635842296378414</v>
      </c>
    </row>
    <row r="19" spans="1:17" ht="20.100000000000001" customHeight="1" x14ac:dyDescent="0.25">
      <c r="A19" s="3" t="s">
        <v>39</v>
      </c>
      <c r="B19" s="7">
        <v>2595</v>
      </c>
      <c r="C19" s="7">
        <v>3029.4</v>
      </c>
      <c r="D19" s="7">
        <v>1642.1390000000001</v>
      </c>
      <c r="E19" s="7">
        <v>84876</v>
      </c>
      <c r="F19" s="7">
        <v>54.899260000000012</v>
      </c>
      <c r="G19" s="7">
        <v>80.928200000000018</v>
      </c>
      <c r="H19" s="11">
        <f t="shared" si="0"/>
        <v>67.8369962509978</v>
      </c>
      <c r="I19" s="5">
        <v>0</v>
      </c>
      <c r="J19" s="5">
        <v>0</v>
      </c>
      <c r="K19" s="9">
        <f t="shared" si="1"/>
        <v>0</v>
      </c>
      <c r="L19" s="5">
        <v>4.9341540000000013</v>
      </c>
      <c r="M19" s="5">
        <v>0</v>
      </c>
      <c r="N19" s="5">
        <v>0</v>
      </c>
      <c r="O19" s="5">
        <v>4.9341540000000013</v>
      </c>
      <c r="P19" s="5">
        <v>35.540754</v>
      </c>
      <c r="Q19" s="5">
        <f t="shared" si="2"/>
        <v>13.883087567585092</v>
      </c>
    </row>
    <row r="20" spans="1:17" ht="20.100000000000001" customHeight="1" x14ac:dyDescent="0.25">
      <c r="A20" s="2" t="s">
        <v>30</v>
      </c>
      <c r="B20" s="6">
        <v>15728</v>
      </c>
      <c r="C20" s="6">
        <v>20454.002999999997</v>
      </c>
      <c r="D20" s="6">
        <v>5755.03</v>
      </c>
      <c r="E20" s="6">
        <v>836453</v>
      </c>
      <c r="F20" s="6">
        <v>306.36303800000002</v>
      </c>
      <c r="G20" s="6">
        <v>402.01827799999995</v>
      </c>
      <c r="H20" s="12">
        <f t="shared" si="0"/>
        <v>76.206246025460572</v>
      </c>
      <c r="I20" s="4">
        <v>0</v>
      </c>
      <c r="J20" s="4">
        <v>0</v>
      </c>
      <c r="K20" s="4">
        <f t="shared" si="1"/>
        <v>0</v>
      </c>
      <c r="L20" s="4">
        <v>29.332867335</v>
      </c>
      <c r="M20" s="4">
        <v>0</v>
      </c>
      <c r="N20" s="4">
        <v>0</v>
      </c>
      <c r="O20" s="4">
        <v>29.332867335</v>
      </c>
      <c r="P20" s="4">
        <v>41.084090076000003</v>
      </c>
      <c r="Q20" s="4">
        <f t="shared" si="2"/>
        <v>71.39714493064875</v>
      </c>
    </row>
    <row r="21" spans="1:17" ht="20.100000000000001" customHeight="1" x14ac:dyDescent="0.25">
      <c r="A21" s="3" t="s">
        <v>31</v>
      </c>
      <c r="B21" s="7">
        <v>60793</v>
      </c>
      <c r="C21" s="7">
        <v>99477.086666666655</v>
      </c>
      <c r="D21" s="7">
        <v>64558.157000000007</v>
      </c>
      <c r="E21" s="7">
        <v>8148986</v>
      </c>
      <c r="F21" s="7">
        <v>8711.7219379999988</v>
      </c>
      <c r="G21" s="7">
        <v>10651.602151000001</v>
      </c>
      <c r="H21" s="11">
        <f t="shared" si="0"/>
        <v>81.78790208740682</v>
      </c>
      <c r="I21" s="5">
        <v>24133.291259999998</v>
      </c>
      <c r="J21" s="5">
        <v>0</v>
      </c>
      <c r="K21" s="9">
        <f t="shared" si="1"/>
        <v>24133.291259999998</v>
      </c>
      <c r="L21" s="5">
        <v>784.05497432999994</v>
      </c>
      <c r="M21" s="5">
        <v>30.342095361859997</v>
      </c>
      <c r="N21" s="5">
        <v>0</v>
      </c>
      <c r="O21" s="5">
        <v>814.39706969185988</v>
      </c>
      <c r="P21" s="5">
        <v>1077.6076608000008</v>
      </c>
      <c r="Q21" s="5">
        <f t="shared" si="2"/>
        <v>75.574543437011471</v>
      </c>
    </row>
    <row r="22" spans="1:17" ht="20.100000000000001" customHeight="1" x14ac:dyDescent="0.25">
      <c r="A22" s="14" t="s">
        <v>32</v>
      </c>
      <c r="B22" s="15">
        <f>SUM(B6:B21)</f>
        <v>1054823</v>
      </c>
      <c r="C22" s="15">
        <f t="shared" ref="C22:K22" si="3">SUM(C6:C21)</f>
        <v>1795402.7220000001</v>
      </c>
      <c r="D22" s="15">
        <f t="shared" si="3"/>
        <v>969633.71090000006</v>
      </c>
      <c r="E22" s="15">
        <f t="shared" si="3"/>
        <v>141202179</v>
      </c>
      <c r="F22" s="15">
        <f t="shared" si="3"/>
        <v>136682.72716899999</v>
      </c>
      <c r="G22" s="15">
        <f t="shared" si="3"/>
        <v>158570.873123</v>
      </c>
      <c r="H22" s="11">
        <f t="shared" si="0"/>
        <v>86.196616362815988</v>
      </c>
      <c r="I22" s="16">
        <f t="shared" si="3"/>
        <v>703494.83584605297</v>
      </c>
      <c r="J22" s="16">
        <f t="shared" si="3"/>
        <v>25959.876199999999</v>
      </c>
      <c r="K22" s="16">
        <f t="shared" si="3"/>
        <v>729454.71204605291</v>
      </c>
      <c r="L22" s="16">
        <f t="shared" ref="L22" si="4">SUM(L6:L21)</f>
        <v>12109.815869753575</v>
      </c>
      <c r="M22" s="16">
        <f t="shared" ref="M22" si="5">SUM(M6:M21)</f>
        <v>786.13279887401995</v>
      </c>
      <c r="N22" s="16">
        <f t="shared" ref="N22" si="6">SUM(N6:N21)</f>
        <v>25.704592522799995</v>
      </c>
      <c r="O22" s="16">
        <f t="shared" ref="O22:P22" si="7">SUM(O6:O21)</f>
        <v>12921.653261150394</v>
      </c>
      <c r="P22" s="16">
        <f t="shared" si="7"/>
        <v>19117.874774457407</v>
      </c>
      <c r="Q22" s="16">
        <f t="shared" si="2"/>
        <v>67.589381213096317</v>
      </c>
    </row>
    <row r="23" spans="1:17" ht="17.100000000000001" customHeight="1" x14ac:dyDescent="0.25">
      <c r="A23" s="17" t="s">
        <v>18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</row>
  </sheetData>
  <mergeCells count="13">
    <mergeCell ref="A23:Q23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Airline wise domestic traffic</vt:lpstr>
      <vt:lpstr>'Airline wise domestic traffic'!Print_Area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2020-06-09T09:07:50Z</cp:lastPrinted>
  <dcterms:created xsi:type="dcterms:W3CDTF">2018-10-29T04:00:07Z</dcterms:created>
  <dcterms:modified xsi:type="dcterms:W3CDTF">2021-09-16T20:07:19Z</dcterms:modified>
</cp:coreProperties>
</file>