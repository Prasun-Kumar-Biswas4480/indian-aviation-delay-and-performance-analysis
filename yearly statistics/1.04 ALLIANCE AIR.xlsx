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Draft Annual Report 2024-25\01 Airline Wise Air Transport Operating and Traffic Statistics\ALLIANCE AIR (NATIONAL)\"/>
    </mc:Choice>
  </mc:AlternateContent>
  <bookViews>
    <workbookView xWindow="0" yWindow="0" windowWidth="24000" windowHeight="10725"/>
  </bookViews>
  <sheets>
    <sheet name="ALLIANCE AIR" sheetId="4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8" i="4" l="1"/>
  <c r="D18" i="4"/>
  <c r="E18" i="4"/>
  <c r="F18" i="4"/>
  <c r="G18" i="4"/>
  <c r="H18" i="4"/>
  <c r="I18" i="4"/>
  <c r="J18" i="4"/>
  <c r="K18" i="4"/>
  <c r="L18" i="4"/>
  <c r="M18" i="4"/>
  <c r="N18" i="4"/>
  <c r="O18" i="4"/>
  <c r="P18" i="4"/>
  <c r="Q18" i="4"/>
  <c r="C17" i="4"/>
  <c r="D17" i="4"/>
  <c r="E17" i="4"/>
  <c r="F17" i="4"/>
  <c r="G17" i="4"/>
  <c r="H17" i="4"/>
  <c r="I17" i="4"/>
  <c r="J17" i="4"/>
  <c r="K17" i="4"/>
  <c r="L17" i="4"/>
  <c r="M17" i="4"/>
  <c r="N17" i="4"/>
  <c r="O17" i="4"/>
  <c r="P17" i="4"/>
  <c r="Q17" i="4"/>
  <c r="B18" i="4"/>
  <c r="B17" i="4"/>
</calcChain>
</file>

<file path=xl/sharedStrings.xml><?xml version="1.0" encoding="utf-8"?>
<sst xmlns="http://schemas.openxmlformats.org/spreadsheetml/2006/main" count="39" uniqueCount="37">
  <si>
    <t>YEAR</t>
  </si>
  <si>
    <t>AIRCRAFT FLOWN</t>
  </si>
  <si>
    <t xml:space="preserve">    PASSENGERS</t>
  </si>
  <si>
    <t>AVAILABLE SEAT KILOMETERS (MILLION)</t>
  </si>
  <si>
    <t xml:space="preserve"> PAX. LOAD FACTOR (%)</t>
  </si>
  <si>
    <t xml:space="preserve"> CARGO CARRIED (TON)</t>
  </si>
  <si>
    <t xml:space="preserve">    TON  KMS. PERFORMED (MILLION)</t>
  </si>
  <si>
    <t>AVAILABLE TONNE KILOMETERS (MILLION)</t>
  </si>
  <si>
    <t xml:space="preserve"> WEIGHT LOAD FACTOR (%)</t>
  </si>
  <si>
    <t>DEPARTURES (NOS.)</t>
  </si>
  <si>
    <t>HOURS (NOS.)</t>
  </si>
  <si>
    <t xml:space="preserve">  KMS. (THOUSANDS)</t>
  </si>
  <si>
    <t>CARRIED (NOS.)</t>
  </si>
  <si>
    <t>KMS.PERFORMED (MILLION)</t>
  </si>
  <si>
    <t xml:space="preserve"> FREIGHT </t>
  </si>
  <si>
    <t xml:space="preserve"> MAIL</t>
  </si>
  <si>
    <t xml:space="preserve"> TOTAL</t>
  </si>
  <si>
    <t xml:space="preserve"> PAX.</t>
  </si>
  <si>
    <t>FREIGHT</t>
  </si>
  <si>
    <t>2014-15</t>
  </si>
  <si>
    <t>2015-16</t>
  </si>
  <si>
    <t>2016-17</t>
  </si>
  <si>
    <t>2017-18</t>
  </si>
  <si>
    <t>2018-19</t>
  </si>
  <si>
    <t xml:space="preserve">तालिका 1.04 (एलाइंस एयर) </t>
  </si>
  <si>
    <t>Table 1.04 (ALLIANCE AIR)</t>
  </si>
  <si>
    <t>SOURCE: ICAO ATR FORM 'A' FURNISHED BY ALLIANCE AIR</t>
  </si>
  <si>
    <t>2019-20</t>
  </si>
  <si>
    <t>YEAR ON YEAR GROWTH AND CAGR FOR LAST TEN YEARS OF ALLIANCE AIR ON SCHEDULED DOMESTIC SERVICES (ALL AIR TRAFFIC AND OPERATING STATISTICS)</t>
  </si>
  <si>
    <t>2020-21</t>
  </si>
  <si>
    <t>2021-22</t>
  </si>
  <si>
    <t>2022-23</t>
  </si>
  <si>
    <t>2023-24</t>
  </si>
  <si>
    <t>YOY growth</t>
  </si>
  <si>
    <t>CAGR last 10 years</t>
  </si>
  <si>
    <t>2024-25</t>
  </si>
  <si>
    <t>Note: Growth has been calculated with respect to preceeding year while Compound Annual Growth Rate (CAGR) has been calculating taking 2014-15 as a Base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</si>
</sst>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_(* #,##0.00_);_(* \(#,##0.00\);_(* &quot;-&quot;??_);_(@_)"/>
    <numFmt numFmtId="165" formatCode="0.0%"/>
    <numFmt numFmtId="166" formatCode="B1mmmm/yy"/>
    <numFmt numFmtId="167" formatCode="_(* #,##0_);_(* \(#,##0\);_(* &quot;-&quot;??_);_(@_)"/>
    <numFmt numFmtId="168" formatCode="_(* #,##0.0_);_(* \(#,##0.0\);_(* &quot;-&quot;??_);_(@_)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C99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/>
      <top style="thin">
        <color rgb="FF7F7F7F"/>
      </top>
      <bottom style="thin">
        <color indexed="64"/>
      </bottom>
      <diagonal/>
    </border>
    <border>
      <left/>
      <right/>
      <top style="thin">
        <color rgb="FF7F7F7F"/>
      </top>
      <bottom style="thin">
        <color indexed="64"/>
      </bottom>
      <diagonal/>
    </border>
    <border>
      <left/>
      <right style="thin">
        <color rgb="FF7F7F7F"/>
      </right>
      <top style="thin">
        <color rgb="FF7F7F7F"/>
      </top>
      <bottom style="thin">
        <color indexed="64"/>
      </bottom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/>
      <right/>
      <top style="thin">
        <color rgb="FF7F7F7F"/>
      </top>
      <bottom style="thin">
        <color rgb="FF7F7F7F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7">
    <xf numFmtId="0" fontId="0" fillId="0" borderId="0"/>
    <xf numFmtId="0" fontId="5" fillId="3" borderId="2" applyNumberFormat="0" applyAlignment="0" applyProtection="0"/>
    <xf numFmtId="0" fontId="6" fillId="4" borderId="0" applyNumberFormat="0" applyBorder="0" applyAlignment="0" applyProtection="0"/>
    <xf numFmtId="0" fontId="4" fillId="5" borderId="0" applyNumberFormat="0" applyBorder="0" applyAlignment="0" applyProtection="0"/>
    <xf numFmtId="9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0" fontId="4" fillId="6" borderId="0" applyNumberFormat="0" applyBorder="0" applyAlignment="0" applyProtection="0"/>
  </cellStyleXfs>
  <cellXfs count="35">
    <xf numFmtId="0" fontId="0" fillId="0" borderId="0" xfId="0"/>
    <xf numFmtId="165" fontId="3" fillId="2" borderId="1" xfId="4" applyNumberFormat="1" applyFont="1" applyFill="1" applyBorder="1" applyAlignment="1" applyProtection="1">
      <alignment horizontal="center" vertical="center" wrapText="1"/>
    </xf>
    <xf numFmtId="165" fontId="4" fillId="5" borderId="1" xfId="4" applyNumberFormat="1" applyFill="1" applyBorder="1" applyAlignment="1" applyProtection="1">
      <alignment horizontal="center" vertical="center" wrapText="1"/>
    </xf>
    <xf numFmtId="0" fontId="3" fillId="4" borderId="1" xfId="2" applyFont="1" applyBorder="1" applyAlignment="1" applyProtection="1">
      <alignment horizontal="center" vertical="center" textRotation="90" wrapText="1"/>
    </xf>
    <xf numFmtId="0" fontId="0" fillId="0" borderId="0" xfId="0" applyAlignment="1"/>
    <xf numFmtId="166" fontId="0" fillId="6" borderId="1" xfId="6" applyNumberFormat="1" applyFont="1" applyBorder="1" applyAlignment="1" applyProtection="1">
      <alignment horizontal="center" vertical="center" wrapText="1"/>
    </xf>
    <xf numFmtId="167" fontId="4" fillId="6" borderId="1" xfId="6" applyNumberFormat="1" applyBorder="1" applyAlignment="1">
      <alignment horizontal="right" vertical="center"/>
    </xf>
    <xf numFmtId="168" fontId="4" fillId="6" borderId="1" xfId="6" applyNumberFormat="1" applyBorder="1" applyAlignment="1">
      <alignment horizontal="right" vertical="center"/>
    </xf>
    <xf numFmtId="164" fontId="4" fillId="6" borderId="1" xfId="6" applyNumberFormat="1" applyBorder="1" applyAlignment="1">
      <alignment horizontal="right" vertical="center"/>
    </xf>
    <xf numFmtId="166" fontId="4" fillId="7" borderId="1" xfId="6" applyNumberFormat="1" applyFont="1" applyFill="1" applyBorder="1" applyAlignment="1" applyProtection="1">
      <alignment horizontal="center" vertical="center" wrapText="1"/>
    </xf>
    <xf numFmtId="167" fontId="0" fillId="0" borderId="1" xfId="5" applyNumberFormat="1" applyFont="1" applyBorder="1" applyAlignment="1">
      <alignment horizontal="right" vertical="center"/>
    </xf>
    <xf numFmtId="168" fontId="0" fillId="0" borderId="1" xfId="5" applyNumberFormat="1" applyFont="1" applyBorder="1" applyAlignment="1">
      <alignment horizontal="right" vertical="center"/>
    </xf>
    <xf numFmtId="164" fontId="0" fillId="0" borderId="1" xfId="5" applyNumberFormat="1" applyFont="1" applyBorder="1" applyAlignment="1">
      <alignment horizontal="right" vertical="center"/>
    </xf>
    <xf numFmtId="168" fontId="4" fillId="6" borderId="1" xfId="6" applyNumberFormat="1" applyBorder="1" applyAlignment="1">
      <alignment vertical="center"/>
    </xf>
    <xf numFmtId="168" fontId="0" fillId="0" borderId="1" xfId="5" applyNumberFormat="1" applyFont="1" applyBorder="1" applyAlignment="1">
      <alignment vertical="center"/>
    </xf>
    <xf numFmtId="0" fontId="4" fillId="5" borderId="1" xfId="3" applyFont="1" applyBorder="1" applyAlignment="1" applyProtection="1">
      <alignment horizontal="center" vertical="center" wrapText="1"/>
    </xf>
    <xf numFmtId="0" fontId="3" fillId="2" borderId="1" xfId="0" applyFont="1" applyFill="1" applyBorder="1" applyAlignment="1" applyProtection="1">
      <alignment horizontal="center" vertical="center" wrapText="1"/>
    </xf>
    <xf numFmtId="0" fontId="2" fillId="2" borderId="1" xfId="0" applyFont="1" applyFill="1" applyBorder="1" applyAlignment="1" applyProtection="1">
      <alignment horizontal="left" vertical="center" wrapText="1"/>
    </xf>
    <xf numFmtId="0" fontId="1" fillId="0" borderId="1" xfId="0" applyFont="1" applyBorder="1" applyAlignment="1">
      <alignment vertical="center" wrapText="1"/>
    </xf>
    <xf numFmtId="0" fontId="3" fillId="4" borderId="1" xfId="2" applyFont="1" applyBorder="1" applyAlignment="1" applyProtection="1">
      <alignment horizontal="center" vertical="center" textRotation="90" wrapText="1"/>
    </xf>
    <xf numFmtId="0" fontId="3" fillId="4" borderId="1" xfId="2" applyFont="1" applyBorder="1" applyAlignment="1">
      <alignment textRotation="90"/>
    </xf>
    <xf numFmtId="0" fontId="2" fillId="2" borderId="1" xfId="0" applyFont="1" applyFill="1" applyBorder="1" applyAlignment="1" applyProtection="1">
      <alignment horizontal="left" vertical="center"/>
    </xf>
    <xf numFmtId="0" fontId="1" fillId="0" borderId="1" xfId="0" applyFont="1" applyBorder="1" applyAlignment="1">
      <alignment vertical="center"/>
    </xf>
    <xf numFmtId="0" fontId="3" fillId="3" borderId="9" xfId="1" applyFont="1" applyBorder="1" applyAlignment="1">
      <alignment horizontal="center" vertical="center" wrapText="1"/>
    </xf>
    <xf numFmtId="0" fontId="3" fillId="3" borderId="10" xfId="1" applyFont="1" applyBorder="1" applyAlignment="1">
      <alignment horizontal="center" vertical="center" wrapText="1"/>
    </xf>
    <xf numFmtId="0" fontId="3" fillId="3" borderId="11" xfId="1" applyFont="1" applyBorder="1" applyAlignment="1">
      <alignment horizontal="center" vertical="center" wrapText="1"/>
    </xf>
    <xf numFmtId="0" fontId="3" fillId="3" borderId="6" xfId="1" quotePrefix="1" applyFont="1" applyBorder="1" applyAlignment="1" applyProtection="1">
      <alignment horizontal="center" vertical="center" wrapText="1"/>
    </xf>
    <xf numFmtId="0" fontId="3" fillId="3" borderId="7" xfId="1" quotePrefix="1" applyFont="1" applyBorder="1" applyAlignment="1" applyProtection="1">
      <alignment horizontal="center" vertical="center" wrapText="1"/>
    </xf>
    <xf numFmtId="0" fontId="3" fillId="3" borderId="8" xfId="1" quotePrefix="1" applyFont="1" applyBorder="1" applyAlignment="1" applyProtection="1">
      <alignment horizontal="center" vertical="center" wrapText="1"/>
    </xf>
    <xf numFmtId="0" fontId="3" fillId="4" borderId="3" xfId="2" applyFont="1" applyBorder="1" applyAlignment="1" applyProtection="1">
      <alignment horizontal="center" vertical="center" wrapText="1"/>
    </xf>
    <xf numFmtId="0" fontId="3" fillId="4" borderId="4" xfId="2" applyFont="1" applyBorder="1" applyAlignment="1" applyProtection="1">
      <alignment horizontal="center" vertical="center" wrapText="1"/>
    </xf>
    <xf numFmtId="0" fontId="3" fillId="4" borderId="5" xfId="2" applyFont="1" applyBorder="1" applyAlignment="1" applyProtection="1">
      <alignment horizontal="center" vertical="center" wrapText="1"/>
    </xf>
    <xf numFmtId="0" fontId="3" fillId="4" borderId="1" xfId="2" applyFont="1" applyBorder="1" applyAlignment="1" applyProtection="1">
      <alignment horizontal="center" vertical="center"/>
    </xf>
    <xf numFmtId="0" fontId="3" fillId="4" borderId="1" xfId="2" applyFont="1" applyBorder="1" applyAlignment="1" applyProtection="1">
      <alignment horizontal="center" vertical="center" wrapText="1"/>
    </xf>
    <xf numFmtId="0" fontId="3" fillId="4" borderId="1" xfId="2" applyFont="1" applyBorder="1"/>
  </cellXfs>
  <cellStyles count="7">
    <cellStyle name="20% - Accent2" xfId="3" builtinId="34"/>
    <cellStyle name="40% - Accent2" xfId="6" builtinId="35"/>
    <cellStyle name="Accent2" xfId="2" builtinId="33"/>
    <cellStyle name="Comma" xfId="5" builtinId="3"/>
    <cellStyle name="Input" xfId="1" builtinId="20"/>
    <cellStyle name="Normal" xfId="0" builtinId="0"/>
    <cellStyle name="Percent" xfId="4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0"/>
  <sheetViews>
    <sheetView tabSelected="1" view="pageBreakPreview" zoomScaleNormal="100" zoomScaleSheetLayoutView="100" workbookViewId="0">
      <selection activeCell="E26" sqref="E26"/>
    </sheetView>
  </sheetViews>
  <sheetFormatPr defaultRowHeight="15" x14ac:dyDescent="0.25"/>
  <cols>
    <col min="1" max="1" width="12.42578125" style="4" customWidth="1"/>
    <col min="2" max="2" width="9.42578125" customWidth="1"/>
    <col min="3" max="3" width="8.42578125" customWidth="1"/>
    <col min="4" max="4" width="8.7109375" customWidth="1"/>
    <col min="5" max="5" width="11.7109375" customWidth="1"/>
    <col min="6" max="7" width="7.7109375" customWidth="1"/>
    <col min="8" max="8" width="10.42578125" customWidth="1"/>
    <col min="9" max="9" width="9.5703125" customWidth="1"/>
    <col min="10" max="10" width="10.5703125" customWidth="1"/>
    <col min="11" max="11" width="8.140625" customWidth="1"/>
    <col min="12" max="12" width="7.7109375" customWidth="1"/>
    <col min="13" max="13" width="9.42578125" customWidth="1"/>
    <col min="14" max="14" width="9" customWidth="1"/>
    <col min="15" max="15" width="9.28515625" customWidth="1"/>
    <col min="16" max="16" width="7.7109375" customWidth="1"/>
    <col min="17" max="17" width="8.85546875" customWidth="1"/>
  </cols>
  <sheetData>
    <row r="1" spans="1:17" ht="15" customHeight="1" x14ac:dyDescent="0.25">
      <c r="A1" s="23" t="s">
        <v>24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5"/>
    </row>
    <row r="2" spans="1:17" ht="15" customHeight="1" x14ac:dyDescent="0.25">
      <c r="A2" s="26" t="s">
        <v>25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8"/>
    </row>
    <row r="3" spans="1:17" ht="14.45" customHeight="1" x14ac:dyDescent="0.25">
      <c r="A3" s="29" t="s">
        <v>28</v>
      </c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1"/>
    </row>
    <row r="4" spans="1:17" x14ac:dyDescent="0.25">
      <c r="A4" s="32" t="s">
        <v>0</v>
      </c>
      <c r="B4" s="33" t="s">
        <v>1</v>
      </c>
      <c r="C4" s="33"/>
      <c r="D4" s="33"/>
      <c r="E4" s="33" t="s">
        <v>2</v>
      </c>
      <c r="F4" s="34"/>
      <c r="G4" s="19" t="s">
        <v>3</v>
      </c>
      <c r="H4" s="19" t="s">
        <v>4</v>
      </c>
      <c r="I4" s="33" t="s">
        <v>5</v>
      </c>
      <c r="J4" s="33"/>
      <c r="K4" s="33"/>
      <c r="L4" s="33" t="s">
        <v>6</v>
      </c>
      <c r="M4" s="33"/>
      <c r="N4" s="33"/>
      <c r="O4" s="33"/>
      <c r="P4" s="19" t="s">
        <v>7</v>
      </c>
      <c r="Q4" s="19" t="s">
        <v>8</v>
      </c>
    </row>
    <row r="5" spans="1:17" ht="117" customHeight="1" x14ac:dyDescent="0.25">
      <c r="A5" s="32"/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20"/>
      <c r="H5" s="20"/>
      <c r="I5" s="3" t="s">
        <v>14</v>
      </c>
      <c r="J5" s="3" t="s">
        <v>15</v>
      </c>
      <c r="K5" s="3" t="s">
        <v>16</v>
      </c>
      <c r="L5" s="3" t="s">
        <v>17</v>
      </c>
      <c r="M5" s="3" t="s">
        <v>18</v>
      </c>
      <c r="N5" s="3" t="s">
        <v>15</v>
      </c>
      <c r="O5" s="3" t="s">
        <v>16</v>
      </c>
      <c r="P5" s="20"/>
      <c r="Q5" s="20"/>
    </row>
    <row r="6" spans="1:17" ht="16.5" customHeight="1" x14ac:dyDescent="0.25">
      <c r="A6" s="5" t="s">
        <v>19</v>
      </c>
      <c r="B6" s="6">
        <v>9059</v>
      </c>
      <c r="C6" s="6">
        <v>13164</v>
      </c>
      <c r="D6" s="6">
        <v>5519</v>
      </c>
      <c r="E6" s="6">
        <v>310492</v>
      </c>
      <c r="F6" s="6">
        <v>197.91499999999999</v>
      </c>
      <c r="G6" s="6">
        <v>289.61399999999998</v>
      </c>
      <c r="H6" s="7">
        <v>68.337511308155001</v>
      </c>
      <c r="I6" s="7">
        <v>168</v>
      </c>
      <c r="J6" s="13">
        <v>52</v>
      </c>
      <c r="K6" s="7">
        <v>220</v>
      </c>
      <c r="L6" s="7">
        <v>17.876000000000001</v>
      </c>
      <c r="M6" s="8">
        <v>0.108</v>
      </c>
      <c r="N6" s="8">
        <v>2.8000000000000001E-2</v>
      </c>
      <c r="O6" s="7">
        <v>18.012</v>
      </c>
      <c r="P6" s="7">
        <v>30.779</v>
      </c>
      <c r="Q6" s="7">
        <v>58.520419766724061</v>
      </c>
    </row>
    <row r="7" spans="1:17" ht="16.5" customHeight="1" x14ac:dyDescent="0.25">
      <c r="A7" s="9" t="s">
        <v>20</v>
      </c>
      <c r="B7" s="10">
        <v>10796</v>
      </c>
      <c r="C7" s="10">
        <v>16133</v>
      </c>
      <c r="D7" s="10">
        <v>7318</v>
      </c>
      <c r="E7" s="10">
        <v>400340</v>
      </c>
      <c r="F7" s="10">
        <v>227.98400000000001</v>
      </c>
      <c r="G7" s="10">
        <v>342.601</v>
      </c>
      <c r="H7" s="11">
        <v>66.545048029632142</v>
      </c>
      <c r="I7" s="11">
        <v>127</v>
      </c>
      <c r="J7" s="14">
        <v>45</v>
      </c>
      <c r="K7" s="11">
        <v>172</v>
      </c>
      <c r="L7" s="11">
        <v>20.065000000000001</v>
      </c>
      <c r="M7" s="12">
        <v>7.2999999999999995E-2</v>
      </c>
      <c r="N7" s="12">
        <v>2.4E-2</v>
      </c>
      <c r="O7" s="11">
        <v>20.161999999999999</v>
      </c>
      <c r="P7" s="11">
        <v>32.779000000000003</v>
      </c>
      <c r="Q7" s="11">
        <v>61.50889288873973</v>
      </c>
    </row>
    <row r="8" spans="1:17" ht="16.5" customHeight="1" x14ac:dyDescent="0.25">
      <c r="A8" s="5" t="s">
        <v>21</v>
      </c>
      <c r="B8" s="6">
        <v>12686</v>
      </c>
      <c r="C8" s="6">
        <v>22938</v>
      </c>
      <c r="D8" s="6">
        <v>9324</v>
      </c>
      <c r="E8" s="6">
        <v>625411</v>
      </c>
      <c r="F8" s="6">
        <v>323.77</v>
      </c>
      <c r="G8" s="6">
        <v>470.59300000000002</v>
      </c>
      <c r="H8" s="7">
        <v>68.800428395662479</v>
      </c>
      <c r="I8" s="7">
        <v>64</v>
      </c>
      <c r="J8" s="13">
        <v>33</v>
      </c>
      <c r="K8" s="7">
        <v>97</v>
      </c>
      <c r="L8" s="7">
        <v>29.280999999999999</v>
      </c>
      <c r="M8" s="8">
        <v>5.6000000000000001E-2</v>
      </c>
      <c r="N8" s="8">
        <v>2.4E-2</v>
      </c>
      <c r="O8" s="7">
        <v>29.361000000000001</v>
      </c>
      <c r="P8" s="7">
        <v>45.115000000000002</v>
      </c>
      <c r="Q8" s="7">
        <v>65.080350216114368</v>
      </c>
    </row>
    <row r="9" spans="1:17" ht="16.5" customHeight="1" x14ac:dyDescent="0.25">
      <c r="A9" s="9" t="s">
        <v>22</v>
      </c>
      <c r="B9" s="10">
        <v>20828</v>
      </c>
      <c r="C9" s="10">
        <v>38202</v>
      </c>
      <c r="D9" s="10">
        <v>17564</v>
      </c>
      <c r="E9" s="10">
        <v>1281251</v>
      </c>
      <c r="F9" s="10">
        <v>570.33299999999997</v>
      </c>
      <c r="G9" s="10">
        <v>729.71299999999997</v>
      </c>
      <c r="H9" s="11">
        <v>78.158536301258167</v>
      </c>
      <c r="I9" s="11">
        <v>76</v>
      </c>
      <c r="J9" s="14">
        <v>38</v>
      </c>
      <c r="K9" s="11">
        <v>114</v>
      </c>
      <c r="L9" s="11">
        <v>51.292999999999999</v>
      </c>
      <c r="M9" s="12">
        <v>5.1999999999999998E-2</v>
      </c>
      <c r="N9" s="12">
        <v>2.4E-2</v>
      </c>
      <c r="O9" s="11">
        <v>51.369</v>
      </c>
      <c r="P9" s="11">
        <v>67.221999999999994</v>
      </c>
      <c r="Q9" s="11">
        <v>76.41694683288209</v>
      </c>
    </row>
    <row r="10" spans="1:17" ht="16.5" customHeight="1" x14ac:dyDescent="0.25">
      <c r="A10" s="5" t="s">
        <v>23</v>
      </c>
      <c r="B10" s="6">
        <v>28983</v>
      </c>
      <c r="C10" s="6">
        <v>51698</v>
      </c>
      <c r="D10" s="6">
        <v>23821</v>
      </c>
      <c r="E10" s="6">
        <v>1597382</v>
      </c>
      <c r="F10" s="6">
        <v>679.84728900000005</v>
      </c>
      <c r="G10" s="6">
        <v>984.52216399999998</v>
      </c>
      <c r="H10" s="7">
        <v>69.053528082888349</v>
      </c>
      <c r="I10" s="7">
        <v>83.3</v>
      </c>
      <c r="J10" s="13">
        <v>15</v>
      </c>
      <c r="K10" s="7">
        <v>98.3</v>
      </c>
      <c r="L10" s="7">
        <v>61.920999999999999</v>
      </c>
      <c r="M10" s="8">
        <v>5.1799999999999999E-2</v>
      </c>
      <c r="N10" s="8">
        <v>8.9999999999999993E-3</v>
      </c>
      <c r="O10" s="7">
        <v>61.9818</v>
      </c>
      <c r="P10" s="7">
        <v>91.338999999999999</v>
      </c>
      <c r="Q10" s="7">
        <v>67.859074436987484</v>
      </c>
    </row>
    <row r="11" spans="1:17" ht="16.5" customHeight="1" x14ac:dyDescent="0.25">
      <c r="A11" s="9" t="s">
        <v>27</v>
      </c>
      <c r="B11" s="10">
        <v>30538</v>
      </c>
      <c r="C11" s="10">
        <v>53498</v>
      </c>
      <c r="D11" s="10">
        <v>20875</v>
      </c>
      <c r="E11" s="10">
        <v>1635463</v>
      </c>
      <c r="F11" s="10">
        <v>670.52899999999988</v>
      </c>
      <c r="G11" s="10">
        <v>1025.3240000000001</v>
      </c>
      <c r="H11" s="11">
        <v>65.396791648298475</v>
      </c>
      <c r="I11" s="11">
        <v>225</v>
      </c>
      <c r="J11" s="14">
        <v>0</v>
      </c>
      <c r="K11" s="11">
        <v>225</v>
      </c>
      <c r="L11" s="11">
        <v>61.018699999999995</v>
      </c>
      <c r="M11" s="12">
        <v>0.1089</v>
      </c>
      <c r="N11" s="12">
        <v>0</v>
      </c>
      <c r="O11" s="11">
        <v>61.127599999999994</v>
      </c>
      <c r="P11" s="11">
        <v>95.059999999999988</v>
      </c>
      <c r="Q11" s="11">
        <v>64.304228908058064</v>
      </c>
    </row>
    <row r="12" spans="1:17" ht="16.5" customHeight="1" x14ac:dyDescent="0.25">
      <c r="A12" s="5" t="s">
        <v>29</v>
      </c>
      <c r="B12" s="6">
        <v>15557</v>
      </c>
      <c r="C12" s="6">
        <v>29081</v>
      </c>
      <c r="D12" s="6">
        <v>12190</v>
      </c>
      <c r="E12" s="6">
        <v>705273</v>
      </c>
      <c r="F12" s="6">
        <v>282.64299999999997</v>
      </c>
      <c r="G12" s="6">
        <v>552.82900000000006</v>
      </c>
      <c r="H12" s="7">
        <v>51.126659419097031</v>
      </c>
      <c r="I12" s="7">
        <v>355.36799999999999</v>
      </c>
      <c r="J12" s="13">
        <v>0</v>
      </c>
      <c r="K12" s="7">
        <v>355.36799999999999</v>
      </c>
      <c r="L12" s="7">
        <v>25.717600000000001</v>
      </c>
      <c r="M12" s="8">
        <v>0.13</v>
      </c>
      <c r="N12" s="8">
        <v>0</v>
      </c>
      <c r="O12" s="7">
        <v>25.8476</v>
      </c>
      <c r="P12" s="7">
        <v>51.180900000000001</v>
      </c>
      <c r="Q12" s="7">
        <v>50.502433525006396</v>
      </c>
    </row>
    <row r="13" spans="1:17" ht="16.5" customHeight="1" x14ac:dyDescent="0.25">
      <c r="A13" s="9" t="s">
        <v>30</v>
      </c>
      <c r="B13" s="10">
        <v>27947</v>
      </c>
      <c r="C13" s="10">
        <v>38688</v>
      </c>
      <c r="D13" s="10">
        <v>20976</v>
      </c>
      <c r="E13" s="10">
        <v>1077709</v>
      </c>
      <c r="F13" s="10">
        <v>458.31899999999996</v>
      </c>
      <c r="G13" s="10">
        <v>766.375</v>
      </c>
      <c r="H13" s="11">
        <v>59.803490458326536</v>
      </c>
      <c r="I13" s="11">
        <v>509.43999999999994</v>
      </c>
      <c r="J13" s="14">
        <v>0</v>
      </c>
      <c r="K13" s="11">
        <v>509.43999999999994</v>
      </c>
      <c r="L13" s="11">
        <v>41.707000000000001</v>
      </c>
      <c r="M13" s="12">
        <v>0.25699999999999995</v>
      </c>
      <c r="N13" s="12">
        <v>0</v>
      </c>
      <c r="O13" s="11">
        <v>41.963999999999999</v>
      </c>
      <c r="P13" s="11">
        <v>70.846999999999994</v>
      </c>
      <c r="Q13" s="11">
        <v>59.231865851765079</v>
      </c>
    </row>
    <row r="14" spans="1:17" ht="16.5" customHeight="1" x14ac:dyDescent="0.25">
      <c r="A14" s="5" t="s">
        <v>31</v>
      </c>
      <c r="B14" s="6">
        <v>39290</v>
      </c>
      <c r="C14" s="6">
        <v>51452.832333333332</v>
      </c>
      <c r="D14" s="6">
        <v>22291.868999999999</v>
      </c>
      <c r="E14" s="6">
        <v>1595308</v>
      </c>
      <c r="F14" s="6">
        <v>642.96356700000001</v>
      </c>
      <c r="G14" s="6">
        <v>962.44204080000009</v>
      </c>
      <c r="H14" s="7">
        <v>66.805432404589936</v>
      </c>
      <c r="I14" s="7">
        <v>399.85599999999999</v>
      </c>
      <c r="J14" s="13">
        <v>59.530429999999996</v>
      </c>
      <c r="K14" s="7">
        <v>459.38643000000002</v>
      </c>
      <c r="L14" s="7">
        <v>57.767353732000004</v>
      </c>
      <c r="M14" s="8">
        <v>0.25446795835009911</v>
      </c>
      <c r="N14" s="8">
        <v>4.5914667000000006E-2</v>
      </c>
      <c r="O14" s="7">
        <v>58.067736357350093</v>
      </c>
      <c r="P14" s="7">
        <v>90.361769549999991</v>
      </c>
      <c r="Q14" s="7">
        <v>64.26139798559322</v>
      </c>
    </row>
    <row r="15" spans="1:17" ht="16.5" customHeight="1" x14ac:dyDescent="0.25">
      <c r="A15" s="9" t="s">
        <v>32</v>
      </c>
      <c r="B15" s="10">
        <v>35887</v>
      </c>
      <c r="C15" s="10">
        <v>48289</v>
      </c>
      <c r="D15" s="10">
        <v>13554.747000000001</v>
      </c>
      <c r="E15" s="10">
        <v>1624872</v>
      </c>
      <c r="F15" s="10">
        <v>655.27662500000008</v>
      </c>
      <c r="G15" s="10">
        <v>884.69818266666664</v>
      </c>
      <c r="H15" s="11">
        <v>74.067816328599022</v>
      </c>
      <c r="I15" s="11">
        <v>196.637</v>
      </c>
      <c r="J15" s="14">
        <v>73.667000000000002</v>
      </c>
      <c r="K15" s="11">
        <v>270.30400000000003</v>
      </c>
      <c r="L15" s="11">
        <v>59.630172814000005</v>
      </c>
      <c r="M15" s="12">
        <v>0.10032507326562495</v>
      </c>
      <c r="N15" s="12">
        <v>4.1969291428835299E-2</v>
      </c>
      <c r="O15" s="11">
        <v>59.772467178694463</v>
      </c>
      <c r="P15" s="11">
        <v>88.755310399999985</v>
      </c>
      <c r="Q15" s="11">
        <v>67.345229157910168</v>
      </c>
    </row>
    <row r="16" spans="1:17" ht="16.5" customHeight="1" x14ac:dyDescent="0.25">
      <c r="A16" s="5" t="s">
        <v>35</v>
      </c>
      <c r="B16" s="6">
        <v>27751</v>
      </c>
      <c r="C16" s="6">
        <v>37803</v>
      </c>
      <c r="D16" s="6">
        <v>10461.211000000001</v>
      </c>
      <c r="E16" s="6">
        <v>1284387</v>
      </c>
      <c r="F16" s="6">
        <v>512.94493499999999</v>
      </c>
      <c r="G16" s="6">
        <v>667.51790800000003</v>
      </c>
      <c r="H16" s="7">
        <v>76.843621549700799</v>
      </c>
      <c r="I16" s="7">
        <v>25.584</v>
      </c>
      <c r="J16" s="13">
        <v>0.35399999999999998</v>
      </c>
      <c r="K16" s="7">
        <v>25.937999999999999</v>
      </c>
      <c r="L16" s="7">
        <v>46.681241284006553</v>
      </c>
      <c r="M16" s="8">
        <v>1.1999282667170007E-2</v>
      </c>
      <c r="N16" s="8">
        <v>1.4407800000000001E-4</v>
      </c>
      <c r="O16" s="7">
        <v>46.693384644673714</v>
      </c>
      <c r="P16" s="7">
        <v>67.014881799999998</v>
      </c>
      <c r="Q16" s="7">
        <v>69.676142657426453</v>
      </c>
    </row>
    <row r="17" spans="1:17" ht="18.75" customHeight="1" x14ac:dyDescent="0.25">
      <c r="A17" s="15" t="s">
        <v>33</v>
      </c>
      <c r="B17" s="2">
        <f>IFERROR(((B16-B15)/B15),"-")</f>
        <v>-0.22671162259313957</v>
      </c>
      <c r="C17" s="2">
        <f t="shared" ref="C17:Q17" si="0">IFERROR(((C16-C15)/C15),"-")</f>
        <v>-0.21715090393257264</v>
      </c>
      <c r="D17" s="2">
        <f t="shared" si="0"/>
        <v>-0.22822528520820048</v>
      </c>
      <c r="E17" s="2">
        <f t="shared" si="0"/>
        <v>-0.20954573652570788</v>
      </c>
      <c r="F17" s="2">
        <f t="shared" si="0"/>
        <v>-0.21720855676791473</v>
      </c>
      <c r="G17" s="2">
        <f t="shared" si="0"/>
        <v>-0.24548515970954018</v>
      </c>
      <c r="H17" s="2">
        <f t="shared" si="0"/>
        <v>3.7476536486333333E-2</v>
      </c>
      <c r="I17" s="2">
        <f t="shared" si="0"/>
        <v>-0.8698922379816616</v>
      </c>
      <c r="J17" s="2">
        <f t="shared" si="0"/>
        <v>-0.99519459187967474</v>
      </c>
      <c r="K17" s="2">
        <f t="shared" si="0"/>
        <v>-0.90404137563632059</v>
      </c>
      <c r="L17" s="2">
        <f t="shared" si="0"/>
        <v>-0.21715401648061791</v>
      </c>
      <c r="M17" s="2">
        <f t="shared" si="0"/>
        <v>-0.88039597404130276</v>
      </c>
      <c r="N17" s="2">
        <f t="shared" si="0"/>
        <v>-0.99656706141335971</v>
      </c>
      <c r="O17" s="2">
        <f t="shared" si="0"/>
        <v>-0.21881450024339483</v>
      </c>
      <c r="P17" s="2">
        <f t="shared" si="0"/>
        <v>-0.24494791919515377</v>
      </c>
      <c r="Q17" s="2">
        <f t="shared" si="0"/>
        <v>3.4611412399396413E-2</v>
      </c>
    </row>
    <row r="18" spans="1:17" ht="30" customHeight="1" x14ac:dyDescent="0.25">
      <c r="A18" s="16" t="s">
        <v>34</v>
      </c>
      <c r="B18" s="1">
        <f>IFERROR((((B16/B6)^(1/10))-1),"-")</f>
        <v>0.11845840570589905</v>
      </c>
      <c r="C18" s="1">
        <f t="shared" ref="C18:Q18" si="1">IFERROR((((C16/C6)^(1/10))-1),"-")</f>
        <v>0.11125528456358502</v>
      </c>
      <c r="D18" s="1">
        <f t="shared" si="1"/>
        <v>6.603670135096773E-2</v>
      </c>
      <c r="E18" s="1">
        <f t="shared" si="1"/>
        <v>0.15256266839266175</v>
      </c>
      <c r="F18" s="1">
        <f t="shared" si="1"/>
        <v>9.9915199494016838E-2</v>
      </c>
      <c r="G18" s="1">
        <f t="shared" si="1"/>
        <v>8.7087086874142017E-2</v>
      </c>
      <c r="H18" s="1">
        <f t="shared" si="1"/>
        <v>1.1800446141588594E-2</v>
      </c>
      <c r="I18" s="1">
        <f t="shared" si="1"/>
        <v>-0.17155073596510662</v>
      </c>
      <c r="J18" s="1">
        <f t="shared" si="1"/>
        <v>-0.39284441842051498</v>
      </c>
      <c r="K18" s="1">
        <f t="shared" si="1"/>
        <v>-0.19248354561364101</v>
      </c>
      <c r="L18" s="1">
        <f t="shared" si="1"/>
        <v>0.10074622562298075</v>
      </c>
      <c r="M18" s="1">
        <f t="shared" si="1"/>
        <v>-0.19726323697615877</v>
      </c>
      <c r="N18" s="1">
        <f t="shared" si="1"/>
        <v>-0.40960324203126031</v>
      </c>
      <c r="O18" s="1">
        <f t="shared" si="1"/>
        <v>9.9940876338949103E-2</v>
      </c>
      <c r="P18" s="1">
        <f t="shared" si="1"/>
        <v>8.0915326999413173E-2</v>
      </c>
      <c r="Q18" s="1">
        <f t="shared" si="1"/>
        <v>1.7601331819718125E-2</v>
      </c>
    </row>
    <row r="19" spans="1:17" x14ac:dyDescent="0.25">
      <c r="A19" s="21" t="s">
        <v>26</v>
      </c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</row>
    <row r="20" spans="1:17" ht="19.5" customHeight="1" x14ac:dyDescent="0.25">
      <c r="A20" s="17" t="s">
        <v>36</v>
      </c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</row>
  </sheetData>
  <mergeCells count="14">
    <mergeCell ref="A20:Q20"/>
    <mergeCell ref="P4:P5"/>
    <mergeCell ref="Q4:Q5"/>
    <mergeCell ref="A19:Q19"/>
    <mergeCell ref="A1:Q1"/>
    <mergeCell ref="A2:Q2"/>
    <mergeCell ref="A3:Q3"/>
    <mergeCell ref="A4:A5"/>
    <mergeCell ref="B4:D4"/>
    <mergeCell ref="E4:F4"/>
    <mergeCell ref="G4:G5"/>
    <mergeCell ref="H4:H5"/>
    <mergeCell ref="I4:K4"/>
    <mergeCell ref="L4:O4"/>
  </mergeCells>
  <pageMargins left="0.7" right="0.7" top="0.75" bottom="0.75" header="0.3" footer="0.3"/>
  <pageSetup paperSize="9" scale="64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ALLIANCE AIR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acer</cp:lastModifiedBy>
  <cp:lastPrinted>2022-04-25T07:13:10Z</cp:lastPrinted>
  <dcterms:created xsi:type="dcterms:W3CDTF">2018-10-29T04:00:14Z</dcterms:created>
  <dcterms:modified xsi:type="dcterms:W3CDTF">2025-11-19T12:05:27Z</dcterms:modified>
</cp:coreProperties>
</file>