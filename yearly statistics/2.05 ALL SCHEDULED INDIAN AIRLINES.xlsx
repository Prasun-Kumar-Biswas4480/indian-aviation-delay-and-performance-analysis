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2 All Scheduled Indian Airlines Air Transport Operating and Traffic Statistics\"/>
    </mc:Choice>
  </mc:AlternateContent>
  <bookViews>
    <workbookView showHorizontalScroll="0" showVerticalScroll="0" xWindow="0" yWindow="0" windowWidth="13140" windowHeight="10635"/>
  </bookViews>
  <sheets>
    <sheet name="2.05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2" l="1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B18" i="2"/>
  <c r="B17" i="2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<sst xmlns="http://schemas.openxmlformats.org/spreadsheetml/2006/main" count="40" uniqueCount="38">
  <si>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</si>
  <si>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</si>
  <si>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</si>
  <si>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</si>
  <si>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</si>
  <si>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</si>
  <si>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</si>
  <si>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</si>
  <si>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</si>
  <si>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</si>
  <si>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</si>
  <si>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</si>
  <si>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</si>
  <si>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</si>
  <si>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</si>
  <si>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</si>
  <si>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</si>
  <si>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</si>
  <si>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</si>
  <si>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</si>
  <si>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</si>
  <si>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</si>
  <si>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</si>
  <si>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</si>
  <si>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2018-19</t>
  </si>
  <si>
    <t>2019-20</t>
  </si>
  <si>
    <t>YEAR ON YEAR GROWTH AND CAGR FOR LAST TEN YEARS OF ALL SCHEDULED INDIAN AIRLINES ON SCHEDULED INTERNATIONAL SERVICES (ALL AIR TRAFFIC AND OPERATING STATISTICS).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</si>
  <si>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</si>
  <si>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</si>
  <si>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</si>
  <si>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2023-24</t>
  </si>
  <si>
    <t>YOY growth</t>
  </si>
  <si>
    <t>CAGR last 10 years</t>
  </si>
  <si>
    <t>2021-22*</t>
  </si>
  <si>
    <t xml:space="preserve">तालिका - 2.05 (सभी अनुसूचित भारतीय एयरलाइन्स) </t>
  </si>
  <si>
    <t>TABLE - 2.05 (ALL SCHEDULED INDIAN AIRLINES)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</si>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</sst>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164" fontId="3" fillId="0" borderId="0" applyFont="0" applyFill="0" applyBorder="0" applyAlignment="0" applyProtection="0"/>
  </cellStyleXfs>
  <cellXfs count="27">
    <xf numFmtId="0" fontId="0" fillId="0" borderId="0" xfId="0"/>
    <xf numFmtId="0" fontId="0" fillId="4" borderId="1" xfId="3" applyFont="1" applyBorder="1" applyAlignment="1" applyProtection="1">
      <alignment horizontal="center" vertical="center" wrapText="1"/>
    </xf>
    <xf numFmtId="165" fontId="3" fillId="4" borderId="1" xfId="1" applyNumberFormat="1" applyFill="1" applyBorder="1" applyAlignment="1" applyProtection="1">
      <alignment horizontal="right" vertical="center" wrapText="1"/>
    </xf>
    <xf numFmtId="165" fontId="0" fillId="0" borderId="1" xfId="1" applyNumberFormat="1" applyFont="1" applyBorder="1" applyAlignment="1">
      <alignment horizontal="right" vertical="center"/>
    </xf>
    <xf numFmtId="0" fontId="5" fillId="3" borderId="1" xfId="2" applyFont="1" applyBorder="1" applyAlignment="1" applyProtection="1">
      <alignment horizontal="center" vertical="center" textRotation="90" wrapText="1"/>
    </xf>
    <xf numFmtId="17" fontId="3" fillId="5" borderId="1" xfId="4" applyNumberFormat="1" applyBorder="1" applyAlignment="1" applyProtection="1">
      <alignment horizontal="center" vertical="center" wrapText="1"/>
    </xf>
    <xf numFmtId="166" fontId="3" fillId="5" borderId="1" xfId="4" applyNumberFormat="1" applyBorder="1" applyAlignment="1">
      <alignment horizontal="right" vertical="center"/>
    </xf>
    <xf numFmtId="167" fontId="3" fillId="5" borderId="1" xfId="4" applyNumberFormat="1" applyBorder="1" applyAlignment="1">
      <alignment horizontal="right" vertical="center"/>
    </xf>
    <xf numFmtId="17" fontId="3" fillId="6" borderId="1" xfId="4" applyNumberFormat="1" applyFill="1" applyBorder="1" applyAlignment="1" applyProtection="1">
      <alignment horizontal="center" vertical="center" wrapText="1"/>
    </xf>
    <xf numFmtId="166" fontId="6" fillId="0" borderId="1" xfId="5" applyNumberFormat="1" applyFont="1" applyFill="1" applyBorder="1" applyAlignment="1">
      <alignment horizontal="right" vertical="center"/>
    </xf>
    <xf numFmtId="167" fontId="6" fillId="0" borderId="1" xfId="5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17" fontId="0" fillId="5" borderId="1" xfId="4" applyNumberFormat="1" applyFont="1" applyBorder="1" applyAlignment="1" applyProtection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1" xfId="2" applyFont="1" applyBorder="1" applyAlignment="1" applyProtection="1">
      <alignment horizontal="center" vertical="center" textRotation="90" wrapText="1"/>
    </xf>
    <xf numFmtId="0" fontId="5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5" borderId="1" xfId="4" applyFont="1" applyBorder="1" applyAlignment="1">
      <alignment horizontal="center" vertical="center" wrapText="1"/>
    </xf>
    <xf numFmtId="0" fontId="5" fillId="5" borderId="1" xfId="4" quotePrefix="1" applyFont="1" applyBorder="1" applyAlignment="1" applyProtection="1">
      <alignment horizontal="center" vertical="center" wrapText="1"/>
    </xf>
    <xf numFmtId="0" fontId="5" fillId="5" borderId="1" xfId="4" applyFont="1" applyBorder="1"/>
    <xf numFmtId="0" fontId="5" fillId="3" borderId="1" xfId="2" applyFont="1" applyBorder="1" applyAlignment="1" applyProtection="1">
      <alignment horizontal="center" vertical="center" wrapText="1"/>
    </xf>
    <xf numFmtId="0" fontId="5" fillId="3" borderId="1" xfId="2" applyFont="1" applyBorder="1"/>
  </cellXfs>
  <cellStyles count="6">
    <cellStyle name="20% - Accent6" xfId="3" builtinId="50"/>
    <cellStyle name="40% - Accent6" xfId="4" builtinId="51"/>
    <cellStyle name="Accent6" xfId="2" builtinId="4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1"/>
  <sheetViews>
    <sheetView tabSelected="1" view="pageBreakPreview" topLeftCell="A4" zoomScale="115" zoomScaleNormal="100" zoomScaleSheetLayoutView="115" workbookViewId="0">
      <selection activeCell="K17" sqref="K17"/>
    </sheetView>
  </sheetViews>
  <sheetFormatPr defaultRowHeight="15" x14ac:dyDescent="0.25"/>
  <cols>
    <col min="1" max="1" width="10.28515625" customWidth="1"/>
    <col min="2" max="2" width="9.85546875" customWidth="1"/>
    <col min="3" max="3" width="10" customWidth="1"/>
    <col min="4" max="4" width="10.28515625" customWidth="1"/>
    <col min="5" max="5" width="13.140625" customWidth="1"/>
    <col min="6" max="6" width="10.85546875" customWidth="1"/>
    <col min="7" max="7" width="9.85546875" customWidth="1"/>
    <col min="8" max="8" width="7" customWidth="1"/>
    <col min="9" max="9" width="11.7109375" customWidth="1"/>
    <col min="10" max="10" width="9" customWidth="1"/>
    <col min="11" max="11" width="11.5703125" customWidth="1"/>
    <col min="12" max="12" width="10.7109375" customWidth="1"/>
    <col min="13" max="13" width="9.140625" bestFit="1" customWidth="1"/>
    <col min="14" max="14" width="7.5703125" customWidth="1"/>
    <col min="15" max="15" width="10.7109375" customWidth="1"/>
    <col min="16" max="16" width="10.140625" customWidth="1"/>
    <col min="17" max="17" width="8.5703125" customWidth="1"/>
  </cols>
  <sheetData>
    <row r="1" spans="1:17" x14ac:dyDescent="0.25">
      <c r="A1" s="22" t="s">
        <v>34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3" t="s">
        <v>35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31.5" customHeight="1" x14ac:dyDescent="0.25">
      <c r="A3" s="25" t="s">
        <v>26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8" t="s">
        <v>3</v>
      </c>
      <c r="H4" s="18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8" t="s">
        <v>7</v>
      </c>
      <c r="Q4" s="18" t="s">
        <v>8</v>
      </c>
    </row>
    <row r="5" spans="1:17" ht="114.75" customHeight="1" x14ac:dyDescent="0.25">
      <c r="A5" s="25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9"/>
      <c r="H5" s="19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9"/>
      <c r="Q5" s="19"/>
    </row>
    <row r="6" spans="1:17" ht="20.100000000000001" customHeight="1" x14ac:dyDescent="0.25">
      <c r="A6" s="5" t="s">
        <v>19</v>
      </c>
      <c r="B6" s="6">
        <v>117816</v>
      </c>
      <c r="C6" s="6">
        <v>487105.99</v>
      </c>
      <c r="D6" s="6">
        <v>369301.81800000003</v>
      </c>
      <c r="E6" s="6">
        <v>17328236</v>
      </c>
      <c r="F6" s="6">
        <v>59879.829868999972</v>
      </c>
      <c r="G6" s="6">
        <v>76147.697574999984</v>
      </c>
      <c r="H6" s="7">
        <v>78.636428645820402</v>
      </c>
      <c r="I6" s="7">
        <v>250670.77621999997</v>
      </c>
      <c r="J6" s="7">
        <v>4437.01</v>
      </c>
      <c r="K6" s="7">
        <v>255107.78621999998</v>
      </c>
      <c r="L6" s="7">
        <v>5363.7834780000012</v>
      </c>
      <c r="M6" s="7">
        <v>1241.0940993867703</v>
      </c>
      <c r="N6" s="7">
        <v>29.816620000000004</v>
      </c>
      <c r="O6" s="7">
        <v>6634.6941973867706</v>
      </c>
      <c r="P6" s="7">
        <v>9795.998816000003</v>
      </c>
      <c r="Q6" s="7">
        <v>67.728613712674104</v>
      </c>
    </row>
    <row r="7" spans="1:17" ht="20.100000000000001" customHeight="1" x14ac:dyDescent="0.25">
      <c r="A7" s="8" t="s">
        <v>20</v>
      </c>
      <c r="B7" s="9">
        <v>123811</v>
      </c>
      <c r="C7" s="9">
        <v>525764.72</v>
      </c>
      <c r="D7" s="9">
        <v>452319.3490000001</v>
      </c>
      <c r="E7" s="9">
        <v>18625233</v>
      </c>
      <c r="F7" s="9">
        <v>64821.373093000024</v>
      </c>
      <c r="G7" s="9">
        <v>81720.682787000012</v>
      </c>
      <c r="H7" s="10">
        <v>79.320645499197539</v>
      </c>
      <c r="I7" s="10">
        <v>248440.97881</v>
      </c>
      <c r="J7" s="10">
        <v>3628.6967999999997</v>
      </c>
      <c r="K7" s="10">
        <v>252069.67561000001</v>
      </c>
      <c r="L7" s="10">
        <v>5893.5588024199997</v>
      </c>
      <c r="M7" s="10">
        <v>1133.5887945600005</v>
      </c>
      <c r="N7" s="10">
        <v>24.959619999999994</v>
      </c>
      <c r="O7" s="10">
        <v>7052.10721698</v>
      </c>
      <c r="P7" s="10">
        <v>10538.539808000003</v>
      </c>
      <c r="Q7" s="10">
        <v>66.917308711275297</v>
      </c>
    </row>
    <row r="8" spans="1:17" ht="20.100000000000001" customHeight="1" x14ac:dyDescent="0.25">
      <c r="A8" s="5" t="s">
        <v>21</v>
      </c>
      <c r="B8" s="6">
        <v>136185</v>
      </c>
      <c r="C8" s="6">
        <v>586773.15269999998</v>
      </c>
      <c r="D8" s="6">
        <v>493070.42699999997</v>
      </c>
      <c r="E8" s="6">
        <v>20814238</v>
      </c>
      <c r="F8" s="6">
        <v>71444.051680000033</v>
      </c>
      <c r="G8" s="6">
        <v>91245.56871599998</v>
      </c>
      <c r="H8" s="7">
        <v>78.298653496662638</v>
      </c>
      <c r="I8" s="7">
        <v>289328.55784000002</v>
      </c>
      <c r="J8" s="7">
        <v>3955.625</v>
      </c>
      <c r="K8" s="7">
        <v>293284.18284000002</v>
      </c>
      <c r="L8" s="7">
        <v>6523.0730079899995</v>
      </c>
      <c r="M8" s="7">
        <v>1324.0681705300001</v>
      </c>
      <c r="N8" s="7">
        <v>24.957540000000002</v>
      </c>
      <c r="O8" s="7">
        <v>7872.0987185200001</v>
      </c>
      <c r="P8" s="7">
        <v>11716.084227449994</v>
      </c>
      <c r="Q8" s="7">
        <v>67.190526849202783</v>
      </c>
    </row>
    <row r="9" spans="1:17" ht="20.100000000000001" customHeight="1" x14ac:dyDescent="0.25">
      <c r="A9" s="8" t="s">
        <v>22</v>
      </c>
      <c r="B9" s="9">
        <v>150788</v>
      </c>
      <c r="C9" s="9">
        <v>650107.8759000001</v>
      </c>
      <c r="D9" s="9">
        <v>540519.45699999994</v>
      </c>
      <c r="E9" s="9">
        <v>23804236</v>
      </c>
      <c r="F9" s="9">
        <v>82366.965082999988</v>
      </c>
      <c r="G9" s="9">
        <v>101669.56239000005</v>
      </c>
      <c r="H9" s="10">
        <v>81.014379472829702</v>
      </c>
      <c r="I9" s="10">
        <v>364269.68732000003</v>
      </c>
      <c r="J9" s="10">
        <v>6349.9219199999998</v>
      </c>
      <c r="K9" s="10">
        <v>370619.60924000002</v>
      </c>
      <c r="L9" s="10">
        <v>7506.6261299999978</v>
      </c>
      <c r="M9" s="10">
        <v>1735.9185199999999</v>
      </c>
      <c r="N9" s="10">
        <v>40.04726999999999</v>
      </c>
      <c r="O9" s="10">
        <v>9282.5919199999971</v>
      </c>
      <c r="P9" s="10">
        <v>13274.71751</v>
      </c>
      <c r="Q9" s="10">
        <v>69.926850895375452</v>
      </c>
    </row>
    <row r="10" spans="1:17" ht="20.100000000000001" customHeight="1" x14ac:dyDescent="0.25">
      <c r="A10" s="5" t="s">
        <v>24</v>
      </c>
      <c r="B10" s="6">
        <v>163287</v>
      </c>
      <c r="C10" s="6">
        <v>727269.08106</v>
      </c>
      <c r="D10" s="6">
        <v>587582.93200000003</v>
      </c>
      <c r="E10" s="6">
        <v>25899715</v>
      </c>
      <c r="F10" s="6">
        <v>90459.578319000007</v>
      </c>
      <c r="G10" s="6">
        <v>111719.98934700001</v>
      </c>
      <c r="H10" s="7">
        <v>80.969913126320122</v>
      </c>
      <c r="I10" s="7">
        <v>377610.96850000002</v>
      </c>
      <c r="J10" s="7">
        <v>6564.5598699999991</v>
      </c>
      <c r="K10" s="7">
        <v>384175.52837000001</v>
      </c>
      <c r="L10" s="7">
        <v>8161.4586828370002</v>
      </c>
      <c r="M10" s="7">
        <v>1859.6218625654001</v>
      </c>
      <c r="N10" s="7">
        <v>37.9</v>
      </c>
      <c r="O10" s="7">
        <v>10058.976029741401</v>
      </c>
      <c r="P10" s="7">
        <v>14417.070403860002</v>
      </c>
      <c r="Q10" s="7">
        <v>69.771290199486216</v>
      </c>
    </row>
    <row r="11" spans="1:17" ht="20.100000000000001" customHeight="1" x14ac:dyDescent="0.25">
      <c r="A11" s="8" t="s">
        <v>25</v>
      </c>
      <c r="B11" s="9">
        <v>147399</v>
      </c>
      <c r="C11" s="9">
        <v>630851.16266666644</v>
      </c>
      <c r="D11" s="9">
        <v>515631.53700000007</v>
      </c>
      <c r="E11" s="9">
        <v>22722845</v>
      </c>
      <c r="F11" s="9">
        <v>74802.539505000008</v>
      </c>
      <c r="G11" s="9">
        <v>92360.975068000014</v>
      </c>
      <c r="H11" s="10">
        <v>80.989334997738212</v>
      </c>
      <c r="I11" s="10">
        <v>215922.74279755502</v>
      </c>
      <c r="J11" s="10">
        <v>6176.4330999999993</v>
      </c>
      <c r="K11" s="10">
        <v>222099.17938755505</v>
      </c>
      <c r="L11" s="10">
        <v>7053.3753653539989</v>
      </c>
      <c r="M11" s="10">
        <v>936.68351382659989</v>
      </c>
      <c r="N11" s="10">
        <v>33.924483668000022</v>
      </c>
      <c r="O11" s="10">
        <v>8023.9833628486003</v>
      </c>
      <c r="P11" s="10">
        <v>11311.344425956002</v>
      </c>
      <c r="Q11" s="10">
        <v>70.937485949380743</v>
      </c>
    </row>
    <row r="12" spans="1:17" ht="20.100000000000001" customHeight="1" x14ac:dyDescent="0.25">
      <c r="A12" s="5" t="s">
        <v>27</v>
      </c>
      <c r="B12" s="6">
        <v>47207</v>
      </c>
      <c r="C12" s="6">
        <v>210557.52826333337</v>
      </c>
      <c r="D12" s="6">
        <v>163108.09158064515</v>
      </c>
      <c r="E12" s="6">
        <v>5427003</v>
      </c>
      <c r="F12" s="6">
        <v>21260.183776999998</v>
      </c>
      <c r="G12" s="6">
        <v>30855.795705</v>
      </c>
      <c r="H12" s="7">
        <v>68.901751814343655</v>
      </c>
      <c r="I12" s="7">
        <v>120454.78781000001</v>
      </c>
      <c r="J12" s="7">
        <v>927.59450999999979</v>
      </c>
      <c r="K12" s="7">
        <v>121382.38232000005</v>
      </c>
      <c r="L12" s="7">
        <v>1834.1340398259999</v>
      </c>
      <c r="M12" s="7">
        <v>451.91058800016998</v>
      </c>
      <c r="N12" s="7">
        <v>2.1946259985061443</v>
      </c>
      <c r="O12" s="7">
        <v>2288.2392538246763</v>
      </c>
      <c r="P12" s="7">
        <v>4167.0377520250004</v>
      </c>
      <c r="Q12" s="7">
        <v>54.912851526547634</v>
      </c>
    </row>
    <row r="13" spans="1:17" ht="20.100000000000001" customHeight="1" x14ac:dyDescent="0.25">
      <c r="A13" s="8" t="s">
        <v>33</v>
      </c>
      <c r="B13" s="9">
        <v>85959</v>
      </c>
      <c r="C13" s="9">
        <v>364800.75138888898</v>
      </c>
      <c r="D13" s="9">
        <v>272372.3249999999</v>
      </c>
      <c r="E13" s="9">
        <v>10202363</v>
      </c>
      <c r="F13" s="9">
        <v>36473.116180999983</v>
      </c>
      <c r="G13" s="9">
        <v>52344.304973000028</v>
      </c>
      <c r="H13" s="10">
        <v>69.679244379714973</v>
      </c>
      <c r="I13" s="10">
        <v>220747.57874000003</v>
      </c>
      <c r="J13" s="10">
        <v>72.48000850356469</v>
      </c>
      <c r="K13" s="10">
        <v>220671.55234850358</v>
      </c>
      <c r="L13" s="10">
        <v>3356.0786422961987</v>
      </c>
      <c r="M13" s="10">
        <v>882.06795782948939</v>
      </c>
      <c r="N13" s="10">
        <v>0.2000030784587857</v>
      </c>
      <c r="O13" s="10">
        <v>4238.3466032041479</v>
      </c>
      <c r="P13" s="10">
        <v>6741.9528907159993</v>
      </c>
      <c r="Q13" s="10">
        <v>62.865265775448535</v>
      </c>
    </row>
    <row r="14" spans="1:17" ht="20.100000000000001" customHeight="1" x14ac:dyDescent="0.25">
      <c r="A14" s="5" t="s">
        <v>29</v>
      </c>
      <c r="B14" s="6">
        <v>152806</v>
      </c>
      <c r="C14" s="6">
        <v>664856.57243333338</v>
      </c>
      <c r="D14" s="6">
        <v>477480.01100000006</v>
      </c>
      <c r="E14" s="6">
        <v>23876218</v>
      </c>
      <c r="F14" s="6">
        <v>83074.463112999976</v>
      </c>
      <c r="G14" s="6">
        <v>102138.64345799998</v>
      </c>
      <c r="H14" s="7">
        <v>81.334997509694446</v>
      </c>
      <c r="I14" s="7">
        <v>193464.20717999997</v>
      </c>
      <c r="J14" s="7">
        <v>1585.3174946605566</v>
      </c>
      <c r="K14" s="7">
        <v>195049.52467466053</v>
      </c>
      <c r="L14" s="7">
        <v>7944.7103571629996</v>
      </c>
      <c r="M14" s="7">
        <v>901.96871845596309</v>
      </c>
      <c r="N14" s="7">
        <v>8.8777862448447618</v>
      </c>
      <c r="O14" s="7">
        <v>8855.5568618638081</v>
      </c>
      <c r="P14" s="7">
        <v>12631.912206566001</v>
      </c>
      <c r="Q14" s="7">
        <v>70.104642250923305</v>
      </c>
    </row>
    <row r="15" spans="1:17" ht="20.100000000000001" customHeight="1" x14ac:dyDescent="0.25">
      <c r="A15" s="8" t="s">
        <v>30</v>
      </c>
      <c r="B15" s="9">
        <v>177842</v>
      </c>
      <c r="C15" s="9">
        <v>878596.39983333321</v>
      </c>
      <c r="D15" s="9">
        <v>571618.30266000004</v>
      </c>
      <c r="E15" s="9">
        <v>29591159</v>
      </c>
      <c r="F15" s="9">
        <v>105272.21158219999</v>
      </c>
      <c r="G15" s="9">
        <v>125415.492164</v>
      </c>
      <c r="H15" s="10">
        <v>83.93876208255071</v>
      </c>
      <c r="I15" s="10">
        <v>227933.57135000007</v>
      </c>
      <c r="J15" s="10">
        <v>4651.6619571106985</v>
      </c>
      <c r="K15" s="10">
        <v>232585.23330711079</v>
      </c>
      <c r="L15" s="10">
        <v>10153.145031808999</v>
      </c>
      <c r="M15" s="10">
        <v>1060.9235409400342</v>
      </c>
      <c r="N15" s="10">
        <v>33.846711404014449</v>
      </c>
      <c r="O15" s="10">
        <v>11247.915284153049</v>
      </c>
      <c r="P15" s="10">
        <v>15371.704827226991</v>
      </c>
      <c r="Q15" s="10">
        <v>73.172854999338014</v>
      </c>
    </row>
    <row r="16" spans="1:17" ht="20.100000000000001" customHeight="1" x14ac:dyDescent="0.25">
      <c r="A16" s="12" t="s">
        <v>36</v>
      </c>
      <c r="B16" s="6">
        <v>206322</v>
      </c>
      <c r="C16" s="6">
        <v>935044.03689666663</v>
      </c>
      <c r="D16" s="6">
        <v>668474.67232588783</v>
      </c>
      <c r="E16" s="6">
        <v>33855957</v>
      </c>
      <c r="F16" s="6">
        <v>122579.81670957676</v>
      </c>
      <c r="G16" s="6">
        <v>148402.72882826085</v>
      </c>
      <c r="H16" s="7">
        <v>82.599435790316448</v>
      </c>
      <c r="I16" s="7">
        <v>294594.10739362589</v>
      </c>
      <c r="J16" s="7">
        <v>2414.1087105853835</v>
      </c>
      <c r="K16" s="7">
        <v>297008.21610421129</v>
      </c>
      <c r="L16" s="7">
        <v>11637.976091364721</v>
      </c>
      <c r="M16" s="7">
        <v>1419.2551072167626</v>
      </c>
      <c r="N16" s="7">
        <v>17.914285419157938</v>
      </c>
      <c r="O16" s="7">
        <v>13075.145484000643</v>
      </c>
      <c r="P16" s="7">
        <v>17031.168829840757</v>
      </c>
      <c r="Q16" s="7">
        <v>76.771862311007908</v>
      </c>
    </row>
    <row r="17" spans="1:17" ht="38.25" customHeight="1" x14ac:dyDescent="0.25">
      <c r="A17" s="1" t="s">
        <v>31</v>
      </c>
      <c r="B17" s="2">
        <f>IFERROR(((B16-B15)/B15),"-")</f>
        <v>0.16014214864880061</v>
      </c>
      <c r="C17" s="2">
        <f t="shared" ref="C17:Q17" si="0">IFERROR(((C16-C15)/C15),"-")</f>
        <v>6.424751691907836E-2</v>
      </c>
      <c r="D17" s="2">
        <f t="shared" si="0"/>
        <v>0.16944238701799966</v>
      </c>
      <c r="E17" s="2">
        <f t="shared" si="0"/>
        <v>0.14412406083857682</v>
      </c>
      <c r="F17" s="2">
        <f t="shared" si="0"/>
        <v>0.16440810796363314</v>
      </c>
      <c r="G17" s="2">
        <f t="shared" si="0"/>
        <v>0.18328865332044877</v>
      </c>
      <c r="H17" s="2">
        <f t="shared" si="0"/>
        <v>-1.5955992904888007E-2</v>
      </c>
      <c r="I17" s="2">
        <f t="shared" si="0"/>
        <v>0.29245598026131131</v>
      </c>
      <c r="J17" s="2">
        <f t="shared" si="0"/>
        <v>-0.48102232431247721</v>
      </c>
      <c r="K17" s="2">
        <f t="shared" si="0"/>
        <v>0.27698655620167828</v>
      </c>
      <c r="L17" s="2">
        <f t="shared" si="0"/>
        <v>0.14624346002188124</v>
      </c>
      <c r="M17" s="2">
        <f t="shared" si="0"/>
        <v>0.33775437385358398</v>
      </c>
      <c r="N17" s="2">
        <f t="shared" si="0"/>
        <v>-0.47072301337277977</v>
      </c>
      <c r="O17" s="2">
        <f t="shared" si="0"/>
        <v>0.16245056561031718</v>
      </c>
      <c r="P17" s="2">
        <f t="shared" si="0"/>
        <v>0.10795575515309502</v>
      </c>
      <c r="Q17" s="2">
        <f t="shared" si="0"/>
        <v>4.9185005993034624E-2</v>
      </c>
    </row>
    <row r="18" spans="1:17" ht="33.75" customHeight="1" x14ac:dyDescent="0.25">
      <c r="A18" s="11" t="s">
        <v>32</v>
      </c>
      <c r="B18" s="3">
        <f>IFERROR((((B16/B6)^(1/10))-1),"-")</f>
        <v>5.7630889629307847E-2</v>
      </c>
      <c r="C18" s="3">
        <f t="shared" ref="C18:Q18" si="1">IFERROR((((C16/C6)^(1/10))-1),"-")</f>
        <v>6.7384420266586309E-2</v>
      </c>
      <c r="D18" s="3">
        <f t="shared" si="1"/>
        <v>6.1134295821472007E-2</v>
      </c>
      <c r="E18" s="3">
        <f t="shared" si="1"/>
        <v>6.927170333924515E-2</v>
      </c>
      <c r="F18" s="3">
        <f t="shared" si="1"/>
        <v>7.427097254110393E-2</v>
      </c>
      <c r="G18" s="3">
        <f t="shared" si="1"/>
        <v>6.9001983528383271E-2</v>
      </c>
      <c r="H18" s="3">
        <f t="shared" si="1"/>
        <v>4.9288860955427616E-3</v>
      </c>
      <c r="I18" s="3">
        <f t="shared" si="1"/>
        <v>1.6276855099419452E-2</v>
      </c>
      <c r="J18" s="3">
        <f t="shared" si="1"/>
        <v>-5.9049794253043242E-2</v>
      </c>
      <c r="K18" s="3">
        <f t="shared" si="1"/>
        <v>1.532358588704219E-2</v>
      </c>
      <c r="L18" s="3">
        <f t="shared" si="1"/>
        <v>8.053943717519485E-2</v>
      </c>
      <c r="M18" s="3">
        <f t="shared" si="1"/>
        <v>1.3504253029377633E-2</v>
      </c>
      <c r="N18" s="3">
        <f t="shared" si="1"/>
        <v>-4.967072516297566E-2</v>
      </c>
      <c r="O18" s="3">
        <f t="shared" si="1"/>
        <v>7.0194123592457691E-2</v>
      </c>
      <c r="P18" s="3">
        <f t="shared" si="1"/>
        <v>5.6865139504398421E-2</v>
      </c>
      <c r="Q18" s="3">
        <f t="shared" si="1"/>
        <v>1.2611811658685079E-2</v>
      </c>
    </row>
    <row r="19" spans="1:17" x14ac:dyDescent="0.25">
      <c r="A19" s="20" t="s">
        <v>23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ht="22.5" customHeight="1" x14ac:dyDescent="0.25">
      <c r="A20" s="16" t="s">
        <v>37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17" ht="18.75" customHeight="1" x14ac:dyDescent="0.25">
      <c r="A21" s="13" t="s">
        <v>28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5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A20:Q20"/>
    <mergeCell ref="P4:P5"/>
    <mergeCell ref="Q4:Q5"/>
    <mergeCell ref="A19:Q19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" right="0.7" top="0.75" bottom="0.75" header="0.3" footer="0.3"/>
  <pageSetup paperSize="9" scale="76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2021-08-27T22:40:16Z</cp:lastPrinted>
  <dcterms:created xsi:type="dcterms:W3CDTF">2018-10-29T04:00:15Z</dcterms:created>
  <dcterms:modified xsi:type="dcterms:W3CDTF">2025-11-20T07:24:15Z</dcterms:modified>
</cp:coreProperties>
</file>