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1" r:id="rId1"/>
  </sheets>
  <definedNames>
    <definedName name="_xlnm.Print_Area" localSheetId="0">'air india'!$A$1:$G$20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D16" i="1"/>
  <c r="G15" i="1" l="1"/>
  <c r="D15" i="1"/>
  <c r="G14" i="1" l="1"/>
  <c r="D14" i="1"/>
  <c r="G13" i="1"/>
  <c r="D13" i="1"/>
  <c r="D6" i="1" l="1"/>
  <c r="D7" i="1"/>
  <c r="D8" i="1"/>
  <c r="D9" i="1"/>
  <c r="D10" i="1"/>
  <c r="D11" i="1"/>
  <c r="D12" i="1"/>
  <c r="G10" i="1"/>
  <c r="G11" i="1"/>
  <c r="G12" i="1"/>
  <c r="G6" i="1"/>
  <c r="G7" i="1"/>
  <c r="G8" i="1"/>
  <c r="G9" i="1"/>
</calcChain>
</file>

<file path=xl/sharedStrings.xml><?xml version="1.0" encoding="utf-8"?>
<sst xmlns="http://schemas.openxmlformats.org/spreadsheetml/2006/main" count="27" uniqueCount="24">
  <si>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</si>
  <si>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</si>
  <si>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</si>
  <si>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</si>
  <si>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</si>
  <si>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</si>
  <si>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</si>
  <si>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</si>
  <si>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</si>
  <si>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</si>
  <si>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 xml:space="preserve">   INTERNATIONAL TRAFFIC CARRIED TO AND FROM INDIA ON SCHEDULED SERVICES OF AIR INDIA FOR LAST TEN YEARS</t>
  </si>
  <si>
    <t>2022-23</t>
  </si>
  <si>
    <t>TABLE - 1.08 AIR INDIA</t>
  </si>
  <si>
    <t>2023-24</t>
  </si>
  <si>
    <t>2019-20</t>
  </si>
  <si>
    <t>2024-25</t>
  </si>
  <si>
    <t>Note 3-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</si>
  <si>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(3) </t>
    </r>
    <r>
      <rPr>
        <b/>
        <sz val="11"/>
        <rFont val="Calibri"/>
        <family val="2"/>
        <scheme val="minor"/>
      </rPr>
      <t>(National)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</si>
  <si>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(3)</t>
    </r>
    <r>
      <rPr>
        <b/>
        <sz val="11"/>
        <rFont val="Calibri"/>
        <family val="2"/>
        <scheme val="minor"/>
      </rPr>
      <t xml:space="preserve"> (Private)</t>
    </r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</si>
  <si>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(3)</t>
    </r>
  </si>
  <si>
    <t>Note 1-This table does not include the passengers and freight carried by AIR INDIA entirely outside the Indian territory.</t>
  </si>
  <si>
    <t>Note 2-Financial year 2021-2022(National)  includes data of  Air India  upto January only  due to disinvestiment on 27-01-2022.</t>
  </si>
  <si>
    <t>SOURCE : UPLIFT &amp; DISCHARGE STATISTICS FURNISHED BY AIR INDIA</t>
  </si>
  <si>
    <t xml:space="preserve"> तालिका  - 1.08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</si>
</sst>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164" fontId="5" fillId="2" borderId="1" xfId="2" applyNumberFormat="1" applyFont="1" applyFill="1" applyBorder="1" applyAlignment="1" applyProtection="1">
      <alignment horizontal="center" vertical="center" wrapText="1"/>
    </xf>
    <xf numFmtId="164" fontId="0" fillId="0" borderId="1" xfId="2" applyNumberFormat="1" applyFont="1" applyBorder="1" applyAlignment="1">
      <alignment vertical="center"/>
    </xf>
    <xf numFmtId="165" fontId="5" fillId="2" borderId="1" xfId="2" applyNumberFormat="1" applyFont="1" applyFill="1" applyBorder="1" applyAlignment="1" applyProtection="1">
      <alignment horizontal="center" vertical="center" wrapText="1"/>
    </xf>
    <xf numFmtId="165" fontId="0" fillId="0" borderId="1" xfId="2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1" quotePrefix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/>
    </xf>
  </cellXfs>
  <cellStyles count="3">
    <cellStyle name="Comma" xfId="2" builtinId="3"/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G20"/>
  <sheetViews>
    <sheetView tabSelected="1" view="pageBreakPreview" zoomScale="130" zoomScaleNormal="115" zoomScaleSheetLayoutView="130" workbookViewId="0">
      <selection activeCell="A3" sqref="A3:G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2" t="s">
        <v>23</v>
      </c>
      <c r="B1" s="13"/>
      <c r="C1" s="13"/>
      <c r="D1" s="13"/>
      <c r="E1" s="13"/>
      <c r="F1" s="13"/>
      <c r="G1" s="13"/>
    </row>
    <row r="2" spans="1:7" ht="26.25" customHeight="1">
      <c r="A2" s="14" t="s">
        <v>12</v>
      </c>
      <c r="B2" s="15"/>
      <c r="C2" s="15"/>
      <c r="D2" s="15"/>
      <c r="E2" s="15"/>
      <c r="F2" s="15"/>
      <c r="G2" s="15"/>
    </row>
    <row r="3" spans="1:7" ht="31.5" customHeight="1">
      <c r="A3" s="16" t="s">
        <v>10</v>
      </c>
      <c r="B3" s="16"/>
      <c r="C3" s="16"/>
      <c r="D3" s="16"/>
      <c r="E3" s="16"/>
      <c r="F3" s="16"/>
      <c r="G3" s="16"/>
    </row>
    <row r="4" spans="1:7" ht="27" customHeight="1">
      <c r="A4" s="17" t="s">
        <v>0</v>
      </c>
      <c r="B4" s="17" t="s">
        <v>1</v>
      </c>
      <c r="C4" s="17"/>
      <c r="D4" s="17"/>
      <c r="E4" s="17" t="s">
        <v>2</v>
      </c>
      <c r="F4" s="17"/>
      <c r="G4" s="17"/>
    </row>
    <row r="5" spans="1:7" ht="22.5" customHeight="1">
      <c r="A5" s="17"/>
      <c r="B5" s="2" t="s">
        <v>3</v>
      </c>
      <c r="C5" s="2" t="s">
        <v>4</v>
      </c>
      <c r="D5" s="2" t="s">
        <v>5</v>
      </c>
      <c r="E5" s="2" t="s">
        <v>3</v>
      </c>
      <c r="F5" s="2" t="s">
        <v>4</v>
      </c>
      <c r="G5" s="2" t="s">
        <v>5</v>
      </c>
    </row>
    <row r="6" spans="1:7" ht="26.25" customHeight="1">
      <c r="A6" s="1" t="s">
        <v>6</v>
      </c>
      <c r="B6" s="5">
        <v>2813409</v>
      </c>
      <c r="C6" s="5">
        <v>2850129</v>
      </c>
      <c r="D6" s="5">
        <f t="shared" ref="D6:D16" si="0">SUM(B6:C6)</f>
        <v>5663538</v>
      </c>
      <c r="E6" s="3">
        <v>44218.661</v>
      </c>
      <c r="F6" s="3">
        <v>57700.356</v>
      </c>
      <c r="G6" s="3">
        <f t="shared" ref="G6:G16" si="1">SUM(E6:F6)</f>
        <v>101919.01699999999</v>
      </c>
    </row>
    <row r="7" spans="1:7" ht="26.25" customHeight="1">
      <c r="A7" s="1" t="s">
        <v>7</v>
      </c>
      <c r="B7" s="5">
        <v>2894180</v>
      </c>
      <c r="C7" s="5">
        <v>2874662</v>
      </c>
      <c r="D7" s="5">
        <f t="shared" si="0"/>
        <v>5768842</v>
      </c>
      <c r="E7" s="3">
        <v>46762.672799999942</v>
      </c>
      <c r="F7" s="3">
        <v>65525.67109999992</v>
      </c>
      <c r="G7" s="3">
        <f t="shared" si="1"/>
        <v>112288.34389999986</v>
      </c>
    </row>
    <row r="8" spans="1:7" ht="26.25" customHeight="1">
      <c r="A8" s="1" t="s">
        <v>8</v>
      </c>
      <c r="B8" s="5">
        <v>3192617</v>
      </c>
      <c r="C8" s="5">
        <v>3093539</v>
      </c>
      <c r="D8" s="5">
        <f t="shared" si="0"/>
        <v>6286156</v>
      </c>
      <c r="E8" s="3">
        <v>54866.217800000013</v>
      </c>
      <c r="F8" s="3">
        <v>72394.552699999986</v>
      </c>
      <c r="G8" s="3">
        <f t="shared" si="1"/>
        <v>127260.7705</v>
      </c>
    </row>
    <row r="9" spans="1:7" ht="26.25" customHeight="1">
      <c r="A9" s="1" t="s">
        <v>9</v>
      </c>
      <c r="B9" s="5">
        <v>3380981</v>
      </c>
      <c r="C9" s="5">
        <v>3316636</v>
      </c>
      <c r="D9" s="5">
        <f t="shared" si="0"/>
        <v>6697617</v>
      </c>
      <c r="E9" s="3">
        <v>57149.819799999983</v>
      </c>
      <c r="F9" s="3">
        <v>82252.322200000082</v>
      </c>
      <c r="G9" s="3">
        <f t="shared" si="1"/>
        <v>139402.14200000005</v>
      </c>
    </row>
    <row r="10" spans="1:7" ht="26.25" customHeight="1">
      <c r="A10" s="1" t="s">
        <v>14</v>
      </c>
      <c r="B10" s="5">
        <v>3586190</v>
      </c>
      <c r="C10" s="5">
        <v>3448271</v>
      </c>
      <c r="D10" s="5">
        <f t="shared" si="0"/>
        <v>7034461</v>
      </c>
      <c r="E10" s="3">
        <v>47120.550200000005</v>
      </c>
      <c r="F10" s="3">
        <v>82261.503500000093</v>
      </c>
      <c r="G10" s="3">
        <f t="shared" si="1"/>
        <v>129382.05370000011</v>
      </c>
    </row>
    <row r="11" spans="1:7" ht="26.25" customHeight="1">
      <c r="A11" s="1" t="s">
        <v>19</v>
      </c>
      <c r="B11" s="5">
        <v>838459</v>
      </c>
      <c r="C11" s="5">
        <v>680546</v>
      </c>
      <c r="D11" s="5">
        <f t="shared" si="0"/>
        <v>1519005</v>
      </c>
      <c r="E11" s="3">
        <v>18199.164900000003</v>
      </c>
      <c r="F11" s="3">
        <v>21179.386400000014</v>
      </c>
      <c r="G11" s="3">
        <f t="shared" si="1"/>
        <v>39378.551300000021</v>
      </c>
    </row>
    <row r="12" spans="1:7" ht="33" customHeight="1">
      <c r="A12" s="1" t="s">
        <v>17</v>
      </c>
      <c r="B12" s="5">
        <v>1100358</v>
      </c>
      <c r="C12" s="5">
        <v>1115775</v>
      </c>
      <c r="D12" s="5">
        <f t="shared" si="0"/>
        <v>2216133</v>
      </c>
      <c r="E12" s="3">
        <v>25508.148399999995</v>
      </c>
      <c r="F12" s="3">
        <v>33564.674100000011</v>
      </c>
      <c r="G12" s="3">
        <f t="shared" si="1"/>
        <v>59072.822500000009</v>
      </c>
    </row>
    <row r="13" spans="1:7" ht="30" customHeight="1">
      <c r="A13" s="1" t="s">
        <v>18</v>
      </c>
      <c r="B13" s="5">
        <v>355466</v>
      </c>
      <c r="C13" s="5">
        <v>389027</v>
      </c>
      <c r="D13" s="5">
        <f t="shared" si="0"/>
        <v>744493</v>
      </c>
      <c r="E13" s="3">
        <v>6208.3879000000015</v>
      </c>
      <c r="F13" s="3">
        <v>8690.9358999999968</v>
      </c>
      <c r="G13" s="3">
        <f t="shared" si="1"/>
        <v>14899.323799999998</v>
      </c>
    </row>
    <row r="14" spans="1:7" ht="30" customHeight="1">
      <c r="A14" s="1" t="s">
        <v>11</v>
      </c>
      <c r="B14" s="5">
        <v>3307437</v>
      </c>
      <c r="C14" s="5">
        <v>3438944</v>
      </c>
      <c r="D14" s="5">
        <f t="shared" si="0"/>
        <v>6746381</v>
      </c>
      <c r="E14" s="3">
        <v>42037.054800000034</v>
      </c>
      <c r="F14" s="3">
        <v>62404.175199999991</v>
      </c>
      <c r="G14" s="3">
        <f t="shared" si="1"/>
        <v>104441.23000000003</v>
      </c>
    </row>
    <row r="15" spans="1:7" ht="36" customHeight="1">
      <c r="A15" s="1" t="s">
        <v>13</v>
      </c>
      <c r="B15" s="5">
        <v>4236260</v>
      </c>
      <c r="C15" s="5">
        <v>4296792</v>
      </c>
      <c r="D15" s="5">
        <f t="shared" si="0"/>
        <v>8533052</v>
      </c>
      <c r="E15" s="3">
        <v>46624.039800000042</v>
      </c>
      <c r="F15" s="3">
        <v>83025.129099999933</v>
      </c>
      <c r="G15" s="3">
        <f t="shared" si="1"/>
        <v>129649.16889999998</v>
      </c>
    </row>
    <row r="16" spans="1:7" ht="26.25" customHeight="1">
      <c r="A16" s="1" t="s">
        <v>15</v>
      </c>
      <c r="B16" s="6">
        <v>4944891</v>
      </c>
      <c r="C16" s="6">
        <v>4920818</v>
      </c>
      <c r="D16" s="5">
        <f t="shared" si="0"/>
        <v>9865709</v>
      </c>
      <c r="E16" s="4">
        <v>65887.400299999994</v>
      </c>
      <c r="F16" s="4">
        <v>98430.81409999993</v>
      </c>
      <c r="G16" s="3">
        <f t="shared" si="1"/>
        <v>164318.21439999994</v>
      </c>
    </row>
    <row r="17" spans="1:7" ht="15" customHeight="1">
      <c r="A17" s="8" t="s">
        <v>22</v>
      </c>
      <c r="B17" s="8"/>
      <c r="C17" s="8"/>
      <c r="D17" s="8"/>
      <c r="E17" s="8"/>
      <c r="F17" s="8"/>
      <c r="G17" s="8"/>
    </row>
    <row r="18" spans="1:7" ht="15" customHeight="1">
      <c r="A18" s="9" t="s">
        <v>20</v>
      </c>
      <c r="B18" s="10"/>
      <c r="C18" s="10"/>
      <c r="D18" s="10"/>
      <c r="E18" s="10"/>
      <c r="F18" s="10"/>
      <c r="G18" s="11"/>
    </row>
    <row r="19" spans="1:7" ht="20.25" customHeight="1">
      <c r="A19" s="9" t="s">
        <v>21</v>
      </c>
      <c r="B19" s="10"/>
      <c r="C19" s="10"/>
      <c r="D19" s="10"/>
      <c r="E19" s="10"/>
      <c r="F19" s="10"/>
      <c r="G19" s="11"/>
    </row>
    <row r="20" spans="1:7" ht="46.5" customHeight="1">
      <c r="A20" s="7" t="s">
        <v>16</v>
      </c>
      <c r="B20" s="7"/>
      <c r="C20" s="7"/>
      <c r="D20" s="7"/>
      <c r="E20" s="7"/>
      <c r="F20" s="7"/>
      <c r="G20" s="7"/>
    </row>
  </sheetData>
  <mergeCells count="10">
    <mergeCell ref="A20:G20"/>
    <mergeCell ref="A17:G17"/>
    <mergeCell ref="A18:G18"/>
    <mergeCell ref="A1:G1"/>
    <mergeCell ref="A2:G2"/>
    <mergeCell ref="A3:G3"/>
    <mergeCell ref="A4:A5"/>
    <mergeCell ref="B4:D4"/>
    <mergeCell ref="E4:G4"/>
    <mergeCell ref="A19:G19"/>
  </mergeCells>
  <pageMargins left="0.7" right="0.7" top="0.75" bottom="0.75" header="0.3" footer="0.3"/>
  <pageSetup paperSize="9" scale="9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2025-11-24T07:34:03Z</cp:lastPrinted>
  <dcterms:created xsi:type="dcterms:W3CDTF">2018-10-26T09:31:13Z</dcterms:created>
  <dcterms:modified xsi:type="dcterms:W3CDTF">2025-11-24T07:34:27Z</dcterms:modified>
</cp:coreProperties>
</file>