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FLY91\"/>
    </mc:Choice>
  </mc:AlternateContent>
  <bookViews>
    <workbookView xWindow="0" yWindow="0" windowWidth="24000" windowHeight="9435"/>
  </bookViews>
  <sheets>
    <sheet name="FLY 9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C18" i="1"/>
  <c r="D18" i="1"/>
  <c r="E18" i="1"/>
  <c r="F18" i="1"/>
  <c r="H18" i="1" s="1"/>
  <c r="G18" i="1"/>
  <c r="I18" i="1"/>
  <c r="J18" i="1"/>
  <c r="K18" i="1"/>
  <c r="L18" i="1"/>
  <c r="M18" i="1"/>
  <c r="N18" i="1"/>
  <c r="O18" i="1"/>
  <c r="P18" i="1"/>
  <c r="Q18" i="1" l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<sst xmlns="http://schemas.openxmlformats.org/spreadsheetml/2006/main" count="26" uniqueCount="24">
  <si>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</si>
  <si>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</si>
  <si>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</si>
  <si>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</si>
  <si>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</si>
  <si>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</si>
  <si>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</si>
  <si>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</si>
  <si>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</si>
  <si>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</si>
  <si>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</si>
  <si>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</si>
  <si>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</si>
  <si>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</si>
  <si>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</si>
  <si>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</si>
  <si>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</si>
  <si>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</si>
  <si>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</si>
  <si>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Table 1.02 (FLY 91)</t>
  </si>
  <si>
    <t>SOURCE:-  ICAO ATR FORM 'A' FURNISHED BY FLY 91</t>
  </si>
  <si>
    <t xml:space="preserve">तालिका - 1.02 (फ्लाई 91 ) </t>
  </si>
  <si>
    <t>MONTHLY TRAFFIC AND OPERATING STATISTICS OF FLY 91 ON SCHEDULED INTERNATIONAL SERVICES DURING 2024-25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</si>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</sst>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.0_);_(* \(#,##0.0\);_(* &quot;-&quot;??_);_(@_)"/>
    <numFmt numFmtId="166" formatCode="[$-409]mmm/yy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9">
    <xf numFmtId="0" fontId="0" fillId="0" borderId="0" xfId="0"/>
    <xf numFmtId="165" fontId="1" fillId="3" borderId="1" xfId="3" applyNumberFormat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165" fontId="2" fillId="3" borderId="1" xfId="3" applyNumberFormat="1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6" fontId="0" fillId="3" borderId="1" xfId="3" applyNumberFormat="1" applyFont="1" applyBorder="1" applyAlignment="1" applyProtection="1">
      <alignment horizontal="center" vertical="center" wrapText="1"/>
    </xf>
    <xf numFmtId="166" fontId="1" fillId="5" borderId="1" xfId="3" applyNumberForma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  <xf numFmtId="167" fontId="1" fillId="3" borderId="1" xfId="3" applyNumberFormat="1" applyBorder="1" applyAlignment="1">
      <alignment horizontal="center" vertical="center"/>
    </xf>
    <xf numFmtId="167" fontId="5" fillId="0" borderId="1" xfId="1" applyNumberFormat="1" applyFont="1" applyFill="1" applyBorder="1" applyAlignment="1">
      <alignment horizontal="center" vertical="center"/>
    </xf>
    <xf numFmtId="167" fontId="2" fillId="3" borderId="1" xfId="3" applyNumberFormat="1" applyFont="1" applyBorder="1" applyAlignment="1" applyProtection="1">
      <alignment horizontal="center" vertical="center" wrapText="1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="130" zoomScaleNormal="100" zoomScaleSheetLayoutView="130" workbookViewId="0">
      <selection activeCell="H16" sqref="H16"/>
    </sheetView>
  </sheetViews>
  <sheetFormatPr defaultRowHeight="15" x14ac:dyDescent="0.25"/>
  <cols>
    <col min="1" max="1" width="13.7109375" bestFit="1" customWidth="1"/>
    <col min="2" max="2" width="8.42578125" customWidth="1"/>
    <col min="3" max="3" width="8.7109375" customWidth="1"/>
    <col min="4" max="4" width="9" customWidth="1"/>
    <col min="5" max="5" width="11.140625" customWidth="1"/>
    <col min="6" max="17" width="7.42578125" customWidth="1"/>
  </cols>
  <sheetData>
    <row r="1" spans="1:17" ht="19.149999999999999" customHeight="1" x14ac:dyDescent="0.25">
      <c r="A1" s="11" t="s">
        <v>21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9.149999999999999" customHeight="1" x14ac:dyDescent="0.25">
      <c r="A2" s="12" t="s">
        <v>19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19.149999999999999" customHeight="1" x14ac:dyDescent="0.25">
      <c r="A3" s="14" t="s">
        <v>22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ht="38.450000000000003" customHeight="1" x14ac:dyDescent="0.25">
      <c r="A4" s="14" t="s">
        <v>0</v>
      </c>
      <c r="B4" s="14" t="s">
        <v>1</v>
      </c>
      <c r="C4" s="14"/>
      <c r="D4" s="14"/>
      <c r="E4" s="14" t="s">
        <v>2</v>
      </c>
      <c r="F4" s="15"/>
      <c r="G4" s="8" t="s">
        <v>3</v>
      </c>
      <c r="H4" s="8" t="s">
        <v>4</v>
      </c>
      <c r="I4" s="14" t="s">
        <v>5</v>
      </c>
      <c r="J4" s="14"/>
      <c r="K4" s="14"/>
      <c r="L4" s="14" t="s">
        <v>6</v>
      </c>
      <c r="M4" s="14"/>
      <c r="N4" s="14"/>
      <c r="O4" s="14"/>
      <c r="P4" s="8" t="s">
        <v>7</v>
      </c>
      <c r="Q4" s="8" t="s">
        <v>8</v>
      </c>
    </row>
    <row r="5" spans="1:17" ht="98.45" customHeight="1" x14ac:dyDescent="0.25">
      <c r="A5" s="14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9"/>
      <c r="H5" s="9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9"/>
      <c r="Q5" s="9"/>
    </row>
    <row r="6" spans="1:17" ht="19.149999999999999" customHeight="1" x14ac:dyDescent="0.25">
      <c r="A6" s="6">
        <v>45383</v>
      </c>
      <c r="B6" s="16"/>
      <c r="C6" s="16"/>
      <c r="D6" s="16"/>
      <c r="E6" s="1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9.149999999999999" customHeight="1" x14ac:dyDescent="0.25">
      <c r="A7" s="7">
        <v>45413</v>
      </c>
      <c r="B7" s="17"/>
      <c r="C7" s="17"/>
      <c r="D7" s="17"/>
      <c r="E7" s="1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9.149999999999999" customHeight="1" x14ac:dyDescent="0.25">
      <c r="A8" s="6">
        <v>45444</v>
      </c>
      <c r="B8" s="16"/>
      <c r="C8" s="16"/>
      <c r="D8" s="16"/>
      <c r="E8" s="1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9.149999999999999" customHeight="1" x14ac:dyDescent="0.25">
      <c r="A9" s="7">
        <v>45474</v>
      </c>
      <c r="B9" s="17"/>
      <c r="C9" s="17"/>
      <c r="D9" s="17"/>
      <c r="E9" s="1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9.149999999999999" customHeight="1" x14ac:dyDescent="0.25">
      <c r="A10" s="6">
        <v>45505</v>
      </c>
      <c r="B10" s="16"/>
      <c r="C10" s="16"/>
      <c r="D10" s="16"/>
      <c r="E10" s="1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9.149999999999999" customHeight="1" x14ac:dyDescent="0.25">
      <c r="A11" s="7">
        <v>45536</v>
      </c>
      <c r="B11" s="17"/>
      <c r="C11" s="17"/>
      <c r="D11" s="17"/>
      <c r="E11" s="1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9.149999999999999" customHeight="1" x14ac:dyDescent="0.25">
      <c r="A12" s="6">
        <v>45566</v>
      </c>
      <c r="B12" s="16"/>
      <c r="C12" s="16"/>
      <c r="D12" s="16"/>
      <c r="E12" s="1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9.149999999999999" customHeight="1" x14ac:dyDescent="0.25">
      <c r="A13" s="7">
        <v>45597</v>
      </c>
      <c r="B13" s="17"/>
      <c r="C13" s="17"/>
      <c r="D13" s="17"/>
      <c r="E13" s="1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9.149999999999999" customHeight="1" x14ac:dyDescent="0.25">
      <c r="A14" s="6">
        <v>45627</v>
      </c>
      <c r="B14" s="16"/>
      <c r="C14" s="16"/>
      <c r="D14" s="16"/>
      <c r="E14" s="1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9.149999999999999" customHeight="1" x14ac:dyDescent="0.25">
      <c r="A15" s="7">
        <v>45658</v>
      </c>
      <c r="B15" s="17"/>
      <c r="C15" s="17"/>
      <c r="D15" s="17"/>
      <c r="E15" s="1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19.149999999999999" customHeight="1" x14ac:dyDescent="0.25">
      <c r="A16" s="6">
        <v>45689</v>
      </c>
      <c r="B16" s="16"/>
      <c r="C16" s="16"/>
      <c r="D16" s="16"/>
      <c r="E16" s="1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9.149999999999999" customHeight="1" x14ac:dyDescent="0.25">
      <c r="A17" s="7">
        <v>45717</v>
      </c>
      <c r="B17" s="17"/>
      <c r="C17" s="17"/>
      <c r="D17" s="17"/>
      <c r="E17" s="1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9.149999999999999" customHeight="1" x14ac:dyDescent="0.25">
      <c r="A18" s="3" t="s">
        <v>23</v>
      </c>
      <c r="B18" s="18">
        <f t="shared" ref="B18:I18" si="0">SUM(B6:B17)</f>
        <v>0</v>
      </c>
      <c r="C18" s="18">
        <f t="shared" si="0"/>
        <v>0</v>
      </c>
      <c r="D18" s="18">
        <f t="shared" si="0"/>
        <v>0</v>
      </c>
      <c r="E18" s="18">
        <f t="shared" si="0"/>
        <v>0</v>
      </c>
      <c r="F18" s="4">
        <f t="shared" si="0"/>
        <v>0</v>
      </c>
      <c r="G18" s="4">
        <f t="shared" si="0"/>
        <v>0</v>
      </c>
      <c r="H18" s="4" t="e">
        <f>F18/G18*100</f>
        <v>#DIV/0!</v>
      </c>
      <c r="I18" s="4">
        <f t="shared" si="0"/>
        <v>0</v>
      </c>
      <c r="J18" s="4">
        <f>SUM(J6:J17)</f>
        <v>0</v>
      </c>
      <c r="K18" s="4">
        <f t="shared" ref="K18:Q18" si="1">SUM(K6:K17)</f>
        <v>0</v>
      </c>
      <c r="L18" s="4">
        <f t="shared" si="1"/>
        <v>0</v>
      </c>
      <c r="M18" s="4">
        <f t="shared" si="1"/>
        <v>0</v>
      </c>
      <c r="N18" s="4">
        <f t="shared" si="1"/>
        <v>0</v>
      </c>
      <c r="O18" s="4">
        <f t="shared" si="1"/>
        <v>0</v>
      </c>
      <c r="P18" s="4">
        <f t="shared" si="1"/>
        <v>0</v>
      </c>
      <c r="Q18" s="4" t="e">
        <f>O18/P18*100</f>
        <v>#DIV/0!</v>
      </c>
    </row>
    <row r="19" spans="1:17" ht="19.149999999999999" customHeight="1" x14ac:dyDescent="0.25">
      <c r="A19" s="10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 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2022-04-26T05:16:35Z</cp:lastPrinted>
  <dcterms:created xsi:type="dcterms:W3CDTF">2020-05-22T09:03:33Z</dcterms:created>
  <dcterms:modified xsi:type="dcterms:W3CDTF">2025-11-10T10:33:19Z</dcterms:modified>
</cp:coreProperties>
</file>