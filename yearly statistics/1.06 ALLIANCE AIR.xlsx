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raft Annual Report 2024-25\01 Airline Wise Air Transport Operating and Traffic Statistics\ALLIANCE AIR (NATIONAL)\"/>
    </mc:Choice>
  </mc:AlternateContent>
  <bookViews>
    <workbookView xWindow="0" yWindow="0" windowWidth="24000" windowHeight="10725"/>
  </bookViews>
  <sheets>
    <sheet name="Alliance Air" sheetId="1" r:id="rId1"/>
  </sheets>
  <definedNames>
    <definedName name="_xlnm.Print_Area" localSheetId="0">'Alliance Air'!$A$1:$Q$21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1" l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C17" i="1"/>
  <c r="B18" i="1"/>
  <c r="B17" i="1"/>
</calcChain>
</file>

<file path=xl/sharedStrings.xml><?xml version="1.0" encoding="utf-8"?>
<sst xmlns="http://schemas.openxmlformats.org/spreadsheetml/2006/main" count="40" uniqueCount="38">
  <si>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</si>
  <si>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</si>
  <si>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</si>
  <si>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</si>
  <si>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</si>
  <si>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</si>
  <si>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</si>
  <si>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</si>
  <si>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</si>
  <si>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</si>
  <si>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</si>
  <si>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</si>
  <si>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</si>
  <si>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</si>
  <si>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</si>
  <si>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</si>
  <si>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</si>
  <si>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</si>
  <si>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</si>
  <si>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2014-15</t>
  </si>
  <si>
    <t>2015-16</t>
  </si>
  <si>
    <t>2016-17</t>
  </si>
  <si>
    <t>2017-18</t>
  </si>
  <si>
    <t>2018-19</t>
  </si>
  <si>
    <t xml:space="preserve"> तालिका- 1.06 (एलाइंस एयर) </t>
  </si>
  <si>
    <t>TABLE - 1.06 (ALLIANCE AIR)</t>
  </si>
  <si>
    <t>SOURCE: ICAO ATR FORM 'A' FURNISHED BY ALLIANCE AIR</t>
  </si>
  <si>
    <t>2019-20</t>
  </si>
  <si>
    <t xml:space="preserve">YEAR ON YEAR GROWTH AND CAGR FOR LAST TEN YEARS OF  ALLIANCE AIR ON TOTAL (DOMESTIC + INTERNATIONAL) SCHEDULED SERVICES (ALL AIR TRAFFIC AND OPERATING STATISTICS)
</t>
  </si>
  <si>
    <t>2020-21*</t>
  </si>
  <si>
    <t>* DENOTES that THE INTERNATIONAL OPERATIONS BY SCHEDULED INDIAN OPERATORS WERE CARRIED AS PER DGCA’S CIRCULAR DATED 26.03.2020 UNDER COVID-19 RESTRICTION.</t>
  </si>
  <si>
    <t>2022-23</t>
  </si>
  <si>
    <t>2023-24</t>
  </si>
  <si>
    <t>YOY growth</t>
  </si>
  <si>
    <t>CAGR last 10 years</t>
  </si>
  <si>
    <t>2021-22*</t>
  </si>
  <si>
    <t>2024-25</t>
  </si>
  <si>
    <t>Note: Growth has been calculated with respect to preceeding year while Compound Annual Growth Rate (CAGR) has been calculating taking 2014-15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</si>
</sst>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0.0%"/>
    <numFmt numFmtId="166" formatCode="_(* #,##0_);_(* \(#,##0\);_(* &quot;-&quot;??_);_(@_)"/>
    <numFmt numFmtId="167" formatCode="_(* #,##0.0_);_(* \(#,##0.0\);_(* &quot;-&quot;??_);_(@_)"/>
    <numFmt numFmtId="168" formatCode="B1mmmm/yy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164" fontId="4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Font="1"/>
    <xf numFmtId="0" fontId="4" fillId="4" borderId="1" xfId="3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5" fontId="3" fillId="2" borderId="1" xfId="1" applyNumberFormat="1" applyFont="1" applyFill="1" applyBorder="1" applyAlignment="1" applyProtection="1">
      <alignment horizontal="right" vertical="center" wrapText="1"/>
    </xf>
    <xf numFmtId="0" fontId="3" fillId="3" borderId="1" xfId="2" applyFont="1" applyBorder="1" applyAlignment="1" applyProtection="1">
      <alignment horizontal="center" vertical="center" textRotation="90" wrapText="1"/>
    </xf>
    <xf numFmtId="165" fontId="4" fillId="4" borderId="1" xfId="3" applyNumberFormat="1" applyBorder="1" applyAlignment="1" applyProtection="1">
      <alignment horizontal="right" vertical="center" wrapText="1"/>
    </xf>
    <xf numFmtId="168" fontId="4" fillId="5" borderId="1" xfId="4" applyNumberFormat="1" applyBorder="1" applyAlignment="1" applyProtection="1">
      <alignment horizontal="center" vertical="center" wrapText="1"/>
    </xf>
    <xf numFmtId="166" fontId="4" fillId="5" borderId="1" xfId="4" applyNumberFormat="1" applyBorder="1" applyAlignment="1">
      <alignment horizontal="center" vertical="center"/>
    </xf>
    <xf numFmtId="167" fontId="4" fillId="5" borderId="1" xfId="4" applyNumberFormat="1" applyBorder="1" applyAlignment="1">
      <alignment horizontal="center" vertical="center"/>
    </xf>
    <xf numFmtId="164" fontId="4" fillId="5" borderId="1" xfId="4" applyNumberFormat="1" applyBorder="1" applyAlignment="1">
      <alignment horizontal="center" vertical="center"/>
    </xf>
    <xf numFmtId="168" fontId="4" fillId="6" borderId="1" xfId="4" applyNumberFormat="1" applyFill="1" applyBorder="1" applyAlignment="1" applyProtection="1">
      <alignment horizontal="center" vertical="center" wrapText="1"/>
    </xf>
    <xf numFmtId="166" fontId="0" fillId="0" borderId="1" xfId="5" applyNumberFormat="1" applyFont="1" applyBorder="1" applyAlignment="1">
      <alignment horizontal="center" vertical="center"/>
    </xf>
    <xf numFmtId="167" fontId="0" fillId="0" borderId="1" xfId="5" applyNumberFormat="1" applyFont="1" applyBorder="1" applyAlignment="1">
      <alignment horizontal="center" vertical="center"/>
    </xf>
    <xf numFmtId="164" fontId="0" fillId="0" borderId="1" xfId="5" applyNumberFormat="1" applyFont="1" applyBorder="1" applyAlignment="1">
      <alignment horizontal="center" vertical="center"/>
    </xf>
    <xf numFmtId="168" fontId="0" fillId="5" borderId="1" xfId="4" applyNumberFormat="1" applyFont="1" applyBorder="1" applyAlignment="1" applyProtection="1">
      <alignment horizontal="center" vertical="center" wrapText="1"/>
    </xf>
    <xf numFmtId="0" fontId="3" fillId="5" borderId="1" xfId="4" applyFont="1" applyBorder="1" applyAlignment="1">
      <alignment horizontal="center" vertical="center" wrapText="1"/>
    </xf>
    <xf numFmtId="0" fontId="3" fillId="5" borderId="1" xfId="4" quotePrefix="1" applyFont="1" applyBorder="1" applyAlignment="1" applyProtection="1">
      <alignment horizontal="center" vertical="center" wrapText="1"/>
    </xf>
    <xf numFmtId="0" fontId="3" fillId="5" borderId="1" xfId="4" applyFont="1" applyBorder="1"/>
    <xf numFmtId="0" fontId="3" fillId="3" borderId="1" xfId="2" applyFont="1" applyBorder="1" applyAlignment="1" applyProtection="1">
      <alignment horizontal="center" vertical="top" wrapText="1"/>
    </xf>
    <xf numFmtId="0" fontId="3" fillId="3" borderId="1" xfId="2" applyFont="1" applyBorder="1" applyAlignment="1">
      <alignment vertical="top"/>
    </xf>
    <xf numFmtId="0" fontId="3" fillId="3" borderId="1" xfId="2" applyFont="1" applyBorder="1" applyAlignment="1" applyProtection="1">
      <alignment horizontal="center" vertical="center" wrapText="1"/>
    </xf>
    <xf numFmtId="0" fontId="3" fillId="3" borderId="1" xfId="2" applyFont="1" applyBorder="1"/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>
      <alignment textRotation="90"/>
    </xf>
    <xf numFmtId="0" fontId="1" fillId="0" borderId="1" xfId="0" applyFont="1" applyBorder="1" applyAlignment="1">
      <alignment horizontal="left" wrapText="1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</cellXfs>
  <cellStyles count="6">
    <cellStyle name="20% - Accent1" xfId="3" builtinId="30"/>
    <cellStyle name="40% - Accent1" xfId="4" builtinId="31"/>
    <cellStyle name="Accent1" xfId="2" builtinId="29"/>
    <cellStyle name="Comma" xfId="5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21"/>
  <sheetViews>
    <sheetView tabSelected="1" view="pageBreakPreview" topLeftCell="E4" zoomScaleNormal="100" zoomScaleSheetLayoutView="100" workbookViewId="0">
      <selection activeCell="P27" sqref="P27"/>
    </sheetView>
  </sheetViews>
  <sheetFormatPr defaultColWidth="9.140625" defaultRowHeight="15" x14ac:dyDescent="0.25"/>
  <cols>
    <col min="1" max="1" width="13.140625" style="1" customWidth="1"/>
    <col min="2" max="2" width="9.42578125" style="1" customWidth="1"/>
    <col min="3" max="3" width="9.7109375" style="1" customWidth="1"/>
    <col min="4" max="4" width="12.7109375" style="1" bestFit="1" customWidth="1"/>
    <col min="5" max="5" width="12.28515625" style="1" customWidth="1"/>
    <col min="6" max="6" width="10" style="1" customWidth="1"/>
    <col min="7" max="7" width="9.7109375" style="1" customWidth="1"/>
    <col min="8" max="8" width="6.85546875" style="1" customWidth="1"/>
    <col min="9" max="9" width="10.5703125" style="1" customWidth="1"/>
    <col min="10" max="10" width="10" style="1" customWidth="1"/>
    <col min="11" max="11" width="10.85546875" style="1" customWidth="1"/>
    <col min="12" max="12" width="10" style="1" customWidth="1"/>
    <col min="13" max="13" width="9.5703125" style="1" customWidth="1"/>
    <col min="14" max="14" width="7.7109375" style="1" customWidth="1"/>
    <col min="15" max="15" width="10.140625" style="1" customWidth="1"/>
    <col min="16" max="16" width="10" style="1" customWidth="1"/>
    <col min="17" max="17" width="7.42578125" style="1" customWidth="1"/>
    <col min="18" max="16384" width="9.140625" style="1"/>
  </cols>
  <sheetData>
    <row r="1" spans="1:17" x14ac:dyDescent="0.25">
      <c r="A1" s="16" t="s">
        <v>24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x14ac:dyDescent="0.25">
      <c r="A2" s="17" t="s">
        <v>25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x14ac:dyDescent="0.25">
      <c r="A3" s="19" t="s">
        <v>28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17" x14ac:dyDescent="0.25">
      <c r="A4" s="21" t="s">
        <v>0</v>
      </c>
      <c r="B4" s="21" t="s">
        <v>1</v>
      </c>
      <c r="C4" s="21"/>
      <c r="D4" s="21"/>
      <c r="E4" s="21" t="s">
        <v>2</v>
      </c>
      <c r="F4" s="22"/>
      <c r="G4" s="23" t="s">
        <v>3</v>
      </c>
      <c r="H4" s="23" t="s">
        <v>4</v>
      </c>
      <c r="I4" s="21" t="s">
        <v>5</v>
      </c>
      <c r="J4" s="21"/>
      <c r="K4" s="21"/>
      <c r="L4" s="21" t="s">
        <v>6</v>
      </c>
      <c r="M4" s="21"/>
      <c r="N4" s="21"/>
      <c r="O4" s="21"/>
      <c r="P4" s="23" t="s">
        <v>7</v>
      </c>
      <c r="Q4" s="23" t="s">
        <v>8</v>
      </c>
    </row>
    <row r="5" spans="1:17" ht="88.5" x14ac:dyDescent="0.25">
      <c r="A5" s="21"/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24"/>
      <c r="H5" s="24"/>
      <c r="I5" s="5" t="s">
        <v>14</v>
      </c>
      <c r="J5" s="5" t="s">
        <v>15</v>
      </c>
      <c r="K5" s="5" t="s">
        <v>16</v>
      </c>
      <c r="L5" s="5" t="s">
        <v>17</v>
      </c>
      <c r="M5" s="5" t="s">
        <v>18</v>
      </c>
      <c r="N5" s="5" t="s">
        <v>15</v>
      </c>
      <c r="O5" s="5" t="s">
        <v>16</v>
      </c>
      <c r="P5" s="24"/>
      <c r="Q5" s="24"/>
    </row>
    <row r="6" spans="1:17" x14ac:dyDescent="0.25">
      <c r="A6" s="7" t="s">
        <v>19</v>
      </c>
      <c r="B6" s="8">
        <v>9059</v>
      </c>
      <c r="C6" s="8">
        <v>13164</v>
      </c>
      <c r="D6" s="8">
        <v>5519</v>
      </c>
      <c r="E6" s="8">
        <v>310492</v>
      </c>
      <c r="F6" s="9">
        <v>197.91499999999999</v>
      </c>
      <c r="G6" s="9">
        <v>289.61399999999998</v>
      </c>
      <c r="H6" s="9">
        <v>68.337511308155001</v>
      </c>
      <c r="I6" s="9">
        <v>168</v>
      </c>
      <c r="J6" s="9">
        <v>52</v>
      </c>
      <c r="K6" s="9">
        <v>220</v>
      </c>
      <c r="L6" s="9">
        <v>17.876000000000001</v>
      </c>
      <c r="M6" s="10">
        <v>0.108</v>
      </c>
      <c r="N6" s="9">
        <v>2.8000000000000001E-2</v>
      </c>
      <c r="O6" s="9">
        <v>18.012</v>
      </c>
      <c r="P6" s="9">
        <v>30.779</v>
      </c>
      <c r="Q6" s="9">
        <v>58.520419766724061</v>
      </c>
    </row>
    <row r="7" spans="1:17" x14ac:dyDescent="0.25">
      <c r="A7" s="11" t="s">
        <v>20</v>
      </c>
      <c r="B7" s="12">
        <v>10796</v>
      </c>
      <c r="C7" s="12">
        <v>16133</v>
      </c>
      <c r="D7" s="12">
        <v>7318</v>
      </c>
      <c r="E7" s="12">
        <v>400340</v>
      </c>
      <c r="F7" s="13">
        <v>227.98400000000001</v>
      </c>
      <c r="G7" s="13">
        <v>342.601</v>
      </c>
      <c r="H7" s="13">
        <v>66.545048029632142</v>
      </c>
      <c r="I7" s="13">
        <v>127</v>
      </c>
      <c r="J7" s="13">
        <v>45</v>
      </c>
      <c r="K7" s="13">
        <v>172</v>
      </c>
      <c r="L7" s="13">
        <v>20.065000000000001</v>
      </c>
      <c r="M7" s="14">
        <v>7.2999999999999995E-2</v>
      </c>
      <c r="N7" s="13">
        <v>2.4E-2</v>
      </c>
      <c r="O7" s="13">
        <v>20.161999999999999</v>
      </c>
      <c r="P7" s="13">
        <v>32.779000000000003</v>
      </c>
      <c r="Q7" s="13">
        <v>61.50889288873973</v>
      </c>
    </row>
    <row r="8" spans="1:17" x14ac:dyDescent="0.25">
      <c r="A8" s="7" t="s">
        <v>21</v>
      </c>
      <c r="B8" s="8">
        <v>12686</v>
      </c>
      <c r="C8" s="8">
        <v>22938</v>
      </c>
      <c r="D8" s="8">
        <v>9324</v>
      </c>
      <c r="E8" s="8">
        <v>625411</v>
      </c>
      <c r="F8" s="9">
        <v>323.77</v>
      </c>
      <c r="G8" s="9">
        <v>470.59300000000002</v>
      </c>
      <c r="H8" s="9">
        <v>68.800428395662479</v>
      </c>
      <c r="I8" s="9">
        <v>64</v>
      </c>
      <c r="J8" s="9">
        <v>33</v>
      </c>
      <c r="K8" s="9">
        <v>97</v>
      </c>
      <c r="L8" s="9">
        <v>29.280999999999999</v>
      </c>
      <c r="M8" s="10">
        <v>5.6000000000000001E-2</v>
      </c>
      <c r="N8" s="9">
        <v>2.4E-2</v>
      </c>
      <c r="O8" s="9">
        <v>29.361000000000001</v>
      </c>
      <c r="P8" s="9">
        <v>45.115000000000002</v>
      </c>
      <c r="Q8" s="9">
        <v>65.080350216114368</v>
      </c>
    </row>
    <row r="9" spans="1:17" x14ac:dyDescent="0.25">
      <c r="A9" s="11" t="s">
        <v>22</v>
      </c>
      <c r="B9" s="12">
        <v>20828</v>
      </c>
      <c r="C9" s="12">
        <v>38202</v>
      </c>
      <c r="D9" s="12">
        <v>17564</v>
      </c>
      <c r="E9" s="12">
        <v>1281251</v>
      </c>
      <c r="F9" s="13">
        <v>570.33299999999997</v>
      </c>
      <c r="G9" s="13">
        <v>729.71299999999997</v>
      </c>
      <c r="H9" s="13">
        <v>78.158536301258167</v>
      </c>
      <c r="I9" s="13">
        <v>76</v>
      </c>
      <c r="J9" s="13">
        <v>38</v>
      </c>
      <c r="K9" s="13">
        <v>114</v>
      </c>
      <c r="L9" s="13">
        <v>51.292999999999999</v>
      </c>
      <c r="M9" s="14">
        <v>5.1999999999999998E-2</v>
      </c>
      <c r="N9" s="13">
        <v>2.4E-2</v>
      </c>
      <c r="O9" s="13">
        <v>51.369</v>
      </c>
      <c r="P9" s="13">
        <v>67.221999999999994</v>
      </c>
      <c r="Q9" s="13">
        <v>76.41694683288209</v>
      </c>
    </row>
    <row r="10" spans="1:17" x14ac:dyDescent="0.25">
      <c r="A10" s="7" t="s">
        <v>23</v>
      </c>
      <c r="B10" s="8">
        <v>28983</v>
      </c>
      <c r="C10" s="8">
        <v>51698</v>
      </c>
      <c r="D10" s="8">
        <v>23821</v>
      </c>
      <c r="E10" s="8">
        <v>1597382</v>
      </c>
      <c r="F10" s="9">
        <v>679.84728900000005</v>
      </c>
      <c r="G10" s="9">
        <v>984.52216399999998</v>
      </c>
      <c r="H10" s="9">
        <v>69.053528082888349</v>
      </c>
      <c r="I10" s="9">
        <v>83.3</v>
      </c>
      <c r="J10" s="9">
        <v>15</v>
      </c>
      <c r="K10" s="9">
        <v>98.3</v>
      </c>
      <c r="L10" s="9">
        <v>61.920999999999999</v>
      </c>
      <c r="M10" s="10">
        <v>5.1799999999999999E-2</v>
      </c>
      <c r="N10" s="9">
        <v>8.9999999999999993E-3</v>
      </c>
      <c r="O10" s="9">
        <v>61.9818</v>
      </c>
      <c r="P10" s="9">
        <v>91.338999999999999</v>
      </c>
      <c r="Q10" s="9">
        <v>67.859074436987484</v>
      </c>
    </row>
    <row r="11" spans="1:17" x14ac:dyDescent="0.25">
      <c r="A11" s="11" t="s">
        <v>27</v>
      </c>
      <c r="B11" s="12">
        <v>30669</v>
      </c>
      <c r="C11" s="12">
        <v>53661.600000000006</v>
      </c>
      <c r="D11" s="12">
        <v>20921.399999999998</v>
      </c>
      <c r="E11" s="12">
        <v>1639757</v>
      </c>
      <c r="F11" s="13">
        <v>672.04899999999986</v>
      </c>
      <c r="G11" s="13">
        <v>1028.5710000000001</v>
      </c>
      <c r="H11" s="13">
        <v>65.338124446440716</v>
      </c>
      <c r="I11" s="13">
        <v>225</v>
      </c>
      <c r="J11" s="13">
        <v>0</v>
      </c>
      <c r="K11" s="13">
        <v>225</v>
      </c>
      <c r="L11" s="13">
        <v>61.1569</v>
      </c>
      <c r="M11" s="14">
        <v>0.1089</v>
      </c>
      <c r="N11" s="13">
        <v>0</v>
      </c>
      <c r="O11" s="13">
        <v>61.265800000000006</v>
      </c>
      <c r="P11" s="13">
        <v>95.361299999999986</v>
      </c>
      <c r="Q11" s="13">
        <v>64.245978190314119</v>
      </c>
    </row>
    <row r="12" spans="1:17" x14ac:dyDescent="0.25">
      <c r="A12" s="7" t="s">
        <v>29</v>
      </c>
      <c r="B12" s="8">
        <v>15557</v>
      </c>
      <c r="C12" s="8">
        <v>29081</v>
      </c>
      <c r="D12" s="8">
        <v>12190</v>
      </c>
      <c r="E12" s="8">
        <v>705273</v>
      </c>
      <c r="F12" s="9">
        <v>282.64299999999997</v>
      </c>
      <c r="G12" s="9">
        <v>552.82900000000006</v>
      </c>
      <c r="H12" s="9">
        <v>51.126659419097031</v>
      </c>
      <c r="I12" s="9">
        <v>355.36799999999999</v>
      </c>
      <c r="J12" s="9">
        <v>0</v>
      </c>
      <c r="K12" s="9">
        <v>355.36799999999999</v>
      </c>
      <c r="L12" s="9">
        <v>25.717600000000001</v>
      </c>
      <c r="M12" s="10">
        <v>0.13</v>
      </c>
      <c r="N12" s="9">
        <v>0</v>
      </c>
      <c r="O12" s="9">
        <v>25.8476</v>
      </c>
      <c r="P12" s="9">
        <v>51.180900000000001</v>
      </c>
      <c r="Q12" s="9">
        <v>50.502433525006396</v>
      </c>
    </row>
    <row r="13" spans="1:17" x14ac:dyDescent="0.25">
      <c r="A13" s="11" t="s">
        <v>35</v>
      </c>
      <c r="B13" s="12">
        <v>27947</v>
      </c>
      <c r="C13" s="12">
        <v>38688</v>
      </c>
      <c r="D13" s="12">
        <v>20976</v>
      </c>
      <c r="E13" s="12">
        <v>1077709</v>
      </c>
      <c r="F13" s="13">
        <v>458.31899999999996</v>
      </c>
      <c r="G13" s="13">
        <v>766.375</v>
      </c>
      <c r="H13" s="13">
        <v>59.803490458326536</v>
      </c>
      <c r="I13" s="13">
        <v>509.43999999999994</v>
      </c>
      <c r="J13" s="13">
        <v>0</v>
      </c>
      <c r="K13" s="13">
        <v>509.43999999999994</v>
      </c>
      <c r="L13" s="13">
        <v>41.707000000000001</v>
      </c>
      <c r="M13" s="14">
        <v>0.25699999999999995</v>
      </c>
      <c r="N13" s="13">
        <v>0</v>
      </c>
      <c r="O13" s="13">
        <v>41.963999999999999</v>
      </c>
      <c r="P13" s="13">
        <v>70.846999999999994</v>
      </c>
      <c r="Q13" s="13">
        <v>59.231865851765079</v>
      </c>
    </row>
    <row r="14" spans="1:17" x14ac:dyDescent="0.25">
      <c r="A14" s="15" t="s">
        <v>31</v>
      </c>
      <c r="B14" s="8">
        <v>39414</v>
      </c>
      <c r="C14" s="8">
        <v>51620.165666666668</v>
      </c>
      <c r="D14" s="8">
        <v>22335.269</v>
      </c>
      <c r="E14" s="8">
        <v>1601465</v>
      </c>
      <c r="F14" s="9">
        <v>645.142923</v>
      </c>
      <c r="G14" s="9">
        <v>965.24548879999998</v>
      </c>
      <c r="H14" s="9">
        <v>66.837186030472537</v>
      </c>
      <c r="I14" s="9">
        <v>399.85599999999999</v>
      </c>
      <c r="J14" s="9">
        <v>59.530429999999996</v>
      </c>
      <c r="K14" s="9">
        <v>459.38643000000002</v>
      </c>
      <c r="L14" s="9">
        <v>57.968141459999998</v>
      </c>
      <c r="M14" s="10">
        <v>0.25446795835009911</v>
      </c>
      <c r="N14" s="9">
        <v>4.5914667000000006E-2</v>
      </c>
      <c r="O14" s="9">
        <v>58.268524085350087</v>
      </c>
      <c r="P14" s="9">
        <v>90.650067149999998</v>
      </c>
      <c r="Q14" s="9">
        <v>64.278522804547194</v>
      </c>
    </row>
    <row r="15" spans="1:17" ht="18" customHeight="1" x14ac:dyDescent="0.25">
      <c r="A15" s="11" t="s">
        <v>32</v>
      </c>
      <c r="B15" s="12">
        <v>36509</v>
      </c>
      <c r="C15" s="12">
        <v>49054</v>
      </c>
      <c r="D15" s="12">
        <v>13774.935000000001</v>
      </c>
      <c r="E15" s="12">
        <v>1657165</v>
      </c>
      <c r="F15" s="13">
        <v>666.708347</v>
      </c>
      <c r="G15" s="13">
        <v>899.5591026666666</v>
      </c>
      <c r="H15" s="13">
        <v>74.115013124051515</v>
      </c>
      <c r="I15" s="13">
        <v>196.637</v>
      </c>
      <c r="J15" s="13">
        <v>73.667000000000002</v>
      </c>
      <c r="K15" s="13">
        <v>270.30400000000003</v>
      </c>
      <c r="L15" s="13">
        <v>60.727618102000001</v>
      </c>
      <c r="M15" s="14">
        <v>0.10032507326562495</v>
      </c>
      <c r="N15" s="13">
        <v>4.1969291428835299E-2</v>
      </c>
      <c r="O15" s="13">
        <v>60.869912466694458</v>
      </c>
      <c r="P15" s="13">
        <v>90.252588799999998</v>
      </c>
      <c r="Q15" s="13">
        <v>67.443951775812621</v>
      </c>
    </row>
    <row r="16" spans="1:17" x14ac:dyDescent="0.25">
      <c r="A16" s="15" t="s">
        <v>36</v>
      </c>
      <c r="B16" s="8">
        <v>28117</v>
      </c>
      <c r="C16" s="8">
        <v>38255</v>
      </c>
      <c r="D16" s="8">
        <v>10590.775</v>
      </c>
      <c r="E16" s="8">
        <v>1301735</v>
      </c>
      <c r="F16" s="9">
        <v>519.08612699999992</v>
      </c>
      <c r="G16" s="9">
        <v>675.79230400000006</v>
      </c>
      <c r="H16" s="9">
        <v>76.811488371137159</v>
      </c>
      <c r="I16" s="9">
        <v>25.584</v>
      </c>
      <c r="J16" s="9">
        <v>0.35399999999999998</v>
      </c>
      <c r="K16" s="9">
        <v>25.937999999999999</v>
      </c>
      <c r="L16" s="9">
        <v>47.270795664006549</v>
      </c>
      <c r="M16" s="10">
        <v>1.1999282667170007E-2</v>
      </c>
      <c r="N16" s="9">
        <v>1.4407800000000001E-4</v>
      </c>
      <c r="O16" s="9">
        <v>47.282939024673709</v>
      </c>
      <c r="P16" s="9">
        <v>67.895598399999997</v>
      </c>
      <c r="Q16" s="9">
        <v>69.640654385444975</v>
      </c>
    </row>
    <row r="17" spans="1:17" x14ac:dyDescent="0.25">
      <c r="A17" s="2" t="s">
        <v>33</v>
      </c>
      <c r="B17" s="6">
        <f>IFERROR(((B16-B15)/B15),"-")</f>
        <v>-0.22986113013229614</v>
      </c>
      <c r="C17" s="6">
        <f>IFERROR(((C16-C15)/C15),"-")</f>
        <v>-0.22014514616545033</v>
      </c>
      <c r="D17" s="6">
        <f t="shared" ref="D17:Q17" si="0">IFERROR(((D16-D15)/D15),"-")</f>
        <v>-0.23115608168024032</v>
      </c>
      <c r="E17" s="6">
        <f t="shared" si="0"/>
        <v>-0.21448075478301798</v>
      </c>
      <c r="F17" s="6">
        <f t="shared" si="0"/>
        <v>-0.2214194867429792</v>
      </c>
      <c r="G17" s="6">
        <f t="shared" si="0"/>
        <v>-0.24875163622193236</v>
      </c>
      <c r="H17" s="6">
        <f t="shared" si="0"/>
        <v>3.6382308164371012E-2</v>
      </c>
      <c r="I17" s="6">
        <f t="shared" si="0"/>
        <v>-0.8698922379816616</v>
      </c>
      <c r="J17" s="6">
        <f t="shared" si="0"/>
        <v>-0.99519459187967474</v>
      </c>
      <c r="K17" s="6">
        <f t="shared" si="0"/>
        <v>-0.90404137563632059</v>
      </c>
      <c r="L17" s="6">
        <f t="shared" si="0"/>
        <v>-0.22159312119554819</v>
      </c>
      <c r="M17" s="6">
        <f t="shared" si="0"/>
        <v>-0.88039597404130276</v>
      </c>
      <c r="N17" s="6">
        <f t="shared" si="0"/>
        <v>-0.99656706141335971</v>
      </c>
      <c r="O17" s="6">
        <f t="shared" si="0"/>
        <v>-0.22321329030093462</v>
      </c>
      <c r="P17" s="6">
        <f t="shared" si="0"/>
        <v>-0.24771577964974675</v>
      </c>
      <c r="Q17" s="6">
        <f t="shared" si="0"/>
        <v>3.2570787324774697E-2</v>
      </c>
    </row>
    <row r="18" spans="1:17" ht="30" x14ac:dyDescent="0.25">
      <c r="A18" s="3" t="s">
        <v>34</v>
      </c>
      <c r="B18" s="4">
        <f>IFERROR((((B16/B6)^(1/10))-1),"-")</f>
        <v>0.11992482631534562</v>
      </c>
      <c r="C18" s="4">
        <f t="shared" ref="C18:Q18" si="1">IFERROR((((C16/C6)^(1/10))-1),"-")</f>
        <v>0.11257688631022411</v>
      </c>
      <c r="D18" s="4">
        <f t="shared" si="1"/>
        <v>6.7349705889180989E-2</v>
      </c>
      <c r="E18" s="4">
        <f t="shared" si="1"/>
        <v>0.15411003360877262</v>
      </c>
      <c r="F18" s="4">
        <f t="shared" si="1"/>
        <v>0.10122502273286682</v>
      </c>
      <c r="G18" s="4">
        <f t="shared" si="1"/>
        <v>8.8427156471325929E-2</v>
      </c>
      <c r="H18" s="4">
        <f t="shared" si="1"/>
        <v>1.1758128401565759E-2</v>
      </c>
      <c r="I18" s="4">
        <f t="shared" si="1"/>
        <v>-0.17155073596510662</v>
      </c>
      <c r="J18" s="4">
        <f t="shared" si="1"/>
        <v>-0.39284441842051498</v>
      </c>
      <c r="K18" s="4">
        <f t="shared" si="1"/>
        <v>-0.19248354561364101</v>
      </c>
      <c r="L18" s="4">
        <f t="shared" si="1"/>
        <v>0.10212856005320381</v>
      </c>
      <c r="M18" s="4">
        <f t="shared" si="1"/>
        <v>-0.19726323697615877</v>
      </c>
      <c r="N18" s="4">
        <f t="shared" si="1"/>
        <v>-0.40960324203126031</v>
      </c>
      <c r="O18" s="4">
        <f t="shared" si="1"/>
        <v>0.10132184218400386</v>
      </c>
      <c r="P18" s="4">
        <f t="shared" si="1"/>
        <v>8.2327545456710505E-2</v>
      </c>
      <c r="Q18" s="4">
        <f t="shared" si="1"/>
        <v>1.7549490269397561E-2</v>
      </c>
    </row>
    <row r="19" spans="1:17" x14ac:dyDescent="0.25">
      <c r="A19" s="26" t="s">
        <v>26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</row>
    <row r="20" spans="1:17" ht="15" customHeight="1" x14ac:dyDescent="0.25">
      <c r="A20" s="28" t="s">
        <v>37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</row>
    <row r="21" spans="1:17" x14ac:dyDescent="0.25">
      <c r="A21" s="25" t="s">
        <v>30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</row>
  </sheetData>
  <mergeCells count="15">
    <mergeCell ref="A21:Q21"/>
    <mergeCell ref="P4:P5"/>
    <mergeCell ref="Q4:Q5"/>
    <mergeCell ref="A19:Q19"/>
    <mergeCell ref="A20:Q20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rintOptions horizontalCentered="1"/>
  <pageMargins left="0.25" right="0.25" top="0.75" bottom="0.75" header="0.3" footer="0.3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Alliance Air</vt:lpstr>
      <vt:lpstr>'Alliance Air'!Print_Area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2022-04-25T07:16:58Z</cp:lastPrinted>
  <dcterms:created xsi:type="dcterms:W3CDTF">2018-10-29T04:00:16Z</dcterms:created>
  <dcterms:modified xsi:type="dcterms:W3CDTF">2025-11-19T12:06:18Z</dcterms:modified>
</cp:coreProperties>
</file>