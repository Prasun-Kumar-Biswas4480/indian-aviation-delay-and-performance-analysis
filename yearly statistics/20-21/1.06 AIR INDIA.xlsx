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1" r:id="rId1"/>
  </sheets>
  <definedNames>
    <definedName name="_xlnm.Print_Area" localSheetId="0">'AIR INDIA'!$A$1:$Q$40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1" l="1"/>
  <c r="D38" i="1"/>
  <c r="C38" i="1"/>
  <c r="F38" i="1"/>
  <c r="G38" i="1"/>
  <c r="H38" i="1"/>
  <c r="I38" i="1"/>
  <c r="J38" i="1"/>
  <c r="K38" i="1"/>
  <c r="L38" i="1"/>
  <c r="M38" i="1"/>
  <c r="N38" i="1"/>
  <c r="O38" i="1"/>
  <c r="P38" i="1"/>
  <c r="Q38" i="1"/>
  <c r="B3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B29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B35" i="1"/>
  <c r="B32" i="1"/>
  <c r="B26" i="1"/>
  <c r="B23" i="1"/>
  <c r="B20" i="1"/>
  <c r="B17" i="1"/>
  <c r="B14" i="1"/>
  <c r="B34" i="1"/>
  <c r="B31" i="1"/>
  <c r="B28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5" i="1"/>
  <c r="B22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19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37" i="1"/>
  <c r="B16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B13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1" i="1"/>
  <c r="Q23" i="1" l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Q36" i="1"/>
  <c r="H36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Q30" i="1"/>
  <c r="Q34" i="1" s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31" i="1" l="1"/>
  <c r="P37" i="1" l="1"/>
  <c r="O37" i="1"/>
  <c r="M37" i="1"/>
  <c r="L37" i="1"/>
  <c r="K37" i="1"/>
  <c r="I37" i="1"/>
  <c r="H37" i="1"/>
  <c r="G37" i="1"/>
  <c r="F37" i="1"/>
  <c r="E37" i="1"/>
  <c r="D37" i="1"/>
  <c r="C37" i="1"/>
  <c r="Q37" i="1" l="1"/>
</calcChain>
</file>

<file path=xl/sharedStrings.xml><?xml version="1.0" encoding="utf-8"?>
<sst xmlns="http://schemas.openxmlformats.org/spreadsheetml/2006/main" count="60" uniqueCount="38">
  <si>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</si>
  <si>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</si>
  <si>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</si>
  <si>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</si>
  <si>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</si>
  <si>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</si>
  <si>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</si>
  <si>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</si>
  <si>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</si>
  <si>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</si>
  <si>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</si>
  <si>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</si>
  <si>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</si>
  <si>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</si>
  <si>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</si>
  <si>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</si>
  <si>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</si>
  <si>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</si>
  <si>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</si>
  <si>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</si>
  <si>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</si>
  <si>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</si>
  <si>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</si>
  <si>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</si>
  <si>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</si>
  <si>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</si>
  <si>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</si>
  <si>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2018-19</t>
  </si>
  <si>
    <t>SOURCE: ICAO ATR FORM 'A' FURNISHED BY AIR INDIA</t>
  </si>
  <si>
    <t>2019-20</t>
  </si>
  <si>
    <t>YEAR ON YEAR GROWTH AND CAGR FOR LAST TEN YEARS OF AIR INDIA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</si>
  <si>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</si>
  <si>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</si>
  <si>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2021-22</t>
  </si>
  <si>
    <t xml:space="preserve"> तालिका- 1.06 एयर इंडिया (राष्ट्रीय)</t>
  </si>
  <si>
    <t>2022-23</t>
  </si>
  <si>
    <t>Note: Growth has been calculated with respect to preceeding year while Compound Annual Growth Rate (CAGR) has been calculating taking 2012-13 as a Base Year</t>
  </si>
  <si>
    <t>TABLE - 1.06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</si>
</sst>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7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41"/>
  <sheetViews>
    <sheetView tabSelected="1" topLeftCell="A34" zoomScaleNormal="100" zoomScaleSheetLayoutView="100" workbookViewId="0">
      <selection activeCell="I5" sqref="I5"/>
    </sheetView>
  </sheetViews>
  <sheetFormatPr defaultColWidth="9.140625" defaultRowHeight="15" x14ac:dyDescent="0.25"/>
  <cols>
    <col min="1" max="1" width="9.28515625" style="1" customWidth="1"/>
    <col min="2" max="2" width="11" style="1" customWidth="1"/>
    <col min="3" max="3" width="9.7109375" style="1" customWidth="1"/>
    <col min="4" max="4" width="12.7109375" style="1" bestFit="1" customWidth="1"/>
    <col min="5" max="6" width="12.28515625" style="1" customWidth="1"/>
    <col min="7" max="7" width="12.5703125" style="1" customWidth="1"/>
    <col min="8" max="8" width="6.85546875" style="1" customWidth="1"/>
    <col min="9" max="9" width="11.7109375" style="1" customWidth="1"/>
    <col min="10" max="10" width="12.28515625" style="1" customWidth="1"/>
    <col min="11" max="11" width="10.85546875" style="1" customWidth="1"/>
    <col min="12" max="12" width="10" style="1" customWidth="1"/>
    <col min="13" max="13" width="9.5703125" style="1" customWidth="1"/>
    <col min="14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1" customHeight="1" x14ac:dyDescent="0.25">
      <c r="A2" s="15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1" customHeight="1" x14ac:dyDescent="0.25">
      <c r="A3" s="17" t="s">
        <v>30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5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32" customHeight="1" x14ac:dyDescent="0.25">
      <c r="A5" s="17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0"/>
      <c r="H5" s="20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0"/>
      <c r="Q5" s="20"/>
    </row>
    <row r="6" spans="1:17" ht="24.95" customHeight="1" x14ac:dyDescent="0.25">
      <c r="A6" s="4" t="s">
        <v>19</v>
      </c>
      <c r="B6" s="8">
        <v>125731</v>
      </c>
      <c r="C6" s="8">
        <v>299785</v>
      </c>
      <c r="D6" s="8">
        <v>194274</v>
      </c>
      <c r="E6" s="8">
        <v>14183238</v>
      </c>
      <c r="F6" s="8">
        <v>29193.386999999999</v>
      </c>
      <c r="G6" s="8">
        <v>40217.406999999999</v>
      </c>
      <c r="H6" s="9">
        <v>72.588933940967408</v>
      </c>
      <c r="I6" s="7">
        <v>135208</v>
      </c>
      <c r="J6" s="7">
        <v>1670</v>
      </c>
      <c r="K6" s="7">
        <v>136878</v>
      </c>
      <c r="L6" s="7">
        <v>2870.9960000000001</v>
      </c>
      <c r="M6" s="7">
        <v>437.04899999999998</v>
      </c>
      <c r="N6" s="7">
        <v>38.228999999999999</v>
      </c>
      <c r="O6" s="7">
        <v>3346.2739999999999</v>
      </c>
      <c r="P6" s="7">
        <v>5553.0959999999995</v>
      </c>
      <c r="Q6" s="9">
        <v>60.259610134598795</v>
      </c>
    </row>
    <row r="7" spans="1:17" ht="24.95" customHeight="1" x14ac:dyDescent="0.25">
      <c r="A7" s="3" t="s">
        <v>25</v>
      </c>
      <c r="B7" s="12"/>
      <c r="C7" s="12"/>
      <c r="D7" s="12"/>
      <c r="E7" s="12"/>
      <c r="F7" s="12"/>
      <c r="G7" s="12"/>
      <c r="H7" s="10"/>
      <c r="I7" s="12"/>
      <c r="J7" s="12"/>
      <c r="K7" s="12"/>
      <c r="L7" s="12"/>
      <c r="M7" s="12"/>
      <c r="N7" s="12"/>
      <c r="O7" s="12"/>
      <c r="P7" s="12"/>
      <c r="Q7" s="10"/>
    </row>
    <row r="8" spans="1:17" ht="24.95" customHeight="1" x14ac:dyDescent="0.25">
      <c r="A8" s="5" t="s">
        <v>26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24.95" customHeight="1" x14ac:dyDescent="0.25">
      <c r="A9" s="4" t="s">
        <v>20</v>
      </c>
      <c r="B9" s="8">
        <v>136634</v>
      </c>
      <c r="C9" s="8">
        <v>343002</v>
      </c>
      <c r="D9" s="8">
        <v>215383</v>
      </c>
      <c r="E9" s="8">
        <v>15405796</v>
      </c>
      <c r="F9" s="8">
        <v>33243.192999999999</v>
      </c>
      <c r="G9" s="8">
        <v>45193.247000000003</v>
      </c>
      <c r="H9" s="9">
        <v>73.557876910238377</v>
      </c>
      <c r="I9" s="7">
        <v>178194</v>
      </c>
      <c r="J9" s="7">
        <v>2377.7629999999999</v>
      </c>
      <c r="K9" s="7">
        <v>180571.76300000001</v>
      </c>
      <c r="L9" s="7">
        <v>3264.5479999999998</v>
      </c>
      <c r="M9" s="7">
        <v>612.23</v>
      </c>
      <c r="N9" s="7">
        <v>33.198999999999998</v>
      </c>
      <c r="O9" s="7">
        <v>3909.9769999999999</v>
      </c>
      <c r="P9" s="7">
        <v>6194.3422</v>
      </c>
      <c r="Q9" s="9">
        <v>63.121746809532084</v>
      </c>
    </row>
    <row r="10" spans="1:17" ht="24.95" customHeight="1" x14ac:dyDescent="0.25">
      <c r="A10" s="3" t="s">
        <v>25</v>
      </c>
      <c r="B10" s="12">
        <f>(B9-B6)/B6</f>
        <v>8.6716879687586998E-2</v>
      </c>
      <c r="C10" s="12">
        <f t="shared" ref="C10:Q10" si="0">(C9-C6)/C6</f>
        <v>0.14415998131994595</v>
      </c>
      <c r="D10" s="12">
        <f t="shared" si="0"/>
        <v>0.10865581601243604</v>
      </c>
      <c r="E10" s="12">
        <f t="shared" si="0"/>
        <v>8.6197383136347283E-2</v>
      </c>
      <c r="F10" s="12">
        <f t="shared" si="0"/>
        <v>0.13872340335158784</v>
      </c>
      <c r="G10" s="12">
        <f t="shared" si="0"/>
        <v>0.12372354090356953</v>
      </c>
      <c r="H10" s="10">
        <f t="shared" si="0"/>
        <v>1.3348356514767906E-2</v>
      </c>
      <c r="I10" s="12">
        <f t="shared" si="0"/>
        <v>0.31792497485355897</v>
      </c>
      <c r="J10" s="12">
        <f t="shared" si="0"/>
        <v>0.42381017964071849</v>
      </c>
      <c r="K10" s="12">
        <f t="shared" si="0"/>
        <v>0.31921684273586703</v>
      </c>
      <c r="L10" s="12">
        <f t="shared" si="0"/>
        <v>0.13707856088967021</v>
      </c>
      <c r="M10" s="12">
        <f t="shared" si="0"/>
        <v>0.40082690956849243</v>
      </c>
      <c r="N10" s="12">
        <f t="shared" si="0"/>
        <v>-0.13157550550629107</v>
      </c>
      <c r="O10" s="12">
        <f t="shared" si="0"/>
        <v>0.16845691655853645</v>
      </c>
      <c r="P10" s="12">
        <f t="shared" si="0"/>
        <v>0.115475439286481</v>
      </c>
      <c r="Q10" s="10">
        <f t="shared" si="0"/>
        <v>4.7496767213400182E-2</v>
      </c>
    </row>
    <row r="11" spans="1:17" s="2" customFormat="1" ht="24.95" customHeight="1" x14ac:dyDescent="0.25">
      <c r="A11" s="5" t="s">
        <v>26</v>
      </c>
      <c r="B11" s="6">
        <f>(((B9/B6)^(1/1))-1)</f>
        <v>8.6716879687587012E-2</v>
      </c>
      <c r="C11" s="6">
        <f t="shared" ref="C11:Q11" si="1">(((C9/C6)^(1/1))-1)</f>
        <v>0.1441599813199459</v>
      </c>
      <c r="D11" s="6">
        <f t="shared" si="1"/>
        <v>0.10865581601243601</v>
      </c>
      <c r="E11" s="6">
        <f t="shared" si="1"/>
        <v>8.6197383136347394E-2</v>
      </c>
      <c r="F11" s="6">
        <f t="shared" si="1"/>
        <v>0.13872340335158784</v>
      </c>
      <c r="G11" s="6">
        <f t="shared" si="1"/>
        <v>0.12372354090356952</v>
      </c>
      <c r="H11" s="6">
        <f t="shared" si="1"/>
        <v>1.3348356514767845E-2</v>
      </c>
      <c r="I11" s="6">
        <f t="shared" si="1"/>
        <v>0.31792497485355886</v>
      </c>
      <c r="J11" s="6">
        <f t="shared" si="1"/>
        <v>0.42381017964071854</v>
      </c>
      <c r="K11" s="6">
        <f t="shared" si="1"/>
        <v>0.31921684273586703</v>
      </c>
      <c r="L11" s="6">
        <f t="shared" si="1"/>
        <v>0.1370785608896703</v>
      </c>
      <c r="M11" s="6">
        <f t="shared" si="1"/>
        <v>0.40082690956849243</v>
      </c>
      <c r="N11" s="6">
        <f t="shared" si="1"/>
        <v>-0.13157550550629105</v>
      </c>
      <c r="O11" s="6">
        <f t="shared" si="1"/>
        <v>0.16845691655853634</v>
      </c>
      <c r="P11" s="6">
        <f t="shared" si="1"/>
        <v>0.11547543928648096</v>
      </c>
      <c r="Q11" s="6">
        <f t="shared" si="1"/>
        <v>4.7496767213400126E-2</v>
      </c>
    </row>
    <row r="12" spans="1:17" ht="24.95" customHeight="1" x14ac:dyDescent="0.25">
      <c r="A12" s="4" t="s">
        <v>21</v>
      </c>
      <c r="B12" s="8">
        <v>138803</v>
      </c>
      <c r="C12" s="8">
        <v>358927</v>
      </c>
      <c r="D12" s="8">
        <v>258808</v>
      </c>
      <c r="E12" s="8">
        <v>17263599</v>
      </c>
      <c r="F12" s="8">
        <v>35917.201000000001</v>
      </c>
      <c r="G12" s="8">
        <v>48484.936000000002</v>
      </c>
      <c r="H12" s="9">
        <v>74.079093349736496</v>
      </c>
      <c r="I12" s="7">
        <v>205963</v>
      </c>
      <c r="J12" s="7">
        <v>19412</v>
      </c>
      <c r="K12" s="7">
        <v>225375</v>
      </c>
      <c r="L12" s="7">
        <v>3500.7370000000001</v>
      </c>
      <c r="M12" s="7">
        <v>657.60599999999999</v>
      </c>
      <c r="N12" s="7">
        <v>37.636000000000003</v>
      </c>
      <c r="O12" s="7">
        <v>4195.9790000000003</v>
      </c>
      <c r="P12" s="7">
        <v>6556.5739999999996</v>
      </c>
      <c r="Q12" s="9">
        <v>63.996517083464632</v>
      </c>
    </row>
    <row r="13" spans="1:17" ht="24.95" customHeight="1" x14ac:dyDescent="0.25">
      <c r="A13" s="3" t="s">
        <v>25</v>
      </c>
      <c r="B13" s="13">
        <f>(B12-B9)/B9</f>
        <v>1.5874526106240027E-2</v>
      </c>
      <c r="C13" s="13">
        <f t="shared" ref="C13:Q13" si="2">(C12-C9)/C9</f>
        <v>4.642830070961685E-2</v>
      </c>
      <c r="D13" s="13">
        <f t="shared" si="2"/>
        <v>0.20161758356044812</v>
      </c>
      <c r="E13" s="13">
        <f t="shared" si="2"/>
        <v>0.12059117230943471</v>
      </c>
      <c r="F13" s="13">
        <f t="shared" si="2"/>
        <v>8.0437760596582933E-2</v>
      </c>
      <c r="G13" s="13">
        <f t="shared" si="2"/>
        <v>7.2835859746921888E-2</v>
      </c>
      <c r="H13" s="10">
        <f t="shared" si="2"/>
        <v>7.0858004797249878E-3</v>
      </c>
      <c r="I13" s="13">
        <f t="shared" si="2"/>
        <v>0.15583577449296834</v>
      </c>
      <c r="J13" s="13">
        <f t="shared" si="2"/>
        <v>7.1639759723740344</v>
      </c>
      <c r="K13" s="13">
        <f t="shared" si="2"/>
        <v>0.24811873271680907</v>
      </c>
      <c r="L13" s="13">
        <f t="shared" si="2"/>
        <v>7.2349679036730452E-2</v>
      </c>
      <c r="M13" s="13">
        <f t="shared" si="2"/>
        <v>7.4115936821129269E-2</v>
      </c>
      <c r="N13" s="13">
        <f t="shared" si="2"/>
        <v>0.1336486038736108</v>
      </c>
      <c r="O13" s="13">
        <f t="shared" si="2"/>
        <v>7.3146721834936729E-2</v>
      </c>
      <c r="P13" s="13">
        <f t="shared" si="2"/>
        <v>5.8477847736600599E-2</v>
      </c>
      <c r="Q13" s="10">
        <f t="shared" si="2"/>
        <v>1.3858461119147096E-2</v>
      </c>
    </row>
    <row r="14" spans="1:17" ht="24.95" customHeight="1" x14ac:dyDescent="0.25">
      <c r="A14" s="5" t="s">
        <v>26</v>
      </c>
      <c r="B14" s="6">
        <f>(((B12/B6)^(1/2))-1)</f>
        <v>5.0698812773803059E-2</v>
      </c>
      <c r="C14" s="6">
        <f t="shared" ref="C14:Q14" si="3">(((C12/C6)^(1/2))-1)</f>
        <v>9.4203539106220369E-2</v>
      </c>
      <c r="D14" s="6">
        <f t="shared" si="3"/>
        <v>0.15420116211910817</v>
      </c>
      <c r="E14" s="6">
        <f t="shared" si="3"/>
        <v>0.10326025892723956</v>
      </c>
      <c r="F14" s="6">
        <f t="shared" si="3"/>
        <v>0.10919780195243312</v>
      </c>
      <c r="G14" s="6">
        <f t="shared" si="3"/>
        <v>9.7984932102046729E-2</v>
      </c>
      <c r="H14" s="6">
        <f t="shared" si="3"/>
        <v>1.0212225616720971E-2</v>
      </c>
      <c r="I14" s="6">
        <f t="shared" si="3"/>
        <v>0.23422236004436781</v>
      </c>
      <c r="J14" s="6">
        <f t="shared" si="3"/>
        <v>2.4093917486566987</v>
      </c>
      <c r="K14" s="6">
        <f t="shared" si="3"/>
        <v>0.28317545718976422</v>
      </c>
      <c r="L14" s="6">
        <f t="shared" si="3"/>
        <v>0.10423993308048107</v>
      </c>
      <c r="M14" s="6">
        <f t="shared" si="3"/>
        <v>0.22664196418327731</v>
      </c>
      <c r="N14" s="6">
        <f t="shared" si="3"/>
        <v>-7.7862046149330677E-3</v>
      </c>
      <c r="O14" s="6">
        <f t="shared" si="3"/>
        <v>0.11978824320053993</v>
      </c>
      <c r="P14" s="6">
        <f t="shared" si="3"/>
        <v>8.6602982776595061E-2</v>
      </c>
      <c r="Q14" s="6">
        <f t="shared" si="3"/>
        <v>3.0540373024880108E-2</v>
      </c>
    </row>
    <row r="15" spans="1:17" ht="24.95" customHeight="1" x14ac:dyDescent="0.25">
      <c r="A15" s="4" t="s">
        <v>22</v>
      </c>
      <c r="B15" s="8">
        <v>140016</v>
      </c>
      <c r="C15" s="8">
        <v>378135</v>
      </c>
      <c r="D15" s="8">
        <v>340622</v>
      </c>
      <c r="E15" s="8">
        <v>18475830</v>
      </c>
      <c r="F15" s="8">
        <v>38548.79</v>
      </c>
      <c r="G15" s="8">
        <v>51049.54</v>
      </c>
      <c r="H15" s="9">
        <v>75.512511963868818</v>
      </c>
      <c r="I15" s="7">
        <v>187614</v>
      </c>
      <c r="J15" s="7">
        <v>19044</v>
      </c>
      <c r="K15" s="7">
        <v>206658</v>
      </c>
      <c r="L15" s="7">
        <v>3761.9140000000002</v>
      </c>
      <c r="M15" s="7">
        <v>565.50300000000004</v>
      </c>
      <c r="N15" s="7">
        <v>36.277000000000001</v>
      </c>
      <c r="O15" s="7">
        <v>4363.6940000000004</v>
      </c>
      <c r="P15" s="7">
        <v>6854.2730000000001</v>
      </c>
      <c r="Q15" s="9">
        <v>63.663848813725401</v>
      </c>
    </row>
    <row r="16" spans="1:17" ht="24.95" customHeight="1" x14ac:dyDescent="0.25">
      <c r="A16" s="3" t="s">
        <v>25</v>
      </c>
      <c r="B16" s="13">
        <f>(B15-B12)/B12</f>
        <v>8.7390042001974019E-3</v>
      </c>
      <c r="C16" s="13">
        <f t="shared" ref="C16:Q16" si="4">(C15-C12)/C12</f>
        <v>5.3515060165437542E-2</v>
      </c>
      <c r="D16" s="13">
        <f t="shared" si="4"/>
        <v>0.31611851256529938</v>
      </c>
      <c r="E16" s="13">
        <f t="shared" si="4"/>
        <v>7.0218903949286593E-2</v>
      </c>
      <c r="F16" s="13">
        <f t="shared" si="4"/>
        <v>7.3268209290584752E-2</v>
      </c>
      <c r="G16" s="13">
        <f t="shared" si="4"/>
        <v>5.2894862024774031E-2</v>
      </c>
      <c r="H16" s="10">
        <f t="shared" si="4"/>
        <v>1.9349840141333483E-2</v>
      </c>
      <c r="I16" s="13">
        <f t="shared" si="4"/>
        <v>-8.9088816923427988E-2</v>
      </c>
      <c r="J16" s="13">
        <f t="shared" si="4"/>
        <v>-1.8957345971563982E-2</v>
      </c>
      <c r="K16" s="13">
        <f t="shared" si="4"/>
        <v>-8.3048252911813641E-2</v>
      </c>
      <c r="L16" s="13">
        <f t="shared" si="4"/>
        <v>7.4606290046924442E-2</v>
      </c>
      <c r="M16" s="13">
        <f t="shared" si="4"/>
        <v>-0.14005802866762157</v>
      </c>
      <c r="N16" s="13">
        <f t="shared" si="4"/>
        <v>-3.6109044531831266E-2</v>
      </c>
      <c r="O16" s="13">
        <f t="shared" si="4"/>
        <v>3.9970409766111825E-2</v>
      </c>
      <c r="P16" s="13">
        <f t="shared" si="4"/>
        <v>4.5404657981439778E-2</v>
      </c>
      <c r="Q16" s="10">
        <f t="shared" si="4"/>
        <v>-5.1982246050259594E-3</v>
      </c>
    </row>
    <row r="17" spans="1:18" ht="24.95" customHeight="1" x14ac:dyDescent="0.25">
      <c r="A17" s="5" t="s">
        <v>26</v>
      </c>
      <c r="B17" s="6">
        <f>(((B15/B6)^(1/3))-1)</f>
        <v>3.6521780199070264E-2</v>
      </c>
      <c r="C17" s="6">
        <f t="shared" ref="C17:Q17" si="5">(((C15/C6)^(1/3))-1)</f>
        <v>8.0469037909628227E-2</v>
      </c>
      <c r="D17" s="6">
        <f t="shared" si="5"/>
        <v>0.20582977682710535</v>
      </c>
      <c r="E17" s="6">
        <f t="shared" si="5"/>
        <v>9.213465721891656E-2</v>
      </c>
      <c r="F17" s="6">
        <f t="shared" si="5"/>
        <v>9.7089576195985572E-2</v>
      </c>
      <c r="G17" s="6">
        <f t="shared" si="5"/>
        <v>8.2744340338001265E-2</v>
      </c>
      <c r="H17" s="6">
        <f t="shared" si="5"/>
        <v>1.3248959448271869E-2</v>
      </c>
      <c r="I17" s="6">
        <f t="shared" si="5"/>
        <v>0.11537511655033139</v>
      </c>
      <c r="J17" s="6">
        <f t="shared" si="5"/>
        <v>1.2508535240396563</v>
      </c>
      <c r="K17" s="6">
        <f t="shared" si="5"/>
        <v>0.14720101805609054</v>
      </c>
      <c r="L17" s="6">
        <f t="shared" si="5"/>
        <v>9.4272348925779736E-2</v>
      </c>
      <c r="M17" s="6">
        <f t="shared" si="5"/>
        <v>8.968655922314861E-2</v>
      </c>
      <c r="N17" s="6">
        <f t="shared" si="5"/>
        <v>-1.7318434432824437E-2</v>
      </c>
      <c r="O17" s="6">
        <f t="shared" si="5"/>
        <v>9.2523858406027726E-2</v>
      </c>
      <c r="P17" s="6">
        <f t="shared" si="5"/>
        <v>7.2692898566691033E-2</v>
      </c>
      <c r="Q17" s="6">
        <f t="shared" si="5"/>
        <v>1.8487080380446441E-2</v>
      </c>
    </row>
    <row r="18" spans="1:18" ht="24.95" customHeight="1" x14ac:dyDescent="0.25">
      <c r="A18" s="4" t="s">
        <v>23</v>
      </c>
      <c r="B18" s="8">
        <v>145187</v>
      </c>
      <c r="C18" s="8">
        <v>401041</v>
      </c>
      <c r="D18" s="8">
        <v>343676</v>
      </c>
      <c r="E18" s="8">
        <v>19599155</v>
      </c>
      <c r="F18" s="8">
        <v>41362.555999999997</v>
      </c>
      <c r="G18" s="8">
        <v>54139.879000000001</v>
      </c>
      <c r="H18" s="9">
        <v>76.399424535101005</v>
      </c>
      <c r="I18" s="7">
        <v>177532</v>
      </c>
      <c r="J18" s="7">
        <v>13163</v>
      </c>
      <c r="K18" s="7">
        <v>190695</v>
      </c>
      <c r="L18" s="7">
        <v>4065.817</v>
      </c>
      <c r="M18" s="7">
        <v>642.88400000000001</v>
      </c>
      <c r="N18" s="7">
        <v>30.27</v>
      </c>
      <c r="O18" s="7">
        <v>4738.9709999999995</v>
      </c>
      <c r="P18" s="7">
        <v>7269.8710000000001</v>
      </c>
      <c r="Q18" s="9">
        <v>65.186452414355074</v>
      </c>
    </row>
    <row r="19" spans="1:18" ht="24.95" customHeight="1" x14ac:dyDescent="0.25">
      <c r="A19" s="3" t="s">
        <v>25</v>
      </c>
      <c r="B19" s="13">
        <f>(B18-B15)/B15</f>
        <v>3.6931493543595019E-2</v>
      </c>
      <c r="C19" s="13">
        <f t="shared" ref="C19:Q19" si="6">(C18-C15)/C15</f>
        <v>6.0576249223161037E-2</v>
      </c>
      <c r="D19" s="13">
        <f t="shared" si="6"/>
        <v>8.9659505258027957E-3</v>
      </c>
      <c r="E19" s="13">
        <f t="shared" si="6"/>
        <v>6.0799704262271305E-2</v>
      </c>
      <c r="F19" s="13">
        <f t="shared" si="6"/>
        <v>7.2992329979747639E-2</v>
      </c>
      <c r="G19" s="13">
        <f t="shared" si="6"/>
        <v>6.0536079267315628E-2</v>
      </c>
      <c r="H19" s="10">
        <f t="shared" si="6"/>
        <v>1.1745239936615496E-2</v>
      </c>
      <c r="I19" s="13">
        <f t="shared" si="6"/>
        <v>-5.3737993966335135E-2</v>
      </c>
      <c r="J19" s="13">
        <f t="shared" si="6"/>
        <v>-0.3088111741230834</v>
      </c>
      <c r="K19" s="13">
        <f t="shared" si="6"/>
        <v>-7.7243561826786281E-2</v>
      </c>
      <c r="L19" s="13">
        <f t="shared" si="6"/>
        <v>8.0784143390837684E-2</v>
      </c>
      <c r="M19" s="13">
        <f t="shared" si="6"/>
        <v>0.13683570202103254</v>
      </c>
      <c r="N19" s="13">
        <f t="shared" si="6"/>
        <v>-0.1655870110538358</v>
      </c>
      <c r="O19" s="13">
        <f t="shared" si="6"/>
        <v>8.5999843252070177E-2</v>
      </c>
      <c r="P19" s="13">
        <f t="shared" si="6"/>
        <v>6.0633418015302275E-2</v>
      </c>
      <c r="Q19" s="10">
        <f t="shared" si="6"/>
        <v>2.3916298323160938E-2</v>
      </c>
    </row>
    <row r="20" spans="1:18" ht="24.95" customHeight="1" x14ac:dyDescent="0.25">
      <c r="A20" s="5" t="s">
        <v>26</v>
      </c>
      <c r="B20" s="6">
        <f>(((B18/B6)^(1/4))-1)</f>
        <v>3.6624193355859536E-2</v>
      </c>
      <c r="C20" s="6">
        <f t="shared" ref="C20:Q20" si="7">(((C18/C6)^(1/4))-1)</f>
        <v>7.5461131192712916E-2</v>
      </c>
      <c r="D20" s="6">
        <f t="shared" si="7"/>
        <v>0.15327699948901174</v>
      </c>
      <c r="E20" s="6">
        <f t="shared" si="7"/>
        <v>8.4215194318707054E-2</v>
      </c>
      <c r="F20" s="6">
        <f t="shared" si="7"/>
        <v>9.1014998272032299E-2</v>
      </c>
      <c r="G20" s="6">
        <f t="shared" si="7"/>
        <v>7.714905222005175E-2</v>
      </c>
      <c r="H20" s="6">
        <f t="shared" si="7"/>
        <v>1.2872820176002664E-2</v>
      </c>
      <c r="I20" s="6">
        <f t="shared" si="7"/>
        <v>7.0455367693597504E-2</v>
      </c>
      <c r="J20" s="6">
        <f t="shared" si="7"/>
        <v>0.67555852801060556</v>
      </c>
      <c r="K20" s="6">
        <f t="shared" si="7"/>
        <v>8.6429160356571666E-2</v>
      </c>
      <c r="L20" s="6">
        <f t="shared" si="7"/>
        <v>9.0884597809872236E-2</v>
      </c>
      <c r="M20" s="6">
        <f t="shared" si="7"/>
        <v>0.10128727617559719</v>
      </c>
      <c r="N20" s="6">
        <f t="shared" si="7"/>
        <v>-5.6689060854195006E-2</v>
      </c>
      <c r="O20" s="6">
        <f t="shared" si="7"/>
        <v>9.0889189510440005E-2</v>
      </c>
      <c r="P20" s="6">
        <f t="shared" si="7"/>
        <v>6.9665234205594118E-2</v>
      </c>
      <c r="Q20" s="6">
        <f t="shared" si="7"/>
        <v>1.9841680019270891E-2</v>
      </c>
    </row>
    <row r="21" spans="1:18" ht="24.95" customHeight="1" x14ac:dyDescent="0.25">
      <c r="A21" s="4" t="s">
        <v>24</v>
      </c>
      <c r="B21" s="8">
        <v>153499</v>
      </c>
      <c r="C21" s="8">
        <v>432212.8</v>
      </c>
      <c r="D21" s="8">
        <v>366037.1</v>
      </c>
      <c r="E21" s="8">
        <v>21172463</v>
      </c>
      <c r="F21" s="8">
        <v>46026.945799999994</v>
      </c>
      <c r="G21" s="8">
        <v>57723.122600000002</v>
      </c>
      <c r="H21" s="9">
        <v>79.737449616074642</v>
      </c>
      <c r="I21" s="7">
        <v>204894.6</v>
      </c>
      <c r="J21" s="7">
        <v>14713.332</v>
      </c>
      <c r="K21" s="7">
        <v>219607.932</v>
      </c>
      <c r="L21" s="7">
        <v>4555.1067999999996</v>
      </c>
      <c r="M21" s="7">
        <v>801.1083000000001</v>
      </c>
      <c r="N21" s="7">
        <v>39.529600000000002</v>
      </c>
      <c r="O21" s="7">
        <v>5395.7447000000002</v>
      </c>
      <c r="P21" s="7">
        <v>7780.4115000000002</v>
      </c>
      <c r="Q21" s="9">
        <v>69.350376904871936</v>
      </c>
    </row>
    <row r="22" spans="1:18" ht="24.95" customHeight="1" x14ac:dyDescent="0.25">
      <c r="A22" s="3" t="s">
        <v>25</v>
      </c>
      <c r="B22" s="13">
        <f>(B21-B18)/B18</f>
        <v>5.7250304779353521E-2</v>
      </c>
      <c r="C22" s="13">
        <f t="shared" ref="C22:Q22" si="8">(C21-C18)/C18</f>
        <v>7.7727214923162438E-2</v>
      </c>
      <c r="D22" s="13">
        <f t="shared" si="8"/>
        <v>6.5064479335187719E-2</v>
      </c>
      <c r="E22" s="13">
        <f t="shared" si="8"/>
        <v>8.0274277130825286E-2</v>
      </c>
      <c r="F22" s="13">
        <f t="shared" si="8"/>
        <v>0.11276841305455101</v>
      </c>
      <c r="G22" s="13">
        <f t="shared" si="8"/>
        <v>6.6184920730982824E-2</v>
      </c>
      <c r="H22" s="10">
        <f t="shared" si="8"/>
        <v>4.3691756859241947E-2</v>
      </c>
      <c r="I22" s="13">
        <f t="shared" si="8"/>
        <v>0.15412770655431138</v>
      </c>
      <c r="J22" s="13">
        <f t="shared" si="8"/>
        <v>0.11777953354098612</v>
      </c>
      <c r="K22" s="13">
        <f t="shared" si="8"/>
        <v>0.15161872099425786</v>
      </c>
      <c r="L22" s="13">
        <f t="shared" si="8"/>
        <v>0.12034230758541262</v>
      </c>
      <c r="M22" s="13">
        <f t="shared" si="8"/>
        <v>0.24611640669234275</v>
      </c>
      <c r="N22" s="13">
        <f t="shared" si="8"/>
        <v>0.30590023125206484</v>
      </c>
      <c r="O22" s="13">
        <f t="shared" si="8"/>
        <v>0.1385899386174764</v>
      </c>
      <c r="P22" s="13">
        <f t="shared" si="8"/>
        <v>7.0226899486937264E-2</v>
      </c>
      <c r="Q22" s="10">
        <f t="shared" si="8"/>
        <v>6.3877145270140531E-2</v>
      </c>
    </row>
    <row r="23" spans="1:18" ht="24.95" customHeight="1" x14ac:dyDescent="0.25">
      <c r="A23" s="5" t="s">
        <v>26</v>
      </c>
      <c r="B23" s="6">
        <f>(((B21/B6)^(1/5))-1)</f>
        <v>4.0716969774851064E-2</v>
      </c>
      <c r="C23" s="6">
        <f t="shared" ref="C23:Q23" si="9">(((C21/C6)^(1/6))-1)</f>
        <v>6.2872786414307047E-2</v>
      </c>
      <c r="D23" s="6">
        <f t="shared" si="9"/>
        <v>0.11135226073884241</v>
      </c>
      <c r="E23" s="6">
        <f t="shared" si="9"/>
        <v>6.9053234885074311E-2</v>
      </c>
      <c r="F23" s="6">
        <f t="shared" si="9"/>
        <v>7.883396808565224E-2</v>
      </c>
      <c r="G23" s="6">
        <f t="shared" si="9"/>
        <v>6.2076888533424857E-2</v>
      </c>
      <c r="H23" s="6">
        <f t="shared" si="9"/>
        <v>1.5777652007253895E-2</v>
      </c>
      <c r="I23" s="6">
        <f t="shared" si="9"/>
        <v>7.1736497490273443E-2</v>
      </c>
      <c r="J23" s="6">
        <f t="shared" si="9"/>
        <v>0.43714005505555598</v>
      </c>
      <c r="K23" s="6">
        <f t="shared" si="9"/>
        <v>8.1979573568729425E-2</v>
      </c>
      <c r="L23" s="6">
        <f t="shared" si="9"/>
        <v>7.9968270513743223E-2</v>
      </c>
      <c r="M23" s="6">
        <f t="shared" si="9"/>
        <v>0.10626757530394348</v>
      </c>
      <c r="N23" s="6">
        <f t="shared" si="9"/>
        <v>5.5914689780891536E-3</v>
      </c>
      <c r="O23" s="6">
        <f t="shared" si="9"/>
        <v>8.2883282039880379E-2</v>
      </c>
      <c r="P23" s="6">
        <f t="shared" si="9"/>
        <v>5.7818677538768792E-2</v>
      </c>
      <c r="Q23" s="6">
        <f t="shared" si="9"/>
        <v>2.36946132955691E-2</v>
      </c>
    </row>
    <row r="24" spans="1:18" ht="24.95" customHeight="1" x14ac:dyDescent="0.25">
      <c r="A24" s="4" t="s">
        <v>27</v>
      </c>
      <c r="B24" s="8">
        <v>159586</v>
      </c>
      <c r="C24" s="8">
        <v>463868.8826999999</v>
      </c>
      <c r="D24" s="8">
        <v>386701.69099999999</v>
      </c>
      <c r="E24" s="8">
        <v>22282899</v>
      </c>
      <c r="F24" s="8">
        <v>49115.269760999989</v>
      </c>
      <c r="G24" s="8">
        <v>62139.233197999994</v>
      </c>
      <c r="H24" s="9">
        <v>79.040675646092154</v>
      </c>
      <c r="I24" s="7">
        <v>215335.44054999997</v>
      </c>
      <c r="J24" s="7">
        <v>13679.568000000001</v>
      </c>
      <c r="K24" s="7">
        <v>229015.00855000003</v>
      </c>
      <c r="L24" s="7">
        <v>4867.1589009999998</v>
      </c>
      <c r="M24" s="7">
        <v>876.93935662740012</v>
      </c>
      <c r="N24" s="7">
        <v>37.995229000000016</v>
      </c>
      <c r="O24" s="7">
        <v>5782.0934866273992</v>
      </c>
      <c r="P24" s="7">
        <v>8341.2966772559994</v>
      </c>
      <c r="Q24" s="9">
        <v>69.318880629114716</v>
      </c>
    </row>
    <row r="25" spans="1:18" ht="24.95" customHeight="1" x14ac:dyDescent="0.25">
      <c r="A25" s="3" t="s">
        <v>25</v>
      </c>
      <c r="B25" s="13">
        <f>(B24-B21)/B21</f>
        <v>3.9654981465677301E-2</v>
      </c>
      <c r="C25" s="13">
        <f t="shared" ref="C25:Q25" si="10">(C24-C21)/C21</f>
        <v>7.3241890800087167E-2</v>
      </c>
      <c r="D25" s="13">
        <f t="shared" si="10"/>
        <v>5.6454908532495796E-2</v>
      </c>
      <c r="E25" s="13">
        <f t="shared" si="10"/>
        <v>5.2447181038880547E-2</v>
      </c>
      <c r="F25" s="13">
        <f t="shared" si="10"/>
        <v>6.7098172762095259E-2</v>
      </c>
      <c r="G25" s="13">
        <f t="shared" si="10"/>
        <v>7.6505053765057257E-2</v>
      </c>
      <c r="H25" s="10">
        <f t="shared" si="10"/>
        <v>-8.738352848471612E-3</v>
      </c>
      <c r="I25" s="13">
        <f t="shared" si="10"/>
        <v>5.095712893360764E-2</v>
      </c>
      <c r="J25" s="13">
        <f t="shared" si="10"/>
        <v>-7.0260359787979995E-2</v>
      </c>
      <c r="K25" s="13">
        <f t="shared" si="10"/>
        <v>4.2835777671272945E-2</v>
      </c>
      <c r="L25" s="13">
        <f t="shared" si="10"/>
        <v>6.8505990024207611E-2</v>
      </c>
      <c r="M25" s="13">
        <f t="shared" si="10"/>
        <v>9.4657684394731656E-2</v>
      </c>
      <c r="N25" s="13">
        <f t="shared" si="10"/>
        <v>-3.8815748198817744E-2</v>
      </c>
      <c r="O25" s="13">
        <f t="shared" si="10"/>
        <v>7.1602495690242532E-2</v>
      </c>
      <c r="P25" s="13">
        <f t="shared" si="10"/>
        <v>7.2089397489579987E-2</v>
      </c>
      <c r="Q25" s="10">
        <f t="shared" si="10"/>
        <v>-4.5416156570315215E-4</v>
      </c>
    </row>
    <row r="26" spans="1:18" ht="24.95" customHeight="1" x14ac:dyDescent="0.25">
      <c r="A26" s="5" t="s">
        <v>26</v>
      </c>
      <c r="B26" s="6">
        <f>(((B24/B6)^(1/6))-1)</f>
        <v>4.053989641980138E-2</v>
      </c>
      <c r="C26" s="6">
        <f t="shared" ref="C26:Q26" si="11">(((C24/C6)^(1/6))-1)</f>
        <v>7.5468158947656905E-2</v>
      </c>
      <c r="D26" s="6">
        <f t="shared" si="11"/>
        <v>0.12157132740538623</v>
      </c>
      <c r="E26" s="6">
        <f t="shared" si="11"/>
        <v>7.8200139133465241E-2</v>
      </c>
      <c r="F26" s="6">
        <f t="shared" si="11"/>
        <v>9.0574507062398446E-2</v>
      </c>
      <c r="G26" s="6">
        <f t="shared" si="11"/>
        <v>7.5206721347971017E-2</v>
      </c>
      <c r="H26" s="6">
        <f t="shared" si="11"/>
        <v>1.4292866115235281E-2</v>
      </c>
      <c r="I26" s="6">
        <f t="shared" si="11"/>
        <v>8.0651151930261955E-2</v>
      </c>
      <c r="J26" s="6">
        <f t="shared" si="11"/>
        <v>0.41979612077588269</v>
      </c>
      <c r="K26" s="6">
        <f t="shared" si="11"/>
        <v>8.9569779329581545E-2</v>
      </c>
      <c r="L26" s="6">
        <f t="shared" si="11"/>
        <v>9.196107219354932E-2</v>
      </c>
      <c r="M26" s="6">
        <f t="shared" si="11"/>
        <v>0.12306934174388284</v>
      </c>
      <c r="N26" s="6">
        <f t="shared" si="11"/>
        <v>-1.0217760786020991E-3</v>
      </c>
      <c r="O26" s="6">
        <f t="shared" si="11"/>
        <v>9.5436653388502934E-2</v>
      </c>
      <c r="P26" s="6">
        <f t="shared" si="11"/>
        <v>7.0162506153728987E-2</v>
      </c>
      <c r="Q26" s="6">
        <f t="shared" si="11"/>
        <v>2.3617111503571264E-2</v>
      </c>
    </row>
    <row r="27" spans="1:18" ht="24.95" customHeight="1" x14ac:dyDescent="0.25">
      <c r="A27" s="4" t="s">
        <v>29</v>
      </c>
      <c r="B27" s="8">
        <v>164089</v>
      </c>
      <c r="C27" s="8">
        <v>476473.10000000003</v>
      </c>
      <c r="D27" s="8">
        <v>387621.94699999993</v>
      </c>
      <c r="E27" s="8">
        <v>22481177</v>
      </c>
      <c r="F27" s="8">
        <v>50439.029543999997</v>
      </c>
      <c r="G27" s="8">
        <v>63185.343651000003</v>
      </c>
      <c r="H27" s="9">
        <v>79.827103295657594</v>
      </c>
      <c r="I27" s="7">
        <v>204763.20380000002</v>
      </c>
      <c r="J27" s="7">
        <v>14593.372999999996</v>
      </c>
      <c r="K27" s="7">
        <v>219356.58079999997</v>
      </c>
      <c r="L27" s="7">
        <v>4983.1875745670004</v>
      </c>
      <c r="M27" s="7">
        <v>823.13137553060005</v>
      </c>
      <c r="N27" s="7">
        <v>41.757959000000014</v>
      </c>
      <c r="O27" s="7">
        <v>5848.0769090976</v>
      </c>
      <c r="P27" s="7">
        <v>8414.5190850840045</v>
      </c>
      <c r="Q27" s="9">
        <v>69.49983534370007</v>
      </c>
    </row>
    <row r="28" spans="1:18" ht="24.95" customHeight="1" x14ac:dyDescent="0.25">
      <c r="A28" s="3" t="s">
        <v>25</v>
      </c>
      <c r="B28" s="13">
        <f>(B27-B24)/B24</f>
        <v>2.8216760868747887E-2</v>
      </c>
      <c r="C28" s="13">
        <f t="shared" ref="C28:Q28" si="12">(C27-C24)/C24</f>
        <v>2.7171939679669608E-2</v>
      </c>
      <c r="D28" s="13">
        <f t="shared" si="12"/>
        <v>2.379756855006708E-3</v>
      </c>
      <c r="E28" s="13">
        <f t="shared" si="12"/>
        <v>8.8982138275634608E-3</v>
      </c>
      <c r="F28" s="13">
        <f t="shared" si="12"/>
        <v>2.6952102461038317E-2</v>
      </c>
      <c r="G28" s="13">
        <f t="shared" si="12"/>
        <v>1.6834943065143559E-2</v>
      </c>
      <c r="H28" s="10">
        <f t="shared" si="12"/>
        <v>9.9496574787227444E-3</v>
      </c>
      <c r="I28" s="13">
        <f t="shared" si="12"/>
        <v>-4.9096594239187136E-2</v>
      </c>
      <c r="J28" s="13">
        <f t="shared" si="12"/>
        <v>6.6800720607550962E-2</v>
      </c>
      <c r="K28" s="13">
        <f t="shared" si="12"/>
        <v>-4.2173776343969925E-2</v>
      </c>
      <c r="L28" s="13">
        <f t="shared" si="12"/>
        <v>2.38390970845767E-2</v>
      </c>
      <c r="M28" s="13">
        <f t="shared" si="12"/>
        <v>-6.135883934293801E-2</v>
      </c>
      <c r="N28" s="13">
        <f t="shared" si="12"/>
        <v>9.9031644209855829E-2</v>
      </c>
      <c r="O28" s="13">
        <f t="shared" si="12"/>
        <v>1.14116837824924E-2</v>
      </c>
      <c r="P28" s="13">
        <f t="shared" si="12"/>
        <v>8.7783003843585564E-3</v>
      </c>
      <c r="Q28" s="10">
        <f t="shared" si="12"/>
        <v>2.6104679265312783E-3</v>
      </c>
    </row>
    <row r="29" spans="1:18" ht="24.95" customHeight="1" x14ac:dyDescent="0.25">
      <c r="A29" s="5" t="s">
        <v>26</v>
      </c>
      <c r="B29" s="6">
        <f>(((B27/B6)^(1/7))-1)</f>
        <v>3.8770447121630358E-2</v>
      </c>
      <c r="C29" s="6">
        <f t="shared" ref="C29:Q29" si="13">(((C27/C6)^(1/7))-1)</f>
        <v>6.8432098478076853E-2</v>
      </c>
      <c r="D29" s="6">
        <f t="shared" si="13"/>
        <v>0.10371320741115309</v>
      </c>
      <c r="E29" s="6">
        <f t="shared" si="13"/>
        <v>6.8015768787865305E-2</v>
      </c>
      <c r="F29" s="6">
        <f t="shared" si="13"/>
        <v>8.1249784558115046E-2</v>
      </c>
      <c r="G29" s="6">
        <f t="shared" si="13"/>
        <v>6.6667094885581646E-2</v>
      </c>
      <c r="H29" s="6">
        <f t="shared" si="13"/>
        <v>1.3671266079598787E-2</v>
      </c>
      <c r="I29" s="6">
        <f t="shared" si="13"/>
        <v>6.1084406998418439E-2</v>
      </c>
      <c r="J29" s="6">
        <f t="shared" si="13"/>
        <v>0.36298575207656492</v>
      </c>
      <c r="K29" s="6">
        <f t="shared" si="13"/>
        <v>6.969403461780721E-2</v>
      </c>
      <c r="L29" s="6">
        <f t="shared" si="13"/>
        <v>8.1958651483809541E-2</v>
      </c>
      <c r="M29" s="6">
        <f t="shared" si="13"/>
        <v>9.4654340879504195E-2</v>
      </c>
      <c r="N29" s="6">
        <f t="shared" si="13"/>
        <v>1.2693556133428263E-2</v>
      </c>
      <c r="O29" s="6">
        <f t="shared" si="13"/>
        <v>8.3018660180377291E-2</v>
      </c>
      <c r="P29" s="6">
        <f t="shared" si="13"/>
        <v>6.1169780979637434E-2</v>
      </c>
      <c r="Q29" s="6">
        <f t="shared" si="13"/>
        <v>2.0589428376456054E-2</v>
      </c>
    </row>
    <row r="30" spans="1:18" ht="24.95" customHeight="1" x14ac:dyDescent="0.25">
      <c r="A30" s="4" t="s">
        <v>31</v>
      </c>
      <c r="B30" s="8">
        <v>56446</v>
      </c>
      <c r="C30" s="8">
        <v>171009.80833333335</v>
      </c>
      <c r="D30" s="8">
        <v>127553.177</v>
      </c>
      <c r="E30" s="8">
        <v>6300719</v>
      </c>
      <c r="F30" s="8">
        <v>16135.743458000001</v>
      </c>
      <c r="G30" s="8">
        <v>24321.910994000002</v>
      </c>
      <c r="H30" s="9">
        <v>66.342416358568798</v>
      </c>
      <c r="I30" s="7">
        <v>74996.073199999999</v>
      </c>
      <c r="J30" s="7">
        <v>47.724000000000004</v>
      </c>
      <c r="K30" s="7">
        <v>75043.797200000001</v>
      </c>
      <c r="L30" s="7">
        <v>1493.4114364759996</v>
      </c>
      <c r="M30" s="7">
        <v>311.67058865059994</v>
      </c>
      <c r="N30" s="7">
        <v>8.7054806068061446</v>
      </c>
      <c r="O30" s="7">
        <v>1813.7875057334063</v>
      </c>
      <c r="P30" s="7">
        <v>3342.9965845280003</v>
      </c>
      <c r="Q30" s="9">
        <f>O30/P30*100</f>
        <v>54.256337386880581</v>
      </c>
    </row>
    <row r="31" spans="1:18" ht="24.95" customHeight="1" x14ac:dyDescent="0.25">
      <c r="A31" s="3" t="s">
        <v>25</v>
      </c>
      <c r="B31" s="13">
        <f>(B30-B27)/B27</f>
        <v>-0.65600375406029654</v>
      </c>
      <c r="C31" s="13">
        <f t="shared" ref="C31:Q31" si="14">(C30-C27)/C27</f>
        <v>-0.6410924177391476</v>
      </c>
      <c r="D31" s="13">
        <f t="shared" si="14"/>
        <v>-0.67093406865323846</v>
      </c>
      <c r="E31" s="13">
        <f t="shared" si="14"/>
        <v>-0.71973357978543562</v>
      </c>
      <c r="F31" s="13">
        <f t="shared" si="14"/>
        <v>-0.68009409372311291</v>
      </c>
      <c r="G31" s="13">
        <f t="shared" si="14"/>
        <v>-0.61507036935115134</v>
      </c>
      <c r="H31" s="10">
        <f t="shared" si="14"/>
        <v>-0.16892366602788067</v>
      </c>
      <c r="I31" s="13">
        <f t="shared" si="14"/>
        <v>-0.63374243121702911</v>
      </c>
      <c r="J31" s="13">
        <f t="shared" si="14"/>
        <v>-0.99672974849611529</v>
      </c>
      <c r="K31" s="13">
        <f t="shared" si="14"/>
        <v>-0.65789128857537327</v>
      </c>
      <c r="L31" s="13">
        <f t="shared" si="14"/>
        <v>-0.70031000958141432</v>
      </c>
      <c r="M31" s="13">
        <f t="shared" si="14"/>
        <v>-0.62135984860291171</v>
      </c>
      <c r="N31" s="13">
        <f t="shared" si="14"/>
        <v>-0.7915252369780299</v>
      </c>
      <c r="O31" s="13">
        <f t="shared" si="14"/>
        <v>-0.68984889666690674</v>
      </c>
      <c r="P31" s="13">
        <f t="shared" si="14"/>
        <v>-0.60271091541595501</v>
      </c>
      <c r="Q31" s="10">
        <f t="shared" si="14"/>
        <v>-0.21933142548374773</v>
      </c>
    </row>
    <row r="32" spans="1:18" ht="24.95" customHeight="1" x14ac:dyDescent="0.25">
      <c r="A32" s="5" t="s">
        <v>26</v>
      </c>
      <c r="B32" s="6">
        <f>(((B30/B6)^(1/8)-1))</f>
        <v>-9.5259877882264865E-2</v>
      </c>
      <c r="C32" s="6">
        <f t="shared" ref="C32:Q32" si="15">(((C30/C6)^(1/8)-1))</f>
        <v>-6.7762883389623219E-2</v>
      </c>
      <c r="D32" s="6">
        <f t="shared" si="15"/>
        <v>-5.1232991061241795E-2</v>
      </c>
      <c r="E32" s="6">
        <f t="shared" si="15"/>
        <v>-9.6450728470091618E-2</v>
      </c>
      <c r="F32" s="6">
        <f t="shared" si="15"/>
        <v>-7.1433392094995329E-2</v>
      </c>
      <c r="G32" s="6">
        <f t="shared" si="15"/>
        <v>-6.0930028112725187E-2</v>
      </c>
      <c r="H32" s="6">
        <f t="shared" si="15"/>
        <v>-1.118485767483457E-2</v>
      </c>
      <c r="I32" s="6">
        <f t="shared" si="15"/>
        <v>-7.1023951317561562E-2</v>
      </c>
      <c r="J32" s="6">
        <f t="shared" si="15"/>
        <v>-0.3587866647787139</v>
      </c>
      <c r="K32" s="6">
        <f t="shared" si="15"/>
        <v>-7.2374574549444182E-2</v>
      </c>
      <c r="L32" s="6">
        <f t="shared" si="15"/>
        <v>-7.8451151754360682E-2</v>
      </c>
      <c r="M32" s="6">
        <f t="shared" si="15"/>
        <v>-4.1381709073217032E-2</v>
      </c>
      <c r="N32" s="6">
        <f t="shared" si="15"/>
        <v>-0.16885848264922887</v>
      </c>
      <c r="O32" s="6">
        <f t="shared" si="15"/>
        <v>-7.3696908780910175E-2</v>
      </c>
      <c r="P32" s="6">
        <f t="shared" si="15"/>
        <v>-6.1465819284906353E-2</v>
      </c>
      <c r="Q32" s="6">
        <f t="shared" si="15"/>
        <v>-1.3032119391415908E-2</v>
      </c>
      <c r="R32" s="6"/>
    </row>
    <row r="33" spans="1:17" ht="24.95" customHeight="1" x14ac:dyDescent="0.25">
      <c r="A33" s="4" t="s">
        <v>33</v>
      </c>
      <c r="B33" s="8">
        <v>63150</v>
      </c>
      <c r="C33" s="8">
        <v>119241.43333333332</v>
      </c>
      <c r="D33" s="8">
        <v>74179.457999999999</v>
      </c>
      <c r="E33" s="8">
        <v>6375302</v>
      </c>
      <c r="F33" s="8">
        <v>6658.7504070000005</v>
      </c>
      <c r="G33" s="8">
        <v>10191.192019999999</v>
      </c>
      <c r="H33" s="9">
        <v>65.338288140703696</v>
      </c>
      <c r="I33" s="7">
        <v>56385.746300000013</v>
      </c>
      <c r="J33" s="7">
        <v>11.936374316931641</v>
      </c>
      <c r="K33" s="7">
        <v>56397.682674316951</v>
      </c>
      <c r="L33" s="7">
        <v>612.99694550699996</v>
      </c>
      <c r="M33" s="7">
        <v>70.675404770099988</v>
      </c>
      <c r="N33" s="7">
        <v>9.2452947033198332E-4</v>
      </c>
      <c r="O33" s="7">
        <v>683.67327480657036</v>
      </c>
      <c r="P33" s="7">
        <v>1091.2118240680002</v>
      </c>
      <c r="Q33" s="9">
        <v>62.652663738361994</v>
      </c>
    </row>
    <row r="34" spans="1:17" ht="24.95" customHeight="1" x14ac:dyDescent="0.25">
      <c r="A34" s="3" t="s">
        <v>25</v>
      </c>
      <c r="B34" s="13">
        <f>(B33-B30)/B30</f>
        <v>0.11876838039896538</v>
      </c>
      <c r="C34" s="13">
        <f t="shared" ref="C34:Q34" si="16">(C33-C30)/C30</f>
        <v>-0.30272167137391792</v>
      </c>
      <c r="D34" s="13">
        <f t="shared" si="16"/>
        <v>-0.41844288206165181</v>
      </c>
      <c r="E34" s="13">
        <f t="shared" si="16"/>
        <v>1.1837220482297338E-2</v>
      </c>
      <c r="F34" s="13">
        <f t="shared" si="16"/>
        <v>-0.58732918477960605</v>
      </c>
      <c r="G34" s="13">
        <f t="shared" si="16"/>
        <v>-0.5809872002856159</v>
      </c>
      <c r="H34" s="10">
        <f t="shared" si="16"/>
        <v>-1.513553881483559E-2</v>
      </c>
      <c r="I34" s="13">
        <f t="shared" si="16"/>
        <v>-0.24815068450810548</v>
      </c>
      <c r="J34" s="13">
        <f t="shared" si="16"/>
        <v>-0.74988738754229234</v>
      </c>
      <c r="K34" s="13">
        <f t="shared" si="16"/>
        <v>-0.24846976327689144</v>
      </c>
      <c r="L34" s="13">
        <f t="shared" si="16"/>
        <v>-0.58953244194146004</v>
      </c>
      <c r="M34" s="13">
        <f t="shared" si="16"/>
        <v>-0.7732368489561553</v>
      </c>
      <c r="N34" s="13">
        <f t="shared" si="16"/>
        <v>-0.99989379914652743</v>
      </c>
      <c r="O34" s="13">
        <f t="shared" si="16"/>
        <v>-0.623068704219502</v>
      </c>
      <c r="P34" s="13">
        <f t="shared" si="16"/>
        <v>-0.67358272840650568</v>
      </c>
      <c r="Q34" s="10">
        <f t="shared" si="16"/>
        <v>0.1547529146984345</v>
      </c>
    </row>
    <row r="35" spans="1:17" ht="24.95" customHeight="1" x14ac:dyDescent="0.25">
      <c r="A35" s="5" t="s">
        <v>26</v>
      </c>
      <c r="B35" s="6">
        <f>(((B33/B6)^(1/9))-1)</f>
        <v>-7.3660657230380289E-2</v>
      </c>
      <c r="C35" s="6">
        <f t="shared" ref="C35:Q35" si="17">(((C33/C6)^(1/9))-1)</f>
        <v>-9.7363207012173714E-2</v>
      </c>
      <c r="D35" s="6">
        <f t="shared" si="17"/>
        <v>-0.10145258923990852</v>
      </c>
      <c r="E35" s="6">
        <f t="shared" si="17"/>
        <v>-8.5015093206527448E-2</v>
      </c>
      <c r="F35" s="6">
        <f t="shared" si="17"/>
        <v>-0.15144754428589091</v>
      </c>
      <c r="G35" s="6">
        <f t="shared" si="17"/>
        <v>-0.14146744356198726</v>
      </c>
      <c r="H35" s="6">
        <f t="shared" si="17"/>
        <v>-1.1624603690406743E-2</v>
      </c>
      <c r="I35" s="6">
        <f t="shared" si="17"/>
        <v>-9.2605114323792148E-2</v>
      </c>
      <c r="J35" s="6">
        <f t="shared" si="17"/>
        <v>-0.42247221342163876</v>
      </c>
      <c r="K35" s="6">
        <f t="shared" si="17"/>
        <v>-9.3820613506931716E-2</v>
      </c>
      <c r="L35" s="6">
        <f t="shared" si="17"/>
        <v>-0.15765161604354738</v>
      </c>
      <c r="M35" s="6">
        <f t="shared" si="17"/>
        <v>-0.18326339728366026</v>
      </c>
      <c r="N35" s="6">
        <f t="shared" si="17"/>
        <v>-0.69305635449895098</v>
      </c>
      <c r="O35" s="6">
        <f t="shared" si="17"/>
        <v>-0.16176607461248615</v>
      </c>
      <c r="P35" s="6">
        <f t="shared" si="17"/>
        <v>-0.16538538220097299</v>
      </c>
      <c r="Q35" s="6">
        <f t="shared" si="17"/>
        <v>4.3365015556897646E-3</v>
      </c>
    </row>
    <row r="36" spans="1:17" ht="24.95" customHeight="1" x14ac:dyDescent="0.25">
      <c r="A36" s="4" t="s">
        <v>35</v>
      </c>
      <c r="B36" s="8">
        <v>129480</v>
      </c>
      <c r="C36" s="8">
        <v>423087.43733333319</v>
      </c>
      <c r="D36" s="8">
        <v>287700.886</v>
      </c>
      <c r="E36" s="8">
        <v>18443306</v>
      </c>
      <c r="F36" s="8">
        <v>50452.384402000003</v>
      </c>
      <c r="G36" s="8">
        <v>60889.58425</v>
      </c>
      <c r="H36" s="9">
        <f t="shared" ref="H36" si="18">F36/G36*100</f>
        <v>82.858809143535922</v>
      </c>
      <c r="I36" s="7">
        <v>172782.8173</v>
      </c>
      <c r="J36" s="7">
        <v>2429.3241909457993</v>
      </c>
      <c r="K36" s="7">
        <v>175212.14149094577</v>
      </c>
      <c r="L36" s="7">
        <v>5129.1100471679993</v>
      </c>
      <c r="M36" s="7">
        <v>712.46985332679992</v>
      </c>
      <c r="N36" s="7">
        <v>7.692407676345498</v>
      </c>
      <c r="O36" s="7">
        <v>5849.2723081711447</v>
      </c>
      <c r="P36" s="7">
        <v>8226.4619224399994</v>
      </c>
      <c r="Q36" s="9">
        <f t="shared" ref="Q36" si="19">O36/P36*100</f>
        <v>71.10313477797304</v>
      </c>
    </row>
    <row r="37" spans="1:17" ht="24.95" customHeight="1" x14ac:dyDescent="0.25">
      <c r="A37" s="3" t="s">
        <v>25</v>
      </c>
      <c r="B37" s="13">
        <f>(B36-B33)/B33</f>
        <v>1.050356294536817</v>
      </c>
      <c r="C37" s="13">
        <f t="shared" ref="C37:Q37" si="20">(C36-C33)/C33</f>
        <v>2.5481579305627258</v>
      </c>
      <c r="D37" s="13">
        <f t="shared" si="20"/>
        <v>2.8784441644208294</v>
      </c>
      <c r="E37" s="13">
        <f t="shared" si="20"/>
        <v>1.8929305623482622</v>
      </c>
      <c r="F37" s="13">
        <f t="shared" si="20"/>
        <v>6.576854712704356</v>
      </c>
      <c r="G37" s="13">
        <f t="shared" si="20"/>
        <v>4.9747264236122213</v>
      </c>
      <c r="H37" s="10">
        <f t="shared" si="20"/>
        <v>0.26815090357283927</v>
      </c>
      <c r="I37" s="13">
        <f t="shared" si="20"/>
        <v>2.0642995550809968</v>
      </c>
      <c r="J37" s="13"/>
      <c r="K37" s="13">
        <f t="shared" si="20"/>
        <v>2.1067259004727861</v>
      </c>
      <c r="L37" s="13">
        <f t="shared" si="20"/>
        <v>7.367268523541818</v>
      </c>
      <c r="M37" s="13">
        <f t="shared" si="20"/>
        <v>9.0808740416046145</v>
      </c>
      <c r="N37" s="13"/>
      <c r="O37" s="13">
        <f t="shared" si="20"/>
        <v>7.5556544678831585</v>
      </c>
      <c r="P37" s="13">
        <f t="shared" si="20"/>
        <v>6.5388313625232106</v>
      </c>
      <c r="Q37" s="10">
        <f t="shared" si="20"/>
        <v>0.13487808076126304</v>
      </c>
    </row>
    <row r="38" spans="1:17" ht="24.95" customHeight="1" x14ac:dyDescent="0.25">
      <c r="A38" s="5" t="s">
        <v>26</v>
      </c>
      <c r="B38" s="6">
        <f>(((B36/B6)^(1/10))-1)</f>
        <v>2.9424931527104459E-3</v>
      </c>
      <c r="C38" s="6">
        <f t="shared" ref="C38:Q38" si="21">(((C36/C6)^(1/10))-1)</f>
        <v>3.5051652663122379E-2</v>
      </c>
      <c r="D38" s="6">
        <f>(((D36/D6)^(1/10))-1)</f>
        <v>4.0046248255534378E-2</v>
      </c>
      <c r="E38" s="6">
        <f>(((E36/E6)^(1/10))-1)</f>
        <v>2.6612004099730857E-2</v>
      </c>
      <c r="F38" s="6">
        <f t="shared" si="21"/>
        <v>5.6232973434080957E-2</v>
      </c>
      <c r="G38" s="6">
        <f t="shared" si="21"/>
        <v>4.2348376373765317E-2</v>
      </c>
      <c r="H38" s="6">
        <f t="shared" si="21"/>
        <v>1.3320495695132939E-2</v>
      </c>
      <c r="I38" s="6">
        <f t="shared" si="21"/>
        <v>2.482524780078621E-2</v>
      </c>
      <c r="J38" s="6">
        <f t="shared" si="21"/>
        <v>3.8190141030928215E-2</v>
      </c>
      <c r="K38" s="6">
        <f t="shared" si="21"/>
        <v>2.4998086614401283E-2</v>
      </c>
      <c r="L38" s="6">
        <f t="shared" si="21"/>
        <v>5.9743942872883427E-2</v>
      </c>
      <c r="M38" s="6">
        <f t="shared" si="21"/>
        <v>5.0083020637010423E-2</v>
      </c>
      <c r="N38" s="6">
        <f t="shared" si="21"/>
        <v>-0.14814253125528787</v>
      </c>
      <c r="O38" s="6">
        <f t="shared" si="21"/>
        <v>5.7435859739928707E-2</v>
      </c>
      <c r="P38" s="6">
        <f t="shared" si="21"/>
        <v>4.0082504453994527E-2</v>
      </c>
      <c r="Q38" s="6">
        <f t="shared" si="21"/>
        <v>1.6684594935133745E-2</v>
      </c>
    </row>
    <row r="39" spans="1:17" x14ac:dyDescent="0.25">
      <c r="A39" s="22" t="s">
        <v>28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x14ac:dyDescent="0.25">
      <c r="A40" s="24" t="s">
        <v>36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1:17" ht="15" customHeight="1" x14ac:dyDescent="0.25">
      <c r="A41" s="21" t="s">
        <v>32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2020-05-11T09:32:17Z</cp:lastPrinted>
  <dcterms:created xsi:type="dcterms:W3CDTF">2018-10-29T04:00:16Z</dcterms:created>
  <dcterms:modified xsi:type="dcterms:W3CDTF">2023-10-04T06:03:31Z</dcterms:modified>
</cp:coreProperties>
</file>