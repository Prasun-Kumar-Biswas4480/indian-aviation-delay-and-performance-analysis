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'1.15'!$A$1:$D$80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<sst xmlns="http://schemas.openxmlformats.org/spreadsheetml/2006/main" count="953" uniqueCount="208">
  <si>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</si>
  <si>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</si>
  <si>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</si>
  <si>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</si>
  <si>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</si>
  <si>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</si>
  <si>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</si>
  <si>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</si>
  <si>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</si>
  <si>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</si>
  <si>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</si>
  <si>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</si>
  <si>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</si>
  <si>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</si>
  <si>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</si>
  <si>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</si>
  <si>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</si>
  <si>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</si>
  <si>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</si>
  <si>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</si>
  <si>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</si>
  <si>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</si>
  <si>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</si>
  <si>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</si>
  <si>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</si>
  <si>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</si>
  <si>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</si>
  <si>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</si>
  <si>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</si>
  <si>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</si>
  <si>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</si>
  <si>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</si>
  <si>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</si>
  <si>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</si>
  <si>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</si>
  <si>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</si>
  <si>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</si>
  <si>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</si>
  <si>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</si>
  <si>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</si>
  <si>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</si>
  <si>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</si>
  <si>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</si>
  <si>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</si>
  <si>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</si>
  <si>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</si>
  <si>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</si>
  <si>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</si>
  <si>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</si>
  <si>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</si>
  <si>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</si>
  <si>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</si>
  <si>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</si>
  <si>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</si>
  <si>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</si>
  <si>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</si>
  <si>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</si>
  <si>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</si>
  <si>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</si>
  <si>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</si>
  <si>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</si>
  <si>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</si>
  <si>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</si>
  <si>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</si>
  <si>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</si>
  <si>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</si>
  <si>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</si>
  <si>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</si>
  <si>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</si>
  <si>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</si>
  <si>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</si>
  <si>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</si>
  <si>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</si>
  <si>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</si>
  <si>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</si>
  <si>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</si>
  <si>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</si>
  <si>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</si>
  <si>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</si>
  <si>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</si>
  <si>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</si>
  <si>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</si>
  <si>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</si>
  <si>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</si>
  <si>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</si>
  <si>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</si>
  <si>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</si>
  <si>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</si>
  <si>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</si>
  <si>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</si>
  <si>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</si>
  <si>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</si>
  <si>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</si>
  <si>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</si>
  <si>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</si>
  <si>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</si>
  <si>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</si>
  <si>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</si>
  <si>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</si>
  <si>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</si>
  <si>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</si>
  <si>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</si>
  <si>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</si>
  <si>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</si>
  <si>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</si>
  <si>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</si>
  <si>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</si>
  <si>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</si>
  <si>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</si>
  <si>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</si>
  <si>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</si>
  <si>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</si>
  <si>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</si>
  <si>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</si>
  <si>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</si>
  <si>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</si>
  <si>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</si>
  <si>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</si>
  <si>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</si>
  <si>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</si>
  <si>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</si>
  <si>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</si>
  <si>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</si>
  <si>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</si>
  <si>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</si>
  <si>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</si>
  <si>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</si>
  <si>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</si>
  <si>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</si>
  <si>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</si>
  <si>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</si>
  <si>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</si>
  <si>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</si>
  <si>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</si>
  <si>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</si>
  <si>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</si>
  <si>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</si>
  <si>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</si>
  <si>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</si>
  <si>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</si>
  <si>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</si>
  <si>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</si>
  <si>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</si>
  <si>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</si>
  <si>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</si>
  <si>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</si>
  <si>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</si>
  <si>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</si>
  <si>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</si>
  <si>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</si>
  <si>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</si>
  <si>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</si>
  <si>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</si>
  <si>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</si>
  <si>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</si>
  <si>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</si>
  <si>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</si>
  <si>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</si>
  <si>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</si>
  <si>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</si>
  <si>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</si>
  <si>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</si>
  <si>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</si>
  <si>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</si>
  <si>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</si>
  <si>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</si>
  <si>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</si>
  <si>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</si>
  <si>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</si>
  <si>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</si>
  <si>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</si>
  <si>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</si>
  <si>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</si>
  <si>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</si>
  <si>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</si>
  <si>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</si>
  <si>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</si>
  <si>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</si>
  <si>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A-319 </t>
  </si>
  <si>
    <t xml:space="preserve">A-321 </t>
  </si>
  <si>
    <t xml:space="preserve">A-330 </t>
  </si>
  <si>
    <t xml:space="preserve">A- 310- SALE &amp; LEASED BACK </t>
  </si>
  <si>
    <t xml:space="preserve">747 - 400 SALE &amp; LEASED BACK </t>
  </si>
  <si>
    <t xml:space="preserve">BOEING 747-437 </t>
  </si>
  <si>
    <t xml:space="preserve">777-200LR </t>
  </si>
  <si>
    <t xml:space="preserve">777- 300 ER </t>
  </si>
  <si>
    <t>A-320</t>
  </si>
  <si>
    <t>A-330</t>
  </si>
  <si>
    <t>Boeing747-400</t>
  </si>
  <si>
    <t>CRJ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</si>
  <si>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</si>
  <si>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</si>
  <si>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</si>
  <si>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</si>
  <si>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</si>
  <si>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</si>
  <si>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</si>
  <si>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</si>
  <si>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</si>
  <si>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</si>
  <si>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</si>
  <si>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</si>
  <si>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</si>
  <si>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</si>
  <si>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SIZE OF AIR INDIA</t>
  </si>
  <si>
    <t xml:space="preserve">तालिका 1.15 (एयर इंडिया) </t>
  </si>
  <si>
    <t>TABLE - 1.15 (AIR INDIA)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</si>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</sst>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50">
    <xf numFmtId="0" fontId="0" fillId="0" borderId="0" xfId="0"/>
    <xf numFmtId="0" fontId="5" fillId="0" borderId="0" xfId="0" applyFont="1" applyBorder="1"/>
    <xf numFmtId="0" fontId="7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vertical="top" wrapText="1"/>
    </xf>
    <xf numFmtId="166" fontId="9" fillId="3" borderId="15" xfId="7" applyNumberFormat="1" applyFont="1" applyFill="1" applyBorder="1" applyAlignment="1" applyProtection="1">
      <alignment horizontal="left" vertical="center"/>
    </xf>
    <xf numFmtId="166" fontId="9" fillId="3" borderId="15" xfId="7" applyNumberFormat="1" applyFont="1" applyFill="1" applyBorder="1" applyAlignment="1" applyProtection="1">
      <alignment vertical="center"/>
    </xf>
    <xf numFmtId="166" fontId="10" fillId="3" borderId="14" xfId="7" applyNumberFormat="1" applyFont="1" applyFill="1" applyBorder="1" applyAlignment="1" applyProtection="1">
      <alignment vertical="center"/>
    </xf>
    <xf numFmtId="166" fontId="9" fillId="3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7" fillId="0" borderId="8" xfId="0" quotePrefix="1" applyFont="1" applyBorder="1" applyAlignment="1">
      <alignment horizontal="center" vertical="center" wrapText="1"/>
    </xf>
    <xf numFmtId="0" fontId="7" fillId="0" borderId="9" xfId="0" quotePrefix="1" applyFont="1" applyBorder="1" applyAlignment="1">
      <alignment horizontal="center" vertical="center" wrapText="1"/>
    </xf>
    <xf numFmtId="0" fontId="7" fillId="0" borderId="13" xfId="0" quotePrefix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97</v>
      </c>
      <c r="B1" s="7" t="s">
        <v>97</v>
      </c>
      <c r="C1" s="7" t="s">
        <v>97</v>
      </c>
      <c r="D1" s="7" t="s">
        <v>97</v>
      </c>
      <c r="E1" s="7" t="s">
        <v>97</v>
      </c>
      <c r="F1" s="7" t="s">
        <v>97</v>
      </c>
      <c r="G1" s="7" t="s">
        <v>97</v>
      </c>
      <c r="H1" s="7" t="s">
        <v>97</v>
      </c>
      <c r="I1" s="7" t="s">
        <v>97</v>
      </c>
      <c r="J1" s="7" t="s">
        <v>97</v>
      </c>
      <c r="K1" s="7" t="s">
        <v>97</v>
      </c>
      <c r="L1" s="7" t="s">
        <v>97</v>
      </c>
      <c r="M1" s="7" t="s">
        <v>97</v>
      </c>
      <c r="N1" s="7" t="s">
        <v>97</v>
      </c>
      <c r="O1" s="7" t="s">
        <v>97</v>
      </c>
      <c r="P1" s="7" t="s">
        <v>97</v>
      </c>
      <c r="Q1" s="7" t="s">
        <v>97</v>
      </c>
      <c r="R1" s="7" t="s">
        <v>97</v>
      </c>
      <c r="S1" s="7" t="s">
        <v>97</v>
      </c>
      <c r="T1" s="7" t="s">
        <v>97</v>
      </c>
      <c r="U1" s="7" t="s">
        <v>97</v>
      </c>
      <c r="V1" s="7" t="s">
        <v>97</v>
      </c>
      <c r="W1" s="7" t="s">
        <v>97</v>
      </c>
      <c r="X1" s="7" t="s">
        <v>97</v>
      </c>
      <c r="Y1" s="7" t="s">
        <v>97</v>
      </c>
      <c r="Z1" s="7" t="s">
        <v>97</v>
      </c>
      <c r="AA1" s="7" t="s">
        <v>97</v>
      </c>
      <c r="AB1" s="7" t="s">
        <v>97</v>
      </c>
      <c r="AC1" s="7" t="s">
        <v>97</v>
      </c>
      <c r="AD1" s="7" t="s">
        <v>97</v>
      </c>
      <c r="AE1" s="7" t="s">
        <v>97</v>
      </c>
      <c r="AF1" s="7" t="s">
        <v>97</v>
      </c>
      <c r="AG1" s="7" t="s">
        <v>97</v>
      </c>
      <c r="AH1" s="7" t="s">
        <v>97</v>
      </c>
      <c r="AI1" s="7" t="s">
        <v>97</v>
      </c>
      <c r="AJ1" s="7" t="s">
        <v>97</v>
      </c>
      <c r="AK1" s="7" t="s">
        <v>97</v>
      </c>
      <c r="AQ1" s="3" t="s">
        <v>32</v>
      </c>
      <c r="AR1" t="s">
        <v>22</v>
      </c>
    </row>
    <row r="2" spans="1:57">
      <c r="A2" s="7" t="s">
        <v>97</v>
      </c>
      <c r="B2" s="24" t="e">
        <f>#REF!</f>
        <v>#REF!</v>
      </c>
      <c r="C2" s="7" t="s">
        <v>97</v>
      </c>
      <c r="D2" s="7" t="s">
        <v>97</v>
      </c>
      <c r="E2" s="7" t="s">
        <v>97</v>
      </c>
      <c r="F2" s="7" t="s">
        <v>97</v>
      </c>
      <c r="G2" s="7" t="s">
        <v>97</v>
      </c>
      <c r="H2" s="7" t="s">
        <v>97</v>
      </c>
      <c r="I2" s="7" t="s">
        <v>97</v>
      </c>
      <c r="J2" s="7" t="s">
        <v>97</v>
      </c>
      <c r="K2" s="7" t="s">
        <v>97</v>
      </c>
      <c r="L2" s="7" t="s">
        <v>97</v>
      </c>
      <c r="M2" s="7" t="s">
        <v>97</v>
      </c>
      <c r="N2" s="7" t="s">
        <v>97</v>
      </c>
      <c r="O2" s="7" t="s">
        <v>97</v>
      </c>
      <c r="P2" s="7" t="s">
        <v>97</v>
      </c>
      <c r="Q2" s="7" t="s">
        <v>97</v>
      </c>
      <c r="R2" s="7" t="s">
        <v>97</v>
      </c>
      <c r="S2" s="7" t="s">
        <v>97</v>
      </c>
      <c r="T2" s="7" t="s">
        <v>97</v>
      </c>
      <c r="U2" s="7" t="s">
        <v>97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  <c r="AD2" s="7" t="s">
        <v>97</v>
      </c>
      <c r="AE2" s="7" t="s">
        <v>97</v>
      </c>
      <c r="AF2" s="7" t="s">
        <v>97</v>
      </c>
      <c r="AG2" s="7" t="s">
        <v>97</v>
      </c>
      <c r="AH2" s="7" t="s">
        <v>97</v>
      </c>
      <c r="AI2" s="7" t="s">
        <v>97</v>
      </c>
      <c r="AJ2" s="7" t="s">
        <v>97</v>
      </c>
      <c r="AK2" s="7" t="s">
        <v>97</v>
      </c>
    </row>
    <row r="3" spans="1:57" ht="15.75" customHeight="1">
      <c r="A3" s="3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7" t="s">
        <v>97</v>
      </c>
      <c r="L3" s="7" t="s">
        <v>97</v>
      </c>
      <c r="M3" s="7" t="s">
        <v>97</v>
      </c>
      <c r="N3" s="7" t="s">
        <v>97</v>
      </c>
      <c r="O3" s="7" t="s">
        <v>97</v>
      </c>
      <c r="P3" s="7" t="s">
        <v>97</v>
      </c>
      <c r="Q3" s="7" t="s">
        <v>97</v>
      </c>
      <c r="R3" s="7" t="s">
        <v>97</v>
      </c>
      <c r="S3" s="7" t="s">
        <v>97</v>
      </c>
      <c r="T3" s="20" t="s">
        <v>97</v>
      </c>
      <c r="U3" s="3" t="s">
        <v>32</v>
      </c>
      <c r="V3" s="3" t="s">
        <v>33</v>
      </c>
      <c r="W3" s="3" t="s">
        <v>47</v>
      </c>
      <c r="X3" s="3" t="s">
        <v>48</v>
      </c>
      <c r="Y3" s="3" t="s">
        <v>49</v>
      </c>
      <c r="Z3" s="3" t="s">
        <v>50</v>
      </c>
      <c r="AA3" s="3" t="s">
        <v>34</v>
      </c>
      <c r="AB3" s="3" t="s">
        <v>35</v>
      </c>
      <c r="AC3" s="3" t="s">
        <v>36</v>
      </c>
      <c r="AD3" s="3" t="s">
        <v>51</v>
      </c>
      <c r="AE3" s="3" t="s">
        <v>52</v>
      </c>
      <c r="AF3" s="3" t="s">
        <v>53</v>
      </c>
      <c r="AG3" s="3" t="s">
        <v>54</v>
      </c>
      <c r="AH3" s="3" t="s">
        <v>55</v>
      </c>
      <c r="AI3" s="3" t="s">
        <v>56</v>
      </c>
      <c r="AJ3" s="3" t="s">
        <v>57</v>
      </c>
      <c r="AK3" s="3" t="s">
        <v>58</v>
      </c>
      <c r="AQ3" s="3" t="s">
        <v>33</v>
      </c>
      <c r="AR3" s="3" t="s">
        <v>47</v>
      </c>
      <c r="AS3" s="3" t="s">
        <v>48</v>
      </c>
      <c r="AT3" s="3" t="s">
        <v>49</v>
      </c>
      <c r="AU3" s="3" t="s">
        <v>50</v>
      </c>
      <c r="AV3" s="3" t="s">
        <v>34</v>
      </c>
      <c r="AW3" s="3" t="s">
        <v>35</v>
      </c>
      <c r="AX3" s="3" t="s">
        <v>36</v>
      </c>
      <c r="AY3" s="3" t="s">
        <v>51</v>
      </c>
      <c r="AZ3" s="3" t="s">
        <v>52</v>
      </c>
      <c r="BA3" s="3" t="s">
        <v>54</v>
      </c>
      <c r="BB3" s="3" t="s">
        <v>55</v>
      </c>
      <c r="BC3" s="3" t="s">
        <v>56</v>
      </c>
      <c r="BD3" s="3" t="s">
        <v>58</v>
      </c>
    </row>
    <row r="4" spans="1:57" ht="15.75" customHeight="1">
      <c r="A4" s="4" t="s">
        <v>16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44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2"/>
    </row>
    <row r="6" spans="1:57">
      <c r="A6" s="4" t="s">
        <v>22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2"/>
    </row>
    <row r="7" spans="1:57">
      <c r="A7" s="4" t="s">
        <v>19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4" t="s">
        <v>20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4" t="s">
        <v>21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4" t="s">
        <v>25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4" t="s">
        <v>27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4" t="s">
        <v>28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4" t="s">
        <v>171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4" t="s">
        <v>31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4" t="s">
        <v>40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4" t="s">
        <v>41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4" t="s">
        <v>42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4" t="s">
        <v>199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4" t="s">
        <v>200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4" t="s">
        <v>45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1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1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1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1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1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1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1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1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1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1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1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1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1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1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1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1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1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1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1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1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1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1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1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1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1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1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1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1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1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1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1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1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1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43</v>
      </c>
      <c r="B3" t="s">
        <v>62</v>
      </c>
      <c r="C3" t="s">
        <v>72</v>
      </c>
      <c r="V3" s="6" t="s">
        <v>73</v>
      </c>
      <c r="W3" s="3" t="s">
        <v>37</v>
      </c>
      <c r="X3" s="3" t="s">
        <v>59</v>
      </c>
      <c r="Y3" t="s">
        <v>71</v>
      </c>
      <c r="Z3" t="s">
        <v>62</v>
      </c>
      <c r="AA3" t="s">
        <v>72</v>
      </c>
    </row>
    <row r="4" spans="1:27">
      <c r="A4" s="4" t="s">
        <v>27</v>
      </c>
      <c r="B4" s="5">
        <v>2467</v>
      </c>
      <c r="C4" s="5">
        <v>3806.1423290000002</v>
      </c>
      <c r="V4" t="str">
        <f>W4&amp;X4</f>
        <v>AIR ASIAP1</v>
      </c>
      <c r="W4" t="s">
        <v>27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19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27</v>
      </c>
      <c r="X5" t="s">
        <v>8</v>
      </c>
      <c r="Y5" s="5"/>
      <c r="Z5" s="5"/>
      <c r="AA5" s="5"/>
    </row>
    <row r="6" spans="1:27">
      <c r="A6" s="4" t="s">
        <v>20</v>
      </c>
      <c r="B6" s="5">
        <v>1472</v>
      </c>
      <c r="C6" s="5">
        <v>2956.1</v>
      </c>
      <c r="V6" t="str">
        <f t="shared" si="0"/>
        <v>AIR ASIAP3</v>
      </c>
      <c r="W6" t="s">
        <v>27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42</v>
      </c>
      <c r="B7" s="5">
        <v>61052</v>
      </c>
      <c r="C7" s="5">
        <v>93775.981349000009</v>
      </c>
      <c r="V7" t="str">
        <f t="shared" si="0"/>
        <v>AIR ASIAP4</v>
      </c>
      <c r="W7" t="s">
        <v>27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21</v>
      </c>
      <c r="B8" s="5">
        <v>648</v>
      </c>
      <c r="C8" s="5">
        <v>1392.7165519999999</v>
      </c>
      <c r="V8" t="str">
        <f t="shared" si="0"/>
        <v>AIR ASIAP4.1</v>
      </c>
      <c r="W8" t="s">
        <v>27</v>
      </c>
      <c r="X8" t="s">
        <v>38</v>
      </c>
      <c r="Y8" s="5">
        <v>180</v>
      </c>
      <c r="Z8" s="5">
        <v>199</v>
      </c>
      <c r="AA8" s="5">
        <v>337.623289</v>
      </c>
    </row>
    <row r="9" spans="1:27">
      <c r="A9" s="4" t="s">
        <v>29</v>
      </c>
      <c r="B9" s="5">
        <v>1389</v>
      </c>
      <c r="C9" s="5">
        <v>1617.18</v>
      </c>
      <c r="V9" t="str">
        <f t="shared" si="0"/>
        <v>AIR ASIAP4.2</v>
      </c>
      <c r="W9" t="s">
        <v>27</v>
      </c>
      <c r="X9" t="s">
        <v>39</v>
      </c>
      <c r="Y9" s="5"/>
      <c r="Z9" s="5"/>
      <c r="AA9" s="5"/>
    </row>
    <row r="10" spans="1:27">
      <c r="A10" s="4" t="s">
        <v>22</v>
      </c>
      <c r="B10" s="5">
        <v>4140</v>
      </c>
      <c r="C10" s="5">
        <v>6380</v>
      </c>
      <c r="V10" t="str">
        <f t="shared" si="0"/>
        <v>AIR ASIAP5</v>
      </c>
      <c r="W10" t="s">
        <v>27</v>
      </c>
      <c r="X10" t="s">
        <v>11</v>
      </c>
      <c r="Y10" s="5"/>
      <c r="Z10" s="5"/>
      <c r="AA10" s="5"/>
    </row>
    <row r="11" spans="1:27">
      <c r="A11" s="4" t="s">
        <v>16</v>
      </c>
      <c r="B11" s="5">
        <v>25201</v>
      </c>
      <c r="C11" s="5">
        <v>33290.79</v>
      </c>
      <c r="V11" t="str">
        <f t="shared" si="0"/>
        <v>AIR ASIAP6</v>
      </c>
      <c r="W11" t="s">
        <v>27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40</v>
      </c>
      <c r="B12" s="5">
        <v>12112</v>
      </c>
      <c r="C12" s="5">
        <v>34401.086552000001</v>
      </c>
      <c r="V12" t="str">
        <f t="shared" si="0"/>
        <v>AIR INDIAP1</v>
      </c>
      <c r="W12" t="s">
        <v>19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41</v>
      </c>
      <c r="B13" s="5">
        <v>48940</v>
      </c>
      <c r="C13" s="5">
        <v>59374.894797000001</v>
      </c>
      <c r="V13" t="str">
        <f t="shared" si="0"/>
        <v>AIR INDIAP2</v>
      </c>
      <c r="W13" t="s">
        <v>19</v>
      </c>
      <c r="X13" t="s">
        <v>8</v>
      </c>
      <c r="Y13" s="5"/>
      <c r="Z13" s="5"/>
      <c r="AA13" s="5"/>
    </row>
    <row r="14" spans="1:27">
      <c r="A14" s="4" t="s">
        <v>25</v>
      </c>
      <c r="B14" s="5">
        <v>12094</v>
      </c>
      <c r="C14" s="5">
        <v>9401.4900000000016</v>
      </c>
      <c r="V14" t="str">
        <f t="shared" si="0"/>
        <v>AIR INDIAP3</v>
      </c>
      <c r="W14" t="s">
        <v>19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31</v>
      </c>
      <c r="B15" s="5">
        <v>895</v>
      </c>
      <c r="C15" s="5">
        <v>801.87858399999982</v>
      </c>
      <c r="V15" t="str">
        <f t="shared" si="0"/>
        <v>AIR INDIAP4</v>
      </c>
      <c r="W15" t="s">
        <v>19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28</v>
      </c>
      <c r="B16" s="5">
        <v>2721</v>
      </c>
      <c r="C16" s="5">
        <v>4070.3999999999996</v>
      </c>
      <c r="V16" t="str">
        <f t="shared" si="0"/>
        <v>AIR INDIAP4.1</v>
      </c>
      <c r="W16" t="s">
        <v>19</v>
      </c>
      <c r="X16" t="s">
        <v>38</v>
      </c>
      <c r="Y16" s="5"/>
      <c r="Z16" s="5"/>
      <c r="AA16" s="5"/>
    </row>
    <row r="17" spans="1:27">
      <c r="A17" s="4" t="s">
        <v>44</v>
      </c>
      <c r="B17" s="5"/>
      <c r="C17" s="5"/>
      <c r="V17" t="str">
        <f t="shared" si="0"/>
        <v>AIR INDIAP4.2</v>
      </c>
      <c r="W17" t="s">
        <v>19</v>
      </c>
      <c r="X17" t="s">
        <v>39</v>
      </c>
      <c r="Y17" s="5"/>
      <c r="Z17" s="5"/>
      <c r="AA17" s="5"/>
    </row>
    <row r="18" spans="1:27">
      <c r="A18" s="4" t="s">
        <v>199</v>
      </c>
      <c r="B18" s="5"/>
      <c r="C18" s="5"/>
      <c r="V18" t="str">
        <f t="shared" si="0"/>
        <v>AIR INDIAP5</v>
      </c>
      <c r="W18" t="s">
        <v>19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201</v>
      </c>
      <c r="B19" s="5">
        <v>33</v>
      </c>
      <c r="C19" s="5">
        <v>7.0138840000000009</v>
      </c>
      <c r="V19" t="str">
        <f t="shared" si="0"/>
        <v>AIR INDIAP6</v>
      </c>
      <c r="W19" t="s">
        <v>19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45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20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20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20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20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20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20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42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21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21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21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21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21</v>
      </c>
      <c r="X40" t="s">
        <v>38</v>
      </c>
      <c r="Y40" s="5"/>
      <c r="Z40" s="5"/>
      <c r="AA40" s="5"/>
    </row>
    <row r="41" spans="22:27">
      <c r="V41" t="str">
        <f t="shared" si="0"/>
        <v>ALLIANCE AIRP4.2</v>
      </c>
      <c r="W41" t="s">
        <v>21</v>
      </c>
      <c r="X41" t="s">
        <v>39</v>
      </c>
      <c r="Y41" s="5"/>
      <c r="Z41" s="5"/>
      <c r="AA41" s="5"/>
    </row>
    <row r="42" spans="22:27">
      <c r="V42" t="str">
        <f t="shared" si="0"/>
        <v>ALLIANCE AIRP5</v>
      </c>
      <c r="W42" t="s">
        <v>21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21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29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29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29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29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29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29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22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22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22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22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22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22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16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16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16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16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16</v>
      </c>
      <c r="X64" t="s">
        <v>38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16</v>
      </c>
      <c r="X65" t="s">
        <v>39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16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16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40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40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41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25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25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25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25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25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25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31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31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31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31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31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31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28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28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28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28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28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28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5"/>
      <c r="Z108" s="5"/>
      <c r="AA108" s="5"/>
    </row>
    <row r="109" spans="22:27">
      <c r="V109" t="str">
        <f t="shared" si="1"/>
        <v>STAR AIRP1</v>
      </c>
      <c r="W109" t="s">
        <v>199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199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199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199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199</v>
      </c>
      <c r="X113" t="s">
        <v>38</v>
      </c>
      <c r="Y113" s="5"/>
      <c r="Z113" s="5"/>
      <c r="AA113" s="5"/>
    </row>
    <row r="114" spans="22:27">
      <c r="V114" t="str">
        <f t="shared" si="1"/>
        <v>STAR AIRP4.2</v>
      </c>
      <c r="W114" t="s">
        <v>199</v>
      </c>
      <c r="X114" t="s">
        <v>39</v>
      </c>
      <c r="Y114" s="5"/>
      <c r="Z114" s="5"/>
      <c r="AA114" s="5"/>
    </row>
    <row r="115" spans="22:27">
      <c r="V115" t="str">
        <f t="shared" si="1"/>
        <v>STAR AIRP5</v>
      </c>
      <c r="W115" t="s">
        <v>199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199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201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201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201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201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201</v>
      </c>
      <c r="X121" t="s">
        <v>38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201</v>
      </c>
      <c r="X122" t="s">
        <v>39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201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201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14</v>
      </c>
      <c r="C2" s="9" t="s">
        <v>99</v>
      </c>
      <c r="D2" s="9" t="s">
        <v>100</v>
      </c>
      <c r="E2" s="9" t="s">
        <v>15</v>
      </c>
      <c r="F2" s="9" t="s">
        <v>101</v>
      </c>
      <c r="G2" s="10" t="s">
        <v>102</v>
      </c>
      <c r="H2" s="10" t="s">
        <v>103</v>
      </c>
      <c r="I2" s="11" t="s">
        <v>104</v>
      </c>
      <c r="J2" s="10" t="s">
        <v>105</v>
      </c>
      <c r="K2" s="10" t="s">
        <v>106</v>
      </c>
      <c r="L2" s="10" t="s">
        <v>107</v>
      </c>
      <c r="M2" s="10" t="s">
        <v>108</v>
      </c>
      <c r="N2" s="10" t="s">
        <v>109</v>
      </c>
      <c r="O2" s="10" t="s">
        <v>110</v>
      </c>
      <c r="P2" s="10" t="s">
        <v>111</v>
      </c>
      <c r="Q2" s="10" t="s">
        <v>112</v>
      </c>
      <c r="R2" s="10" t="s">
        <v>113</v>
      </c>
      <c r="S2" s="12" t="s">
        <v>114</v>
      </c>
      <c r="T2" s="10" t="s">
        <v>115</v>
      </c>
      <c r="U2" s="10" t="s">
        <v>116</v>
      </c>
      <c r="V2" s="9" t="s">
        <v>117</v>
      </c>
      <c r="W2" s="10" t="s">
        <v>118</v>
      </c>
      <c r="X2" s="9" t="s">
        <v>119</v>
      </c>
      <c r="Y2" s="9" t="s">
        <v>120</v>
      </c>
    </row>
    <row r="3" spans="1:25">
      <c r="A3" s="3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7" customFormat="1">
      <c r="A4" s="19" t="s">
        <v>27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19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20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21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29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22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16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23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24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25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31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28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44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41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42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199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200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198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45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80"/>
  <sheetViews>
    <sheetView tabSelected="1" view="pageBreakPreview" zoomScale="75" zoomScaleNormal="75" zoomScaleSheetLayoutView="75" workbookViewId="0">
      <selection activeCell="C84" sqref="C84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15.75">
      <c r="A1" s="31" t="s">
        <v>205</v>
      </c>
      <c r="B1" s="32"/>
      <c r="C1" s="32"/>
      <c r="D1" s="33"/>
    </row>
    <row r="2" spans="1:4" ht="15.75">
      <c r="A2" s="34" t="s">
        <v>206</v>
      </c>
      <c r="B2" s="35"/>
      <c r="C2" s="35"/>
      <c r="D2" s="36"/>
    </row>
    <row r="3" spans="1:4" ht="15.75">
      <c r="A3" s="49" t="s">
        <v>204</v>
      </c>
      <c r="B3" s="49"/>
      <c r="C3" s="49"/>
      <c r="D3" s="49"/>
    </row>
    <row r="4" spans="1:4" ht="31.5">
      <c r="A4" s="2" t="s">
        <v>0</v>
      </c>
      <c r="B4" s="2" t="s">
        <v>4</v>
      </c>
      <c r="C4" s="2" t="s">
        <v>3</v>
      </c>
      <c r="D4" s="2" t="s">
        <v>5</v>
      </c>
    </row>
    <row r="5" spans="1:4" ht="15">
      <c r="A5" s="37" t="s">
        <v>1</v>
      </c>
      <c r="B5" s="37">
        <v>94</v>
      </c>
      <c r="C5" s="25" t="s">
        <v>178</v>
      </c>
      <c r="D5" s="26">
        <v>24</v>
      </c>
    </row>
    <row r="6" spans="1:4" ht="15">
      <c r="A6" s="38"/>
      <c r="B6" s="38"/>
      <c r="C6" s="25" t="s">
        <v>143</v>
      </c>
      <c r="D6" s="26">
        <v>20</v>
      </c>
    </row>
    <row r="7" spans="1:4" ht="15">
      <c r="A7" s="38"/>
      <c r="B7" s="38"/>
      <c r="C7" s="25" t="s">
        <v>179</v>
      </c>
      <c r="D7" s="26">
        <v>20</v>
      </c>
    </row>
    <row r="8" spans="1:4" ht="15">
      <c r="A8" s="38"/>
      <c r="B8" s="38"/>
      <c r="C8" s="25" t="s">
        <v>180</v>
      </c>
      <c r="D8" s="26">
        <v>2</v>
      </c>
    </row>
    <row r="9" spans="1:4" ht="15">
      <c r="A9" s="38"/>
      <c r="B9" s="38"/>
      <c r="C9" s="25" t="s">
        <v>181</v>
      </c>
      <c r="D9" s="26">
        <v>3</v>
      </c>
    </row>
    <row r="10" spans="1:4" ht="15">
      <c r="A10" s="38"/>
      <c r="B10" s="38"/>
      <c r="C10" s="25" t="s">
        <v>182</v>
      </c>
      <c r="D10" s="26">
        <v>2</v>
      </c>
    </row>
    <row r="11" spans="1:4" ht="15">
      <c r="A11" s="38"/>
      <c r="B11" s="38"/>
      <c r="C11" s="25" t="s">
        <v>183</v>
      </c>
      <c r="D11" s="26">
        <v>3</v>
      </c>
    </row>
    <row r="12" spans="1:4" ht="15">
      <c r="A12" s="38"/>
      <c r="B12" s="38"/>
      <c r="C12" s="25" t="s">
        <v>184</v>
      </c>
      <c r="D12" s="26">
        <v>8</v>
      </c>
    </row>
    <row r="13" spans="1:4" ht="15">
      <c r="A13" s="39"/>
      <c r="B13" s="39"/>
      <c r="C13" s="25" t="s">
        <v>185</v>
      </c>
      <c r="D13" s="26">
        <v>12</v>
      </c>
    </row>
    <row r="14" spans="1:4" ht="15">
      <c r="A14" s="37" t="s">
        <v>2</v>
      </c>
      <c r="B14" s="37">
        <v>93</v>
      </c>
      <c r="C14" s="25" t="s">
        <v>142</v>
      </c>
      <c r="D14" s="26">
        <v>24</v>
      </c>
    </row>
    <row r="15" spans="1:4" ht="15">
      <c r="A15" s="38"/>
      <c r="B15" s="38"/>
      <c r="C15" s="25" t="s">
        <v>186</v>
      </c>
      <c r="D15" s="26">
        <v>20</v>
      </c>
    </row>
    <row r="16" spans="1:4" ht="15">
      <c r="A16" s="38"/>
      <c r="B16" s="38"/>
      <c r="C16" s="25" t="s">
        <v>144</v>
      </c>
      <c r="D16" s="26">
        <v>20</v>
      </c>
    </row>
    <row r="17" spans="1:4" ht="15">
      <c r="A17" s="38"/>
      <c r="B17" s="38"/>
      <c r="C17" s="25" t="s">
        <v>187</v>
      </c>
      <c r="D17" s="26">
        <v>2</v>
      </c>
    </row>
    <row r="18" spans="1:4" ht="15">
      <c r="A18" s="38"/>
      <c r="B18" s="38"/>
      <c r="C18" s="25" t="s">
        <v>188</v>
      </c>
      <c r="D18" s="26">
        <v>3</v>
      </c>
    </row>
    <row r="19" spans="1:4" ht="15">
      <c r="A19" s="38"/>
      <c r="B19" s="38"/>
      <c r="C19" s="25" t="s">
        <v>139</v>
      </c>
      <c r="D19" s="26">
        <v>8</v>
      </c>
    </row>
    <row r="20" spans="1:4" ht="15">
      <c r="A20" s="38"/>
      <c r="B20" s="38"/>
      <c r="C20" s="25" t="s">
        <v>140</v>
      </c>
      <c r="D20" s="26">
        <v>12</v>
      </c>
    </row>
    <row r="21" spans="1:4" ht="15">
      <c r="A21" s="39"/>
      <c r="B21" s="39"/>
      <c r="C21" s="25" t="s">
        <v>189</v>
      </c>
      <c r="D21" s="26">
        <v>4</v>
      </c>
    </row>
    <row r="22" spans="1:4" ht="15">
      <c r="A22" s="37" t="s">
        <v>13</v>
      </c>
      <c r="B22" s="37">
        <v>96</v>
      </c>
      <c r="C22" s="25" t="s">
        <v>142</v>
      </c>
      <c r="D22" s="26">
        <v>22</v>
      </c>
    </row>
    <row r="23" spans="1:4" ht="15">
      <c r="A23" s="38"/>
      <c r="B23" s="38"/>
      <c r="C23" s="25" t="s">
        <v>143</v>
      </c>
      <c r="D23" s="26">
        <v>18</v>
      </c>
    </row>
    <row r="24" spans="1:4" ht="15">
      <c r="A24" s="38"/>
      <c r="B24" s="38"/>
      <c r="C24" s="25" t="s">
        <v>144</v>
      </c>
      <c r="D24" s="26">
        <v>20</v>
      </c>
    </row>
    <row r="25" spans="1:4" ht="15">
      <c r="A25" s="38"/>
      <c r="B25" s="38"/>
      <c r="C25" s="25" t="s">
        <v>187</v>
      </c>
      <c r="D25" s="26">
        <v>2</v>
      </c>
    </row>
    <row r="26" spans="1:4" ht="15">
      <c r="A26" s="38"/>
      <c r="B26" s="38"/>
      <c r="C26" s="25" t="s">
        <v>138</v>
      </c>
      <c r="D26" s="26">
        <v>3</v>
      </c>
    </row>
    <row r="27" spans="1:4" ht="15">
      <c r="A27" s="38"/>
      <c r="B27" s="38"/>
      <c r="C27" s="25" t="s">
        <v>139</v>
      </c>
      <c r="D27" s="26">
        <v>6</v>
      </c>
    </row>
    <row r="28" spans="1:4" ht="15">
      <c r="A28" s="38"/>
      <c r="B28" s="38"/>
      <c r="C28" s="25" t="s">
        <v>140</v>
      </c>
      <c r="D28" s="26">
        <v>12</v>
      </c>
    </row>
    <row r="29" spans="1:4" ht="15">
      <c r="A29" s="39"/>
      <c r="B29" s="39"/>
      <c r="C29" s="25" t="s">
        <v>141</v>
      </c>
      <c r="D29" s="26">
        <v>13</v>
      </c>
    </row>
    <row r="30" spans="1:4" ht="15">
      <c r="A30" s="37" t="s">
        <v>6</v>
      </c>
      <c r="B30" s="37">
        <v>101</v>
      </c>
      <c r="C30" s="25" t="s">
        <v>142</v>
      </c>
      <c r="D30" s="26">
        <v>22</v>
      </c>
    </row>
    <row r="31" spans="1:4" ht="15">
      <c r="A31" s="38"/>
      <c r="B31" s="38"/>
      <c r="C31" s="25" t="s">
        <v>186</v>
      </c>
      <c r="D31" s="26">
        <v>20</v>
      </c>
    </row>
    <row r="32" spans="1:4" ht="15">
      <c r="A32" s="38"/>
      <c r="B32" s="38"/>
      <c r="C32" s="25" t="s">
        <v>144</v>
      </c>
      <c r="D32" s="26">
        <v>20</v>
      </c>
    </row>
    <row r="33" spans="1:4" ht="15">
      <c r="A33" s="38"/>
      <c r="B33" s="38"/>
      <c r="C33" s="25" t="s">
        <v>188</v>
      </c>
      <c r="D33" s="26">
        <v>5</v>
      </c>
    </row>
    <row r="34" spans="1:4" ht="15">
      <c r="A34" s="38"/>
      <c r="B34" s="38"/>
      <c r="C34" s="25" t="s">
        <v>139</v>
      </c>
      <c r="D34" s="26">
        <v>3</v>
      </c>
    </row>
    <row r="35" spans="1:4" ht="15">
      <c r="A35" s="38"/>
      <c r="B35" s="38"/>
      <c r="C35" s="25" t="s">
        <v>140</v>
      </c>
      <c r="D35" s="26">
        <v>12</v>
      </c>
    </row>
    <row r="36" spans="1:4" ht="15">
      <c r="A36" s="39"/>
      <c r="B36" s="39"/>
      <c r="C36" s="25" t="s">
        <v>141</v>
      </c>
      <c r="D36" s="26">
        <v>19</v>
      </c>
    </row>
    <row r="37" spans="1:4" ht="15">
      <c r="A37" s="37" t="s">
        <v>18</v>
      </c>
      <c r="B37" s="37">
        <v>107</v>
      </c>
      <c r="C37" s="25" t="s">
        <v>190</v>
      </c>
      <c r="D37" s="26">
        <v>22</v>
      </c>
    </row>
    <row r="38" spans="1:4" ht="15">
      <c r="A38" s="38"/>
      <c r="B38" s="38"/>
      <c r="C38" s="25" t="s">
        <v>191</v>
      </c>
      <c r="D38" s="26">
        <v>24</v>
      </c>
    </row>
    <row r="39" spans="1:4" ht="15">
      <c r="A39" s="38"/>
      <c r="B39" s="38"/>
      <c r="C39" s="25" t="s">
        <v>192</v>
      </c>
      <c r="D39" s="26">
        <v>20</v>
      </c>
    </row>
    <row r="40" spans="1:4" ht="15">
      <c r="A40" s="38"/>
      <c r="B40" s="38"/>
      <c r="C40" s="25" t="s">
        <v>188</v>
      </c>
      <c r="D40" s="26">
        <v>5</v>
      </c>
    </row>
    <row r="41" spans="1:4" ht="15">
      <c r="A41" s="38"/>
      <c r="B41" s="38"/>
      <c r="C41" s="25" t="s">
        <v>193</v>
      </c>
      <c r="D41" s="26">
        <v>3</v>
      </c>
    </row>
    <row r="42" spans="1:4" ht="15">
      <c r="A42" s="38"/>
      <c r="B42" s="38"/>
      <c r="C42" s="25" t="s">
        <v>194</v>
      </c>
      <c r="D42" s="26">
        <v>12</v>
      </c>
    </row>
    <row r="43" spans="1:4" ht="15">
      <c r="A43" s="39"/>
      <c r="B43" s="39"/>
      <c r="C43" s="25" t="s">
        <v>195</v>
      </c>
      <c r="D43" s="26">
        <v>21</v>
      </c>
    </row>
    <row r="44" spans="1:4" ht="15">
      <c r="A44" s="43" t="s">
        <v>60</v>
      </c>
      <c r="B44" s="46">
        <v>111</v>
      </c>
      <c r="C44" s="25" t="s">
        <v>138</v>
      </c>
      <c r="D44" s="27">
        <v>5</v>
      </c>
    </row>
    <row r="45" spans="1:4" ht="15">
      <c r="A45" s="44"/>
      <c r="B45" s="47"/>
      <c r="C45" s="25" t="s">
        <v>139</v>
      </c>
      <c r="D45" s="26">
        <v>3</v>
      </c>
    </row>
    <row r="46" spans="1:4" ht="15">
      <c r="A46" s="44"/>
      <c r="B46" s="47"/>
      <c r="C46" s="25" t="s">
        <v>140</v>
      </c>
      <c r="D46" s="26">
        <v>12</v>
      </c>
    </row>
    <row r="47" spans="1:4" ht="15">
      <c r="A47" s="44"/>
      <c r="B47" s="47"/>
      <c r="C47" s="25" t="s">
        <v>141</v>
      </c>
      <c r="D47" s="26">
        <v>23</v>
      </c>
    </row>
    <row r="48" spans="1:4" ht="15">
      <c r="A48" s="44"/>
      <c r="B48" s="47"/>
      <c r="C48" s="25" t="s">
        <v>142</v>
      </c>
      <c r="D48" s="26">
        <v>22</v>
      </c>
    </row>
    <row r="49" spans="1:4" ht="15">
      <c r="A49" s="44"/>
      <c r="B49" s="47"/>
      <c r="C49" s="25" t="s">
        <v>143</v>
      </c>
      <c r="D49" s="26">
        <v>26</v>
      </c>
    </row>
    <row r="50" spans="1:4" ht="15">
      <c r="A50" s="45"/>
      <c r="B50" s="48"/>
      <c r="C50" s="25" t="s">
        <v>144</v>
      </c>
      <c r="D50" s="26">
        <v>20</v>
      </c>
    </row>
    <row r="51" spans="1:4" ht="15">
      <c r="A51" s="43" t="s">
        <v>175</v>
      </c>
      <c r="B51" s="46">
        <v>121</v>
      </c>
      <c r="C51" s="28" t="s">
        <v>138</v>
      </c>
      <c r="D51" s="27">
        <v>5</v>
      </c>
    </row>
    <row r="52" spans="1:4" ht="15">
      <c r="A52" s="44"/>
      <c r="B52" s="47"/>
      <c r="C52" s="28" t="s">
        <v>139</v>
      </c>
      <c r="D52" s="26">
        <v>3</v>
      </c>
    </row>
    <row r="53" spans="1:4" ht="15">
      <c r="A53" s="44"/>
      <c r="B53" s="47"/>
      <c r="C53" s="28" t="s">
        <v>140</v>
      </c>
      <c r="D53" s="26">
        <v>15</v>
      </c>
    </row>
    <row r="54" spans="1:4" ht="15">
      <c r="A54" s="44"/>
      <c r="B54" s="47"/>
      <c r="C54" s="28" t="s">
        <v>141</v>
      </c>
      <c r="D54" s="26">
        <v>27</v>
      </c>
    </row>
    <row r="55" spans="1:4" ht="15">
      <c r="A55" s="44"/>
      <c r="B55" s="47"/>
      <c r="C55" s="28" t="s">
        <v>142</v>
      </c>
      <c r="D55" s="26">
        <v>22</v>
      </c>
    </row>
    <row r="56" spans="1:4" ht="15">
      <c r="A56" s="44"/>
      <c r="B56" s="47"/>
      <c r="C56" s="28" t="s">
        <v>143</v>
      </c>
      <c r="D56" s="26">
        <v>29</v>
      </c>
    </row>
    <row r="57" spans="1:4" ht="15">
      <c r="A57" s="45"/>
      <c r="B57" s="48"/>
      <c r="C57" s="28" t="s">
        <v>144</v>
      </c>
      <c r="D57" s="26">
        <v>20</v>
      </c>
    </row>
    <row r="58" spans="1:4" ht="15">
      <c r="A58" s="43" t="s">
        <v>202</v>
      </c>
      <c r="B58" s="46">
        <v>128</v>
      </c>
      <c r="C58" s="29" t="s">
        <v>138</v>
      </c>
      <c r="D58" s="27">
        <v>5</v>
      </c>
    </row>
    <row r="59" spans="1:4" ht="15">
      <c r="A59" s="44"/>
      <c r="B59" s="47"/>
      <c r="C59" s="29" t="s">
        <v>139</v>
      </c>
      <c r="D59" s="26">
        <v>3</v>
      </c>
    </row>
    <row r="60" spans="1:4" ht="15">
      <c r="A60" s="44"/>
      <c r="B60" s="47"/>
      <c r="C60" s="29" t="s">
        <v>140</v>
      </c>
      <c r="D60" s="26">
        <v>15</v>
      </c>
    </row>
    <row r="61" spans="1:4" ht="15">
      <c r="A61" s="44"/>
      <c r="B61" s="47"/>
      <c r="C61" s="29" t="s">
        <v>141</v>
      </c>
      <c r="D61" s="26">
        <v>27</v>
      </c>
    </row>
    <row r="62" spans="1:4" ht="15">
      <c r="A62" s="44"/>
      <c r="B62" s="47"/>
      <c r="C62" s="29" t="s">
        <v>142</v>
      </c>
      <c r="D62" s="26">
        <v>22</v>
      </c>
    </row>
    <row r="63" spans="1:4" ht="15">
      <c r="A63" s="44"/>
      <c r="B63" s="47"/>
      <c r="C63" s="29" t="s">
        <v>143</v>
      </c>
      <c r="D63" s="26">
        <v>36</v>
      </c>
    </row>
    <row r="64" spans="1:4" ht="15">
      <c r="A64" s="45"/>
      <c r="B64" s="48"/>
      <c r="C64" s="29" t="s">
        <v>144</v>
      </c>
      <c r="D64" s="26">
        <v>20</v>
      </c>
    </row>
    <row r="65" spans="1:4" ht="15">
      <c r="A65" s="43" t="s">
        <v>203</v>
      </c>
      <c r="B65" s="46">
        <v>127</v>
      </c>
      <c r="C65" s="25" t="s">
        <v>138</v>
      </c>
      <c r="D65" s="27">
        <v>4</v>
      </c>
    </row>
    <row r="66" spans="1:4" ht="15">
      <c r="A66" s="44"/>
      <c r="B66" s="47"/>
      <c r="C66" s="25" t="s">
        <v>139</v>
      </c>
      <c r="D66" s="26">
        <v>3</v>
      </c>
    </row>
    <row r="67" spans="1:4" ht="15">
      <c r="A67" s="44"/>
      <c r="B67" s="47"/>
      <c r="C67" s="25" t="s">
        <v>140</v>
      </c>
      <c r="D67" s="26">
        <v>15</v>
      </c>
    </row>
    <row r="68" spans="1:4" ht="15">
      <c r="A68" s="44"/>
      <c r="B68" s="47"/>
      <c r="C68" s="25" t="s">
        <v>141</v>
      </c>
      <c r="D68" s="26">
        <v>27</v>
      </c>
    </row>
    <row r="69" spans="1:4" ht="15">
      <c r="A69" s="44"/>
      <c r="B69" s="47"/>
      <c r="C69" s="25" t="s">
        <v>142</v>
      </c>
      <c r="D69" s="26">
        <v>22</v>
      </c>
    </row>
    <row r="70" spans="1:4" ht="15">
      <c r="A70" s="44"/>
      <c r="B70" s="47"/>
      <c r="C70" s="25" t="s">
        <v>143</v>
      </c>
      <c r="D70" s="26">
        <v>36</v>
      </c>
    </row>
    <row r="71" spans="1:4" ht="15">
      <c r="A71" s="45"/>
      <c r="B71" s="48"/>
      <c r="C71" s="25" t="s">
        <v>144</v>
      </c>
      <c r="D71" s="26">
        <v>20</v>
      </c>
    </row>
    <row r="72" spans="1:4" ht="15">
      <c r="A72" s="43" t="s">
        <v>207</v>
      </c>
      <c r="B72" s="46">
        <v>125</v>
      </c>
      <c r="C72" s="30" t="s">
        <v>138</v>
      </c>
      <c r="D72" s="27">
        <v>4</v>
      </c>
    </row>
    <row r="73" spans="1:4" ht="15">
      <c r="A73" s="44"/>
      <c r="B73" s="47"/>
      <c r="C73" s="30" t="s">
        <v>139</v>
      </c>
      <c r="D73" s="26">
        <v>3</v>
      </c>
    </row>
    <row r="74" spans="1:4" ht="15">
      <c r="A74" s="44"/>
      <c r="B74" s="47"/>
      <c r="C74" s="30" t="s">
        <v>140</v>
      </c>
      <c r="D74" s="26">
        <v>13</v>
      </c>
    </row>
    <row r="75" spans="1:4" ht="15">
      <c r="A75" s="44"/>
      <c r="B75" s="47"/>
      <c r="C75" s="30" t="s">
        <v>141</v>
      </c>
      <c r="D75" s="26">
        <v>27</v>
      </c>
    </row>
    <row r="76" spans="1:4" ht="15">
      <c r="A76" s="44"/>
      <c r="B76" s="47"/>
      <c r="C76" s="30" t="s">
        <v>142</v>
      </c>
      <c r="D76" s="26">
        <v>22</v>
      </c>
    </row>
    <row r="77" spans="1:4" ht="15">
      <c r="A77" s="44"/>
      <c r="B77" s="47"/>
      <c r="C77" s="30" t="s">
        <v>143</v>
      </c>
      <c r="D77" s="26">
        <v>36</v>
      </c>
    </row>
    <row r="78" spans="1:4" ht="15">
      <c r="A78" s="45"/>
      <c r="B78" s="48"/>
      <c r="C78" s="30" t="s">
        <v>144</v>
      </c>
      <c r="D78" s="26">
        <v>20</v>
      </c>
    </row>
    <row r="79" spans="1:4" ht="15">
      <c r="A79" s="40" t="s">
        <v>196</v>
      </c>
      <c r="B79" s="41"/>
      <c r="C79" s="41"/>
      <c r="D79" s="42"/>
    </row>
    <row r="80" spans="1:4" ht="15">
      <c r="A80" s="40" t="s">
        <v>197</v>
      </c>
      <c r="B80" s="41"/>
      <c r="C80" s="41"/>
      <c r="D80" s="42"/>
    </row>
  </sheetData>
  <mergeCells count="25">
    <mergeCell ref="A79:D79"/>
    <mergeCell ref="A80:D80"/>
    <mergeCell ref="A37:A43"/>
    <mergeCell ref="B37:B43"/>
    <mergeCell ref="A44:A50"/>
    <mergeCell ref="B44:B50"/>
    <mergeCell ref="A65:A71"/>
    <mergeCell ref="B65:B71"/>
    <mergeCell ref="A51:A57"/>
    <mergeCell ref="B51:B57"/>
    <mergeCell ref="A58:A64"/>
    <mergeCell ref="B58:B64"/>
    <mergeCell ref="A72:A78"/>
    <mergeCell ref="B72:B78"/>
    <mergeCell ref="A14:A21"/>
    <mergeCell ref="B14:B21"/>
    <mergeCell ref="A22:A29"/>
    <mergeCell ref="B22:B29"/>
    <mergeCell ref="A30:A36"/>
    <mergeCell ref="B30:B36"/>
    <mergeCell ref="A1:D1"/>
    <mergeCell ref="A2:D2"/>
    <mergeCell ref="A3:D3"/>
    <mergeCell ref="A5:A13"/>
    <mergeCell ref="B5:B13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  <rowBreaks count="1" manualBreakCount="1">
    <brk id="50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2022-08-23T06:27:51Z</cp:lastPrinted>
  <dcterms:created xsi:type="dcterms:W3CDTF">2002-12-26T09:18:20Z</dcterms:created>
  <dcterms:modified xsi:type="dcterms:W3CDTF">2022-08-23T06:28:17Z</dcterms:modified>
</cp:coreProperties>
</file>