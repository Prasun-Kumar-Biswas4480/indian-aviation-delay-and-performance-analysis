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 Verma\Desktop\Annual pdf\International\"/>
    </mc:Choice>
  </mc:AlternateContent>
  <bookViews>
    <workbookView showHorizontalScroll="0" showVerticalScroll="0" showSheetTabs="0" xWindow="0" yWindow="0" windowWidth="24000" windowHeight="9435"/>
  </bookViews>
  <sheets>
    <sheet name="Table 1" sheetId="1" r:id="rId1"/>
  </sheets>
  <definedNames>
    <definedName name="_xlnm._FilterDatabase" localSheetId="0" hidden="1">'Table 1'!$J$7:$O$85</definedName>
  </definedNames>
  <calcPr calcId="152511"/>
</workbook>
</file>

<file path=xl/calcChain.xml><?xml version="1.0" encoding="utf-8"?>
<calcChain xmlns="http://schemas.openxmlformats.org/spreadsheetml/2006/main">
  <c r="J10" i="1" l="1"/>
  <c r="K10" i="1"/>
  <c r="L10" i="1"/>
  <c r="M10" i="1"/>
  <c r="N10" i="1"/>
  <c r="O10" i="1"/>
  <c r="J11" i="1"/>
  <c r="K11" i="1"/>
  <c r="L11" i="1"/>
  <c r="M11" i="1"/>
  <c r="N11" i="1"/>
  <c r="O11" i="1"/>
  <c r="J13" i="1"/>
  <c r="K13" i="1"/>
  <c r="L13" i="1"/>
  <c r="M13" i="1"/>
  <c r="N13" i="1"/>
  <c r="O13" i="1"/>
  <c r="J14" i="1"/>
  <c r="K14" i="1"/>
  <c r="L14" i="1"/>
  <c r="M14" i="1"/>
  <c r="N14" i="1"/>
  <c r="O14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7" i="1"/>
  <c r="K27" i="1"/>
  <c r="L27" i="1"/>
  <c r="M27" i="1"/>
  <c r="N27" i="1"/>
  <c r="O27" i="1"/>
  <c r="J28" i="1"/>
  <c r="K28" i="1"/>
  <c r="L28" i="1"/>
  <c r="M28" i="1"/>
  <c r="N28" i="1"/>
  <c r="O28" i="1"/>
  <c r="K29" i="1"/>
  <c r="L29" i="1"/>
  <c r="M29" i="1"/>
  <c r="J30" i="1"/>
  <c r="K30" i="1"/>
  <c r="L30" i="1"/>
  <c r="M30" i="1"/>
  <c r="N30" i="1"/>
  <c r="O30" i="1"/>
  <c r="J31" i="1"/>
  <c r="K31" i="1"/>
  <c r="L31" i="1"/>
  <c r="M31" i="1"/>
  <c r="N31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K41" i="1"/>
  <c r="L41" i="1"/>
  <c r="M41" i="1"/>
  <c r="N41" i="1"/>
  <c r="O41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51" i="1"/>
  <c r="K51" i="1"/>
  <c r="L51" i="1"/>
  <c r="M51" i="1"/>
  <c r="N51" i="1"/>
  <c r="O51" i="1"/>
  <c r="K52" i="1"/>
  <c r="L52" i="1"/>
  <c r="M52" i="1"/>
  <c r="N52" i="1"/>
  <c r="O52" i="1"/>
  <c r="J55" i="1"/>
  <c r="K55" i="1"/>
  <c r="L55" i="1"/>
  <c r="M55" i="1"/>
  <c r="N55" i="1"/>
  <c r="O55" i="1"/>
  <c r="J56" i="1"/>
  <c r="K56" i="1"/>
  <c r="L56" i="1"/>
  <c r="M56" i="1"/>
  <c r="N56" i="1"/>
  <c r="J57" i="1"/>
  <c r="K57" i="1"/>
  <c r="L57" i="1"/>
  <c r="M57" i="1"/>
  <c r="N57" i="1"/>
  <c r="O57" i="1"/>
  <c r="J58" i="1"/>
  <c r="K58" i="1"/>
  <c r="L58" i="1"/>
  <c r="J59" i="1"/>
  <c r="K59" i="1"/>
  <c r="L59" i="1"/>
  <c r="M59" i="1"/>
  <c r="N59" i="1"/>
  <c r="O59" i="1"/>
  <c r="J62" i="1"/>
  <c r="K62" i="1"/>
  <c r="L62" i="1"/>
  <c r="M62" i="1"/>
  <c r="N62" i="1"/>
  <c r="O62" i="1"/>
  <c r="J63" i="1"/>
  <c r="K63" i="1"/>
  <c r="L63" i="1"/>
  <c r="M63" i="1"/>
  <c r="N63" i="1"/>
  <c r="O63" i="1"/>
  <c r="O64" i="1"/>
  <c r="J65" i="1"/>
  <c r="K65" i="1"/>
  <c r="L65" i="1"/>
  <c r="M65" i="1"/>
  <c r="J66" i="1"/>
  <c r="K66" i="1"/>
  <c r="L66" i="1"/>
  <c r="M66" i="1"/>
  <c r="N66" i="1"/>
  <c r="O66" i="1"/>
  <c r="J68" i="1"/>
  <c r="K68" i="1"/>
  <c r="L68" i="1"/>
  <c r="J69" i="1"/>
  <c r="K69" i="1"/>
  <c r="L69" i="1"/>
  <c r="M69" i="1"/>
  <c r="N69" i="1"/>
  <c r="O69" i="1"/>
  <c r="J70" i="1"/>
  <c r="K70" i="1"/>
  <c r="L70" i="1"/>
  <c r="M70" i="1"/>
  <c r="N70" i="1"/>
  <c r="O70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N80" i="1"/>
  <c r="O80" i="1"/>
  <c r="J81" i="1"/>
  <c r="K81" i="1"/>
  <c r="L81" i="1"/>
  <c r="M81" i="1"/>
  <c r="N81" i="1"/>
  <c r="O81" i="1"/>
  <c r="K8" i="1"/>
  <c r="L8" i="1"/>
  <c r="M8" i="1"/>
  <c r="N8" i="1"/>
  <c r="O8" i="1"/>
  <c r="O82" i="1" l="1"/>
  <c r="N82" i="1"/>
  <c r="M82" i="1"/>
  <c r="L82" i="1"/>
  <c r="J8" i="1"/>
  <c r="C82" i="1" l="1"/>
  <c r="D82" i="1" l="1"/>
  <c r="K82" i="1" s="1"/>
  <c r="J82" i="1" l="1"/>
</calcChain>
</file>

<file path=xl/sharedStrings.xml><?xml version="1.0" encoding="utf-8"?>
<sst xmlns="http://schemas.openxmlformats.org/spreadsheetml/2006/main" count="222" uniqueCount="100">
  <si>
    <t>TABLE - 1.03 (INTERNATIONAL OPERATIONS)</t>
  </si>
  <si>
    <t>(PASSENGERS IN NUMBER)</t>
  </si>
  <si>
    <t>COUNTRY</t>
  </si>
  <si>
    <t>PASSENGERS</t>
  </si>
  <si>
    <t>PERCENTAGE VARIATION</t>
  </si>
  <si>
    <t>2017-18</t>
  </si>
  <si>
    <t>2016-17</t>
  </si>
  <si>
    <t>2015-16</t>
  </si>
  <si>
    <t>2014-15</t>
  </si>
  <si>
    <t>AFGHANISTAN</t>
  </si>
  <si>
    <t>AUSTRALIA</t>
  </si>
  <si>
    <t>AUSTRIA</t>
  </si>
  <si>
    <t>AZERBAIJAN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</si>
  <si>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</si>
  <si>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</si>
  <si>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</si>
  <si>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</si>
  <si>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</si>
  <si>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</si>
  <si>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</si>
  <si>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</si>
  <si>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</si>
  <si>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</si>
  <si>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</si>
  <si>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</si>
  <si>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GERMANY</t>
  </si>
  <si>
    <t>HONG KONG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</si>
  <si>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</si>
  <si>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</si>
  <si>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</si>
  <si>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</si>
  <si>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</si>
  <si>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</si>
  <si>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</si>
  <si>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</si>
  <si>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</si>
  <si>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</si>
  <si>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</si>
  <si>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</si>
  <si>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</si>
  <si>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</si>
  <si>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</si>
  <si>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</si>
  <si>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</si>
  <si>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</si>
  <si>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</si>
  <si>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</si>
  <si>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</si>
  <si>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</si>
  <si>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RWANDA</t>
  </si>
  <si>
    <t>SAUDI ARABIA</t>
  </si>
  <si>
    <t>SEYCHELLES</t>
  </si>
  <si>
    <t>SINGAPORE</t>
  </si>
  <si>
    <t>SPAIN</t>
  </si>
  <si>
    <t>SOUTH AFRICA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</si>
  <si>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</si>
  <si>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</si>
  <si>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</si>
  <si>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</si>
  <si>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</si>
  <si>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</si>
  <si>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</si>
  <si>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</si>
  <si>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KINGDOM</t>
  </si>
  <si>
    <t>UNITED STATES</t>
  </si>
  <si>
    <t>UZBEKISTAN</t>
  </si>
  <si>
    <t>VIETNAM</t>
  </si>
  <si>
    <t>YEMEN</t>
  </si>
  <si>
    <t>*UNITED ARAB EMIRATES includes Ajman, Dubai, Fujairah, Ras al-Khaimah, Sharjah, Umm al-Quwain.</t>
  </si>
  <si>
    <t>SOURCE :- MONTHLY TRAFFIC STATISTICS FURNISHED BY ALL SCHEDULED DOMESTIC AND FOREIGN  AIRLINES.</t>
  </si>
  <si>
    <r>
      <rPr>
        <b/>
        <sz val="11"/>
        <rFont val="Calibri"/>
        <family val="2"/>
        <scheme val="minor"/>
      </rPr>
      <t>SL.
No.</t>
    </r>
  </si>
  <si>
    <r>
      <rPr>
        <b/>
        <sz val="11"/>
        <rFont val="Calibri"/>
        <family val="2"/>
        <scheme val="minor"/>
      </rPr>
      <t>2017-18
OVER 2016-17</t>
    </r>
  </si>
  <si>
    <r>
      <rPr>
        <b/>
        <sz val="11"/>
        <rFont val="Calibri"/>
        <family val="2"/>
        <scheme val="minor"/>
      </rPr>
      <t>2016-17
OVER 2015-16</t>
    </r>
  </si>
  <si>
    <r>
      <rPr>
        <b/>
        <sz val="11"/>
        <rFont val="Calibri"/>
        <family val="2"/>
        <scheme val="minor"/>
      </rPr>
      <t>2015-16
OVER 2014-15</t>
    </r>
  </si>
  <si>
    <t>2018-19</t>
  </si>
  <si>
    <t>2018-19
OVER 2017-18</t>
  </si>
  <si>
    <t>सारणी 1.03 (अन्तर्राष्ट्रीय प्रचालन)</t>
  </si>
  <si>
    <t>2019-20</t>
  </si>
  <si>
    <t>2019-20 OVER 2018-19</t>
  </si>
  <si>
    <t>Total</t>
  </si>
  <si>
    <t>COUNTRY WISE SCHEDULED INTERNATIONAL PASSENGERS CARRIED BY ALL SCHEDULED DOMESTIC AND FOREIGN AIRLINES FOR THE LAST SEVEN YEARS</t>
  </si>
  <si>
    <t>ARMENIA</t>
  </si>
  <si>
    <t>CAMBODIA</t>
  </si>
  <si>
    <t>GEORGIA</t>
  </si>
  <si>
    <t>IRELAND</t>
  </si>
  <si>
    <t>LAOS</t>
  </si>
  <si>
    <t>LEBANON</t>
  </si>
  <si>
    <t>NEW ZELAND</t>
  </si>
  <si>
    <t>NIGERIA</t>
  </si>
  <si>
    <t>PHILIPPINES</t>
  </si>
  <si>
    <t>POLAND</t>
  </si>
  <si>
    <t>SCOTLAND</t>
  </si>
  <si>
    <t>SENEGAL</t>
  </si>
  <si>
    <t>SUDAN</t>
  </si>
  <si>
    <t>UKRAINE</t>
  </si>
  <si>
    <t>UNITED ARAB EMIRATES</t>
  </si>
  <si>
    <t>2020-21 OVER 2019-20</t>
  </si>
  <si>
    <t>_</t>
  </si>
  <si>
    <t>2020-21</t>
  </si>
  <si>
    <r>
      <t xml:space="preserve">NOTE: 1. </t>
    </r>
    <r>
      <rPr>
        <b/>
        <sz val="11"/>
        <color rgb="FFFF0000"/>
        <rFont val="Calibri"/>
        <family val="2"/>
        <scheme val="minor"/>
      </rPr>
      <t xml:space="preserve">THE INTERNATIONAL OPERATIONS BY SCHEDULED INDIAN OPERATORS WERE CARRIED AS PER DGCA’S CIRCULAR DATED 26.03.2020 UNDER COVID-19 RESTRICTION. </t>
    </r>
    <r>
      <rPr>
        <b/>
        <sz val="11"/>
        <rFont val="Calibri"/>
        <family val="2"/>
        <scheme val="minor"/>
      </rPr>
      <t xml:space="preserve">                                  2. THIS TABLE DOES NOT INCLUDE PASSENGERS AND FREIGHT CARRIED BY ALL SCHEDULED DOMESTIC AIRLINES ENTIRELY OUTSIDE THE INDIAN TERRITORY.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</si>
</sst>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0"/>
      <color rgb="FF000000"/>
      <name val="Times New Roman"/>
      <charset val="204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3" fontId="1" fillId="0" borderId="1" xfId="0" applyNumberFormat="1" applyFont="1" applyFill="1" applyBorder="1" applyAlignment="1">
      <alignment horizontal="right" vertical="top" shrinkToFit="1"/>
    </xf>
    <xf numFmtId="1" fontId="1" fillId="0" borderId="1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/>
    </xf>
    <xf numFmtId="3" fontId="5" fillId="4" borderId="1" xfId="0" applyNumberFormat="1" applyFont="1" applyFill="1" applyBorder="1" applyAlignment="1">
      <alignment horizontal="center" vertical="center" shrinkToFit="1"/>
    </xf>
    <xf numFmtId="164" fontId="5" fillId="4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left" vertical="top" indent="1" shrinkToFit="1"/>
    </xf>
    <xf numFmtId="0" fontId="4" fillId="0" borderId="4" xfId="0" applyFont="1" applyFill="1" applyBorder="1" applyAlignment="1">
      <alignment horizontal="left" vertical="top" wrapText="1"/>
    </xf>
    <xf numFmtId="3" fontId="1" fillId="0" borderId="4" xfId="0" applyNumberFormat="1" applyFont="1" applyFill="1" applyBorder="1" applyAlignment="1">
      <alignment horizontal="right" vertical="top" shrinkToFi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5" fontId="1" fillId="0" borderId="4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3" fontId="2" fillId="3" borderId="6" xfId="0" applyNumberFormat="1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1" xfId="0" applyNumberFormat="1" applyFont="1" applyFill="1" applyBorder="1" applyAlignment="1">
      <alignment horizontal="right" vertical="top" wrapText="1"/>
    </xf>
    <xf numFmtId="3" fontId="0" fillId="0" borderId="0" xfId="0" applyNumberFormat="1" applyFill="1" applyBorder="1" applyAlignment="1">
      <alignment horizontal="left" vertical="top"/>
    </xf>
    <xf numFmtId="3" fontId="6" fillId="3" borderId="6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right" vertical="top" wrapText="1"/>
    </xf>
    <xf numFmtId="0" fontId="3" fillId="0" borderId="5" xfId="0" applyFont="1" applyFill="1" applyBorder="1" applyAlignment="1">
      <alignment horizontal="righ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tabSelected="1" topLeftCell="A34" workbookViewId="0">
      <selection activeCell="A4" sqref="A4:O4"/>
    </sheetView>
  </sheetViews>
  <sheetFormatPr defaultRowHeight="15" x14ac:dyDescent="0.2"/>
  <cols>
    <col min="1" max="1" width="8.1640625" style="4" customWidth="1"/>
    <col min="2" max="2" width="22.5" bestFit="1" customWidth="1"/>
    <col min="3" max="3" width="16.1640625" style="18" customWidth="1"/>
    <col min="4" max="4" width="13.33203125" customWidth="1"/>
    <col min="5" max="9" width="12.1640625" customWidth="1"/>
    <col min="10" max="10" width="15.1640625" style="14" customWidth="1"/>
    <col min="11" max="11" width="14.83203125" style="14" customWidth="1"/>
    <col min="12" max="12" width="16" style="14" customWidth="1"/>
    <col min="13" max="13" width="17.33203125" style="14" customWidth="1"/>
    <col min="14" max="14" width="15.33203125" style="14" customWidth="1"/>
    <col min="15" max="15" width="14.83203125" style="14" customWidth="1"/>
  </cols>
  <sheetData>
    <row r="1" spans="1:15" ht="15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customHeight="1" x14ac:dyDescent="0.2">
      <c r="A2" s="21" t="s">
        <v>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23.25" customHeight="1" x14ac:dyDescent="0.2">
      <c r="A3" s="23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33.75" customHeight="1" x14ac:dyDescent="0.2">
      <c r="A4" s="25" t="s">
        <v>80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20.25" customHeight="1" x14ac:dyDescent="0.2">
      <c r="A5" s="27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9.5" customHeight="1" x14ac:dyDescent="0.2">
      <c r="A6" s="34" t="s">
        <v>70</v>
      </c>
      <c r="B6" s="36" t="s">
        <v>2</v>
      </c>
      <c r="C6" s="39" t="s">
        <v>3</v>
      </c>
      <c r="D6" s="40"/>
      <c r="E6" s="40"/>
      <c r="F6" s="40"/>
      <c r="G6" s="40"/>
      <c r="H6" s="40"/>
      <c r="I6" s="40"/>
      <c r="J6" s="39" t="s">
        <v>4</v>
      </c>
      <c r="K6" s="40"/>
      <c r="L6" s="40"/>
      <c r="M6" s="40"/>
      <c r="N6" s="40"/>
      <c r="O6" s="40"/>
    </row>
    <row r="7" spans="1:15" ht="57" customHeight="1" x14ac:dyDescent="0.2">
      <c r="A7" s="35"/>
      <c r="B7" s="36"/>
      <c r="C7" s="19" t="s">
        <v>98</v>
      </c>
      <c r="D7" s="15" t="s">
        <v>77</v>
      </c>
      <c r="E7" s="11" t="s">
        <v>74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96</v>
      </c>
      <c r="K7" s="11" t="s">
        <v>78</v>
      </c>
      <c r="L7" s="11" t="s">
        <v>75</v>
      </c>
      <c r="M7" s="12" t="s">
        <v>71</v>
      </c>
      <c r="N7" s="12" t="s">
        <v>72</v>
      </c>
      <c r="O7" s="12" t="s">
        <v>73</v>
      </c>
    </row>
    <row r="8" spans="1:15" ht="18" customHeight="1" x14ac:dyDescent="0.2">
      <c r="A8" s="8">
        <v>1</v>
      </c>
      <c r="B8" s="9" t="s">
        <v>9</v>
      </c>
      <c r="C8" s="16">
        <v>72546</v>
      </c>
      <c r="D8" s="16">
        <v>130773</v>
      </c>
      <c r="E8" s="10">
        <v>297529</v>
      </c>
      <c r="F8" s="10">
        <v>301075</v>
      </c>
      <c r="G8" s="10">
        <v>262423</v>
      </c>
      <c r="H8" s="10">
        <v>225914</v>
      </c>
      <c r="I8" s="10">
        <v>241143</v>
      </c>
      <c r="J8" s="13">
        <f>(C8-D8)/D8*100</f>
        <v>-44.525246037025987</v>
      </c>
      <c r="K8" s="13">
        <f t="shared" ref="K8:O8" si="0">(D8-E8)/E8*100</f>
        <v>-56.046973572324042</v>
      </c>
      <c r="L8" s="13">
        <f t="shared" si="0"/>
        <v>-1.1777796230175206</v>
      </c>
      <c r="M8" s="13">
        <f t="shared" si="0"/>
        <v>14.728891903529798</v>
      </c>
      <c r="N8" s="13">
        <f t="shared" si="0"/>
        <v>16.160574377860602</v>
      </c>
      <c r="O8" s="13">
        <f t="shared" si="0"/>
        <v>-6.3153398605806519</v>
      </c>
    </row>
    <row r="9" spans="1:15" ht="18" customHeight="1" x14ac:dyDescent="0.2">
      <c r="A9" s="8">
        <v>2</v>
      </c>
      <c r="B9" s="1" t="s">
        <v>81</v>
      </c>
      <c r="C9" s="17">
        <v>747</v>
      </c>
      <c r="D9" s="17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13" t="s">
        <v>97</v>
      </c>
      <c r="K9" s="13" t="s">
        <v>97</v>
      </c>
      <c r="L9" s="13" t="s">
        <v>97</v>
      </c>
      <c r="M9" s="13" t="s">
        <v>97</v>
      </c>
      <c r="N9" s="13" t="s">
        <v>97</v>
      </c>
      <c r="O9" s="13" t="s">
        <v>97</v>
      </c>
    </row>
    <row r="10" spans="1:15" ht="18" customHeight="1" x14ac:dyDescent="0.2">
      <c r="A10" s="8">
        <v>3</v>
      </c>
      <c r="B10" s="1" t="s">
        <v>10</v>
      </c>
      <c r="C10" s="17">
        <v>18471</v>
      </c>
      <c r="D10" s="17">
        <v>177846</v>
      </c>
      <c r="E10" s="2">
        <v>171580</v>
      </c>
      <c r="F10" s="2">
        <v>154954</v>
      </c>
      <c r="G10" s="2">
        <v>147661</v>
      </c>
      <c r="H10" s="2">
        <v>139754</v>
      </c>
      <c r="I10" s="2">
        <v>125761</v>
      </c>
      <c r="J10" s="13">
        <f t="shared" ref="J10:J72" si="1">(C10-D10)/D10*100</f>
        <v>-89.614048109038151</v>
      </c>
      <c r="K10" s="13">
        <f t="shared" ref="K10:K72" si="2">(D10-E10)/E10*100</f>
        <v>3.6519407856393524</v>
      </c>
      <c r="L10" s="13">
        <f t="shared" ref="L10:L72" si="3">(E10-F10)/F10*100</f>
        <v>10.729635891942124</v>
      </c>
      <c r="M10" s="13">
        <f t="shared" ref="M10:M72" si="4">(F10-G10)/G10*100</f>
        <v>4.9390157184361474</v>
      </c>
      <c r="N10" s="13">
        <f t="shared" ref="N10:N72" si="5">(G10-H10)/H10*100</f>
        <v>5.657798703436038</v>
      </c>
      <c r="O10" s="13">
        <f t="shared" ref="O10:O72" si="6">(H10-I10)/I10*100</f>
        <v>11.126660888510747</v>
      </c>
    </row>
    <row r="11" spans="1:15" ht="18" customHeight="1" x14ac:dyDescent="0.2">
      <c r="A11" s="8">
        <v>4</v>
      </c>
      <c r="B11" s="1" t="s">
        <v>11</v>
      </c>
      <c r="C11" s="17"/>
      <c r="D11" s="17">
        <v>75142</v>
      </c>
      <c r="E11" s="2">
        <v>75276</v>
      </c>
      <c r="F11" s="3">
        <v>56810</v>
      </c>
      <c r="G11" s="2">
        <v>58896</v>
      </c>
      <c r="H11" s="3">
        <v>109917</v>
      </c>
      <c r="I11" s="3">
        <v>118520</v>
      </c>
      <c r="J11" s="13">
        <f t="shared" si="1"/>
        <v>-100</v>
      </c>
      <c r="K11" s="13">
        <f t="shared" si="2"/>
        <v>-0.17801158403740899</v>
      </c>
      <c r="L11" s="13">
        <f t="shared" si="3"/>
        <v>32.504840697060381</v>
      </c>
      <c r="M11" s="13">
        <f t="shared" si="4"/>
        <v>-3.5418364574843793</v>
      </c>
      <c r="N11" s="13">
        <f t="shared" si="5"/>
        <v>-46.41775157618931</v>
      </c>
      <c r="O11" s="13">
        <f t="shared" si="6"/>
        <v>-7.2586905163685449</v>
      </c>
    </row>
    <row r="12" spans="1:15" ht="18" customHeight="1" x14ac:dyDescent="0.2">
      <c r="A12" s="8">
        <v>5</v>
      </c>
      <c r="B12" s="1" t="s">
        <v>12</v>
      </c>
      <c r="C12" s="17">
        <v>607</v>
      </c>
      <c r="D12" s="17">
        <v>0</v>
      </c>
      <c r="E12" s="2">
        <v>0</v>
      </c>
      <c r="F12" s="2">
        <v>0</v>
      </c>
      <c r="G12" s="2">
        <v>17014</v>
      </c>
      <c r="H12" s="2">
        <v>0</v>
      </c>
      <c r="I12" s="2">
        <v>0</v>
      </c>
      <c r="J12" s="13" t="s">
        <v>97</v>
      </c>
      <c r="K12" s="13" t="s">
        <v>97</v>
      </c>
      <c r="L12" s="13" t="s">
        <v>97</v>
      </c>
      <c r="M12" s="13" t="s">
        <v>97</v>
      </c>
      <c r="N12" s="13" t="s">
        <v>97</v>
      </c>
      <c r="O12" s="13" t="s">
        <v>97</v>
      </c>
    </row>
    <row r="13" spans="1:15" ht="18" customHeight="1" x14ac:dyDescent="0.2">
      <c r="A13" s="8">
        <v>6</v>
      </c>
      <c r="B13" s="1" t="s">
        <v>13</v>
      </c>
      <c r="C13" s="17">
        <v>123177</v>
      </c>
      <c r="D13" s="17">
        <v>1276454</v>
      </c>
      <c r="E13" s="2">
        <v>1278802</v>
      </c>
      <c r="F13" s="3">
        <v>1063182</v>
      </c>
      <c r="G13" s="3">
        <v>1089028</v>
      </c>
      <c r="H13" s="2">
        <v>1046016</v>
      </c>
      <c r="I13" s="2">
        <v>970807</v>
      </c>
      <c r="J13" s="13">
        <f t="shared" si="1"/>
        <v>-90.350063535387875</v>
      </c>
      <c r="K13" s="13">
        <f t="shared" si="2"/>
        <v>-0.18360934687308902</v>
      </c>
      <c r="L13" s="13">
        <f t="shared" si="3"/>
        <v>20.280629280781653</v>
      </c>
      <c r="M13" s="13">
        <f t="shared" si="4"/>
        <v>-2.3733090425590526</v>
      </c>
      <c r="N13" s="13">
        <f t="shared" si="5"/>
        <v>4.1119829906999517</v>
      </c>
      <c r="O13" s="13">
        <f t="shared" si="6"/>
        <v>7.7470599202519139</v>
      </c>
    </row>
    <row r="14" spans="1:15" ht="18" customHeight="1" x14ac:dyDescent="0.2">
      <c r="A14" s="8">
        <v>7</v>
      </c>
      <c r="B14" s="1" t="s">
        <v>14</v>
      </c>
      <c r="C14" s="17">
        <v>97340</v>
      </c>
      <c r="D14" s="17">
        <v>1072639</v>
      </c>
      <c r="E14" s="2">
        <v>1220968</v>
      </c>
      <c r="F14" s="2">
        <v>1044884</v>
      </c>
      <c r="G14" s="3">
        <v>744315</v>
      </c>
      <c r="H14" s="2">
        <v>631139</v>
      </c>
      <c r="I14" s="2">
        <v>579673</v>
      </c>
      <c r="J14" s="13">
        <f t="shared" si="1"/>
        <v>-90.925185453819964</v>
      </c>
      <c r="K14" s="13">
        <f t="shared" si="2"/>
        <v>-12.148475635725097</v>
      </c>
      <c r="L14" s="13">
        <f t="shared" si="3"/>
        <v>16.852014194877135</v>
      </c>
      <c r="M14" s="13">
        <f t="shared" si="4"/>
        <v>40.3819619381579</v>
      </c>
      <c r="N14" s="13">
        <f t="shared" si="5"/>
        <v>17.932024482720919</v>
      </c>
      <c r="O14" s="13">
        <f t="shared" si="6"/>
        <v>8.8784538869328049</v>
      </c>
    </row>
    <row r="15" spans="1:15" ht="18" customHeight="1" x14ac:dyDescent="0.2">
      <c r="A15" s="8">
        <v>8</v>
      </c>
      <c r="B15" s="1" t="s">
        <v>15</v>
      </c>
      <c r="C15" s="17">
        <v>517</v>
      </c>
      <c r="D15" s="17">
        <v>0</v>
      </c>
      <c r="E15" s="2">
        <v>79233</v>
      </c>
      <c r="F15" s="2">
        <v>107269</v>
      </c>
      <c r="G15" s="2">
        <v>702</v>
      </c>
      <c r="H15" s="2">
        <v>171301</v>
      </c>
      <c r="I15" s="2">
        <v>198190</v>
      </c>
      <c r="J15" s="13" t="s">
        <v>97</v>
      </c>
      <c r="K15" s="13">
        <f t="shared" si="2"/>
        <v>-100</v>
      </c>
      <c r="L15" s="13">
        <f t="shared" si="3"/>
        <v>-26.136162358183633</v>
      </c>
      <c r="M15" s="13">
        <f t="shared" si="4"/>
        <v>15180.484330484331</v>
      </c>
      <c r="N15" s="13">
        <f t="shared" si="5"/>
        <v>-99.590195036806563</v>
      </c>
      <c r="O15" s="13">
        <f t="shared" si="6"/>
        <v>-13.567283919471215</v>
      </c>
    </row>
    <row r="16" spans="1:15" ht="18" customHeight="1" x14ac:dyDescent="0.2">
      <c r="A16" s="8">
        <v>9</v>
      </c>
      <c r="B16" s="1" t="s">
        <v>16</v>
      </c>
      <c r="C16" s="17">
        <v>960</v>
      </c>
      <c r="D16" s="17">
        <v>101510</v>
      </c>
      <c r="E16" s="2">
        <v>123337</v>
      </c>
      <c r="F16" s="2">
        <v>108248</v>
      </c>
      <c r="G16" s="2">
        <v>98228</v>
      </c>
      <c r="H16" s="2">
        <v>81437</v>
      </c>
      <c r="I16" s="2">
        <v>54655</v>
      </c>
      <c r="J16" s="13">
        <f t="shared" si="1"/>
        <v>-99.054280366466358</v>
      </c>
      <c r="K16" s="13">
        <f t="shared" si="2"/>
        <v>-17.69704143930856</v>
      </c>
      <c r="L16" s="13">
        <f t="shared" si="3"/>
        <v>13.939287561894908</v>
      </c>
      <c r="M16" s="13">
        <f t="shared" si="4"/>
        <v>10.200757421509142</v>
      </c>
      <c r="N16" s="13">
        <f t="shared" si="5"/>
        <v>20.618392131340791</v>
      </c>
      <c r="O16" s="13">
        <f t="shared" si="6"/>
        <v>49.001921141707072</v>
      </c>
    </row>
    <row r="17" spans="1:15" ht="18" customHeight="1" x14ac:dyDescent="0.2">
      <c r="A17" s="8">
        <v>10</v>
      </c>
      <c r="B17" s="1" t="s">
        <v>17</v>
      </c>
      <c r="C17" s="17">
        <v>3495</v>
      </c>
      <c r="D17" s="17">
        <v>95766</v>
      </c>
      <c r="E17" s="2">
        <v>68579</v>
      </c>
      <c r="F17" s="2">
        <v>66077</v>
      </c>
      <c r="G17" s="2">
        <v>62892</v>
      </c>
      <c r="H17" s="2">
        <v>44553</v>
      </c>
      <c r="I17" s="2">
        <v>46442</v>
      </c>
      <c r="J17" s="13">
        <f t="shared" si="1"/>
        <v>-96.350479293277374</v>
      </c>
      <c r="K17" s="13">
        <f t="shared" si="2"/>
        <v>39.643331048863359</v>
      </c>
      <c r="L17" s="13">
        <f t="shared" si="3"/>
        <v>3.7864915174720402</v>
      </c>
      <c r="M17" s="13">
        <f t="shared" si="4"/>
        <v>5.0642371048782042</v>
      </c>
      <c r="N17" s="13">
        <f t="shared" si="5"/>
        <v>41.162211298902427</v>
      </c>
      <c r="O17" s="13">
        <f t="shared" si="6"/>
        <v>-4.0674389561173081</v>
      </c>
    </row>
    <row r="18" spans="1:15" ht="18" customHeight="1" x14ac:dyDescent="0.2">
      <c r="A18" s="8">
        <v>11</v>
      </c>
      <c r="B18" s="1" t="s">
        <v>82</v>
      </c>
      <c r="C18" s="17">
        <v>742</v>
      </c>
      <c r="D18" s="17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13" t="s">
        <v>97</v>
      </c>
      <c r="K18" s="13" t="s">
        <v>97</v>
      </c>
      <c r="L18" s="13" t="s">
        <v>97</v>
      </c>
      <c r="M18" s="13" t="s">
        <v>97</v>
      </c>
      <c r="N18" s="13" t="s">
        <v>97</v>
      </c>
      <c r="O18" s="13" t="s">
        <v>97</v>
      </c>
    </row>
    <row r="19" spans="1:15" ht="18" customHeight="1" x14ac:dyDescent="0.2">
      <c r="A19" s="8">
        <v>12</v>
      </c>
      <c r="B19" s="1" t="s">
        <v>18</v>
      </c>
      <c r="C19" s="17">
        <v>253773</v>
      </c>
      <c r="D19" s="17">
        <v>364484</v>
      </c>
      <c r="E19" s="2">
        <v>478290</v>
      </c>
      <c r="F19" s="2">
        <v>392968</v>
      </c>
      <c r="G19" s="3">
        <v>266295</v>
      </c>
      <c r="H19" s="3">
        <v>148964</v>
      </c>
      <c r="I19" s="3">
        <v>92652</v>
      </c>
      <c r="J19" s="13">
        <f t="shared" si="1"/>
        <v>-30.374721524127256</v>
      </c>
      <c r="K19" s="13">
        <f t="shared" si="2"/>
        <v>-23.79435070772962</v>
      </c>
      <c r="L19" s="13">
        <f t="shared" si="3"/>
        <v>21.712200484517822</v>
      </c>
      <c r="M19" s="13">
        <f t="shared" si="4"/>
        <v>47.568673839163331</v>
      </c>
      <c r="N19" s="13">
        <f t="shared" si="5"/>
        <v>78.764667973470097</v>
      </c>
      <c r="O19" s="13">
        <f t="shared" si="6"/>
        <v>60.777964857747271</v>
      </c>
    </row>
    <row r="20" spans="1:15" ht="18" customHeight="1" x14ac:dyDescent="0.2">
      <c r="A20" s="8">
        <v>13</v>
      </c>
      <c r="B20" s="1" t="s">
        <v>19</v>
      </c>
      <c r="C20" s="17">
        <v>3783</v>
      </c>
      <c r="D20" s="17">
        <v>773467</v>
      </c>
      <c r="E20" s="2">
        <v>816908</v>
      </c>
      <c r="F20" s="2">
        <v>648847</v>
      </c>
      <c r="G20" s="2">
        <v>658636</v>
      </c>
      <c r="H20" s="2">
        <v>538963</v>
      </c>
      <c r="I20" s="2">
        <v>449538</v>
      </c>
      <c r="J20" s="13">
        <f t="shared" si="1"/>
        <v>-99.510903503316882</v>
      </c>
      <c r="K20" s="13">
        <f t="shared" si="2"/>
        <v>-5.3177346775891534</v>
      </c>
      <c r="L20" s="13">
        <f t="shared" si="3"/>
        <v>25.901483708794217</v>
      </c>
      <c r="M20" s="13">
        <f t="shared" si="4"/>
        <v>-1.4862534085595078</v>
      </c>
      <c r="N20" s="13">
        <f t="shared" si="5"/>
        <v>22.204307160231778</v>
      </c>
      <c r="O20" s="13">
        <f t="shared" si="6"/>
        <v>19.892645338102675</v>
      </c>
    </row>
    <row r="21" spans="1:15" ht="18" customHeight="1" x14ac:dyDescent="0.2">
      <c r="A21" s="8">
        <v>14</v>
      </c>
      <c r="B21" s="1" t="s">
        <v>20</v>
      </c>
      <c r="C21" s="17"/>
      <c r="D21" s="17">
        <v>73082</v>
      </c>
      <c r="E21" s="2">
        <v>75742</v>
      </c>
      <c r="F21" s="2">
        <v>33270</v>
      </c>
      <c r="G21" s="2">
        <v>0</v>
      </c>
      <c r="H21" s="2">
        <v>0</v>
      </c>
      <c r="I21" s="2">
        <v>0</v>
      </c>
      <c r="J21" s="13">
        <f t="shared" si="1"/>
        <v>-100</v>
      </c>
      <c r="K21" s="13">
        <f t="shared" si="2"/>
        <v>-3.5119220511737215</v>
      </c>
      <c r="L21" s="13">
        <f t="shared" si="3"/>
        <v>127.65855124737</v>
      </c>
      <c r="M21" s="13" t="s">
        <v>97</v>
      </c>
      <c r="N21" s="13" t="s">
        <v>97</v>
      </c>
      <c r="O21" s="13" t="s">
        <v>97</v>
      </c>
    </row>
    <row r="22" spans="1:15" ht="18" customHeight="1" x14ac:dyDescent="0.2">
      <c r="A22" s="8">
        <v>15</v>
      </c>
      <c r="B22" s="1" t="s">
        <v>21</v>
      </c>
      <c r="C22" s="17">
        <v>698</v>
      </c>
      <c r="D22" s="17">
        <v>60049</v>
      </c>
      <c r="E22" s="2">
        <v>61866</v>
      </c>
      <c r="F22" s="2">
        <v>44023</v>
      </c>
      <c r="G22" s="2">
        <v>32980</v>
      </c>
      <c r="H22" s="2">
        <v>30654</v>
      </c>
      <c r="I22" s="2">
        <v>26691</v>
      </c>
      <c r="J22" s="13">
        <f t="shared" si="1"/>
        <v>-98.837615946976626</v>
      </c>
      <c r="K22" s="13">
        <f t="shared" si="2"/>
        <v>-2.9369928555264604</v>
      </c>
      <c r="L22" s="13">
        <f t="shared" si="3"/>
        <v>40.531086023215138</v>
      </c>
      <c r="M22" s="13">
        <f t="shared" si="4"/>
        <v>33.483929654335959</v>
      </c>
      <c r="N22" s="13">
        <f t="shared" si="5"/>
        <v>7.5879167482220913</v>
      </c>
      <c r="O22" s="13">
        <f t="shared" si="6"/>
        <v>14.847701472406429</v>
      </c>
    </row>
    <row r="23" spans="1:15" ht="18" customHeight="1" x14ac:dyDescent="0.2">
      <c r="A23" s="8">
        <v>16</v>
      </c>
      <c r="B23" s="1" t="s">
        <v>22</v>
      </c>
      <c r="C23" s="17">
        <v>13047</v>
      </c>
      <c r="D23" s="17">
        <v>362096</v>
      </c>
      <c r="E23" s="2">
        <v>494400</v>
      </c>
      <c r="F23" s="2">
        <v>417184</v>
      </c>
      <c r="G23" s="2">
        <v>289682</v>
      </c>
      <c r="H23" s="2">
        <v>106692</v>
      </c>
      <c r="I23" s="2">
        <v>236379</v>
      </c>
      <c r="J23" s="13">
        <f t="shared" si="1"/>
        <v>-96.396811895188023</v>
      </c>
      <c r="K23" s="13">
        <f t="shared" si="2"/>
        <v>-26.760517799352751</v>
      </c>
      <c r="L23" s="13">
        <f t="shared" si="3"/>
        <v>18.508859400168749</v>
      </c>
      <c r="M23" s="13">
        <f t="shared" si="4"/>
        <v>44.014471040658378</v>
      </c>
      <c r="N23" s="13">
        <f t="shared" si="5"/>
        <v>171.51239080718329</v>
      </c>
      <c r="O23" s="13">
        <f t="shared" si="6"/>
        <v>-54.864010762377369</v>
      </c>
    </row>
    <row r="24" spans="1:15" ht="18" customHeight="1" x14ac:dyDescent="0.2">
      <c r="A24" s="8">
        <v>17</v>
      </c>
      <c r="B24" s="1" t="s">
        <v>23</v>
      </c>
      <c r="C24" s="17">
        <v>380</v>
      </c>
      <c r="D24" s="17">
        <v>124191</v>
      </c>
      <c r="E24" s="2">
        <v>121679</v>
      </c>
      <c r="F24" s="2">
        <v>106428</v>
      </c>
      <c r="G24" s="2">
        <v>86297</v>
      </c>
      <c r="H24" s="2">
        <v>84524</v>
      </c>
      <c r="I24" s="2">
        <v>84472</v>
      </c>
      <c r="J24" s="13">
        <f t="shared" si="1"/>
        <v>-99.694019695469066</v>
      </c>
      <c r="K24" s="13">
        <f t="shared" si="2"/>
        <v>2.0644482614091175</v>
      </c>
      <c r="L24" s="13">
        <f t="shared" si="3"/>
        <v>14.329875596647499</v>
      </c>
      <c r="M24" s="13">
        <f t="shared" si="4"/>
        <v>23.327578015458243</v>
      </c>
      <c r="N24" s="13">
        <f t="shared" si="5"/>
        <v>2.0976290757654632</v>
      </c>
      <c r="O24" s="13">
        <f t="shared" si="6"/>
        <v>6.1558859740505734E-2</v>
      </c>
    </row>
    <row r="25" spans="1:15" ht="18" customHeight="1" x14ac:dyDescent="0.2">
      <c r="A25" s="8">
        <v>18</v>
      </c>
      <c r="B25" s="1" t="s">
        <v>24</v>
      </c>
      <c r="C25" s="17">
        <v>152569</v>
      </c>
      <c r="D25" s="17">
        <v>683879</v>
      </c>
      <c r="E25" s="2">
        <v>936332</v>
      </c>
      <c r="F25" s="2">
        <v>846433</v>
      </c>
      <c r="G25" s="2">
        <v>727452</v>
      </c>
      <c r="H25" s="2">
        <v>708691</v>
      </c>
      <c r="I25" s="2">
        <v>631592</v>
      </c>
      <c r="J25" s="13">
        <f t="shared" si="1"/>
        <v>-77.690644105170648</v>
      </c>
      <c r="K25" s="13">
        <f t="shared" si="2"/>
        <v>-26.961910946117403</v>
      </c>
      <c r="L25" s="13">
        <f t="shared" si="3"/>
        <v>10.620923333565681</v>
      </c>
      <c r="M25" s="13">
        <f t="shared" si="4"/>
        <v>16.355855781549845</v>
      </c>
      <c r="N25" s="13">
        <f t="shared" si="5"/>
        <v>2.6472750465294466</v>
      </c>
      <c r="O25" s="13">
        <f t="shared" si="6"/>
        <v>12.207089386819339</v>
      </c>
    </row>
    <row r="26" spans="1:15" ht="18" customHeight="1" x14ac:dyDescent="0.2">
      <c r="A26" s="8">
        <v>19</v>
      </c>
      <c r="B26" s="1" t="s">
        <v>83</v>
      </c>
      <c r="C26" s="17">
        <v>20382</v>
      </c>
      <c r="D26" s="17">
        <v>0</v>
      </c>
      <c r="E26" s="2">
        <v>0</v>
      </c>
      <c r="F26" s="2">
        <v>0</v>
      </c>
      <c r="G26" s="2">
        <v>0</v>
      </c>
      <c r="H26" s="3">
        <v>0</v>
      </c>
      <c r="I26" s="3">
        <v>0</v>
      </c>
      <c r="J26" s="13" t="s">
        <v>97</v>
      </c>
      <c r="K26" s="13" t="s">
        <v>97</v>
      </c>
      <c r="L26" s="13" t="s">
        <v>97</v>
      </c>
      <c r="M26" s="13" t="s">
        <v>97</v>
      </c>
      <c r="N26" s="13" t="s">
        <v>97</v>
      </c>
      <c r="O26" s="13" t="s">
        <v>97</v>
      </c>
    </row>
    <row r="27" spans="1:15" ht="18" customHeight="1" x14ac:dyDescent="0.2">
      <c r="A27" s="8">
        <v>20</v>
      </c>
      <c r="B27" s="1" t="s">
        <v>25</v>
      </c>
      <c r="C27" s="17">
        <v>211545</v>
      </c>
      <c r="D27" s="17">
        <v>1476369</v>
      </c>
      <c r="E27" s="2">
        <v>1463417</v>
      </c>
      <c r="F27" s="2">
        <v>1438477</v>
      </c>
      <c r="G27" s="2">
        <v>1335281</v>
      </c>
      <c r="H27" s="2">
        <v>1268562</v>
      </c>
      <c r="I27" s="2">
        <v>1266338</v>
      </c>
      <c r="J27" s="13">
        <f t="shared" si="1"/>
        <v>-85.67126511055163</v>
      </c>
      <c r="K27" s="13">
        <f t="shared" si="2"/>
        <v>0.88505190249942423</v>
      </c>
      <c r="L27" s="13">
        <f t="shared" si="3"/>
        <v>1.7337781556465623</v>
      </c>
      <c r="M27" s="13">
        <f t="shared" si="4"/>
        <v>7.7284107240348661</v>
      </c>
      <c r="N27" s="13">
        <f t="shared" si="5"/>
        <v>5.2594197209123399</v>
      </c>
      <c r="O27" s="13">
        <f t="shared" si="6"/>
        <v>0.17562451730896489</v>
      </c>
    </row>
    <row r="28" spans="1:15" ht="18" customHeight="1" x14ac:dyDescent="0.2">
      <c r="A28" s="8">
        <v>21</v>
      </c>
      <c r="B28" s="1" t="s">
        <v>26</v>
      </c>
      <c r="C28" s="17">
        <v>10099</v>
      </c>
      <c r="D28" s="17">
        <v>1489516</v>
      </c>
      <c r="E28" s="2">
        <v>1569243</v>
      </c>
      <c r="F28" s="2">
        <v>1473954</v>
      </c>
      <c r="G28" s="2">
        <v>1412943</v>
      </c>
      <c r="H28" s="2">
        <v>1390543</v>
      </c>
      <c r="I28" s="3">
        <v>1309571</v>
      </c>
      <c r="J28" s="13">
        <f t="shared" si="1"/>
        <v>-99.321994527081287</v>
      </c>
      <c r="K28" s="13">
        <f t="shared" si="2"/>
        <v>-5.0806025580486898</v>
      </c>
      <c r="L28" s="13">
        <f t="shared" si="3"/>
        <v>6.4648557553356483</v>
      </c>
      <c r="M28" s="13">
        <f t="shared" si="4"/>
        <v>4.3180085820871756</v>
      </c>
      <c r="N28" s="13">
        <f t="shared" si="5"/>
        <v>1.6108815045633254</v>
      </c>
      <c r="O28" s="13">
        <f t="shared" si="6"/>
        <v>6.1830935474288911</v>
      </c>
    </row>
    <row r="29" spans="1:15" ht="18" customHeight="1" x14ac:dyDescent="0.2">
      <c r="A29" s="8">
        <v>22</v>
      </c>
      <c r="B29" s="1" t="s">
        <v>27</v>
      </c>
      <c r="C29" s="17">
        <v>194</v>
      </c>
      <c r="D29" s="17">
        <v>0</v>
      </c>
      <c r="E29" s="2">
        <v>39280</v>
      </c>
      <c r="F29" s="2">
        <v>76248</v>
      </c>
      <c r="G29" s="2">
        <v>10544</v>
      </c>
      <c r="H29" s="2">
        <v>0</v>
      </c>
      <c r="I29" s="2">
        <v>0</v>
      </c>
      <c r="J29" s="13" t="s">
        <v>97</v>
      </c>
      <c r="K29" s="13">
        <f t="shared" si="2"/>
        <v>-100</v>
      </c>
      <c r="L29" s="13">
        <f t="shared" si="3"/>
        <v>-48.483894659532048</v>
      </c>
      <c r="M29" s="13">
        <f t="shared" si="4"/>
        <v>623.14112291350523</v>
      </c>
      <c r="N29" s="13" t="s">
        <v>97</v>
      </c>
      <c r="O29" s="13" t="s">
        <v>97</v>
      </c>
    </row>
    <row r="30" spans="1:15" ht="18" customHeight="1" x14ac:dyDescent="0.2">
      <c r="A30" s="8">
        <v>23</v>
      </c>
      <c r="B30" s="1" t="s">
        <v>28</v>
      </c>
      <c r="C30" s="17">
        <v>10280</v>
      </c>
      <c r="D30" s="17">
        <v>76934</v>
      </c>
      <c r="E30" s="2">
        <v>79921</v>
      </c>
      <c r="F30" s="2">
        <v>66572</v>
      </c>
      <c r="G30" s="2">
        <v>73815</v>
      </c>
      <c r="H30" s="2">
        <v>68522</v>
      </c>
      <c r="I30" s="2">
        <v>64307</v>
      </c>
      <c r="J30" s="13">
        <f t="shared" si="1"/>
        <v>-86.637897418566567</v>
      </c>
      <c r="K30" s="13">
        <f t="shared" si="2"/>
        <v>-3.7374407227136799</v>
      </c>
      <c r="L30" s="13">
        <f t="shared" si="3"/>
        <v>20.051973802799978</v>
      </c>
      <c r="M30" s="13">
        <f t="shared" si="4"/>
        <v>-9.8123687597371809</v>
      </c>
      <c r="N30" s="13">
        <f t="shared" si="5"/>
        <v>7.7245264294679084</v>
      </c>
      <c r="O30" s="13">
        <f t="shared" si="6"/>
        <v>6.5544964000808612</v>
      </c>
    </row>
    <row r="31" spans="1:15" ht="18" customHeight="1" x14ac:dyDescent="0.2">
      <c r="A31" s="8">
        <v>24</v>
      </c>
      <c r="B31" s="1" t="s">
        <v>29</v>
      </c>
      <c r="C31" s="17">
        <v>24729</v>
      </c>
      <c r="D31" s="17">
        <v>80650</v>
      </c>
      <c r="E31" s="2">
        <v>73577</v>
      </c>
      <c r="F31" s="2">
        <v>53615</v>
      </c>
      <c r="G31" s="2">
        <v>10742</v>
      </c>
      <c r="H31" s="2">
        <v>8206</v>
      </c>
      <c r="I31" s="2">
        <v>0</v>
      </c>
      <c r="J31" s="13">
        <f t="shared" si="1"/>
        <v>-69.337879727216361</v>
      </c>
      <c r="K31" s="13">
        <f t="shared" si="2"/>
        <v>9.6130584285850205</v>
      </c>
      <c r="L31" s="13">
        <f t="shared" si="3"/>
        <v>37.232117877459665</v>
      </c>
      <c r="M31" s="13">
        <f t="shared" si="4"/>
        <v>399.11562092720163</v>
      </c>
      <c r="N31" s="13">
        <f t="shared" si="5"/>
        <v>30.904216427004634</v>
      </c>
      <c r="O31" s="13" t="s">
        <v>97</v>
      </c>
    </row>
    <row r="32" spans="1:15" ht="18" customHeight="1" x14ac:dyDescent="0.2">
      <c r="A32" s="8">
        <v>25</v>
      </c>
      <c r="B32" s="1" t="s">
        <v>84</v>
      </c>
      <c r="C32" s="17">
        <v>726</v>
      </c>
      <c r="D32" s="17">
        <v>0</v>
      </c>
      <c r="E32" s="2">
        <v>0</v>
      </c>
      <c r="F32" s="3">
        <v>0</v>
      </c>
      <c r="G32" s="3">
        <v>0</v>
      </c>
      <c r="H32" s="3">
        <v>0</v>
      </c>
      <c r="I32" s="2">
        <v>0</v>
      </c>
      <c r="J32" s="13" t="s">
        <v>97</v>
      </c>
      <c r="K32" s="13" t="s">
        <v>97</v>
      </c>
      <c r="L32" s="13" t="s">
        <v>97</v>
      </c>
      <c r="M32" s="13" t="s">
        <v>97</v>
      </c>
      <c r="N32" s="13" t="s">
        <v>97</v>
      </c>
      <c r="O32" s="13" t="s">
        <v>97</v>
      </c>
    </row>
    <row r="33" spans="1:15" ht="18" customHeight="1" x14ac:dyDescent="0.2">
      <c r="A33" s="8">
        <v>26</v>
      </c>
      <c r="B33" s="1" t="s">
        <v>30</v>
      </c>
      <c r="C33" s="17">
        <v>3865</v>
      </c>
      <c r="D33" s="17">
        <v>144754</v>
      </c>
      <c r="E33" s="2">
        <v>138551</v>
      </c>
      <c r="F33" s="2">
        <v>57823</v>
      </c>
      <c r="G33" s="2">
        <v>50803</v>
      </c>
      <c r="H33" s="2">
        <v>58323</v>
      </c>
      <c r="I33" s="2">
        <v>56545</v>
      </c>
      <c r="J33" s="13">
        <f t="shared" si="1"/>
        <v>-97.3299528855852</v>
      </c>
      <c r="K33" s="13">
        <f t="shared" si="2"/>
        <v>4.477051771549827</v>
      </c>
      <c r="L33" s="13">
        <f t="shared" si="3"/>
        <v>139.61226501565122</v>
      </c>
      <c r="M33" s="13">
        <f t="shared" si="4"/>
        <v>13.818081609353777</v>
      </c>
      <c r="N33" s="13">
        <f t="shared" si="5"/>
        <v>-12.893712600517807</v>
      </c>
      <c r="O33" s="13">
        <f t="shared" si="6"/>
        <v>3.1443982668670967</v>
      </c>
    </row>
    <row r="34" spans="1:15" ht="18" customHeight="1" x14ac:dyDescent="0.2">
      <c r="A34" s="8">
        <v>27</v>
      </c>
      <c r="B34" s="1" t="s">
        <v>31</v>
      </c>
      <c r="C34" s="17">
        <v>14431</v>
      </c>
      <c r="D34" s="17">
        <v>148382</v>
      </c>
      <c r="E34" s="2">
        <v>152955</v>
      </c>
      <c r="F34" s="2">
        <v>147154</v>
      </c>
      <c r="G34" s="2">
        <v>149426</v>
      </c>
      <c r="H34" s="2">
        <v>143287</v>
      </c>
      <c r="I34" s="2">
        <v>127792</v>
      </c>
      <c r="J34" s="13">
        <f t="shared" si="1"/>
        <v>-90.274426817268932</v>
      </c>
      <c r="K34" s="13">
        <f t="shared" si="2"/>
        <v>-2.989768232486679</v>
      </c>
      <c r="L34" s="13">
        <f t="shared" si="3"/>
        <v>3.9421286543349146</v>
      </c>
      <c r="M34" s="13">
        <f t="shared" si="4"/>
        <v>-1.5204850561481937</v>
      </c>
      <c r="N34" s="13">
        <f t="shared" si="5"/>
        <v>4.2844082156790222</v>
      </c>
      <c r="O34" s="13">
        <f t="shared" si="6"/>
        <v>12.125172154751471</v>
      </c>
    </row>
    <row r="35" spans="1:15" ht="18" customHeight="1" x14ac:dyDescent="0.2">
      <c r="A35" s="8">
        <v>28</v>
      </c>
      <c r="B35" s="1" t="s">
        <v>32</v>
      </c>
      <c r="C35" s="17">
        <v>25527</v>
      </c>
      <c r="D35" s="17">
        <v>309095</v>
      </c>
      <c r="E35" s="2">
        <v>404843</v>
      </c>
      <c r="F35" s="2">
        <v>373747</v>
      </c>
      <c r="G35" s="2">
        <v>350618</v>
      </c>
      <c r="H35" s="2">
        <v>278472</v>
      </c>
      <c r="I35" s="2">
        <v>233316</v>
      </c>
      <c r="J35" s="13">
        <f t="shared" si="1"/>
        <v>-91.741374011226313</v>
      </c>
      <c r="K35" s="13">
        <f t="shared" si="2"/>
        <v>-23.650649758054357</v>
      </c>
      <c r="L35" s="13">
        <f t="shared" si="3"/>
        <v>8.3200667831447479</v>
      </c>
      <c r="M35" s="13">
        <f t="shared" si="4"/>
        <v>6.5966379364436518</v>
      </c>
      <c r="N35" s="13">
        <f t="shared" si="5"/>
        <v>25.907811198253327</v>
      </c>
      <c r="O35" s="13">
        <f t="shared" si="6"/>
        <v>19.354009154965798</v>
      </c>
    </row>
    <row r="36" spans="1:15" ht="18" customHeight="1" x14ac:dyDescent="0.2">
      <c r="A36" s="8">
        <v>29</v>
      </c>
      <c r="B36" s="1" t="s">
        <v>33</v>
      </c>
      <c r="C36" s="17">
        <v>648</v>
      </c>
      <c r="D36" s="17">
        <v>0</v>
      </c>
      <c r="E36" s="2">
        <v>0</v>
      </c>
      <c r="F36" s="2">
        <v>0</v>
      </c>
      <c r="G36" s="2">
        <v>0</v>
      </c>
      <c r="H36" s="2">
        <v>0</v>
      </c>
      <c r="I36" s="2">
        <v>36643</v>
      </c>
      <c r="J36" s="13" t="s">
        <v>97</v>
      </c>
      <c r="K36" s="13" t="s">
        <v>97</v>
      </c>
      <c r="L36" s="13" t="s">
        <v>97</v>
      </c>
      <c r="M36" s="13" t="s">
        <v>97</v>
      </c>
      <c r="N36" s="13" t="s">
        <v>97</v>
      </c>
      <c r="O36" s="13">
        <f t="shared" si="6"/>
        <v>-100</v>
      </c>
    </row>
    <row r="37" spans="1:15" ht="18" customHeight="1" x14ac:dyDescent="0.2">
      <c r="A37" s="8">
        <v>30</v>
      </c>
      <c r="B37" s="1" t="s">
        <v>34</v>
      </c>
      <c r="C37" s="17">
        <v>4000</v>
      </c>
      <c r="D37" s="17">
        <v>106224</v>
      </c>
      <c r="E37" s="2">
        <v>136309</v>
      </c>
      <c r="F37" s="2">
        <v>112583</v>
      </c>
      <c r="G37" s="2">
        <v>85803</v>
      </c>
      <c r="H37" s="2">
        <v>60552</v>
      </c>
      <c r="I37" s="2">
        <v>56540</v>
      </c>
      <c r="J37" s="13">
        <f t="shared" si="1"/>
        <v>-96.234372646482896</v>
      </c>
      <c r="K37" s="13">
        <f t="shared" si="2"/>
        <v>-22.071176518058238</v>
      </c>
      <c r="L37" s="13">
        <f t="shared" si="3"/>
        <v>21.074229679436502</v>
      </c>
      <c r="M37" s="13">
        <f t="shared" si="4"/>
        <v>31.211029917368855</v>
      </c>
      <c r="N37" s="13">
        <f t="shared" si="5"/>
        <v>41.701347602061041</v>
      </c>
      <c r="O37" s="13">
        <f t="shared" si="6"/>
        <v>7.0958613371064736</v>
      </c>
    </row>
    <row r="38" spans="1:15" ht="18" customHeight="1" x14ac:dyDescent="0.2">
      <c r="A38" s="8">
        <v>31</v>
      </c>
      <c r="B38" s="1" t="s">
        <v>35</v>
      </c>
      <c r="C38" s="17">
        <v>32631</v>
      </c>
      <c r="D38" s="17">
        <v>184806</v>
      </c>
      <c r="E38" s="2">
        <v>196541</v>
      </c>
      <c r="F38" s="2">
        <v>186546</v>
      </c>
      <c r="G38" s="2">
        <v>145230</v>
      </c>
      <c r="H38" s="2">
        <v>187727</v>
      </c>
      <c r="I38" s="2">
        <v>193530</v>
      </c>
      <c r="J38" s="13">
        <f t="shared" si="1"/>
        <v>-82.343105743320024</v>
      </c>
      <c r="K38" s="13">
        <f t="shared" si="2"/>
        <v>-5.9707643697752628</v>
      </c>
      <c r="L38" s="13">
        <f t="shared" si="3"/>
        <v>5.3579278033300097</v>
      </c>
      <c r="M38" s="13">
        <f t="shared" si="4"/>
        <v>28.448667630654821</v>
      </c>
      <c r="N38" s="13">
        <f t="shared" si="5"/>
        <v>-22.637660006285724</v>
      </c>
      <c r="O38" s="13">
        <f t="shared" si="6"/>
        <v>-2.9985015243114761</v>
      </c>
    </row>
    <row r="39" spans="1:15" ht="18" customHeight="1" x14ac:dyDescent="0.2">
      <c r="A39" s="8">
        <v>32</v>
      </c>
      <c r="B39" s="1" t="s">
        <v>36</v>
      </c>
      <c r="C39" s="17">
        <v>2894</v>
      </c>
      <c r="D39" s="17">
        <v>236974</v>
      </c>
      <c r="E39" s="2">
        <v>275120</v>
      </c>
      <c r="F39" s="2">
        <v>272607</v>
      </c>
      <c r="G39" s="2">
        <v>201597</v>
      </c>
      <c r="H39" s="2">
        <v>147690</v>
      </c>
      <c r="I39" s="2">
        <v>165812</v>
      </c>
      <c r="J39" s="13">
        <f t="shared" si="1"/>
        <v>-98.77876897887532</v>
      </c>
      <c r="K39" s="13">
        <f t="shared" si="2"/>
        <v>-13.865222448386158</v>
      </c>
      <c r="L39" s="13">
        <f t="shared" si="3"/>
        <v>0.92183986471367196</v>
      </c>
      <c r="M39" s="13">
        <f t="shared" si="4"/>
        <v>35.223738448488817</v>
      </c>
      <c r="N39" s="13">
        <f t="shared" si="5"/>
        <v>36.50010156408694</v>
      </c>
      <c r="O39" s="13">
        <f t="shared" si="6"/>
        <v>-10.9292451692278</v>
      </c>
    </row>
    <row r="40" spans="1:15" ht="18" customHeight="1" x14ac:dyDescent="0.2">
      <c r="A40" s="8">
        <v>33</v>
      </c>
      <c r="B40" s="1" t="s">
        <v>37</v>
      </c>
      <c r="C40" s="17">
        <v>125430</v>
      </c>
      <c r="D40" s="17">
        <v>1376803</v>
      </c>
      <c r="E40" s="2">
        <v>1137922</v>
      </c>
      <c r="F40" s="2">
        <v>1164966</v>
      </c>
      <c r="G40" s="2">
        <v>1073248</v>
      </c>
      <c r="H40" s="2">
        <v>936169</v>
      </c>
      <c r="I40" s="2">
        <v>866625</v>
      </c>
      <c r="J40" s="13">
        <f t="shared" si="1"/>
        <v>-90.88976418558066</v>
      </c>
      <c r="K40" s="13">
        <f t="shared" si="2"/>
        <v>20.992739396900667</v>
      </c>
      <c r="L40" s="13">
        <f t="shared" si="3"/>
        <v>-2.3214411407714906</v>
      </c>
      <c r="M40" s="13">
        <f t="shared" si="4"/>
        <v>8.5458346999016062</v>
      </c>
      <c r="N40" s="13">
        <f t="shared" si="5"/>
        <v>14.642548514210576</v>
      </c>
      <c r="O40" s="13">
        <f t="shared" si="6"/>
        <v>8.0246934948795623</v>
      </c>
    </row>
    <row r="41" spans="1:15" ht="18" customHeight="1" x14ac:dyDescent="0.2">
      <c r="A41" s="8">
        <v>34</v>
      </c>
      <c r="B41" s="1" t="s">
        <v>38</v>
      </c>
      <c r="C41" s="17">
        <v>8203</v>
      </c>
      <c r="D41" s="17">
        <v>0</v>
      </c>
      <c r="E41" s="2">
        <v>23915</v>
      </c>
      <c r="F41" s="2">
        <v>36224</v>
      </c>
      <c r="G41" s="2">
        <v>26200</v>
      </c>
      <c r="H41" s="2">
        <v>15470</v>
      </c>
      <c r="I41" s="2">
        <v>1427</v>
      </c>
      <c r="J41" s="13" t="s">
        <v>97</v>
      </c>
      <c r="K41" s="13">
        <f t="shared" si="2"/>
        <v>-100</v>
      </c>
      <c r="L41" s="13">
        <f t="shared" si="3"/>
        <v>-33.980234098939931</v>
      </c>
      <c r="M41" s="13">
        <f t="shared" si="4"/>
        <v>38.259541984732827</v>
      </c>
      <c r="N41" s="13">
        <f t="shared" si="5"/>
        <v>69.360051712992885</v>
      </c>
      <c r="O41" s="13">
        <f t="shared" si="6"/>
        <v>984.09250175192722</v>
      </c>
    </row>
    <row r="42" spans="1:15" ht="18" customHeight="1" x14ac:dyDescent="0.2">
      <c r="A42" s="8">
        <v>35</v>
      </c>
      <c r="B42" s="1" t="s">
        <v>85</v>
      </c>
      <c r="C42" s="17">
        <v>91</v>
      </c>
      <c r="D42" s="17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13" t="s">
        <v>97</v>
      </c>
      <c r="K42" s="13" t="s">
        <v>97</v>
      </c>
      <c r="L42" s="13" t="s">
        <v>97</v>
      </c>
      <c r="M42" s="13" t="s">
        <v>97</v>
      </c>
      <c r="N42" s="13" t="s">
        <v>97</v>
      </c>
      <c r="O42" s="13" t="s">
        <v>97</v>
      </c>
    </row>
    <row r="43" spans="1:15" ht="18" customHeight="1" x14ac:dyDescent="0.2">
      <c r="A43" s="8">
        <v>36</v>
      </c>
      <c r="B43" s="1" t="s">
        <v>86</v>
      </c>
      <c r="C43" s="17">
        <v>726</v>
      </c>
      <c r="D43" s="17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13" t="s">
        <v>97</v>
      </c>
      <c r="K43" s="13" t="s">
        <v>97</v>
      </c>
      <c r="L43" s="13" t="s">
        <v>97</v>
      </c>
      <c r="M43" s="13" t="s">
        <v>97</v>
      </c>
      <c r="N43" s="13" t="s">
        <v>97</v>
      </c>
      <c r="O43" s="13" t="s">
        <v>97</v>
      </c>
    </row>
    <row r="44" spans="1:15" ht="18" customHeight="1" x14ac:dyDescent="0.2">
      <c r="A44" s="8">
        <v>37</v>
      </c>
      <c r="B44" s="1" t="s">
        <v>39</v>
      </c>
      <c r="C44" s="17">
        <v>55226</v>
      </c>
      <c r="D44" s="17">
        <v>3073649</v>
      </c>
      <c r="E44" s="2">
        <v>2945505</v>
      </c>
      <c r="F44" s="2">
        <v>2779016</v>
      </c>
      <c r="G44" s="2">
        <v>2286290</v>
      </c>
      <c r="H44" s="2">
        <v>2084363</v>
      </c>
      <c r="I44" s="2">
        <v>1746494</v>
      </c>
      <c r="J44" s="13">
        <f t="shared" si="1"/>
        <v>-98.203243115918568</v>
      </c>
      <c r="K44" s="13">
        <f t="shared" si="2"/>
        <v>4.3504933788942806</v>
      </c>
      <c r="L44" s="13">
        <f t="shared" si="3"/>
        <v>5.9909334814912905</v>
      </c>
      <c r="M44" s="13">
        <f t="shared" si="4"/>
        <v>21.551334257683845</v>
      </c>
      <c r="N44" s="13">
        <f t="shared" si="5"/>
        <v>9.6877079472241636</v>
      </c>
      <c r="O44" s="13">
        <f t="shared" si="6"/>
        <v>19.34555744251054</v>
      </c>
    </row>
    <row r="45" spans="1:15" ht="18" customHeight="1" x14ac:dyDescent="0.2">
      <c r="A45" s="8">
        <v>38</v>
      </c>
      <c r="B45" s="1" t="s">
        <v>40</v>
      </c>
      <c r="C45" s="17">
        <v>234783</v>
      </c>
      <c r="D45" s="17">
        <v>464243</v>
      </c>
      <c r="E45" s="2">
        <v>319827</v>
      </c>
      <c r="F45" s="2">
        <v>263853</v>
      </c>
      <c r="G45" s="2">
        <v>241828</v>
      </c>
      <c r="H45" s="2">
        <v>231641</v>
      </c>
      <c r="I45" s="2">
        <v>209668</v>
      </c>
      <c r="J45" s="13">
        <f t="shared" si="1"/>
        <v>-49.426701102655294</v>
      </c>
      <c r="K45" s="13">
        <f t="shared" si="2"/>
        <v>45.154411603773291</v>
      </c>
      <c r="L45" s="13">
        <f t="shared" si="3"/>
        <v>21.214085115575717</v>
      </c>
      <c r="M45" s="13">
        <f t="shared" si="4"/>
        <v>9.1077129199265592</v>
      </c>
      <c r="N45" s="13">
        <f t="shared" si="5"/>
        <v>4.397753420163097</v>
      </c>
      <c r="O45" s="13">
        <f t="shared" si="6"/>
        <v>10.479901558654635</v>
      </c>
    </row>
    <row r="46" spans="1:15" ht="18" customHeight="1" x14ac:dyDescent="0.2">
      <c r="A46" s="8">
        <v>39</v>
      </c>
      <c r="B46" s="1" t="s">
        <v>41</v>
      </c>
      <c r="C46" s="17">
        <v>1764</v>
      </c>
      <c r="D46" s="17">
        <v>207718</v>
      </c>
      <c r="E46" s="2">
        <v>223412</v>
      </c>
      <c r="F46" s="2">
        <v>211087</v>
      </c>
      <c r="G46" s="2">
        <v>199238</v>
      </c>
      <c r="H46" s="2">
        <v>174352</v>
      </c>
      <c r="I46" s="3">
        <v>154557</v>
      </c>
      <c r="J46" s="13">
        <f t="shared" si="1"/>
        <v>-99.150771719350274</v>
      </c>
      <c r="K46" s="13">
        <f t="shared" si="2"/>
        <v>-7.0246898107532276</v>
      </c>
      <c r="L46" s="13">
        <f t="shared" si="3"/>
        <v>5.838824749984604</v>
      </c>
      <c r="M46" s="13">
        <f t="shared" si="4"/>
        <v>5.9471586745500353</v>
      </c>
      <c r="N46" s="13">
        <f t="shared" si="5"/>
        <v>14.273423878131597</v>
      </c>
      <c r="O46" s="13">
        <f t="shared" si="6"/>
        <v>12.807572610752022</v>
      </c>
    </row>
    <row r="47" spans="1:15" ht="18" customHeight="1" x14ac:dyDescent="0.2">
      <c r="A47" s="8">
        <v>40</v>
      </c>
      <c r="B47" s="1" t="s">
        <v>42</v>
      </c>
      <c r="C47" s="17">
        <v>26720</v>
      </c>
      <c r="D47" s="17">
        <v>761517</v>
      </c>
      <c r="E47" s="2">
        <v>967512</v>
      </c>
      <c r="F47" s="2">
        <v>1003435</v>
      </c>
      <c r="G47" s="2">
        <v>860489</v>
      </c>
      <c r="H47" s="2">
        <v>715198</v>
      </c>
      <c r="I47" s="2">
        <v>1010173</v>
      </c>
      <c r="J47" s="13">
        <f t="shared" si="1"/>
        <v>-96.49121424735101</v>
      </c>
      <c r="K47" s="13">
        <f t="shared" si="2"/>
        <v>-21.291208791208792</v>
      </c>
      <c r="L47" s="13">
        <f t="shared" si="3"/>
        <v>-3.5800026907572486</v>
      </c>
      <c r="M47" s="13">
        <f t="shared" si="4"/>
        <v>16.612182142944302</v>
      </c>
      <c r="N47" s="13">
        <f t="shared" si="5"/>
        <v>20.314793945173225</v>
      </c>
      <c r="O47" s="13">
        <f t="shared" si="6"/>
        <v>-29.200443884364365</v>
      </c>
    </row>
    <row r="48" spans="1:15" ht="18" customHeight="1" x14ac:dyDescent="0.2">
      <c r="A48" s="8">
        <v>41</v>
      </c>
      <c r="B48" s="1" t="s">
        <v>43</v>
      </c>
      <c r="C48" s="17">
        <v>79396</v>
      </c>
      <c r="D48" s="17">
        <v>378583</v>
      </c>
      <c r="E48" s="2">
        <v>835671</v>
      </c>
      <c r="F48" s="2">
        <v>670257</v>
      </c>
      <c r="G48" s="3">
        <v>516069</v>
      </c>
      <c r="H48" s="3">
        <v>203058</v>
      </c>
      <c r="I48" s="3">
        <v>393526</v>
      </c>
      <c r="J48" s="13">
        <f t="shared" si="1"/>
        <v>-79.028112725611038</v>
      </c>
      <c r="K48" s="13">
        <f t="shared" si="2"/>
        <v>-54.697123628796497</v>
      </c>
      <c r="L48" s="13">
        <f t="shared" si="3"/>
        <v>24.679190221064456</v>
      </c>
      <c r="M48" s="13">
        <f t="shared" si="4"/>
        <v>29.877400115100887</v>
      </c>
      <c r="N48" s="13">
        <f t="shared" si="5"/>
        <v>154.14856838932718</v>
      </c>
      <c r="O48" s="13">
        <f t="shared" si="6"/>
        <v>-48.400359823747351</v>
      </c>
    </row>
    <row r="49" spans="1:15" ht="18" customHeight="1" x14ac:dyDescent="0.2">
      <c r="A49" s="8">
        <v>42</v>
      </c>
      <c r="B49" s="1" t="s">
        <v>87</v>
      </c>
      <c r="C49" s="17">
        <v>3443</v>
      </c>
      <c r="D49" s="17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3" t="s">
        <v>97</v>
      </c>
      <c r="K49" s="13" t="s">
        <v>97</v>
      </c>
      <c r="L49" s="13" t="s">
        <v>97</v>
      </c>
      <c r="M49" s="13" t="s">
        <v>97</v>
      </c>
      <c r="N49" s="13" t="s">
        <v>97</v>
      </c>
      <c r="O49" s="13" t="s">
        <v>97</v>
      </c>
    </row>
    <row r="50" spans="1:15" ht="18" customHeight="1" x14ac:dyDescent="0.2">
      <c r="A50" s="8">
        <v>43</v>
      </c>
      <c r="B50" s="1" t="s">
        <v>88</v>
      </c>
      <c r="C50" s="17">
        <v>5468</v>
      </c>
      <c r="D50" s="17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13" t="s">
        <v>97</v>
      </c>
      <c r="K50" s="13" t="s">
        <v>97</v>
      </c>
      <c r="L50" s="13" t="s">
        <v>97</v>
      </c>
      <c r="M50" s="13" t="s">
        <v>97</v>
      </c>
      <c r="N50" s="13" t="s">
        <v>97</v>
      </c>
      <c r="O50" s="13" t="s">
        <v>97</v>
      </c>
    </row>
    <row r="51" spans="1:15" ht="18" customHeight="1" x14ac:dyDescent="0.2">
      <c r="A51" s="8">
        <v>44</v>
      </c>
      <c r="B51" s="1" t="s">
        <v>44</v>
      </c>
      <c r="C51" s="17">
        <v>407261</v>
      </c>
      <c r="D51" s="17">
        <v>2916530</v>
      </c>
      <c r="E51" s="2">
        <v>3519475</v>
      </c>
      <c r="F51" s="2">
        <v>3394940</v>
      </c>
      <c r="G51" s="2">
        <v>2948834</v>
      </c>
      <c r="H51" s="2">
        <v>2579891</v>
      </c>
      <c r="I51" s="2">
        <v>2242538</v>
      </c>
      <c r="J51" s="13">
        <f t="shared" si="1"/>
        <v>-86.036111406363034</v>
      </c>
      <c r="K51" s="13">
        <f t="shared" si="2"/>
        <v>-17.13167446849317</v>
      </c>
      <c r="L51" s="13">
        <f t="shared" si="3"/>
        <v>3.6682533417379979</v>
      </c>
      <c r="M51" s="13">
        <f t="shared" si="4"/>
        <v>15.12821677992047</v>
      </c>
      <c r="N51" s="13">
        <f t="shared" si="5"/>
        <v>14.30072045679449</v>
      </c>
      <c r="O51" s="13">
        <f t="shared" si="6"/>
        <v>15.043357124829098</v>
      </c>
    </row>
    <row r="52" spans="1:15" ht="18" customHeight="1" x14ac:dyDescent="0.2">
      <c r="A52" s="8">
        <v>45</v>
      </c>
      <c r="B52" s="1" t="s">
        <v>45</v>
      </c>
      <c r="C52" s="17"/>
      <c r="D52" s="17">
        <v>0</v>
      </c>
      <c r="E52" s="2">
        <v>5533</v>
      </c>
      <c r="F52" s="2">
        <v>8079</v>
      </c>
      <c r="G52" s="2">
        <v>24547</v>
      </c>
      <c r="H52" s="3">
        <v>36903</v>
      </c>
      <c r="I52" s="3">
        <v>35148</v>
      </c>
      <c r="J52" s="13" t="s">
        <v>97</v>
      </c>
      <c r="K52" s="13">
        <f t="shared" si="2"/>
        <v>-100</v>
      </c>
      <c r="L52" s="13">
        <f t="shared" si="3"/>
        <v>-31.513801213021413</v>
      </c>
      <c r="M52" s="13">
        <f t="shared" si="4"/>
        <v>-67.087627816026398</v>
      </c>
      <c r="N52" s="13">
        <f t="shared" si="5"/>
        <v>-33.482372706826006</v>
      </c>
      <c r="O52" s="13">
        <f t="shared" si="6"/>
        <v>4.9931717309661998</v>
      </c>
    </row>
    <row r="53" spans="1:15" ht="18" customHeight="1" x14ac:dyDescent="0.2">
      <c r="A53" s="8">
        <v>46</v>
      </c>
      <c r="B53" s="1" t="s">
        <v>89</v>
      </c>
      <c r="C53" s="17">
        <v>8120</v>
      </c>
      <c r="D53" s="17">
        <v>0</v>
      </c>
      <c r="E53" s="2">
        <v>0</v>
      </c>
      <c r="F53" s="3">
        <v>0</v>
      </c>
      <c r="G53" s="3">
        <v>0</v>
      </c>
      <c r="H53" s="3">
        <v>0</v>
      </c>
      <c r="I53" s="2">
        <v>0</v>
      </c>
      <c r="J53" s="13" t="s">
        <v>97</v>
      </c>
      <c r="K53" s="13" t="s">
        <v>97</v>
      </c>
      <c r="L53" s="13" t="s">
        <v>97</v>
      </c>
      <c r="M53" s="13" t="s">
        <v>97</v>
      </c>
      <c r="N53" s="13" t="s">
        <v>97</v>
      </c>
      <c r="O53" s="13" t="s">
        <v>97</v>
      </c>
    </row>
    <row r="54" spans="1:15" ht="18" customHeight="1" x14ac:dyDescent="0.2">
      <c r="A54" s="8">
        <v>47</v>
      </c>
      <c r="B54" s="1" t="s">
        <v>90</v>
      </c>
      <c r="C54" s="17">
        <v>0</v>
      </c>
      <c r="D54" s="17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13" t="s">
        <v>97</v>
      </c>
      <c r="K54" s="13" t="s">
        <v>97</v>
      </c>
      <c r="L54" s="13" t="s">
        <v>97</v>
      </c>
      <c r="M54" s="13" t="s">
        <v>97</v>
      </c>
      <c r="N54" s="13" t="s">
        <v>97</v>
      </c>
      <c r="O54" s="13" t="s">
        <v>97</v>
      </c>
    </row>
    <row r="55" spans="1:15" ht="18" customHeight="1" x14ac:dyDescent="0.2">
      <c r="A55" s="8">
        <v>48</v>
      </c>
      <c r="B55" s="1" t="s">
        <v>46</v>
      </c>
      <c r="C55" s="17">
        <v>576273</v>
      </c>
      <c r="D55" s="17">
        <v>3409623</v>
      </c>
      <c r="E55" s="2">
        <v>3470229</v>
      </c>
      <c r="F55" s="2">
        <v>3223922</v>
      </c>
      <c r="G55" s="3">
        <v>2882850</v>
      </c>
      <c r="H55" s="3">
        <v>2668656</v>
      </c>
      <c r="I55" s="3">
        <v>2340627</v>
      </c>
      <c r="J55" s="13">
        <f t="shared" si="1"/>
        <v>-83.098629965834931</v>
      </c>
      <c r="K55" s="13">
        <f t="shared" si="2"/>
        <v>-1.7464553492002977</v>
      </c>
      <c r="L55" s="13">
        <f t="shared" si="3"/>
        <v>7.6399801235885985</v>
      </c>
      <c r="M55" s="13">
        <f t="shared" si="4"/>
        <v>11.831069948141595</v>
      </c>
      <c r="N55" s="13">
        <f t="shared" si="5"/>
        <v>8.0262873896073526</v>
      </c>
      <c r="O55" s="13">
        <f t="shared" si="6"/>
        <v>14.014578145086764</v>
      </c>
    </row>
    <row r="56" spans="1:15" ht="18" customHeight="1" x14ac:dyDescent="0.2">
      <c r="A56" s="8">
        <v>49</v>
      </c>
      <c r="B56" s="1" t="s">
        <v>47</v>
      </c>
      <c r="C56" s="17"/>
      <c r="D56" s="17">
        <v>15802</v>
      </c>
      <c r="E56" s="2">
        <v>11685</v>
      </c>
      <c r="F56" s="2">
        <v>11341</v>
      </c>
      <c r="G56" s="2">
        <v>8493</v>
      </c>
      <c r="H56" s="2">
        <v>3501</v>
      </c>
      <c r="I56" s="2">
        <v>0</v>
      </c>
      <c r="J56" s="13">
        <f t="shared" si="1"/>
        <v>-100</v>
      </c>
      <c r="K56" s="13">
        <f t="shared" si="2"/>
        <v>35.23320496362858</v>
      </c>
      <c r="L56" s="13">
        <f t="shared" si="3"/>
        <v>3.0332422184992507</v>
      </c>
      <c r="M56" s="13">
        <f t="shared" si="4"/>
        <v>33.533498174967619</v>
      </c>
      <c r="N56" s="13">
        <f t="shared" si="5"/>
        <v>142.5878320479863</v>
      </c>
      <c r="O56" s="13" t="s">
        <v>97</v>
      </c>
    </row>
    <row r="57" spans="1:15" ht="18" customHeight="1" x14ac:dyDescent="0.2">
      <c r="A57" s="8">
        <v>50</v>
      </c>
      <c r="B57" s="1" t="s">
        <v>48</v>
      </c>
      <c r="C57" s="17">
        <v>14660</v>
      </c>
      <c r="D57" s="17">
        <v>459182</v>
      </c>
      <c r="E57" s="2">
        <v>412234</v>
      </c>
      <c r="F57" s="2">
        <v>423696</v>
      </c>
      <c r="G57" s="2">
        <v>335441</v>
      </c>
      <c r="H57" s="2">
        <v>221885</v>
      </c>
      <c r="I57" s="2">
        <v>232314</v>
      </c>
      <c r="J57" s="13">
        <f t="shared" si="1"/>
        <v>-96.807366142401051</v>
      </c>
      <c r="K57" s="13">
        <f t="shared" si="2"/>
        <v>11.388677304637657</v>
      </c>
      <c r="L57" s="13">
        <f t="shared" si="3"/>
        <v>-2.7052414939012879</v>
      </c>
      <c r="M57" s="13">
        <f t="shared" si="4"/>
        <v>26.310140978592361</v>
      </c>
      <c r="N57" s="13">
        <f t="shared" si="5"/>
        <v>51.177862406201413</v>
      </c>
      <c r="O57" s="13">
        <f t="shared" si="6"/>
        <v>-4.4891827440446983</v>
      </c>
    </row>
    <row r="58" spans="1:15" ht="18" customHeight="1" x14ac:dyDescent="0.2">
      <c r="A58" s="8">
        <v>51</v>
      </c>
      <c r="B58" s="1" t="s">
        <v>49</v>
      </c>
      <c r="C58" s="17">
        <v>4159</v>
      </c>
      <c r="D58" s="17">
        <v>27687</v>
      </c>
      <c r="E58" s="2">
        <v>28110</v>
      </c>
      <c r="F58" s="2">
        <v>27028</v>
      </c>
      <c r="G58" s="2">
        <v>0</v>
      </c>
      <c r="H58" s="2">
        <v>0</v>
      </c>
      <c r="I58" s="2">
        <v>0</v>
      </c>
      <c r="J58" s="13">
        <f t="shared" si="1"/>
        <v>-84.978509769928124</v>
      </c>
      <c r="K58" s="13">
        <f t="shared" si="2"/>
        <v>-1.5048025613660618</v>
      </c>
      <c r="L58" s="13">
        <f t="shared" si="3"/>
        <v>4.0032558827882196</v>
      </c>
      <c r="M58" s="13" t="s">
        <v>97</v>
      </c>
      <c r="N58" s="13" t="s">
        <v>97</v>
      </c>
      <c r="O58" s="13" t="s">
        <v>97</v>
      </c>
    </row>
    <row r="59" spans="1:15" ht="18" customHeight="1" x14ac:dyDescent="0.2">
      <c r="A59" s="8">
        <v>52</v>
      </c>
      <c r="B59" s="1" t="s">
        <v>50</v>
      </c>
      <c r="C59" s="17">
        <v>452202</v>
      </c>
      <c r="D59" s="17">
        <v>3063430</v>
      </c>
      <c r="E59" s="2">
        <v>3165596</v>
      </c>
      <c r="F59" s="2">
        <v>3296344</v>
      </c>
      <c r="G59" s="2">
        <v>3250101</v>
      </c>
      <c r="H59" s="2">
        <v>3092334</v>
      </c>
      <c r="I59" s="2">
        <v>3108432</v>
      </c>
      <c r="J59" s="13">
        <f t="shared" si="1"/>
        <v>-85.238703022429107</v>
      </c>
      <c r="K59" s="13">
        <f t="shared" si="2"/>
        <v>-3.2273859330122985</v>
      </c>
      <c r="L59" s="13">
        <f t="shared" si="3"/>
        <v>-3.9664549573709538</v>
      </c>
      <c r="M59" s="13">
        <f t="shared" si="4"/>
        <v>1.4228173216770801</v>
      </c>
      <c r="N59" s="13">
        <f t="shared" si="5"/>
        <v>5.1018745064407662</v>
      </c>
      <c r="O59" s="13">
        <f t="shared" si="6"/>
        <v>-0.51788168439907967</v>
      </c>
    </row>
    <row r="60" spans="1:15" ht="18" customHeight="1" x14ac:dyDescent="0.2">
      <c r="A60" s="8">
        <v>53</v>
      </c>
      <c r="B60" s="1" t="s">
        <v>91</v>
      </c>
      <c r="C60" s="17">
        <v>152</v>
      </c>
      <c r="D60" s="17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3" t="s">
        <v>97</v>
      </c>
      <c r="K60" s="13" t="s">
        <v>97</v>
      </c>
      <c r="L60" s="13" t="s">
        <v>97</v>
      </c>
      <c r="M60" s="13" t="s">
        <v>97</v>
      </c>
      <c r="N60" s="13" t="s">
        <v>97</v>
      </c>
      <c r="O60" s="13" t="s">
        <v>97</v>
      </c>
    </row>
    <row r="61" spans="1:15" ht="18" customHeight="1" x14ac:dyDescent="0.2">
      <c r="A61" s="8">
        <v>54</v>
      </c>
      <c r="B61" s="1" t="s">
        <v>92</v>
      </c>
      <c r="C61" s="17">
        <v>131</v>
      </c>
      <c r="D61" s="17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13" t="s">
        <v>97</v>
      </c>
      <c r="K61" s="13" t="s">
        <v>97</v>
      </c>
      <c r="L61" s="13" t="s">
        <v>97</v>
      </c>
      <c r="M61" s="13" t="s">
        <v>97</v>
      </c>
      <c r="N61" s="13" t="s">
        <v>97</v>
      </c>
      <c r="O61" s="13" t="s">
        <v>97</v>
      </c>
    </row>
    <row r="62" spans="1:15" ht="18" customHeight="1" x14ac:dyDescent="0.2">
      <c r="A62" s="8">
        <v>55</v>
      </c>
      <c r="B62" s="1" t="s">
        <v>51</v>
      </c>
      <c r="C62" s="17">
        <v>845</v>
      </c>
      <c r="D62" s="17">
        <v>57146</v>
      </c>
      <c r="E62" s="2">
        <v>50798</v>
      </c>
      <c r="F62" s="2">
        <v>58545</v>
      </c>
      <c r="G62" s="2">
        <v>57597</v>
      </c>
      <c r="H62" s="2">
        <v>42325</v>
      </c>
      <c r="I62" s="2">
        <v>7064</v>
      </c>
      <c r="J62" s="13">
        <f t="shared" si="1"/>
        <v>-98.52133132677703</v>
      </c>
      <c r="K62" s="13">
        <f t="shared" si="2"/>
        <v>12.496554982479626</v>
      </c>
      <c r="L62" s="13">
        <f t="shared" si="3"/>
        <v>-13.232556153386286</v>
      </c>
      <c r="M62" s="13">
        <f t="shared" si="4"/>
        <v>1.6459190582842855</v>
      </c>
      <c r="N62" s="13">
        <f t="shared" si="5"/>
        <v>36.082693443591261</v>
      </c>
      <c r="O62" s="13">
        <f t="shared" si="6"/>
        <v>499.16477916194788</v>
      </c>
    </row>
    <row r="63" spans="1:15" ht="18" customHeight="1" x14ac:dyDescent="0.2">
      <c r="A63" s="8">
        <v>56</v>
      </c>
      <c r="B63" s="1" t="s">
        <v>52</v>
      </c>
      <c r="C63" s="17">
        <v>115591</v>
      </c>
      <c r="D63" s="17">
        <v>4465602</v>
      </c>
      <c r="E63" s="2">
        <v>4833124</v>
      </c>
      <c r="F63" s="2">
        <v>4255170</v>
      </c>
      <c r="G63" s="2">
        <v>3591649</v>
      </c>
      <c r="H63" s="2">
        <v>3357684</v>
      </c>
      <c r="I63" s="2">
        <v>3370710</v>
      </c>
      <c r="J63" s="13">
        <f t="shared" si="1"/>
        <v>-97.41152480673378</v>
      </c>
      <c r="K63" s="13">
        <f t="shared" si="2"/>
        <v>-7.6042327902201556</v>
      </c>
      <c r="L63" s="13">
        <f t="shared" si="3"/>
        <v>13.582395062946956</v>
      </c>
      <c r="M63" s="13">
        <f t="shared" si="4"/>
        <v>18.473993421963002</v>
      </c>
      <c r="N63" s="13">
        <f t="shared" si="5"/>
        <v>6.9680470228883964</v>
      </c>
      <c r="O63" s="13">
        <f t="shared" si="6"/>
        <v>-0.38644677234173214</v>
      </c>
    </row>
    <row r="64" spans="1:15" ht="18" customHeight="1" x14ac:dyDescent="0.2">
      <c r="A64" s="8">
        <v>57</v>
      </c>
      <c r="B64" s="1" t="s">
        <v>54</v>
      </c>
      <c r="C64" s="17">
        <v>568</v>
      </c>
      <c r="D64" s="17">
        <v>0</v>
      </c>
      <c r="E64" s="2">
        <v>0</v>
      </c>
      <c r="F64" s="2">
        <v>0</v>
      </c>
      <c r="G64" s="2">
        <v>0</v>
      </c>
      <c r="H64" s="2">
        <v>0</v>
      </c>
      <c r="I64" s="2">
        <v>111269</v>
      </c>
      <c r="J64" s="13" t="s">
        <v>97</v>
      </c>
      <c r="K64" s="13" t="s">
        <v>97</v>
      </c>
      <c r="L64" s="13" t="s">
        <v>97</v>
      </c>
      <c r="M64" s="13" t="s">
        <v>97</v>
      </c>
      <c r="N64" s="13" t="s">
        <v>97</v>
      </c>
      <c r="O64" s="13">
        <f t="shared" si="6"/>
        <v>-100</v>
      </c>
    </row>
    <row r="65" spans="1:15" ht="18" customHeight="1" x14ac:dyDescent="0.2">
      <c r="A65" s="8">
        <v>58</v>
      </c>
      <c r="B65" s="1" t="s">
        <v>53</v>
      </c>
      <c r="C65" s="17">
        <v>419</v>
      </c>
      <c r="D65" s="17">
        <v>52385</v>
      </c>
      <c r="E65" s="2">
        <v>54998</v>
      </c>
      <c r="F65" s="2">
        <v>56827</v>
      </c>
      <c r="G65" s="2">
        <v>16691</v>
      </c>
      <c r="H65" s="2">
        <v>0</v>
      </c>
      <c r="I65" s="2">
        <v>0</v>
      </c>
      <c r="J65" s="13">
        <f t="shared" si="1"/>
        <v>-99.200152715471987</v>
      </c>
      <c r="K65" s="13">
        <f t="shared" si="2"/>
        <v>-4.7510818575220917</v>
      </c>
      <c r="L65" s="13">
        <f t="shared" si="3"/>
        <v>-3.2185404825171133</v>
      </c>
      <c r="M65" s="13">
        <f t="shared" si="4"/>
        <v>240.46492121502604</v>
      </c>
      <c r="N65" s="13" t="s">
        <v>97</v>
      </c>
      <c r="O65" s="13" t="s">
        <v>97</v>
      </c>
    </row>
    <row r="66" spans="1:15" ht="18" customHeight="1" x14ac:dyDescent="0.2">
      <c r="A66" s="8">
        <v>59</v>
      </c>
      <c r="B66" s="1" t="s">
        <v>55</v>
      </c>
      <c r="C66" s="17">
        <v>27507</v>
      </c>
      <c r="D66" s="17">
        <v>2495438</v>
      </c>
      <c r="E66" s="2">
        <v>2797386</v>
      </c>
      <c r="F66" s="2">
        <v>2545682</v>
      </c>
      <c r="G66" s="2">
        <v>2082838</v>
      </c>
      <c r="H66" s="2">
        <v>1963116</v>
      </c>
      <c r="I66" s="2">
        <v>1650657</v>
      </c>
      <c r="J66" s="13">
        <f t="shared" si="1"/>
        <v>-98.897708538541124</v>
      </c>
      <c r="K66" s="13">
        <f t="shared" si="2"/>
        <v>-10.793934051289311</v>
      </c>
      <c r="L66" s="13">
        <f t="shared" si="3"/>
        <v>9.887487910901676</v>
      </c>
      <c r="M66" s="13">
        <f t="shared" si="4"/>
        <v>22.221795454087165</v>
      </c>
      <c r="N66" s="13">
        <f t="shared" si="5"/>
        <v>6.0985698247072513</v>
      </c>
      <c r="O66" s="13">
        <f t="shared" si="6"/>
        <v>18.929371759244955</v>
      </c>
    </row>
    <row r="67" spans="1:15" ht="18" customHeight="1" x14ac:dyDescent="0.2">
      <c r="A67" s="8">
        <v>60</v>
      </c>
      <c r="B67" s="1" t="s">
        <v>93</v>
      </c>
      <c r="C67" s="17">
        <v>0</v>
      </c>
      <c r="D67" s="17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13" t="s">
        <v>97</v>
      </c>
      <c r="K67" s="13" t="s">
        <v>97</v>
      </c>
      <c r="L67" s="13" t="s">
        <v>97</v>
      </c>
      <c r="M67" s="13" t="s">
        <v>97</v>
      </c>
      <c r="N67" s="13" t="s">
        <v>97</v>
      </c>
      <c r="O67" s="13" t="s">
        <v>97</v>
      </c>
    </row>
    <row r="68" spans="1:15" ht="18" customHeight="1" x14ac:dyDescent="0.2">
      <c r="A68" s="8">
        <v>61</v>
      </c>
      <c r="B68" s="1" t="s">
        <v>56</v>
      </c>
      <c r="C68" s="17">
        <v>1706</v>
      </c>
      <c r="D68" s="17">
        <v>62526</v>
      </c>
      <c r="E68" s="2">
        <v>62731</v>
      </c>
      <c r="F68" s="2">
        <v>36369</v>
      </c>
      <c r="G68" s="2">
        <v>0</v>
      </c>
      <c r="H68" s="2">
        <v>0</v>
      </c>
      <c r="I68" s="2">
        <v>0</v>
      </c>
      <c r="J68" s="13">
        <f t="shared" si="1"/>
        <v>-97.271535041422766</v>
      </c>
      <c r="K68" s="13">
        <f t="shared" si="2"/>
        <v>-0.32679217611707129</v>
      </c>
      <c r="L68" s="13">
        <f t="shared" si="3"/>
        <v>72.484808490747611</v>
      </c>
      <c r="M68" s="13" t="s">
        <v>97</v>
      </c>
      <c r="N68" s="13" t="s">
        <v>97</v>
      </c>
      <c r="O68" s="13" t="s">
        <v>97</v>
      </c>
    </row>
    <row r="69" spans="1:15" ht="18" customHeight="1" x14ac:dyDescent="0.2">
      <c r="A69" s="8">
        <v>62</v>
      </c>
      <c r="B69" s="1" t="s">
        <v>57</v>
      </c>
      <c r="C69" s="17">
        <v>0</v>
      </c>
      <c r="D69" s="17">
        <v>248927</v>
      </c>
      <c r="E69" s="2">
        <v>281734</v>
      </c>
      <c r="F69" s="2">
        <v>286179</v>
      </c>
      <c r="G69" s="2">
        <v>286421</v>
      </c>
      <c r="H69" s="2">
        <v>287635</v>
      </c>
      <c r="I69" s="2">
        <v>290011</v>
      </c>
      <c r="J69" s="13">
        <f t="shared" si="1"/>
        <v>-100</v>
      </c>
      <c r="K69" s="13">
        <f t="shared" si="2"/>
        <v>-11.644671924581344</v>
      </c>
      <c r="L69" s="13">
        <f t="shared" si="3"/>
        <v>-1.5532236816817446</v>
      </c>
      <c r="M69" s="13">
        <f t="shared" si="4"/>
        <v>-8.4491011483096568E-2</v>
      </c>
      <c r="N69" s="13">
        <f t="shared" si="5"/>
        <v>-0.42206268360943561</v>
      </c>
      <c r="O69" s="13">
        <f t="shared" si="6"/>
        <v>-0.81927926871739354</v>
      </c>
    </row>
    <row r="70" spans="1:15" ht="18" customHeight="1" x14ac:dyDescent="0.2">
      <c r="A70" s="8">
        <v>63</v>
      </c>
      <c r="B70" s="1" t="s">
        <v>58</v>
      </c>
      <c r="C70" s="17">
        <v>94</v>
      </c>
      <c r="D70" s="17">
        <v>62218</v>
      </c>
      <c r="E70" s="2">
        <v>59880</v>
      </c>
      <c r="F70" s="2">
        <v>56868</v>
      </c>
      <c r="G70" s="2">
        <v>55451</v>
      </c>
      <c r="H70" s="2">
        <v>43380</v>
      </c>
      <c r="I70" s="2">
        <v>38084</v>
      </c>
      <c r="J70" s="13">
        <f t="shared" si="1"/>
        <v>-99.848918319457397</v>
      </c>
      <c r="K70" s="13">
        <f t="shared" si="2"/>
        <v>3.904475617902472</v>
      </c>
      <c r="L70" s="13">
        <f t="shared" si="3"/>
        <v>5.2964760497995362</v>
      </c>
      <c r="M70" s="13">
        <f t="shared" si="4"/>
        <v>2.5554092802654598</v>
      </c>
      <c r="N70" s="13">
        <f t="shared" si="5"/>
        <v>27.826187183033657</v>
      </c>
      <c r="O70" s="13">
        <f t="shared" si="6"/>
        <v>13.906102300178553</v>
      </c>
    </row>
    <row r="71" spans="1:15" ht="18" customHeight="1" x14ac:dyDescent="0.2">
      <c r="A71" s="8">
        <v>64</v>
      </c>
      <c r="B71" s="1" t="s">
        <v>59</v>
      </c>
      <c r="C71" s="17">
        <v>345</v>
      </c>
      <c r="D71" s="17">
        <v>0</v>
      </c>
      <c r="E71" s="2">
        <v>8885</v>
      </c>
      <c r="F71" s="2">
        <v>12176</v>
      </c>
      <c r="G71" s="2">
        <v>8565</v>
      </c>
      <c r="H71" s="2">
        <v>5150</v>
      </c>
      <c r="I71" s="2">
        <v>5482</v>
      </c>
      <c r="J71" s="13" t="s">
        <v>97</v>
      </c>
      <c r="K71" s="13">
        <f t="shared" si="2"/>
        <v>-100</v>
      </c>
      <c r="L71" s="13">
        <f t="shared" si="3"/>
        <v>-27.028580814717479</v>
      </c>
      <c r="M71" s="13">
        <f t="shared" si="4"/>
        <v>42.159953298307059</v>
      </c>
      <c r="N71" s="13">
        <f t="shared" si="5"/>
        <v>66.310679611650485</v>
      </c>
      <c r="O71" s="13">
        <f t="shared" si="6"/>
        <v>-6.056183874498358</v>
      </c>
    </row>
    <row r="72" spans="1:15" ht="18" customHeight="1" x14ac:dyDescent="0.2">
      <c r="A72" s="8">
        <v>65</v>
      </c>
      <c r="B72" s="1" t="s">
        <v>60</v>
      </c>
      <c r="C72" s="17">
        <v>8534</v>
      </c>
      <c r="D72" s="17">
        <v>4283101</v>
      </c>
      <c r="E72" s="2">
        <v>4090732</v>
      </c>
      <c r="F72" s="2">
        <v>3452829</v>
      </c>
      <c r="G72" s="2">
        <v>2979458</v>
      </c>
      <c r="H72" s="2">
        <v>2571769</v>
      </c>
      <c r="I72" s="2">
        <v>2187031</v>
      </c>
      <c r="J72" s="13">
        <f t="shared" si="1"/>
        <v>-99.800751838446018</v>
      </c>
      <c r="K72" s="13">
        <f t="shared" si="2"/>
        <v>4.7025569017965489</v>
      </c>
      <c r="L72" s="13">
        <f t="shared" si="3"/>
        <v>18.474792698972351</v>
      </c>
      <c r="M72" s="13">
        <f t="shared" si="4"/>
        <v>15.887822550275924</v>
      </c>
      <c r="N72" s="13">
        <f t="shared" si="5"/>
        <v>15.85247353086533</v>
      </c>
      <c r="O72" s="13">
        <f t="shared" si="6"/>
        <v>17.591794537891779</v>
      </c>
    </row>
    <row r="73" spans="1:15" ht="18" customHeight="1" x14ac:dyDescent="0.2">
      <c r="A73" s="8">
        <v>66</v>
      </c>
      <c r="B73" s="1" t="s">
        <v>61</v>
      </c>
      <c r="C73" s="17">
        <v>10036</v>
      </c>
      <c r="D73" s="17">
        <v>500221</v>
      </c>
      <c r="E73" s="2">
        <v>503231</v>
      </c>
      <c r="F73" s="2">
        <v>496730</v>
      </c>
      <c r="G73" s="2">
        <v>468160</v>
      </c>
      <c r="H73" s="2">
        <v>409790</v>
      </c>
      <c r="I73" s="2">
        <v>370134</v>
      </c>
      <c r="J73" s="13">
        <f t="shared" ref="J73:J81" si="7">(C73-D73)/D73*100</f>
        <v>-97.99368679043863</v>
      </c>
      <c r="K73" s="13">
        <f t="shared" ref="K73:K81" si="8">(D73-E73)/E73*100</f>
        <v>-0.59813485258261123</v>
      </c>
      <c r="L73" s="13">
        <f t="shared" ref="L73:L81" si="9">(E73-F73)/F73*100</f>
        <v>1.3087592857286656</v>
      </c>
      <c r="M73" s="13">
        <f t="shared" ref="M73:M81" si="10">(F73-G73)/G73*100</f>
        <v>6.1026144907723854</v>
      </c>
      <c r="N73" s="13">
        <f t="shared" ref="N73:N81" si="11">(G73-H73)/H73*100</f>
        <v>14.243881012225772</v>
      </c>
      <c r="O73" s="13">
        <f t="shared" ref="O73:O81" si="12">(H73-I73)/I73*100</f>
        <v>10.713957647770807</v>
      </c>
    </row>
    <row r="74" spans="1:15" ht="18" customHeight="1" x14ac:dyDescent="0.2">
      <c r="A74" s="8">
        <v>67</v>
      </c>
      <c r="B74" s="1" t="s">
        <v>62</v>
      </c>
      <c r="C74" s="17">
        <v>364</v>
      </c>
      <c r="D74" s="17">
        <v>33657</v>
      </c>
      <c r="E74" s="2">
        <v>109492</v>
      </c>
      <c r="F74" s="2">
        <v>104774</v>
      </c>
      <c r="G74" s="2">
        <v>78179</v>
      </c>
      <c r="H74" s="2">
        <v>81712</v>
      </c>
      <c r="I74" s="2">
        <v>101237</v>
      </c>
      <c r="J74" s="13">
        <f t="shared" si="7"/>
        <v>-98.918501351873317</v>
      </c>
      <c r="K74" s="13">
        <f t="shared" si="8"/>
        <v>-69.260767909984295</v>
      </c>
      <c r="L74" s="13">
        <f t="shared" si="9"/>
        <v>4.5030255597762805</v>
      </c>
      <c r="M74" s="13">
        <f t="shared" si="10"/>
        <v>34.018086698474015</v>
      </c>
      <c r="N74" s="13">
        <f t="shared" si="11"/>
        <v>-4.3237223418836894</v>
      </c>
      <c r="O74" s="13">
        <f t="shared" si="12"/>
        <v>-19.286426899256202</v>
      </c>
    </row>
    <row r="75" spans="1:15" ht="18" customHeight="1" x14ac:dyDescent="0.2">
      <c r="A75" s="8">
        <v>68</v>
      </c>
      <c r="B75" s="1" t="s">
        <v>94</v>
      </c>
      <c r="C75" s="17">
        <v>4296</v>
      </c>
      <c r="D75" s="17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3" t="s">
        <v>97</v>
      </c>
      <c r="K75" s="13" t="s">
        <v>97</v>
      </c>
      <c r="L75" s="13" t="s">
        <v>97</v>
      </c>
      <c r="M75" s="13" t="s">
        <v>97</v>
      </c>
      <c r="N75" s="13" t="s">
        <v>97</v>
      </c>
      <c r="O75" s="13" t="s">
        <v>97</v>
      </c>
    </row>
    <row r="76" spans="1:15" ht="18" customHeight="1" x14ac:dyDescent="0.2">
      <c r="A76" s="8">
        <v>69</v>
      </c>
      <c r="B76" s="1" t="s">
        <v>95</v>
      </c>
      <c r="C76" s="17">
        <v>4416776</v>
      </c>
      <c r="D76" s="17">
        <v>18751390</v>
      </c>
      <c r="E76" s="2">
        <v>18880319</v>
      </c>
      <c r="F76" s="2">
        <v>19094500</v>
      </c>
      <c r="G76" s="2">
        <v>18416727</v>
      </c>
      <c r="H76" s="2">
        <v>16741920</v>
      </c>
      <c r="I76" s="2">
        <v>14507432</v>
      </c>
      <c r="J76" s="13">
        <f t="shared" si="7"/>
        <v>-76.44560749896408</v>
      </c>
      <c r="K76" s="13">
        <f t="shared" si="8"/>
        <v>-0.68287511455712169</v>
      </c>
      <c r="L76" s="13">
        <f t="shared" si="9"/>
        <v>-1.1216894917384586</v>
      </c>
      <c r="M76" s="13">
        <f t="shared" si="10"/>
        <v>3.6802033282026714</v>
      </c>
      <c r="N76" s="13">
        <f t="shared" si="11"/>
        <v>10.003673413802002</v>
      </c>
      <c r="O76" s="13">
        <f t="shared" si="12"/>
        <v>15.402367558917387</v>
      </c>
    </row>
    <row r="77" spans="1:15" ht="18" customHeight="1" x14ac:dyDescent="0.2">
      <c r="A77" s="8">
        <v>70</v>
      </c>
      <c r="B77" s="1" t="s">
        <v>63</v>
      </c>
      <c r="C77" s="17">
        <v>416710</v>
      </c>
      <c r="D77" s="17">
        <v>2654713</v>
      </c>
      <c r="E77" s="2">
        <v>2863509</v>
      </c>
      <c r="F77" s="2">
        <v>2697258</v>
      </c>
      <c r="G77" s="2">
        <v>2486391</v>
      </c>
      <c r="H77" s="2">
        <v>2528131</v>
      </c>
      <c r="I77" s="2">
        <v>2307622</v>
      </c>
      <c r="J77" s="13">
        <f t="shared" si="7"/>
        <v>-84.303011285965752</v>
      </c>
      <c r="K77" s="13">
        <f t="shared" si="8"/>
        <v>-7.2916131920660971</v>
      </c>
      <c r="L77" s="13">
        <f t="shared" si="9"/>
        <v>6.1637040283131981</v>
      </c>
      <c r="M77" s="13">
        <f t="shared" si="10"/>
        <v>8.4808463351098045</v>
      </c>
      <c r="N77" s="13">
        <f t="shared" si="11"/>
        <v>-1.6510220396015871</v>
      </c>
      <c r="O77" s="13">
        <f t="shared" si="12"/>
        <v>9.5556811297517523</v>
      </c>
    </row>
    <row r="78" spans="1:15" ht="18" customHeight="1" x14ac:dyDescent="0.2">
      <c r="A78" s="8">
        <v>71</v>
      </c>
      <c r="B78" s="1" t="s">
        <v>64</v>
      </c>
      <c r="C78" s="17">
        <v>648238</v>
      </c>
      <c r="D78" s="17">
        <v>1097314</v>
      </c>
      <c r="E78" s="2">
        <v>1243548</v>
      </c>
      <c r="F78" s="2">
        <v>1152250</v>
      </c>
      <c r="G78" s="2">
        <v>1013059</v>
      </c>
      <c r="H78" s="2">
        <v>992283</v>
      </c>
      <c r="I78" s="2">
        <v>931606</v>
      </c>
      <c r="J78" s="13">
        <f t="shared" si="7"/>
        <v>-40.925022372812158</v>
      </c>
      <c r="K78" s="13">
        <f t="shared" si="8"/>
        <v>-11.759417408897766</v>
      </c>
      <c r="L78" s="13">
        <f t="shared" si="9"/>
        <v>7.9234541115209378</v>
      </c>
      <c r="M78" s="13">
        <f t="shared" si="10"/>
        <v>13.739673602425921</v>
      </c>
      <c r="N78" s="13">
        <f t="shared" si="11"/>
        <v>2.0937575268345823</v>
      </c>
      <c r="O78" s="13">
        <f t="shared" si="12"/>
        <v>6.5131611432300787</v>
      </c>
    </row>
    <row r="79" spans="1:15" ht="18" customHeight="1" x14ac:dyDescent="0.2">
      <c r="A79" s="8">
        <v>72</v>
      </c>
      <c r="B79" s="1" t="s">
        <v>65</v>
      </c>
      <c r="C79" s="17">
        <v>7934</v>
      </c>
      <c r="D79" s="17">
        <v>116176</v>
      </c>
      <c r="E79" s="2">
        <v>122732</v>
      </c>
      <c r="F79" s="2">
        <v>103669</v>
      </c>
      <c r="G79" s="2">
        <v>104395</v>
      </c>
      <c r="H79" s="2">
        <v>102117</v>
      </c>
      <c r="I79" s="2">
        <v>97870</v>
      </c>
      <c r="J79" s="13">
        <f t="shared" si="7"/>
        <v>-93.170706514254235</v>
      </c>
      <c r="K79" s="13">
        <f t="shared" si="8"/>
        <v>-5.3417201707786068</v>
      </c>
      <c r="L79" s="13">
        <f t="shared" si="9"/>
        <v>18.388332095419074</v>
      </c>
      <c r="M79" s="13">
        <f t="shared" si="10"/>
        <v>-0.69543560515350356</v>
      </c>
      <c r="N79" s="13">
        <f t="shared" si="11"/>
        <v>2.2307745037554962</v>
      </c>
      <c r="O79" s="13">
        <f t="shared" si="12"/>
        <v>4.3394298559313382</v>
      </c>
    </row>
    <row r="80" spans="1:15" ht="18" customHeight="1" x14ac:dyDescent="0.2">
      <c r="A80" s="8">
        <v>73</v>
      </c>
      <c r="B80" s="1" t="s">
        <v>66</v>
      </c>
      <c r="C80" s="17">
        <v>2062</v>
      </c>
      <c r="D80" s="17">
        <v>57151</v>
      </c>
      <c r="E80" s="2">
        <v>0</v>
      </c>
      <c r="F80" s="2">
        <v>0</v>
      </c>
      <c r="G80" s="2">
        <v>0</v>
      </c>
      <c r="H80" s="2">
        <v>12849</v>
      </c>
      <c r="I80" s="2">
        <v>3335</v>
      </c>
      <c r="J80" s="13">
        <f t="shared" si="7"/>
        <v>-96.392014137985342</v>
      </c>
      <c r="K80" s="13" t="s">
        <v>97</v>
      </c>
      <c r="L80" s="13" t="s">
        <v>97</v>
      </c>
      <c r="M80" s="13" t="s">
        <v>97</v>
      </c>
      <c r="N80" s="13">
        <f t="shared" si="11"/>
        <v>-100</v>
      </c>
      <c r="O80" s="13">
        <f t="shared" si="12"/>
        <v>285.27736131934034</v>
      </c>
    </row>
    <row r="81" spans="1:15" ht="18" customHeight="1" x14ac:dyDescent="0.2">
      <c r="A81" s="8">
        <v>74</v>
      </c>
      <c r="B81" s="1" t="s">
        <v>67</v>
      </c>
      <c r="C81" s="17">
        <v>5282</v>
      </c>
      <c r="D81" s="17">
        <v>24457</v>
      </c>
      <c r="E81" s="2">
        <v>17634</v>
      </c>
      <c r="F81" s="2">
        <v>15784</v>
      </c>
      <c r="G81" s="2">
        <v>7955</v>
      </c>
      <c r="H81" s="2">
        <v>1758</v>
      </c>
      <c r="I81" s="2">
        <v>48645</v>
      </c>
      <c r="J81" s="13">
        <f t="shared" si="7"/>
        <v>-78.402911231958129</v>
      </c>
      <c r="K81" s="13">
        <f t="shared" si="8"/>
        <v>38.692298967902914</v>
      </c>
      <c r="L81" s="13">
        <f t="shared" si="9"/>
        <v>11.720729853015714</v>
      </c>
      <c r="M81" s="13">
        <f t="shared" si="10"/>
        <v>98.416090509113758</v>
      </c>
      <c r="N81" s="13">
        <f t="shared" si="11"/>
        <v>352.50284414106943</v>
      </c>
      <c r="O81" s="13">
        <f t="shared" si="12"/>
        <v>-96.386062288004936</v>
      </c>
    </row>
    <row r="82" spans="1:15" s="7" customFormat="1" ht="18" customHeight="1" x14ac:dyDescent="0.2">
      <c r="A82" s="37" t="s">
        <v>79</v>
      </c>
      <c r="B82" s="38"/>
      <c r="C82" s="5">
        <f>SUM(C8:C81)</f>
        <v>8776318</v>
      </c>
      <c r="D82" s="5">
        <f>SUM(D8:D81)</f>
        <v>60742271</v>
      </c>
      <c r="E82" s="5">
        <v>60590776</v>
      </c>
      <c r="F82" s="5">
        <v>54676467</v>
      </c>
      <c r="G82" s="5">
        <v>49785443</v>
      </c>
      <c r="H82" s="5">
        <v>45736627</v>
      </c>
      <c r="I82" s="5">
        <v>43084777</v>
      </c>
      <c r="J82" s="6">
        <f t="shared" ref="J82:K82" si="13">(C82-D82)/D82*100</f>
        <v>-85.551547784573273</v>
      </c>
      <c r="K82" s="6">
        <f t="shared" si="13"/>
        <v>0.2500298065170844</v>
      </c>
      <c r="L82" s="6">
        <f t="shared" ref="L82" si="14">(E82-F82)/F82*100</f>
        <v>10.816918730319571</v>
      </c>
      <c r="M82" s="6">
        <f t="shared" ref="M82" si="15">(F82-G82)/G82*100</f>
        <v>9.8242050392119644</v>
      </c>
      <c r="N82" s="6">
        <f t="shared" ref="N82" si="16">(G82-H82)/H82*100</f>
        <v>8.8524586651306851</v>
      </c>
      <c r="O82" s="6">
        <f t="shared" ref="O82" si="17">(H82-I82)/I82*100</f>
        <v>6.1549581653863497</v>
      </c>
    </row>
    <row r="83" spans="1:15" ht="18" customHeight="1" x14ac:dyDescent="0.2">
      <c r="A83" s="29" t="s">
        <v>68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</row>
    <row r="84" spans="1:15" ht="33.75" customHeight="1" x14ac:dyDescent="0.2">
      <c r="A84" s="29" t="s">
        <v>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spans="1:15" ht="18" customHeight="1" x14ac:dyDescent="0.2">
      <c r="A85" s="32" t="s">
        <v>69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</sheetData>
  <autoFilter ref="J7:O85"/>
  <mergeCells count="13">
    <mergeCell ref="A83:O83"/>
    <mergeCell ref="A84:O84"/>
    <mergeCell ref="A85:O85"/>
    <mergeCell ref="A6:A7"/>
    <mergeCell ref="B6:B7"/>
    <mergeCell ref="A82:B82"/>
    <mergeCell ref="C6:I6"/>
    <mergeCell ref="J6:O6"/>
    <mergeCell ref="A1:O1"/>
    <mergeCell ref="A2:O2"/>
    <mergeCell ref="A3:O3"/>
    <mergeCell ref="A4:O4"/>
    <mergeCell ref="A5:O5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2020-05-15T06:40:58Z</cp:lastPrinted>
  <dcterms:created xsi:type="dcterms:W3CDTF">2020-03-23T05:48:30Z</dcterms:created>
  <dcterms:modified xsi:type="dcterms:W3CDTF">2022-04-25T11:31:25Z</dcterms:modified>
</cp:coreProperties>
</file>