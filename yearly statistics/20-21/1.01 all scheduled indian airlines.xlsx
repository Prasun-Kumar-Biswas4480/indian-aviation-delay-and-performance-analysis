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xWindow="0" yWindow="0" windowWidth="24000" windowHeight="1072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B18" i="1"/>
  <c r="H17" i="1" l="1"/>
  <c r="H16" i="1"/>
  <c r="H15" i="1"/>
  <c r="H14" i="1"/>
  <c r="H13" i="1"/>
  <c r="H12" i="1"/>
  <c r="H11" i="1"/>
  <c r="H10" i="1"/>
  <c r="H9" i="1"/>
  <c r="H8" i="1"/>
  <c r="H7" i="1"/>
  <c r="Q17" i="1"/>
  <c r="Q16" i="1"/>
  <c r="Q15" i="1"/>
  <c r="Q14" i="1"/>
  <c r="Q13" i="1"/>
  <c r="Q12" i="1"/>
  <c r="Q11" i="1"/>
  <c r="Q10" i="1"/>
  <c r="Q9" i="1"/>
  <c r="Q8" i="1"/>
  <c r="Q7" i="1"/>
  <c r="Q6" i="1"/>
  <c r="P18" i="1" l="1"/>
  <c r="N18" i="1"/>
  <c r="M18" i="1"/>
  <c r="L18" i="1"/>
  <c r="K18" i="1"/>
  <c r="J18" i="1"/>
  <c r="I18" i="1"/>
  <c r="G18" i="1"/>
  <c r="F18" i="1"/>
  <c r="H18" i="1" s="1"/>
  <c r="E18" i="1"/>
  <c r="D18" i="1"/>
  <c r="C18" i="1"/>
  <c r="O17" i="1" l="1"/>
  <c r="O16" i="1"/>
  <c r="O15" i="1"/>
  <c r="O14" i="1"/>
  <c r="O13" i="1"/>
  <c r="O12" i="1"/>
  <c r="O11" i="1"/>
  <c r="O10" i="1"/>
  <c r="O9" i="1"/>
  <c r="O8" i="1"/>
  <c r="O7" i="1"/>
  <c r="O6" i="1"/>
  <c r="O18" i="1" l="1"/>
</calcChain>
</file>

<file path=xl/sharedStrings.xml><?xml version="1.0" encoding="utf-8"?>
<sst xmlns="http://schemas.openxmlformats.org/spreadsheetml/2006/main" count="26" uniqueCount="24">
  <si>
    <t>Table 1.01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</si>
  <si>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</si>
  <si>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</si>
  <si>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</si>
  <si>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</si>
  <si>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</si>
  <si>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</si>
  <si>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</si>
  <si>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</si>
  <si>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</si>
  <si>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</si>
  <si>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</si>
  <si>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</si>
  <si>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</si>
  <si>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</si>
  <si>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</si>
  <si>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</si>
  <si>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</si>
  <si>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</si>
  <si>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</si>
  <si>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</si>
  <si>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1.01 (सभी अनुसूचित भारतीय एयरलाइन्स) </t>
  </si>
  <si>
    <t>2020-21</t>
  </si>
  <si>
    <t>MONTHLY TRAFFIC AND OPERATING STATISTICS OF ALL SCHEDULED INDIAN AIRLINES ON SCHEDULED DOMESTIC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</si>
</sst>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72" formatCode="[$-1010409]\ 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0" fillId="0" borderId="2" xfId="0" applyNumberFormat="1" applyFont="1" applyBorder="1"/>
    <xf numFmtId="0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3" fontId="0" fillId="0" borderId="0" xfId="0" applyNumberFormat="1" applyFont="1"/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3" fillId="4" borderId="1" xfId="3" quotePrefix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72" fontId="3" fillId="4" borderId="1" xfId="3" applyNumberFormat="1" applyFont="1" applyBorder="1" applyAlignment="1" applyProtection="1">
      <alignment horizontal="center" vertical="center" wrapText="1"/>
    </xf>
    <xf numFmtId="172" fontId="3" fillId="5" borderId="1" xfId="3" applyNumberFormat="1" applyFont="1" applyFill="1" applyBorder="1" applyAlignment="1" applyProtection="1">
      <alignment horizontal="center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4"/>
  <sheetViews>
    <sheetView tabSelected="1" view="pageBreakPreview" zoomScale="85" zoomScaleNormal="100" zoomScaleSheetLayoutView="85" workbookViewId="0">
      <selection activeCell="J11" sqref="J11"/>
    </sheetView>
  </sheetViews>
  <sheetFormatPr defaultColWidth="9.140625" defaultRowHeight="15" x14ac:dyDescent="0.25"/>
  <cols>
    <col min="1" max="1" width="14.85546875" style="1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85546875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1" customHeight="1" x14ac:dyDescent="0.25">
      <c r="A4" s="20" t="s">
        <v>1</v>
      </c>
      <c r="B4" s="20" t="s">
        <v>2</v>
      </c>
      <c r="C4" s="20"/>
      <c r="D4" s="20"/>
      <c r="E4" s="20" t="s">
        <v>3</v>
      </c>
      <c r="F4" s="21"/>
      <c r="G4" s="14" t="s">
        <v>4</v>
      </c>
      <c r="H4" s="14" t="s">
        <v>5</v>
      </c>
      <c r="I4" s="20" t="s">
        <v>6</v>
      </c>
      <c r="J4" s="20"/>
      <c r="K4" s="20"/>
      <c r="L4" s="20" t="s">
        <v>7</v>
      </c>
      <c r="M4" s="20"/>
      <c r="N4" s="20"/>
      <c r="O4" s="20"/>
      <c r="P4" s="14" t="s">
        <v>8</v>
      </c>
      <c r="Q4" s="14" t="s">
        <v>9</v>
      </c>
    </row>
    <row r="5" spans="1:17" ht="115.5" customHeight="1" x14ac:dyDescent="0.25">
      <c r="A5" s="20"/>
      <c r="B5" s="11" t="s">
        <v>10</v>
      </c>
      <c r="C5" s="11" t="s">
        <v>11</v>
      </c>
      <c r="D5" s="11" t="s">
        <v>12</v>
      </c>
      <c r="E5" s="11" t="s">
        <v>13</v>
      </c>
      <c r="F5" s="11" t="s">
        <v>14</v>
      </c>
      <c r="G5" s="15"/>
      <c r="H5" s="15"/>
      <c r="I5" s="11" t="s">
        <v>15</v>
      </c>
      <c r="J5" s="11" t="s">
        <v>16</v>
      </c>
      <c r="K5" s="11" t="s">
        <v>17</v>
      </c>
      <c r="L5" s="11" t="s">
        <v>18</v>
      </c>
      <c r="M5" s="11" t="s">
        <v>19</v>
      </c>
      <c r="N5" s="11" t="s">
        <v>16</v>
      </c>
      <c r="O5" s="11" t="s">
        <v>17</v>
      </c>
      <c r="P5" s="15"/>
      <c r="Q5" s="15"/>
    </row>
    <row r="6" spans="1:17" ht="30" customHeight="1" x14ac:dyDescent="0.25">
      <c r="A6" s="22">
        <v>43922</v>
      </c>
      <c r="B6" s="3">
        <v>188</v>
      </c>
      <c r="C6" s="3">
        <v>261.25</v>
      </c>
      <c r="D6" s="3">
        <v>202</v>
      </c>
      <c r="E6" s="3"/>
      <c r="F6" s="3">
        <v>0</v>
      </c>
      <c r="G6" s="3">
        <v>0</v>
      </c>
      <c r="H6" s="6"/>
      <c r="I6" s="6">
        <v>3341.0099999999993</v>
      </c>
      <c r="J6" s="6"/>
      <c r="K6" s="6">
        <v>3341.0099999999993</v>
      </c>
      <c r="L6" s="6">
        <v>0</v>
      </c>
      <c r="M6" s="6">
        <v>3.8740000000000001</v>
      </c>
      <c r="N6" s="6">
        <v>0</v>
      </c>
      <c r="O6" s="6">
        <f>SUM(L6:N6)</f>
        <v>3.8740000000000001</v>
      </c>
      <c r="P6" s="6">
        <v>6.2640000000000002</v>
      </c>
      <c r="Q6" s="6">
        <f t="shared" ref="Q6:Q17" si="0">O6/P6*100</f>
        <v>61.845466155810982</v>
      </c>
    </row>
    <row r="7" spans="1:17" ht="30" customHeight="1" x14ac:dyDescent="0.25">
      <c r="A7" s="23">
        <v>43952</v>
      </c>
      <c r="B7" s="4">
        <v>3813</v>
      </c>
      <c r="C7" s="4">
        <v>6210.6566666666668</v>
      </c>
      <c r="D7" s="4">
        <v>3514.5920000000001</v>
      </c>
      <c r="E7" s="4">
        <v>278417</v>
      </c>
      <c r="F7" s="4">
        <v>276.19278600000001</v>
      </c>
      <c r="G7" s="4">
        <v>543.69540099999995</v>
      </c>
      <c r="H7" s="7">
        <f t="shared" ref="H7:H17" si="1">F7/G7*100</f>
        <v>50.79917643077507</v>
      </c>
      <c r="I7" s="7">
        <v>11358.148850000001</v>
      </c>
      <c r="J7" s="7">
        <v>215.92920000000001</v>
      </c>
      <c r="K7" s="7">
        <v>11574.07805</v>
      </c>
      <c r="L7" s="7">
        <v>24.009968542999996</v>
      </c>
      <c r="M7" s="7">
        <v>9.3477397399999997</v>
      </c>
      <c r="N7" s="7">
        <v>0.18960281079999999</v>
      </c>
      <c r="O7" s="7">
        <f t="shared" ref="O7:O17" si="2">SUM(L7:N7)</f>
        <v>33.547311093799991</v>
      </c>
      <c r="P7" s="7">
        <v>70.086659911699996</v>
      </c>
      <c r="Q7" s="7">
        <f t="shared" si="0"/>
        <v>47.865472739127824</v>
      </c>
    </row>
    <row r="8" spans="1:17" ht="30" customHeight="1" x14ac:dyDescent="0.25">
      <c r="A8" s="22">
        <v>43983</v>
      </c>
      <c r="B8" s="3">
        <v>22367</v>
      </c>
      <c r="C8" s="3">
        <v>36004.400000000001</v>
      </c>
      <c r="D8" s="3">
        <v>20230.694</v>
      </c>
      <c r="E8" s="3">
        <v>1979472</v>
      </c>
      <c r="F8" s="3">
        <v>1999.995136</v>
      </c>
      <c r="G8" s="3">
        <v>3362.585384</v>
      </c>
      <c r="H8" s="6">
        <f t="shared" si="1"/>
        <v>59.477898926119877</v>
      </c>
      <c r="I8" s="6">
        <v>29829.39947808073</v>
      </c>
      <c r="J8" s="6">
        <v>1569.7175500000008</v>
      </c>
      <c r="K8" s="6">
        <v>31399.117028080727</v>
      </c>
      <c r="L8" s="6">
        <v>174.10600100100001</v>
      </c>
      <c r="M8" s="6">
        <v>29.861463897</v>
      </c>
      <c r="N8" s="6">
        <v>1.4040999999999999</v>
      </c>
      <c r="O8" s="6">
        <f t="shared" si="2"/>
        <v>205.371564898</v>
      </c>
      <c r="P8" s="6">
        <v>385.23521489000007</v>
      </c>
      <c r="Q8" s="6">
        <f t="shared" si="0"/>
        <v>53.310693560722825</v>
      </c>
    </row>
    <row r="9" spans="1:17" ht="30" customHeight="1" x14ac:dyDescent="0.25">
      <c r="A9" s="23">
        <v>44013</v>
      </c>
      <c r="B9" s="4">
        <v>24770</v>
      </c>
      <c r="C9" s="4">
        <v>39807.349999999991</v>
      </c>
      <c r="D9" s="4">
        <v>22909.716</v>
      </c>
      <c r="E9" s="4">
        <v>2102854</v>
      </c>
      <c r="F9" s="4">
        <v>2084.4405949999996</v>
      </c>
      <c r="G9" s="4">
        <v>3596.2913719999997</v>
      </c>
      <c r="H9" s="7">
        <f t="shared" si="1"/>
        <v>57.960837412369706</v>
      </c>
      <c r="I9" s="7">
        <v>30812.517690000004</v>
      </c>
      <c r="J9" s="7">
        <v>1916.1734999999994</v>
      </c>
      <c r="K9" s="7">
        <v>32728.691190000005</v>
      </c>
      <c r="L9" s="7">
        <v>181.87113979400002</v>
      </c>
      <c r="M9" s="7">
        <v>33.967243151350004</v>
      </c>
      <c r="N9" s="7">
        <v>1.6980398748300001</v>
      </c>
      <c r="O9" s="7">
        <f t="shared" si="2"/>
        <v>217.53642282018001</v>
      </c>
      <c r="P9" s="7">
        <v>411.75926621340005</v>
      </c>
      <c r="Q9" s="7">
        <f t="shared" si="0"/>
        <v>52.830972043611204</v>
      </c>
    </row>
    <row r="10" spans="1:17" ht="30" customHeight="1" x14ac:dyDescent="0.25">
      <c r="A10" s="22">
        <v>44044</v>
      </c>
      <c r="B10" s="3">
        <v>28834</v>
      </c>
      <c r="C10" s="3">
        <v>48992.91333333333</v>
      </c>
      <c r="D10" s="3">
        <v>26999.941000000003</v>
      </c>
      <c r="E10" s="3">
        <v>2826148</v>
      </c>
      <c r="F10" s="3">
        <v>2818.761814</v>
      </c>
      <c r="G10" s="3">
        <v>4290.2054990000006</v>
      </c>
      <c r="H10" s="6">
        <f t="shared" si="1"/>
        <v>65.702256329143722</v>
      </c>
      <c r="I10" s="6">
        <v>33729.96661000001</v>
      </c>
      <c r="J10" s="6">
        <v>2087.52909</v>
      </c>
      <c r="K10" s="6">
        <v>35817.495700000007</v>
      </c>
      <c r="L10" s="6">
        <v>246.51691819799998</v>
      </c>
      <c r="M10" s="6">
        <v>34.933957445290012</v>
      </c>
      <c r="N10" s="6">
        <v>1.7887378888900003</v>
      </c>
      <c r="O10" s="6">
        <f t="shared" si="2"/>
        <v>283.23961353217999</v>
      </c>
      <c r="P10" s="6">
        <v>357.24375109000005</v>
      </c>
      <c r="Q10" s="6">
        <f t="shared" si="0"/>
        <v>79.284693621085552</v>
      </c>
    </row>
    <row r="11" spans="1:17" ht="30" customHeight="1" x14ac:dyDescent="0.25">
      <c r="A11" s="23">
        <v>44075</v>
      </c>
      <c r="B11" s="4">
        <v>39628</v>
      </c>
      <c r="C11" s="4">
        <v>69573.956666666665</v>
      </c>
      <c r="D11" s="4">
        <v>38357.758000000002</v>
      </c>
      <c r="E11" s="4">
        <v>3939687</v>
      </c>
      <c r="F11" s="4">
        <v>4004.630932</v>
      </c>
      <c r="G11" s="4">
        <v>6224.3709129999997</v>
      </c>
      <c r="H11" s="7">
        <f t="shared" si="1"/>
        <v>64.337922465964709</v>
      </c>
      <c r="I11" s="7">
        <v>42863.573790000002</v>
      </c>
      <c r="J11" s="7">
        <v>2476.1522200000018</v>
      </c>
      <c r="K11" s="7">
        <v>45339.726009999998</v>
      </c>
      <c r="L11" s="7">
        <v>350.83437968399994</v>
      </c>
      <c r="M11" s="7">
        <v>49.544763140590014</v>
      </c>
      <c r="N11" s="7">
        <v>2.0719288479199998</v>
      </c>
      <c r="O11" s="7">
        <f t="shared" si="2"/>
        <v>402.45107167250995</v>
      </c>
      <c r="P11" s="7">
        <v>671.36398569199901</v>
      </c>
      <c r="Q11" s="7">
        <f t="shared" si="0"/>
        <v>59.945287541405598</v>
      </c>
    </row>
    <row r="12" spans="1:17" ht="30" customHeight="1" x14ac:dyDescent="0.25">
      <c r="A12" s="22">
        <v>44105</v>
      </c>
      <c r="B12" s="3">
        <v>49150</v>
      </c>
      <c r="C12" s="3">
        <v>86314.683333333334</v>
      </c>
      <c r="D12" s="3">
        <v>48124.800999999999</v>
      </c>
      <c r="E12" s="3">
        <v>5268696</v>
      </c>
      <c r="F12" s="3">
        <v>5262.5362989999994</v>
      </c>
      <c r="G12" s="3">
        <v>7867.7848540000005</v>
      </c>
      <c r="H12" s="6">
        <f t="shared" si="1"/>
        <v>66.887140366128762</v>
      </c>
      <c r="I12" s="6">
        <v>48879.640440000003</v>
      </c>
      <c r="J12" s="6">
        <v>2736.9555700000001</v>
      </c>
      <c r="K12" s="6">
        <v>51616.596010000008</v>
      </c>
      <c r="L12" s="6">
        <v>461.22814851844021</v>
      </c>
      <c r="M12" s="6">
        <v>56.957853319340003</v>
      </c>
      <c r="N12" s="6">
        <v>2.4000458492499996</v>
      </c>
      <c r="O12" s="6">
        <f t="shared" si="2"/>
        <v>520.58604768703015</v>
      </c>
      <c r="P12" s="6">
        <v>830.00755172199979</v>
      </c>
      <c r="Q12" s="6">
        <f t="shared" si="0"/>
        <v>62.720639903453993</v>
      </c>
    </row>
    <row r="13" spans="1:17" ht="30" customHeight="1" x14ac:dyDescent="0.25">
      <c r="A13" s="23">
        <v>44136</v>
      </c>
      <c r="B13" s="4">
        <v>54132</v>
      </c>
      <c r="C13" s="4">
        <v>95387.203333333338</v>
      </c>
      <c r="D13" s="4">
        <v>52151.589</v>
      </c>
      <c r="E13" s="4">
        <v>6342589</v>
      </c>
      <c r="F13" s="4">
        <v>6310.9681739999987</v>
      </c>
      <c r="G13" s="4">
        <v>8687.0533940000005</v>
      </c>
      <c r="H13" s="7">
        <f t="shared" si="1"/>
        <v>72.647972652716476</v>
      </c>
      <c r="I13" s="7">
        <v>46080.013879999991</v>
      </c>
      <c r="J13" s="7">
        <v>2522.5758999999975</v>
      </c>
      <c r="K13" s="7">
        <v>48602.589779999988</v>
      </c>
      <c r="L13" s="7">
        <v>555.67157386300016</v>
      </c>
      <c r="M13" s="7">
        <v>53.28345571469999</v>
      </c>
      <c r="N13" s="7">
        <v>2.3283408126</v>
      </c>
      <c r="O13" s="7">
        <f t="shared" si="2"/>
        <v>611.28337039030021</v>
      </c>
      <c r="P13" s="7">
        <v>944.70144649100018</v>
      </c>
      <c r="Q13" s="7">
        <f t="shared" si="0"/>
        <v>64.706513646279646</v>
      </c>
    </row>
    <row r="14" spans="1:17" ht="30" customHeight="1" x14ac:dyDescent="0.25">
      <c r="A14" s="22">
        <v>44166</v>
      </c>
      <c r="B14" s="3">
        <v>64002</v>
      </c>
      <c r="C14" s="3">
        <v>113831.06266666665</v>
      </c>
      <c r="D14" s="3">
        <v>61151.400999999998</v>
      </c>
      <c r="E14" s="3">
        <v>7306064</v>
      </c>
      <c r="F14" s="3">
        <v>7220.783461</v>
      </c>
      <c r="G14" s="3">
        <v>10272.902885999998</v>
      </c>
      <c r="H14" s="6">
        <f t="shared" si="1"/>
        <v>70.289610844472662</v>
      </c>
      <c r="I14" s="6">
        <v>49273.037579788666</v>
      </c>
      <c r="J14" s="6">
        <v>3105.9009899999965</v>
      </c>
      <c r="K14" s="6">
        <v>52378.938569788661</v>
      </c>
      <c r="L14" s="6">
        <v>630.37072059299987</v>
      </c>
      <c r="M14" s="6">
        <v>56.822049745510014</v>
      </c>
      <c r="N14" s="6">
        <v>2.9754825154299902</v>
      </c>
      <c r="O14" s="6">
        <f t="shared" si="2"/>
        <v>690.16825285393998</v>
      </c>
      <c r="P14" s="6">
        <v>1085.015773905001</v>
      </c>
      <c r="Q14" s="6">
        <f t="shared" si="0"/>
        <v>63.609052462896997</v>
      </c>
    </row>
    <row r="15" spans="1:17" ht="30" customHeight="1" x14ac:dyDescent="0.25">
      <c r="A15" s="23">
        <v>44197</v>
      </c>
      <c r="B15" s="4">
        <v>67877</v>
      </c>
      <c r="C15" s="4">
        <v>120426.3</v>
      </c>
      <c r="D15" s="4">
        <v>64771.534400000004</v>
      </c>
      <c r="E15" s="4">
        <v>7704022</v>
      </c>
      <c r="F15" s="4">
        <v>7568.902449000002</v>
      </c>
      <c r="G15" s="4">
        <v>10933.587317999998</v>
      </c>
      <c r="H15" s="7">
        <f t="shared" si="1"/>
        <v>69.226158157069776</v>
      </c>
      <c r="I15" s="7">
        <v>46811.352610000002</v>
      </c>
      <c r="J15" s="7">
        <v>2381.1937999999986</v>
      </c>
      <c r="K15" s="7">
        <v>49192.546410000003</v>
      </c>
      <c r="L15" s="7">
        <v>657.34963996664919</v>
      </c>
      <c r="M15" s="7">
        <v>53.987960888199993</v>
      </c>
      <c r="N15" s="7">
        <v>2.2338823752699999</v>
      </c>
      <c r="O15" s="7">
        <f t="shared" si="2"/>
        <v>713.57148323011916</v>
      </c>
      <c r="P15" s="7">
        <v>1148.8547156819998</v>
      </c>
      <c r="Q15" s="7">
        <f t="shared" si="0"/>
        <v>62.111551050780037</v>
      </c>
    </row>
    <row r="16" spans="1:17" ht="30" customHeight="1" x14ac:dyDescent="0.25">
      <c r="A16" s="22">
        <v>44228</v>
      </c>
      <c r="B16" s="3">
        <v>64327</v>
      </c>
      <c r="C16" s="3">
        <v>113903.50666666667</v>
      </c>
      <c r="D16" s="3">
        <v>60980.852387096769</v>
      </c>
      <c r="E16" s="3">
        <v>7795243</v>
      </c>
      <c r="F16" s="3">
        <v>7658.045603999999</v>
      </c>
      <c r="G16" s="3">
        <v>10231.200894</v>
      </c>
      <c r="H16" s="6">
        <f t="shared" si="1"/>
        <v>74.849919216140066</v>
      </c>
      <c r="I16" s="6">
        <v>47951.69501000001</v>
      </c>
      <c r="J16" s="6">
        <v>2313.2653799999994</v>
      </c>
      <c r="K16" s="6">
        <v>50264.960390000007</v>
      </c>
      <c r="L16" s="6">
        <v>669.83139605657072</v>
      </c>
      <c r="M16" s="6">
        <v>54.914036119119991</v>
      </c>
      <c r="N16" s="6">
        <v>2.1138192185200002</v>
      </c>
      <c r="O16" s="6">
        <f t="shared" si="2"/>
        <v>726.85925139421067</v>
      </c>
      <c r="P16" s="6">
        <v>1079.4000461019991</v>
      </c>
      <c r="Q16" s="6">
        <f t="shared" si="0"/>
        <v>67.339190323281244</v>
      </c>
    </row>
    <row r="17" spans="1:17" ht="30" customHeight="1" x14ac:dyDescent="0.25">
      <c r="A17" s="23">
        <v>44256</v>
      </c>
      <c r="B17" s="4">
        <v>71458</v>
      </c>
      <c r="C17" s="4">
        <v>125840.27333333332</v>
      </c>
      <c r="D17" s="4">
        <v>67723.026795698926</v>
      </c>
      <c r="E17" s="4">
        <v>7787310</v>
      </c>
      <c r="F17" s="4">
        <v>7724.8535849999998</v>
      </c>
      <c r="G17" s="4">
        <v>11340.569399</v>
      </c>
      <c r="H17" s="7">
        <f t="shared" si="1"/>
        <v>68.116981724755107</v>
      </c>
      <c r="I17" s="7">
        <v>53030.133009999998</v>
      </c>
      <c r="J17" s="7">
        <v>2312.999890000001</v>
      </c>
      <c r="K17" s="7">
        <v>55343.132899999997</v>
      </c>
      <c r="L17" s="7">
        <v>671.53764151200005</v>
      </c>
      <c r="M17" s="7">
        <v>60.337929241000019</v>
      </c>
      <c r="N17" s="7">
        <v>2.2463391228699998</v>
      </c>
      <c r="O17" s="7">
        <f t="shared" si="2"/>
        <v>734.12190987587007</v>
      </c>
      <c r="P17" s="7">
        <v>1198.5638546529979</v>
      </c>
      <c r="Q17" s="7">
        <f t="shared" si="0"/>
        <v>61.250129229736302</v>
      </c>
    </row>
    <row r="18" spans="1:17" ht="30" customHeight="1" x14ac:dyDescent="0.25">
      <c r="A18" s="2" t="s">
        <v>22</v>
      </c>
      <c r="B18" s="5">
        <f>SUM(B6:B17)</f>
        <v>490546</v>
      </c>
      <c r="C18" s="5">
        <f t="shared" ref="C18:G18" si="3">SUM(C6:C17)</f>
        <v>856553.55599999998</v>
      </c>
      <c r="D18" s="5">
        <f t="shared" si="3"/>
        <v>467117.90558279573</v>
      </c>
      <c r="E18" s="5">
        <f t="shared" si="3"/>
        <v>53330502</v>
      </c>
      <c r="F18" s="5">
        <f t="shared" si="3"/>
        <v>52930.110834999992</v>
      </c>
      <c r="G18" s="5">
        <f t="shared" si="3"/>
        <v>77350.247313999993</v>
      </c>
      <c r="H18" s="8">
        <f t="shared" ref="H18" si="4">F18/G18*100</f>
        <v>68.429142340208031</v>
      </c>
      <c r="I18" s="8">
        <f>SUM(I6:I17)</f>
        <v>443960.48894786939</v>
      </c>
      <c r="J18" s="8">
        <f t="shared" ref="J18:P18" si="5">SUM(J6:J17)</f>
        <v>23638.393089999998</v>
      </c>
      <c r="K18" s="8">
        <f t="shared" si="5"/>
        <v>467598.88203786942</v>
      </c>
      <c r="L18" s="8">
        <f t="shared" si="5"/>
        <v>4623.3275277296598</v>
      </c>
      <c r="M18" s="8">
        <f t="shared" si="5"/>
        <v>497.8324524021001</v>
      </c>
      <c r="N18" s="8">
        <f t="shared" si="5"/>
        <v>21.450319316379993</v>
      </c>
      <c r="O18" s="8">
        <f t="shared" si="5"/>
        <v>5142.6102994481398</v>
      </c>
      <c r="P18" s="8">
        <f t="shared" si="5"/>
        <v>8188.4962663520973</v>
      </c>
      <c r="Q18" s="8">
        <f>O18/P18*100</f>
        <v>62.80286553442037</v>
      </c>
    </row>
    <row r="19" spans="1:17" ht="19.5" customHeight="1" x14ac:dyDescent="0.25">
      <c r="A19" s="13" t="s">
        <v>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1" spans="1:17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7" x14ac:dyDescent="0.25">
      <c r="M22" s="9"/>
      <c r="O22" s="9"/>
    </row>
    <row r="23" spans="1:17" x14ac:dyDescent="0.25">
      <c r="M23" s="10"/>
      <c r="O23" s="10"/>
    </row>
    <row r="24" spans="1:17" x14ac:dyDescent="0.25">
      <c r="M24" s="9"/>
      <c r="O24" s="9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2022-04-25T06:11:09Z</cp:lastPrinted>
  <dcterms:created xsi:type="dcterms:W3CDTF">2018-10-29T04:00:07Z</dcterms:created>
  <dcterms:modified xsi:type="dcterms:W3CDTF">2022-04-25T11:28:46Z</dcterms:modified>
</cp:coreProperties>
</file>