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 EXPRESS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'1.15'!$A$1:$D$16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<sst xmlns="http://schemas.openxmlformats.org/spreadsheetml/2006/main" count="889" uniqueCount="192">
  <si>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</si>
  <si>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</si>
  <si>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</si>
  <si>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</si>
  <si>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</si>
  <si>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</si>
  <si>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</si>
  <si>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</si>
  <si>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</si>
  <si>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</si>
  <si>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</si>
  <si>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</si>
  <si>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</si>
  <si>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</si>
  <si>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</si>
  <si>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</si>
  <si>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</si>
  <si>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</si>
  <si>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</si>
  <si>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</si>
  <si>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</si>
  <si>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</si>
  <si>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</si>
  <si>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</si>
  <si>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</si>
  <si>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</si>
  <si>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</si>
  <si>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</si>
  <si>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</si>
  <si>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</si>
  <si>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</si>
  <si>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</si>
  <si>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</si>
  <si>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</si>
  <si>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</si>
  <si>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</si>
  <si>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</si>
  <si>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</si>
  <si>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</si>
  <si>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</si>
  <si>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</si>
  <si>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</si>
  <si>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</si>
  <si>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</si>
  <si>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</si>
  <si>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</si>
  <si>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</si>
  <si>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</si>
  <si>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</si>
  <si>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</si>
  <si>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</si>
  <si>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</si>
  <si>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</si>
  <si>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</si>
  <si>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</si>
  <si>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</si>
  <si>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</si>
  <si>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</si>
  <si>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</si>
  <si>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</si>
  <si>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</si>
  <si>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</si>
  <si>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</si>
  <si>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</si>
  <si>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</si>
  <si>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</si>
  <si>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</si>
  <si>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</si>
  <si>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</si>
  <si>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</si>
  <si>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</si>
  <si>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</si>
  <si>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</si>
  <si>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</si>
  <si>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</si>
  <si>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</si>
  <si>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</si>
  <si>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</si>
  <si>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</si>
  <si>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</si>
  <si>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</si>
  <si>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</si>
  <si>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</si>
  <si>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</si>
  <si>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</si>
  <si>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</si>
  <si>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</si>
  <si>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</si>
  <si>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</si>
  <si>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</si>
  <si>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</si>
  <si>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</si>
  <si>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</si>
  <si>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</si>
  <si>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</si>
  <si>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</si>
  <si>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</si>
  <si>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</si>
  <si>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</si>
  <si>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</si>
  <si>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</si>
  <si>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</si>
  <si>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</si>
  <si>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</si>
  <si>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</si>
  <si>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</si>
  <si>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</si>
  <si>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</si>
  <si>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</si>
  <si>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</si>
  <si>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</si>
  <si>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</si>
  <si>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</si>
  <si>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</si>
  <si>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</si>
  <si>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</si>
  <si>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</si>
  <si>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</si>
  <si>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</si>
  <si>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</si>
  <si>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</si>
  <si>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</si>
  <si>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</si>
  <si>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</si>
  <si>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</si>
  <si>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</si>
  <si>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</si>
  <si>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</si>
  <si>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</si>
  <si>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</si>
  <si>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</si>
  <si>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</si>
  <si>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</si>
  <si>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</si>
  <si>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</si>
  <si>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</si>
  <si>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</si>
  <si>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</si>
  <si>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</si>
  <si>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</si>
  <si>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</si>
  <si>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</si>
  <si>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</si>
  <si>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</si>
  <si>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</si>
  <si>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</si>
  <si>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</si>
  <si>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</si>
  <si>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</si>
  <si>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</si>
  <si>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</si>
  <si>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</si>
  <si>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</si>
  <si>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</si>
  <si>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</si>
  <si>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</si>
  <si>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</si>
  <si>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</si>
  <si>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</si>
  <si>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</si>
  <si>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</si>
  <si>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</si>
  <si>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</si>
  <si>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</si>
  <si>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</si>
  <si>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</si>
  <si>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</si>
  <si>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</si>
  <si>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</si>
  <si>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</si>
  <si>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</si>
  <si>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</si>
  <si>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</si>
  <si>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</si>
  <si>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</si>
  <si>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</si>
  <si>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</si>
  <si>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</si>
  <si>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</si>
  <si>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</si>
  <si>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</si>
  <si>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</si>
  <si>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</si>
  <si>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</si>
  <si>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</si>
  <si>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BOEING 737-800</t>
  </si>
  <si>
    <t>TIME SERIES DATA ON FLEET SIZE OF AIR INDIA EXPRESS</t>
  </si>
  <si>
    <t>2019-20</t>
  </si>
  <si>
    <t xml:space="preserve">तालिका 1.15 (एयर इंडिया एक्सप्रेस) </t>
  </si>
  <si>
    <t>TABLE - 1.15 (AIR INDIA EXPRESS)</t>
  </si>
  <si>
    <t>2020-21</t>
  </si>
  <si>
    <t>BOEING 737-799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</si>
</sst>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40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10" xfId="7" applyNumberFormat="1" applyFont="1" applyFill="1" applyBorder="1" applyAlignment="1" applyProtection="1">
      <alignment horizontal="left" vertical="center"/>
    </xf>
    <xf numFmtId="166" fontId="11" fillId="4" borderId="10" xfId="7" applyNumberFormat="1" applyFont="1" applyFill="1" applyBorder="1" applyAlignment="1" applyProtection="1">
      <alignment vertical="center"/>
    </xf>
    <xf numFmtId="166" fontId="12" fillId="4" borderId="9" xfId="7" applyNumberFormat="1" applyFont="1" applyFill="1" applyBorder="1" applyAlignment="1" applyProtection="1">
      <alignment vertical="center"/>
    </xf>
    <xf numFmtId="166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0" borderId="1" xfId="2" quotePrefix="1" applyFont="1" applyBorder="1" applyAlignment="1">
      <alignment horizontal="center" wrapText="1"/>
    </xf>
    <xf numFmtId="0" fontId="7" fillId="0" borderId="1" xfId="11" applyFont="1" applyBorder="1" applyAlignment="1">
      <alignment horizontal="center" wrapText="1"/>
    </xf>
    <xf numFmtId="0" fontId="9" fillId="2" borderId="1" xfId="5" applyFont="1" applyFill="1" applyBorder="1" applyAlignment="1">
      <alignment horizontal="center" wrapText="1"/>
    </xf>
    <xf numFmtId="0" fontId="7" fillId="0" borderId="1" xfId="11" applyFont="1" applyBorder="1" applyAlignment="1">
      <alignment horizontal="center"/>
    </xf>
    <xf numFmtId="0" fontId="7" fillId="0" borderId="2" xfId="11" applyFont="1" applyBorder="1" applyAlignment="1">
      <alignment horizontal="center"/>
    </xf>
    <xf numFmtId="0" fontId="5" fillId="0" borderId="1" xfId="0" applyFont="1" applyBorder="1" applyAlignment="1">
      <alignment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8" fillId="0" borderId="3" xfId="0" quotePrefix="1" applyFont="1" applyBorder="1" applyAlignment="1">
      <alignment horizontal="center" vertical="center" wrapText="1"/>
    </xf>
    <xf numFmtId="0" fontId="8" fillId="0" borderId="4" xfId="0" quotePrefix="1" applyFont="1" applyBorder="1" applyAlignment="1">
      <alignment horizontal="center" vertical="center" wrapText="1"/>
    </xf>
    <xf numFmtId="0" fontId="8" fillId="0" borderId="8" xfId="0" quotePrefix="1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97</v>
      </c>
      <c r="B1" s="7" t="s">
        <v>97</v>
      </c>
      <c r="C1" s="7" t="s">
        <v>97</v>
      </c>
      <c r="D1" s="7" t="s">
        <v>97</v>
      </c>
      <c r="E1" s="7" t="s">
        <v>97</v>
      </c>
      <c r="F1" s="7" t="s">
        <v>97</v>
      </c>
      <c r="G1" s="7" t="s">
        <v>97</v>
      </c>
      <c r="H1" s="7" t="s">
        <v>97</v>
      </c>
      <c r="I1" s="7" t="s">
        <v>97</v>
      </c>
      <c r="J1" s="7" t="s">
        <v>97</v>
      </c>
      <c r="K1" s="7" t="s">
        <v>97</v>
      </c>
      <c r="L1" s="7" t="s">
        <v>97</v>
      </c>
      <c r="M1" s="7" t="s">
        <v>97</v>
      </c>
      <c r="N1" s="7" t="s">
        <v>97</v>
      </c>
      <c r="O1" s="7" t="s">
        <v>97</v>
      </c>
      <c r="P1" s="7" t="s">
        <v>97</v>
      </c>
      <c r="Q1" s="7" t="s">
        <v>97</v>
      </c>
      <c r="R1" s="7" t="s">
        <v>97</v>
      </c>
      <c r="S1" s="7" t="s">
        <v>97</v>
      </c>
      <c r="T1" s="7" t="s">
        <v>97</v>
      </c>
      <c r="U1" s="7" t="s">
        <v>97</v>
      </c>
      <c r="V1" s="7" t="s">
        <v>97</v>
      </c>
      <c r="W1" s="7" t="s">
        <v>97</v>
      </c>
      <c r="X1" s="7" t="s">
        <v>97</v>
      </c>
      <c r="Y1" s="7" t="s">
        <v>97</v>
      </c>
      <c r="Z1" s="7" t="s">
        <v>97</v>
      </c>
      <c r="AA1" s="7" t="s">
        <v>97</v>
      </c>
      <c r="AB1" s="7" t="s">
        <v>97</v>
      </c>
      <c r="AC1" s="7" t="s">
        <v>97</v>
      </c>
      <c r="AD1" s="7" t="s">
        <v>97</v>
      </c>
      <c r="AE1" s="7" t="s">
        <v>97</v>
      </c>
      <c r="AF1" s="7" t="s">
        <v>97</v>
      </c>
      <c r="AG1" s="7" t="s">
        <v>97</v>
      </c>
      <c r="AH1" s="7" t="s">
        <v>97</v>
      </c>
      <c r="AI1" s="7" t="s">
        <v>97</v>
      </c>
      <c r="AJ1" s="7" t="s">
        <v>97</v>
      </c>
      <c r="AK1" s="7" t="s">
        <v>97</v>
      </c>
      <c r="AQ1" s="3" t="s">
        <v>32</v>
      </c>
      <c r="AR1" t="s">
        <v>22</v>
      </c>
    </row>
    <row r="2" spans="1:57">
      <c r="A2" s="7" t="s">
        <v>97</v>
      </c>
      <c r="B2" s="24" t="e">
        <f>#REF!</f>
        <v>#REF!</v>
      </c>
      <c r="C2" s="7" t="s">
        <v>97</v>
      </c>
      <c r="D2" s="7" t="s">
        <v>97</v>
      </c>
      <c r="E2" s="7" t="s">
        <v>97</v>
      </c>
      <c r="F2" s="7" t="s">
        <v>97</v>
      </c>
      <c r="G2" s="7" t="s">
        <v>97</v>
      </c>
      <c r="H2" s="7" t="s">
        <v>97</v>
      </c>
      <c r="I2" s="7" t="s">
        <v>97</v>
      </c>
      <c r="J2" s="7" t="s">
        <v>97</v>
      </c>
      <c r="K2" s="7" t="s">
        <v>97</v>
      </c>
      <c r="L2" s="7" t="s">
        <v>97</v>
      </c>
      <c r="M2" s="7" t="s">
        <v>97</v>
      </c>
      <c r="N2" s="7" t="s">
        <v>97</v>
      </c>
      <c r="O2" s="7" t="s">
        <v>97</v>
      </c>
      <c r="P2" s="7" t="s">
        <v>97</v>
      </c>
      <c r="Q2" s="7" t="s">
        <v>97</v>
      </c>
      <c r="R2" s="7" t="s">
        <v>97</v>
      </c>
      <c r="S2" s="7" t="s">
        <v>97</v>
      </c>
      <c r="T2" s="7" t="s">
        <v>97</v>
      </c>
      <c r="U2" s="7" t="s">
        <v>97</v>
      </c>
      <c r="V2" s="7" t="s">
        <v>97</v>
      </c>
      <c r="W2" s="7" t="s">
        <v>97</v>
      </c>
      <c r="X2" s="7" t="s">
        <v>97</v>
      </c>
      <c r="Y2" s="7" t="s">
        <v>97</v>
      </c>
      <c r="Z2" s="7" t="s">
        <v>97</v>
      </c>
      <c r="AA2" s="7" t="s">
        <v>97</v>
      </c>
      <c r="AB2" s="7" t="s">
        <v>97</v>
      </c>
      <c r="AC2" s="7" t="s">
        <v>97</v>
      </c>
      <c r="AD2" s="7" t="s">
        <v>97</v>
      </c>
      <c r="AE2" s="7" t="s">
        <v>97</v>
      </c>
      <c r="AF2" s="7" t="s">
        <v>97</v>
      </c>
      <c r="AG2" s="7" t="s">
        <v>97</v>
      </c>
      <c r="AH2" s="7" t="s">
        <v>97</v>
      </c>
      <c r="AI2" s="7" t="s">
        <v>97</v>
      </c>
      <c r="AJ2" s="7" t="s">
        <v>97</v>
      </c>
      <c r="AK2" s="7" t="s">
        <v>97</v>
      </c>
    </row>
    <row r="3" spans="1:57" ht="15.75" customHeight="1">
      <c r="A3" s="3" t="s">
        <v>43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7" t="s">
        <v>97</v>
      </c>
      <c r="L3" s="7" t="s">
        <v>97</v>
      </c>
      <c r="M3" s="7" t="s">
        <v>97</v>
      </c>
      <c r="N3" s="7" t="s">
        <v>97</v>
      </c>
      <c r="O3" s="7" t="s">
        <v>97</v>
      </c>
      <c r="P3" s="7" t="s">
        <v>97</v>
      </c>
      <c r="Q3" s="7" t="s">
        <v>97</v>
      </c>
      <c r="R3" s="7" t="s">
        <v>97</v>
      </c>
      <c r="S3" s="7" t="s">
        <v>97</v>
      </c>
      <c r="T3" s="20" t="s">
        <v>97</v>
      </c>
      <c r="U3" s="3" t="s">
        <v>32</v>
      </c>
      <c r="V3" s="3" t="s">
        <v>33</v>
      </c>
      <c r="W3" s="3" t="s">
        <v>47</v>
      </c>
      <c r="X3" s="3" t="s">
        <v>48</v>
      </c>
      <c r="Y3" s="3" t="s">
        <v>49</v>
      </c>
      <c r="Z3" s="3" t="s">
        <v>50</v>
      </c>
      <c r="AA3" s="3" t="s">
        <v>34</v>
      </c>
      <c r="AB3" s="3" t="s">
        <v>35</v>
      </c>
      <c r="AC3" s="3" t="s">
        <v>36</v>
      </c>
      <c r="AD3" s="3" t="s">
        <v>51</v>
      </c>
      <c r="AE3" s="3" t="s">
        <v>52</v>
      </c>
      <c r="AF3" s="3" t="s">
        <v>53</v>
      </c>
      <c r="AG3" s="3" t="s">
        <v>54</v>
      </c>
      <c r="AH3" s="3" t="s">
        <v>55</v>
      </c>
      <c r="AI3" s="3" t="s">
        <v>56</v>
      </c>
      <c r="AJ3" s="3" t="s">
        <v>57</v>
      </c>
      <c r="AK3" s="3" t="s">
        <v>58</v>
      </c>
      <c r="AQ3" s="3" t="s">
        <v>33</v>
      </c>
      <c r="AR3" s="3" t="s">
        <v>47</v>
      </c>
      <c r="AS3" s="3" t="s">
        <v>48</v>
      </c>
      <c r="AT3" s="3" t="s">
        <v>49</v>
      </c>
      <c r="AU3" s="3" t="s">
        <v>50</v>
      </c>
      <c r="AV3" s="3" t="s">
        <v>34</v>
      </c>
      <c r="AW3" s="3" t="s">
        <v>35</v>
      </c>
      <c r="AX3" s="3" t="s">
        <v>36</v>
      </c>
      <c r="AY3" s="3" t="s">
        <v>51</v>
      </c>
      <c r="AZ3" s="3" t="s">
        <v>52</v>
      </c>
      <c r="BA3" s="3" t="s">
        <v>54</v>
      </c>
      <c r="BB3" s="3" t="s">
        <v>55</v>
      </c>
      <c r="BC3" s="3" t="s">
        <v>56</v>
      </c>
      <c r="BD3" s="3" t="s">
        <v>58</v>
      </c>
    </row>
    <row r="4" spans="1:57" ht="15.75" customHeight="1">
      <c r="A4" s="4" t="s">
        <v>16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44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16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2"/>
    </row>
    <row r="6" spans="1:57">
      <c r="A6" s="4" t="s">
        <v>22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2"/>
    </row>
    <row r="7" spans="1:57">
      <c r="A7" s="4" t="s">
        <v>19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4" t="s">
        <v>20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4" t="s">
        <v>21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4" t="s">
        <v>25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4" t="s">
        <v>27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4" t="s">
        <v>28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4" t="s">
        <v>171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4" t="s">
        <v>31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4" t="s">
        <v>40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4" t="s">
        <v>41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4" t="s">
        <v>42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4" t="s">
        <v>181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4" t="s">
        <v>182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4" t="s">
        <v>45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1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1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1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1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1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1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1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1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1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1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1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1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1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1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1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1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1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1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1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1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1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1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1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1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1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1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1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1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1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1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1" t="str">
        <f t="shared" si="0"/>
        <v>AIR ODDISACESSNA CARAVAN 208B</v>
      </c>
      <c r="U54" t="s">
        <v>169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1" t="str">
        <f t="shared" si="0"/>
        <v>AIR ODDISABEECHCRAFT 1900D</v>
      </c>
      <c r="U55" t="s">
        <v>169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1" t="str">
        <f t="shared" si="0"/>
        <v>AIR DECCANBEECHCRAFT 1900D</v>
      </c>
      <c r="U56" t="s">
        <v>170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43</v>
      </c>
      <c r="B3" t="s">
        <v>62</v>
      </c>
      <c r="C3" t="s">
        <v>72</v>
      </c>
      <c r="V3" s="6" t="s">
        <v>73</v>
      </c>
      <c r="W3" s="3" t="s">
        <v>37</v>
      </c>
      <c r="X3" s="3" t="s">
        <v>59</v>
      </c>
      <c r="Y3" t="s">
        <v>71</v>
      </c>
      <c r="Z3" t="s">
        <v>62</v>
      </c>
      <c r="AA3" t="s">
        <v>72</v>
      </c>
    </row>
    <row r="4" spans="1:27">
      <c r="A4" s="4" t="s">
        <v>27</v>
      </c>
      <c r="B4" s="5">
        <v>2467</v>
      </c>
      <c r="C4" s="5">
        <v>3806.1423290000002</v>
      </c>
      <c r="V4" t="str">
        <f>W4&amp;X4</f>
        <v>AIR ASIAP1</v>
      </c>
      <c r="W4" t="s">
        <v>27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19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27</v>
      </c>
      <c r="X5" t="s">
        <v>8</v>
      </c>
      <c r="Y5" s="5"/>
      <c r="Z5" s="5"/>
      <c r="AA5" s="5"/>
    </row>
    <row r="6" spans="1:27">
      <c r="A6" s="4" t="s">
        <v>20</v>
      </c>
      <c r="B6" s="5">
        <v>1472</v>
      </c>
      <c r="C6" s="5">
        <v>2956.1</v>
      </c>
      <c r="V6" t="str">
        <f t="shared" si="0"/>
        <v>AIR ASIAP3</v>
      </c>
      <c r="W6" t="s">
        <v>27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42</v>
      </c>
      <c r="B7" s="5">
        <v>61052</v>
      </c>
      <c r="C7" s="5">
        <v>93775.981349000009</v>
      </c>
      <c r="V7" t="str">
        <f t="shared" si="0"/>
        <v>AIR ASIAP4</v>
      </c>
      <c r="W7" t="s">
        <v>27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21</v>
      </c>
      <c r="B8" s="5">
        <v>648</v>
      </c>
      <c r="C8" s="5">
        <v>1392.7165519999999</v>
      </c>
      <c r="V8" t="str">
        <f t="shared" si="0"/>
        <v>AIR ASIAP4.1</v>
      </c>
      <c r="W8" t="s">
        <v>27</v>
      </c>
      <c r="X8" t="s">
        <v>38</v>
      </c>
      <c r="Y8" s="5">
        <v>180</v>
      </c>
      <c r="Z8" s="5">
        <v>199</v>
      </c>
      <c r="AA8" s="5">
        <v>337.623289</v>
      </c>
    </row>
    <row r="9" spans="1:27">
      <c r="A9" s="4" t="s">
        <v>29</v>
      </c>
      <c r="B9" s="5">
        <v>1389</v>
      </c>
      <c r="C9" s="5">
        <v>1617.18</v>
      </c>
      <c r="V9" t="str">
        <f t="shared" si="0"/>
        <v>AIR ASIAP4.2</v>
      </c>
      <c r="W9" t="s">
        <v>27</v>
      </c>
      <c r="X9" t="s">
        <v>39</v>
      </c>
      <c r="Y9" s="5"/>
      <c r="Z9" s="5"/>
      <c r="AA9" s="5"/>
    </row>
    <row r="10" spans="1:27">
      <c r="A10" s="4" t="s">
        <v>22</v>
      </c>
      <c r="B10" s="5">
        <v>4140</v>
      </c>
      <c r="C10" s="5">
        <v>6380</v>
      </c>
      <c r="V10" t="str">
        <f t="shared" si="0"/>
        <v>AIR ASIAP5</v>
      </c>
      <c r="W10" t="s">
        <v>27</v>
      </c>
      <c r="X10" t="s">
        <v>11</v>
      </c>
      <c r="Y10" s="5"/>
      <c r="Z10" s="5"/>
      <c r="AA10" s="5"/>
    </row>
    <row r="11" spans="1:27">
      <c r="A11" s="4" t="s">
        <v>16</v>
      </c>
      <c r="B11" s="5">
        <v>25201</v>
      </c>
      <c r="C11" s="5">
        <v>33290.79</v>
      </c>
      <c r="V11" t="str">
        <f t="shared" si="0"/>
        <v>AIR ASIAP6</v>
      </c>
      <c r="W11" t="s">
        <v>27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40</v>
      </c>
      <c r="B12" s="5">
        <v>12112</v>
      </c>
      <c r="C12" s="5">
        <v>34401.086552000001</v>
      </c>
      <c r="V12" t="str">
        <f t="shared" si="0"/>
        <v>AIR INDIAP1</v>
      </c>
      <c r="W12" t="s">
        <v>19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41</v>
      </c>
      <c r="B13" s="5">
        <v>48940</v>
      </c>
      <c r="C13" s="5">
        <v>59374.894797000001</v>
      </c>
      <c r="V13" t="str">
        <f t="shared" si="0"/>
        <v>AIR INDIAP2</v>
      </c>
      <c r="W13" t="s">
        <v>19</v>
      </c>
      <c r="X13" t="s">
        <v>8</v>
      </c>
      <c r="Y13" s="5"/>
      <c r="Z13" s="5"/>
      <c r="AA13" s="5"/>
    </row>
    <row r="14" spans="1:27">
      <c r="A14" s="4" t="s">
        <v>25</v>
      </c>
      <c r="B14" s="5">
        <v>12094</v>
      </c>
      <c r="C14" s="5">
        <v>9401.4900000000016</v>
      </c>
      <c r="V14" t="str">
        <f t="shared" si="0"/>
        <v>AIR INDIAP3</v>
      </c>
      <c r="W14" t="s">
        <v>19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31</v>
      </c>
      <c r="B15" s="5">
        <v>895</v>
      </c>
      <c r="C15" s="5">
        <v>801.87858399999982</v>
      </c>
      <c r="V15" t="str">
        <f t="shared" si="0"/>
        <v>AIR INDIAP4</v>
      </c>
      <c r="W15" t="s">
        <v>19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28</v>
      </c>
      <c r="B16" s="5">
        <v>2721</v>
      </c>
      <c r="C16" s="5">
        <v>4070.3999999999996</v>
      </c>
      <c r="V16" t="str">
        <f t="shared" si="0"/>
        <v>AIR INDIAP4.1</v>
      </c>
      <c r="W16" t="s">
        <v>19</v>
      </c>
      <c r="X16" t="s">
        <v>38</v>
      </c>
      <c r="Y16" s="5"/>
      <c r="Z16" s="5"/>
      <c r="AA16" s="5"/>
    </row>
    <row r="17" spans="1:27">
      <c r="A17" s="4" t="s">
        <v>44</v>
      </c>
      <c r="B17" s="5"/>
      <c r="C17" s="5"/>
      <c r="V17" t="str">
        <f t="shared" si="0"/>
        <v>AIR INDIAP4.2</v>
      </c>
      <c r="W17" t="s">
        <v>19</v>
      </c>
      <c r="X17" t="s">
        <v>39</v>
      </c>
      <c r="Y17" s="5"/>
      <c r="Z17" s="5"/>
      <c r="AA17" s="5"/>
    </row>
    <row r="18" spans="1:27">
      <c r="A18" s="4" t="s">
        <v>181</v>
      </c>
      <c r="B18" s="5"/>
      <c r="C18" s="5"/>
      <c r="V18" t="str">
        <f t="shared" si="0"/>
        <v>AIR INDIAP5</v>
      </c>
      <c r="W18" t="s">
        <v>19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183</v>
      </c>
      <c r="B19" s="5">
        <v>33</v>
      </c>
      <c r="C19" s="5">
        <v>7.0138840000000009</v>
      </c>
      <c r="V19" t="str">
        <f t="shared" si="0"/>
        <v>AIR INDIAP6</v>
      </c>
      <c r="W19" t="s">
        <v>19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45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20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20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20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20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20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20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42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21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21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21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21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21</v>
      </c>
      <c r="X40" t="s">
        <v>38</v>
      </c>
      <c r="Y40" s="5"/>
      <c r="Z40" s="5"/>
      <c r="AA40" s="5"/>
    </row>
    <row r="41" spans="22:27">
      <c r="V41" t="str">
        <f t="shared" si="0"/>
        <v>ALLIANCE AIRP4.2</v>
      </c>
      <c r="W41" t="s">
        <v>21</v>
      </c>
      <c r="X41" t="s">
        <v>39</v>
      </c>
      <c r="Y41" s="5"/>
      <c r="Z41" s="5"/>
      <c r="AA41" s="5"/>
    </row>
    <row r="42" spans="22:27">
      <c r="V42" t="str">
        <f t="shared" si="0"/>
        <v>ALLIANCE AIRP5</v>
      </c>
      <c r="W42" t="s">
        <v>21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21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29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29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29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29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29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29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22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22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22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22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22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22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16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16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16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16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16</v>
      </c>
      <c r="X64" t="s">
        <v>38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16</v>
      </c>
      <c r="X65" t="s">
        <v>39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16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16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40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40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41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25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25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25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25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25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25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31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31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31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31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31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31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28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28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28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28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28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28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5"/>
      <c r="Z108" s="5"/>
      <c r="AA108" s="5"/>
    </row>
    <row r="109" spans="22:27">
      <c r="V109" t="str">
        <f t="shared" si="1"/>
        <v>STAR AIRP1</v>
      </c>
      <c r="W109" t="s">
        <v>181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181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181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181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181</v>
      </c>
      <c r="X113" t="s">
        <v>38</v>
      </c>
      <c r="Y113" s="5"/>
      <c r="Z113" s="5"/>
      <c r="AA113" s="5"/>
    </row>
    <row r="114" spans="22:27">
      <c r="V114" t="str">
        <f t="shared" si="1"/>
        <v>STAR AIRP4.2</v>
      </c>
      <c r="W114" t="s">
        <v>181</v>
      </c>
      <c r="X114" t="s">
        <v>39</v>
      </c>
      <c r="Y114" s="5"/>
      <c r="Z114" s="5"/>
      <c r="AA114" s="5"/>
    </row>
    <row r="115" spans="22:27">
      <c r="V115" t="str">
        <f t="shared" si="1"/>
        <v>STAR AIRP5</v>
      </c>
      <c r="W115" t="s">
        <v>181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181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183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183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183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183</v>
      </c>
      <c r="X121" t="s">
        <v>38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183</v>
      </c>
      <c r="X122" t="s">
        <v>39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183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14</v>
      </c>
      <c r="C2" s="9" t="s">
        <v>99</v>
      </c>
      <c r="D2" s="9" t="s">
        <v>100</v>
      </c>
      <c r="E2" s="9" t="s">
        <v>15</v>
      </c>
      <c r="F2" s="9" t="s">
        <v>101</v>
      </c>
      <c r="G2" s="10" t="s">
        <v>102</v>
      </c>
      <c r="H2" s="10" t="s">
        <v>103</v>
      </c>
      <c r="I2" s="11" t="s">
        <v>104</v>
      </c>
      <c r="J2" s="10" t="s">
        <v>105</v>
      </c>
      <c r="K2" s="10" t="s">
        <v>106</v>
      </c>
      <c r="L2" s="10" t="s">
        <v>107</v>
      </c>
      <c r="M2" s="10" t="s">
        <v>108</v>
      </c>
      <c r="N2" s="10" t="s">
        <v>109</v>
      </c>
      <c r="O2" s="10" t="s">
        <v>110</v>
      </c>
      <c r="P2" s="10" t="s">
        <v>111</v>
      </c>
      <c r="Q2" s="10" t="s">
        <v>112</v>
      </c>
      <c r="R2" s="10" t="s">
        <v>113</v>
      </c>
      <c r="S2" s="12" t="s">
        <v>114</v>
      </c>
      <c r="T2" s="10" t="s">
        <v>115</v>
      </c>
      <c r="U2" s="10" t="s">
        <v>116</v>
      </c>
      <c r="V2" s="9" t="s">
        <v>117</v>
      </c>
      <c r="W2" s="10" t="s">
        <v>118</v>
      </c>
      <c r="X2" s="9" t="s">
        <v>119</v>
      </c>
      <c r="Y2" s="9" t="s">
        <v>120</v>
      </c>
    </row>
    <row r="3" spans="1:25">
      <c r="A3" s="3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7" customFormat="1">
      <c r="A4" s="19" t="s">
        <v>27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19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20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21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29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22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16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23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24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25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31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28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44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41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42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181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182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180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45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6"/>
  <sheetViews>
    <sheetView tabSelected="1" view="pageBreakPreview" zoomScale="93" zoomScaleNormal="75" zoomScaleSheetLayoutView="93" workbookViewId="0">
      <selection activeCell="E5" sqref="E5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31" t="s">
        <v>188</v>
      </c>
      <c r="B1" s="32"/>
      <c r="C1" s="32"/>
      <c r="D1" s="33"/>
    </row>
    <row r="2" spans="1:4" ht="26.25" customHeight="1">
      <c r="A2" s="34" t="s">
        <v>189</v>
      </c>
      <c r="B2" s="35"/>
      <c r="C2" s="35"/>
      <c r="D2" s="36"/>
    </row>
    <row r="3" spans="1:4" ht="31.5" customHeight="1">
      <c r="A3" s="37" t="s">
        <v>186</v>
      </c>
      <c r="B3" s="38"/>
      <c r="C3" s="38"/>
      <c r="D3" s="39"/>
    </row>
    <row r="4" spans="1:4" ht="42.75" customHeight="1">
      <c r="A4" s="2" t="s">
        <v>0</v>
      </c>
      <c r="B4" s="2" t="s">
        <v>4</v>
      </c>
      <c r="C4" s="2" t="s">
        <v>3</v>
      </c>
      <c r="D4" s="2" t="s">
        <v>5</v>
      </c>
    </row>
    <row r="5" spans="1:4" ht="30" customHeight="1">
      <c r="A5" s="25" t="s">
        <v>1</v>
      </c>
      <c r="B5" s="26">
        <v>21</v>
      </c>
      <c r="C5" s="27" t="s">
        <v>185</v>
      </c>
      <c r="D5" s="28">
        <v>21</v>
      </c>
    </row>
    <row r="6" spans="1:4" ht="30" customHeight="1">
      <c r="A6" s="25" t="s">
        <v>2</v>
      </c>
      <c r="B6" s="28">
        <v>21</v>
      </c>
      <c r="C6" s="27" t="s">
        <v>185</v>
      </c>
      <c r="D6" s="28">
        <v>21</v>
      </c>
    </row>
    <row r="7" spans="1:4" ht="30" customHeight="1">
      <c r="A7" s="25" t="s">
        <v>13</v>
      </c>
      <c r="B7" s="28">
        <v>21</v>
      </c>
      <c r="C7" s="27" t="s">
        <v>185</v>
      </c>
      <c r="D7" s="28">
        <v>21</v>
      </c>
    </row>
    <row r="8" spans="1:4" ht="30" customHeight="1">
      <c r="A8" s="25" t="s">
        <v>6</v>
      </c>
      <c r="B8" s="28">
        <v>17</v>
      </c>
      <c r="C8" s="27" t="s">
        <v>185</v>
      </c>
      <c r="D8" s="29">
        <v>17</v>
      </c>
    </row>
    <row r="9" spans="1:4" ht="30" customHeight="1">
      <c r="A9" s="25" t="s">
        <v>18</v>
      </c>
      <c r="B9" s="28">
        <v>18</v>
      </c>
      <c r="C9" s="27" t="s">
        <v>185</v>
      </c>
      <c r="D9" s="28">
        <v>18</v>
      </c>
    </row>
    <row r="10" spans="1:4" ht="30" customHeight="1">
      <c r="A10" s="25" t="s">
        <v>60</v>
      </c>
      <c r="B10" s="28">
        <v>23</v>
      </c>
      <c r="C10" s="27" t="s">
        <v>185</v>
      </c>
      <c r="D10" s="28">
        <v>23</v>
      </c>
    </row>
    <row r="11" spans="1:4" ht="30" customHeight="1">
      <c r="A11" s="25" t="s">
        <v>175</v>
      </c>
      <c r="B11" s="28">
        <v>23</v>
      </c>
      <c r="C11" s="27" t="s">
        <v>185</v>
      </c>
      <c r="D11" s="28">
        <v>23</v>
      </c>
    </row>
    <row r="12" spans="1:4" ht="30" customHeight="1">
      <c r="A12" s="25" t="s">
        <v>184</v>
      </c>
      <c r="B12" s="28">
        <v>25</v>
      </c>
      <c r="C12" s="27" t="s">
        <v>185</v>
      </c>
      <c r="D12" s="28">
        <v>25</v>
      </c>
    </row>
    <row r="13" spans="1:4" ht="30" customHeight="1">
      <c r="A13" s="25" t="s">
        <v>187</v>
      </c>
      <c r="B13" s="28">
        <v>25</v>
      </c>
      <c r="C13" s="27" t="s">
        <v>191</v>
      </c>
      <c r="D13" s="28">
        <v>25</v>
      </c>
    </row>
    <row r="14" spans="1:4" ht="30" customHeight="1">
      <c r="A14" s="25" t="s">
        <v>190</v>
      </c>
      <c r="B14" s="28">
        <v>24</v>
      </c>
      <c r="C14" s="27" t="s">
        <v>185</v>
      </c>
      <c r="D14" s="28">
        <v>24</v>
      </c>
    </row>
    <row r="15" spans="1:4" ht="30" customHeight="1">
      <c r="A15" s="30" t="s">
        <v>178</v>
      </c>
      <c r="B15" s="30"/>
      <c r="C15" s="30"/>
      <c r="D15" s="30"/>
    </row>
    <row r="16" spans="1:4" ht="30" customHeight="1">
      <c r="A16" s="30" t="s">
        <v>179</v>
      </c>
      <c r="B16" s="30"/>
      <c r="C16" s="30"/>
      <c r="D16" s="30"/>
    </row>
  </sheetData>
  <mergeCells count="5">
    <mergeCell ref="A15:D15"/>
    <mergeCell ref="A16:D16"/>
    <mergeCell ref="A1:D1"/>
    <mergeCell ref="A2:D2"/>
    <mergeCell ref="A3:D3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2022-08-23T06:39:27Z</cp:lastPrinted>
  <dcterms:created xsi:type="dcterms:W3CDTF">2002-12-26T09:18:20Z</dcterms:created>
  <dcterms:modified xsi:type="dcterms:W3CDTF">2022-08-23T06:39:37Z</dcterms:modified>
</cp:coreProperties>
</file>