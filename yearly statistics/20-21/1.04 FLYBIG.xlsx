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FLYBIG\"/>
    </mc:Choice>
  </mc:AlternateContent>
  <bookViews>
    <workbookView xWindow="0" yWindow="0" windowWidth="24000" windowHeight="10725"/>
  </bookViews>
  <sheets>
    <sheet name="FLY BIG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7" i="6" l="1"/>
  <c r="L37" i="6"/>
  <c r="C34" i="6"/>
  <c r="B34" i="6"/>
  <c r="P37" i="6" l="1"/>
  <c r="O37" i="6"/>
  <c r="H37" i="6"/>
  <c r="G37" i="6"/>
  <c r="F37" i="6"/>
  <c r="E37" i="6"/>
  <c r="D37" i="6"/>
  <c r="C37" i="6"/>
  <c r="B37" i="6"/>
  <c r="Q34" i="6"/>
  <c r="P34" i="6"/>
  <c r="O34" i="6"/>
  <c r="L34" i="6"/>
  <c r="H34" i="6"/>
  <c r="G34" i="6"/>
  <c r="F34" i="6"/>
</calcChain>
</file>

<file path=xl/sharedStrings.xml><?xml version="1.0" encoding="utf-8"?>
<sst xmlns="http://schemas.openxmlformats.org/spreadsheetml/2006/main" count="100" uniqueCount="39">
  <si>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</si>
  <si>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</si>
  <si>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</si>
  <si>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</si>
  <si>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</si>
  <si>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</si>
  <si>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</si>
  <si>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</si>
  <si>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</si>
  <si>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</si>
  <si>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</si>
  <si>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</si>
  <si>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</si>
  <si>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</si>
  <si>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</si>
  <si>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</si>
  <si>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</si>
  <si>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</si>
  <si>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</si>
  <si>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</si>
  <si>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</si>
  <si>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</si>
  <si>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</si>
  <si>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</si>
  <si>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</si>
  <si>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>CAGR</t>
  </si>
  <si>
    <t>-</t>
  </si>
  <si>
    <t>Growth</t>
  </si>
  <si>
    <t>2018-19</t>
  </si>
  <si>
    <t>2019-20</t>
  </si>
  <si>
    <t>2020-21</t>
  </si>
  <si>
    <t xml:space="preserve">तालिका - 1.04 (फ्लाई बिग) </t>
  </si>
  <si>
    <t>TABLE - 1.04 (FLY BIG)</t>
  </si>
  <si>
    <t xml:space="preserve">YEAR ON YEAR GROWTH AND CAGR FOR LAST TEN YEARS OF FLY BIG ON SCHEDULED DOMESTIC SERVICES (ALL AIR TRAFFIC AND OPERATING STATISTICS) </t>
  </si>
  <si>
    <t>SOURCE: ICAO ATR FORM 'A' FURNISHED BY FLY BIG</t>
  </si>
  <si>
    <t>2021-22</t>
  </si>
  <si>
    <t xml:space="preserve">  </t>
  </si>
  <si>
    <t>Note: Growth has been calculated with respect to preceeding year while Compound Annual Growth Rate (CAGR) has been calculating taking 2012-13 as a Base Year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</si>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</sst>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#,##0.0"/>
    <numFmt numFmtId="166" formatCode="0.0%"/>
    <numFmt numFmtId="167" formatCode="0.0"/>
    <numFmt numFmtId="168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  <xf numFmtId="0" fontId="4" fillId="6" borderId="0" applyNumberFormat="0" applyBorder="0" applyAlignment="0" applyProtection="0"/>
  </cellStyleXfs>
  <cellXfs count="38">
    <xf numFmtId="0" fontId="0" fillId="0" borderId="0" xfId="0"/>
    <xf numFmtId="166" fontId="4" fillId="5" borderId="1" xfId="4" applyNumberFormat="1" applyFill="1" applyBorder="1" applyAlignment="1" applyProtection="1">
      <alignment horizontal="right" vertical="center" wrapText="1"/>
    </xf>
    <xf numFmtId="166" fontId="3" fillId="2" borderId="1" xfId="4" applyNumberFormat="1" applyFont="1" applyFill="1" applyBorder="1" applyAlignment="1" applyProtection="1">
      <alignment horizontal="right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6" fontId="3" fillId="2" borderId="1" xfId="4" applyNumberFormat="1" applyFont="1" applyFill="1" applyBorder="1" applyAlignment="1" applyProtection="1">
      <alignment horizontal="center" vertical="center" wrapText="1"/>
    </xf>
    <xf numFmtId="166" fontId="0" fillId="5" borderId="1" xfId="4" applyNumberFormat="1" applyFont="1" applyFill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wrapText="1"/>
    </xf>
    <xf numFmtId="3" fontId="5" fillId="3" borderId="1" xfId="1" applyNumberFormat="1" applyBorder="1" applyAlignment="1" applyProtection="1">
      <alignment horizontal="center" vertical="center" wrapText="1"/>
    </xf>
    <xf numFmtId="167" fontId="5" fillId="3" borderId="1" xfId="4" applyNumberFormat="1" applyFont="1" applyFill="1" applyBorder="1" applyAlignment="1" applyProtection="1">
      <alignment horizontal="center" vertical="center" wrapText="1"/>
    </xf>
    <xf numFmtId="165" fontId="5" fillId="3" borderId="1" xfId="1" applyNumberFormat="1" applyBorder="1" applyAlignment="1" applyProtection="1">
      <alignment horizontal="center" vertical="center" wrapText="1"/>
    </xf>
    <xf numFmtId="0" fontId="5" fillId="3" borderId="1" xfId="1" applyBorder="1" applyAlignment="1" applyProtection="1">
      <alignment horizontal="center" vertical="center" wrapText="1"/>
    </xf>
    <xf numFmtId="167" fontId="5" fillId="3" borderId="1" xfId="1" applyNumberFormat="1" applyBorder="1"/>
    <xf numFmtId="166" fontId="7" fillId="5" borderId="1" xfId="4" applyNumberFormat="1" applyFont="1" applyFill="1" applyBorder="1" applyAlignment="1" applyProtection="1">
      <alignment horizontal="center" vertical="center" wrapText="1"/>
    </xf>
    <xf numFmtId="166" fontId="8" fillId="2" borderId="1" xfId="4" applyNumberFormat="1" applyFon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168" fontId="5" fillId="3" borderId="1" xfId="1" applyNumberFormat="1" applyBorder="1" applyAlignment="1" applyProtection="1">
      <alignment horizontal="center" vertical="center" wrapText="1"/>
    </xf>
    <xf numFmtId="164" fontId="5" fillId="3" borderId="1" xfId="1" applyNumberFormat="1" applyBorder="1" applyAlignment="1" applyProtection="1">
      <alignment horizontal="center" vertical="center" wrapText="1"/>
    </xf>
    <xf numFmtId="166" fontId="0" fillId="5" borderId="1" xfId="4" applyNumberFormat="1" applyFont="1" applyFill="1" applyBorder="1" applyAlignment="1" applyProtection="1">
      <alignment horizontal="right" vertical="center" wrapText="1"/>
    </xf>
    <xf numFmtId="9" fontId="0" fillId="5" borderId="1" xfId="4" applyNumberFormat="1" applyFont="1" applyFill="1" applyBorder="1" applyAlignment="1" applyProtection="1">
      <alignment horizontal="right" vertical="center" wrapText="1"/>
    </xf>
    <xf numFmtId="3" fontId="4" fillId="6" borderId="1" xfId="5" applyNumberFormat="1" applyFont="1" applyBorder="1" applyAlignment="1" applyProtection="1">
      <alignment horizontal="right" vertical="center" wrapText="1"/>
    </xf>
    <xf numFmtId="168" fontId="4" fillId="6" borderId="1" xfId="5" applyNumberFormat="1" applyFont="1" applyBorder="1" applyAlignment="1" applyProtection="1">
      <alignment horizontal="right" vertical="center" wrapText="1"/>
    </xf>
    <xf numFmtId="164" fontId="4" fillId="6" borderId="1" xfId="5" applyNumberFormat="1" applyFont="1" applyBorder="1" applyAlignment="1" applyProtection="1">
      <alignment horizontal="right" vertical="center" wrapText="1"/>
    </xf>
    <xf numFmtId="168" fontId="5" fillId="3" borderId="1" xfId="4" applyNumberFormat="1" applyFont="1" applyFill="1" applyBorder="1" applyAlignment="1" applyProtection="1">
      <alignment horizontal="center" vertical="center" wrapText="1"/>
    </xf>
    <xf numFmtId="168" fontId="3" fillId="2" borderId="1" xfId="4" applyNumberFormat="1" applyFont="1" applyFill="1" applyBorder="1" applyAlignment="1" applyProtection="1">
      <alignment horizontal="right" vertical="center" wrapText="1"/>
    </xf>
    <xf numFmtId="168" fontId="4" fillId="6" borderId="1" xfId="5" applyNumberFormat="1" applyFont="1" applyBorder="1" applyAlignment="1" applyProtection="1">
      <alignment vertical="center" wrapText="1"/>
    </xf>
    <xf numFmtId="9" fontId="0" fillId="5" borderId="1" xfId="4" applyFont="1" applyFill="1" applyBorder="1" applyAlignment="1" applyProtection="1">
      <alignment horizontal="righ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 wrapText="1"/>
    </xf>
    <xf numFmtId="0" fontId="3" fillId="3" borderId="1" xfId="1" quotePrefix="1" applyFont="1" applyBorder="1" applyAlignment="1" applyProtection="1">
      <alignment horizontal="center" vertical="center" wrapText="1"/>
    </xf>
    <xf numFmtId="0" fontId="3" fillId="3" borderId="1" xfId="1" applyFont="1" applyBorder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6">
    <cellStyle name="20% - Accent2" xfId="3" builtinId="34"/>
    <cellStyle name="40% - Accent2" xfId="5" builtinId="35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abSelected="1" topLeftCell="A13" zoomScale="91" zoomScaleNormal="91" zoomScaleSheetLayoutView="115" workbookViewId="0">
      <selection activeCell="D42" sqref="D42"/>
    </sheetView>
  </sheetViews>
  <sheetFormatPr defaultRowHeight="15" x14ac:dyDescent="0.25"/>
  <cols>
    <col min="4" max="4" width="11" bestFit="1" customWidth="1"/>
    <col min="12" max="12" width="11.5703125" customWidth="1"/>
    <col min="14" max="14" width="14.85546875" customWidth="1"/>
    <col min="15" max="15" width="15.42578125" customWidth="1"/>
    <col min="16" max="16" width="15.28515625" customWidth="1"/>
    <col min="17" max="17" width="12.7109375" customWidth="1"/>
  </cols>
  <sheetData>
    <row r="1" spans="1:17" x14ac:dyDescent="0.25">
      <c r="A1" s="33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x14ac:dyDescent="0.25">
      <c r="A2" s="34" t="s">
        <v>32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</row>
    <row r="3" spans="1:17" x14ac:dyDescent="0.25">
      <c r="A3" s="36" t="s">
        <v>33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4" spans="1:17" x14ac:dyDescent="0.25">
      <c r="A4" s="36" t="s">
        <v>0</v>
      </c>
      <c r="B4" s="36" t="s">
        <v>1</v>
      </c>
      <c r="C4" s="36"/>
      <c r="D4" s="36"/>
      <c r="E4" s="36" t="s">
        <v>2</v>
      </c>
      <c r="F4" s="37"/>
      <c r="G4" s="29" t="s">
        <v>3</v>
      </c>
      <c r="H4" s="29" t="s">
        <v>4</v>
      </c>
      <c r="I4" s="36" t="s">
        <v>5</v>
      </c>
      <c r="J4" s="36"/>
      <c r="K4" s="36"/>
      <c r="L4" s="36" t="s">
        <v>6</v>
      </c>
      <c r="M4" s="36"/>
      <c r="N4" s="36"/>
      <c r="O4" s="36"/>
      <c r="P4" s="29" t="s">
        <v>7</v>
      </c>
      <c r="Q4" s="29" t="s">
        <v>8</v>
      </c>
    </row>
    <row r="5" spans="1:17" ht="93" x14ac:dyDescent="0.25">
      <c r="A5" s="36"/>
      <c r="B5" s="15" t="s">
        <v>9</v>
      </c>
      <c r="C5" s="15" t="s">
        <v>10</v>
      </c>
      <c r="D5" s="15" t="s">
        <v>11</v>
      </c>
      <c r="E5" s="15" t="s">
        <v>12</v>
      </c>
      <c r="F5" s="15" t="s">
        <v>13</v>
      </c>
      <c r="G5" s="30"/>
      <c r="H5" s="30"/>
      <c r="I5" s="15" t="s">
        <v>14</v>
      </c>
      <c r="J5" s="15" t="s">
        <v>15</v>
      </c>
      <c r="K5" s="15" t="s">
        <v>16</v>
      </c>
      <c r="L5" s="15" t="s">
        <v>17</v>
      </c>
      <c r="M5" s="15" t="s">
        <v>18</v>
      </c>
      <c r="N5" s="15" t="s">
        <v>15</v>
      </c>
      <c r="O5" s="15" t="s">
        <v>16</v>
      </c>
      <c r="P5" s="30"/>
      <c r="Q5" s="30"/>
    </row>
    <row r="6" spans="1:17" x14ac:dyDescent="0.25">
      <c r="A6" s="7" t="s">
        <v>19</v>
      </c>
      <c r="B6" s="8"/>
      <c r="C6" s="8"/>
      <c r="D6" s="8"/>
      <c r="E6" s="8"/>
      <c r="F6" s="8"/>
      <c r="G6" s="8"/>
      <c r="H6" s="9"/>
      <c r="I6" s="10"/>
      <c r="J6" s="10"/>
      <c r="K6" s="10"/>
      <c r="L6" s="10"/>
      <c r="M6" s="10"/>
      <c r="N6" s="10"/>
      <c r="O6" s="10"/>
      <c r="P6" s="10"/>
      <c r="Q6" s="9"/>
    </row>
    <row r="7" spans="1:17" x14ac:dyDescent="0.25">
      <c r="A7" s="3" t="s">
        <v>27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4" t="s">
        <v>25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A9" s="7" t="s">
        <v>20</v>
      </c>
      <c r="B9" s="8"/>
      <c r="C9" s="8"/>
      <c r="D9" s="8"/>
      <c r="E9" s="8"/>
      <c r="F9" s="8"/>
      <c r="G9" s="8"/>
      <c r="H9" s="9"/>
      <c r="I9" s="10"/>
      <c r="J9" s="10"/>
      <c r="K9" s="10"/>
      <c r="L9" s="10"/>
      <c r="M9" s="10"/>
      <c r="N9" s="10"/>
      <c r="O9" s="10"/>
      <c r="P9" s="10"/>
      <c r="Q9" s="9"/>
    </row>
    <row r="10" spans="1:17" x14ac:dyDescent="0.25">
      <c r="A10" s="3" t="s">
        <v>27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4" t="s">
        <v>25</v>
      </c>
      <c r="B11" s="2"/>
      <c r="C11" s="2"/>
      <c r="D11" s="2"/>
      <c r="E11" s="2"/>
      <c r="F11" s="2"/>
      <c r="G11" s="2"/>
      <c r="H11" s="2"/>
      <c r="I11" s="2"/>
      <c r="J11" s="2"/>
      <c r="K11" s="2" t="s">
        <v>36</v>
      </c>
      <c r="L11" s="2"/>
      <c r="M11" s="2"/>
      <c r="N11" s="2"/>
      <c r="O11" s="2"/>
      <c r="P11" s="2"/>
      <c r="Q11" s="2"/>
    </row>
    <row r="12" spans="1:17" x14ac:dyDescent="0.25">
      <c r="A12" s="7" t="s">
        <v>21</v>
      </c>
      <c r="B12" s="8"/>
      <c r="C12" s="8"/>
      <c r="D12" s="8"/>
      <c r="E12" s="8"/>
      <c r="F12" s="8"/>
      <c r="G12" s="8"/>
      <c r="H12" s="9"/>
      <c r="I12" s="10"/>
      <c r="J12" s="10"/>
      <c r="K12" s="10" t="s">
        <v>36</v>
      </c>
      <c r="L12" s="10"/>
      <c r="M12" s="10"/>
      <c r="N12" s="10"/>
      <c r="O12" s="10"/>
      <c r="P12" s="10"/>
      <c r="Q12" s="9"/>
    </row>
    <row r="13" spans="1:17" x14ac:dyDescent="0.25">
      <c r="A13" s="3" t="s">
        <v>27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4" t="s">
        <v>25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7" t="s">
        <v>22</v>
      </c>
      <c r="B15" s="8"/>
      <c r="C15" s="8"/>
      <c r="D15" s="8"/>
      <c r="E15" s="8"/>
      <c r="F15" s="8"/>
      <c r="G15" s="8"/>
      <c r="H15" s="9"/>
      <c r="I15" s="10"/>
      <c r="J15" s="10"/>
      <c r="K15" s="10"/>
      <c r="L15" s="10"/>
      <c r="M15" s="10"/>
      <c r="N15" s="10"/>
      <c r="O15" s="10"/>
      <c r="P15" s="10"/>
      <c r="Q15" s="9"/>
    </row>
    <row r="16" spans="1:17" x14ac:dyDescent="0.25">
      <c r="A16" s="3" t="s">
        <v>27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4" t="s">
        <v>25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7" t="s">
        <v>23</v>
      </c>
      <c r="B18" s="8"/>
      <c r="C18" s="8"/>
      <c r="D18" s="8"/>
      <c r="E18" s="8"/>
      <c r="F18" s="8"/>
      <c r="G18" s="8"/>
      <c r="H18" s="9"/>
      <c r="I18" s="10"/>
      <c r="J18" s="10"/>
      <c r="K18" s="10"/>
      <c r="L18" s="10"/>
      <c r="M18" s="10"/>
      <c r="N18" s="10"/>
      <c r="O18" s="10"/>
      <c r="P18" s="10"/>
      <c r="Q18" s="9"/>
    </row>
    <row r="19" spans="1:17" x14ac:dyDescent="0.25">
      <c r="A19" s="3" t="s">
        <v>27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4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7" t="s">
        <v>24</v>
      </c>
      <c r="B21" s="8"/>
      <c r="C21" s="8"/>
      <c r="D21" s="8"/>
      <c r="E21" s="8"/>
      <c r="F21" s="8"/>
      <c r="G21" s="8"/>
      <c r="H21" s="9"/>
      <c r="I21" s="10"/>
      <c r="J21" s="10"/>
      <c r="K21" s="10"/>
      <c r="L21" s="10"/>
      <c r="M21" s="10"/>
      <c r="N21" s="10"/>
      <c r="O21" s="10"/>
      <c r="P21" s="10"/>
      <c r="Q21" s="9"/>
    </row>
    <row r="22" spans="1:17" x14ac:dyDescent="0.25">
      <c r="A22" s="3" t="s">
        <v>27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4" t="s">
        <v>25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11" t="s">
        <v>28</v>
      </c>
      <c r="B24" s="8"/>
      <c r="C24" s="8"/>
      <c r="D24" s="8"/>
      <c r="E24" s="8"/>
      <c r="F24" s="8"/>
      <c r="G24" s="8"/>
      <c r="H24" s="9"/>
      <c r="I24" s="10"/>
      <c r="J24" s="10"/>
      <c r="K24" s="10"/>
      <c r="L24" s="10"/>
      <c r="M24" s="10"/>
      <c r="N24" s="10"/>
      <c r="O24" s="10"/>
      <c r="P24" s="10"/>
      <c r="Q24" s="9"/>
    </row>
    <row r="25" spans="1:17" x14ac:dyDescent="0.25">
      <c r="A25" s="3" t="s">
        <v>27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4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11" t="s">
        <v>29</v>
      </c>
      <c r="B27" s="8"/>
      <c r="C27" s="8"/>
      <c r="D27" s="8"/>
      <c r="E27" s="8"/>
      <c r="F27" s="8"/>
      <c r="G27" s="8"/>
      <c r="H27" s="9"/>
      <c r="I27" s="12"/>
      <c r="J27" s="10"/>
      <c r="K27" s="10"/>
      <c r="L27" s="10"/>
      <c r="M27" s="10"/>
      <c r="N27" s="10"/>
      <c r="O27" s="10"/>
      <c r="P27" s="10"/>
      <c r="Q27" s="9"/>
    </row>
    <row r="28" spans="1:17" x14ac:dyDescent="0.25">
      <c r="A28" s="3" t="s">
        <v>27</v>
      </c>
      <c r="B28" s="1"/>
      <c r="C28" s="1"/>
      <c r="D28" s="1"/>
      <c r="E28" s="1"/>
      <c r="F28" s="1"/>
      <c r="G28" s="1"/>
      <c r="H28" s="6"/>
      <c r="I28" s="1"/>
      <c r="J28" s="1"/>
      <c r="K28" s="1"/>
      <c r="L28" s="1"/>
      <c r="M28" s="1"/>
      <c r="N28" s="1"/>
      <c r="O28" s="1"/>
      <c r="P28" s="1"/>
      <c r="Q28" s="6"/>
    </row>
    <row r="29" spans="1:17" x14ac:dyDescent="0.25">
      <c r="A29" s="4" t="s">
        <v>25</v>
      </c>
      <c r="B29" s="2"/>
      <c r="C29" s="2"/>
      <c r="D29" s="2"/>
      <c r="E29" s="2"/>
      <c r="F29" s="2"/>
      <c r="G29" s="2"/>
      <c r="H29" s="5"/>
      <c r="I29" s="2"/>
      <c r="J29" s="2"/>
      <c r="K29" s="2"/>
      <c r="L29" s="2"/>
      <c r="M29" s="2"/>
      <c r="N29" s="2"/>
      <c r="O29" s="2"/>
      <c r="P29" s="2"/>
      <c r="Q29" s="5"/>
    </row>
    <row r="30" spans="1:17" x14ac:dyDescent="0.25">
      <c r="A30" s="11" t="s">
        <v>30</v>
      </c>
      <c r="B30" s="8">
        <v>226</v>
      </c>
      <c r="C30" s="8">
        <v>289</v>
      </c>
      <c r="D30" s="8">
        <v>84.177999999999997</v>
      </c>
      <c r="E30" s="8">
        <v>7238</v>
      </c>
      <c r="F30" s="16">
        <v>3.4677699999999998</v>
      </c>
      <c r="G30" s="16">
        <v>7.7315000000000005</v>
      </c>
      <c r="H30" s="23">
        <v>44.852486580870462</v>
      </c>
      <c r="I30" s="17">
        <v>0</v>
      </c>
      <c r="J30" s="17">
        <v>0</v>
      </c>
      <c r="K30" s="17">
        <v>0</v>
      </c>
      <c r="L30" s="16">
        <v>0.26007999999999998</v>
      </c>
      <c r="M30" s="17">
        <v>0</v>
      </c>
      <c r="N30" s="17">
        <v>0</v>
      </c>
      <c r="O30" s="16">
        <v>0.25605</v>
      </c>
      <c r="P30" s="16">
        <v>2.3614800000000002</v>
      </c>
      <c r="Q30" s="23">
        <v>10.842776563849787</v>
      </c>
    </row>
    <row r="31" spans="1:17" x14ac:dyDescent="0.25">
      <c r="A31" s="3" t="s">
        <v>27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 x14ac:dyDescent="0.25">
      <c r="A32" s="4" t="s">
        <v>25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spans="1:17" x14ac:dyDescent="0.25">
      <c r="A33" s="11" t="s">
        <v>35</v>
      </c>
      <c r="B33" s="20">
        <v>2210</v>
      </c>
      <c r="C33" s="20">
        <v>2627.63</v>
      </c>
      <c r="D33" s="20">
        <v>11863.77</v>
      </c>
      <c r="E33" s="20">
        <v>81268</v>
      </c>
      <c r="F33" s="21">
        <v>30.496769999999998</v>
      </c>
      <c r="G33" s="21">
        <v>59.715550000000007</v>
      </c>
      <c r="H33" s="21">
        <v>51.07006466489883</v>
      </c>
      <c r="I33" s="22">
        <v>0</v>
      </c>
      <c r="J33" s="22">
        <v>0</v>
      </c>
      <c r="K33" s="22">
        <v>0</v>
      </c>
      <c r="L33" s="21">
        <v>2.2872000000000003</v>
      </c>
      <c r="M33" s="22">
        <v>0</v>
      </c>
      <c r="N33" s="22">
        <v>0</v>
      </c>
      <c r="O33" s="21">
        <v>2.2872000000000003</v>
      </c>
      <c r="P33" s="21">
        <v>18.252542000000002</v>
      </c>
      <c r="Q33" s="25">
        <v>12.530857345787783</v>
      </c>
    </row>
    <row r="34" spans="1:17" x14ac:dyDescent="0.25">
      <c r="A34" s="3" t="s">
        <v>27</v>
      </c>
      <c r="B34" s="18">
        <f>(B33-B30)/B30</f>
        <v>8.7787610619469021</v>
      </c>
      <c r="C34" s="18">
        <f>(C33-C30)/C30</f>
        <v>8.0921453287197238</v>
      </c>
      <c r="D34" s="18"/>
      <c r="E34" s="18"/>
      <c r="F34" s="18">
        <f t="shared" ref="F34:H34" si="0">(F33-F30)/F30</f>
        <v>7.7943462225003382</v>
      </c>
      <c r="G34" s="18">
        <f t="shared" si="0"/>
        <v>6.723669404384661</v>
      </c>
      <c r="H34" s="18">
        <f t="shared" si="0"/>
        <v>0.13862281799734508</v>
      </c>
      <c r="I34" s="18" t="s">
        <v>26</v>
      </c>
      <c r="J34" s="18" t="s">
        <v>26</v>
      </c>
      <c r="K34" s="18" t="s">
        <v>26</v>
      </c>
      <c r="L34" s="26">
        <f>(L33-L30)/L30</f>
        <v>7.7942171639495568</v>
      </c>
      <c r="M34" s="18" t="s">
        <v>26</v>
      </c>
      <c r="N34" s="18" t="s">
        <v>26</v>
      </c>
      <c r="O34" s="26">
        <f>(O33-O30)/O30</f>
        <v>7.9326303456356193</v>
      </c>
      <c r="P34" s="26">
        <f>(P33-P30)/P30</f>
        <v>6.7292807900130427</v>
      </c>
      <c r="Q34" s="26">
        <f>(Q33-Q30)/Q30</f>
        <v>0.15568713161222184</v>
      </c>
    </row>
    <row r="35" spans="1:17" x14ac:dyDescent="0.25">
      <c r="A35" s="4" t="s">
        <v>25</v>
      </c>
      <c r="B35" s="2" t="s">
        <v>26</v>
      </c>
      <c r="C35" s="2" t="s">
        <v>26</v>
      </c>
      <c r="D35" s="2" t="s">
        <v>26</v>
      </c>
      <c r="E35" s="2" t="s">
        <v>26</v>
      </c>
      <c r="F35" s="2" t="s">
        <v>26</v>
      </c>
      <c r="G35" s="2" t="s">
        <v>26</v>
      </c>
      <c r="H35" s="2" t="s">
        <v>26</v>
      </c>
      <c r="I35" s="2" t="s">
        <v>26</v>
      </c>
      <c r="J35" s="2" t="s">
        <v>26</v>
      </c>
      <c r="K35" s="2" t="s">
        <v>26</v>
      </c>
      <c r="L35" s="24" t="s">
        <v>26</v>
      </c>
      <c r="M35" s="2" t="s">
        <v>26</v>
      </c>
      <c r="N35" s="2" t="s">
        <v>26</v>
      </c>
      <c r="O35" s="24" t="s">
        <v>26</v>
      </c>
      <c r="P35" s="24" t="s">
        <v>26</v>
      </c>
      <c r="Q35" s="24" t="s">
        <v>26</v>
      </c>
    </row>
    <row r="36" spans="1:17" x14ac:dyDescent="0.25">
      <c r="A36" s="11" t="s">
        <v>38</v>
      </c>
      <c r="B36" s="20">
        <v>6172</v>
      </c>
      <c r="C36" s="20">
        <v>8496.413333333332</v>
      </c>
      <c r="D36" s="20">
        <v>2670.06</v>
      </c>
      <c r="E36" s="20">
        <v>255592</v>
      </c>
      <c r="F36" s="21">
        <v>111.30744</v>
      </c>
      <c r="G36" s="21">
        <v>189.79321400000001</v>
      </c>
      <c r="H36" s="21">
        <v>58.646691129852513</v>
      </c>
      <c r="I36" s="22">
        <v>0</v>
      </c>
      <c r="J36" s="22">
        <v>0</v>
      </c>
      <c r="K36" s="22">
        <v>0</v>
      </c>
      <c r="L36" s="21">
        <v>8.1791757</v>
      </c>
      <c r="M36" s="22">
        <v>0</v>
      </c>
      <c r="N36" s="22">
        <v>0</v>
      </c>
      <c r="O36" s="21">
        <v>8.1791757</v>
      </c>
      <c r="P36" s="21">
        <v>58.137454000000005</v>
      </c>
      <c r="Q36" s="25">
        <v>14.068685739145026</v>
      </c>
    </row>
    <row r="37" spans="1:17" x14ac:dyDescent="0.25">
      <c r="A37" s="3" t="s">
        <v>27</v>
      </c>
      <c r="B37" s="19">
        <f t="shared" ref="B37:H37" si="1">(B36-B33)/B33</f>
        <v>1.7927601809954752</v>
      </c>
      <c r="C37" s="19">
        <f t="shared" si="1"/>
        <v>2.2334892406211422</v>
      </c>
      <c r="D37" s="19">
        <f t="shared" si="1"/>
        <v>-0.77494000642291616</v>
      </c>
      <c r="E37" s="19">
        <f t="shared" si="1"/>
        <v>2.1450509425604172</v>
      </c>
      <c r="F37" s="19">
        <f t="shared" si="1"/>
        <v>2.6498107832403237</v>
      </c>
      <c r="G37" s="19">
        <f t="shared" si="1"/>
        <v>2.1782879668696005</v>
      </c>
      <c r="H37" s="19">
        <f t="shared" si="1"/>
        <v>0.14835748720250211</v>
      </c>
      <c r="I37" s="19"/>
      <c r="J37" s="19" t="s">
        <v>26</v>
      </c>
      <c r="K37" s="19"/>
      <c r="L37" s="19">
        <f>(L36-L33)/L33</f>
        <v>2.5760649265477435</v>
      </c>
      <c r="M37" s="19"/>
      <c r="N37" s="19" t="s">
        <v>26</v>
      </c>
      <c r="O37" s="19">
        <f t="shared" ref="O37:P37" si="2">(O36-O33)/O33</f>
        <v>2.5760649265477435</v>
      </c>
      <c r="P37" s="19">
        <f t="shared" si="2"/>
        <v>2.1851702628598249</v>
      </c>
      <c r="Q37" s="19">
        <f>(Q36-Q33)/Q33</f>
        <v>0.12272331819930742</v>
      </c>
    </row>
    <row r="38" spans="1:17" x14ac:dyDescent="0.25">
      <c r="A38" s="4" t="s">
        <v>25</v>
      </c>
      <c r="B38" s="2" t="s">
        <v>26</v>
      </c>
      <c r="C38" s="2" t="s">
        <v>26</v>
      </c>
      <c r="D38" s="2" t="s">
        <v>26</v>
      </c>
      <c r="E38" s="2" t="s">
        <v>26</v>
      </c>
      <c r="F38" s="2" t="s">
        <v>26</v>
      </c>
      <c r="G38" s="2" t="s">
        <v>26</v>
      </c>
      <c r="H38" s="2" t="s">
        <v>26</v>
      </c>
      <c r="I38" s="2" t="s">
        <v>26</v>
      </c>
      <c r="J38" s="2" t="s">
        <v>26</v>
      </c>
      <c r="K38" s="2" t="s">
        <v>26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</row>
    <row r="39" spans="1:17" x14ac:dyDescent="0.25">
      <c r="A39" s="31" t="s">
        <v>34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</row>
    <row r="40" spans="1:17" x14ac:dyDescent="0.25">
      <c r="A40" s="27" t="s">
        <v>37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BIG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2022-04-26T05:18:36Z</cp:lastPrinted>
  <dcterms:created xsi:type="dcterms:W3CDTF">2018-10-29T04:00:14Z</dcterms:created>
  <dcterms:modified xsi:type="dcterms:W3CDTF">2023-10-11T11:49:41Z</dcterms:modified>
</cp:coreProperties>
</file>