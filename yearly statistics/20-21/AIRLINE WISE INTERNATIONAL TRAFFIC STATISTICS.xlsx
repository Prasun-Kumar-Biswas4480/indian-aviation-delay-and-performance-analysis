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IRLINE WISE DOMESTIC TRAFFIC STATISTICS\"/>
    </mc:Choice>
  </mc:AlternateContent>
  <bookViews>
    <workbookView xWindow="0" yWindow="0" windowWidth="24000" windowHeight="9435"/>
  </bookViews>
  <sheets>
    <sheet name="inter indian" sheetId="1" r:id="rId1"/>
  </sheets>
  <definedNames>
    <definedName name="_xlnm.Print_Area" localSheetId="0">'inter indian'!$A$1:$Q$15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H6" i="1"/>
  <c r="H7" i="1"/>
  <c r="H9" i="1"/>
  <c r="H10" i="1"/>
  <c r="H11" i="1"/>
  <c r="H12" i="1"/>
  <c r="B13" i="1"/>
  <c r="C13" i="1"/>
  <c r="D13" i="1"/>
  <c r="E13" i="1"/>
  <c r="F13" i="1"/>
  <c r="G13" i="1"/>
  <c r="I13" i="1"/>
  <c r="J13" i="1"/>
  <c r="K13" i="1"/>
  <c r="L13" i="1"/>
  <c r="M13" i="1"/>
  <c r="N13" i="1"/>
  <c r="O13" i="1"/>
  <c r="P13" i="1"/>
  <c r="Q13" i="1" l="1"/>
  <c r="H13" i="1"/>
</calcChain>
</file>

<file path=xl/sharedStrings.xml><?xml version="1.0" encoding="utf-8"?>
<sst xmlns="http://schemas.openxmlformats.org/spreadsheetml/2006/main" count="34" uniqueCount="32">
  <si>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</si>
  <si>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</si>
  <si>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</si>
  <si>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</si>
  <si>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</si>
  <si>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</si>
  <si>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</si>
  <si>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</si>
  <si>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</si>
  <si>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</si>
  <si>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</si>
  <si>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</si>
  <si>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</si>
  <si>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</si>
  <si>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</si>
  <si>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</si>
  <si>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</si>
  <si>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</si>
  <si>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</si>
  <si>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AIR INDIA</t>
  </si>
  <si>
    <t>AIR INDIA EXPRESS</t>
  </si>
  <si>
    <t>GO AIR</t>
  </si>
  <si>
    <t>INDIGO</t>
  </si>
  <si>
    <t>SPICEJET</t>
  </si>
  <si>
    <t>YEAR TOTAL</t>
  </si>
  <si>
    <t>Table 1.02 ( SCHEDULED INDIAN AIRLINES)</t>
  </si>
  <si>
    <t xml:space="preserve">तालिका  1.02 ( अनुसूचित भारतीय एयरलाइन्स) </t>
  </si>
  <si>
    <t>VISTARA</t>
  </si>
  <si>
    <t xml:space="preserve">SOURCE:-  ICAO ATR FORM 'A' FURNISHED BY ALL SCHEDULED INDIAN AIRLINES </t>
  </si>
  <si>
    <t>BLUEDART</t>
  </si>
  <si>
    <t>AIRLINE-WISE TRAFFIC AND OPERATING STATISTICS OF SCHEDULED INDIAN AIRLINES ON INTERNATIONAL*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</si>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</sst>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31">
    <xf numFmtId="0" fontId="0" fillId="0" borderId="0" xfId="0"/>
    <xf numFmtId="0" fontId="0" fillId="0" borderId="0" xfId="0" applyFont="1"/>
    <xf numFmtId="165" fontId="2" fillId="4" borderId="1" xfId="3" applyNumberFormat="1" applyBorder="1" applyAlignment="1">
      <alignment horizontal="right"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2" fillId="0" borderId="1" xfId="3" applyFill="1" applyBorder="1" applyAlignment="1">
      <alignment horizontal="center" vertical="center"/>
    </xf>
    <xf numFmtId="164" fontId="2" fillId="0" borderId="1" xfId="3" applyNumberFormat="1" applyFill="1" applyBorder="1" applyAlignment="1">
      <alignment vertical="center"/>
    </xf>
    <xf numFmtId="165" fontId="2" fillId="0" borderId="1" xfId="3" applyNumberFormat="1" applyFill="1" applyBorder="1" applyAlignment="1">
      <alignment horizontal="right" vertical="center"/>
    </xf>
    <xf numFmtId="0" fontId="0" fillId="0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 applyProtection="1">
      <alignment horizontal="center" vertical="center" textRotation="90" wrapText="1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quotePrefix="1" applyFont="1" applyBorder="1" applyAlignment="1" applyProtection="1">
      <alignment horizontal="center" vertical="center" wrapText="1"/>
    </xf>
    <xf numFmtId="0" fontId="4" fillId="4" borderId="4" xfId="3" quotePrefix="1" applyFont="1" applyBorder="1" applyAlignment="1" applyProtection="1">
      <alignment horizontal="center" vertical="center" wrapText="1"/>
    </xf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  <xf numFmtId="0" fontId="5" fillId="4" borderId="1" xfId="3" applyFont="1" applyBorder="1" applyAlignment="1">
      <alignment horizontal="center" vertical="center"/>
    </xf>
    <xf numFmtId="164" fontId="5" fillId="4" borderId="1" xfId="3" applyNumberFormat="1" applyFont="1" applyBorder="1" applyAlignment="1">
      <alignment vertical="center"/>
    </xf>
    <xf numFmtId="165" fontId="5" fillId="4" borderId="1" xfId="3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5"/>
  <sheetViews>
    <sheetView tabSelected="1" topLeftCell="A7" zoomScale="95" zoomScaleNormal="95" zoomScaleSheetLayoutView="100" workbookViewId="0">
      <selection activeCell="A17" sqref="A17"/>
    </sheetView>
  </sheetViews>
  <sheetFormatPr defaultColWidth="9.140625" defaultRowHeight="15" x14ac:dyDescent="0.25"/>
  <cols>
    <col min="1" max="1" width="16.7109375" style="1" customWidth="1"/>
    <col min="2" max="3" width="9.5703125" style="1" customWidth="1"/>
    <col min="4" max="4" width="9.7109375" style="1" customWidth="1"/>
    <col min="5" max="5" width="12.7109375" style="1" customWidth="1"/>
    <col min="6" max="6" width="14.42578125" style="1" customWidth="1"/>
    <col min="7" max="7" width="12.5703125" style="1" customWidth="1"/>
    <col min="8" max="8" width="8" style="1" customWidth="1"/>
    <col min="9" max="9" width="11.42578125" style="1" customWidth="1"/>
    <col min="10" max="10" width="8.42578125" style="1" bestFit="1" customWidth="1"/>
    <col min="11" max="11" width="12" style="1" customWidth="1"/>
    <col min="12" max="12" width="12.7109375" style="1" customWidth="1"/>
    <col min="13" max="13" width="11.7109375" style="1" customWidth="1"/>
    <col min="14" max="14" width="8.5703125" style="1" customWidth="1"/>
    <col min="15" max="15" width="12.7109375" style="1" customWidth="1"/>
    <col min="16" max="16" width="12.85546875" style="1" customWidth="1"/>
    <col min="17" max="17" width="6.28515625" style="1" customWidth="1"/>
    <col min="18" max="16384" width="9.140625" style="7"/>
  </cols>
  <sheetData>
    <row r="1" spans="1:17" ht="18.75" customHeight="1" x14ac:dyDescent="0.25">
      <c r="A1" s="16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ht="18.75" customHeight="1" x14ac:dyDescent="0.25">
      <c r="A2" s="19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 ht="18.75" customHeight="1" x14ac:dyDescent="0.25">
      <c r="A3" s="22" t="s">
        <v>30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1:17" ht="21" customHeight="1" x14ac:dyDescent="0.25">
      <c r="A4" s="25" t="s">
        <v>18</v>
      </c>
      <c r="B4" s="22" t="s">
        <v>0</v>
      </c>
      <c r="C4" s="23"/>
      <c r="D4" s="24"/>
      <c r="E4" s="22" t="s">
        <v>1</v>
      </c>
      <c r="F4" s="24"/>
      <c r="G4" s="14" t="s">
        <v>2</v>
      </c>
      <c r="H4" s="14" t="s">
        <v>3</v>
      </c>
      <c r="I4" s="22" t="s">
        <v>4</v>
      </c>
      <c r="J4" s="23"/>
      <c r="K4" s="24"/>
      <c r="L4" s="22" t="s">
        <v>5</v>
      </c>
      <c r="M4" s="23"/>
      <c r="N4" s="23"/>
      <c r="O4" s="24"/>
      <c r="P4" s="14" t="s">
        <v>6</v>
      </c>
      <c r="Q4" s="14" t="s">
        <v>7</v>
      </c>
    </row>
    <row r="5" spans="1:17" ht="139.5" customHeight="1" x14ac:dyDescent="0.25">
      <c r="A5" s="26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15"/>
      <c r="H5" s="15"/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14</v>
      </c>
      <c r="O5" s="3" t="s">
        <v>15</v>
      </c>
      <c r="P5" s="15"/>
      <c r="Q5" s="15"/>
    </row>
    <row r="6" spans="1:17" ht="30" customHeight="1" x14ac:dyDescent="0.25">
      <c r="A6" s="4" t="s">
        <v>19</v>
      </c>
      <c r="B6" s="5">
        <v>10202</v>
      </c>
      <c r="C6" s="5">
        <v>80041.125000000029</v>
      </c>
      <c r="D6" s="5">
        <v>70466.5</v>
      </c>
      <c r="E6" s="5">
        <v>1519104</v>
      </c>
      <c r="F6" s="5">
        <v>10959.015120999999</v>
      </c>
      <c r="G6" s="5">
        <v>16431.978260999997</v>
      </c>
      <c r="H6" s="6">
        <f t="shared" ref="H6:H12" si="0">F6/G6*100</f>
        <v>66.693218229300825</v>
      </c>
      <c r="I6" s="6">
        <v>39382.725300000006</v>
      </c>
      <c r="J6" s="6">
        <v>35.51</v>
      </c>
      <c r="K6" s="6">
        <v>39418.235300000008</v>
      </c>
      <c r="L6" s="6">
        <v>1011.1704910899999</v>
      </c>
      <c r="M6" s="6">
        <v>265.38220219579995</v>
      </c>
      <c r="N6" s="6">
        <v>0.30548060680614414</v>
      </c>
      <c r="O6" s="6">
        <v>1276.8581738926061</v>
      </c>
      <c r="P6" s="6">
        <v>2501.9295646080009</v>
      </c>
      <c r="Q6" s="6">
        <f t="shared" ref="Q6:Q12" si="1">O6/P6*100</f>
        <v>51.034936872519928</v>
      </c>
    </row>
    <row r="7" spans="1:17" ht="30" customHeight="1" x14ac:dyDescent="0.25">
      <c r="A7" s="8" t="s">
        <v>20</v>
      </c>
      <c r="B7" s="9">
        <v>12879</v>
      </c>
      <c r="C7" s="9">
        <v>47970.670000000006</v>
      </c>
      <c r="D7" s="9">
        <v>32257.052580645166</v>
      </c>
      <c r="E7" s="9">
        <v>1444283</v>
      </c>
      <c r="F7" s="9">
        <v>3954.3915439999996</v>
      </c>
      <c r="G7" s="9">
        <v>5985.2288760000001</v>
      </c>
      <c r="H7" s="2">
        <f t="shared" si="0"/>
        <v>66.069178404465063</v>
      </c>
      <c r="I7" s="10">
        <v>12171.398999999999</v>
      </c>
      <c r="J7" s="10">
        <v>51.954999999999998</v>
      </c>
      <c r="K7" s="10">
        <v>12223.353999999999</v>
      </c>
      <c r="L7" s="10">
        <v>272.82293911099998</v>
      </c>
      <c r="M7" s="10">
        <v>34.25210011299999</v>
      </c>
      <c r="N7" s="10">
        <v>0.151426854</v>
      </c>
      <c r="O7" s="10">
        <v>307.22646607799999</v>
      </c>
      <c r="P7" s="10">
        <v>385.08555359799993</v>
      </c>
      <c r="Q7" s="2">
        <f t="shared" si="1"/>
        <v>79.781353314209511</v>
      </c>
    </row>
    <row r="8" spans="1:17" ht="30" customHeight="1" x14ac:dyDescent="0.25">
      <c r="A8" s="4" t="s">
        <v>29</v>
      </c>
      <c r="B8" s="5">
        <v>167</v>
      </c>
      <c r="C8" s="5">
        <v>452.47</v>
      </c>
      <c r="D8" s="5">
        <v>409.92</v>
      </c>
      <c r="E8" s="5">
        <v>0</v>
      </c>
      <c r="F8" s="5">
        <v>0</v>
      </c>
      <c r="G8" s="5">
        <v>0</v>
      </c>
      <c r="H8" s="6">
        <v>0</v>
      </c>
      <c r="I8" s="6">
        <v>2027.6779999999997</v>
      </c>
      <c r="J8" s="6">
        <v>0</v>
      </c>
      <c r="K8" s="6">
        <v>2027.6779999999997</v>
      </c>
      <c r="L8" s="6">
        <v>0</v>
      </c>
      <c r="M8" s="6">
        <v>4.6429999999999998</v>
      </c>
      <c r="N8" s="6">
        <v>0</v>
      </c>
      <c r="O8" s="6">
        <v>4.6429999999999998</v>
      </c>
      <c r="P8" s="6">
        <v>11.04</v>
      </c>
      <c r="Q8" s="6">
        <f t="shared" si="1"/>
        <v>42.056159420289859</v>
      </c>
    </row>
    <row r="9" spans="1:17" ht="30" customHeight="1" x14ac:dyDescent="0.25">
      <c r="A9" s="8" t="s">
        <v>21</v>
      </c>
      <c r="B9" s="9">
        <v>2769</v>
      </c>
      <c r="C9" s="9">
        <v>7326.58</v>
      </c>
      <c r="D9" s="9">
        <v>6950.7630000000017</v>
      </c>
      <c r="E9" s="9">
        <v>371308</v>
      </c>
      <c r="F9" s="9">
        <v>946.71529300000009</v>
      </c>
      <c r="G9" s="9">
        <v>1276.1109780000002</v>
      </c>
      <c r="H9" s="2">
        <f t="shared" si="0"/>
        <v>74.187536140763456</v>
      </c>
      <c r="I9" s="10">
        <v>638.73981000000003</v>
      </c>
      <c r="J9" s="10">
        <v>0</v>
      </c>
      <c r="K9" s="10">
        <v>638.73981000000003</v>
      </c>
      <c r="L9" s="10">
        <v>85.203976369999978</v>
      </c>
      <c r="M9" s="10">
        <v>1.0827411055</v>
      </c>
      <c r="N9" s="10">
        <v>0</v>
      </c>
      <c r="O9" s="10">
        <v>86.28671747549997</v>
      </c>
      <c r="P9" s="10">
        <v>131.01348895000001</v>
      </c>
      <c r="Q9" s="2">
        <f t="shared" si="1"/>
        <v>65.860941622912151</v>
      </c>
    </row>
    <row r="10" spans="1:17" ht="30" customHeight="1" x14ac:dyDescent="0.25">
      <c r="A10" s="4" t="s">
        <v>22</v>
      </c>
      <c r="B10" s="5">
        <v>10368</v>
      </c>
      <c r="C10" s="5">
        <v>37690.319929999998</v>
      </c>
      <c r="D10" s="5">
        <v>25620.383999999998</v>
      </c>
      <c r="E10" s="5">
        <v>1298199</v>
      </c>
      <c r="F10" s="5">
        <v>3248.732</v>
      </c>
      <c r="G10" s="5">
        <v>4292.8149999999996</v>
      </c>
      <c r="H10" s="6">
        <f t="shared" si="0"/>
        <v>75.678360236814314</v>
      </c>
      <c r="I10" s="6">
        <v>11857.332569999999</v>
      </c>
      <c r="J10" s="6">
        <v>840.12950999999975</v>
      </c>
      <c r="K10" s="6">
        <v>12697.462079999998</v>
      </c>
      <c r="L10" s="6">
        <v>290.03626299999996</v>
      </c>
      <c r="M10" s="6">
        <v>17.67260633994</v>
      </c>
      <c r="N10" s="6">
        <v>1.7377185377000002</v>
      </c>
      <c r="O10" s="6">
        <v>309.44658787763996</v>
      </c>
      <c r="P10" s="6">
        <v>491.63468543900001</v>
      </c>
      <c r="Q10" s="6">
        <f t="shared" si="1"/>
        <v>62.942383245666008</v>
      </c>
    </row>
    <row r="11" spans="1:17" ht="30" customHeight="1" x14ac:dyDescent="0.25">
      <c r="A11" s="8" t="s">
        <v>23</v>
      </c>
      <c r="B11" s="9">
        <v>9498</v>
      </c>
      <c r="C11" s="9">
        <v>32206.30333333333</v>
      </c>
      <c r="D11" s="9">
        <v>23689.15</v>
      </c>
      <c r="E11" s="9">
        <v>648418</v>
      </c>
      <c r="F11" s="9">
        <v>1699.6295319999999</v>
      </c>
      <c r="G11" s="9">
        <v>2063.8437819999999</v>
      </c>
      <c r="H11" s="2">
        <f t="shared" si="0"/>
        <v>82.352625078674677</v>
      </c>
      <c r="I11" s="10">
        <v>50785.31362999999</v>
      </c>
      <c r="J11" s="10">
        <v>0</v>
      </c>
      <c r="K11" s="10">
        <v>50785.31362999999</v>
      </c>
      <c r="L11" s="10">
        <v>127.47184012000001</v>
      </c>
      <c r="M11" s="10">
        <v>107.64561389893004</v>
      </c>
      <c r="N11" s="10">
        <v>0</v>
      </c>
      <c r="O11" s="10">
        <v>235.11745401893003</v>
      </c>
      <c r="P11" s="10">
        <v>534.24919252999996</v>
      </c>
      <c r="Q11" s="2">
        <f t="shared" si="1"/>
        <v>44.008948877489857</v>
      </c>
    </row>
    <row r="12" spans="1:17" ht="30" customHeight="1" x14ac:dyDescent="0.25">
      <c r="A12" s="4" t="s">
        <v>27</v>
      </c>
      <c r="B12" s="5">
        <v>1324</v>
      </c>
      <c r="C12" s="5">
        <v>4870.0600000000004</v>
      </c>
      <c r="D12" s="5">
        <v>3714.3220000000001</v>
      </c>
      <c r="E12" s="5">
        <v>145691</v>
      </c>
      <c r="F12" s="5">
        <v>451.700287</v>
      </c>
      <c r="G12" s="5">
        <v>805.81880799999999</v>
      </c>
      <c r="H12" s="6">
        <f t="shared" si="0"/>
        <v>56.054820576985101</v>
      </c>
      <c r="I12" s="6">
        <v>3591.5995000000003</v>
      </c>
      <c r="J12" s="6">
        <v>0</v>
      </c>
      <c r="K12" s="6">
        <v>3591.5995000000003</v>
      </c>
      <c r="L12" s="6">
        <v>47.42853013500001</v>
      </c>
      <c r="M12" s="6">
        <v>21.232324346999999</v>
      </c>
      <c r="N12" s="6">
        <v>0</v>
      </c>
      <c r="O12" s="6">
        <v>68.660854482000005</v>
      </c>
      <c r="P12" s="6">
        <v>112.08526689999999</v>
      </c>
      <c r="Q12" s="6">
        <f t="shared" si="1"/>
        <v>61.257698162290772</v>
      </c>
    </row>
    <row r="13" spans="1:17" ht="30" customHeight="1" x14ac:dyDescent="0.25">
      <c r="A13" s="27" t="s">
        <v>24</v>
      </c>
      <c r="B13" s="28">
        <f t="shared" ref="B13:G13" si="2">SUM(B6:B12)</f>
        <v>47207</v>
      </c>
      <c r="C13" s="28">
        <f t="shared" si="2"/>
        <v>210557.52826333337</v>
      </c>
      <c r="D13" s="28">
        <f t="shared" si="2"/>
        <v>163108.09158064518</v>
      </c>
      <c r="E13" s="28">
        <f t="shared" si="2"/>
        <v>5427003</v>
      </c>
      <c r="F13" s="28">
        <f t="shared" si="2"/>
        <v>21260.183776999998</v>
      </c>
      <c r="G13" s="28">
        <f t="shared" si="2"/>
        <v>30855.795704999997</v>
      </c>
      <c r="H13" s="29">
        <f t="shared" ref="H13" si="3">F13/G13*100</f>
        <v>68.901751814343626</v>
      </c>
      <c r="I13" s="29">
        <f t="shared" ref="I13:P13" si="4">SUM(I6:I12)</f>
        <v>120454.78780999999</v>
      </c>
      <c r="J13" s="29">
        <f t="shared" si="4"/>
        <v>927.59450999999979</v>
      </c>
      <c r="K13" s="29">
        <f t="shared" si="4"/>
        <v>121382.38231999999</v>
      </c>
      <c r="L13" s="29">
        <f t="shared" si="4"/>
        <v>1834.1340398259999</v>
      </c>
      <c r="M13" s="29">
        <f t="shared" si="4"/>
        <v>451.91058800016992</v>
      </c>
      <c r="N13" s="29">
        <f t="shared" si="4"/>
        <v>2.1946259985061443</v>
      </c>
      <c r="O13" s="29">
        <f t="shared" si="4"/>
        <v>2288.2392538246763</v>
      </c>
      <c r="P13" s="29">
        <f t="shared" si="4"/>
        <v>4167.0377520250004</v>
      </c>
      <c r="Q13" s="29">
        <f t="shared" ref="Q13" si="5">O13/P13*100</f>
        <v>54.912851526547627</v>
      </c>
    </row>
    <row r="14" spans="1:17" ht="16.5" customHeight="1" x14ac:dyDescent="0.25">
      <c r="A14" s="30" t="s">
        <v>31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1:17" ht="19.5" customHeight="1" x14ac:dyDescent="0.25">
      <c r="A15" s="11" t="s">
        <v>28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</sheetData>
  <mergeCells count="14">
    <mergeCell ref="A15:Q15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14:Q1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2021-08-23T21:02:12Z</cp:lastPrinted>
  <dcterms:created xsi:type="dcterms:W3CDTF">2018-10-29T04:00:07Z</dcterms:created>
  <dcterms:modified xsi:type="dcterms:W3CDTF">2022-04-22T06:42:42Z</dcterms:modified>
</cp:coreProperties>
</file>