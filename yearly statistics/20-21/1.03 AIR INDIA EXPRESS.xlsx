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FFICE\Yearly publication\2022-23\Annual tables 22_23\AIR INDIA EXPRESS\"/>
    </mc:Choice>
  </mc:AlternateContent>
  <bookViews>
    <workbookView xWindow="0" yWindow="0" windowWidth="24000" windowHeight="10725"/>
  </bookViews>
  <sheets>
    <sheet name="AIR INDIA EXPRES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15" i="1"/>
  <c r="H14" i="1"/>
  <c r="H13" i="1"/>
  <c r="H12" i="1"/>
  <c r="H11" i="1"/>
  <c r="H10" i="1"/>
  <c r="H9" i="1"/>
  <c r="H8" i="1"/>
  <c r="H7" i="1"/>
  <c r="H6" i="1"/>
  <c r="O17" i="1"/>
  <c r="Q17" i="1" s="1"/>
  <c r="O16" i="1"/>
  <c r="Q16" i="1" s="1"/>
  <c r="O15" i="1"/>
  <c r="Q15" i="1" s="1"/>
  <c r="O14" i="1"/>
  <c r="Q14" i="1" s="1"/>
  <c r="O13" i="1"/>
  <c r="Q13" i="1" s="1"/>
  <c r="O12" i="1"/>
  <c r="Q12" i="1" s="1"/>
  <c r="O11" i="1"/>
  <c r="Q11" i="1" s="1"/>
  <c r="O10" i="1"/>
  <c r="Q10" i="1" s="1"/>
  <c r="O9" i="1"/>
  <c r="Q9" i="1" s="1"/>
  <c r="O8" i="1"/>
  <c r="Q8" i="1" s="1"/>
  <c r="O7" i="1"/>
  <c r="Q7" i="1" s="1"/>
  <c r="O6" i="1"/>
  <c r="Q6" i="1" s="1"/>
  <c r="P18" i="1" l="1"/>
  <c r="O18" i="1"/>
  <c r="N18" i="1"/>
  <c r="M18" i="1"/>
  <c r="L18" i="1"/>
  <c r="K18" i="1"/>
  <c r="J18" i="1"/>
  <c r="I18" i="1"/>
  <c r="G18" i="1"/>
  <c r="F18" i="1"/>
  <c r="E18" i="1"/>
  <c r="D18" i="1"/>
  <c r="C18" i="1"/>
  <c r="B18" i="1"/>
  <c r="Q18" i="1" l="1"/>
  <c r="H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<sst xmlns="http://schemas.openxmlformats.org/spreadsheetml/2006/main" count="26" uniqueCount="24">
  <si>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</si>
  <si>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</si>
  <si>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</si>
  <si>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</si>
  <si>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</si>
  <si>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</si>
  <si>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>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</si>
  <si>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</si>
  <si>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</si>
  <si>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</si>
  <si>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</si>
  <si>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</si>
  <si>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</si>
  <si>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</si>
  <si>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</si>
  <si>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</si>
  <si>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</si>
  <si>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</si>
  <si>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</si>
  <si>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 EXPRESS</t>
  </si>
  <si>
    <t>तालिका 1.03 एयर इंडिया एक्सप्रेस (राष्ट्रीय)</t>
  </si>
  <si>
    <t>2022-23</t>
  </si>
  <si>
    <t>MONTHLY TRAFFIC AND OPERATING STATISTICS OF AIR INDIA EXPRESS ON SCHEDULED (DOMESTIC + INTERNATIONAL) SERVICES DURING 2022-23</t>
  </si>
  <si>
    <t>Table 1.03 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</si>
</sst>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B1mmmm/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3">
    <xf numFmtId="0" fontId="0" fillId="0" borderId="0" xfId="0"/>
    <xf numFmtId="165" fontId="1" fillId="3" borderId="1" xfId="3" applyNumberFormat="1" applyBorder="1" applyAlignment="1">
      <alignment horizontal="right" vertical="center"/>
    </xf>
    <xf numFmtId="166" fontId="1" fillId="3" borderId="1" xfId="3" applyNumberFormat="1" applyBorder="1" applyAlignment="1">
      <alignment horizontal="right" vertical="center"/>
    </xf>
    <xf numFmtId="164" fontId="1" fillId="3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right" vertical="center" wrapText="1"/>
    </xf>
    <xf numFmtId="167" fontId="2" fillId="3" borderId="1" xfId="3" applyNumberFormat="1" applyFont="1" applyBorder="1" applyAlignment="1" applyProtection="1">
      <alignment horizontal="right" vertical="center" wrapText="1"/>
    </xf>
    <xf numFmtId="164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8" fontId="1" fillId="3" borderId="1" xfId="3" applyNumberFormat="1" applyBorder="1" applyAlignment="1" applyProtection="1">
      <alignment horizontal="center" vertical="center" wrapText="1"/>
    </xf>
    <xf numFmtId="168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  <xf numFmtId="166" fontId="1" fillId="5" borderId="1" xfId="3" applyNumberFormat="1" applyFill="1" applyBorder="1" applyAlignment="1">
      <alignment horizontal="right" vertical="center"/>
    </xf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Normal="100" zoomScaleSheetLayoutView="100" workbookViewId="0">
      <selection activeCell="U11" sqref="U11"/>
    </sheetView>
  </sheetViews>
  <sheetFormatPr defaultRowHeight="15" x14ac:dyDescent="0.25"/>
  <cols>
    <col min="1" max="1" width="14.28515625" customWidth="1"/>
    <col min="2" max="2" width="9.5703125" customWidth="1"/>
    <col min="3" max="3" width="9.28515625" customWidth="1"/>
    <col min="4" max="4" width="9.85546875" customWidth="1"/>
    <col min="5" max="5" width="11.5703125" customWidth="1"/>
    <col min="6" max="7" width="8.28515625" customWidth="1"/>
    <col min="8" max="8" width="7.28515625" customWidth="1"/>
    <col min="9" max="9" width="9.140625" customWidth="1"/>
    <col min="10" max="10" width="8.140625" customWidth="1"/>
    <col min="11" max="11" width="9.140625" bestFit="1" customWidth="1"/>
    <col min="12" max="12" width="8.7109375" customWidth="1"/>
    <col min="13" max="13" width="7.28515625" customWidth="1"/>
    <col min="14" max="14" width="7.140625" customWidth="1"/>
    <col min="15" max="15" width="8.5703125" customWidth="1"/>
    <col min="16" max="16" width="8.7109375" customWidth="1"/>
    <col min="17" max="17" width="7" customWidth="1"/>
  </cols>
  <sheetData>
    <row r="1" spans="1:17" ht="24" customHeight="1" x14ac:dyDescent="0.25">
      <c r="A1" s="17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24.75" customHeight="1" x14ac:dyDescent="0.25">
      <c r="A2" s="18" t="s">
        <v>23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24.75" customHeight="1" x14ac:dyDescent="0.25">
      <c r="A3" s="20" t="s">
        <v>22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22.15" customHeight="1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14" t="s">
        <v>3</v>
      </c>
      <c r="H4" s="14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14" t="s">
        <v>7</v>
      </c>
      <c r="Q4" s="14" t="s">
        <v>8</v>
      </c>
    </row>
    <row r="5" spans="1:17" ht="119.25" customHeight="1" x14ac:dyDescent="0.25">
      <c r="A5" s="20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5"/>
      <c r="H5" s="15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15"/>
      <c r="Q5" s="15"/>
    </row>
    <row r="6" spans="1:17" ht="21" customHeight="1" x14ac:dyDescent="0.25">
      <c r="A6" s="12">
        <v>44652</v>
      </c>
      <c r="B6" s="1">
        <v>2425</v>
      </c>
      <c r="C6" s="1">
        <v>9257.2000000000007</v>
      </c>
      <c r="D6" s="1">
        <v>6238.817</v>
      </c>
      <c r="E6" s="1">
        <v>318463</v>
      </c>
      <c r="F6" s="1">
        <v>857.62163499999997</v>
      </c>
      <c r="G6" s="1">
        <v>1160.4199620000002</v>
      </c>
      <c r="H6" s="1">
        <f t="shared" ref="H6:H17" si="0">F6/G6*100</f>
        <v>73.90614286933473</v>
      </c>
      <c r="I6" s="2">
        <v>2546.3090000000002</v>
      </c>
      <c r="J6" s="2">
        <v>4.6389999999999993</v>
      </c>
      <c r="K6" s="2">
        <v>2550.9480000000003</v>
      </c>
      <c r="L6" s="2">
        <v>57.767665387000008</v>
      </c>
      <c r="M6" s="2">
        <v>7.0496353389999991</v>
      </c>
      <c r="N6" s="3">
        <v>1.3490019000000001E-2</v>
      </c>
      <c r="O6" s="2">
        <f>SUM(L6:N6)</f>
        <v>64.830790745000016</v>
      </c>
      <c r="P6" s="2">
        <v>79.790403250000011</v>
      </c>
      <c r="Q6" s="2">
        <f t="shared" ref="Q6:Q17" si="1">O6/P6*100</f>
        <v>81.251363703316045</v>
      </c>
    </row>
    <row r="7" spans="1:17" ht="21" customHeight="1" x14ac:dyDescent="0.25">
      <c r="A7" s="13">
        <v>44682</v>
      </c>
      <c r="B7" s="4">
        <v>2564</v>
      </c>
      <c r="C7" s="4">
        <v>9753.7899999999954</v>
      </c>
      <c r="D7" s="4">
        <v>6566.3239999999987</v>
      </c>
      <c r="E7" s="4">
        <v>345300</v>
      </c>
      <c r="F7" s="4">
        <v>926.46110399999998</v>
      </c>
      <c r="G7" s="4">
        <v>1221.336264</v>
      </c>
      <c r="H7" s="5">
        <f t="shared" si="0"/>
        <v>75.856349418934471</v>
      </c>
      <c r="I7" s="5">
        <v>2232.3240000000001</v>
      </c>
      <c r="J7" s="5">
        <v>4.0529999999999999</v>
      </c>
      <c r="K7" s="5">
        <v>2236.377</v>
      </c>
      <c r="L7" s="5">
        <v>62.532544856999998</v>
      </c>
      <c r="M7" s="5">
        <v>6.2554892449999997</v>
      </c>
      <c r="N7" s="6">
        <v>1.1981301999999999E-2</v>
      </c>
      <c r="O7" s="5">
        <f t="shared" ref="O7:O17" si="2">SUM(L7:N7)</f>
        <v>68.800015403999993</v>
      </c>
      <c r="P7" s="5">
        <v>85.919184166000008</v>
      </c>
      <c r="Q7" s="5">
        <f t="shared" si="1"/>
        <v>80.07526616066913</v>
      </c>
    </row>
    <row r="8" spans="1:17" ht="21" customHeight="1" x14ac:dyDescent="0.25">
      <c r="A8" s="12">
        <v>44713</v>
      </c>
      <c r="B8" s="1">
        <v>2504</v>
      </c>
      <c r="C8" s="1">
        <v>9605.7000000000098</v>
      </c>
      <c r="D8" s="1">
        <v>6463.942</v>
      </c>
      <c r="E8" s="1">
        <v>350954</v>
      </c>
      <c r="F8" s="1">
        <v>944.41330600000003</v>
      </c>
      <c r="G8" s="1">
        <v>1202.2932120000003</v>
      </c>
      <c r="H8" s="2">
        <f t="shared" si="0"/>
        <v>78.550997092379816</v>
      </c>
      <c r="I8" s="2">
        <v>1269.568</v>
      </c>
      <c r="J8" s="2">
        <v>2.68</v>
      </c>
      <c r="K8" s="2">
        <v>1272.248</v>
      </c>
      <c r="L8" s="2">
        <v>34.837980963000007</v>
      </c>
      <c r="M8" s="2">
        <v>3.5638247710000002</v>
      </c>
      <c r="N8" s="3">
        <v>8.0621570000000004E-3</v>
      </c>
      <c r="O8" s="2">
        <f t="shared" si="2"/>
        <v>38.409867891000005</v>
      </c>
      <c r="P8" s="2">
        <v>48.220290899999995</v>
      </c>
      <c r="Q8" s="2">
        <f t="shared" si="1"/>
        <v>79.65498999301974</v>
      </c>
    </row>
    <row r="9" spans="1:17" ht="21" customHeight="1" x14ac:dyDescent="0.25">
      <c r="A9" s="13">
        <v>44743</v>
      </c>
      <c r="B9" s="4">
        <v>2636</v>
      </c>
      <c r="C9" s="4">
        <v>10078.43</v>
      </c>
      <c r="D9" s="4">
        <v>6843.7219999999998</v>
      </c>
      <c r="E9" s="4">
        <v>352377</v>
      </c>
      <c r="F9" s="4">
        <v>949.024947</v>
      </c>
      <c r="G9" s="4">
        <v>1272.932292</v>
      </c>
      <c r="H9" s="5">
        <f t="shared" si="0"/>
        <v>74.554236149427496</v>
      </c>
      <c r="I9" s="5">
        <v>2387.9659999999999</v>
      </c>
      <c r="J9" s="5">
        <v>3.2060000000000004</v>
      </c>
      <c r="K9" s="5">
        <v>2391.172</v>
      </c>
      <c r="L9" s="5">
        <v>79.240576478999998</v>
      </c>
      <c r="M9" s="5">
        <v>6.4078352823000007</v>
      </c>
      <c r="N9" s="6">
        <v>8.6105120000000007E-3</v>
      </c>
      <c r="O9" s="5">
        <f t="shared" si="2"/>
        <v>85.657022273300001</v>
      </c>
      <c r="P9" s="5">
        <v>126.90104600000001</v>
      </c>
      <c r="Q9" s="5">
        <f t="shared" si="1"/>
        <v>67.499067165529908</v>
      </c>
    </row>
    <row r="10" spans="1:17" ht="21" customHeight="1" x14ac:dyDescent="0.25">
      <c r="A10" s="12">
        <v>44774</v>
      </c>
      <c r="B10" s="1">
        <v>2600</v>
      </c>
      <c r="C10" s="1">
        <v>10067.120000000001</v>
      </c>
      <c r="D10" s="1">
        <v>6777.55</v>
      </c>
      <c r="E10" s="1">
        <v>314328</v>
      </c>
      <c r="F10" s="1">
        <v>913.57867699999997</v>
      </c>
      <c r="G10" s="1">
        <v>1260.6242999999999</v>
      </c>
      <c r="H10" s="2">
        <f t="shared" si="0"/>
        <v>72.470336879909425</v>
      </c>
      <c r="I10" s="2">
        <v>2609.8000000000002</v>
      </c>
      <c r="J10" s="2">
        <v>1.8450000000000002</v>
      </c>
      <c r="K10" s="2">
        <v>2611.645</v>
      </c>
      <c r="L10" s="2">
        <v>75.364208378000015</v>
      </c>
      <c r="M10" s="2">
        <v>7.0185576447000004</v>
      </c>
      <c r="N10" s="3">
        <v>5.2466850000000001E-3</v>
      </c>
      <c r="O10" s="2">
        <f t="shared" si="2"/>
        <v>82.388012707700014</v>
      </c>
      <c r="P10" s="2">
        <v>124.72155770000001</v>
      </c>
      <c r="Q10" s="2">
        <f t="shared" si="1"/>
        <v>66.057555908556466</v>
      </c>
    </row>
    <row r="11" spans="1:17" ht="21" customHeight="1" x14ac:dyDescent="0.25">
      <c r="A11" s="13">
        <v>44805</v>
      </c>
      <c r="B11" s="4">
        <v>2492</v>
      </c>
      <c r="C11" s="4">
        <v>9672.25</v>
      </c>
      <c r="D11" s="4">
        <v>6526.15</v>
      </c>
      <c r="E11" s="4">
        <v>305402</v>
      </c>
      <c r="F11" s="4">
        <v>828.31647799999996</v>
      </c>
      <c r="G11" s="4">
        <v>1213.8638999999998</v>
      </c>
      <c r="H11" s="5">
        <f t="shared" si="0"/>
        <v>68.238002464691476</v>
      </c>
      <c r="I11" s="5">
        <v>2470.634</v>
      </c>
      <c r="J11" s="5">
        <v>2.9899999999999993</v>
      </c>
      <c r="K11" s="5">
        <v>2473.6239999999998</v>
      </c>
      <c r="L11" s="5">
        <v>67.953660158999995</v>
      </c>
      <c r="M11" s="5">
        <v>6.7771784979999996</v>
      </c>
      <c r="N11" s="6">
        <v>8.7208400000000005E-3</v>
      </c>
      <c r="O11" s="5">
        <f t="shared" si="2"/>
        <v>74.739559496999988</v>
      </c>
      <c r="P11" s="5">
        <v>121.01309739999999</v>
      </c>
      <c r="Q11" s="5">
        <f t="shared" si="1"/>
        <v>61.761545735792389</v>
      </c>
    </row>
    <row r="12" spans="1:17" ht="21" customHeight="1" x14ac:dyDescent="0.25">
      <c r="A12" s="12">
        <v>44835</v>
      </c>
      <c r="B12" s="1">
        <v>2475</v>
      </c>
      <c r="C12" s="1">
        <v>9549.7498999999989</v>
      </c>
      <c r="D12" s="1">
        <v>6450.8229999999994</v>
      </c>
      <c r="E12" s="1">
        <v>319781</v>
      </c>
      <c r="F12" s="1">
        <v>864.88975400000004</v>
      </c>
      <c r="G12" s="1">
        <v>1199.8530779999999</v>
      </c>
      <c r="H12" s="2">
        <f t="shared" si="0"/>
        <v>72.082971645300063</v>
      </c>
      <c r="I12" s="2">
        <v>2319.6831000000006</v>
      </c>
      <c r="J12" s="2">
        <v>34.546000000000006</v>
      </c>
      <c r="K12" s="2">
        <v>2354.2291000000005</v>
      </c>
      <c r="L12" s="2">
        <v>71.400923501999998</v>
      </c>
      <c r="M12" s="2">
        <v>6.2625481582000004</v>
      </c>
      <c r="N12" s="3">
        <v>8.8167355000000003E-2</v>
      </c>
      <c r="O12" s="2">
        <f t="shared" si="2"/>
        <v>77.751639015199999</v>
      </c>
      <c r="P12" s="2">
        <v>117.3705961</v>
      </c>
      <c r="Q12" s="2">
        <f t="shared" si="1"/>
        <v>66.244563458598634</v>
      </c>
    </row>
    <row r="13" spans="1:17" ht="21" customHeight="1" x14ac:dyDescent="0.25">
      <c r="A13" s="13">
        <v>44866</v>
      </c>
      <c r="B13" s="4">
        <v>2554</v>
      </c>
      <c r="C13" s="4">
        <v>9893.39</v>
      </c>
      <c r="D13" s="4">
        <v>6592.1030000000001</v>
      </c>
      <c r="E13" s="4">
        <v>322177</v>
      </c>
      <c r="F13" s="4">
        <v>871.851809</v>
      </c>
      <c r="G13" s="4">
        <v>1226.1311580000001</v>
      </c>
      <c r="H13" s="5">
        <f t="shared" si="0"/>
        <v>71.105917447046878</v>
      </c>
      <c r="I13" s="5">
        <v>2170.6469000000002</v>
      </c>
      <c r="J13" s="5">
        <v>12.706</v>
      </c>
      <c r="K13" s="22">
        <v>2183.3529000000003</v>
      </c>
      <c r="L13" s="5">
        <v>78.093738835999986</v>
      </c>
      <c r="M13" s="5">
        <v>5.9341485112000001</v>
      </c>
      <c r="N13" s="6">
        <v>3.5205394000000001E-2</v>
      </c>
      <c r="O13" s="5">
        <f t="shared" si="2"/>
        <v>84.063092741199995</v>
      </c>
      <c r="P13" s="5">
        <v>121.28216855000001</v>
      </c>
      <c r="Q13" s="5">
        <f t="shared" si="1"/>
        <v>69.311996764424606</v>
      </c>
    </row>
    <row r="14" spans="1:17" ht="21" customHeight="1" x14ac:dyDescent="0.25">
      <c r="A14" s="12">
        <v>44896</v>
      </c>
      <c r="B14" s="1">
        <v>2732</v>
      </c>
      <c r="C14" s="1">
        <v>10655.56</v>
      </c>
      <c r="D14" s="1">
        <v>7082.4839999999995</v>
      </c>
      <c r="E14" s="1">
        <v>355424</v>
      </c>
      <c r="F14" s="1">
        <v>971.85686799999996</v>
      </c>
      <c r="G14" s="1">
        <v>1317.342024</v>
      </c>
      <c r="H14" s="2">
        <f t="shared" si="0"/>
        <v>73.774073118007493</v>
      </c>
      <c r="I14" s="2">
        <v>2120.848</v>
      </c>
      <c r="J14" s="2">
        <v>1.2249999999999999</v>
      </c>
      <c r="K14" s="2">
        <v>2122.0729999999999</v>
      </c>
      <c r="L14" s="2">
        <v>90.768061422000002</v>
      </c>
      <c r="M14" s="2">
        <v>5.917834945000001</v>
      </c>
      <c r="N14" s="3">
        <v>3.448011E-3</v>
      </c>
      <c r="O14" s="2">
        <f t="shared" si="2"/>
        <v>96.689344378000001</v>
      </c>
      <c r="P14" s="2">
        <v>137.46206206299999</v>
      </c>
      <c r="Q14" s="2">
        <f t="shared" si="1"/>
        <v>70.338930557935669</v>
      </c>
    </row>
    <row r="15" spans="1:17" ht="21" customHeight="1" x14ac:dyDescent="0.25">
      <c r="A15" s="13">
        <v>44927</v>
      </c>
      <c r="B15" s="4">
        <v>2729</v>
      </c>
      <c r="C15" s="4">
        <v>10703.54849999999</v>
      </c>
      <c r="D15" s="4">
        <v>7083.34</v>
      </c>
      <c r="E15" s="4">
        <v>398219</v>
      </c>
      <c r="F15" s="4">
        <v>1079.6113019999998</v>
      </c>
      <c r="G15" s="4">
        <v>1317.5012400000001</v>
      </c>
      <c r="H15" s="5">
        <f t="shared" si="0"/>
        <v>81.943854716979232</v>
      </c>
      <c r="I15" s="5">
        <v>2014.18</v>
      </c>
      <c r="J15" s="5">
        <v>2.4990000000000001</v>
      </c>
      <c r="K15" s="22">
        <v>2016.6790000000001</v>
      </c>
      <c r="L15" s="5">
        <v>101.838860569</v>
      </c>
      <c r="M15" s="5">
        <v>5.6345997390000004</v>
      </c>
      <c r="N15" s="6">
        <v>7.0479269999999998E-3</v>
      </c>
      <c r="O15" s="5">
        <f t="shared" si="2"/>
        <v>107.480508235</v>
      </c>
      <c r="P15" s="5">
        <v>136.74430333000004</v>
      </c>
      <c r="Q15" s="5">
        <f t="shared" si="1"/>
        <v>78.599623982595617</v>
      </c>
    </row>
    <row r="16" spans="1:17" ht="21" customHeight="1" x14ac:dyDescent="0.25">
      <c r="A16" s="12">
        <v>44958</v>
      </c>
      <c r="B16" s="1">
        <v>2481</v>
      </c>
      <c r="C16" s="1">
        <v>9685.5355999999883</v>
      </c>
      <c r="D16" s="1">
        <v>6438.5929999999998</v>
      </c>
      <c r="E16" s="1">
        <v>353788</v>
      </c>
      <c r="F16" s="1">
        <v>960.92720299999996</v>
      </c>
      <c r="G16" s="1">
        <v>1197.5782979999999</v>
      </c>
      <c r="H16" s="2">
        <f t="shared" si="0"/>
        <v>80.23919643540502</v>
      </c>
      <c r="I16" s="2">
        <v>1792.181</v>
      </c>
      <c r="J16" s="2">
        <v>3.3730000000000002</v>
      </c>
      <c r="K16" s="2">
        <v>1795.5540000000001</v>
      </c>
      <c r="L16" s="2">
        <v>86.661218208000008</v>
      </c>
      <c r="M16" s="2">
        <v>4.95448354</v>
      </c>
      <c r="N16" s="3">
        <v>9.287231E-3</v>
      </c>
      <c r="O16" s="2">
        <f t="shared" si="2"/>
        <v>91.624988979000008</v>
      </c>
      <c r="P16" s="2">
        <v>121.642479978</v>
      </c>
      <c r="Q16" s="2">
        <f t="shared" si="1"/>
        <v>75.323183969589508</v>
      </c>
    </row>
    <row r="17" spans="1:17" ht="21" customHeight="1" x14ac:dyDescent="0.25">
      <c r="A17" s="13">
        <v>44986</v>
      </c>
      <c r="B17" s="4">
        <v>2759</v>
      </c>
      <c r="C17" s="4">
        <v>10904.45</v>
      </c>
      <c r="D17" s="4">
        <v>6497.81</v>
      </c>
      <c r="E17" s="4">
        <v>370356</v>
      </c>
      <c r="F17" s="4">
        <v>930.29836</v>
      </c>
      <c r="G17" s="4">
        <v>1208.5930600000002</v>
      </c>
      <c r="H17" s="5">
        <f t="shared" si="0"/>
        <v>76.97366390636067</v>
      </c>
      <c r="I17" s="5">
        <v>2311.62</v>
      </c>
      <c r="J17" s="5">
        <v>2.5569999999999999</v>
      </c>
      <c r="K17" s="5">
        <v>2314.1769999999997</v>
      </c>
      <c r="L17" s="5">
        <v>95.511679889999996</v>
      </c>
      <c r="M17" s="5">
        <v>6.4413777799999998</v>
      </c>
      <c r="N17" s="6">
        <v>7.3401199999999995E-3</v>
      </c>
      <c r="O17" s="5">
        <f t="shared" si="2"/>
        <v>101.96039778999999</v>
      </c>
      <c r="P17" s="5">
        <v>141.88442888</v>
      </c>
      <c r="Q17" s="5">
        <f t="shared" si="1"/>
        <v>71.861583822023121</v>
      </c>
    </row>
    <row r="18" spans="1:17" ht="21" customHeight="1" x14ac:dyDescent="0.25">
      <c r="A18" s="7" t="s">
        <v>21</v>
      </c>
      <c r="B18" s="8">
        <f>SUM(B6:B17)</f>
        <v>30951</v>
      </c>
      <c r="C18" s="8">
        <f t="shared" ref="C18:F18" si="3">SUM(C6:C17)</f>
        <v>119826.72399999999</v>
      </c>
      <c r="D18" s="8">
        <f t="shared" si="3"/>
        <v>79561.657999999996</v>
      </c>
      <c r="E18" s="8">
        <f t="shared" si="3"/>
        <v>4106569</v>
      </c>
      <c r="F18" s="8">
        <f t="shared" si="3"/>
        <v>11098.851442999998</v>
      </c>
      <c r="G18" s="8">
        <f>SUM(G6:G17)</f>
        <v>14798.468788000002</v>
      </c>
      <c r="H18" s="9">
        <f t="shared" ref="H18" si="4">F18/G18*100</f>
        <v>74.999998999896505</v>
      </c>
      <c r="I18" s="9">
        <f t="shared" ref="I18:P18" si="5">SUM(I6:I17)</f>
        <v>26245.760000000002</v>
      </c>
      <c r="J18" s="9">
        <f t="shared" si="5"/>
        <v>76.319000000000003</v>
      </c>
      <c r="K18" s="9">
        <f t="shared" si="5"/>
        <v>26322.079000000002</v>
      </c>
      <c r="L18" s="9">
        <f t="shared" si="5"/>
        <v>901.97111864999988</v>
      </c>
      <c r="M18" s="9">
        <f t="shared" si="5"/>
        <v>72.217513453400002</v>
      </c>
      <c r="N18" s="10">
        <f t="shared" si="5"/>
        <v>0.20660755300000003</v>
      </c>
      <c r="O18" s="9">
        <f t="shared" si="5"/>
        <v>974.39523965640001</v>
      </c>
      <c r="P18" s="9">
        <f t="shared" si="5"/>
        <v>1362.9516183170001</v>
      </c>
      <c r="Q18" s="9">
        <f t="shared" ref="Q18" si="6">O18/P18*100</f>
        <v>71.49155014464877</v>
      </c>
    </row>
    <row r="19" spans="1:17" ht="21" customHeight="1" x14ac:dyDescent="0.25">
      <c r="A19" s="16" t="s">
        <v>19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2022-04-25T06:57:26Z</cp:lastPrinted>
  <dcterms:created xsi:type="dcterms:W3CDTF">2020-06-03T10:33:04Z</dcterms:created>
  <dcterms:modified xsi:type="dcterms:W3CDTF">2023-09-19T10:28:28Z</dcterms:modified>
</cp:coreProperties>
</file>