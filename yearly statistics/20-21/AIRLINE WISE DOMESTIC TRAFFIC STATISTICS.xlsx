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eep Verma\Desktop\Nitin Soni, JSO\"/>
    </mc:Choice>
  </mc:AlternateContent>
  <bookViews>
    <workbookView showHorizontalScroll="0" showVerticalScroll="0" showSheetTabs="0" xWindow="0" yWindow="0" windowWidth="24000" windowHeight="9435"/>
  </bookViews>
  <sheets>
    <sheet name="Airline wise domestic traffic" sheetId="1" r:id="rId1"/>
  </sheets>
  <definedNames>
    <definedName name="_xlnm.Print_Area" localSheetId="0">'Airline wise domestic traffic'!$A$1:$Q$21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1" l="1"/>
  <c r="O20" i="1"/>
  <c r="N20" i="1"/>
  <c r="M20" i="1"/>
  <c r="L20" i="1"/>
  <c r="K20" i="1"/>
  <c r="I20" i="1"/>
  <c r="G20" i="1"/>
  <c r="H20" i="1" s="1"/>
  <c r="F20" i="1"/>
  <c r="E20" i="1"/>
  <c r="D20" i="1"/>
  <c r="C20" i="1"/>
  <c r="B20" i="1"/>
  <c r="J20" i="1"/>
  <c r="Q20" i="1" l="1"/>
  <c r="H6" i="1" l="1"/>
  <c r="Q6" i="1"/>
  <c r="Q7" i="1" l="1"/>
  <c r="Q8" i="1"/>
  <c r="Q9" i="1"/>
  <c r="Q10" i="1"/>
  <c r="Q11" i="1"/>
  <c r="Q12" i="1"/>
  <c r="Q13" i="1"/>
  <c r="Q14" i="1"/>
  <c r="Q15" i="1"/>
  <c r="Q16" i="1"/>
  <c r="Q17" i="1"/>
  <c r="Q18" i="1"/>
  <c r="Q19" i="1"/>
  <c r="H7" i="1"/>
  <c r="H8" i="1"/>
  <c r="H9" i="1"/>
  <c r="H10" i="1"/>
  <c r="H12" i="1"/>
  <c r="H13" i="1"/>
  <c r="H14" i="1"/>
  <c r="H15" i="1"/>
  <c r="H16" i="1"/>
  <c r="H17" i="1"/>
  <c r="H18" i="1"/>
  <c r="H19" i="1"/>
</calcChain>
</file>

<file path=xl/sharedStrings.xml><?xml version="1.0" encoding="utf-8"?>
<sst xmlns="http://schemas.openxmlformats.org/spreadsheetml/2006/main" count="40" uniqueCount="38">
  <si>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</si>
  <si>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</si>
  <si>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</si>
  <si>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</si>
  <si>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</si>
  <si>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</si>
  <si>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</si>
  <si>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</si>
  <si>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</si>
  <si>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</si>
  <si>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</si>
  <si>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</si>
  <si>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</si>
  <si>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</si>
  <si>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</si>
  <si>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</si>
  <si>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</si>
  <si>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</si>
  <si>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</si>
  <si>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AIRLINE</t>
  </si>
  <si>
    <t>AIR ASIA</t>
  </si>
  <si>
    <t>AIR INDIA</t>
  </si>
  <si>
    <t>AIR INDIA EXPRESS</t>
  </si>
  <si>
    <t>ALLIANCE AIR</t>
  </si>
  <si>
    <t>BLUEDART</t>
  </si>
  <si>
    <t>GO AIR</t>
  </si>
  <si>
    <t>INDIGO</t>
  </si>
  <si>
    <t>SPICEJET</t>
  </si>
  <si>
    <t>TRUJET</t>
  </si>
  <si>
    <t>VISTARA</t>
  </si>
  <si>
    <t>YEAR TOTAL</t>
  </si>
  <si>
    <t xml:space="preserve">तालिका  1.01 ( अनुसूचित भारतीय एयरलाइन्स) </t>
  </si>
  <si>
    <t>Table 1.01 ( SCHEDULED INDIAN AIRLINES)</t>
  </si>
  <si>
    <t>PAWAN HANS</t>
  </si>
  <si>
    <t>STAR AIR</t>
  </si>
  <si>
    <t>AIRLINE-WISE TRAFFIC AND OPERATING STATISTICS OF SCHEDULED INDIAN AIRLINES ON SCHEDULED DOMESTIC SERVICES DURING 2020-21</t>
  </si>
  <si>
    <t>AIR TAXI</t>
  </si>
  <si>
    <t>FLYBIG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</si>
</sst>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43" fontId="2" fillId="0" borderId="0" applyFont="0" applyFill="0" applyBorder="0" applyAlignment="0" applyProtection="0"/>
    <xf numFmtId="0" fontId="2" fillId="5" borderId="0" applyNumberFormat="0" applyBorder="0" applyAlignment="0" applyProtection="0"/>
  </cellStyleXfs>
  <cellXfs count="28">
    <xf numFmtId="0" fontId="0" fillId="0" borderId="0" xfId="0"/>
    <xf numFmtId="0" fontId="0" fillId="0" borderId="0" xfId="0" applyFont="1"/>
    <xf numFmtId="0" fontId="2" fillId="4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" fillId="4" borderId="1" xfId="3" applyNumberFormat="1" applyFill="1" applyBorder="1" applyAlignment="1">
      <alignment horizontal="right" vertical="center"/>
    </xf>
    <xf numFmtId="165" fontId="0" fillId="0" borderId="1" xfId="3" applyNumberFormat="1" applyFont="1" applyBorder="1" applyAlignment="1">
      <alignment horizontal="right" vertical="center"/>
    </xf>
    <xf numFmtId="164" fontId="2" fillId="4" borderId="1" xfId="3" applyNumberFormat="1" applyFill="1" applyBorder="1" applyAlignment="1">
      <alignment horizontal="right" vertical="center"/>
    </xf>
    <xf numFmtId="164" fontId="0" fillId="0" borderId="1" xfId="3" applyNumberFormat="1" applyFont="1" applyBorder="1" applyAlignment="1">
      <alignment horizontal="right" vertical="center"/>
    </xf>
    <xf numFmtId="43" fontId="2" fillId="4" borderId="1" xfId="3" applyNumberFormat="1" applyFill="1" applyBorder="1" applyAlignment="1">
      <alignment horizontal="right" vertical="center"/>
    </xf>
    <xf numFmtId="165" fontId="0" fillId="0" borderId="1" xfId="3" applyNumberFormat="1" applyFont="1" applyBorder="1" applyAlignment="1">
      <alignment horizontal="center" vertical="center"/>
    </xf>
    <xf numFmtId="0" fontId="4" fillId="3" borderId="1" xfId="1" applyFont="1" applyBorder="1" applyAlignment="1" applyProtection="1">
      <alignment horizontal="center" vertical="center" textRotation="90" wrapText="1"/>
    </xf>
    <xf numFmtId="166" fontId="2" fillId="6" borderId="1" xfId="4" applyNumberFormat="1" applyFill="1" applyBorder="1" applyAlignment="1">
      <alignment horizontal="center" vertical="center"/>
    </xf>
    <xf numFmtId="165" fontId="2" fillId="6" borderId="1" xfId="3" applyNumberFormat="1" applyFill="1" applyBorder="1" applyAlignment="1">
      <alignment horizontal="right" vertical="center"/>
    </xf>
    <xf numFmtId="166" fontId="2" fillId="0" borderId="1" xfId="4" applyNumberFormat="1" applyFill="1" applyBorder="1" applyAlignment="1">
      <alignment horizontal="center" vertical="center"/>
    </xf>
    <xf numFmtId="165" fontId="2" fillId="0" borderId="1" xfId="3" applyNumberFormat="1" applyFill="1" applyBorder="1" applyAlignment="1">
      <alignment horizontal="right" vertical="center"/>
    </xf>
    <xf numFmtId="43" fontId="0" fillId="0" borderId="1" xfId="3" applyNumberFormat="1" applyFont="1" applyBorder="1" applyAlignment="1">
      <alignment horizontal="right" vertical="center"/>
    </xf>
    <xf numFmtId="0" fontId="5" fillId="6" borderId="1" xfId="2" applyFont="1" applyFill="1" applyBorder="1" applyAlignment="1">
      <alignment horizontal="center" vertical="center"/>
    </xf>
    <xf numFmtId="164" fontId="5" fillId="6" borderId="1" xfId="3" applyNumberFormat="1" applyFont="1" applyFill="1" applyBorder="1" applyAlignment="1">
      <alignment horizontal="right" vertical="center"/>
    </xf>
    <xf numFmtId="165" fontId="5" fillId="6" borderId="1" xfId="3" applyNumberFormat="1" applyFont="1" applyFill="1" applyBorder="1" applyAlignment="1">
      <alignment horizontal="right" vertical="center"/>
    </xf>
    <xf numFmtId="166" fontId="5" fillId="6" borderId="1" xfId="4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4" fillId="3" borderId="1" xfId="1" applyFont="1" applyBorder="1" applyAlignment="1" applyProtection="1">
      <alignment horizontal="center" vertical="center" textRotation="90" wrapText="1"/>
    </xf>
    <xf numFmtId="0" fontId="4" fillId="3" borderId="1" xfId="1" applyFont="1" applyBorder="1" applyAlignment="1">
      <alignment textRotation="90"/>
    </xf>
    <xf numFmtId="0" fontId="4" fillId="4" borderId="1" xfId="2" applyFont="1" applyBorder="1" applyAlignment="1">
      <alignment horizontal="center" vertical="center" wrapText="1"/>
    </xf>
    <xf numFmtId="0" fontId="4" fillId="4" borderId="1" xfId="2" quotePrefix="1" applyFont="1" applyBorder="1" applyAlignment="1" applyProtection="1">
      <alignment horizontal="center" vertical="center" wrapText="1"/>
    </xf>
    <xf numFmtId="0" fontId="4" fillId="4" borderId="1" xfId="2" applyFont="1" applyBorder="1"/>
    <xf numFmtId="0" fontId="4" fillId="3" borderId="1" xfId="1" applyFont="1" applyBorder="1" applyAlignment="1" applyProtection="1">
      <alignment horizontal="center" vertical="center" wrapText="1"/>
    </xf>
    <xf numFmtId="0" fontId="4" fillId="3" borderId="1" xfId="1" applyFont="1" applyBorder="1"/>
  </cellXfs>
  <cellStyles count="5">
    <cellStyle name="20% - Accent2" xfId="4" builtinId="34"/>
    <cellStyle name="40% - Accent2" xfId="2" builtinId="35"/>
    <cellStyle name="Accent2" xfId="1" builtinId="33"/>
    <cellStyle name="Comma" xfId="3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Q21"/>
  <sheetViews>
    <sheetView tabSelected="1" zoomScale="115" zoomScaleNormal="115" zoomScaleSheetLayoutView="100" workbookViewId="0">
      <selection activeCell="K5" sqref="K5"/>
    </sheetView>
  </sheetViews>
  <sheetFormatPr defaultColWidth="9.140625" defaultRowHeight="15" x14ac:dyDescent="0.25"/>
  <cols>
    <col min="1" max="1" width="17" style="1" customWidth="1"/>
    <col min="2" max="2" width="10.7109375" style="1" customWidth="1"/>
    <col min="3" max="3" width="11" style="1" customWidth="1"/>
    <col min="4" max="4" width="9.28515625" style="1" customWidth="1"/>
    <col min="5" max="5" width="13.28515625" style="1" customWidth="1"/>
    <col min="6" max="6" width="12.140625" style="1" customWidth="1"/>
    <col min="7" max="7" width="13.140625" style="1" customWidth="1"/>
    <col min="8" max="8" width="6.42578125" style="1" customWidth="1"/>
    <col min="9" max="9" width="11.140625" style="1" customWidth="1"/>
    <col min="10" max="10" width="10.85546875" style="1" customWidth="1"/>
    <col min="11" max="11" width="11" style="1" customWidth="1"/>
    <col min="12" max="12" width="12.140625" style="1" customWidth="1"/>
    <col min="13" max="13" width="11.7109375" style="1" customWidth="1"/>
    <col min="14" max="14" width="9.28515625" style="1" customWidth="1"/>
    <col min="15" max="16" width="11.85546875" style="1" customWidth="1"/>
    <col min="17" max="17" width="8.140625" style="1" customWidth="1"/>
    <col min="18" max="16384" width="9.140625" style="1"/>
  </cols>
  <sheetData>
    <row r="1" spans="1:17" ht="18.75" customHeight="1" x14ac:dyDescent="0.25">
      <c r="A1" s="23" t="s">
        <v>31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8.75" customHeight="1" x14ac:dyDescent="0.25">
      <c r="A2" s="24" t="s">
        <v>32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18.75" customHeight="1" x14ac:dyDescent="0.25">
      <c r="A3" s="26" t="s">
        <v>35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21" customHeight="1" x14ac:dyDescent="0.25">
      <c r="A4" s="26" t="s">
        <v>19</v>
      </c>
      <c r="B4" s="26" t="s">
        <v>0</v>
      </c>
      <c r="C4" s="26"/>
      <c r="D4" s="26"/>
      <c r="E4" s="26" t="s">
        <v>1</v>
      </c>
      <c r="F4" s="27"/>
      <c r="G4" s="21" t="s">
        <v>2</v>
      </c>
      <c r="H4" s="21" t="s">
        <v>3</v>
      </c>
      <c r="I4" s="26" t="s">
        <v>4</v>
      </c>
      <c r="J4" s="26"/>
      <c r="K4" s="26"/>
      <c r="L4" s="26" t="s">
        <v>5</v>
      </c>
      <c r="M4" s="26"/>
      <c r="N4" s="26"/>
      <c r="O4" s="26"/>
      <c r="P4" s="21" t="s">
        <v>6</v>
      </c>
      <c r="Q4" s="21" t="s">
        <v>7</v>
      </c>
    </row>
    <row r="5" spans="1:17" ht="139.5" customHeight="1" x14ac:dyDescent="0.25">
      <c r="A5" s="26"/>
      <c r="B5" s="10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22"/>
      <c r="H5" s="22"/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14</v>
      </c>
      <c r="O5" s="10" t="s">
        <v>15</v>
      </c>
      <c r="P5" s="22"/>
      <c r="Q5" s="22"/>
    </row>
    <row r="6" spans="1:17" ht="20.100000000000001" customHeight="1" x14ac:dyDescent="0.25">
      <c r="A6" s="2" t="s">
        <v>20</v>
      </c>
      <c r="B6" s="6">
        <v>31637</v>
      </c>
      <c r="C6" s="6">
        <v>61126.23333333333</v>
      </c>
      <c r="D6" s="6">
        <v>33057.282999999996</v>
      </c>
      <c r="E6" s="6">
        <v>3609627</v>
      </c>
      <c r="F6" s="6">
        <v>3871.6154750000001</v>
      </c>
      <c r="G6" s="4">
        <v>6036.9886499999993</v>
      </c>
      <c r="H6" s="11">
        <f>F6/G6*100</f>
        <v>64.131567896852033</v>
      </c>
      <c r="I6" s="4">
        <v>30439.908400000004</v>
      </c>
      <c r="J6" s="4">
        <v>1928.2542999999998</v>
      </c>
      <c r="K6" s="4">
        <v>32368.162700000004</v>
      </c>
      <c r="L6" s="4">
        <v>293.99177778400002</v>
      </c>
      <c r="M6" s="4">
        <v>37.991932478999999</v>
      </c>
      <c r="N6" s="4">
        <v>2.1420438342999999</v>
      </c>
      <c r="O6" s="4">
        <v>334.12575409730005</v>
      </c>
      <c r="P6" s="4">
        <v>692.02133684909984</v>
      </c>
      <c r="Q6" s="12">
        <f>O6/P6*100</f>
        <v>48.282579785564984</v>
      </c>
    </row>
    <row r="7" spans="1:17" ht="20.100000000000001" customHeight="1" x14ac:dyDescent="0.25">
      <c r="A7" s="3" t="s">
        <v>21</v>
      </c>
      <c r="B7" s="7">
        <v>46244</v>
      </c>
      <c r="C7" s="7">
        <v>90968.683333333334</v>
      </c>
      <c r="D7" s="7">
        <v>57086.677000000003</v>
      </c>
      <c r="E7" s="7">
        <v>4781615</v>
      </c>
      <c r="F7" s="5">
        <v>5176.7283369999996</v>
      </c>
      <c r="G7" s="5">
        <v>7889.9327330000006</v>
      </c>
      <c r="H7" s="13">
        <f t="shared" ref="H7:H19" si="0">F7/G7*100</f>
        <v>65.61181840433315</v>
      </c>
      <c r="I7" s="9">
        <v>35613.347900000001</v>
      </c>
      <c r="J7" s="9">
        <v>12.214000000000004</v>
      </c>
      <c r="K7" s="9">
        <v>35625.561900000001</v>
      </c>
      <c r="L7" s="5">
        <v>482.24094538599991</v>
      </c>
      <c r="M7" s="5">
        <v>46.288386454799998</v>
      </c>
      <c r="N7" s="5">
        <v>8.4000000000000012E-3</v>
      </c>
      <c r="O7" s="5">
        <v>528.53773184079989</v>
      </c>
      <c r="P7" s="5">
        <v>841.06701992000012</v>
      </c>
      <c r="Q7" s="14">
        <f t="shared" ref="Q7:Q19" si="1">O7/P7*100</f>
        <v>62.841333606336491</v>
      </c>
    </row>
    <row r="8" spans="1:17" ht="20.100000000000001" customHeight="1" x14ac:dyDescent="0.25">
      <c r="A8" s="2" t="s">
        <v>22</v>
      </c>
      <c r="B8" s="6">
        <v>451</v>
      </c>
      <c r="C8" s="6">
        <v>1183.0500000000002</v>
      </c>
      <c r="D8" s="6">
        <v>680.08318279569892</v>
      </c>
      <c r="E8" s="6">
        <v>22754</v>
      </c>
      <c r="F8" s="4">
        <v>38.400376999999999</v>
      </c>
      <c r="G8" s="4">
        <v>134.247908</v>
      </c>
      <c r="H8" s="11">
        <f t="shared" si="0"/>
        <v>28.604078508247593</v>
      </c>
      <c r="I8" s="4">
        <v>149.26499999999999</v>
      </c>
      <c r="J8" s="4">
        <v>0.105</v>
      </c>
      <c r="K8" s="4">
        <v>149.36999999999998</v>
      </c>
      <c r="L8" s="8">
        <v>3.7687963099999999</v>
      </c>
      <c r="M8" s="4">
        <v>0.26917106099999993</v>
      </c>
      <c r="N8" s="4">
        <v>2.0369999999999999E-4</v>
      </c>
      <c r="O8" s="8">
        <v>4.0381710709999998</v>
      </c>
      <c r="P8" s="8">
        <v>4.757215414</v>
      </c>
      <c r="Q8" s="12">
        <f t="shared" si="1"/>
        <v>84.885184284824987</v>
      </c>
    </row>
    <row r="9" spans="1:17" ht="20.100000000000001" customHeight="1" x14ac:dyDescent="0.25">
      <c r="A9" s="3" t="s">
        <v>36</v>
      </c>
      <c r="B9" s="7">
        <v>263</v>
      </c>
      <c r="C9" s="7">
        <v>298.40000000000003</v>
      </c>
      <c r="D9" s="7">
        <v>64.989400000000003</v>
      </c>
      <c r="E9" s="7">
        <v>183</v>
      </c>
      <c r="F9" s="15">
        <v>4.4838999999999997E-2</v>
      </c>
      <c r="G9" s="15">
        <v>0.19496800000000003</v>
      </c>
      <c r="H9" s="13">
        <f t="shared" si="0"/>
        <v>22.998133026958264</v>
      </c>
      <c r="I9" s="5">
        <v>0</v>
      </c>
      <c r="J9" s="5">
        <v>0</v>
      </c>
      <c r="K9" s="9">
        <v>0</v>
      </c>
      <c r="L9" s="5">
        <v>3.7339999999999999E-3</v>
      </c>
      <c r="M9" s="5">
        <v>0</v>
      </c>
      <c r="N9" s="5">
        <v>0</v>
      </c>
      <c r="O9" s="5">
        <v>3.7339999999999999E-3</v>
      </c>
      <c r="P9" s="5">
        <v>7.9936999999999994E-2</v>
      </c>
      <c r="Q9" s="14">
        <f t="shared" si="1"/>
        <v>4.6711785531105745</v>
      </c>
    </row>
    <row r="10" spans="1:17" ht="20.100000000000001" customHeight="1" x14ac:dyDescent="0.25">
      <c r="A10" s="2" t="s">
        <v>23</v>
      </c>
      <c r="B10" s="6">
        <v>15557</v>
      </c>
      <c r="C10" s="6">
        <v>29081</v>
      </c>
      <c r="D10" s="6">
        <v>12190</v>
      </c>
      <c r="E10" s="6">
        <v>705273</v>
      </c>
      <c r="F10" s="6">
        <v>282.64299999999997</v>
      </c>
      <c r="G10" s="4">
        <v>552.82899999999995</v>
      </c>
      <c r="H10" s="11">
        <f t="shared" si="0"/>
        <v>51.126659419097045</v>
      </c>
      <c r="I10" s="4">
        <v>355.36800000000005</v>
      </c>
      <c r="J10" s="4">
        <v>0</v>
      </c>
      <c r="K10" s="4">
        <v>355.36800000000005</v>
      </c>
      <c r="L10" s="4">
        <v>25.717599999999997</v>
      </c>
      <c r="M10" s="4">
        <v>0.13</v>
      </c>
      <c r="N10" s="4">
        <v>0</v>
      </c>
      <c r="O10" s="4">
        <v>25.8476</v>
      </c>
      <c r="P10" s="4">
        <v>51.180900000000001</v>
      </c>
      <c r="Q10" s="12">
        <f t="shared" si="1"/>
        <v>50.502433525006396</v>
      </c>
    </row>
    <row r="11" spans="1:17" ht="20.100000000000001" customHeight="1" x14ac:dyDescent="0.25">
      <c r="A11" s="3" t="s">
        <v>24</v>
      </c>
      <c r="B11" s="7">
        <v>5117</v>
      </c>
      <c r="C11" s="7">
        <v>6787.72</v>
      </c>
      <c r="D11" s="7">
        <v>5128</v>
      </c>
      <c r="E11" s="7">
        <v>0</v>
      </c>
      <c r="F11" s="7">
        <v>0</v>
      </c>
      <c r="G11" s="7">
        <v>0</v>
      </c>
      <c r="H11" s="13">
        <v>0</v>
      </c>
      <c r="I11" s="5">
        <v>113922.76299999998</v>
      </c>
      <c r="J11" s="5">
        <v>0</v>
      </c>
      <c r="K11" s="9">
        <v>113922.76299999998</v>
      </c>
      <c r="L11" s="5">
        <v>0</v>
      </c>
      <c r="M11" s="5">
        <v>118.18300000000001</v>
      </c>
      <c r="N11" s="5">
        <v>0</v>
      </c>
      <c r="O11" s="5">
        <v>118.18300000000001</v>
      </c>
      <c r="P11" s="5">
        <v>158.209</v>
      </c>
      <c r="Q11" s="14">
        <f t="shared" si="1"/>
        <v>74.700554330031792</v>
      </c>
    </row>
    <row r="12" spans="1:17" ht="20.100000000000001" customHeight="1" x14ac:dyDescent="0.25">
      <c r="A12" s="2" t="s">
        <v>37</v>
      </c>
      <c r="B12" s="6">
        <v>226</v>
      </c>
      <c r="C12" s="6">
        <v>289</v>
      </c>
      <c r="D12" s="6">
        <v>512.67999999999995</v>
      </c>
      <c r="E12" s="6">
        <v>7238</v>
      </c>
      <c r="F12" s="4">
        <v>3.4140699999999997</v>
      </c>
      <c r="G12" s="4">
        <v>7.7314999999999996</v>
      </c>
      <c r="H12" s="11">
        <f t="shared" si="0"/>
        <v>44.15792537023863</v>
      </c>
      <c r="I12" s="4">
        <v>0</v>
      </c>
      <c r="J12" s="4">
        <v>0</v>
      </c>
      <c r="K12" s="4">
        <v>0</v>
      </c>
      <c r="L12" s="4">
        <v>0.25605</v>
      </c>
      <c r="M12" s="4">
        <v>0</v>
      </c>
      <c r="N12" s="4">
        <v>0</v>
      </c>
      <c r="O12" s="4">
        <v>0.25605</v>
      </c>
      <c r="P12" s="4">
        <v>2.3614799999999998</v>
      </c>
      <c r="Q12" s="12">
        <f t="shared" si="1"/>
        <v>10.842776563849791</v>
      </c>
    </row>
    <row r="13" spans="1:17" ht="20.100000000000001" customHeight="1" x14ac:dyDescent="0.25">
      <c r="A13" s="3" t="s">
        <v>25</v>
      </c>
      <c r="B13" s="7">
        <v>32805</v>
      </c>
      <c r="C13" s="7">
        <v>62165.479999999996</v>
      </c>
      <c r="D13" s="7">
        <v>32481.756999999998</v>
      </c>
      <c r="E13" s="7">
        <v>4018264</v>
      </c>
      <c r="F13" s="7">
        <v>4005.5889069999994</v>
      </c>
      <c r="G13" s="5">
        <v>6013.3192690000005</v>
      </c>
      <c r="H13" s="13">
        <f t="shared" si="0"/>
        <v>66.611944714954717</v>
      </c>
      <c r="I13" s="5">
        <v>34549.828420000005</v>
      </c>
      <c r="J13" s="5">
        <v>0</v>
      </c>
      <c r="K13" s="9">
        <v>34549.828420000005</v>
      </c>
      <c r="L13" s="5">
        <v>360.50299163</v>
      </c>
      <c r="M13" s="5">
        <v>40.04822415568001</v>
      </c>
      <c r="N13" s="5">
        <v>0</v>
      </c>
      <c r="O13" s="5">
        <v>400.55121578567997</v>
      </c>
      <c r="P13" s="5">
        <v>615.5344451499999</v>
      </c>
      <c r="Q13" s="14">
        <f t="shared" si="1"/>
        <v>65.073728845193941</v>
      </c>
    </row>
    <row r="14" spans="1:17" ht="20.100000000000001" customHeight="1" x14ac:dyDescent="0.25">
      <c r="A14" s="2" t="s">
        <v>26</v>
      </c>
      <c r="B14" s="6">
        <v>249208</v>
      </c>
      <c r="C14" s="6">
        <v>440751.03</v>
      </c>
      <c r="D14" s="6">
        <v>226023.81300000002</v>
      </c>
      <c r="E14" s="6">
        <v>29336170</v>
      </c>
      <c r="F14" s="6">
        <v>28217.864000000001</v>
      </c>
      <c r="G14" s="4">
        <v>41047.998</v>
      </c>
      <c r="H14" s="11">
        <f t="shared" si="0"/>
        <v>68.743581599278002</v>
      </c>
      <c r="I14" s="4">
        <v>142981.71164999998</v>
      </c>
      <c r="J14" s="4">
        <v>21697.819789999994</v>
      </c>
      <c r="K14" s="4">
        <v>164679.53143999999</v>
      </c>
      <c r="L14" s="4">
        <v>2539.1586056696597</v>
      </c>
      <c r="M14" s="4">
        <v>157.63319841166</v>
      </c>
      <c r="N14" s="4">
        <v>19.299671782079994</v>
      </c>
      <c r="O14" s="4">
        <v>2716.0914758633994</v>
      </c>
      <c r="P14" s="4">
        <v>4309.6716158549971</v>
      </c>
      <c r="Q14" s="12">
        <f t="shared" si="1"/>
        <v>63.023165520803914</v>
      </c>
    </row>
    <row r="15" spans="1:17" ht="20.100000000000001" customHeight="1" x14ac:dyDescent="0.25">
      <c r="A15" s="3" t="s">
        <v>33</v>
      </c>
      <c r="B15" s="7">
        <v>580</v>
      </c>
      <c r="C15" s="7">
        <v>382.31599999999997</v>
      </c>
      <c r="D15" s="7">
        <v>50.261999999999993</v>
      </c>
      <c r="E15" s="7">
        <v>1331</v>
      </c>
      <c r="F15" s="5">
        <v>0.11262</v>
      </c>
      <c r="G15" s="5">
        <v>0.5528820000000001</v>
      </c>
      <c r="H15" s="13">
        <f t="shared" si="0"/>
        <v>20.36962679197369</v>
      </c>
      <c r="I15" s="5">
        <v>0</v>
      </c>
      <c r="J15" s="5">
        <v>0</v>
      </c>
      <c r="K15" s="9">
        <v>0</v>
      </c>
      <c r="L15" s="5">
        <v>8.1449999999999996</v>
      </c>
      <c r="M15" s="5">
        <v>0</v>
      </c>
      <c r="N15" s="5">
        <v>0</v>
      </c>
      <c r="O15" s="5">
        <v>8.1449999999999996</v>
      </c>
      <c r="P15" s="5">
        <v>25.029630000000001</v>
      </c>
      <c r="Q15" s="14">
        <f t="shared" si="1"/>
        <v>32.541431894918141</v>
      </c>
    </row>
    <row r="16" spans="1:17" ht="20.100000000000001" customHeight="1" x14ac:dyDescent="0.25">
      <c r="A16" s="2" t="s">
        <v>27</v>
      </c>
      <c r="B16" s="6">
        <v>67777</v>
      </c>
      <c r="C16" s="6">
        <v>102358.01333333334</v>
      </c>
      <c r="D16" s="6">
        <v>61586.309000000001</v>
      </c>
      <c r="E16" s="6">
        <v>7086585</v>
      </c>
      <c r="F16" s="6">
        <v>7396.9501469999996</v>
      </c>
      <c r="G16" s="4">
        <v>9777.4031769999983</v>
      </c>
      <c r="H16" s="11">
        <f t="shared" si="0"/>
        <v>75.653524899129778</v>
      </c>
      <c r="I16" s="4">
        <v>54420.325577869422</v>
      </c>
      <c r="J16" s="4">
        <v>0</v>
      </c>
      <c r="K16" s="4">
        <v>54420.325577869422</v>
      </c>
      <c r="L16" s="4">
        <v>554.91446098000017</v>
      </c>
      <c r="M16" s="4">
        <v>55.65205035396</v>
      </c>
      <c r="N16" s="4">
        <v>0</v>
      </c>
      <c r="O16" s="4">
        <v>610.56651133396019</v>
      </c>
      <c r="P16" s="4">
        <v>850.40573399999982</v>
      </c>
      <c r="Q16" s="12">
        <f t="shared" si="1"/>
        <v>71.797083077283247</v>
      </c>
    </row>
    <row r="17" spans="1:17" ht="20.100000000000001" customHeight="1" x14ac:dyDescent="0.25">
      <c r="A17" s="3" t="s">
        <v>34</v>
      </c>
      <c r="B17" s="7">
        <v>3229</v>
      </c>
      <c r="C17" s="7">
        <v>4173</v>
      </c>
      <c r="D17" s="7">
        <v>2205.1570000000002</v>
      </c>
      <c r="E17" s="7">
        <v>112239</v>
      </c>
      <c r="F17" s="5">
        <v>79.749519000000006</v>
      </c>
      <c r="G17" s="5">
        <v>110.26405000000001</v>
      </c>
      <c r="H17" s="13">
        <f t="shared" si="0"/>
        <v>72.32594757765564</v>
      </c>
      <c r="I17" s="5">
        <v>0</v>
      </c>
      <c r="J17" s="5">
        <v>0</v>
      </c>
      <c r="K17" s="9">
        <v>0</v>
      </c>
      <c r="L17" s="5">
        <v>6.9771140000000011</v>
      </c>
      <c r="M17" s="5">
        <v>0</v>
      </c>
      <c r="N17" s="5">
        <v>0</v>
      </c>
      <c r="O17" s="5">
        <v>6.9771140000000011</v>
      </c>
      <c r="P17" s="5">
        <v>47.182550000000006</v>
      </c>
      <c r="Q17" s="14">
        <f t="shared" si="1"/>
        <v>14.787488170944554</v>
      </c>
    </row>
    <row r="18" spans="1:17" ht="20.100000000000001" customHeight="1" x14ac:dyDescent="0.25">
      <c r="A18" s="2" t="s">
        <v>28</v>
      </c>
      <c r="B18" s="6">
        <v>7438</v>
      </c>
      <c r="C18" s="6">
        <v>9194.6999999999989</v>
      </c>
      <c r="D18" s="6">
        <v>2693.7200000000003</v>
      </c>
      <c r="E18" s="6">
        <v>277862</v>
      </c>
      <c r="F18" s="4">
        <v>104.073435</v>
      </c>
      <c r="G18" s="4">
        <v>192.82128100000003</v>
      </c>
      <c r="H18" s="11">
        <f t="shared" si="0"/>
        <v>53.974039826029362</v>
      </c>
      <c r="I18" s="4">
        <v>0</v>
      </c>
      <c r="J18" s="4">
        <v>0</v>
      </c>
      <c r="K18" s="4">
        <v>0</v>
      </c>
      <c r="L18" s="4">
        <v>9.8870067199999987</v>
      </c>
      <c r="M18" s="4">
        <v>0</v>
      </c>
      <c r="N18" s="4">
        <v>0</v>
      </c>
      <c r="O18" s="4">
        <v>9.8870067199999987</v>
      </c>
      <c r="P18" s="4">
        <v>19.667801063999999</v>
      </c>
      <c r="Q18" s="12">
        <f t="shared" si="1"/>
        <v>50.27001588956076</v>
      </c>
    </row>
    <row r="19" spans="1:17" ht="20.100000000000001" customHeight="1" x14ac:dyDescent="0.25">
      <c r="A19" s="3" t="s">
        <v>29</v>
      </c>
      <c r="B19" s="7">
        <v>30014</v>
      </c>
      <c r="C19" s="7">
        <v>47794.93</v>
      </c>
      <c r="D19" s="7">
        <v>33357.175000000003</v>
      </c>
      <c r="E19" s="7">
        <v>3371361</v>
      </c>
      <c r="F19" s="5">
        <v>3752.9261090000005</v>
      </c>
      <c r="G19" s="5">
        <v>5585.9638959999993</v>
      </c>
      <c r="H19" s="13">
        <f t="shared" si="0"/>
        <v>67.184933144437224</v>
      </c>
      <c r="I19" s="5">
        <v>31527.970999999998</v>
      </c>
      <c r="J19" s="5">
        <v>0</v>
      </c>
      <c r="K19" s="9">
        <v>31527.970999999998</v>
      </c>
      <c r="L19" s="5">
        <v>337.76344525000019</v>
      </c>
      <c r="M19" s="5">
        <v>41.636489486000002</v>
      </c>
      <c r="N19" s="5">
        <v>0</v>
      </c>
      <c r="O19" s="5">
        <v>379.39993473600015</v>
      </c>
      <c r="P19" s="5">
        <v>571.32760110000004</v>
      </c>
      <c r="Q19" s="14">
        <f t="shared" si="1"/>
        <v>66.406722518836162</v>
      </c>
    </row>
    <row r="20" spans="1:17" ht="20.100000000000001" customHeight="1" x14ac:dyDescent="0.25">
      <c r="A20" s="16" t="s">
        <v>30</v>
      </c>
      <c r="B20" s="17">
        <f>SUM(B6:B19)</f>
        <v>490546</v>
      </c>
      <c r="C20" s="17">
        <f>SUM(C6:C19)</f>
        <v>856553.55599999998</v>
      </c>
      <c r="D20" s="17">
        <f>SUM(D6:D19)</f>
        <v>467117.90558279568</v>
      </c>
      <c r="E20" s="17">
        <f>SUM(E6:E19)</f>
        <v>53330502</v>
      </c>
      <c r="F20" s="18">
        <f>SUM(F6:F19)</f>
        <v>52930.110834999999</v>
      </c>
      <c r="G20" s="18">
        <f>SUM(G6:G19)</f>
        <v>77350.247313999993</v>
      </c>
      <c r="H20" s="19">
        <f>F20/G20*100</f>
        <v>68.429142340208031</v>
      </c>
      <c r="I20" s="18">
        <f>SUM(I6:I19)</f>
        <v>443960.48894786939</v>
      </c>
      <c r="J20" s="18">
        <f>SUM(J6:J19)</f>
        <v>23638.393089999994</v>
      </c>
      <c r="K20" s="18">
        <f>SUM(K6:K19)</f>
        <v>467598.88203786942</v>
      </c>
      <c r="L20" s="18">
        <f>SUM(L6:L19)</f>
        <v>4623.3275277296598</v>
      </c>
      <c r="M20" s="18">
        <f>SUM(M6:M19)</f>
        <v>497.83245240210005</v>
      </c>
      <c r="N20" s="18">
        <f>SUM(N6:N19)</f>
        <v>21.450319316379993</v>
      </c>
      <c r="O20" s="18">
        <f>SUM(O6:O19)</f>
        <v>5142.6102994481398</v>
      </c>
      <c r="P20" s="18">
        <f>SUM(P6:P19)</f>
        <v>8188.4962663520973</v>
      </c>
      <c r="Q20" s="18">
        <f t="shared" ref="Q20" si="2">O20/P20*100</f>
        <v>62.80286553442037</v>
      </c>
    </row>
    <row r="21" spans="1:17" ht="17.100000000000001" customHeight="1" x14ac:dyDescent="0.25">
      <c r="A21" s="20" t="s">
        <v>18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</sheetData>
  <mergeCells count="13">
    <mergeCell ref="A21:Q21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Airline wise domestic traffic</vt:lpstr>
      <vt:lpstr>'Airline wise domestic traffic'!Print_Area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2020-06-09T09:07:50Z</cp:lastPrinted>
  <dcterms:created xsi:type="dcterms:W3CDTF">2018-10-29T04:00:07Z</dcterms:created>
  <dcterms:modified xsi:type="dcterms:W3CDTF">2022-10-03T05:40:37Z</dcterms:modified>
</cp:coreProperties>
</file>