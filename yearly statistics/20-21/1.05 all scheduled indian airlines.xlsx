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1. ALL SCHEDULED INDIAN AIRLINES\"/>
    </mc:Choice>
  </mc:AlternateContent>
  <bookViews>
    <workbookView showHorizontalScroll="0" showVerticalScroll="0" xWindow="0" yWindow="0" windowWidth="13140" windowHeight="10635"/>
  </bookViews>
  <sheets>
    <sheet name="1.0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2" l="1"/>
  <c r="B37" i="2"/>
  <c r="B13" i="2"/>
  <c r="Q31" i="2" l="1"/>
  <c r="H22" i="2"/>
  <c r="H16" i="2"/>
  <c r="H14" i="2"/>
  <c r="H23" i="2"/>
  <c r="Q20" i="2" l="1"/>
  <c r="Q11" i="2"/>
  <c r="Q22" i="2"/>
  <c r="Q14" i="2"/>
  <c r="Q26" i="2"/>
  <c r="H35" i="2"/>
  <c r="Q19" i="2"/>
  <c r="H26" i="2"/>
  <c r="H10" i="2"/>
  <c r="H20" i="2"/>
  <c r="H29" i="2"/>
  <c r="Q35" i="2"/>
  <c r="H13" i="2"/>
  <c r="H31" i="2"/>
  <c r="Q29" i="2"/>
  <c r="Q23" i="2"/>
  <c r="Q16" i="2"/>
  <c r="Q32" i="2"/>
  <c r="Q17" i="2"/>
  <c r="Q25" i="2"/>
  <c r="Q10" i="2"/>
  <c r="Q34" i="2"/>
  <c r="Q28" i="2"/>
  <c r="Q13" i="2"/>
  <c r="H32" i="2"/>
  <c r="H17" i="2"/>
  <c r="H25" i="2"/>
  <c r="H34" i="2"/>
  <c r="H11" i="2"/>
  <c r="H19" i="2"/>
  <c r="H28" i="2"/>
  <c r="P38" i="2"/>
  <c r="O38" i="2"/>
  <c r="N38" i="2"/>
  <c r="K38" i="2"/>
  <c r="J38" i="2"/>
  <c r="I38" i="2"/>
  <c r="E38" i="2"/>
  <c r="D38" i="2"/>
  <c r="C38" i="2"/>
  <c r="P37" i="2"/>
  <c r="O37" i="2"/>
  <c r="N37" i="2"/>
  <c r="K37" i="2"/>
  <c r="J37" i="2"/>
  <c r="I37" i="2"/>
  <c r="F37" i="2"/>
  <c r="E37" i="2"/>
  <c r="D37" i="2"/>
  <c r="C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L37" i="2" l="1"/>
  <c r="M37" i="2"/>
  <c r="L38" i="2"/>
  <c r="G37" i="2"/>
  <c r="M38" i="2"/>
  <c r="F38" i="2"/>
  <c r="G38" i="2"/>
  <c r="Q38" i="2" l="1"/>
  <c r="Q37" i="2"/>
  <c r="H37" i="2"/>
  <c r="H38" i="2"/>
</calcChain>
</file>

<file path=xl/sharedStrings.xml><?xml version="1.0" encoding="utf-8"?>
<sst xmlns="http://schemas.openxmlformats.org/spreadsheetml/2006/main" count="92" uniqueCount="39">
  <si>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</si>
  <si>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</si>
  <si>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</si>
  <si>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</si>
  <si>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</si>
  <si>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</si>
  <si>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</si>
  <si>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</si>
  <si>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</si>
  <si>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</si>
  <si>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</si>
  <si>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</si>
  <si>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</si>
  <si>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</si>
  <si>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</si>
  <si>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</si>
  <si>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</si>
  <si>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</si>
  <si>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</si>
  <si>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</si>
  <si>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</si>
  <si>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</si>
  <si>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</si>
  <si>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</si>
  <si>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</si>
  <si>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</si>
  <si>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</si>
  <si>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 SCHEDULED INDIAN AIRLINES </t>
  </si>
  <si>
    <t xml:space="preserve">तालिका - 1.05 (सभी अनुसूचित भारतीय एयरलाइन्स) </t>
  </si>
  <si>
    <t xml:space="preserve">Growth </t>
  </si>
  <si>
    <t xml:space="preserve">CAGR </t>
  </si>
  <si>
    <t>-</t>
  </si>
  <si>
    <t>TABLE - 1.05 (ALL SCHEDULED INDIAN AIRLINES)</t>
  </si>
  <si>
    <t>2018-19</t>
  </si>
  <si>
    <t>2019-20</t>
  </si>
  <si>
    <t>YEAR ON YEAR GROWTH AND CAGR FOR LAST TEN YEARS OF ALL SCHEDULED INDIAN AIRLINES ON SCHEDULED INTERNATIONAL SERVICES (ALL AIR TRAFFIC AND OPERATING STATISTICS).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</si>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</sst>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view="pageBreakPreview" topLeftCell="A16" zoomScaleNormal="110" zoomScaleSheetLayoutView="100" workbookViewId="0">
      <selection activeCell="E33" sqref="E33"/>
    </sheetView>
  </sheetViews>
  <sheetFormatPr defaultRowHeight="15" x14ac:dyDescent="0.25"/>
  <cols>
    <col min="1" max="1" width="8.5703125" customWidth="1"/>
    <col min="2" max="2" width="8.7109375" customWidth="1"/>
    <col min="3" max="3" width="8.5703125" customWidth="1"/>
    <col min="4" max="4" width="8.28515625" customWidth="1"/>
    <col min="5" max="5" width="11.28515625" customWidth="1"/>
    <col min="6" max="6" width="7.5703125" customWidth="1"/>
    <col min="7" max="7" width="8.28515625" customWidth="1"/>
    <col min="8" max="8" width="7" customWidth="1"/>
    <col min="9" max="9" width="9.85546875" customWidth="1"/>
    <col min="10" max="10" width="8" customWidth="1"/>
    <col min="11" max="11" width="9.42578125" customWidth="1"/>
    <col min="12" max="12" width="8.28515625" customWidth="1"/>
    <col min="13" max="13" width="8.140625" customWidth="1"/>
    <col min="14" max="14" width="7.5703125" customWidth="1"/>
    <col min="15" max="15" width="8.140625" customWidth="1"/>
    <col min="16" max="16" width="8.28515625" customWidth="1"/>
    <col min="17" max="17" width="8.5703125" customWidth="1"/>
  </cols>
  <sheetData>
    <row r="1" spans="1:17" x14ac:dyDescent="0.25">
      <c r="A1" s="14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0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07.25" customHeight="1" x14ac:dyDescent="0.25">
      <c r="A5" s="17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20"/>
      <c r="H5" s="20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20"/>
      <c r="Q5" s="20"/>
    </row>
    <row r="6" spans="1:17" ht="20.100000000000001" customHeight="1" x14ac:dyDescent="0.25">
      <c r="A6" s="1" t="s">
        <v>19</v>
      </c>
      <c r="B6" s="2">
        <v>101706</v>
      </c>
      <c r="C6" s="2">
        <v>462097.7</v>
      </c>
      <c r="D6" s="2">
        <v>323215.381269851</v>
      </c>
      <c r="E6" s="2">
        <v>13158281</v>
      </c>
      <c r="F6" s="2">
        <v>50464.231424999998</v>
      </c>
      <c r="G6" s="2">
        <v>69275.128020000004</v>
      </c>
      <c r="H6" s="8">
        <v>72.846103453508988</v>
      </c>
      <c r="I6" s="3">
        <v>259018.80000000002</v>
      </c>
      <c r="J6" s="3">
        <v>3566.674</v>
      </c>
      <c r="K6" s="3">
        <v>262585.47400000005</v>
      </c>
      <c r="L6" s="3">
        <v>4705.4461155999988</v>
      </c>
      <c r="M6" s="3">
        <v>1272.2120000000002</v>
      </c>
      <c r="N6" s="3">
        <v>28.181999999999999</v>
      </c>
      <c r="O6" s="3">
        <v>6005.8401155999991</v>
      </c>
      <c r="P6" s="3">
        <v>9728.3956299999954</v>
      </c>
      <c r="Q6" s="8">
        <v>61.735154942501055</v>
      </c>
    </row>
    <row r="7" spans="1:17" ht="20.100000000000001" customHeight="1" x14ac:dyDescent="0.25">
      <c r="A7" s="4" t="s">
        <v>29</v>
      </c>
      <c r="B7" s="5" t="s">
        <v>31</v>
      </c>
      <c r="C7" s="5" t="s">
        <v>31</v>
      </c>
      <c r="D7" s="5" t="s">
        <v>31</v>
      </c>
      <c r="E7" s="5" t="s">
        <v>31</v>
      </c>
      <c r="F7" s="5" t="s">
        <v>31</v>
      </c>
      <c r="G7" s="5" t="s">
        <v>31</v>
      </c>
      <c r="H7" s="5" t="s">
        <v>31</v>
      </c>
      <c r="I7" s="5" t="s">
        <v>31</v>
      </c>
      <c r="J7" s="5" t="s">
        <v>31</v>
      </c>
      <c r="K7" s="5" t="s">
        <v>31</v>
      </c>
      <c r="L7" s="5" t="s">
        <v>31</v>
      </c>
      <c r="M7" s="5" t="s">
        <v>31</v>
      </c>
      <c r="N7" s="5" t="s">
        <v>31</v>
      </c>
      <c r="O7" s="5" t="s">
        <v>31</v>
      </c>
      <c r="P7" s="5" t="s">
        <v>31</v>
      </c>
      <c r="Q7" s="5" t="s">
        <v>31</v>
      </c>
    </row>
    <row r="8" spans="1:17" ht="20.100000000000001" customHeight="1" x14ac:dyDescent="0.25">
      <c r="A8" s="9" t="s">
        <v>30</v>
      </c>
      <c r="B8" s="9" t="s">
        <v>31</v>
      </c>
      <c r="C8" s="9" t="s">
        <v>31</v>
      </c>
      <c r="D8" s="9" t="s">
        <v>31</v>
      </c>
      <c r="E8" s="9" t="s">
        <v>31</v>
      </c>
      <c r="F8" s="9" t="s">
        <v>31</v>
      </c>
      <c r="G8" s="9" t="s">
        <v>31</v>
      </c>
      <c r="H8" s="9" t="s">
        <v>31</v>
      </c>
      <c r="I8" s="9" t="s">
        <v>31</v>
      </c>
      <c r="J8" s="9" t="s">
        <v>31</v>
      </c>
      <c r="K8" s="9" t="s">
        <v>31</v>
      </c>
      <c r="L8" s="9" t="s">
        <v>31</v>
      </c>
      <c r="M8" s="9" t="s">
        <v>31</v>
      </c>
      <c r="N8" s="9" t="s">
        <v>31</v>
      </c>
      <c r="O8" s="9" t="s">
        <v>31</v>
      </c>
      <c r="P8" s="9" t="s">
        <v>31</v>
      </c>
      <c r="Q8" s="9" t="s">
        <v>31</v>
      </c>
    </row>
    <row r="9" spans="1:17" ht="20.100000000000001" customHeight="1" x14ac:dyDescent="0.25">
      <c r="A9" s="1" t="s">
        <v>20</v>
      </c>
      <c r="B9" s="2">
        <v>104045</v>
      </c>
      <c r="C9" s="2">
        <v>472577.39000000013</v>
      </c>
      <c r="D9" s="2">
        <v>330055.42421000003</v>
      </c>
      <c r="E9" s="2">
        <v>14379176</v>
      </c>
      <c r="F9" s="2">
        <v>53710.028172000006</v>
      </c>
      <c r="G9" s="2">
        <v>71510.891344000076</v>
      </c>
      <c r="H9" s="8">
        <v>75.107479661566828</v>
      </c>
      <c r="I9" s="3">
        <v>257003.89899999992</v>
      </c>
      <c r="J9" s="3">
        <v>3127.7919999999995</v>
      </c>
      <c r="K9" s="3">
        <v>260131.6909999999</v>
      </c>
      <c r="L9" s="3">
        <v>5085.1174119999996</v>
      </c>
      <c r="M9" s="3">
        <v>1374.9101428680005</v>
      </c>
      <c r="N9" s="3">
        <v>26.803000000000001</v>
      </c>
      <c r="O9" s="3">
        <v>6486.830554868</v>
      </c>
      <c r="P9" s="3">
        <v>10500.661736</v>
      </c>
      <c r="Q9" s="8">
        <v>61.775445376255099</v>
      </c>
    </row>
    <row r="10" spans="1:17" ht="20.100000000000001" customHeight="1" x14ac:dyDescent="0.25">
      <c r="A10" s="4" t="s">
        <v>29</v>
      </c>
      <c r="B10" s="6">
        <f>(B9-B6)/B6</f>
        <v>2.2997659921735199E-2</v>
      </c>
      <c r="C10" s="6">
        <f t="shared" ref="C10:Q10" si="0">(C9-C6)/C6</f>
        <v>2.2678515820355995E-2</v>
      </c>
      <c r="D10" s="6">
        <f t="shared" si="0"/>
        <v>2.1162492061101219E-2</v>
      </c>
      <c r="E10" s="6">
        <f t="shared" si="0"/>
        <v>9.2785296194844907E-2</v>
      </c>
      <c r="F10" s="6">
        <f t="shared" si="0"/>
        <v>6.4318759155658892E-2</v>
      </c>
      <c r="G10" s="6">
        <f t="shared" si="0"/>
        <v>3.2273680149022585E-2</v>
      </c>
      <c r="H10" s="10">
        <f t="shared" si="0"/>
        <v>3.1043200677179247E-2</v>
      </c>
      <c r="I10" s="6">
        <f t="shared" si="0"/>
        <v>-7.7789758890092139E-3</v>
      </c>
      <c r="J10" s="6">
        <f t="shared" si="0"/>
        <v>-0.12305077503578979</v>
      </c>
      <c r="K10" s="6">
        <f t="shared" si="0"/>
        <v>-9.3447019845436727E-3</v>
      </c>
      <c r="L10" s="6">
        <f t="shared" si="0"/>
        <v>8.0687630263424723E-2</v>
      </c>
      <c r="M10" s="6">
        <f t="shared" si="0"/>
        <v>8.0724079687976777E-2</v>
      </c>
      <c r="N10" s="6">
        <f t="shared" si="0"/>
        <v>-4.8931942374565246E-2</v>
      </c>
      <c r="O10" s="6">
        <f t="shared" si="0"/>
        <v>8.008712020465579E-2</v>
      </c>
      <c r="P10" s="6">
        <f t="shared" si="0"/>
        <v>7.9382678847735658E-2</v>
      </c>
      <c r="Q10" s="10">
        <f t="shared" si="0"/>
        <v>6.5263355686999707E-4</v>
      </c>
    </row>
    <row r="11" spans="1:17" ht="20.100000000000001" customHeight="1" x14ac:dyDescent="0.25">
      <c r="A11" s="9" t="s">
        <v>30</v>
      </c>
      <c r="B11" s="12">
        <f>((B9/B6)^(1/1))-1</f>
        <v>2.2997659921735192E-2</v>
      </c>
      <c r="C11" s="12">
        <f t="shared" ref="C11:P11" si="1">((C9/C6)^(1/1))-1</f>
        <v>2.267851582035596E-2</v>
      </c>
      <c r="D11" s="12">
        <f t="shared" si="1"/>
        <v>2.1162492061101323E-2</v>
      </c>
      <c r="E11" s="12">
        <f t="shared" si="1"/>
        <v>9.2785296194844991E-2</v>
      </c>
      <c r="F11" s="12">
        <f t="shared" si="1"/>
        <v>6.4318759155658878E-2</v>
      </c>
      <c r="G11" s="12">
        <f t="shared" si="1"/>
        <v>3.2273680149022654E-2</v>
      </c>
      <c r="H11" s="11">
        <f t="shared" ref="H11" si="2">(((H9/H6)^(1/1))-1)</f>
        <v>3.104320067717925E-2</v>
      </c>
      <c r="I11" s="12">
        <f t="shared" si="1"/>
        <v>-7.7789758890092209E-3</v>
      </c>
      <c r="J11" s="12">
        <f t="shared" si="1"/>
        <v>-0.12305077503578976</v>
      </c>
      <c r="K11" s="12">
        <f t="shared" si="1"/>
        <v>-9.3447019845436241E-3</v>
      </c>
      <c r="L11" s="12">
        <f t="shared" si="1"/>
        <v>8.0687630263424737E-2</v>
      </c>
      <c r="M11" s="12">
        <f t="shared" si="1"/>
        <v>8.072407968797668E-2</v>
      </c>
      <c r="N11" s="12">
        <f t="shared" si="1"/>
        <v>-4.8931942374565218E-2</v>
      </c>
      <c r="O11" s="12">
        <f t="shared" si="1"/>
        <v>8.0087120204655804E-2</v>
      </c>
      <c r="P11" s="12">
        <f t="shared" si="1"/>
        <v>7.9382678847735644E-2</v>
      </c>
      <c r="Q11" s="11">
        <f t="shared" ref="Q11" si="3">(((Q9/Q6)^(1/1))-1)</f>
        <v>6.5263355686995261E-4</v>
      </c>
    </row>
    <row r="12" spans="1:17" ht="20.100000000000001" customHeight="1" x14ac:dyDescent="0.25">
      <c r="A12" s="1" t="s">
        <v>21</v>
      </c>
      <c r="B12" s="2">
        <v>99123</v>
      </c>
      <c r="C12" s="2">
        <v>408947.34</v>
      </c>
      <c r="D12" s="2">
        <v>282382.19899999996</v>
      </c>
      <c r="E12" s="2">
        <v>13727453</v>
      </c>
      <c r="F12" s="2">
        <v>48468.899421000009</v>
      </c>
      <c r="G12" s="2">
        <v>61788.820131000008</v>
      </c>
      <c r="H12" s="8">
        <v>78.442830463892804</v>
      </c>
      <c r="I12" s="3">
        <v>224456.09899999999</v>
      </c>
      <c r="J12" s="3">
        <v>2767</v>
      </c>
      <c r="K12" s="3">
        <v>227223.09899999999</v>
      </c>
      <c r="L12" s="3">
        <v>4466.6458197003321</v>
      </c>
      <c r="M12" s="3">
        <v>1134.3504364019998</v>
      </c>
      <c r="N12" s="3">
        <v>31.52399999999999</v>
      </c>
      <c r="O12" s="3">
        <v>5632.5202561023325</v>
      </c>
      <c r="P12" s="3">
        <v>8691.8849767366992</v>
      </c>
      <c r="Q12" s="8">
        <v>64.802056989679798</v>
      </c>
    </row>
    <row r="13" spans="1:17" ht="20.100000000000001" customHeight="1" x14ac:dyDescent="0.25">
      <c r="A13" s="4" t="s">
        <v>29</v>
      </c>
      <c r="B13" s="6">
        <f>(B12-B9)/B9</f>
        <v>-4.7306453938199815E-2</v>
      </c>
      <c r="C13" s="6">
        <f t="shared" ref="C13:Q13" si="4">(C12-C9)/C9</f>
        <v>-0.13464471924905269</v>
      </c>
      <c r="D13" s="6">
        <f t="shared" si="4"/>
        <v>-0.14444005979937372</v>
      </c>
      <c r="E13" s="6">
        <f t="shared" si="4"/>
        <v>-4.5324085330063421E-2</v>
      </c>
      <c r="F13" s="6">
        <f t="shared" si="4"/>
        <v>-9.7581940084185068E-2</v>
      </c>
      <c r="G13" s="6">
        <f t="shared" si="4"/>
        <v>-0.13595231481918554</v>
      </c>
      <c r="H13" s="10">
        <f t="shared" si="4"/>
        <v>4.4407705029579171E-2</v>
      </c>
      <c r="I13" s="6">
        <f t="shared" si="4"/>
        <v>-0.12664321485644053</v>
      </c>
      <c r="J13" s="6">
        <f t="shared" si="4"/>
        <v>-0.11535038135528178</v>
      </c>
      <c r="K13" s="6">
        <f t="shared" si="4"/>
        <v>-0.12650743119184171</v>
      </c>
      <c r="L13" s="6">
        <f t="shared" si="4"/>
        <v>-0.12162385687303527</v>
      </c>
      <c r="M13" s="6">
        <f t="shared" si="4"/>
        <v>-0.17496394779967517</v>
      </c>
      <c r="N13" s="6">
        <f t="shared" si="4"/>
        <v>0.17613699958959778</v>
      </c>
      <c r="O13" s="6">
        <f t="shared" si="4"/>
        <v>-0.13169918522452478</v>
      </c>
      <c r="P13" s="6">
        <f t="shared" si="4"/>
        <v>-0.17225359741492971</v>
      </c>
      <c r="Q13" s="10">
        <f t="shared" si="4"/>
        <v>4.8993764350714834E-2</v>
      </c>
    </row>
    <row r="14" spans="1:17" ht="20.100000000000001" customHeight="1" x14ac:dyDescent="0.25">
      <c r="A14" s="9" t="s">
        <v>30</v>
      </c>
      <c r="B14" s="12">
        <f>((B12/B6)^(1/2))-1</f>
        <v>-1.2780030467494319E-2</v>
      </c>
      <c r="C14" s="12">
        <f t="shared" ref="C14:P14" si="5">((C12/C6)^(1/2))-1</f>
        <v>-5.9266108734416734E-2</v>
      </c>
      <c r="D14" s="12">
        <f t="shared" si="5"/>
        <v>-6.5299127718970063E-2</v>
      </c>
      <c r="E14" s="12">
        <f t="shared" si="5"/>
        <v>2.1398943695690065E-2</v>
      </c>
      <c r="F14" s="12">
        <f t="shared" si="5"/>
        <v>-1.9969148562527628E-2</v>
      </c>
      <c r="G14" s="12">
        <f t="shared" si="5"/>
        <v>-5.5577592490604122E-2</v>
      </c>
      <c r="H14" s="11">
        <f t="shared" ref="H14" si="6">(((H12/H6)^(1/2))-1)</f>
        <v>3.7703938031269368E-2</v>
      </c>
      <c r="I14" s="12">
        <f t="shared" si="5"/>
        <v>-6.910636280538196E-2</v>
      </c>
      <c r="J14" s="12">
        <f t="shared" si="5"/>
        <v>-0.11920899332737867</v>
      </c>
      <c r="K14" s="12">
        <f t="shared" si="5"/>
        <v>-6.9768823857782936E-2</v>
      </c>
      <c r="L14" s="12">
        <f t="shared" si="5"/>
        <v>-2.5705264000771555E-2</v>
      </c>
      <c r="M14" s="12">
        <f t="shared" si="5"/>
        <v>-5.5735032830510178E-2</v>
      </c>
      <c r="N14" s="12">
        <f t="shared" si="5"/>
        <v>5.763241804564867E-2</v>
      </c>
      <c r="O14" s="12">
        <f t="shared" si="5"/>
        <v>-3.1578332283813793E-2</v>
      </c>
      <c r="P14" s="12">
        <f t="shared" si="5"/>
        <v>-5.4772445688949789E-2</v>
      </c>
      <c r="Q14" s="11">
        <f t="shared" ref="Q14" si="7">(((Q12/Q6)^(1/2))-1)</f>
        <v>2.453812661231769E-2</v>
      </c>
    </row>
    <row r="15" spans="1:17" ht="20.100000000000001" customHeight="1" x14ac:dyDescent="0.25">
      <c r="A15" s="1" t="s">
        <v>22</v>
      </c>
      <c r="B15" s="2">
        <v>111446</v>
      </c>
      <c r="C15" s="2">
        <v>458986.05</v>
      </c>
      <c r="D15" s="2">
        <v>319698.34699999995</v>
      </c>
      <c r="E15" s="2">
        <v>15765065</v>
      </c>
      <c r="F15" s="2">
        <v>54897.148880000008</v>
      </c>
      <c r="G15" s="2">
        <v>70182.887618999986</v>
      </c>
      <c r="H15" s="8">
        <v>78.220134198550966</v>
      </c>
      <c r="I15" s="3">
        <v>242641.52059999999</v>
      </c>
      <c r="J15" s="3">
        <v>3533.3989000000001</v>
      </c>
      <c r="K15" s="3">
        <v>246174.91949999999</v>
      </c>
      <c r="L15" s="3">
        <v>5054.957773461394</v>
      </c>
      <c r="M15" s="3">
        <v>1194.9261014949998</v>
      </c>
      <c r="N15" s="3">
        <v>24.395</v>
      </c>
      <c r="O15" s="3">
        <v>6274.2788749563942</v>
      </c>
      <c r="P15" s="3">
        <v>9334.2784814201859</v>
      </c>
      <c r="Q15" s="8">
        <v>67.217609667906316</v>
      </c>
    </row>
    <row r="16" spans="1:17" ht="20.100000000000001" customHeight="1" x14ac:dyDescent="0.25">
      <c r="A16" s="4" t="s">
        <v>29</v>
      </c>
      <c r="B16" s="6">
        <f>(B15-B12)/B12</f>
        <v>0.12432028893395075</v>
      </c>
      <c r="C16" s="6">
        <f t="shared" ref="C16:Q16" si="8">(C15-C12)/C12</f>
        <v>0.1223597884265489</v>
      </c>
      <c r="D16" s="6">
        <f t="shared" si="8"/>
        <v>0.1321476641663237</v>
      </c>
      <c r="E16" s="6">
        <f t="shared" si="8"/>
        <v>0.14843336196452467</v>
      </c>
      <c r="F16" s="6">
        <f t="shared" si="8"/>
        <v>0.13262627243016881</v>
      </c>
      <c r="G16" s="6">
        <f t="shared" si="8"/>
        <v>0.13585091073439351</v>
      </c>
      <c r="H16" s="10">
        <f t="shared" si="8"/>
        <v>-2.8389626435566381E-3</v>
      </c>
      <c r="I16" s="6">
        <f t="shared" si="8"/>
        <v>8.1019948582462004E-2</v>
      </c>
      <c r="J16" s="6">
        <f t="shared" si="8"/>
        <v>0.27697827972533434</v>
      </c>
      <c r="K16" s="6">
        <f t="shared" si="8"/>
        <v>8.3406223149874406E-2</v>
      </c>
      <c r="L16" s="6">
        <f t="shared" si="8"/>
        <v>0.13171224617055755</v>
      </c>
      <c r="M16" s="6">
        <f t="shared" si="8"/>
        <v>5.340119168564654E-2</v>
      </c>
      <c r="N16" s="6">
        <f t="shared" si="8"/>
        <v>-0.22614515924375056</v>
      </c>
      <c r="O16" s="6">
        <f t="shared" si="8"/>
        <v>0.11393809337104001</v>
      </c>
      <c r="P16" s="6">
        <f t="shared" si="8"/>
        <v>7.3907271714111933E-2</v>
      </c>
      <c r="Q16" s="10">
        <f t="shared" si="8"/>
        <v>3.7275864230840894E-2</v>
      </c>
    </row>
    <row r="17" spans="1:17" ht="20.100000000000001" customHeight="1" x14ac:dyDescent="0.25">
      <c r="A17" s="9" t="s">
        <v>30</v>
      </c>
      <c r="B17" s="12">
        <f>((B15/B6)^(1/3))-1</f>
        <v>3.095403738981406E-2</v>
      </c>
      <c r="C17" s="12">
        <f t="shared" ref="C17:P17" si="9">((C15/C6)^(1/3))-1</f>
        <v>-2.24964013960538E-3</v>
      </c>
      <c r="D17" s="12">
        <f t="shared" si="9"/>
        <v>-3.6403679013784496E-3</v>
      </c>
      <c r="E17" s="12">
        <f t="shared" si="9"/>
        <v>6.2100311813110043E-2</v>
      </c>
      <c r="F17" s="12">
        <f t="shared" si="9"/>
        <v>2.846308682127785E-2</v>
      </c>
      <c r="G17" s="12">
        <f t="shared" si="9"/>
        <v>4.348954862269494E-3</v>
      </c>
      <c r="H17" s="11">
        <f t="shared" ref="H17" si="10">(((H15/H6)^(1/3))-1)</f>
        <v>2.4009714793117087E-2</v>
      </c>
      <c r="I17" s="12">
        <f t="shared" si="9"/>
        <v>-2.1536542783611834E-2</v>
      </c>
      <c r="J17" s="12">
        <f t="shared" si="9"/>
        <v>-3.1195374303980561E-3</v>
      </c>
      <c r="K17" s="12">
        <f t="shared" si="9"/>
        <v>-2.1281714609690305E-2</v>
      </c>
      <c r="L17" s="12">
        <f t="shared" si="9"/>
        <v>2.4170453277937876E-2</v>
      </c>
      <c r="M17" s="12">
        <f t="shared" si="9"/>
        <v>-2.0674220963436407E-2</v>
      </c>
      <c r="N17" s="12">
        <f t="shared" si="9"/>
        <v>-4.6963199836599911E-2</v>
      </c>
      <c r="O17" s="12">
        <f t="shared" si="9"/>
        <v>1.4682142367973716E-2</v>
      </c>
      <c r="P17" s="12">
        <f t="shared" si="9"/>
        <v>-1.3690590089630694E-2</v>
      </c>
      <c r="Q17" s="11">
        <f t="shared" ref="Q17" si="11">(((Q15/Q6)^(1/3))-1)</f>
        <v>2.8766563689362812E-2</v>
      </c>
    </row>
    <row r="18" spans="1:17" ht="20.100000000000001" customHeight="1" x14ac:dyDescent="0.25">
      <c r="A18" s="1" t="s">
        <v>23</v>
      </c>
      <c r="B18" s="2">
        <v>117816</v>
      </c>
      <c r="C18" s="2">
        <v>487105.99</v>
      </c>
      <c r="D18" s="2">
        <v>369301.81800000003</v>
      </c>
      <c r="E18" s="2">
        <v>17328236</v>
      </c>
      <c r="F18" s="2">
        <v>59879.829868999972</v>
      </c>
      <c r="G18" s="2">
        <v>76147.697574999984</v>
      </c>
      <c r="H18" s="8">
        <v>78.636428645820402</v>
      </c>
      <c r="I18" s="3">
        <v>250670.77621999997</v>
      </c>
      <c r="J18" s="3">
        <v>4437.01</v>
      </c>
      <c r="K18" s="3">
        <v>255107.78621999998</v>
      </c>
      <c r="L18" s="3">
        <v>5363.7834780000012</v>
      </c>
      <c r="M18" s="3">
        <v>1241.0940993867703</v>
      </c>
      <c r="N18" s="3">
        <v>29.816620000000004</v>
      </c>
      <c r="O18" s="3">
        <v>6634.6941973867706</v>
      </c>
      <c r="P18" s="3">
        <v>9795.998816000003</v>
      </c>
      <c r="Q18" s="8">
        <v>67.728613712674104</v>
      </c>
    </row>
    <row r="19" spans="1:17" ht="20.100000000000001" customHeight="1" x14ac:dyDescent="0.25">
      <c r="A19" s="4" t="s">
        <v>29</v>
      </c>
      <c r="B19" s="6">
        <f>(B18-B15)/B15</f>
        <v>5.7157726611991456E-2</v>
      </c>
      <c r="C19" s="6">
        <f t="shared" ref="C19:Q19" si="12">(C18-C15)/C15</f>
        <v>6.1265347824841304E-2</v>
      </c>
      <c r="D19" s="6">
        <f t="shared" si="12"/>
        <v>0.15515710814732517</v>
      </c>
      <c r="E19" s="6">
        <f t="shared" si="12"/>
        <v>9.9154110687142749E-2</v>
      </c>
      <c r="F19" s="6">
        <f t="shared" si="12"/>
        <v>9.0763930197752807E-2</v>
      </c>
      <c r="G19" s="6">
        <f t="shared" si="12"/>
        <v>8.4989520356885367E-2</v>
      </c>
      <c r="H19" s="10">
        <f t="shared" si="12"/>
        <v>5.3220881239187164E-3</v>
      </c>
      <c r="I19" s="6">
        <f t="shared" si="12"/>
        <v>3.3091020861332261E-2</v>
      </c>
      <c r="J19" s="6">
        <f t="shared" si="12"/>
        <v>0.25573424500698183</v>
      </c>
      <c r="K19" s="6">
        <f t="shared" si="12"/>
        <v>3.6286664531640034E-2</v>
      </c>
      <c r="L19" s="6">
        <f t="shared" si="12"/>
        <v>6.1093626965579587E-2</v>
      </c>
      <c r="M19" s="6">
        <f t="shared" si="12"/>
        <v>3.8636697143035567E-2</v>
      </c>
      <c r="N19" s="6">
        <f t="shared" si="12"/>
        <v>0.22224308259889339</v>
      </c>
      <c r="O19" s="6">
        <f t="shared" si="12"/>
        <v>5.7443306173234329E-2</v>
      </c>
      <c r="P19" s="6">
        <f t="shared" si="12"/>
        <v>4.9465026729046929E-2</v>
      </c>
      <c r="Q19" s="10">
        <f t="shared" si="12"/>
        <v>7.6022347014784017E-3</v>
      </c>
    </row>
    <row r="20" spans="1:17" ht="20.100000000000001" customHeight="1" x14ac:dyDescent="0.25">
      <c r="A20" s="9" t="s">
        <v>30</v>
      </c>
      <c r="B20" s="12">
        <f>((B18/B6)^(1/4))-1</f>
        <v>3.7443430446008286E-2</v>
      </c>
      <c r="C20" s="12">
        <f t="shared" ref="C20:P20" si="13">((C18/C6)^(1/4))-1</f>
        <v>1.3263539976729577E-2</v>
      </c>
      <c r="D20" s="12">
        <f t="shared" si="13"/>
        <v>3.3885290332228646E-2</v>
      </c>
      <c r="E20" s="12">
        <f t="shared" si="13"/>
        <v>7.1244978997886399E-2</v>
      </c>
      <c r="F20" s="12">
        <f t="shared" si="13"/>
        <v>4.3696491676260996E-2</v>
      </c>
      <c r="G20" s="12">
        <f t="shared" si="13"/>
        <v>2.3929038818447657E-2</v>
      </c>
      <c r="H20" s="11">
        <f t="shared" ref="H20" si="14">(((H18/H6)^(1/4))-1)</f>
        <v>1.9305491013931864E-2</v>
      </c>
      <c r="I20" s="12">
        <f t="shared" si="13"/>
        <v>-8.156606954608514E-3</v>
      </c>
      <c r="J20" s="12">
        <f t="shared" si="13"/>
        <v>5.6104146841750913E-2</v>
      </c>
      <c r="K20" s="12">
        <f t="shared" si="13"/>
        <v>-7.1966038718860315E-3</v>
      </c>
      <c r="L20" s="12">
        <f t="shared" si="13"/>
        <v>3.3279012855414125E-2</v>
      </c>
      <c r="M20" s="12">
        <f t="shared" si="13"/>
        <v>-6.171822796870563E-3</v>
      </c>
      <c r="N20" s="12">
        <f t="shared" si="13"/>
        <v>1.4195431642021639E-2</v>
      </c>
      <c r="O20" s="12">
        <f t="shared" si="13"/>
        <v>2.5207526776170219E-2</v>
      </c>
      <c r="P20" s="12">
        <f t="shared" si="13"/>
        <v>1.7327556454256321E-3</v>
      </c>
      <c r="Q20" s="11">
        <f>(((Q18/Q6)^(1/4))-1)</f>
        <v>2.3434165448268374E-2</v>
      </c>
    </row>
    <row r="21" spans="1:17" ht="20.100000000000001" customHeight="1" x14ac:dyDescent="0.25">
      <c r="A21" s="1" t="s">
        <v>24</v>
      </c>
      <c r="B21" s="2">
        <v>123811</v>
      </c>
      <c r="C21" s="2">
        <v>525764.72</v>
      </c>
      <c r="D21" s="2">
        <v>452319.3490000001</v>
      </c>
      <c r="E21" s="2">
        <v>18625233</v>
      </c>
      <c r="F21" s="2">
        <v>64821.373093000024</v>
      </c>
      <c r="G21" s="2">
        <v>81720.682787000012</v>
      </c>
      <c r="H21" s="8">
        <v>79.320645499197539</v>
      </c>
      <c r="I21" s="3">
        <v>248440.97881</v>
      </c>
      <c r="J21" s="3">
        <v>3628.6967999999997</v>
      </c>
      <c r="K21" s="3">
        <v>252069.67561000001</v>
      </c>
      <c r="L21" s="3">
        <v>5893.5588024199997</v>
      </c>
      <c r="M21" s="3">
        <v>1133.5887945600005</v>
      </c>
      <c r="N21" s="3">
        <v>24.959619999999994</v>
      </c>
      <c r="O21" s="3">
        <v>7052.10721698</v>
      </c>
      <c r="P21" s="3">
        <v>10538.539808000003</v>
      </c>
      <c r="Q21" s="8">
        <v>66.917308711275297</v>
      </c>
    </row>
    <row r="22" spans="1:17" ht="20.100000000000001" customHeight="1" x14ac:dyDescent="0.25">
      <c r="A22" s="4" t="s">
        <v>29</v>
      </c>
      <c r="B22" s="6">
        <f>(B21-B18)/B18</f>
        <v>5.0884429958579482E-2</v>
      </c>
      <c r="C22" s="6">
        <f t="shared" ref="C22:Q22" si="15">(C21-C18)/C18</f>
        <v>7.9364103077443127E-2</v>
      </c>
      <c r="D22" s="6">
        <f t="shared" si="15"/>
        <v>0.22479589039012007</v>
      </c>
      <c r="E22" s="6">
        <f t="shared" si="15"/>
        <v>7.484876129341729E-2</v>
      </c>
      <c r="F22" s="6">
        <f t="shared" si="15"/>
        <v>8.2524336405276066E-2</v>
      </c>
      <c r="G22" s="6">
        <f t="shared" si="15"/>
        <v>7.3186522895338238E-2</v>
      </c>
      <c r="H22" s="10">
        <f t="shared" si="15"/>
        <v>8.7010163757418289E-3</v>
      </c>
      <c r="I22" s="6">
        <f t="shared" si="15"/>
        <v>-8.895322556638989E-3</v>
      </c>
      <c r="J22" s="6">
        <f t="shared" si="15"/>
        <v>-0.1821752035717748</v>
      </c>
      <c r="K22" s="6">
        <f t="shared" si="15"/>
        <v>-1.1909125374087826E-2</v>
      </c>
      <c r="L22" s="6">
        <f t="shared" si="15"/>
        <v>9.8768961609452643E-2</v>
      </c>
      <c r="M22" s="6">
        <f t="shared" si="15"/>
        <v>-8.6621397104287762E-2</v>
      </c>
      <c r="N22" s="6">
        <f t="shared" si="15"/>
        <v>-0.16289572728230126</v>
      </c>
      <c r="O22" s="6">
        <f t="shared" si="15"/>
        <v>6.2913678788336203E-2</v>
      </c>
      <c r="P22" s="6">
        <f t="shared" si="15"/>
        <v>7.5800437091437065E-2</v>
      </c>
      <c r="Q22" s="10">
        <f t="shared" si="15"/>
        <v>-1.1978762843731248E-2</v>
      </c>
    </row>
    <row r="23" spans="1:17" ht="20.100000000000001" customHeight="1" x14ac:dyDescent="0.25">
      <c r="A23" s="9" t="s">
        <v>30</v>
      </c>
      <c r="B23" s="12">
        <f>((B21/B6)^(1/5))-1</f>
        <v>4.0117806465312267E-2</v>
      </c>
      <c r="C23" s="12">
        <f t="shared" ref="C23:P23" si="16">((C21/C6)^(1/5))-1</f>
        <v>2.6151600228348837E-2</v>
      </c>
      <c r="D23" s="12">
        <f t="shared" si="16"/>
        <v>6.9524233202086227E-2</v>
      </c>
      <c r="E23" s="12">
        <f t="shared" si="16"/>
        <v>7.1964767529441254E-2</v>
      </c>
      <c r="F23" s="12">
        <f t="shared" si="16"/>
        <v>5.1349016101652767E-2</v>
      </c>
      <c r="G23" s="12">
        <f t="shared" si="16"/>
        <v>3.3596261711170028E-2</v>
      </c>
      <c r="H23" s="11">
        <f t="shared" ref="H23" si="17">(((H21/H6)^(1/5))-1)</f>
        <v>1.7175714588104407E-2</v>
      </c>
      <c r="I23" s="12">
        <f t="shared" si="16"/>
        <v>-8.3043941097669105E-3</v>
      </c>
      <c r="J23" s="12">
        <f t="shared" si="16"/>
        <v>3.4539645721975987E-3</v>
      </c>
      <c r="K23" s="12">
        <f t="shared" si="16"/>
        <v>-8.1409027929402189E-3</v>
      </c>
      <c r="L23" s="12">
        <f t="shared" si="16"/>
        <v>4.6057031993383291E-2</v>
      </c>
      <c r="M23" s="12">
        <f t="shared" si="16"/>
        <v>-2.2809556028449696E-2</v>
      </c>
      <c r="N23" s="12">
        <f t="shared" si="16"/>
        <v>-2.3992327516982437E-2</v>
      </c>
      <c r="O23" s="12">
        <f t="shared" si="16"/>
        <v>3.264020040535498E-2</v>
      </c>
      <c r="P23" s="12">
        <f t="shared" si="16"/>
        <v>1.6126653511757683E-2</v>
      </c>
      <c r="Q23" s="11">
        <f t="shared" ref="Q23" si="18">(((Q21/Q6)^(1/5))-1)</f>
        <v>1.6251465146127186E-2</v>
      </c>
    </row>
    <row r="24" spans="1:17" ht="20.100000000000001" customHeight="1" x14ac:dyDescent="0.25">
      <c r="A24" s="1" t="s">
        <v>25</v>
      </c>
      <c r="B24" s="2">
        <v>136185</v>
      </c>
      <c r="C24" s="2">
        <v>586773.15269999998</v>
      </c>
      <c r="D24" s="2">
        <v>493070.42699999997</v>
      </c>
      <c r="E24" s="2">
        <v>20814238</v>
      </c>
      <c r="F24" s="2">
        <v>71444.051680000033</v>
      </c>
      <c r="G24" s="2">
        <v>91245.56871599998</v>
      </c>
      <c r="H24" s="8">
        <v>78.298653496662638</v>
      </c>
      <c r="I24" s="3">
        <v>289328.55784000002</v>
      </c>
      <c r="J24" s="3">
        <v>3955.625</v>
      </c>
      <c r="K24" s="3">
        <v>293284.18284000002</v>
      </c>
      <c r="L24" s="3">
        <v>6523.0730079899995</v>
      </c>
      <c r="M24" s="3">
        <v>1324.0681705300001</v>
      </c>
      <c r="N24" s="3">
        <v>24.957540000000002</v>
      </c>
      <c r="O24" s="3">
        <v>7872.0987185200001</v>
      </c>
      <c r="P24" s="3">
        <v>11716.084227449994</v>
      </c>
      <c r="Q24" s="8">
        <v>67.190526849202783</v>
      </c>
    </row>
    <row r="25" spans="1:17" ht="20.100000000000001" customHeight="1" x14ac:dyDescent="0.25">
      <c r="A25" s="4" t="s">
        <v>29</v>
      </c>
      <c r="B25" s="6">
        <f>(B24-B21)/B21</f>
        <v>9.9942654529888292E-2</v>
      </c>
      <c r="C25" s="6">
        <f t="shared" ref="C25:Q25" si="19">(C24-C21)/C21</f>
        <v>0.116037517123629</v>
      </c>
      <c r="D25" s="6">
        <f t="shared" si="19"/>
        <v>9.0093598892228358E-2</v>
      </c>
      <c r="E25" s="6">
        <f t="shared" si="19"/>
        <v>0.11752899950298608</v>
      </c>
      <c r="F25" s="6">
        <f t="shared" si="19"/>
        <v>0.10216813175954127</v>
      </c>
      <c r="G25" s="6">
        <f t="shared" si="19"/>
        <v>0.11655416479847584</v>
      </c>
      <c r="H25" s="10">
        <f t="shared" si="19"/>
        <v>-1.2884312729719785E-2</v>
      </c>
      <c r="I25" s="6">
        <f t="shared" si="19"/>
        <v>0.1645766299337823</v>
      </c>
      <c r="J25" s="6">
        <f t="shared" si="19"/>
        <v>9.0095209938730714E-2</v>
      </c>
      <c r="K25" s="6">
        <f t="shared" si="19"/>
        <v>0.16350442444241783</v>
      </c>
      <c r="L25" s="6">
        <f t="shared" si="19"/>
        <v>0.10681393478444809</v>
      </c>
      <c r="M25" s="6">
        <f t="shared" si="19"/>
        <v>0.16803216200097823</v>
      </c>
      <c r="N25" s="6">
        <f t="shared" si="19"/>
        <v>-8.333460204892185E-5</v>
      </c>
      <c r="O25" s="6">
        <f t="shared" si="19"/>
        <v>0.11627609681906595</v>
      </c>
      <c r="P25" s="6">
        <f t="shared" si="19"/>
        <v>0.11173696175214848</v>
      </c>
      <c r="Q25" s="10">
        <f t="shared" si="19"/>
        <v>4.0829217909274665E-3</v>
      </c>
    </row>
    <row r="26" spans="1:17" ht="20.100000000000001" customHeight="1" x14ac:dyDescent="0.25">
      <c r="A26" s="9" t="s">
        <v>30</v>
      </c>
      <c r="B26" s="12">
        <f>((B24/B6)^(1/6))-1</f>
        <v>4.9857729758753022E-2</v>
      </c>
      <c r="C26" s="12">
        <f t="shared" ref="C26:P26" si="20">((C24/C6)^(1/6))-1</f>
        <v>4.061337757939909E-2</v>
      </c>
      <c r="D26" s="12">
        <f t="shared" si="20"/>
        <v>7.2925307462195832E-2</v>
      </c>
      <c r="E26" s="12">
        <f t="shared" si="20"/>
        <v>7.9427703207277878E-2</v>
      </c>
      <c r="F26" s="12">
        <f t="shared" si="20"/>
        <v>5.9653154789463869E-2</v>
      </c>
      <c r="G26" s="12">
        <f t="shared" si="20"/>
        <v>4.6981660069657982E-2</v>
      </c>
      <c r="H26" s="11">
        <f t="shared" ref="H26" si="21">(((H24/H6)^(1/6))-1)</f>
        <v>1.2102881266289778E-2</v>
      </c>
      <c r="I26" s="12">
        <f t="shared" si="20"/>
        <v>1.8614848231374159E-2</v>
      </c>
      <c r="J26" s="12">
        <f t="shared" si="20"/>
        <v>1.740050653575409E-2</v>
      </c>
      <c r="K26" s="12">
        <f t="shared" si="20"/>
        <v>1.8598402358696919E-2</v>
      </c>
      <c r="L26" s="12">
        <f t="shared" si="20"/>
        <v>5.5946477566234609E-2</v>
      </c>
      <c r="M26" s="12">
        <f t="shared" si="20"/>
        <v>6.6808558165136755E-3</v>
      </c>
      <c r="N26" s="12">
        <f t="shared" si="20"/>
        <v>-2.0047569910037866E-2</v>
      </c>
      <c r="O26" s="12">
        <f t="shared" si="20"/>
        <v>4.6131134404449714E-2</v>
      </c>
      <c r="P26" s="12">
        <f t="shared" si="20"/>
        <v>3.1470654803151588E-2</v>
      </c>
      <c r="Q26" s="11">
        <f t="shared" ref="Q26" si="22">(((Q24/Q6)^(1/6))-1)</f>
        <v>1.4213181473491376E-2</v>
      </c>
    </row>
    <row r="27" spans="1:17" ht="20.100000000000001" customHeight="1" x14ac:dyDescent="0.25">
      <c r="A27" s="1" t="s">
        <v>26</v>
      </c>
      <c r="B27" s="2">
        <v>150788</v>
      </c>
      <c r="C27" s="2">
        <v>650107.8759000001</v>
      </c>
      <c r="D27" s="2">
        <v>540519.45699999994</v>
      </c>
      <c r="E27" s="2">
        <v>23804236</v>
      </c>
      <c r="F27" s="2">
        <v>82366.965082999988</v>
      </c>
      <c r="G27" s="2">
        <v>101669.56239000005</v>
      </c>
      <c r="H27" s="8">
        <v>81.014379472829702</v>
      </c>
      <c r="I27" s="3">
        <v>364269.68732000003</v>
      </c>
      <c r="J27" s="3">
        <v>6349.9219199999998</v>
      </c>
      <c r="K27" s="3">
        <v>370619.60924000002</v>
      </c>
      <c r="L27" s="3">
        <v>7506.6261299999978</v>
      </c>
      <c r="M27" s="3">
        <v>1735.9185199999999</v>
      </c>
      <c r="N27" s="3">
        <v>40.04726999999999</v>
      </c>
      <c r="O27" s="3">
        <v>9282.5919199999971</v>
      </c>
      <c r="P27" s="3">
        <v>13274.71751</v>
      </c>
      <c r="Q27" s="8">
        <v>69.926850895375452</v>
      </c>
    </row>
    <row r="28" spans="1:17" ht="20.100000000000001" customHeight="1" x14ac:dyDescent="0.25">
      <c r="A28" s="4" t="s">
        <v>29</v>
      </c>
      <c r="B28" s="6">
        <f>(B27-B24)/B24</f>
        <v>0.10722913683592172</v>
      </c>
      <c r="C28" s="6">
        <f t="shared" ref="C28:Q28" si="23">(C27-C24)/C24</f>
        <v>0.10793732281132727</v>
      </c>
      <c r="D28" s="6">
        <f t="shared" si="23"/>
        <v>9.62317498713018E-2</v>
      </c>
      <c r="E28" s="6">
        <f t="shared" si="23"/>
        <v>0.14365157158287514</v>
      </c>
      <c r="F28" s="6">
        <f t="shared" si="23"/>
        <v>0.15288765329161341</v>
      </c>
      <c r="G28" s="6">
        <f t="shared" si="23"/>
        <v>0.11424109489025756</v>
      </c>
      <c r="H28" s="10">
        <f t="shared" si="23"/>
        <v>3.4684197682694734E-2</v>
      </c>
      <c r="I28" s="6">
        <f t="shared" si="23"/>
        <v>0.25901739544646946</v>
      </c>
      <c r="J28" s="6">
        <f t="shared" si="23"/>
        <v>0.60528915658081839</v>
      </c>
      <c r="K28" s="6">
        <f t="shared" si="23"/>
        <v>0.26368768220340755</v>
      </c>
      <c r="L28" s="6">
        <f t="shared" si="23"/>
        <v>0.15078063986180457</v>
      </c>
      <c r="M28" s="6">
        <f t="shared" si="23"/>
        <v>0.31104920323335294</v>
      </c>
      <c r="N28" s="6">
        <f t="shared" si="23"/>
        <v>0.60461607995018696</v>
      </c>
      <c r="O28" s="6">
        <f t="shared" si="23"/>
        <v>0.17917625933242587</v>
      </c>
      <c r="P28" s="6">
        <f t="shared" si="23"/>
        <v>0.13303363583698333</v>
      </c>
      <c r="Q28" s="10">
        <f t="shared" si="23"/>
        <v>4.0724848791762906E-2</v>
      </c>
    </row>
    <row r="29" spans="1:17" ht="20.100000000000001" customHeight="1" x14ac:dyDescent="0.25">
      <c r="A29" s="9" t="s">
        <v>30</v>
      </c>
      <c r="B29" s="12">
        <f>((B27/B6)^(1/7))-1</f>
        <v>5.7867946322988972E-2</v>
      </c>
      <c r="C29" s="12">
        <f t="shared" ref="C29:P29" si="24">((C27/C6)^(1/7))-1</f>
        <v>4.9974623647186078E-2</v>
      </c>
      <c r="D29" s="12">
        <f t="shared" si="24"/>
        <v>7.6224213541172814E-2</v>
      </c>
      <c r="E29" s="12">
        <f t="shared" si="24"/>
        <v>8.8376857484887328E-2</v>
      </c>
      <c r="F29" s="12">
        <f t="shared" si="24"/>
        <v>7.2495870559690312E-2</v>
      </c>
      <c r="G29" s="12">
        <f t="shared" si="24"/>
        <v>5.6335670402358762E-2</v>
      </c>
      <c r="H29" s="11">
        <f t="shared" ref="H29" si="25">(((H27/H6)^(1/7))-1)</f>
        <v>1.5298356961832127E-2</v>
      </c>
      <c r="I29" s="12">
        <f t="shared" si="24"/>
        <v>4.9919407705069307E-2</v>
      </c>
      <c r="J29" s="12">
        <f t="shared" si="24"/>
        <v>8.5891476371324327E-2</v>
      </c>
      <c r="K29" s="12">
        <f t="shared" si="24"/>
        <v>5.0460365563521403E-2</v>
      </c>
      <c r="L29" s="12">
        <f t="shared" si="24"/>
        <v>6.9000015930225533E-2</v>
      </c>
      <c r="M29" s="12">
        <f t="shared" si="24"/>
        <v>4.5397379167376073E-2</v>
      </c>
      <c r="N29" s="12">
        <f t="shared" si="24"/>
        <v>5.1477921285413286E-2</v>
      </c>
      <c r="O29" s="12">
        <f t="shared" si="24"/>
        <v>6.4176444776916197E-2</v>
      </c>
      <c r="P29" s="12">
        <f t="shared" si="24"/>
        <v>4.5402267381914996E-2</v>
      </c>
      <c r="Q29" s="11">
        <f t="shared" ref="Q29" si="26">(((Q27/Q6)^(1/7))-1)</f>
        <v>1.7958806844774688E-2</v>
      </c>
    </row>
    <row r="30" spans="1:17" ht="20.100000000000001" customHeight="1" x14ac:dyDescent="0.25">
      <c r="A30" s="1" t="s">
        <v>33</v>
      </c>
      <c r="B30" s="2">
        <v>163287</v>
      </c>
      <c r="C30" s="2">
        <v>727269.08106</v>
      </c>
      <c r="D30" s="2">
        <v>587582.93200000003</v>
      </c>
      <c r="E30" s="2">
        <v>25899715</v>
      </c>
      <c r="F30" s="2">
        <v>90459.578319000007</v>
      </c>
      <c r="G30" s="2">
        <v>111719.98934700001</v>
      </c>
      <c r="H30" s="8">
        <v>80.969913126320122</v>
      </c>
      <c r="I30" s="3">
        <v>377610.96850000002</v>
      </c>
      <c r="J30" s="3">
        <v>6564.5598699999991</v>
      </c>
      <c r="K30" s="3">
        <v>384175.52837000001</v>
      </c>
      <c r="L30" s="3">
        <v>8161.4586828370002</v>
      </c>
      <c r="M30" s="3">
        <v>1859.6218625654001</v>
      </c>
      <c r="N30" s="3">
        <v>37.9</v>
      </c>
      <c r="O30" s="3">
        <v>10058.976029741401</v>
      </c>
      <c r="P30" s="3">
        <v>14417.070403860002</v>
      </c>
      <c r="Q30" s="8">
        <v>69.771290199486216</v>
      </c>
    </row>
    <row r="31" spans="1:17" ht="20.100000000000001" customHeight="1" x14ac:dyDescent="0.25">
      <c r="A31" s="4" t="s">
        <v>29</v>
      </c>
      <c r="B31" s="6">
        <f>(B30-B27)/B27</f>
        <v>8.289121150224156E-2</v>
      </c>
      <c r="C31" s="6">
        <f t="shared" ref="C31:Q31" si="27">(C30-C27)/C27</f>
        <v>0.11868984828583874</v>
      </c>
      <c r="D31" s="6">
        <f t="shared" si="27"/>
        <v>8.7070824908343863E-2</v>
      </c>
      <c r="E31" s="6">
        <f t="shared" si="27"/>
        <v>8.8029668332980732E-2</v>
      </c>
      <c r="F31" s="6">
        <f t="shared" si="27"/>
        <v>9.8250715293992083E-2</v>
      </c>
      <c r="G31" s="6">
        <f t="shared" si="27"/>
        <v>9.8853842986428478E-2</v>
      </c>
      <c r="H31" s="10">
        <f t="shared" si="27"/>
        <v>-5.4886980310073219E-4</v>
      </c>
      <c r="I31" s="6">
        <f t="shared" si="27"/>
        <v>3.6624736134796949E-2</v>
      </c>
      <c r="J31" s="6">
        <f t="shared" si="27"/>
        <v>3.3801667595937834E-2</v>
      </c>
      <c r="K31" s="6">
        <f t="shared" si="27"/>
        <v>3.6576367769093579E-2</v>
      </c>
      <c r="L31" s="6">
        <f t="shared" si="27"/>
        <v>8.7233937257110011E-2</v>
      </c>
      <c r="M31" s="6">
        <f t="shared" si="27"/>
        <v>7.1261030480509038E-2</v>
      </c>
      <c r="N31" s="6">
        <f t="shared" si="27"/>
        <v>-5.3618386471786773E-2</v>
      </c>
      <c r="O31" s="6">
        <f t="shared" si="27"/>
        <v>8.3638720352300536E-2</v>
      </c>
      <c r="P31" s="6">
        <f t="shared" si="27"/>
        <v>8.6054779922770733E-2</v>
      </c>
      <c r="Q31" s="10">
        <f t="shared" si="27"/>
        <v>-2.2246203553765833E-3</v>
      </c>
    </row>
    <row r="32" spans="1:17" ht="20.100000000000001" customHeight="1" x14ac:dyDescent="0.25">
      <c r="A32" s="9" t="s">
        <v>30</v>
      </c>
      <c r="B32" s="12">
        <f>((B30/B6)^(1/8))-1</f>
        <v>6.0963954901874784E-2</v>
      </c>
      <c r="C32" s="12">
        <f t="shared" ref="C32:P32" si="28">((C30/C6)^(1/8))-1</f>
        <v>5.8327703585148605E-2</v>
      </c>
      <c r="D32" s="12">
        <f t="shared" si="28"/>
        <v>7.7574099106603622E-2</v>
      </c>
      <c r="E32" s="12">
        <f t="shared" si="28"/>
        <v>8.8333452782921373E-2</v>
      </c>
      <c r="F32" s="12">
        <f t="shared" si="28"/>
        <v>7.5681902328134099E-2</v>
      </c>
      <c r="G32" s="12">
        <f t="shared" si="28"/>
        <v>6.1559139097906446E-2</v>
      </c>
      <c r="H32" s="11">
        <f t="shared" ref="H32" si="29">(((H30/H6)^(1/8))-1)</f>
        <v>1.3303793175601042E-2</v>
      </c>
      <c r="I32" s="12">
        <f t="shared" si="28"/>
        <v>4.8248293882277915E-2</v>
      </c>
      <c r="J32" s="12">
        <f t="shared" si="28"/>
        <v>7.9239357449309988E-2</v>
      </c>
      <c r="K32" s="12">
        <f t="shared" si="28"/>
        <v>4.8714746679625609E-2</v>
      </c>
      <c r="L32" s="12">
        <f t="shared" si="28"/>
        <v>7.1262426548959201E-2</v>
      </c>
      <c r="M32" s="12">
        <f t="shared" si="28"/>
        <v>4.8595873821290159E-2</v>
      </c>
      <c r="N32" s="12">
        <f t="shared" si="28"/>
        <v>3.7727736896087327E-2</v>
      </c>
      <c r="O32" s="12">
        <f t="shared" si="28"/>
        <v>6.6589983510506601E-2</v>
      </c>
      <c r="P32" s="12">
        <f t="shared" si="28"/>
        <v>5.0399422747446465E-2</v>
      </c>
      <c r="Q32" s="11">
        <f t="shared" ref="Q32" si="30">(((Q30/Q6)^(1/8))-1)</f>
        <v>1.5413718260346654E-2</v>
      </c>
    </row>
    <row r="33" spans="1:17" ht="20.100000000000001" customHeight="1" x14ac:dyDescent="0.25">
      <c r="A33" s="7" t="s">
        <v>34</v>
      </c>
      <c r="B33" s="2">
        <v>147399</v>
      </c>
      <c r="C33" s="2">
        <v>630851.16266666644</v>
      </c>
      <c r="D33" s="2">
        <v>515631.53700000007</v>
      </c>
      <c r="E33" s="2">
        <v>22722845</v>
      </c>
      <c r="F33" s="2">
        <v>74802.539505000008</v>
      </c>
      <c r="G33" s="2">
        <v>92360.975068000014</v>
      </c>
      <c r="H33" s="8">
        <v>80.989334997738212</v>
      </c>
      <c r="I33" s="3">
        <v>215922.74279755502</v>
      </c>
      <c r="J33" s="3">
        <v>6176.4330999999993</v>
      </c>
      <c r="K33" s="3">
        <v>222099.17938755505</v>
      </c>
      <c r="L33" s="3">
        <v>7053.3753653539989</v>
      </c>
      <c r="M33" s="3">
        <v>936.68351382659989</v>
      </c>
      <c r="N33" s="3">
        <v>33.924483668000022</v>
      </c>
      <c r="O33" s="3">
        <v>8023.9833628486003</v>
      </c>
      <c r="P33" s="3">
        <v>11311.344425956002</v>
      </c>
      <c r="Q33" s="8">
        <v>70.937485949380743</v>
      </c>
    </row>
    <row r="34" spans="1:17" ht="20.100000000000001" customHeight="1" x14ac:dyDescent="0.25">
      <c r="A34" s="4" t="s">
        <v>29</v>
      </c>
      <c r="B34" s="6">
        <f>(B33-B30)/B30</f>
        <v>-9.7301071120174901E-2</v>
      </c>
      <c r="C34" s="6">
        <f t="shared" ref="C34:Q34" si="31">(C33-C30)/C30</f>
        <v>-0.13257530246274699</v>
      </c>
      <c r="D34" s="6">
        <f t="shared" si="31"/>
        <v>-0.12245317398021349</v>
      </c>
      <c r="E34" s="6">
        <f t="shared" si="31"/>
        <v>-0.1226604230973198</v>
      </c>
      <c r="F34" s="6">
        <f t="shared" si="31"/>
        <v>-0.17308326110902747</v>
      </c>
      <c r="G34" s="6">
        <f t="shared" si="31"/>
        <v>-0.17328156216405724</v>
      </c>
      <c r="H34" s="10">
        <f t="shared" si="31"/>
        <v>2.3986528660083087E-4</v>
      </c>
      <c r="I34" s="6">
        <f t="shared" si="31"/>
        <v>-0.42818731231437995</v>
      </c>
      <c r="J34" s="6">
        <f t="shared" si="31"/>
        <v>-5.9124568544760628E-2</v>
      </c>
      <c r="K34" s="6">
        <f t="shared" si="31"/>
        <v>-0.42188098151412962</v>
      </c>
      <c r="L34" s="6">
        <f t="shared" si="31"/>
        <v>-0.13577025389018096</v>
      </c>
      <c r="M34" s="6">
        <f t="shared" si="31"/>
        <v>-0.49630431181615658</v>
      </c>
      <c r="N34" s="6">
        <f t="shared" si="31"/>
        <v>-0.10489489002638461</v>
      </c>
      <c r="O34" s="6">
        <f t="shared" si="31"/>
        <v>-0.20230614536469047</v>
      </c>
      <c r="P34" s="6">
        <f t="shared" si="31"/>
        <v>-0.21542004657704092</v>
      </c>
      <c r="Q34" s="10">
        <f t="shared" si="31"/>
        <v>1.6714550448475363E-2</v>
      </c>
    </row>
    <row r="35" spans="1:17" ht="20.100000000000001" customHeight="1" x14ac:dyDescent="0.25">
      <c r="A35" s="9" t="s">
        <v>30</v>
      </c>
      <c r="B35" s="12">
        <f>((B33/B6)^(1/9))-1</f>
        <v>4.2090241932571493E-2</v>
      </c>
      <c r="C35" s="12">
        <f t="shared" ref="C35:P35" si="32">((C33/C6)^(1/9))-1</f>
        <v>3.5193307559615361E-2</v>
      </c>
      <c r="D35" s="12">
        <f t="shared" si="32"/>
        <v>5.3267311108430082E-2</v>
      </c>
      <c r="E35" s="12">
        <f t="shared" si="32"/>
        <v>6.2582395993383111E-2</v>
      </c>
      <c r="F35" s="12">
        <f t="shared" si="32"/>
        <v>4.4702225508351345E-2</v>
      </c>
      <c r="G35" s="12">
        <f t="shared" si="32"/>
        <v>3.2473750772164633E-2</v>
      </c>
      <c r="H35" s="11">
        <f t="shared" ref="H35" si="33">(((H33/H6)^(1/9))-1)</f>
        <v>1.1843860172756182E-2</v>
      </c>
      <c r="I35" s="12">
        <f t="shared" si="32"/>
        <v>-2.0016943902110507E-2</v>
      </c>
      <c r="J35" s="12">
        <f t="shared" si="32"/>
        <v>6.2911601459750832E-2</v>
      </c>
      <c r="K35" s="12">
        <f t="shared" si="32"/>
        <v>-1.8433825123531866E-2</v>
      </c>
      <c r="L35" s="12">
        <f t="shared" si="32"/>
        <v>4.6002952142182085E-2</v>
      </c>
      <c r="M35" s="12">
        <f t="shared" si="32"/>
        <v>-3.3446423689628468E-2</v>
      </c>
      <c r="N35" s="12">
        <f t="shared" si="32"/>
        <v>2.0819713772010751E-2</v>
      </c>
      <c r="O35" s="12">
        <f t="shared" si="32"/>
        <v>3.2712856454840233E-2</v>
      </c>
      <c r="P35" s="12">
        <f t="shared" si="32"/>
        <v>1.6891876773437398E-2</v>
      </c>
      <c r="Q35" s="11">
        <f t="shared" ref="Q35" si="34">(((Q33/Q6)^(1/9))-1)</f>
        <v>1.5558172941259274E-2</v>
      </c>
    </row>
    <row r="36" spans="1:17" ht="20.100000000000001" customHeight="1" x14ac:dyDescent="0.25">
      <c r="A36" s="7" t="s">
        <v>37</v>
      </c>
      <c r="B36" s="2">
        <v>47207</v>
      </c>
      <c r="C36" s="2">
        <v>210557.52826333337</v>
      </c>
      <c r="D36" s="2">
        <v>163108.09158064515</v>
      </c>
      <c r="E36" s="2">
        <v>5427003</v>
      </c>
      <c r="F36" s="2">
        <v>21260.183776999998</v>
      </c>
      <c r="G36" s="2">
        <v>30855.795705</v>
      </c>
      <c r="H36" s="8">
        <v>68.901751814343655</v>
      </c>
      <c r="I36" s="3">
        <v>120454.78781000001</v>
      </c>
      <c r="J36" s="3">
        <v>927.59450999999979</v>
      </c>
      <c r="K36" s="3">
        <v>121382.38232000005</v>
      </c>
      <c r="L36" s="3">
        <v>1834.1340398259999</v>
      </c>
      <c r="M36" s="3">
        <v>451.91058800016998</v>
      </c>
      <c r="N36" s="3">
        <v>2.1946259985061443</v>
      </c>
      <c r="O36" s="3">
        <v>2288.2392538246763</v>
      </c>
      <c r="P36" s="3">
        <v>4167.0377520250004</v>
      </c>
      <c r="Q36" s="8">
        <v>54.912851526547634</v>
      </c>
    </row>
    <row r="37" spans="1:17" ht="20.100000000000001" customHeight="1" x14ac:dyDescent="0.25">
      <c r="A37" s="4" t="s">
        <v>29</v>
      </c>
      <c r="B37" s="6">
        <f>(B36-B33)/B33</f>
        <v>-0.67973324106676436</v>
      </c>
      <c r="C37" s="6">
        <f t="shared" ref="C37:Q37" si="35">(C36-C33)/C33</f>
        <v>-0.66623263818158451</v>
      </c>
      <c r="D37" s="6">
        <f t="shared" si="35"/>
        <v>-0.68367316605647199</v>
      </c>
      <c r="E37" s="6">
        <f t="shared" si="35"/>
        <v>-0.76116533823119426</v>
      </c>
      <c r="F37" s="6">
        <f t="shared" si="35"/>
        <v>-0.71578259350969087</v>
      </c>
      <c r="G37" s="6">
        <f t="shared" si="35"/>
        <v>-0.66592171983586501</v>
      </c>
      <c r="H37" s="10">
        <f t="shared" si="35"/>
        <v>-0.14924907314934893</v>
      </c>
      <c r="I37" s="6">
        <f t="shared" si="35"/>
        <v>-0.44213941408230406</v>
      </c>
      <c r="J37" s="6">
        <f t="shared" si="35"/>
        <v>-0.84981712017572086</v>
      </c>
      <c r="K37" s="6">
        <f t="shared" si="35"/>
        <v>-0.4534766735531599</v>
      </c>
      <c r="L37" s="6">
        <f t="shared" si="35"/>
        <v>-0.73996364225343514</v>
      </c>
      <c r="M37" s="6">
        <f t="shared" si="35"/>
        <v>-0.51754185770389438</v>
      </c>
      <c r="N37" s="6">
        <f t="shared" si="35"/>
        <v>-0.93530849223871104</v>
      </c>
      <c r="O37" s="6">
        <f t="shared" si="35"/>
        <v>-0.71482502513410917</v>
      </c>
      <c r="P37" s="6">
        <f t="shared" si="35"/>
        <v>-0.63160544006926789</v>
      </c>
      <c r="Q37" s="10">
        <f t="shared" si="35"/>
        <v>-0.22589797493342093</v>
      </c>
    </row>
    <row r="38" spans="1:17" ht="20.100000000000001" customHeight="1" x14ac:dyDescent="0.25">
      <c r="A38" s="9" t="s">
        <v>30</v>
      </c>
      <c r="B38" s="12">
        <f>((B36/B6)^(1/10))-1</f>
        <v>-7.3882730261903284E-2</v>
      </c>
      <c r="C38" s="12">
        <f t="shared" ref="C38:P38" si="36">((C36/C6)^(1/10))-1</f>
        <v>-7.5591997025045488E-2</v>
      </c>
      <c r="D38" s="12">
        <f t="shared" si="36"/>
        <v>-6.6104358300661747E-2</v>
      </c>
      <c r="E38" s="12">
        <f t="shared" si="36"/>
        <v>-8.4757685923690929E-2</v>
      </c>
      <c r="F38" s="12">
        <f t="shared" si="36"/>
        <v>-8.2812061063159859E-2</v>
      </c>
      <c r="G38" s="12">
        <f t="shared" si="36"/>
        <v>-7.7692072924002709E-2</v>
      </c>
      <c r="H38" s="11">
        <f t="shared" ref="H38" si="37">(((H36/H6)^(1/10))-1)</f>
        <v>-5.5512784709431662E-3</v>
      </c>
      <c r="I38" s="12">
        <f t="shared" si="36"/>
        <v>-7.3705089179075034E-2</v>
      </c>
      <c r="J38" s="12">
        <f t="shared" si="36"/>
        <v>-0.12600393891020312</v>
      </c>
      <c r="K38" s="12">
        <f t="shared" si="36"/>
        <v>-7.4261137188074255E-2</v>
      </c>
      <c r="L38" s="12">
        <f t="shared" si="36"/>
        <v>-8.9912757208051808E-2</v>
      </c>
      <c r="M38" s="12">
        <f t="shared" si="36"/>
        <v>-9.8326506507585898E-2</v>
      </c>
      <c r="N38" s="12">
        <f t="shared" si="36"/>
        <v>-0.22529051906615738</v>
      </c>
      <c r="O38" s="12">
        <f t="shared" si="36"/>
        <v>-9.1985536133902923E-2</v>
      </c>
      <c r="P38" s="12">
        <f t="shared" si="36"/>
        <v>-8.1289624547057904E-2</v>
      </c>
      <c r="Q38" s="11">
        <f t="shared" ref="Q38" si="38">(((Q36/Q6)^(1/10))-1)</f>
        <v>-1.1642310648306009E-2</v>
      </c>
    </row>
    <row r="39" spans="1:17" x14ac:dyDescent="0.25">
      <c r="A39" s="24" t="s">
        <v>27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ht="28.5" customHeight="1" x14ac:dyDescent="0.25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29.25" customHeight="1" x14ac:dyDescent="0.25">
      <c r="A41" s="21" t="s">
        <v>38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90" fitToHeight="0" orientation="landscape" horizontalDpi="300" verticalDpi="300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2022-04-25T06:14:32Z</cp:lastPrinted>
  <dcterms:created xsi:type="dcterms:W3CDTF">2018-10-29T04:00:15Z</dcterms:created>
  <dcterms:modified xsi:type="dcterms:W3CDTF">2022-04-25T11:36:47Z</dcterms:modified>
</cp:coreProperties>
</file>