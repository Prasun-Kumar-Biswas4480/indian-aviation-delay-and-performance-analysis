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rti\Downloads\put up\put up\final -Traffic Data Tables for Scheduled Airlines\Traffic Data Tables for Scheduled Airlines\02. SCHEDULED NATIONAL AIRLINES\"/>
    </mc:Choice>
  </mc:AlternateContent>
  <bookViews>
    <workbookView xWindow="0" yWindow="0" windowWidth="24000" windowHeight="9435"/>
  </bookViews>
  <sheets>
    <sheet name="1.01" sheetId="1" r:id="rId1"/>
  </sheets>
  <definedNames>
    <definedName name="_xlnm.Print_Area" localSheetId="0">'1.01'!$A$1:$Q$19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18" i="1" l="1"/>
  <c r="O18" i="1"/>
  <c r="N18" i="1"/>
  <c r="M18" i="1"/>
  <c r="L18" i="1"/>
  <c r="K18" i="1"/>
  <c r="J18" i="1"/>
  <c r="I18" i="1"/>
  <c r="G18" i="1"/>
  <c r="F18" i="1"/>
  <c r="H18" i="1" s="1"/>
  <c r="E18" i="1"/>
  <c r="D18" i="1"/>
  <c r="C18" i="1"/>
  <c r="B18" i="1"/>
  <c r="Q18" i="1" l="1"/>
  <c r="Q7" i="1"/>
  <c r="Q8" i="1"/>
  <c r="Q9" i="1"/>
  <c r="Q10" i="1"/>
  <c r="Q11" i="1"/>
  <c r="Q12" i="1"/>
  <c r="Q13" i="1"/>
  <c r="Q14" i="1"/>
  <c r="Q15" i="1"/>
  <c r="Q16" i="1"/>
  <c r="Q17" i="1"/>
  <c r="H7" i="1"/>
  <c r="H8" i="1"/>
  <c r="H9" i="1"/>
  <c r="H10" i="1"/>
  <c r="H11" i="1"/>
  <c r="H12" i="1"/>
  <c r="H13" i="1"/>
  <c r="H14" i="1"/>
  <c r="H15" i="1"/>
  <c r="H16" i="1"/>
  <c r="H17" i="1"/>
</calcChain>
</file>

<file path=xl/sharedStrings.xml><?xml version="1.0" encoding="utf-8"?>
<sst xmlns="http://schemas.openxmlformats.org/spreadsheetml/2006/main" count="26" uniqueCount="24">
  <si>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</si>
  <si>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</si>
  <si>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</si>
  <si>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</si>
  <si>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</si>
  <si>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</si>
  <si>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</si>
  <si>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</si>
  <si>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</si>
  <si>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</si>
  <si>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</si>
  <si>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</si>
  <si>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</si>
  <si>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</si>
  <si>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</si>
  <si>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</si>
  <si>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</si>
  <si>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</si>
  <si>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</si>
  <si>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SOURCE:-  ICAO ATR FORM 'A' FURNISHED BY ALL SCHEDULED NATIONAL AIRLINES</t>
  </si>
  <si>
    <t xml:space="preserve">तालिका 1.01 (सभी अनुसूचित  राष्ट्रीय एयरलाइन्स) </t>
  </si>
  <si>
    <t>Table 1.01 (ALL SCHEDULED NATIONAL AIRLINES)</t>
  </si>
  <si>
    <t>2020-21</t>
  </si>
  <si>
    <t>MONTHLY TRAFFIC AND OPERATING STATISTICS OF ALL SCHEDULED NATIONAL AIRLINES ON SCHEDULED DOMESTIC SERVICES DURING 2020-21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</si>
</sst>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  <numFmt numFmtId="167" formatCode="#,##0.0"/>
    <numFmt numFmtId="168" formatCode="[$-1010409]mmmm/yy;@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3" fillId="0" borderId="0" applyFont="0" applyFill="0" applyBorder="0" applyAlignment="0" applyProtection="0"/>
    <xf numFmtId="0" fontId="5" fillId="3" borderId="0" applyNumberFormat="0" applyBorder="0" applyAlignment="0" applyProtection="0"/>
    <xf numFmtId="0" fontId="3" fillId="4" borderId="0" applyNumberFormat="0" applyBorder="0" applyAlignment="0" applyProtection="0"/>
  </cellStyleXfs>
  <cellXfs count="20">
    <xf numFmtId="0" fontId="0" fillId="0" borderId="0" xfId="0"/>
    <xf numFmtId="0" fontId="0" fillId="0" borderId="0" xfId="0" applyFont="1"/>
    <xf numFmtId="0" fontId="4" fillId="4" borderId="1" xfId="3" applyFont="1" applyBorder="1" applyAlignment="1" applyProtection="1">
      <alignment horizontal="center" vertical="center" wrapText="1"/>
    </xf>
    <xf numFmtId="165" fontId="3" fillId="4" borderId="1" xfId="3" applyNumberFormat="1" applyBorder="1" applyAlignment="1">
      <alignment horizontal="right" vertical="center"/>
    </xf>
    <xf numFmtId="165" fontId="0" fillId="0" borderId="1" xfId="1" applyNumberFormat="1" applyFont="1" applyBorder="1" applyAlignment="1">
      <alignment horizontal="right" vertical="center"/>
    </xf>
    <xf numFmtId="3" fontId="4" fillId="4" borderId="1" xfId="3" applyNumberFormat="1" applyFont="1" applyBorder="1" applyAlignment="1" applyProtection="1">
      <alignment horizontal="right" vertical="center" wrapText="1"/>
    </xf>
    <xf numFmtId="166" fontId="3" fillId="4" borderId="1" xfId="3" applyNumberFormat="1" applyBorder="1" applyAlignment="1">
      <alignment horizontal="right" vertical="center"/>
    </xf>
    <xf numFmtId="166" fontId="0" fillId="0" borderId="1" xfId="1" applyNumberFormat="1" applyFont="1" applyBorder="1" applyAlignment="1">
      <alignment horizontal="right" vertical="center"/>
    </xf>
    <xf numFmtId="167" fontId="4" fillId="4" borderId="1" xfId="3" applyNumberFormat="1" applyFont="1" applyBorder="1" applyAlignment="1" applyProtection="1">
      <alignment horizontal="right" vertical="center" wrapText="1"/>
    </xf>
    <xf numFmtId="0" fontId="2" fillId="3" borderId="1" xfId="2" applyFont="1" applyBorder="1" applyAlignment="1" applyProtection="1">
      <alignment horizontal="center" vertical="center" textRotation="90" wrapText="1"/>
    </xf>
    <xf numFmtId="0" fontId="1" fillId="2" borderId="1" xfId="0" applyFont="1" applyFill="1" applyBorder="1" applyAlignment="1" applyProtection="1">
      <alignment horizontal="left" vertical="center" wrapText="1"/>
    </xf>
    <xf numFmtId="0" fontId="2" fillId="3" borderId="1" xfId="2" applyFont="1" applyBorder="1" applyAlignment="1" applyProtection="1">
      <alignment horizontal="center" vertical="center" textRotation="90" wrapText="1"/>
    </xf>
    <xf numFmtId="0" fontId="2" fillId="3" borderId="1" xfId="2" applyFont="1" applyBorder="1" applyAlignment="1">
      <alignment textRotation="90"/>
    </xf>
    <xf numFmtId="0" fontId="2" fillId="4" borderId="1" xfId="3" applyFont="1" applyBorder="1" applyAlignment="1">
      <alignment horizontal="center" vertical="center" wrapText="1"/>
    </xf>
    <xf numFmtId="0" fontId="2" fillId="4" borderId="1" xfId="3" quotePrefix="1" applyFont="1" applyBorder="1" applyAlignment="1" applyProtection="1">
      <alignment horizontal="center" vertical="center" wrapText="1"/>
    </xf>
    <xf numFmtId="0" fontId="2" fillId="4" borderId="1" xfId="3" applyFont="1" applyBorder="1"/>
    <xf numFmtId="0" fontId="2" fillId="3" borderId="1" xfId="2" applyFont="1" applyBorder="1" applyAlignment="1" applyProtection="1">
      <alignment horizontal="center" vertical="center" wrapText="1"/>
    </xf>
    <xf numFmtId="0" fontId="2" fillId="3" borderId="1" xfId="2" applyFont="1" applyBorder="1"/>
    <xf numFmtId="168" fontId="3" fillId="4" borderId="1" xfId="3" applyNumberFormat="1" applyFont="1" applyBorder="1" applyAlignment="1" applyProtection="1">
      <alignment horizontal="center" vertical="center" wrapText="1"/>
    </xf>
    <xf numFmtId="168" fontId="2" fillId="2" borderId="1" xfId="0" applyNumberFormat="1" applyFont="1" applyFill="1" applyBorder="1" applyAlignment="1" applyProtection="1">
      <alignment horizontal="center" vertical="center" wrapText="1"/>
    </xf>
  </cellXfs>
  <cellStyles count="4">
    <cellStyle name="40% - Accent2" xfId="3" builtinId="35"/>
    <cellStyle name="Accent2" xfId="2" builtinId="33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5" tint="0.39997558519241921"/>
  </sheetPr>
  <dimension ref="A1:Q19"/>
  <sheetViews>
    <sheetView tabSelected="1" view="pageBreakPreview" topLeftCell="A6" zoomScaleNormal="100" zoomScaleSheetLayoutView="100" workbookViewId="0">
      <selection activeCell="A6" sqref="A6:A17"/>
    </sheetView>
  </sheetViews>
  <sheetFormatPr defaultColWidth="9.140625" defaultRowHeight="15" x14ac:dyDescent="0.25"/>
  <cols>
    <col min="1" max="1" width="14" style="1" customWidth="1"/>
    <col min="2" max="2" width="10.140625" style="1" customWidth="1"/>
    <col min="3" max="3" width="10" style="1" customWidth="1"/>
    <col min="4" max="4" width="9.85546875" style="1" customWidth="1"/>
    <col min="5" max="5" width="11" style="1" customWidth="1"/>
    <col min="6" max="6" width="8.42578125" style="1" customWidth="1"/>
    <col min="7" max="7" width="8.7109375" style="1" customWidth="1"/>
    <col min="8" max="8" width="7.28515625" style="1" customWidth="1"/>
    <col min="9" max="9" width="9.5703125" style="1" customWidth="1"/>
    <col min="10" max="10" width="8.7109375" style="1" customWidth="1"/>
    <col min="11" max="11" width="9.5703125" style="1" customWidth="1"/>
    <col min="12" max="12" width="11" style="1" customWidth="1"/>
    <col min="13" max="13" width="9.28515625" style="1" customWidth="1"/>
    <col min="14" max="14" width="8.5703125" style="1" customWidth="1"/>
    <col min="15" max="15" width="10.140625" style="1" customWidth="1"/>
    <col min="16" max="16" width="11" style="1" customWidth="1"/>
    <col min="17" max="17" width="8.7109375" style="1" customWidth="1"/>
    <col min="18" max="16384" width="9.140625" style="1"/>
  </cols>
  <sheetData>
    <row r="1" spans="1:17" ht="18.75" customHeight="1" x14ac:dyDescent="0.25">
      <c r="A1" s="13" t="s">
        <v>20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 ht="18.75" customHeight="1" x14ac:dyDescent="0.25">
      <c r="A2" s="14" t="s">
        <v>21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</row>
    <row r="3" spans="1:17" ht="18.75" customHeight="1" x14ac:dyDescent="0.25">
      <c r="A3" s="16" t="s">
        <v>23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</row>
    <row r="4" spans="1:17" ht="21" customHeight="1" x14ac:dyDescent="0.25">
      <c r="A4" s="16" t="s">
        <v>0</v>
      </c>
      <c r="B4" s="16" t="s">
        <v>1</v>
      </c>
      <c r="C4" s="16"/>
      <c r="D4" s="16"/>
      <c r="E4" s="16" t="s">
        <v>2</v>
      </c>
      <c r="F4" s="17"/>
      <c r="G4" s="11" t="s">
        <v>3</v>
      </c>
      <c r="H4" s="11" t="s">
        <v>4</v>
      </c>
      <c r="I4" s="16" t="s">
        <v>5</v>
      </c>
      <c r="J4" s="16"/>
      <c r="K4" s="16"/>
      <c r="L4" s="16" t="s">
        <v>6</v>
      </c>
      <c r="M4" s="16"/>
      <c r="N4" s="16"/>
      <c r="O4" s="16"/>
      <c r="P4" s="11" t="s">
        <v>7</v>
      </c>
      <c r="Q4" s="11" t="s">
        <v>8</v>
      </c>
    </row>
    <row r="5" spans="1:17" ht="139.5" customHeight="1" x14ac:dyDescent="0.25">
      <c r="A5" s="16"/>
      <c r="B5" s="9" t="s">
        <v>9</v>
      </c>
      <c r="C5" s="9" t="s">
        <v>10</v>
      </c>
      <c r="D5" s="9" t="s">
        <v>11</v>
      </c>
      <c r="E5" s="9" t="s">
        <v>12</v>
      </c>
      <c r="F5" s="9" t="s">
        <v>13</v>
      </c>
      <c r="G5" s="12"/>
      <c r="H5" s="12"/>
      <c r="I5" s="9" t="s">
        <v>14</v>
      </c>
      <c r="J5" s="9" t="s">
        <v>15</v>
      </c>
      <c r="K5" s="9" t="s">
        <v>16</v>
      </c>
      <c r="L5" s="9" t="s">
        <v>17</v>
      </c>
      <c r="M5" s="9" t="s">
        <v>18</v>
      </c>
      <c r="N5" s="9" t="s">
        <v>15</v>
      </c>
      <c r="O5" s="9" t="s">
        <v>16</v>
      </c>
      <c r="P5" s="12"/>
      <c r="Q5" s="12"/>
    </row>
    <row r="6" spans="1:17" ht="30" customHeight="1" x14ac:dyDescent="0.25">
      <c r="A6" s="18">
        <v>43922</v>
      </c>
      <c r="B6" s="3"/>
      <c r="C6" s="3"/>
      <c r="D6" s="3"/>
      <c r="E6" s="3"/>
      <c r="F6" s="3"/>
      <c r="G6" s="3"/>
      <c r="H6" s="6"/>
      <c r="I6" s="6"/>
      <c r="J6" s="6"/>
      <c r="K6" s="6"/>
      <c r="L6" s="6"/>
      <c r="M6" s="6"/>
      <c r="N6" s="6"/>
      <c r="O6" s="6"/>
      <c r="P6" s="6"/>
      <c r="Q6" s="6"/>
    </row>
    <row r="7" spans="1:17" ht="30" customHeight="1" x14ac:dyDescent="0.25">
      <c r="A7" s="19">
        <v>43952</v>
      </c>
      <c r="B7" s="4">
        <v>698</v>
      </c>
      <c r="C7" s="4">
        <v>1159.21</v>
      </c>
      <c r="D7" s="4">
        <v>591.04999999999995</v>
      </c>
      <c r="E7" s="4">
        <v>45699</v>
      </c>
      <c r="F7" s="4">
        <v>41.174037999999996</v>
      </c>
      <c r="G7" s="4">
        <v>88.751999999999995</v>
      </c>
      <c r="H7" s="7">
        <f t="shared" ref="H7:H18" si="0">F7/G7*100</f>
        <v>46.392236794663781</v>
      </c>
      <c r="I7" s="7">
        <v>284.9074</v>
      </c>
      <c r="J7" s="7">
        <v>12.214000000000004</v>
      </c>
      <c r="K7" s="7">
        <v>297.12139999999999</v>
      </c>
      <c r="L7" s="7">
        <v>3.7165919999999999</v>
      </c>
      <c r="M7" s="7">
        <v>0.23813999999999999</v>
      </c>
      <c r="N7" s="7">
        <v>8.4000000000000012E-3</v>
      </c>
      <c r="O7" s="7">
        <v>3.9631319999999999</v>
      </c>
      <c r="P7" s="7">
        <v>9.6417000000000002</v>
      </c>
      <c r="Q7" s="7">
        <f t="shared" ref="Q7:Q18" si="1">O7/P7*100</f>
        <v>41.104079156165405</v>
      </c>
    </row>
    <row r="8" spans="1:17" ht="30" customHeight="1" x14ac:dyDescent="0.25">
      <c r="A8" s="18">
        <v>43983</v>
      </c>
      <c r="B8" s="3">
        <v>3700</v>
      </c>
      <c r="C8" s="3">
        <v>6513.9</v>
      </c>
      <c r="D8" s="3">
        <v>3266.306</v>
      </c>
      <c r="E8" s="3">
        <v>237083</v>
      </c>
      <c r="F8" s="3">
        <v>203.98532600000001</v>
      </c>
      <c r="G8" s="3">
        <v>413.75691599999999</v>
      </c>
      <c r="H8" s="6">
        <f t="shared" si="0"/>
        <v>49.300765283159649</v>
      </c>
      <c r="I8" s="6">
        <v>2065.2222999999999</v>
      </c>
      <c r="J8" s="6"/>
      <c r="K8" s="6">
        <v>2065.2222999999999</v>
      </c>
      <c r="L8" s="6">
        <v>18.545113001000001</v>
      </c>
      <c r="M8" s="6">
        <v>2.4819538969999999</v>
      </c>
      <c r="N8" s="6">
        <v>0</v>
      </c>
      <c r="O8" s="6">
        <v>21.027066897999994</v>
      </c>
      <c r="P8" s="6">
        <v>41.572075890000001</v>
      </c>
      <c r="Q8" s="6">
        <f t="shared" si="1"/>
        <v>50.579785704321708</v>
      </c>
    </row>
    <row r="9" spans="1:17" ht="30" customHeight="1" x14ac:dyDescent="0.25">
      <c r="A9" s="19">
        <v>44013</v>
      </c>
      <c r="B9" s="4">
        <v>3853</v>
      </c>
      <c r="C9" s="4">
        <v>6786.9366666666683</v>
      </c>
      <c r="D9" s="4">
        <v>3989.8709999999996</v>
      </c>
      <c r="E9" s="4">
        <v>186282</v>
      </c>
      <c r="F9" s="4">
        <v>161.60198</v>
      </c>
      <c r="G9" s="4">
        <v>409.466926</v>
      </c>
      <c r="H9" s="7">
        <f t="shared" si="0"/>
        <v>39.466430556103084</v>
      </c>
      <c r="I9" s="7">
        <v>1964.6932999999995</v>
      </c>
      <c r="J9" s="7"/>
      <c r="K9" s="7">
        <v>1964.6932999999995</v>
      </c>
      <c r="L9" s="7">
        <v>14.703177684000012</v>
      </c>
      <c r="M9" s="7">
        <v>2.3638518778000015</v>
      </c>
      <c r="N9" s="7">
        <v>0</v>
      </c>
      <c r="O9" s="7">
        <v>17.067029561800013</v>
      </c>
      <c r="P9" s="7">
        <v>41.254755616000054</v>
      </c>
      <c r="Q9" s="7">
        <f t="shared" si="1"/>
        <v>41.369847686555715</v>
      </c>
    </row>
    <row r="10" spans="1:17" ht="30" customHeight="1" x14ac:dyDescent="0.25">
      <c r="A10" s="18">
        <v>44044</v>
      </c>
      <c r="B10" s="3">
        <v>3847</v>
      </c>
      <c r="C10" s="3">
        <v>7363.5133333333315</v>
      </c>
      <c r="D10" s="3">
        <v>4580.2649999999994</v>
      </c>
      <c r="E10" s="3">
        <v>271904</v>
      </c>
      <c r="F10" s="3">
        <v>272.22809100000001</v>
      </c>
      <c r="G10" s="3">
        <v>480.98218800000001</v>
      </c>
      <c r="H10" s="6">
        <f t="shared" si="0"/>
        <v>56.598372619985668</v>
      </c>
      <c r="I10" s="6">
        <v>2414.6324</v>
      </c>
      <c r="J10" s="6"/>
      <c r="K10" s="6">
        <v>2414.6324</v>
      </c>
      <c r="L10" s="6">
        <v>24.844066801999997</v>
      </c>
      <c r="M10" s="6">
        <v>3.0736689449999961</v>
      </c>
      <c r="N10" s="6">
        <v>0</v>
      </c>
      <c r="O10" s="6">
        <v>27.917735746999995</v>
      </c>
      <c r="P10" s="6">
        <v>48.899695364000031</v>
      </c>
      <c r="Q10" s="6">
        <f t="shared" si="1"/>
        <v>57.09183981451352</v>
      </c>
    </row>
    <row r="11" spans="1:17" ht="30" customHeight="1" x14ac:dyDescent="0.25">
      <c r="A11" s="19">
        <v>44075</v>
      </c>
      <c r="B11" s="4">
        <v>4805</v>
      </c>
      <c r="C11" s="4">
        <v>9487.0866666666661</v>
      </c>
      <c r="D11" s="4">
        <v>6026.1389999999992</v>
      </c>
      <c r="E11" s="4">
        <v>369028</v>
      </c>
      <c r="F11" s="4">
        <v>380.55479600000001</v>
      </c>
      <c r="G11" s="4">
        <v>673.88753000000008</v>
      </c>
      <c r="H11" s="7">
        <f t="shared" si="0"/>
        <v>56.471559282303375</v>
      </c>
      <c r="I11" s="7">
        <v>3506.3250999999996</v>
      </c>
      <c r="J11" s="7"/>
      <c r="K11" s="7">
        <v>3506.3250999999996</v>
      </c>
      <c r="L11" s="7">
        <v>34.763256426999966</v>
      </c>
      <c r="M11" s="7">
        <v>4.5815721352000036</v>
      </c>
      <c r="N11" s="7">
        <v>0</v>
      </c>
      <c r="O11" s="7">
        <v>39.344828562199964</v>
      </c>
      <c r="P11" s="7">
        <v>70.937306249999992</v>
      </c>
      <c r="Q11" s="7">
        <f t="shared" si="1"/>
        <v>55.464226994382059</v>
      </c>
    </row>
    <row r="12" spans="1:17" ht="30" customHeight="1" x14ac:dyDescent="0.25">
      <c r="A12" s="18">
        <v>44105</v>
      </c>
      <c r="B12" s="3">
        <v>5942</v>
      </c>
      <c r="C12" s="3">
        <v>11665.366666666669</v>
      </c>
      <c r="D12" s="3">
        <v>7459.8459999999995</v>
      </c>
      <c r="E12" s="3">
        <v>491391</v>
      </c>
      <c r="F12" s="3">
        <v>499.62280900000002</v>
      </c>
      <c r="G12" s="3">
        <v>822.21174299999996</v>
      </c>
      <c r="H12" s="6">
        <f t="shared" si="0"/>
        <v>60.76571068871246</v>
      </c>
      <c r="I12" s="6">
        <v>4045.8304000000012</v>
      </c>
      <c r="J12" s="6"/>
      <c r="K12" s="6">
        <v>4045.8304000000012</v>
      </c>
      <c r="L12" s="6">
        <v>45.64018549799998</v>
      </c>
      <c r="M12" s="6">
        <v>5.3052287930999986</v>
      </c>
      <c r="N12" s="6">
        <v>0</v>
      </c>
      <c r="O12" s="6">
        <v>50.945414291099972</v>
      </c>
      <c r="P12" s="6">
        <v>85.742604545999981</v>
      </c>
      <c r="Q12" s="6">
        <f t="shared" si="1"/>
        <v>59.416686209675738</v>
      </c>
    </row>
    <row r="13" spans="1:17" ht="30" customHeight="1" x14ac:dyDescent="0.25">
      <c r="A13" s="19">
        <v>44136</v>
      </c>
      <c r="B13" s="4">
        <v>6747</v>
      </c>
      <c r="C13" s="4">
        <v>13266.38</v>
      </c>
      <c r="D13" s="4">
        <v>7777.2270000000008</v>
      </c>
      <c r="E13" s="4">
        <v>645234</v>
      </c>
      <c r="F13" s="4">
        <v>654.55851599999994</v>
      </c>
      <c r="G13" s="4">
        <v>959.08863000000008</v>
      </c>
      <c r="H13" s="7">
        <f t="shared" si="0"/>
        <v>68.247969533326653</v>
      </c>
      <c r="I13" s="7">
        <v>3907.4050000000002</v>
      </c>
      <c r="J13" s="7">
        <v>6.2E-2</v>
      </c>
      <c r="K13" s="7">
        <v>3907.4670000000001</v>
      </c>
      <c r="L13" s="7">
        <v>61.158564562999999</v>
      </c>
      <c r="M13" s="7">
        <v>5.0955659087999976</v>
      </c>
      <c r="N13" s="7">
        <v>1.2027999999999999E-4</v>
      </c>
      <c r="O13" s="7">
        <v>66.254250751800001</v>
      </c>
      <c r="P13" s="7">
        <v>99.328779372000085</v>
      </c>
      <c r="Q13" s="7">
        <f t="shared" si="1"/>
        <v>66.701968121110824</v>
      </c>
    </row>
    <row r="14" spans="1:17" ht="30" customHeight="1" x14ac:dyDescent="0.25">
      <c r="A14" s="18">
        <v>44166</v>
      </c>
      <c r="B14" s="3">
        <v>7699</v>
      </c>
      <c r="C14" s="3">
        <v>15443.006666666664</v>
      </c>
      <c r="D14" s="3">
        <v>8601.0879999999997</v>
      </c>
      <c r="E14" s="3">
        <v>730069</v>
      </c>
      <c r="F14" s="3">
        <v>732.89827000000014</v>
      </c>
      <c r="G14" s="3">
        <v>1116.6023270000001</v>
      </c>
      <c r="H14" s="6">
        <f t="shared" si="0"/>
        <v>65.636462711760061</v>
      </c>
      <c r="I14" s="6">
        <v>4152.8620999999994</v>
      </c>
      <c r="J14" s="6">
        <v>4.2999999999999997E-2</v>
      </c>
      <c r="K14" s="6">
        <v>4152.9050999999999</v>
      </c>
      <c r="L14" s="6">
        <v>68.929298082999992</v>
      </c>
      <c r="M14" s="6">
        <v>5.4672155473000066</v>
      </c>
      <c r="N14" s="6">
        <v>8.3420000000000011E-5</v>
      </c>
      <c r="O14" s="6">
        <v>74.396597050300002</v>
      </c>
      <c r="P14" s="6">
        <v>117.14626134399992</v>
      </c>
      <c r="Q14" s="6">
        <f t="shared" si="1"/>
        <v>63.50744462244036</v>
      </c>
    </row>
    <row r="15" spans="1:17" ht="30" customHeight="1" x14ac:dyDescent="0.25">
      <c r="A15" s="19">
        <v>44197</v>
      </c>
      <c r="B15" s="4">
        <v>8061</v>
      </c>
      <c r="C15" s="4">
        <v>16077.376666666674</v>
      </c>
      <c r="D15" s="4">
        <v>9032.7479999999996</v>
      </c>
      <c r="E15" s="4">
        <v>767253</v>
      </c>
      <c r="F15" s="4">
        <v>771.38669900000002</v>
      </c>
      <c r="G15" s="4">
        <v>1185.2113959999999</v>
      </c>
      <c r="H15" s="7">
        <f t="shared" si="0"/>
        <v>65.084313364128349</v>
      </c>
      <c r="I15" s="7">
        <v>4068.154700000001</v>
      </c>
      <c r="J15" s="7"/>
      <c r="K15" s="7">
        <v>4068.154700000001</v>
      </c>
      <c r="L15" s="7">
        <v>72.996603453999995</v>
      </c>
      <c r="M15" s="7">
        <v>5.261988545799996</v>
      </c>
      <c r="N15" s="7">
        <v>0</v>
      </c>
      <c r="O15" s="7">
        <v>78.258591999799989</v>
      </c>
      <c r="P15" s="7">
        <v>126.06651375100002</v>
      </c>
      <c r="Q15" s="7">
        <f t="shared" si="1"/>
        <v>62.077223896563261</v>
      </c>
    </row>
    <row r="16" spans="1:17" ht="30" customHeight="1" x14ac:dyDescent="0.25">
      <c r="A16" s="18">
        <v>44228</v>
      </c>
      <c r="B16" s="3">
        <v>7973</v>
      </c>
      <c r="C16" s="3">
        <v>15871.283333333326</v>
      </c>
      <c r="D16" s="3">
        <v>8716.4803870967735</v>
      </c>
      <c r="E16" s="3">
        <v>883927</v>
      </c>
      <c r="F16" s="3">
        <v>890.18605500000001</v>
      </c>
      <c r="G16" s="3">
        <v>1152.4973659999998</v>
      </c>
      <c r="H16" s="6">
        <f t="shared" si="0"/>
        <v>77.239747461600714</v>
      </c>
      <c r="I16" s="6">
        <v>4406.6323999999995</v>
      </c>
      <c r="J16" s="6"/>
      <c r="K16" s="6">
        <v>4406.6323999999995</v>
      </c>
      <c r="L16" s="6">
        <v>83.167021124000001</v>
      </c>
      <c r="M16" s="6">
        <v>5.7853104528999975</v>
      </c>
      <c r="N16" s="6">
        <v>0</v>
      </c>
      <c r="O16" s="6">
        <v>88.952331576900008</v>
      </c>
      <c r="P16" s="6">
        <v>121.99091249900003</v>
      </c>
      <c r="Q16" s="6">
        <f t="shared" si="1"/>
        <v>72.917178628063098</v>
      </c>
    </row>
    <row r="17" spans="1:17" ht="30" customHeight="1" x14ac:dyDescent="0.25">
      <c r="A17" s="19">
        <v>44256</v>
      </c>
      <c r="B17" s="4">
        <v>8927</v>
      </c>
      <c r="C17" s="4">
        <v>17598.673333333329</v>
      </c>
      <c r="D17" s="4">
        <v>9915.7397956989262</v>
      </c>
      <c r="E17" s="4">
        <v>881772</v>
      </c>
      <c r="F17" s="4">
        <v>889.57513399999993</v>
      </c>
      <c r="G17" s="4">
        <v>1274.552619</v>
      </c>
      <c r="H17" s="7">
        <f t="shared" si="0"/>
        <v>69.795088938576015</v>
      </c>
      <c r="I17" s="7">
        <v>5301.3157999999994</v>
      </c>
      <c r="J17" s="7"/>
      <c r="K17" s="7">
        <v>5301.3157999999994</v>
      </c>
      <c r="L17" s="7">
        <v>83.263463060000007</v>
      </c>
      <c r="M17" s="7">
        <v>7.0330614129000031</v>
      </c>
      <c r="N17" s="7">
        <v>0</v>
      </c>
      <c r="O17" s="7">
        <v>90.296524472900003</v>
      </c>
      <c r="P17" s="7">
        <v>134.42453070199997</v>
      </c>
      <c r="Q17" s="7">
        <f t="shared" si="1"/>
        <v>67.172653682589029</v>
      </c>
    </row>
    <row r="18" spans="1:17" ht="30" customHeight="1" x14ac:dyDescent="0.25">
      <c r="A18" s="2" t="s">
        <v>22</v>
      </c>
      <c r="B18" s="5">
        <f>SUM(B6:B17)</f>
        <v>62252</v>
      </c>
      <c r="C18" s="5">
        <f t="shared" ref="C18:G18" si="2">SUM(C6:C17)</f>
        <v>121232.73333333332</v>
      </c>
      <c r="D18" s="5">
        <f t="shared" si="2"/>
        <v>69956.760182795697</v>
      </c>
      <c r="E18" s="5">
        <f t="shared" si="2"/>
        <v>5509642</v>
      </c>
      <c r="F18" s="5">
        <f t="shared" si="2"/>
        <v>5497.7717139999995</v>
      </c>
      <c r="G18" s="5">
        <f t="shared" si="2"/>
        <v>8577.0096410000006</v>
      </c>
      <c r="H18" s="8">
        <f t="shared" si="0"/>
        <v>64.098933592419399</v>
      </c>
      <c r="I18" s="8">
        <f t="shared" ref="I18:P18" si="3">SUM(I6:I17)</f>
        <v>36117.980899999995</v>
      </c>
      <c r="J18" s="8">
        <f t="shared" si="3"/>
        <v>12.319000000000003</v>
      </c>
      <c r="K18" s="8">
        <f t="shared" si="3"/>
        <v>36130.299899999998</v>
      </c>
      <c r="L18" s="8">
        <f t="shared" si="3"/>
        <v>511.727341696</v>
      </c>
      <c r="M18" s="8">
        <f t="shared" si="3"/>
        <v>46.687557515800002</v>
      </c>
      <c r="N18" s="8">
        <f t="shared" si="3"/>
        <v>8.6037000000000023E-3</v>
      </c>
      <c r="O18" s="8">
        <f t="shared" si="3"/>
        <v>558.42350291179991</v>
      </c>
      <c r="P18" s="8">
        <f t="shared" si="3"/>
        <v>897.0051353340001</v>
      </c>
      <c r="Q18" s="8">
        <f t="shared" si="1"/>
        <v>62.254214710138847</v>
      </c>
    </row>
    <row r="19" spans="1:17" ht="19.5" customHeight="1" x14ac:dyDescent="0.25">
      <c r="A19" s="10" t="s">
        <v>19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</row>
  </sheetData>
  <mergeCells count="13">
    <mergeCell ref="A19:Q19"/>
    <mergeCell ref="P4:P5"/>
    <mergeCell ref="Q4:Q5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1.01</vt:lpstr>
      <vt:lpstr>'1.01'!Print_Area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2020-05-06T11:06:29Z</cp:lastPrinted>
  <dcterms:created xsi:type="dcterms:W3CDTF">2018-10-29T04:00:07Z</dcterms:created>
  <dcterms:modified xsi:type="dcterms:W3CDTF">2022-04-25T11:40:13Z</dcterms:modified>
</cp:coreProperties>
</file>