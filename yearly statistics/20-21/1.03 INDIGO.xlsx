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ti\Desktop\annual table 22 23\INDIGO\"/>
    </mc:Choice>
  </mc:AlternateContent>
  <bookViews>
    <workbookView xWindow="0" yWindow="0" windowWidth="10875" windowHeight="9495"/>
  </bookViews>
  <sheets>
    <sheet name="INDIGO" sheetId="1" r:id="rId1"/>
  </sheets>
  <externalReferences>
    <externalReference r:id="rId2"/>
    <externalReference r:id="rId3"/>
  </externalReferences>
  <definedNames>
    <definedName name="_xlnm.Print_Area" localSheetId="0">INDIGO!$A$1:$Q$19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1" l="1"/>
  <c r="C6" i="1"/>
  <c r="D6" i="1"/>
  <c r="E6" i="1"/>
  <c r="F6" i="1"/>
  <c r="H6" i="1" s="1"/>
  <c r="G6" i="1"/>
  <c r="I6" i="1"/>
  <c r="J6" i="1"/>
  <c r="K6" i="1"/>
  <c r="L6" i="1"/>
  <c r="M6" i="1"/>
  <c r="N6" i="1"/>
  <c r="O6" i="1"/>
  <c r="P6" i="1"/>
  <c r="C7" i="1"/>
  <c r="D7" i="1"/>
  <c r="E7" i="1"/>
  <c r="F7" i="1"/>
  <c r="G7" i="1"/>
  <c r="I7" i="1"/>
  <c r="J7" i="1"/>
  <c r="K7" i="1"/>
  <c r="L7" i="1"/>
  <c r="M7" i="1"/>
  <c r="N7" i="1"/>
  <c r="O7" i="1"/>
  <c r="Q7" i="1" s="1"/>
  <c r="P7" i="1"/>
  <c r="C8" i="1"/>
  <c r="D8" i="1"/>
  <c r="E8" i="1"/>
  <c r="F8" i="1"/>
  <c r="G8" i="1"/>
  <c r="H8" i="1" s="1"/>
  <c r="I8" i="1"/>
  <c r="J8" i="1"/>
  <c r="K8" i="1"/>
  <c r="L8" i="1"/>
  <c r="M8" i="1"/>
  <c r="N8" i="1"/>
  <c r="O8" i="1"/>
  <c r="P8" i="1"/>
  <c r="C9" i="1"/>
  <c r="D9" i="1"/>
  <c r="E9" i="1"/>
  <c r="F9" i="1"/>
  <c r="H9" i="1" s="1"/>
  <c r="G9" i="1"/>
  <c r="I9" i="1"/>
  <c r="J9" i="1"/>
  <c r="K9" i="1"/>
  <c r="L9" i="1"/>
  <c r="M9" i="1"/>
  <c r="N9" i="1"/>
  <c r="O9" i="1"/>
  <c r="Q9" i="1" s="1"/>
  <c r="P9" i="1"/>
  <c r="C10" i="1"/>
  <c r="D10" i="1"/>
  <c r="E10" i="1"/>
  <c r="F10" i="1"/>
  <c r="H10" i="1" s="1"/>
  <c r="G10" i="1"/>
  <c r="I10" i="1"/>
  <c r="J10" i="1"/>
  <c r="K10" i="1"/>
  <c r="L10" i="1"/>
  <c r="M10" i="1"/>
  <c r="N10" i="1"/>
  <c r="O10" i="1"/>
  <c r="P10" i="1"/>
  <c r="Q10" i="1" s="1"/>
  <c r="C11" i="1"/>
  <c r="D11" i="1"/>
  <c r="E11" i="1"/>
  <c r="F11" i="1"/>
  <c r="G11" i="1"/>
  <c r="I11" i="1"/>
  <c r="J11" i="1"/>
  <c r="K11" i="1"/>
  <c r="L11" i="1"/>
  <c r="M11" i="1"/>
  <c r="N11" i="1"/>
  <c r="O11" i="1"/>
  <c r="P11" i="1"/>
  <c r="C12" i="1"/>
  <c r="D12" i="1"/>
  <c r="E12" i="1"/>
  <c r="F12" i="1"/>
  <c r="G12" i="1"/>
  <c r="I12" i="1"/>
  <c r="J12" i="1"/>
  <c r="K12" i="1"/>
  <c r="L12" i="1"/>
  <c r="M12" i="1"/>
  <c r="N12" i="1"/>
  <c r="O12" i="1"/>
  <c r="Q12" i="1" s="1"/>
  <c r="P12" i="1"/>
  <c r="C13" i="1"/>
  <c r="D13" i="1"/>
  <c r="E13" i="1"/>
  <c r="F13" i="1"/>
  <c r="G13" i="1"/>
  <c r="I13" i="1"/>
  <c r="J13" i="1"/>
  <c r="K13" i="1"/>
  <c r="L13" i="1"/>
  <c r="M13" i="1"/>
  <c r="N13" i="1"/>
  <c r="O13" i="1"/>
  <c r="P13" i="1"/>
  <c r="C14" i="1"/>
  <c r="D14" i="1"/>
  <c r="E14" i="1"/>
  <c r="F14" i="1"/>
  <c r="G14" i="1"/>
  <c r="I14" i="1"/>
  <c r="J14" i="1"/>
  <c r="K14" i="1"/>
  <c r="L14" i="1"/>
  <c r="M14" i="1"/>
  <c r="N14" i="1"/>
  <c r="O14" i="1"/>
  <c r="Q14" i="1" s="1"/>
  <c r="P14" i="1"/>
  <c r="C15" i="1"/>
  <c r="D15" i="1"/>
  <c r="E15" i="1"/>
  <c r="F15" i="1"/>
  <c r="G15" i="1"/>
  <c r="I15" i="1"/>
  <c r="J15" i="1"/>
  <c r="K15" i="1"/>
  <c r="L15" i="1"/>
  <c r="M15" i="1"/>
  <c r="N15" i="1"/>
  <c r="O15" i="1"/>
  <c r="P15" i="1"/>
  <c r="C16" i="1"/>
  <c r="D16" i="1"/>
  <c r="E16" i="1"/>
  <c r="F16" i="1"/>
  <c r="G16" i="1"/>
  <c r="I16" i="1"/>
  <c r="J16" i="1"/>
  <c r="K16" i="1"/>
  <c r="L16" i="1"/>
  <c r="M16" i="1"/>
  <c r="N16" i="1"/>
  <c r="O16" i="1"/>
  <c r="P16" i="1"/>
  <c r="C17" i="1"/>
  <c r="D17" i="1"/>
  <c r="E17" i="1"/>
  <c r="F17" i="1"/>
  <c r="H17" i="1" s="1"/>
  <c r="G17" i="1"/>
  <c r="I17" i="1"/>
  <c r="J17" i="1"/>
  <c r="K17" i="1"/>
  <c r="L17" i="1"/>
  <c r="M17" i="1"/>
  <c r="N17" i="1"/>
  <c r="O17" i="1"/>
  <c r="Q17" i="1" s="1"/>
  <c r="P17" i="1"/>
  <c r="C18" i="1"/>
  <c r="D18" i="1"/>
  <c r="E18" i="1"/>
  <c r="F18" i="1"/>
  <c r="G18" i="1"/>
  <c r="I18" i="1"/>
  <c r="J18" i="1"/>
  <c r="K18" i="1"/>
  <c r="L18" i="1"/>
  <c r="M18" i="1"/>
  <c r="N18" i="1"/>
  <c r="O18" i="1"/>
  <c r="P18" i="1"/>
  <c r="Q18" i="1" s="1"/>
  <c r="B7" i="1"/>
  <c r="B8" i="1"/>
  <c r="B9" i="1"/>
  <c r="B10" i="1"/>
  <c r="B11" i="1"/>
  <c r="B12" i="1"/>
  <c r="B13" i="1"/>
  <c r="B14" i="1"/>
  <c r="B15" i="1"/>
  <c r="B16" i="1"/>
  <c r="B17" i="1"/>
  <c r="B18" i="1"/>
  <c r="B6" i="1"/>
  <c r="H12" i="1" l="1"/>
  <c r="H18" i="1"/>
  <c r="H13" i="1"/>
  <c r="Q16" i="1"/>
  <c r="H16" i="1"/>
  <c r="Q8" i="1"/>
  <c r="Q15" i="1"/>
  <c r="H7" i="1"/>
  <c r="Q13" i="1"/>
  <c r="H14" i="1"/>
  <c r="H11" i="1"/>
  <c r="Q6" i="1"/>
  <c r="H15" i="1"/>
</calcChain>
</file>

<file path=xl/sharedStrings.xml><?xml version="1.0" encoding="utf-8"?>
<sst xmlns="http://schemas.openxmlformats.org/spreadsheetml/2006/main" count="26" uniqueCount="24">
  <si>
    <t xml:space="preserve">तालिका 1.03(इंडिगो) </t>
  </si>
  <si>
    <t>Table 1.03 (INDIGO)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</si>
  <si>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</si>
  <si>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</si>
  <si>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</si>
  <si>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</si>
  <si>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</si>
  <si>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</si>
  <si>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</si>
  <si>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</si>
  <si>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</si>
  <si>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</si>
  <si>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</si>
  <si>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</si>
  <si>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</si>
  <si>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</si>
  <si>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</si>
  <si>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</si>
  <si>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</si>
  <si>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</si>
  <si>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</si>
  <si>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INDIGO</t>
  </si>
  <si>
    <t>MONTHLY TRAFFIC AND OPERATING STATISTICS OF INDIGO ON SCHEDULED (DOMESTIC + INTERNATIONAL*) SERVICES DURING 2022-23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</si>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</sst>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-&quot;??_);_(@_)"/>
    <numFmt numFmtId="165" formatCode="_(* #,##0.0_);_(* \(#,##0.0\);_(* &quot;-&quot;??_);_(@_)"/>
    <numFmt numFmtId="166" formatCode="[$-1010409]m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164" fontId="1" fillId="3" borderId="1" xfId="2" applyNumberFormat="1" applyBorder="1" applyAlignment="1">
      <alignment horizontal="right" vertical="center"/>
    </xf>
    <xf numFmtId="165" fontId="1" fillId="3" borderId="1" xfId="2" applyNumberFormat="1" applyBorder="1" applyAlignment="1">
      <alignment horizontal="right" vertical="center"/>
    </xf>
    <xf numFmtId="0" fontId="2" fillId="3" borderId="1" xfId="2" applyFont="1" applyBorder="1" applyAlignment="1" applyProtection="1">
      <alignment horizontal="center" vertical="center" wrapText="1"/>
    </xf>
    <xf numFmtId="164" fontId="1" fillId="5" borderId="1" xfId="2" applyNumberFormat="1" applyFill="1" applyBorder="1" applyAlignment="1">
      <alignment horizontal="right" vertical="center"/>
    </xf>
    <xf numFmtId="165" fontId="1" fillId="5" borderId="1" xfId="2" applyNumberFormat="1" applyFill="1" applyBorder="1" applyAlignment="1">
      <alignment horizontal="right" vertical="center"/>
    </xf>
    <xf numFmtId="0" fontId="4" fillId="2" borderId="1" xfId="1" applyFont="1" applyBorder="1" applyAlignment="1" applyProtection="1">
      <alignment horizontal="center" vertical="center" textRotation="90" wrapText="1"/>
    </xf>
    <xf numFmtId="166" fontId="1" fillId="3" borderId="1" xfId="2" applyNumberFormat="1" applyBorder="1" applyAlignment="1" applyProtection="1">
      <alignment horizontal="center" vertical="center" wrapText="1"/>
    </xf>
    <xf numFmtId="166" fontId="1" fillId="5" borderId="1" xfId="2" applyNumberFormat="1" applyFill="1" applyBorder="1" applyAlignment="1" applyProtection="1">
      <alignment horizontal="center" vertical="center" wrapText="1"/>
    </xf>
    <xf numFmtId="0" fontId="0" fillId="5" borderId="0" xfId="0" applyFill="1"/>
    <xf numFmtId="0" fontId="4" fillId="2" borderId="1" xfId="1" applyFont="1" applyBorder="1" applyAlignment="1" applyProtection="1">
      <alignment horizontal="center" vertical="center" textRotation="90" wrapText="1"/>
    </xf>
    <xf numFmtId="0" fontId="4" fillId="2" borderId="1" xfId="1" applyFont="1" applyBorder="1" applyAlignment="1">
      <alignment textRotation="90"/>
    </xf>
    <xf numFmtId="0" fontId="5" fillId="4" borderId="1" xfId="0" applyFont="1" applyFill="1" applyBorder="1" applyAlignment="1" applyProtection="1">
      <alignment horizontal="left" vertical="center" wrapText="1"/>
    </xf>
    <xf numFmtId="0" fontId="4" fillId="3" borderId="1" xfId="2" applyFont="1" applyBorder="1" applyAlignment="1">
      <alignment horizontal="center" vertical="center" wrapText="1"/>
    </xf>
    <xf numFmtId="0" fontId="4" fillId="3" borderId="1" xfId="2" quotePrefix="1" applyFont="1" applyBorder="1" applyAlignment="1" applyProtection="1">
      <alignment horizontal="center" vertical="center" wrapText="1"/>
    </xf>
    <xf numFmtId="0" fontId="4" fillId="3" borderId="1" xfId="2" applyFont="1" applyBorder="1"/>
    <xf numFmtId="0" fontId="4" fillId="2" borderId="1" xfId="1" applyFont="1" applyBorder="1" applyAlignment="1" applyProtection="1">
      <alignment horizontal="center" vertical="center" wrapText="1"/>
    </xf>
    <xf numFmtId="0" fontId="4" fillId="2" borderId="1" xfId="1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01%20%20INDIG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02%20%20INDI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O"/>
    </sheetNames>
    <sheetDataSet>
      <sheetData sheetId="0">
        <row r="6">
          <cell r="B6">
            <v>43927</v>
          </cell>
          <cell r="C6">
            <v>75079.520000000004</v>
          </cell>
          <cell r="D6">
            <v>38171.49</v>
          </cell>
          <cell r="E6">
            <v>5957411</v>
          </cell>
          <cell r="F6">
            <v>5665.27</v>
          </cell>
          <cell r="G6">
            <v>7108.9849999999997</v>
          </cell>
          <cell r="I6">
            <v>18927.36</v>
          </cell>
          <cell r="J6">
            <v>1991.0550000000017</v>
          </cell>
          <cell r="K6">
            <v>20918.415000000001</v>
          </cell>
          <cell r="L6">
            <v>509.82735779999899</v>
          </cell>
          <cell r="M6">
            <v>22.366484611000001</v>
          </cell>
          <cell r="N6">
            <v>1.8752857620000001</v>
          </cell>
          <cell r="O6">
            <v>534.06912817299894</v>
          </cell>
          <cell r="P6">
            <v>820.81336913799998</v>
          </cell>
        </row>
        <row r="7">
          <cell r="B7">
            <v>45450</v>
          </cell>
          <cell r="C7">
            <v>78683.78</v>
          </cell>
          <cell r="D7">
            <v>39809.33</v>
          </cell>
          <cell r="E7">
            <v>6376429</v>
          </cell>
          <cell r="F7">
            <v>6076.1109999999999</v>
          </cell>
          <cell r="G7">
            <v>7427.8630000000003</v>
          </cell>
          <cell r="I7">
            <v>21972.943999999992</v>
          </cell>
          <cell r="J7">
            <v>1742.731</v>
          </cell>
          <cell r="K7">
            <v>23715.674999999992</v>
          </cell>
          <cell r="L7">
            <v>546.73108254000078</v>
          </cell>
          <cell r="M7">
            <v>26.443095150999945</v>
          </cell>
          <cell r="N7">
            <v>1.6598479370000019</v>
          </cell>
          <cell r="O7">
            <v>574.83402562800075</v>
          </cell>
          <cell r="P7">
            <v>832.90472192400068</v>
          </cell>
        </row>
        <row r="8">
          <cell r="B8">
            <v>44205</v>
          </cell>
          <cell r="C8">
            <v>76159.100000000006</v>
          </cell>
          <cell r="D8">
            <v>38559.370000000003</v>
          </cell>
          <cell r="E8">
            <v>5982787</v>
          </cell>
          <cell r="F8">
            <v>5684.8869999999997</v>
          </cell>
          <cell r="G8">
            <v>7234.5389999999998</v>
          </cell>
          <cell r="I8">
            <v>22031.485000000001</v>
          </cell>
          <cell r="J8">
            <v>1764.8009999999992</v>
          </cell>
          <cell r="K8">
            <v>23796.286</v>
          </cell>
          <cell r="L8">
            <v>511.59337685999901</v>
          </cell>
          <cell r="M8">
            <v>26.475747737000003</v>
          </cell>
          <cell r="N8">
            <v>1.675795529</v>
          </cell>
          <cell r="O8">
            <v>539.74492012599899</v>
          </cell>
          <cell r="P8">
            <v>811.83092914199904</v>
          </cell>
        </row>
        <row r="9">
          <cell r="B9">
            <v>43029</v>
          </cell>
          <cell r="C9">
            <v>73669.48</v>
          </cell>
          <cell r="D9">
            <v>37099.949999999997</v>
          </cell>
          <cell r="E9">
            <v>5711288</v>
          </cell>
          <cell r="F9">
            <v>5402.5839999999998</v>
          </cell>
          <cell r="G9">
            <v>6955.3019999999997</v>
          </cell>
          <cell r="I9">
            <v>22448.197</v>
          </cell>
          <cell r="J9">
            <v>2056.9159999999988</v>
          </cell>
          <cell r="K9">
            <v>24505.112999999998</v>
          </cell>
          <cell r="L9">
            <v>486.16051311000001</v>
          </cell>
          <cell r="M9">
            <v>26.843902208999999</v>
          </cell>
          <cell r="N9">
            <v>1.937060636</v>
          </cell>
          <cell r="O9">
            <v>514.94147595499999</v>
          </cell>
          <cell r="P9">
            <v>780.61287596999898</v>
          </cell>
        </row>
        <row r="10">
          <cell r="B10">
            <v>43171</v>
          </cell>
          <cell r="C10">
            <v>73508.58</v>
          </cell>
          <cell r="D10">
            <v>37012.43</v>
          </cell>
          <cell r="E10">
            <v>5832025</v>
          </cell>
          <cell r="F10">
            <v>5421.7250000000004</v>
          </cell>
          <cell r="G10">
            <v>6926.7479999999996</v>
          </cell>
          <cell r="I10">
            <v>20559.138999999999</v>
          </cell>
          <cell r="J10">
            <v>2167.8679999999999</v>
          </cell>
          <cell r="K10">
            <v>22727.006999999998</v>
          </cell>
          <cell r="L10">
            <v>487.85015862000097</v>
          </cell>
          <cell r="M10">
            <v>24.072340853</v>
          </cell>
          <cell r="N10">
            <v>1.978718022</v>
          </cell>
          <cell r="O10">
            <v>513.90121749500099</v>
          </cell>
          <cell r="P10">
            <v>775.77636406099998</v>
          </cell>
        </row>
        <row r="11">
          <cell r="B11">
            <v>42458</v>
          </cell>
          <cell r="C11">
            <v>72430.883333333302</v>
          </cell>
          <cell r="D11">
            <v>36366.28</v>
          </cell>
          <cell r="E11">
            <v>5972449</v>
          </cell>
          <cell r="F11">
            <v>5535.0259999999998</v>
          </cell>
          <cell r="G11">
            <v>6800.0110000000004</v>
          </cell>
          <cell r="I11">
            <v>21436.316000000006</v>
          </cell>
          <cell r="J11">
            <v>2141.7920000000008</v>
          </cell>
          <cell r="K11">
            <v>23578.108000000007</v>
          </cell>
          <cell r="L11">
            <v>498.05399999999997</v>
          </cell>
          <cell r="M11">
            <v>25.060635294999955</v>
          </cell>
          <cell r="N11">
            <v>1.9493628989999987</v>
          </cell>
          <cell r="O11">
            <v>525.06399819399996</v>
          </cell>
          <cell r="P11">
            <v>760.4407218500005</v>
          </cell>
        </row>
        <row r="12">
          <cell r="B12">
            <v>45536</v>
          </cell>
          <cell r="C12">
            <v>77994.100000000006</v>
          </cell>
          <cell r="D12">
            <v>39781.379999999997</v>
          </cell>
          <cell r="E12">
            <v>6471441</v>
          </cell>
          <cell r="F12">
            <v>6126.04</v>
          </cell>
          <cell r="G12">
            <v>7464.3280000000004</v>
          </cell>
          <cell r="I12">
            <v>19173.945000000022</v>
          </cell>
          <cell r="J12">
            <v>1847.8089999999986</v>
          </cell>
          <cell r="K12">
            <v>21021.754000000019</v>
          </cell>
          <cell r="L12">
            <v>551.30248314000039</v>
          </cell>
          <cell r="M12">
            <v>22.293721328999965</v>
          </cell>
          <cell r="N12">
            <v>1.6821687259999991</v>
          </cell>
          <cell r="O12">
            <v>575.27837319500031</v>
          </cell>
          <cell r="P12">
            <v>834.99297938500138</v>
          </cell>
        </row>
        <row r="13">
          <cell r="B13">
            <v>43379</v>
          </cell>
          <cell r="C13">
            <v>74632.53</v>
          </cell>
          <cell r="D13">
            <v>37649.46</v>
          </cell>
          <cell r="E13">
            <v>6500903</v>
          </cell>
          <cell r="F13">
            <v>6114.3190000000004</v>
          </cell>
          <cell r="G13">
            <v>7039.9070000000002</v>
          </cell>
          <cell r="I13">
            <v>18682.534</v>
          </cell>
          <cell r="J13">
            <v>2030.1849999999999</v>
          </cell>
          <cell r="K13">
            <v>20712.719000000001</v>
          </cell>
          <cell r="L13">
            <v>550.28156291999937</v>
          </cell>
          <cell r="M13">
            <v>21.895682170999976</v>
          </cell>
          <cell r="N13">
            <v>1.8371046209999995</v>
          </cell>
          <cell r="O13">
            <v>574.01434971199933</v>
          </cell>
          <cell r="P13">
            <v>786.77569889399888</v>
          </cell>
        </row>
        <row r="14">
          <cell r="B14">
            <v>46194</v>
          </cell>
          <cell r="C14">
            <v>80042.8</v>
          </cell>
          <cell r="D14">
            <v>40290.74</v>
          </cell>
          <cell r="E14">
            <v>6997472</v>
          </cell>
          <cell r="F14">
            <v>6606.991</v>
          </cell>
          <cell r="G14">
            <v>7553.7110000000002</v>
          </cell>
          <cell r="I14">
            <v>18031.8</v>
          </cell>
          <cell r="J14">
            <v>2098.9520000000002</v>
          </cell>
          <cell r="K14">
            <v>20130.752</v>
          </cell>
          <cell r="L14">
            <v>594.47233143000051</v>
          </cell>
          <cell r="M14">
            <v>21.188431890000029</v>
          </cell>
          <cell r="N14">
            <v>1.913173059000004</v>
          </cell>
          <cell r="O14">
            <v>617.57393637900054</v>
          </cell>
          <cell r="P14">
            <v>844.15111979300161</v>
          </cell>
        </row>
        <row r="15">
          <cell r="B15">
            <v>47977</v>
          </cell>
          <cell r="C15">
            <v>83764.166666666672</v>
          </cell>
          <cell r="D15">
            <v>41826.54</v>
          </cell>
          <cell r="E15">
            <v>6847384</v>
          </cell>
          <cell r="F15">
            <v>6423.4470000000001</v>
          </cell>
          <cell r="G15">
            <v>7832.2539999999999</v>
          </cell>
          <cell r="I15">
            <v>16881.651000000002</v>
          </cell>
          <cell r="J15">
            <v>2043.5059999999996</v>
          </cell>
          <cell r="K15">
            <v>18925.157000000003</v>
          </cell>
          <cell r="L15">
            <v>578.00177864999989</v>
          </cell>
          <cell r="M15">
            <v>19.808250427999958</v>
          </cell>
          <cell r="N15">
            <v>1.8678550419999984</v>
          </cell>
          <cell r="O15">
            <v>599.67788411999982</v>
          </cell>
          <cell r="P15">
            <v>875.40618365399985</v>
          </cell>
        </row>
        <row r="16">
          <cell r="B16">
            <v>44905</v>
          </cell>
          <cell r="C16">
            <v>77935.816666666666</v>
          </cell>
          <cell r="D16">
            <v>39121.08</v>
          </cell>
          <cell r="E16">
            <v>6741948</v>
          </cell>
          <cell r="F16">
            <v>6347.8140000000003</v>
          </cell>
          <cell r="G16">
            <v>7336.6139999999996</v>
          </cell>
          <cell r="I16">
            <v>17439.29</v>
          </cell>
          <cell r="J16">
            <v>2086.69</v>
          </cell>
          <cell r="K16">
            <v>19525.98</v>
          </cell>
          <cell r="L16">
            <v>571.24980000000005</v>
          </cell>
          <cell r="M16">
            <v>20.53782</v>
          </cell>
          <cell r="N16">
            <v>1.9325619999999999</v>
          </cell>
          <cell r="O16">
            <v>593.72018200000002</v>
          </cell>
          <cell r="P16">
            <v>820.56359999999995</v>
          </cell>
        </row>
        <row r="17">
          <cell r="B17">
            <v>50389</v>
          </cell>
          <cell r="C17">
            <v>87295.8</v>
          </cell>
          <cell r="D17">
            <v>43792.726999999999</v>
          </cell>
          <cell r="E17">
            <v>7317288</v>
          </cell>
          <cell r="F17">
            <v>6903.0320000000002</v>
          </cell>
          <cell r="G17">
            <v>8215.6810000000005</v>
          </cell>
          <cell r="I17">
            <v>20208.400000000001</v>
          </cell>
          <cell r="J17">
            <v>2310.0801199999987</v>
          </cell>
          <cell r="K17">
            <v>22518.48012</v>
          </cell>
          <cell r="L17">
            <v>621.21701440000004</v>
          </cell>
          <cell r="M17">
            <v>23.377940120879952</v>
          </cell>
          <cell r="N17">
            <v>2.1002345364999999</v>
          </cell>
          <cell r="O17">
            <v>646.69518905738005</v>
          </cell>
          <cell r="P17">
            <v>919.50462062600104</v>
          </cell>
        </row>
        <row r="18">
          <cell r="B18">
            <v>540620</v>
          </cell>
          <cell r="C18">
            <v>931196.55666666676</v>
          </cell>
          <cell r="D18">
            <v>469480.777</v>
          </cell>
          <cell r="E18">
            <v>76708825</v>
          </cell>
          <cell r="F18">
            <v>72307.245999999999</v>
          </cell>
          <cell r="G18">
            <v>87895.942999999999</v>
          </cell>
          <cell r="I18">
            <v>237793.06099999999</v>
          </cell>
          <cell r="J18">
            <v>24282.385119999999</v>
          </cell>
          <cell r="K18">
            <v>262075.44612000004</v>
          </cell>
          <cell r="L18">
            <v>6506.7414594700012</v>
          </cell>
          <cell r="M18">
            <v>280.36405179487974</v>
          </cell>
          <cell r="N18">
            <v>22.409168769500003</v>
          </cell>
          <cell r="O18">
            <v>6809.51468003438</v>
          </cell>
          <cell r="P18">
            <v>9863.7731844370028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O"/>
    </sheetNames>
    <sheetDataSet>
      <sheetData sheetId="0">
        <row r="6">
          <cell r="B6">
            <v>3283</v>
          </cell>
          <cell r="C6">
            <v>12181.54</v>
          </cell>
          <cell r="D6">
            <v>8072.3609999999999</v>
          </cell>
          <cell r="E6">
            <v>453283</v>
          </cell>
          <cell r="F6">
            <v>1129.0219999999999</v>
          </cell>
          <cell r="G6">
            <v>1526.979</v>
          </cell>
          <cell r="I6">
            <v>3026.0549999999998</v>
          </cell>
          <cell r="K6">
            <v>3026.0549999999998</v>
          </cell>
          <cell r="L6">
            <v>101.61185184</v>
          </cell>
          <cell r="M6">
            <v>7.4871915300000005</v>
          </cell>
          <cell r="N6">
            <v>0</v>
          </cell>
          <cell r="O6">
            <v>109.09904337</v>
          </cell>
          <cell r="P6">
            <v>177.100296426</v>
          </cell>
        </row>
        <row r="7">
          <cell r="B7">
            <v>4142</v>
          </cell>
          <cell r="C7">
            <v>15581.32</v>
          </cell>
          <cell r="D7">
            <v>10420.290000000001</v>
          </cell>
          <cell r="E7">
            <v>613545</v>
          </cell>
          <cell r="F7">
            <v>1545.875</v>
          </cell>
          <cell r="G7">
            <v>1987.723</v>
          </cell>
          <cell r="I7">
            <v>2975.17</v>
          </cell>
          <cell r="K7">
            <v>2975.17</v>
          </cell>
          <cell r="L7">
            <v>139.12880039999988</v>
          </cell>
          <cell r="M7">
            <v>7.5036356509999997</v>
          </cell>
          <cell r="N7">
            <v>0</v>
          </cell>
          <cell r="O7">
            <v>146.63243605099984</v>
          </cell>
          <cell r="P7">
            <v>223.40981446699996</v>
          </cell>
        </row>
        <row r="8">
          <cell r="B8">
            <v>4409</v>
          </cell>
          <cell r="C8">
            <v>16686.34</v>
          </cell>
          <cell r="D8">
            <v>11295.59</v>
          </cell>
          <cell r="E8">
            <v>676807</v>
          </cell>
          <cell r="F8">
            <v>1742.586</v>
          </cell>
          <cell r="G8">
            <v>2150.8539999999998</v>
          </cell>
          <cell r="I8">
            <v>3281.4659999999999</v>
          </cell>
          <cell r="K8">
            <v>3281.4659999999999</v>
          </cell>
          <cell r="L8">
            <v>156.83327324999999</v>
          </cell>
          <cell r="M8">
            <v>8.3161347170000006</v>
          </cell>
          <cell r="N8">
            <v>0</v>
          </cell>
          <cell r="O8">
            <v>165.149407967</v>
          </cell>
          <cell r="P8">
            <v>243.50285379900006</v>
          </cell>
        </row>
        <row r="9">
          <cell r="B9">
            <v>4855</v>
          </cell>
          <cell r="C9">
            <v>18842</v>
          </cell>
          <cell r="D9">
            <v>12540.67</v>
          </cell>
          <cell r="E9">
            <v>734442</v>
          </cell>
          <cell r="F9">
            <v>1891.992</v>
          </cell>
          <cell r="G9">
            <v>2397.366</v>
          </cell>
          <cell r="I9">
            <v>3408.8820000000001</v>
          </cell>
          <cell r="K9">
            <v>3408.8820000000001</v>
          </cell>
          <cell r="L9">
            <v>170.27910836999999</v>
          </cell>
          <cell r="M9">
            <v>8.7212529340000007</v>
          </cell>
          <cell r="N9">
            <v>0</v>
          </cell>
          <cell r="O9">
            <v>179.00036130399999</v>
          </cell>
          <cell r="P9">
            <v>270.86664961299999</v>
          </cell>
        </row>
        <row r="10">
          <cell r="B10">
            <v>4677</v>
          </cell>
          <cell r="C10">
            <v>17751.09</v>
          </cell>
          <cell r="D10">
            <v>12064.02</v>
          </cell>
          <cell r="E10">
            <v>715522</v>
          </cell>
          <cell r="F10">
            <v>1840.442</v>
          </cell>
          <cell r="G10">
            <v>2337.6219999999998</v>
          </cell>
          <cell r="I10">
            <v>3124.2249999999999</v>
          </cell>
          <cell r="K10">
            <v>3124.2249999999999</v>
          </cell>
          <cell r="L10">
            <v>165.64044140999999</v>
          </cell>
          <cell r="M10">
            <v>7.7428265620000003</v>
          </cell>
          <cell r="N10">
            <v>0</v>
          </cell>
          <cell r="O10">
            <v>173.383267972</v>
          </cell>
          <cell r="P10">
            <v>264.08753652399997</v>
          </cell>
        </row>
        <row r="11">
          <cell r="B11">
            <v>4407</v>
          </cell>
          <cell r="C11">
            <v>16692.2</v>
          </cell>
          <cell r="D11">
            <v>11308.12</v>
          </cell>
          <cell r="E11">
            <v>680361</v>
          </cell>
          <cell r="F11">
            <v>1732.7919999999999</v>
          </cell>
          <cell r="G11">
            <v>2159.6460000000002</v>
          </cell>
          <cell r="I11">
            <v>3138.8670000000002</v>
          </cell>
          <cell r="K11">
            <v>3138.8670000000002</v>
          </cell>
          <cell r="L11">
            <v>155.95139186999998</v>
          </cell>
          <cell r="M11">
            <v>7.5093971809999989</v>
          </cell>
          <cell r="N11">
            <v>0</v>
          </cell>
          <cell r="O11">
            <v>163.46078905100001</v>
          </cell>
          <cell r="P11">
            <v>248.27978228499992</v>
          </cell>
        </row>
        <row r="12">
          <cell r="B12">
            <v>4462</v>
          </cell>
          <cell r="C12">
            <v>16576</v>
          </cell>
          <cell r="D12">
            <v>11150.84</v>
          </cell>
          <cell r="E12">
            <v>706708</v>
          </cell>
          <cell r="F12">
            <v>1757.7940000000001</v>
          </cell>
          <cell r="G12">
            <v>2149.5749999999998</v>
          </cell>
          <cell r="I12">
            <v>3053.0930000000003</v>
          </cell>
          <cell r="K12">
            <v>3053.0930000000003</v>
          </cell>
          <cell r="L12">
            <v>158.17794875999991</v>
          </cell>
          <cell r="M12">
            <v>7.4896973230000015</v>
          </cell>
          <cell r="N12">
            <v>0</v>
          </cell>
          <cell r="O12">
            <v>165.66764608299991</v>
          </cell>
          <cell r="P12">
            <v>246.11350885999994</v>
          </cell>
        </row>
        <row r="13">
          <cell r="B13">
            <v>4683</v>
          </cell>
          <cell r="C13">
            <v>17197.07</v>
          </cell>
          <cell r="D13">
            <v>11381.01</v>
          </cell>
          <cell r="E13">
            <v>749298</v>
          </cell>
          <cell r="F13">
            <v>1827.8489999999999</v>
          </cell>
          <cell r="G13">
            <v>2198.9110000000001</v>
          </cell>
          <cell r="I13">
            <v>2812.4539999999997</v>
          </cell>
          <cell r="J13">
            <v>0</v>
          </cell>
          <cell r="K13">
            <v>2812.4539999999997</v>
          </cell>
          <cell r="L13">
            <v>164.5070848199999</v>
          </cell>
          <cell r="M13">
            <v>6.8226120689999981</v>
          </cell>
          <cell r="N13">
            <v>0</v>
          </cell>
          <cell r="O13">
            <v>171.32969688899991</v>
          </cell>
          <cell r="P13">
            <v>249.58879664400001</v>
          </cell>
        </row>
        <row r="14">
          <cell r="B14">
            <v>4892</v>
          </cell>
          <cell r="C14">
            <v>18209.516666666666</v>
          </cell>
          <cell r="D14">
            <v>11845.51</v>
          </cell>
          <cell r="E14">
            <v>813167</v>
          </cell>
          <cell r="F14">
            <v>1978.2639999999999</v>
          </cell>
          <cell r="G14">
            <v>2290.355</v>
          </cell>
          <cell r="I14">
            <v>2753.7029999999991</v>
          </cell>
          <cell r="K14">
            <v>2753.7029999999991</v>
          </cell>
          <cell r="L14">
            <v>178.0435095299998</v>
          </cell>
          <cell r="M14">
            <v>6.5602791220000016</v>
          </cell>
          <cell r="N14">
            <v>0</v>
          </cell>
          <cell r="O14">
            <v>184.60378865199982</v>
          </cell>
          <cell r="P14">
            <v>260.10766456000016</v>
          </cell>
        </row>
        <row r="15">
          <cell r="B15">
            <v>4891</v>
          </cell>
          <cell r="C15">
            <v>18903.05</v>
          </cell>
          <cell r="D15">
            <v>11860.23</v>
          </cell>
          <cell r="E15">
            <v>816888</v>
          </cell>
          <cell r="F15">
            <v>1981.2650000000001</v>
          </cell>
          <cell r="G15">
            <v>2320.4780000000001</v>
          </cell>
          <cell r="I15">
            <v>2409.2849999999999</v>
          </cell>
          <cell r="K15">
            <v>2409.2849999999999</v>
          </cell>
          <cell r="L15">
            <v>175.70569041000005</v>
          </cell>
          <cell r="M15">
            <v>5.6825196710000014</v>
          </cell>
          <cell r="N15">
            <v>0</v>
          </cell>
          <cell r="O15">
            <v>181.38821008100007</v>
          </cell>
          <cell r="P15">
            <v>256.81041206399993</v>
          </cell>
        </row>
        <row r="16">
          <cell r="B16">
            <v>4438</v>
          </cell>
          <cell r="C16">
            <v>16303.916666666701</v>
          </cell>
          <cell r="D16">
            <v>10771.75</v>
          </cell>
          <cell r="E16">
            <v>762694</v>
          </cell>
          <cell r="F16">
            <v>1860.0619999999999</v>
          </cell>
          <cell r="G16">
            <v>2156.3510000000001</v>
          </cell>
          <cell r="I16">
            <v>2675.703</v>
          </cell>
          <cell r="K16">
            <v>2675.703</v>
          </cell>
          <cell r="L16">
            <v>165.11449999999999</v>
          </cell>
          <cell r="M16">
            <v>6.6460319999999999</v>
          </cell>
          <cell r="N16">
            <v>0</v>
          </cell>
          <cell r="O16">
            <v>171.76053200000001</v>
          </cell>
          <cell r="P16">
            <v>231.23410000000001</v>
          </cell>
        </row>
        <row r="17">
          <cell r="B17">
            <v>5053</v>
          </cell>
          <cell r="C17">
            <v>18706.316666666666</v>
          </cell>
          <cell r="D17">
            <v>12417.591</v>
          </cell>
          <cell r="E17">
            <v>833843</v>
          </cell>
          <cell r="F17">
            <v>2044.0170000000001</v>
          </cell>
          <cell r="G17">
            <v>2490.6909999999998</v>
          </cell>
          <cell r="I17">
            <v>3290.4847599999998</v>
          </cell>
          <cell r="K17">
            <v>3290.4847599999998</v>
          </cell>
          <cell r="L17">
            <v>181.17785119999999</v>
          </cell>
          <cell r="M17">
            <v>7.9939999999999998</v>
          </cell>
          <cell r="N17">
            <v>0</v>
          </cell>
          <cell r="O17">
            <v>189.17185119999999</v>
          </cell>
          <cell r="P17">
            <v>267.87676181300003</v>
          </cell>
        </row>
        <row r="18">
          <cell r="B18">
            <v>54192</v>
          </cell>
          <cell r="C18">
            <v>203630.36</v>
          </cell>
          <cell r="D18">
            <v>135127.98199999996</v>
          </cell>
          <cell r="E18">
            <v>8556558</v>
          </cell>
          <cell r="F18">
            <v>21331.96</v>
          </cell>
          <cell r="G18">
            <v>26166.550999999996</v>
          </cell>
          <cell r="I18">
            <v>35949.387759999998</v>
          </cell>
          <cell r="J18">
            <v>0</v>
          </cell>
          <cell r="K18">
            <v>35949.387759999998</v>
          </cell>
          <cell r="L18">
            <v>1912.1714518599993</v>
          </cell>
          <cell r="M18">
            <v>88.475578760000005</v>
          </cell>
          <cell r="N18">
            <v>0</v>
          </cell>
          <cell r="O18">
            <v>2000.6470306199997</v>
          </cell>
          <cell r="P18">
            <v>2938.9781770550003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115" zoomScaleNormal="96" zoomScaleSheetLayoutView="115" workbookViewId="0">
      <selection activeCell="B18" sqref="B18"/>
    </sheetView>
  </sheetViews>
  <sheetFormatPr defaultRowHeight="15" x14ac:dyDescent="0.25"/>
  <cols>
    <col min="1" max="1" width="13.7109375" customWidth="1"/>
    <col min="2" max="2" width="9.5703125" customWidth="1"/>
    <col min="3" max="3" width="11.7109375" customWidth="1"/>
    <col min="4" max="4" width="9.85546875" customWidth="1"/>
    <col min="5" max="5" width="12.28515625" bestFit="1" customWidth="1"/>
    <col min="6" max="6" width="10.85546875" customWidth="1"/>
    <col min="7" max="7" width="11.28515625" customWidth="1"/>
    <col min="8" max="8" width="9.140625" customWidth="1"/>
    <col min="9" max="9" width="11.140625" customWidth="1"/>
    <col min="10" max="10" width="10.7109375" customWidth="1"/>
    <col min="11" max="11" width="11.85546875" customWidth="1"/>
    <col min="12" max="12" width="10.85546875" customWidth="1"/>
    <col min="13" max="13" width="9.42578125" customWidth="1"/>
    <col min="14" max="14" width="8.7109375" customWidth="1"/>
    <col min="15" max="15" width="10.5703125" customWidth="1"/>
    <col min="16" max="16" width="13.28515625" customWidth="1"/>
    <col min="17" max="17" width="8.42578125" customWidth="1"/>
  </cols>
  <sheetData>
    <row r="1" spans="1:17" ht="19.899999999999999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19.899999999999999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19.899999999999999" customHeight="1" x14ac:dyDescent="0.25">
      <c r="A3" s="16" t="s">
        <v>22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19.899999999999999" customHeight="1" x14ac:dyDescent="0.25">
      <c r="A4" s="16" t="s">
        <v>2</v>
      </c>
      <c r="B4" s="16" t="s">
        <v>3</v>
      </c>
      <c r="C4" s="16"/>
      <c r="D4" s="16"/>
      <c r="E4" s="16" t="s">
        <v>4</v>
      </c>
      <c r="F4" s="17"/>
      <c r="G4" s="10" t="s">
        <v>5</v>
      </c>
      <c r="H4" s="10" t="s">
        <v>6</v>
      </c>
      <c r="I4" s="16" t="s">
        <v>7</v>
      </c>
      <c r="J4" s="16"/>
      <c r="K4" s="16"/>
      <c r="L4" s="16" t="s">
        <v>8</v>
      </c>
      <c r="M4" s="16"/>
      <c r="N4" s="16"/>
      <c r="O4" s="16"/>
      <c r="P4" s="10" t="s">
        <v>9</v>
      </c>
      <c r="Q4" s="10" t="s">
        <v>10</v>
      </c>
    </row>
    <row r="5" spans="1:17" ht="116.25" customHeight="1" x14ac:dyDescent="0.25">
      <c r="A5" s="16"/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11"/>
      <c r="H5" s="11"/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17</v>
      </c>
      <c r="O5" s="6" t="s">
        <v>18</v>
      </c>
      <c r="P5" s="11"/>
      <c r="Q5" s="11"/>
    </row>
    <row r="6" spans="1:17" ht="24" customHeight="1" x14ac:dyDescent="0.25">
      <c r="A6" s="7">
        <v>44652</v>
      </c>
      <c r="B6" s="1">
        <f>[1]INDIGO!B6+[2]INDIGO!B6</f>
        <v>47210</v>
      </c>
      <c r="C6" s="1">
        <f>[1]INDIGO!C6+[2]INDIGO!C6</f>
        <v>87261.06</v>
      </c>
      <c r="D6" s="1">
        <f>[1]INDIGO!D6+[2]INDIGO!D6</f>
        <v>46243.850999999995</v>
      </c>
      <c r="E6" s="1">
        <f>[1]INDIGO!E6+[2]INDIGO!E6</f>
        <v>6410694</v>
      </c>
      <c r="F6" s="1">
        <f>[1]INDIGO!F6+[2]INDIGO!F6</f>
        <v>6794.2920000000004</v>
      </c>
      <c r="G6" s="1">
        <f>[1]INDIGO!G6+[2]INDIGO!G6</f>
        <v>8635.9639999999999</v>
      </c>
      <c r="H6" s="2">
        <f>F6/G6*100</f>
        <v>78.674390027563817</v>
      </c>
      <c r="I6" s="2">
        <f>[1]INDIGO!I6+[2]INDIGO!I6</f>
        <v>21953.415000000001</v>
      </c>
      <c r="J6" s="2">
        <f>[1]INDIGO!J6+[2]INDIGO!J6</f>
        <v>1991.0550000000017</v>
      </c>
      <c r="K6" s="2">
        <f>[1]INDIGO!K6+[2]INDIGO!K6</f>
        <v>23944.47</v>
      </c>
      <c r="L6" s="2">
        <f>[1]INDIGO!L6+[2]INDIGO!L6</f>
        <v>611.43920963999904</v>
      </c>
      <c r="M6" s="2">
        <f>[1]INDIGO!M6+[2]INDIGO!M6</f>
        <v>29.853676141000001</v>
      </c>
      <c r="N6" s="2">
        <f>[1]INDIGO!N6+[2]INDIGO!N6</f>
        <v>1.8752857620000001</v>
      </c>
      <c r="O6" s="2">
        <f>[1]INDIGO!O6+[2]INDIGO!O6</f>
        <v>643.16817154299895</v>
      </c>
      <c r="P6" s="2">
        <f>[1]INDIGO!P6+[2]INDIGO!P6</f>
        <v>997.91366556399998</v>
      </c>
      <c r="Q6" s="2">
        <f>O6/P6*100</f>
        <v>64.451284087736553</v>
      </c>
    </row>
    <row r="7" spans="1:17" s="9" customFormat="1" ht="24" customHeight="1" x14ac:dyDescent="0.25">
      <c r="A7" s="8">
        <v>44682</v>
      </c>
      <c r="B7" s="4">
        <f>[1]INDIGO!B7+[2]INDIGO!B7</f>
        <v>49592</v>
      </c>
      <c r="C7" s="4">
        <f>[1]INDIGO!C7+[2]INDIGO!C7</f>
        <v>94265.1</v>
      </c>
      <c r="D7" s="4">
        <f>[1]INDIGO!D7+[2]INDIGO!D7</f>
        <v>50229.62</v>
      </c>
      <c r="E7" s="4">
        <f>[1]INDIGO!E7+[2]INDIGO!E7</f>
        <v>6989974</v>
      </c>
      <c r="F7" s="4">
        <f>[1]INDIGO!F7+[2]INDIGO!F7</f>
        <v>7621.9859999999999</v>
      </c>
      <c r="G7" s="4">
        <f>[1]INDIGO!G7+[2]INDIGO!G7</f>
        <v>9415.5859999999993</v>
      </c>
      <c r="H7" s="5">
        <f t="shared" ref="H7:H18" si="0">F7/G7*100</f>
        <v>80.950734240014384</v>
      </c>
      <c r="I7" s="5">
        <f>[1]INDIGO!I7+[2]INDIGO!I7</f>
        <v>24948.113999999994</v>
      </c>
      <c r="J7" s="5">
        <f>[1]INDIGO!J7+[2]INDIGO!J7</f>
        <v>1742.731</v>
      </c>
      <c r="K7" s="5">
        <f>[1]INDIGO!K7+[2]INDIGO!K7</f>
        <v>26690.844999999994</v>
      </c>
      <c r="L7" s="5">
        <f>[1]INDIGO!L7+[2]INDIGO!L7</f>
        <v>685.85988294000072</v>
      </c>
      <c r="M7" s="5">
        <f>[1]INDIGO!M7+[2]INDIGO!M7</f>
        <v>33.946730801999948</v>
      </c>
      <c r="N7" s="5">
        <f>[1]INDIGO!N7+[2]INDIGO!N7</f>
        <v>1.6598479370000019</v>
      </c>
      <c r="O7" s="5">
        <f>[1]INDIGO!O7+[2]INDIGO!O7</f>
        <v>721.46646167900053</v>
      </c>
      <c r="P7" s="5">
        <f>[1]INDIGO!P7+[2]INDIGO!P7</f>
        <v>1056.3145363910007</v>
      </c>
      <c r="Q7" s="5">
        <f>O7/P7*100</f>
        <v>68.300343962316319</v>
      </c>
    </row>
    <row r="8" spans="1:17" ht="24" customHeight="1" x14ac:dyDescent="0.25">
      <c r="A8" s="7">
        <v>44713</v>
      </c>
      <c r="B8" s="1">
        <f>[1]INDIGO!B8+[2]INDIGO!B8</f>
        <v>48614</v>
      </c>
      <c r="C8" s="1">
        <f>[1]INDIGO!C8+[2]INDIGO!C8</f>
        <v>92845.440000000002</v>
      </c>
      <c r="D8" s="1">
        <f>[1]INDIGO!D8+[2]INDIGO!D8</f>
        <v>49854.960000000006</v>
      </c>
      <c r="E8" s="1">
        <f>[1]INDIGO!E8+[2]INDIGO!E8</f>
        <v>6659594</v>
      </c>
      <c r="F8" s="1">
        <f>[1]INDIGO!F8+[2]INDIGO!F8</f>
        <v>7427.473</v>
      </c>
      <c r="G8" s="1">
        <f>[1]INDIGO!G8+[2]INDIGO!G8</f>
        <v>9385.393</v>
      </c>
      <c r="H8" s="2">
        <f t="shared" si="0"/>
        <v>79.138646618207673</v>
      </c>
      <c r="I8" s="2">
        <f>[1]INDIGO!I8+[2]INDIGO!I8</f>
        <v>25312.951000000001</v>
      </c>
      <c r="J8" s="2">
        <f>[1]INDIGO!J8+[2]INDIGO!J8</f>
        <v>1764.8009999999992</v>
      </c>
      <c r="K8" s="2">
        <f>[1]INDIGO!K8+[2]INDIGO!K8</f>
        <v>27077.752</v>
      </c>
      <c r="L8" s="2">
        <f>[1]INDIGO!L8+[2]INDIGO!L8</f>
        <v>668.42665010999895</v>
      </c>
      <c r="M8" s="2">
        <f>[1]INDIGO!M8+[2]INDIGO!M8</f>
        <v>34.791882454000003</v>
      </c>
      <c r="N8" s="2">
        <f>[1]INDIGO!N8+[2]INDIGO!N8</f>
        <v>1.675795529</v>
      </c>
      <c r="O8" s="2">
        <f>[1]INDIGO!O8+[2]INDIGO!O8</f>
        <v>704.89432809299899</v>
      </c>
      <c r="P8" s="2">
        <f>[1]INDIGO!P8+[2]INDIGO!P8</f>
        <v>1055.3337829409991</v>
      </c>
      <c r="Q8" s="2">
        <f t="shared" ref="Q8:Q18" si="1">O8/P8*100</f>
        <v>66.793495999777704</v>
      </c>
    </row>
    <row r="9" spans="1:17" s="9" customFormat="1" ht="24" customHeight="1" x14ac:dyDescent="0.25">
      <c r="A9" s="8">
        <v>44743</v>
      </c>
      <c r="B9" s="4">
        <f>[1]INDIGO!B9+[2]INDIGO!B9</f>
        <v>47884</v>
      </c>
      <c r="C9" s="4">
        <f>[1]INDIGO!C9+[2]INDIGO!C9</f>
        <v>92511.48</v>
      </c>
      <c r="D9" s="4">
        <f>[1]INDIGO!D9+[2]INDIGO!D9</f>
        <v>49640.619999999995</v>
      </c>
      <c r="E9" s="4">
        <f>[1]INDIGO!E9+[2]INDIGO!E9</f>
        <v>6445730</v>
      </c>
      <c r="F9" s="4">
        <f>[1]INDIGO!F9+[2]INDIGO!F9</f>
        <v>7294.576</v>
      </c>
      <c r="G9" s="4">
        <f>[1]INDIGO!G9+[2]INDIGO!G9</f>
        <v>9352.6679999999997</v>
      </c>
      <c r="H9" s="5">
        <f t="shared" si="0"/>
        <v>77.994600043538384</v>
      </c>
      <c r="I9" s="5">
        <f>[1]INDIGO!I9+[2]INDIGO!I9</f>
        <v>25857.079000000002</v>
      </c>
      <c r="J9" s="5">
        <f>[1]INDIGO!J9+[2]INDIGO!J9</f>
        <v>2056.9159999999988</v>
      </c>
      <c r="K9" s="5">
        <f>[1]INDIGO!K9+[2]INDIGO!K9</f>
        <v>27913.994999999999</v>
      </c>
      <c r="L9" s="5">
        <f>[1]INDIGO!L9+[2]INDIGO!L9</f>
        <v>656.43962148000003</v>
      </c>
      <c r="M9" s="5">
        <f>[1]INDIGO!M9+[2]INDIGO!M9</f>
        <v>35.565155142999998</v>
      </c>
      <c r="N9" s="5">
        <f>[1]INDIGO!N9+[2]INDIGO!N9</f>
        <v>1.937060636</v>
      </c>
      <c r="O9" s="5">
        <f>[1]INDIGO!O9+[2]INDIGO!O9</f>
        <v>693.94183725899995</v>
      </c>
      <c r="P9" s="5">
        <f>[1]INDIGO!P9+[2]INDIGO!P9</f>
        <v>1051.479525582999</v>
      </c>
      <c r="Q9" s="5">
        <f t="shared" si="1"/>
        <v>65.996704678984571</v>
      </c>
    </row>
    <row r="10" spans="1:17" ht="24" customHeight="1" x14ac:dyDescent="0.25">
      <c r="A10" s="7">
        <v>44774</v>
      </c>
      <c r="B10" s="1">
        <f>[1]INDIGO!B10+[2]INDIGO!B10</f>
        <v>47848</v>
      </c>
      <c r="C10" s="1">
        <f>[1]INDIGO!C10+[2]INDIGO!C10</f>
        <v>91259.67</v>
      </c>
      <c r="D10" s="1">
        <f>[1]INDIGO!D10+[2]INDIGO!D10</f>
        <v>49076.45</v>
      </c>
      <c r="E10" s="1">
        <f>[1]INDIGO!E10+[2]INDIGO!E10</f>
        <v>6547547</v>
      </c>
      <c r="F10" s="1">
        <f>[1]INDIGO!F10+[2]INDIGO!F10</f>
        <v>7262.1670000000004</v>
      </c>
      <c r="G10" s="1">
        <f>[1]INDIGO!G10+[2]INDIGO!G10</f>
        <v>9264.369999999999</v>
      </c>
      <c r="H10" s="2">
        <f t="shared" si="0"/>
        <v>78.388136484186205</v>
      </c>
      <c r="I10" s="2">
        <f>[1]INDIGO!I10+[2]INDIGO!I10</f>
        <v>23683.363999999998</v>
      </c>
      <c r="J10" s="2">
        <f>[1]INDIGO!J10+[2]INDIGO!J10</f>
        <v>2167.8679999999999</v>
      </c>
      <c r="K10" s="2">
        <f>[1]INDIGO!K10+[2]INDIGO!K10</f>
        <v>25851.231999999996</v>
      </c>
      <c r="L10" s="2">
        <f>[1]INDIGO!L10+[2]INDIGO!L10</f>
        <v>653.49060003000091</v>
      </c>
      <c r="M10" s="2">
        <f>[1]INDIGO!M10+[2]INDIGO!M10</f>
        <v>31.815167415000001</v>
      </c>
      <c r="N10" s="2">
        <f>[1]INDIGO!N10+[2]INDIGO!N10</f>
        <v>1.978718022</v>
      </c>
      <c r="O10" s="2">
        <f>[1]INDIGO!O10+[2]INDIGO!O10</f>
        <v>687.28448546700099</v>
      </c>
      <c r="P10" s="2">
        <f>[1]INDIGO!P10+[2]INDIGO!P10</f>
        <v>1039.863900585</v>
      </c>
      <c r="Q10" s="2">
        <f t="shared" si="1"/>
        <v>66.093696019291841</v>
      </c>
    </row>
    <row r="11" spans="1:17" s="9" customFormat="1" ht="24" customHeight="1" x14ac:dyDescent="0.25">
      <c r="A11" s="8">
        <v>44805</v>
      </c>
      <c r="B11" s="4">
        <f>[1]INDIGO!B11+[2]INDIGO!B11</f>
        <v>46865</v>
      </c>
      <c r="C11" s="4">
        <f>[1]INDIGO!C11+[2]INDIGO!C11</f>
        <v>89123.083333333299</v>
      </c>
      <c r="D11" s="4">
        <f>[1]INDIGO!D11+[2]INDIGO!D11</f>
        <v>47674.400000000001</v>
      </c>
      <c r="E11" s="4">
        <f>[1]INDIGO!E11+[2]INDIGO!E11</f>
        <v>6652810</v>
      </c>
      <c r="F11" s="4">
        <f>[1]INDIGO!F11+[2]INDIGO!F11</f>
        <v>7267.8179999999993</v>
      </c>
      <c r="G11" s="4">
        <f>[1]INDIGO!G11+[2]INDIGO!G11</f>
        <v>8959.6570000000011</v>
      </c>
      <c r="H11" s="5">
        <f t="shared" si="0"/>
        <v>81.117145444295446</v>
      </c>
      <c r="I11" s="5">
        <f>[1]INDIGO!I11+[2]INDIGO!I11</f>
        <v>24575.183000000005</v>
      </c>
      <c r="J11" s="5">
        <f>[1]INDIGO!J11+[2]INDIGO!J11</f>
        <v>2141.7920000000008</v>
      </c>
      <c r="K11" s="5">
        <f>[1]INDIGO!K11+[2]INDIGO!K11</f>
        <v>26716.975000000006</v>
      </c>
      <c r="L11" s="5">
        <f>[1]INDIGO!L11+[2]INDIGO!L11</f>
        <v>654.00539186999993</v>
      </c>
      <c r="M11" s="5">
        <f>[1]INDIGO!M11+[2]INDIGO!M11</f>
        <v>32.570032475999952</v>
      </c>
      <c r="N11" s="5">
        <f>[1]INDIGO!N11+[2]INDIGO!N11</f>
        <v>1.9493628989999987</v>
      </c>
      <c r="O11" s="5">
        <f>[1]INDIGO!O11+[2]INDIGO!O11</f>
        <v>688.52478724499997</v>
      </c>
      <c r="P11" s="5">
        <f>[1]INDIGO!P11+[2]INDIGO!P11</f>
        <v>1008.7205041350004</v>
      </c>
      <c r="Q11" s="5">
        <f t="shared" si="1"/>
        <v>68.257241170627807</v>
      </c>
    </row>
    <row r="12" spans="1:17" ht="24" customHeight="1" x14ac:dyDescent="0.25">
      <c r="A12" s="7">
        <v>44835</v>
      </c>
      <c r="B12" s="1">
        <f>[1]INDIGO!B12+[2]INDIGO!B12</f>
        <v>49998</v>
      </c>
      <c r="C12" s="1">
        <f>[1]INDIGO!C12+[2]INDIGO!C12</f>
        <v>94570.1</v>
      </c>
      <c r="D12" s="1">
        <f>[1]INDIGO!D12+[2]INDIGO!D12</f>
        <v>50932.22</v>
      </c>
      <c r="E12" s="1">
        <f>[1]INDIGO!E12+[2]INDIGO!E12</f>
        <v>7178149</v>
      </c>
      <c r="F12" s="1">
        <f>[1]INDIGO!F12+[2]INDIGO!F12</f>
        <v>7883.8339999999998</v>
      </c>
      <c r="G12" s="1">
        <f>[1]INDIGO!G12+[2]INDIGO!G12</f>
        <v>9613.9030000000002</v>
      </c>
      <c r="H12" s="2">
        <f t="shared" si="0"/>
        <v>82.004509510861496</v>
      </c>
      <c r="I12" s="2">
        <f>[1]INDIGO!I12+[2]INDIGO!I12</f>
        <v>22227.038000000022</v>
      </c>
      <c r="J12" s="2">
        <f>[1]INDIGO!J12+[2]INDIGO!J12</f>
        <v>1847.8089999999986</v>
      </c>
      <c r="K12" s="2">
        <f>[1]INDIGO!K12+[2]INDIGO!K12</f>
        <v>24074.84700000002</v>
      </c>
      <c r="L12" s="2">
        <f>[1]INDIGO!L12+[2]INDIGO!L12</f>
        <v>709.48043190000033</v>
      </c>
      <c r="M12" s="2">
        <f>[1]INDIGO!M12+[2]INDIGO!M12</f>
        <v>29.783418651999966</v>
      </c>
      <c r="N12" s="2">
        <f>[1]INDIGO!N12+[2]INDIGO!N12</f>
        <v>1.6821687259999991</v>
      </c>
      <c r="O12" s="2">
        <f>[1]INDIGO!O12+[2]INDIGO!O12</f>
        <v>740.94601927800022</v>
      </c>
      <c r="P12" s="2">
        <f>[1]INDIGO!P12+[2]INDIGO!P12</f>
        <v>1081.1064882450014</v>
      </c>
      <c r="Q12" s="2">
        <f t="shared" si="1"/>
        <v>68.5358960781749</v>
      </c>
    </row>
    <row r="13" spans="1:17" s="9" customFormat="1" ht="24" customHeight="1" x14ac:dyDescent="0.25">
      <c r="A13" s="8">
        <v>44866</v>
      </c>
      <c r="B13" s="4">
        <f>[1]INDIGO!B13+[2]INDIGO!B13</f>
        <v>48062</v>
      </c>
      <c r="C13" s="4">
        <f>[1]INDIGO!C13+[2]INDIGO!C13</f>
        <v>91829.6</v>
      </c>
      <c r="D13" s="4">
        <f>[1]INDIGO!D13+[2]INDIGO!D13</f>
        <v>49030.47</v>
      </c>
      <c r="E13" s="4">
        <f>[1]INDIGO!E13+[2]INDIGO!E13</f>
        <v>7250201</v>
      </c>
      <c r="F13" s="4">
        <f>[1]INDIGO!F13+[2]INDIGO!F13</f>
        <v>7942.1680000000006</v>
      </c>
      <c r="G13" s="4">
        <f>[1]INDIGO!G13+[2]INDIGO!G13</f>
        <v>9238.8179999999993</v>
      </c>
      <c r="H13" s="5">
        <f t="shared" si="0"/>
        <v>85.96519598069797</v>
      </c>
      <c r="I13" s="5">
        <f>[1]INDIGO!I13+[2]INDIGO!I13</f>
        <v>21494.987999999998</v>
      </c>
      <c r="J13" s="5">
        <f>[1]INDIGO!J13+[2]INDIGO!J13</f>
        <v>2030.1849999999999</v>
      </c>
      <c r="K13" s="5">
        <f>[1]INDIGO!K13+[2]INDIGO!K13</f>
        <v>23525.173000000003</v>
      </c>
      <c r="L13" s="5">
        <f>[1]INDIGO!L13+[2]INDIGO!L13</f>
        <v>714.78864773999931</v>
      </c>
      <c r="M13" s="5">
        <f>[1]INDIGO!M13+[2]INDIGO!M13</f>
        <v>28.718294239999974</v>
      </c>
      <c r="N13" s="5">
        <f>[1]INDIGO!N13+[2]INDIGO!N13</f>
        <v>1.8371046209999995</v>
      </c>
      <c r="O13" s="5">
        <f>[1]INDIGO!O13+[2]INDIGO!O13</f>
        <v>745.34404660099926</v>
      </c>
      <c r="P13" s="5">
        <f>[1]INDIGO!P13+[2]INDIGO!P13</f>
        <v>1036.3644955379989</v>
      </c>
      <c r="Q13" s="5">
        <f t="shared" si="1"/>
        <v>71.919102768382203</v>
      </c>
    </row>
    <row r="14" spans="1:17" ht="24" customHeight="1" x14ac:dyDescent="0.25">
      <c r="A14" s="7">
        <v>44896</v>
      </c>
      <c r="B14" s="1">
        <f>[1]INDIGO!B14+[2]INDIGO!B14</f>
        <v>51086</v>
      </c>
      <c r="C14" s="1">
        <f>[1]INDIGO!C14+[2]INDIGO!C14</f>
        <v>98252.316666666666</v>
      </c>
      <c r="D14" s="1">
        <f>[1]INDIGO!D14+[2]INDIGO!D14</f>
        <v>52136.25</v>
      </c>
      <c r="E14" s="1">
        <f>[1]INDIGO!E14+[2]INDIGO!E14</f>
        <v>7810639</v>
      </c>
      <c r="F14" s="1">
        <f>[1]INDIGO!F14+[2]INDIGO!F14</f>
        <v>8585.2549999999992</v>
      </c>
      <c r="G14" s="1">
        <f>[1]INDIGO!G14+[2]INDIGO!G14</f>
        <v>9844.0660000000007</v>
      </c>
      <c r="H14" s="2">
        <f t="shared" si="0"/>
        <v>87.212489229552077</v>
      </c>
      <c r="I14" s="2">
        <f>[1]INDIGO!I14+[2]INDIGO!I14</f>
        <v>20785.502999999997</v>
      </c>
      <c r="J14" s="2">
        <f>[1]INDIGO!J14+[2]INDIGO!J14</f>
        <v>2098.9520000000002</v>
      </c>
      <c r="K14" s="2">
        <f>[1]INDIGO!K14+[2]INDIGO!K14</f>
        <v>22884.454999999998</v>
      </c>
      <c r="L14" s="2">
        <f>[1]INDIGO!L14+[2]INDIGO!L14</f>
        <v>772.51584096000033</v>
      </c>
      <c r="M14" s="2">
        <f>[1]INDIGO!M14+[2]INDIGO!M14</f>
        <v>27.74871101200003</v>
      </c>
      <c r="N14" s="2">
        <f>[1]INDIGO!N14+[2]INDIGO!N14</f>
        <v>1.913173059000004</v>
      </c>
      <c r="O14" s="2">
        <f>[1]INDIGO!O14+[2]INDIGO!O14</f>
        <v>802.17772503100036</v>
      </c>
      <c r="P14" s="2">
        <f>[1]INDIGO!P14+[2]INDIGO!P14</f>
        <v>1104.2587843530018</v>
      </c>
      <c r="Q14" s="2">
        <f t="shared" si="1"/>
        <v>72.643997620630714</v>
      </c>
    </row>
    <row r="15" spans="1:17" s="9" customFormat="1" ht="24" customHeight="1" x14ac:dyDescent="0.25">
      <c r="A15" s="8">
        <v>44927</v>
      </c>
      <c r="B15" s="4">
        <f>[1]INDIGO!B15+[2]INDIGO!B15</f>
        <v>52868</v>
      </c>
      <c r="C15" s="4">
        <f>[1]INDIGO!C15+[2]INDIGO!C15</f>
        <v>102667.21666666667</v>
      </c>
      <c r="D15" s="4">
        <f>[1]INDIGO!D15+[2]INDIGO!D15</f>
        <v>53686.770000000004</v>
      </c>
      <c r="E15" s="4">
        <f>[1]INDIGO!E15+[2]INDIGO!E15</f>
        <v>7664272</v>
      </c>
      <c r="F15" s="4">
        <f>[1]INDIGO!F15+[2]INDIGO!F15</f>
        <v>8404.7119999999995</v>
      </c>
      <c r="G15" s="4">
        <f>[1]INDIGO!G15+[2]INDIGO!G15</f>
        <v>10152.732</v>
      </c>
      <c r="H15" s="5">
        <f t="shared" si="0"/>
        <v>82.782762314616392</v>
      </c>
      <c r="I15" s="5">
        <f>[1]INDIGO!I15+[2]INDIGO!I15</f>
        <v>19290.936000000002</v>
      </c>
      <c r="J15" s="5">
        <f>[1]INDIGO!J15+[2]INDIGO!J15</f>
        <v>2043.5059999999996</v>
      </c>
      <c r="K15" s="5">
        <f>[1]INDIGO!K15+[2]INDIGO!K15</f>
        <v>21334.442000000003</v>
      </c>
      <c r="L15" s="5">
        <f>[1]INDIGO!L15+[2]INDIGO!L15</f>
        <v>753.70746905999999</v>
      </c>
      <c r="M15" s="5">
        <f>[1]INDIGO!M15+[2]INDIGO!M15</f>
        <v>25.49077009899996</v>
      </c>
      <c r="N15" s="5">
        <f>[1]INDIGO!N15+[2]INDIGO!N15</f>
        <v>1.8678550419999984</v>
      </c>
      <c r="O15" s="5">
        <f>[1]INDIGO!O15+[2]INDIGO!O15</f>
        <v>781.06609420099994</v>
      </c>
      <c r="P15" s="5">
        <f>[1]INDIGO!P15+[2]INDIGO!P15</f>
        <v>1132.2165957179998</v>
      </c>
      <c r="Q15" s="5">
        <f t="shared" si="1"/>
        <v>68.985571944004548</v>
      </c>
    </row>
    <row r="16" spans="1:17" ht="24" customHeight="1" x14ac:dyDescent="0.25">
      <c r="A16" s="7">
        <v>44958</v>
      </c>
      <c r="B16" s="1">
        <f>[1]INDIGO!B16+[2]INDIGO!B16</f>
        <v>49343</v>
      </c>
      <c r="C16" s="1">
        <f>[1]INDIGO!C16+[2]INDIGO!C16</f>
        <v>94239.733333333366</v>
      </c>
      <c r="D16" s="1">
        <f>[1]INDIGO!D16+[2]INDIGO!D16</f>
        <v>49892.83</v>
      </c>
      <c r="E16" s="1">
        <f>[1]INDIGO!E16+[2]INDIGO!E16</f>
        <v>7504642</v>
      </c>
      <c r="F16" s="1">
        <f>[1]INDIGO!F16+[2]INDIGO!F16</f>
        <v>8207.8760000000002</v>
      </c>
      <c r="G16" s="1">
        <f>[1]INDIGO!G16+[2]INDIGO!G16</f>
        <v>9492.9650000000001</v>
      </c>
      <c r="H16" s="2">
        <f t="shared" si="0"/>
        <v>86.462722658305395</v>
      </c>
      <c r="I16" s="2">
        <f>[1]INDIGO!I16+[2]INDIGO!I16</f>
        <v>20114.993000000002</v>
      </c>
      <c r="J16" s="2">
        <f>[1]INDIGO!J16+[2]INDIGO!J16</f>
        <v>2086.69</v>
      </c>
      <c r="K16" s="2">
        <f>[1]INDIGO!K16+[2]INDIGO!K16</f>
        <v>22201.683000000001</v>
      </c>
      <c r="L16" s="2">
        <f>[1]INDIGO!L16+[2]INDIGO!L16</f>
        <v>736.36430000000007</v>
      </c>
      <c r="M16" s="2">
        <f>[1]INDIGO!M16+[2]INDIGO!M16</f>
        <v>27.183852000000002</v>
      </c>
      <c r="N16" s="2">
        <f>[1]INDIGO!N16+[2]INDIGO!N16</f>
        <v>1.9325619999999999</v>
      </c>
      <c r="O16" s="2">
        <f>[1]INDIGO!O16+[2]INDIGO!O16</f>
        <v>765.48071400000003</v>
      </c>
      <c r="P16" s="2">
        <f>[1]INDIGO!P16+[2]INDIGO!P16</f>
        <v>1051.7977000000001</v>
      </c>
      <c r="Q16" s="2">
        <f t="shared" si="1"/>
        <v>72.77832172479556</v>
      </c>
    </row>
    <row r="17" spans="1:17" s="9" customFormat="1" ht="24" customHeight="1" x14ac:dyDescent="0.25">
      <c r="A17" s="8">
        <v>44986</v>
      </c>
      <c r="B17" s="4">
        <f>[1]INDIGO!B17+[2]INDIGO!B17</f>
        <v>55442</v>
      </c>
      <c r="C17" s="4">
        <f>[1]INDIGO!C17+[2]INDIGO!C17</f>
        <v>106002.11666666667</v>
      </c>
      <c r="D17" s="4">
        <f>[1]INDIGO!D17+[2]INDIGO!D17</f>
        <v>56210.317999999999</v>
      </c>
      <c r="E17" s="4">
        <f>[1]INDIGO!E17+[2]INDIGO!E17</f>
        <v>8151131</v>
      </c>
      <c r="F17" s="4">
        <f>[1]INDIGO!F17+[2]INDIGO!F17</f>
        <v>8947.0490000000009</v>
      </c>
      <c r="G17" s="4">
        <f>[1]INDIGO!G17+[2]INDIGO!G17</f>
        <v>10706.371999999999</v>
      </c>
      <c r="H17" s="5">
        <f t="shared" si="0"/>
        <v>83.567514747292563</v>
      </c>
      <c r="I17" s="5">
        <f>[1]INDIGO!I17+[2]INDIGO!I17</f>
        <v>23498.884760000001</v>
      </c>
      <c r="J17" s="5">
        <f>[1]INDIGO!J17+[2]INDIGO!J17</f>
        <v>2310.0801199999987</v>
      </c>
      <c r="K17" s="5">
        <f>[1]INDIGO!K17+[2]INDIGO!K17</f>
        <v>25808.96488</v>
      </c>
      <c r="L17" s="5">
        <f>[1]INDIGO!L17+[2]INDIGO!L17</f>
        <v>802.3948656</v>
      </c>
      <c r="M17" s="5">
        <f>[1]INDIGO!M17+[2]INDIGO!M17</f>
        <v>31.371940120879952</v>
      </c>
      <c r="N17" s="5">
        <f>[1]INDIGO!N17+[2]INDIGO!N17</f>
        <v>2.1002345364999999</v>
      </c>
      <c r="O17" s="5">
        <f>[1]INDIGO!O17+[2]INDIGO!O17</f>
        <v>835.86704025738004</v>
      </c>
      <c r="P17" s="5">
        <f>[1]INDIGO!P17+[2]INDIGO!P17</f>
        <v>1187.3813824390011</v>
      </c>
      <c r="Q17" s="5">
        <f t="shared" si="1"/>
        <v>70.395835122530286</v>
      </c>
    </row>
    <row r="18" spans="1:17" ht="24" customHeight="1" x14ac:dyDescent="0.25">
      <c r="A18" s="3" t="s">
        <v>23</v>
      </c>
      <c r="B18" s="1">
        <f>[1]INDIGO!B18+[2]INDIGO!B18</f>
        <v>594812</v>
      </c>
      <c r="C18" s="1">
        <f>[1]INDIGO!C18+[2]INDIGO!C18</f>
        <v>1134826.9166666667</v>
      </c>
      <c r="D18" s="1">
        <f>[1]INDIGO!D18+[2]INDIGO!D18</f>
        <v>604608.75899999996</v>
      </c>
      <c r="E18" s="1">
        <f>[1]INDIGO!E18+[2]INDIGO!E18</f>
        <v>85265383</v>
      </c>
      <c r="F18" s="1">
        <f>[1]INDIGO!F18+[2]INDIGO!F18</f>
        <v>93639.206000000006</v>
      </c>
      <c r="G18" s="1">
        <f>[1]INDIGO!G18+[2]INDIGO!G18</f>
        <v>114062.49399999999</v>
      </c>
      <c r="H18" s="2">
        <f t="shared" si="0"/>
        <v>82.09465067456793</v>
      </c>
      <c r="I18" s="2">
        <f>[1]INDIGO!I18+[2]INDIGO!I18</f>
        <v>273742.44876</v>
      </c>
      <c r="J18" s="2">
        <f>[1]INDIGO!J18+[2]INDIGO!J18</f>
        <v>24282.385119999999</v>
      </c>
      <c r="K18" s="2">
        <f>[1]INDIGO!K18+[2]INDIGO!K18</f>
        <v>298024.83388000005</v>
      </c>
      <c r="L18" s="2">
        <f>[1]INDIGO!L18+[2]INDIGO!L18</f>
        <v>8418.9129113300005</v>
      </c>
      <c r="M18" s="2">
        <f>[1]INDIGO!M18+[2]INDIGO!M18</f>
        <v>368.83963055487976</v>
      </c>
      <c r="N18" s="2">
        <f>[1]INDIGO!N18+[2]INDIGO!N18</f>
        <v>22.409168769500003</v>
      </c>
      <c r="O18" s="2">
        <f>[1]INDIGO!O18+[2]INDIGO!O18</f>
        <v>8810.1617106543799</v>
      </c>
      <c r="P18" s="2">
        <f>[1]INDIGO!P18+[2]INDIGO!P18</f>
        <v>12802.751361492003</v>
      </c>
      <c r="Q18" s="2">
        <f t="shared" si="1"/>
        <v>68.814596658914297</v>
      </c>
    </row>
    <row r="19" spans="1:17" ht="24" customHeight="1" x14ac:dyDescent="0.25">
      <c r="A19" s="12" t="s">
        <v>21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2023-11-09T10:17:37Z</cp:lastPrinted>
  <dcterms:created xsi:type="dcterms:W3CDTF">2020-06-03T10:36:30Z</dcterms:created>
  <dcterms:modified xsi:type="dcterms:W3CDTF">2023-11-09T10:20:42Z</dcterms:modified>
</cp:coreProperties>
</file>