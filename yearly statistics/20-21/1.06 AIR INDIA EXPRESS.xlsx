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  <c r="B38" i="1"/>
  <c r="L38" i="1" l="1"/>
  <c r="L35" i="1"/>
  <c r="B32" i="1"/>
  <c r="B29" i="1"/>
  <c r="B26" i="1"/>
  <c r="B23" i="1"/>
  <c r="B20" i="1"/>
  <c r="B19" i="1"/>
  <c r="B17" i="1"/>
  <c r="B16" i="1"/>
  <c r="C14" i="1"/>
  <c r="D14" i="1"/>
  <c r="E14" i="1"/>
  <c r="F14" i="1"/>
  <c r="G14" i="1"/>
  <c r="H14" i="1"/>
  <c r="L14" i="1"/>
  <c r="O14" i="1"/>
  <c r="P14" i="1"/>
  <c r="Q14" i="1"/>
  <c r="B11" i="1"/>
  <c r="B14" i="1"/>
  <c r="B13" i="1"/>
  <c r="H36" i="1" l="1"/>
  <c r="O36" i="1"/>
  <c r="Q36" i="1" l="1"/>
  <c r="L23" i="1" l="1"/>
  <c r="L26" i="1"/>
  <c r="L32" i="1"/>
  <c r="F32" i="1"/>
  <c r="D32" i="1"/>
  <c r="H37" i="1"/>
  <c r="K34" i="1"/>
  <c r="L31" i="1"/>
  <c r="G28" i="1"/>
  <c r="O25" i="1"/>
  <c r="L22" i="1"/>
  <c r="F13" i="1"/>
  <c r="C13" i="1"/>
  <c r="C11" i="1" l="1"/>
  <c r="D11" i="1"/>
  <c r="E11" i="1"/>
  <c r="F11" i="1"/>
  <c r="G11" i="1"/>
  <c r="H11" i="1"/>
  <c r="L11" i="1"/>
  <c r="O11" i="1"/>
  <c r="P11" i="1"/>
  <c r="Q11" i="1"/>
  <c r="C17" i="1"/>
  <c r="D17" i="1"/>
  <c r="E17" i="1"/>
  <c r="F17" i="1"/>
  <c r="G17" i="1"/>
  <c r="H17" i="1"/>
  <c r="L17" i="1"/>
  <c r="O17" i="1"/>
  <c r="P17" i="1"/>
  <c r="Q17" i="1"/>
  <c r="C20" i="1"/>
  <c r="D20" i="1"/>
  <c r="E20" i="1"/>
  <c r="F20" i="1"/>
  <c r="G20" i="1"/>
  <c r="H20" i="1"/>
  <c r="L20" i="1"/>
  <c r="O20" i="1"/>
  <c r="P20" i="1"/>
  <c r="Q20" i="1"/>
  <c r="C23" i="1"/>
  <c r="D23" i="1"/>
  <c r="E23" i="1"/>
  <c r="F23" i="1"/>
  <c r="G23" i="1"/>
  <c r="H23" i="1"/>
  <c r="O23" i="1"/>
  <c r="P23" i="1"/>
  <c r="Q23" i="1"/>
  <c r="C26" i="1"/>
  <c r="D26" i="1"/>
  <c r="E26" i="1"/>
  <c r="F26" i="1"/>
  <c r="G26" i="1"/>
  <c r="H26" i="1"/>
  <c r="O26" i="1"/>
  <c r="P26" i="1"/>
  <c r="Q26" i="1"/>
  <c r="C29" i="1"/>
  <c r="D29" i="1"/>
  <c r="E29" i="1"/>
  <c r="F29" i="1"/>
  <c r="G29" i="1"/>
  <c r="H29" i="1"/>
  <c r="L29" i="1"/>
  <c r="O29" i="1"/>
  <c r="P29" i="1"/>
  <c r="Q29" i="1"/>
  <c r="C32" i="1"/>
  <c r="E32" i="1"/>
  <c r="G32" i="1"/>
  <c r="H32" i="1"/>
  <c r="O32" i="1"/>
  <c r="P32" i="1"/>
  <c r="Q32" i="1"/>
  <c r="C35" i="1"/>
  <c r="D35" i="1"/>
  <c r="E35" i="1"/>
  <c r="F35" i="1"/>
  <c r="G35" i="1"/>
  <c r="H35" i="1"/>
  <c r="O35" i="1"/>
  <c r="P35" i="1"/>
  <c r="Q35" i="1"/>
  <c r="Q38" i="1" l="1"/>
  <c r="P38" i="1"/>
  <c r="O38" i="1"/>
  <c r="H38" i="1"/>
  <c r="G38" i="1"/>
  <c r="F38" i="1"/>
  <c r="E38" i="1"/>
  <c r="D38" i="1"/>
  <c r="C38" i="1"/>
  <c r="Q37" i="1" l="1"/>
  <c r="Q34" i="1" l="1"/>
  <c r="P34" i="1"/>
  <c r="O34" i="1"/>
  <c r="N34" i="1"/>
  <c r="M34" i="1"/>
  <c r="L34" i="1"/>
  <c r="J34" i="1"/>
  <c r="I34" i="1"/>
  <c r="H34" i="1"/>
  <c r="G34" i="1"/>
  <c r="F34" i="1"/>
  <c r="E34" i="1"/>
  <c r="D34" i="1"/>
  <c r="C34" i="1"/>
  <c r="B34" i="1"/>
  <c r="Q31" i="1"/>
  <c r="P31" i="1"/>
  <c r="O31" i="1"/>
  <c r="N31" i="1"/>
  <c r="M31" i="1"/>
  <c r="K31" i="1"/>
  <c r="J31" i="1"/>
  <c r="I31" i="1"/>
  <c r="H31" i="1"/>
  <c r="G31" i="1"/>
  <c r="F31" i="1"/>
  <c r="E31" i="1"/>
  <c r="D31" i="1"/>
  <c r="C31" i="1"/>
  <c r="B31" i="1"/>
  <c r="Q28" i="1"/>
  <c r="P28" i="1"/>
  <c r="O28" i="1"/>
  <c r="N28" i="1"/>
  <c r="M28" i="1"/>
  <c r="L28" i="1"/>
  <c r="K28" i="1"/>
  <c r="J28" i="1"/>
  <c r="I28" i="1"/>
  <c r="H28" i="1"/>
  <c r="F28" i="1"/>
  <c r="E28" i="1"/>
  <c r="D28" i="1"/>
  <c r="C28" i="1"/>
  <c r="B28" i="1"/>
  <c r="Q25" i="1"/>
  <c r="P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2" i="1"/>
  <c r="P22" i="1"/>
  <c r="O22" i="1"/>
  <c r="N22" i="1"/>
  <c r="M22" i="1"/>
  <c r="H22" i="1"/>
  <c r="G22" i="1"/>
  <c r="F22" i="1"/>
  <c r="E22" i="1"/>
  <c r="D22" i="1"/>
  <c r="C22" i="1"/>
  <c r="B22" i="1"/>
  <c r="Q19" i="1"/>
  <c r="P19" i="1"/>
  <c r="O19" i="1"/>
  <c r="L19" i="1"/>
  <c r="H19" i="1"/>
  <c r="G19" i="1"/>
  <c r="F19" i="1"/>
  <c r="E19" i="1"/>
  <c r="D19" i="1"/>
  <c r="C19" i="1"/>
  <c r="Q16" i="1"/>
  <c r="P16" i="1"/>
  <c r="O16" i="1"/>
  <c r="L16" i="1"/>
  <c r="H16" i="1"/>
  <c r="G16" i="1"/>
  <c r="F16" i="1"/>
  <c r="E16" i="1"/>
  <c r="D16" i="1"/>
  <c r="C16" i="1"/>
  <c r="Q13" i="1"/>
  <c r="P13" i="1"/>
  <c r="O13" i="1"/>
  <c r="L13" i="1"/>
  <c r="H13" i="1"/>
  <c r="G13" i="1"/>
  <c r="E13" i="1"/>
  <c r="D13" i="1"/>
  <c r="Q10" i="1"/>
  <c r="P10" i="1"/>
  <c r="O10" i="1"/>
  <c r="L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<sst xmlns="http://schemas.openxmlformats.org/spreadsheetml/2006/main" count="81" uniqueCount="39">
  <si>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</si>
  <si>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</si>
  <si>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</si>
  <si>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</si>
  <si>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</si>
  <si>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</si>
  <si>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</si>
  <si>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</si>
  <si>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</si>
  <si>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</si>
  <si>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</si>
  <si>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</si>
  <si>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</si>
  <si>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</si>
  <si>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</si>
  <si>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</si>
  <si>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</si>
  <si>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</si>
  <si>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</si>
  <si>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Growth</t>
  </si>
  <si>
    <t>-</t>
  </si>
  <si>
    <t>CAGR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</si>
  <si>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</si>
  <si>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</si>
  <si>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</si>
  <si>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</si>
  <si>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</si>
  <si>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</si>
  <si>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</si>
  <si>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SOURCE: ICAO ATR FORM 'A' FURNISHED BY AIR INDIA EXPRESSS </t>
  </si>
  <si>
    <t>2019-20</t>
  </si>
  <si>
    <t>YEAR ON YEAR GROWTH AND CAGR FOR LAST TEN YEARS OF  AIR INDIA EXPRESS ON TOTAL (DOMESTIC + INTERNATIONAL) SCHEDULED SERVICES (ALL AIR TRAFFIC AND OPERATING STATISTICS)</t>
  </si>
  <si>
    <t>* DENOTES that THE INTERNATIONAL OPERATIONS BY SCHEDULED INDIAN OPERATORS WERE CARRIED AS PER DGCA’S CIRCULAR DATED 26.03.2020 UNDER COVID-19 RESTRICTION.</t>
  </si>
  <si>
    <t>2020-21*</t>
  </si>
  <si>
    <t xml:space="preserve"> तालिका- 1.06 एयर इंडिया एक्सप्रेस (राष्ट्रीय)</t>
  </si>
  <si>
    <t>2022-23</t>
  </si>
  <si>
    <t>Note: Growth has been calculated with respect to preceeding year while Compound Annual Growth Rate (CAGR) has been calculating taking 2012-13 as a Base Year</t>
  </si>
  <si>
    <t xml:space="preserve">TABLE - 1.06 AIR INDIA EXPRESS 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</si>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</sst>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29">
    <xf numFmtId="0" fontId="0" fillId="0" borderId="0" xfId="0"/>
    <xf numFmtId="0" fontId="3" fillId="5" borderId="1" xfId="6" applyBorder="1" applyAlignment="1" applyProtection="1">
      <alignment horizontal="center" vertical="center" wrapText="1"/>
    </xf>
    <xf numFmtId="165" fontId="3" fillId="5" borderId="1" xfId="1" applyNumberFormat="1" applyFont="1" applyFill="1" applyBorder="1" applyAlignment="1" applyProtection="1">
      <alignment horizontal="center" vertical="center" wrapText="1"/>
    </xf>
    <xf numFmtId="166" fontId="3" fillId="5" borderId="1" xfId="1" applyNumberFormat="1" applyFont="1" applyFill="1" applyBorder="1" applyAlignment="1" applyProtection="1">
      <alignment horizontal="center" vertical="center" wrapText="1"/>
    </xf>
    <xf numFmtId="0" fontId="1" fillId="3" borderId="1" xfId="4" applyBorder="1" applyAlignment="1" applyProtection="1">
      <alignment horizontal="center" vertical="center" wrapText="1"/>
    </xf>
    <xf numFmtId="3" fontId="1" fillId="3" borderId="1" xfId="4" applyNumberFormat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5" fillId="7" borderId="1" xfId="2" applyNumberFormat="1" applyFont="1" applyFill="1" applyBorder="1" applyAlignment="1" applyProtection="1">
      <alignment horizontal="center" vertical="center" wrapText="1"/>
    </xf>
    <xf numFmtId="168" fontId="6" fillId="8" borderId="1" xfId="2" applyNumberFormat="1" applyFont="1" applyFill="1" applyBorder="1" applyAlignment="1" applyProtection="1">
      <alignment horizontal="center" vertical="center" wrapText="1"/>
    </xf>
    <xf numFmtId="168" fontId="7" fillId="6" borderId="1" xfId="2" applyNumberFormat="1" applyFont="1" applyFill="1" applyBorder="1" applyAlignment="1" applyProtection="1">
      <alignment horizontal="center" vertical="center" wrapText="1"/>
    </xf>
    <xf numFmtId="164" fontId="3" fillId="5" borderId="1" xfId="1" applyNumberFormat="1" applyFont="1" applyFill="1" applyBorder="1" applyAlignment="1" applyProtection="1">
      <alignment horizontal="center" vertical="center" wrapText="1"/>
    </xf>
    <xf numFmtId="167" fontId="0" fillId="0" borderId="0" xfId="0" applyNumberFormat="1"/>
    <xf numFmtId="168" fontId="1" fillId="3" borderId="1" xfId="4" applyNumberFormat="1" applyBorder="1" applyAlignment="1" applyProtection="1">
      <alignment horizontal="right" vertical="center" wrapText="1"/>
    </xf>
    <xf numFmtId="168" fontId="4" fillId="6" borderId="1" xfId="2" applyNumberFormat="1" applyFont="1" applyFill="1" applyBorder="1" applyAlignment="1" applyProtection="1">
      <alignment horizontal="right" vertical="center" wrapText="1"/>
    </xf>
    <xf numFmtId="0" fontId="4" fillId="2" borderId="1" xfId="3" applyFont="1" applyBorder="1" applyAlignment="1" applyProtection="1">
      <alignment horizontal="center" vertical="center" textRotation="90" wrapText="1"/>
    </xf>
    <xf numFmtId="168" fontId="1" fillId="3" borderId="1" xfId="2" applyNumberFormat="1" applyFill="1" applyBorder="1" applyAlignment="1" applyProtection="1">
      <alignment horizontal="right" vertical="center" wrapText="1"/>
    </xf>
    <xf numFmtId="0" fontId="4" fillId="4" borderId="1" xfId="5" applyFont="1" applyBorder="1" applyAlignment="1">
      <alignment horizontal="center" vertical="center" wrapText="1"/>
    </xf>
    <xf numFmtId="0" fontId="4" fillId="4" borderId="1" xfId="5" quotePrefix="1" applyFont="1" applyBorder="1" applyAlignment="1" applyProtection="1">
      <alignment horizontal="center" vertical="center" wrapText="1"/>
    </xf>
    <xf numFmtId="0" fontId="4" fillId="4" borderId="1" xfId="5" applyFont="1" applyBorder="1"/>
    <xf numFmtId="0" fontId="4" fillId="2" borderId="1" xfId="3" applyFont="1" applyBorder="1" applyAlignment="1" applyProtection="1">
      <alignment horizontal="center" vertical="center" wrapText="1"/>
    </xf>
    <xf numFmtId="0" fontId="4" fillId="2" borderId="1" xfId="3" applyFont="1" applyBorder="1"/>
    <xf numFmtId="0" fontId="4" fillId="2" borderId="1" xfId="3" applyFont="1" applyBorder="1" applyAlignment="1" applyProtection="1">
      <alignment horizontal="center" vertical="center" textRotation="90" wrapText="1"/>
    </xf>
    <xf numFmtId="0" fontId="4" fillId="2" borderId="1" xfId="3" applyFont="1" applyBorder="1" applyAlignment="1">
      <alignment textRotation="90"/>
    </xf>
    <xf numFmtId="0" fontId="2" fillId="0" borderId="1" xfId="0" applyFont="1" applyBorder="1" applyAlignment="1">
      <alignment horizontal="left" wrapText="1"/>
    </xf>
    <xf numFmtId="0" fontId="8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7">
    <cellStyle name="20% - Accent1" xfId="4" builtinId="30"/>
    <cellStyle name="40% - Accent1" xfId="5" builtinId="31"/>
    <cellStyle name="60% - Accent1" xfId="6" builtinId="32"/>
    <cellStyle name="Accent1" xfId="3" builtinId="29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zoomScaleNormal="100" zoomScaleSheetLayoutView="100" workbookViewId="0">
      <selection activeCell="K5" sqref="K5"/>
    </sheetView>
  </sheetViews>
  <sheetFormatPr defaultRowHeight="15" x14ac:dyDescent="0.25"/>
  <cols>
    <col min="1" max="1" width="9.140625" customWidth="1"/>
    <col min="2" max="2" width="9.42578125" customWidth="1"/>
    <col min="3" max="3" width="11.140625" customWidth="1"/>
    <col min="4" max="4" width="9.7109375" customWidth="1"/>
    <col min="5" max="5" width="12.85546875" customWidth="1"/>
    <col min="6" max="6" width="9.7109375" customWidth="1"/>
    <col min="7" max="7" width="10" customWidth="1"/>
    <col min="8" max="8" width="8.140625" customWidth="1"/>
    <col min="9" max="9" width="11" customWidth="1"/>
    <col min="10" max="10" width="9.42578125" customWidth="1"/>
    <col min="11" max="11" width="11.140625" customWidth="1"/>
    <col min="12" max="12" width="9.28515625" customWidth="1"/>
    <col min="13" max="13" width="10.85546875" customWidth="1"/>
    <col min="14" max="14" width="11.140625" customWidth="1"/>
    <col min="15" max="15" width="10.42578125" customWidth="1"/>
    <col min="16" max="16" width="9.7109375" customWidth="1"/>
    <col min="17" max="17" width="7.5703125" customWidth="1"/>
  </cols>
  <sheetData>
    <row r="1" spans="1:17" x14ac:dyDescent="0.25">
      <c r="A1" s="17" t="s">
        <v>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33" customHeight="1" x14ac:dyDescent="0.25">
      <c r="A3" s="20" t="s">
        <v>31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9.4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22" t="s">
        <v>3</v>
      </c>
      <c r="H4" s="22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22" t="s">
        <v>7</v>
      </c>
      <c r="Q4" s="22" t="s">
        <v>8</v>
      </c>
    </row>
    <row r="5" spans="1:17" ht="119.25" customHeight="1" x14ac:dyDescent="0.25">
      <c r="A5" s="20"/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23"/>
      <c r="H5" s="23"/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15</v>
      </c>
      <c r="O5" s="15" t="s">
        <v>16</v>
      </c>
      <c r="P5" s="23"/>
      <c r="Q5" s="23"/>
    </row>
    <row r="6" spans="1:17" x14ac:dyDescent="0.25">
      <c r="A6" s="1" t="s">
        <v>22</v>
      </c>
      <c r="B6" s="2">
        <v>18486</v>
      </c>
      <c r="C6" s="2">
        <v>58338</v>
      </c>
      <c r="D6" s="2">
        <v>37349</v>
      </c>
      <c r="E6" s="2">
        <v>2164153</v>
      </c>
      <c r="F6" s="2">
        <v>5236.4549999999999</v>
      </c>
      <c r="G6" s="2">
        <v>6947.1679999999997</v>
      </c>
      <c r="H6" s="8">
        <v>75.375390374898089</v>
      </c>
      <c r="I6" s="3">
        <v>0</v>
      </c>
      <c r="J6" s="3">
        <v>0</v>
      </c>
      <c r="K6" s="3">
        <v>0</v>
      </c>
      <c r="L6" s="3">
        <v>507.94397855524659</v>
      </c>
      <c r="M6" s="3">
        <v>0</v>
      </c>
      <c r="N6" s="3">
        <v>0</v>
      </c>
      <c r="O6" s="3">
        <v>507.94397855524659</v>
      </c>
      <c r="P6" s="3">
        <v>719.90297664117952</v>
      </c>
      <c r="Q6" s="8">
        <v>70.557282722338371</v>
      </c>
    </row>
    <row r="7" spans="1:17" x14ac:dyDescent="0.25">
      <c r="A7" s="4" t="s">
        <v>19</v>
      </c>
      <c r="B7" s="16"/>
      <c r="C7" s="16"/>
      <c r="D7" s="16"/>
      <c r="E7" s="16"/>
      <c r="F7" s="16"/>
      <c r="G7" s="16"/>
      <c r="H7" s="9"/>
      <c r="I7" s="5"/>
      <c r="J7" s="5"/>
      <c r="K7" s="5"/>
      <c r="L7" s="16"/>
      <c r="M7" s="16"/>
      <c r="N7" s="16"/>
      <c r="O7" s="16"/>
      <c r="P7" s="16"/>
      <c r="Q7" s="9"/>
    </row>
    <row r="8" spans="1:17" x14ac:dyDescent="0.25">
      <c r="A8" s="6" t="s">
        <v>21</v>
      </c>
      <c r="B8" s="14"/>
      <c r="C8" s="14"/>
      <c r="D8" s="14"/>
      <c r="E8" s="14"/>
      <c r="F8" s="14"/>
      <c r="G8" s="14"/>
      <c r="H8" s="10"/>
      <c r="I8" s="7"/>
      <c r="J8" s="7"/>
      <c r="K8" s="7"/>
      <c r="L8" s="14"/>
      <c r="M8" s="14"/>
      <c r="N8" s="14"/>
      <c r="O8" s="14"/>
      <c r="P8" s="14"/>
      <c r="Q8" s="10"/>
    </row>
    <row r="9" spans="1:17" x14ac:dyDescent="0.25">
      <c r="A9" s="1" t="s">
        <v>23</v>
      </c>
      <c r="B9" s="2">
        <v>20889</v>
      </c>
      <c r="C9" s="2">
        <v>67283</v>
      </c>
      <c r="D9" s="2">
        <v>43654.671000000002</v>
      </c>
      <c r="E9" s="2">
        <v>2668193</v>
      </c>
      <c r="F9" s="2">
        <v>6396.3008899999995</v>
      </c>
      <c r="G9" s="2">
        <v>8119.8387480000001</v>
      </c>
      <c r="H9" s="8">
        <v>78.773742786154159</v>
      </c>
      <c r="I9" s="3"/>
      <c r="J9" s="3"/>
      <c r="K9" s="3"/>
      <c r="L9" s="3">
        <v>620.45056546724231</v>
      </c>
      <c r="M9" s="3">
        <v>0</v>
      </c>
      <c r="N9" s="3">
        <v>0</v>
      </c>
      <c r="O9" s="3">
        <v>620.45056546724231</v>
      </c>
      <c r="P9" s="3">
        <v>842.99393196081405</v>
      </c>
      <c r="Q9" s="8">
        <v>73.60083411562249</v>
      </c>
    </row>
    <row r="10" spans="1:17" x14ac:dyDescent="0.25">
      <c r="A10" s="4" t="s">
        <v>19</v>
      </c>
      <c r="B10" s="16">
        <f>(B9-B6)/B6</f>
        <v>0.1299902629016553</v>
      </c>
      <c r="C10" s="16">
        <f t="shared" ref="C10:Q10" si="0">(C9-C6)/C6</f>
        <v>0.15333059069560148</v>
      </c>
      <c r="D10" s="16">
        <f t="shared" si="0"/>
        <v>0.1688310530402421</v>
      </c>
      <c r="E10" s="16">
        <f t="shared" si="0"/>
        <v>0.23290405068403205</v>
      </c>
      <c r="F10" s="16">
        <f t="shared" si="0"/>
        <v>0.22149448243133946</v>
      </c>
      <c r="G10" s="16">
        <f t="shared" si="0"/>
        <v>0.16879838633526648</v>
      </c>
      <c r="H10" s="9">
        <f t="shared" si="0"/>
        <v>4.5085702300890602E-2</v>
      </c>
      <c r="I10" s="5" t="s">
        <v>20</v>
      </c>
      <c r="J10" s="5" t="s">
        <v>20</v>
      </c>
      <c r="K10" s="5" t="s">
        <v>20</v>
      </c>
      <c r="L10" s="16">
        <f t="shared" si="0"/>
        <v>0.22149408529657161</v>
      </c>
      <c r="M10" s="16" t="s">
        <v>20</v>
      </c>
      <c r="N10" s="16" t="s">
        <v>20</v>
      </c>
      <c r="O10" s="16">
        <f t="shared" si="0"/>
        <v>0.22149408529657161</v>
      </c>
      <c r="P10" s="16">
        <f t="shared" si="0"/>
        <v>0.17098270088274217</v>
      </c>
      <c r="Q10" s="9">
        <f t="shared" si="0"/>
        <v>4.3135892934841345E-2</v>
      </c>
    </row>
    <row r="11" spans="1:17" x14ac:dyDescent="0.25">
      <c r="A11" s="6" t="s">
        <v>21</v>
      </c>
      <c r="B11" s="14">
        <f>(((B9/B6)^(1/1))-1)</f>
        <v>0.12999026290165538</v>
      </c>
      <c r="C11" s="14">
        <f t="shared" ref="C11:Q11" si="1">(((C9/C6)^(1/1))-1)</f>
        <v>0.15333059069560151</v>
      </c>
      <c r="D11" s="14">
        <f t="shared" si="1"/>
        <v>0.16883105304024215</v>
      </c>
      <c r="E11" s="14">
        <f t="shared" si="1"/>
        <v>0.23290405068403208</v>
      </c>
      <c r="F11" s="14">
        <f t="shared" si="1"/>
        <v>0.2214944824313394</v>
      </c>
      <c r="G11" s="14">
        <f t="shared" si="1"/>
        <v>0.16879838633526645</v>
      </c>
      <c r="H11" s="14">
        <f t="shared" si="1"/>
        <v>4.5085702300890595E-2</v>
      </c>
      <c r="I11" s="14"/>
      <c r="J11" s="14"/>
      <c r="K11" s="14"/>
      <c r="L11" s="14">
        <f t="shared" si="1"/>
        <v>0.22149408529657166</v>
      </c>
      <c r="M11" s="14"/>
      <c r="N11" s="14"/>
      <c r="O11" s="14">
        <f t="shared" si="1"/>
        <v>0.22149408529657166</v>
      </c>
      <c r="P11" s="14">
        <f t="shared" si="1"/>
        <v>0.17098270088274226</v>
      </c>
      <c r="Q11" s="14">
        <f t="shared" si="1"/>
        <v>4.3135892934841324E-2</v>
      </c>
    </row>
    <row r="12" spans="1:17" x14ac:dyDescent="0.25">
      <c r="A12" s="1" t="s">
        <v>24</v>
      </c>
      <c r="B12" s="2">
        <v>19524</v>
      </c>
      <c r="C12" s="2">
        <v>66620</v>
      </c>
      <c r="D12" s="2">
        <v>43891</v>
      </c>
      <c r="E12" s="2">
        <v>2583255</v>
      </c>
      <c r="F12" s="2">
        <v>6639.1989999999996</v>
      </c>
      <c r="G12" s="2">
        <v>8160.7849999999999</v>
      </c>
      <c r="H12" s="8">
        <v>81.354906421379809</v>
      </c>
      <c r="I12" s="3"/>
      <c r="J12" s="3"/>
      <c r="K12" s="3"/>
      <c r="L12" s="3">
        <v>529.77085</v>
      </c>
      <c r="M12" s="3">
        <v>11.570879999999999</v>
      </c>
      <c r="N12" s="3">
        <v>0.49462</v>
      </c>
      <c r="O12" s="3">
        <v>541.36682000000008</v>
      </c>
      <c r="P12" s="3">
        <v>659.40926999999999</v>
      </c>
      <c r="Q12" s="8">
        <v>82.098757877637979</v>
      </c>
    </row>
    <row r="13" spans="1:17" x14ac:dyDescent="0.25">
      <c r="A13" s="4" t="s">
        <v>19</v>
      </c>
      <c r="B13" s="16">
        <f>(B12-B9)/B9</f>
        <v>-6.5345397098951596E-2</v>
      </c>
      <c r="C13" s="16">
        <f>(C12-C9)/C9</f>
        <v>-9.8539006881381633E-3</v>
      </c>
      <c r="D13" s="16">
        <f t="shared" ref="D13:Q13" si="2">(D12-D9)/D9</f>
        <v>5.4136016739193358E-3</v>
      </c>
      <c r="E13" s="16">
        <f t="shared" si="2"/>
        <v>-3.1833529283676255E-2</v>
      </c>
      <c r="F13" s="16">
        <f>(F12-F9)/F9</f>
        <v>3.7974778575496332E-2</v>
      </c>
      <c r="G13" s="16">
        <f t="shared" si="2"/>
        <v>5.0427420138220375E-3</v>
      </c>
      <c r="H13" s="9">
        <f t="shared" si="2"/>
        <v>3.2766802032406846E-2</v>
      </c>
      <c r="I13" s="5"/>
      <c r="J13" s="5"/>
      <c r="K13" s="5"/>
      <c r="L13" s="16">
        <f t="shared" si="2"/>
        <v>-0.1461513946706684</v>
      </c>
      <c r="M13" s="16" t="s">
        <v>20</v>
      </c>
      <c r="N13" s="16" t="s">
        <v>20</v>
      </c>
      <c r="O13" s="16">
        <f t="shared" si="2"/>
        <v>-0.12746179932592486</v>
      </c>
      <c r="P13" s="16">
        <f t="shared" si="2"/>
        <v>-0.21777696730721882</v>
      </c>
      <c r="Q13" s="9">
        <f t="shared" si="2"/>
        <v>0.11545961216507086</v>
      </c>
    </row>
    <row r="14" spans="1:17" x14ac:dyDescent="0.25">
      <c r="A14" s="6" t="s">
        <v>21</v>
      </c>
      <c r="B14" s="14">
        <f>(((B12/B6)^(1/2))-1)</f>
        <v>2.7691880115045864E-2</v>
      </c>
      <c r="C14" s="14">
        <f t="shared" ref="C14:Q14" si="3">(((C12/C6)^(1/2))-1)</f>
        <v>6.8627992144270511E-2</v>
      </c>
      <c r="D14" s="14">
        <f t="shared" si="3"/>
        <v>8.4047341579467139E-2</v>
      </c>
      <c r="E14" s="14">
        <f t="shared" si="3"/>
        <v>9.2545817566759503E-2</v>
      </c>
      <c r="F14" s="14">
        <f t="shared" si="3"/>
        <v>0.12600198265050144</v>
      </c>
      <c r="G14" s="14">
        <f t="shared" si="3"/>
        <v>8.3832244890198249E-2</v>
      </c>
      <c r="H14" s="14">
        <f t="shared" si="3"/>
        <v>3.8907993334868385E-2</v>
      </c>
      <c r="I14" s="14"/>
      <c r="J14" s="14"/>
      <c r="K14" s="14"/>
      <c r="L14" s="14">
        <f t="shared" si="3"/>
        <v>2.1259526833657061E-2</v>
      </c>
      <c r="M14" s="14"/>
      <c r="N14" s="14"/>
      <c r="O14" s="14">
        <f t="shared" si="3"/>
        <v>3.2376022250951042E-2</v>
      </c>
      <c r="P14" s="14">
        <f t="shared" si="3"/>
        <v>-4.2936972025727882E-2</v>
      </c>
      <c r="Q14" s="14">
        <f t="shared" si="3"/>
        <v>7.8691781079545997E-2</v>
      </c>
    </row>
    <row r="15" spans="1:17" x14ac:dyDescent="0.25">
      <c r="A15" s="1" t="s">
        <v>25</v>
      </c>
      <c r="B15" s="2">
        <v>20101</v>
      </c>
      <c r="C15" s="2">
        <v>70395.48000000001</v>
      </c>
      <c r="D15" s="2">
        <v>46938</v>
      </c>
      <c r="E15" s="2">
        <v>2784008</v>
      </c>
      <c r="F15" s="2">
        <v>7189.0640000000003</v>
      </c>
      <c r="G15" s="2">
        <v>8729.6020000000008</v>
      </c>
      <c r="H15" s="8">
        <v>82.352712070951227</v>
      </c>
      <c r="I15" s="3">
        <v>4032.6599999999994</v>
      </c>
      <c r="J15" s="3">
        <v>2.5120000000000005</v>
      </c>
      <c r="K15" s="3">
        <v>4035.1719999999991</v>
      </c>
      <c r="L15" s="3">
        <v>658.18547999999998</v>
      </c>
      <c r="M15" s="3">
        <v>13.940390000000003</v>
      </c>
      <c r="N15" s="3">
        <v>0.12473000000000001</v>
      </c>
      <c r="O15" s="3">
        <v>672.15069999999992</v>
      </c>
      <c r="P15" s="3">
        <v>817.54653999999994</v>
      </c>
      <c r="Q15" s="8">
        <v>82.215588607347044</v>
      </c>
    </row>
    <row r="16" spans="1:17" x14ac:dyDescent="0.25">
      <c r="A16" s="4" t="s">
        <v>19</v>
      </c>
      <c r="B16" s="13">
        <f>(B15-B12)/B12</f>
        <v>2.955337021102233E-2</v>
      </c>
      <c r="C16" s="13">
        <f t="shared" ref="C16:Q16" si="4">(C15-C12)/C12</f>
        <v>5.667187030921661E-2</v>
      </c>
      <c r="D16" s="13">
        <f t="shared" si="4"/>
        <v>6.9421977170718366E-2</v>
      </c>
      <c r="E16" s="13">
        <f t="shared" si="4"/>
        <v>7.7713195174305291E-2</v>
      </c>
      <c r="F16" s="13">
        <f t="shared" si="4"/>
        <v>8.2820984880856971E-2</v>
      </c>
      <c r="G16" s="13">
        <f t="shared" si="4"/>
        <v>6.9701260356693745E-2</v>
      </c>
      <c r="H16" s="9">
        <f t="shared" si="4"/>
        <v>1.2264849084863532E-2</v>
      </c>
      <c r="I16" s="5"/>
      <c r="J16" s="5"/>
      <c r="K16" s="5"/>
      <c r="L16" s="13">
        <f t="shared" si="4"/>
        <v>0.24239655692645223</v>
      </c>
      <c r="M16" s="13" t="s">
        <v>20</v>
      </c>
      <c r="N16" s="13" t="s">
        <v>20</v>
      </c>
      <c r="O16" s="13">
        <f t="shared" si="4"/>
        <v>0.24158089333956562</v>
      </c>
      <c r="P16" s="13">
        <f t="shared" si="4"/>
        <v>0.23981657097419928</v>
      </c>
      <c r="Q16" s="9">
        <f t="shared" si="4"/>
        <v>1.4230511243932867E-3</v>
      </c>
    </row>
    <row r="17" spans="1:17" x14ac:dyDescent="0.25">
      <c r="A17" s="6" t="s">
        <v>21</v>
      </c>
      <c r="B17" s="14">
        <f>(((B15/B6)^(1/3))-1)</f>
        <v>2.8312002548627868E-2</v>
      </c>
      <c r="C17" s="14">
        <f t="shared" ref="C17:Q17" si="5">(((C15/C6)^(1/3))-1)</f>
        <v>6.462766194357239E-2</v>
      </c>
      <c r="D17" s="14">
        <f t="shared" si="5"/>
        <v>7.9150130146858233E-2</v>
      </c>
      <c r="E17" s="14">
        <f t="shared" si="5"/>
        <v>8.7579065284487667E-2</v>
      </c>
      <c r="F17" s="14">
        <f t="shared" si="5"/>
        <v>0.11142029960743205</v>
      </c>
      <c r="G17" s="14">
        <f t="shared" si="5"/>
        <v>7.9101296075715144E-2</v>
      </c>
      <c r="H17" s="14">
        <f t="shared" si="5"/>
        <v>2.9949925599430882E-2</v>
      </c>
      <c r="I17" s="14"/>
      <c r="J17" s="14"/>
      <c r="K17" s="14"/>
      <c r="L17" s="14">
        <f t="shared" si="5"/>
        <v>9.0211671051351416E-2</v>
      </c>
      <c r="M17" s="14"/>
      <c r="N17" s="14"/>
      <c r="O17" s="14">
        <f t="shared" si="5"/>
        <v>9.7868386605975077E-2</v>
      </c>
      <c r="P17" s="14">
        <f t="shared" si="5"/>
        <v>4.3308723093633317E-2</v>
      </c>
      <c r="Q17" s="14">
        <f t="shared" si="5"/>
        <v>5.2294840735694015E-2</v>
      </c>
    </row>
    <row r="18" spans="1:17" x14ac:dyDescent="0.25">
      <c r="A18" s="1" t="s">
        <v>26</v>
      </c>
      <c r="B18" s="2">
        <v>25963</v>
      </c>
      <c r="C18" s="2">
        <v>93964</v>
      </c>
      <c r="D18" s="2">
        <v>62227.070000000007</v>
      </c>
      <c r="E18" s="2">
        <v>3420763</v>
      </c>
      <c r="F18" s="2">
        <v>8786.464320000001</v>
      </c>
      <c r="G18" s="2">
        <v>11574.16136</v>
      </c>
      <c r="H18" s="8">
        <v>75.914479215451351</v>
      </c>
      <c r="I18" s="3">
        <v>10567.600000000002</v>
      </c>
      <c r="J18" s="3">
        <v>9.8050000000000015</v>
      </c>
      <c r="K18" s="3">
        <v>10577.405000000001</v>
      </c>
      <c r="L18" s="3">
        <v>809.24037198999997</v>
      </c>
      <c r="M18" s="3">
        <v>26.899709999999999</v>
      </c>
      <c r="N18" s="3">
        <v>2.2650000000000007E-2</v>
      </c>
      <c r="O18" s="3">
        <v>836.16273199</v>
      </c>
      <c r="P18" s="3">
        <v>1079.7825004500003</v>
      </c>
      <c r="Q18" s="8">
        <v>77.438070318932603</v>
      </c>
    </row>
    <row r="19" spans="1:17" x14ac:dyDescent="0.25">
      <c r="A19" s="4" t="s">
        <v>19</v>
      </c>
      <c r="B19" s="13">
        <f>(B18-B15)/B15</f>
        <v>0.29162728222476492</v>
      </c>
      <c r="C19" s="13">
        <f t="shared" ref="C19:Q19" si="6">(C18-C15)/C15</f>
        <v>0.33480160942151382</v>
      </c>
      <c r="D19" s="13">
        <f t="shared" si="6"/>
        <v>0.32572904682773035</v>
      </c>
      <c r="E19" s="13">
        <f t="shared" si="6"/>
        <v>0.22871881115284151</v>
      </c>
      <c r="F19" s="13">
        <f t="shared" si="6"/>
        <v>0.22219865061710406</v>
      </c>
      <c r="G19" s="13">
        <f t="shared" si="6"/>
        <v>0.32585212475895226</v>
      </c>
      <c r="H19" s="9">
        <f t="shared" si="6"/>
        <v>-7.8178759309748019E-2</v>
      </c>
      <c r="I19" s="5" t="s">
        <v>20</v>
      </c>
      <c r="J19" s="5" t="s">
        <v>20</v>
      </c>
      <c r="K19" s="5" t="s">
        <v>20</v>
      </c>
      <c r="L19" s="13">
        <f t="shared" si="6"/>
        <v>0.22950201209239679</v>
      </c>
      <c r="M19" s="13" t="s">
        <v>20</v>
      </c>
      <c r="N19" s="13" t="s">
        <v>20</v>
      </c>
      <c r="O19" s="13">
        <f t="shared" si="6"/>
        <v>0.24401080291964303</v>
      </c>
      <c r="P19" s="13">
        <f t="shared" si="6"/>
        <v>0.32075967253191523</v>
      </c>
      <c r="Q19" s="9">
        <f t="shared" si="6"/>
        <v>-5.810964038987014E-2</v>
      </c>
    </row>
    <row r="20" spans="1:17" x14ac:dyDescent="0.25">
      <c r="A20" s="6" t="s">
        <v>21</v>
      </c>
      <c r="B20" s="14">
        <f>(((B18/B6)^(1/4))-1)</f>
        <v>8.8624191858746038E-2</v>
      </c>
      <c r="C20" s="14">
        <f t="shared" ref="C20:Q20" si="7">(((C18/C6)^(1/4))-1)</f>
        <v>0.12655523493762266</v>
      </c>
      <c r="D20" s="14">
        <f t="shared" si="7"/>
        <v>0.13612232408410452</v>
      </c>
      <c r="E20" s="14">
        <f t="shared" si="7"/>
        <v>0.12126626585497324</v>
      </c>
      <c r="F20" s="14">
        <f t="shared" si="7"/>
        <v>0.13813608630273344</v>
      </c>
      <c r="G20" s="14">
        <f t="shared" si="7"/>
        <v>0.13611013171506325</v>
      </c>
      <c r="H20" s="14">
        <f t="shared" si="7"/>
        <v>1.7832378491438039E-3</v>
      </c>
      <c r="I20" s="14"/>
      <c r="J20" s="14"/>
      <c r="K20" s="14"/>
      <c r="L20" s="14">
        <f t="shared" si="7"/>
        <v>0.12348022142046866</v>
      </c>
      <c r="M20" s="14"/>
      <c r="N20" s="14"/>
      <c r="O20" s="14">
        <f t="shared" si="7"/>
        <v>0.13271003397430525</v>
      </c>
      <c r="P20" s="14">
        <f t="shared" si="7"/>
        <v>0.10666348114748203</v>
      </c>
      <c r="Q20" s="14">
        <f t="shared" si="7"/>
        <v>2.3536109459233012E-2</v>
      </c>
    </row>
    <row r="21" spans="1:17" x14ac:dyDescent="0.25">
      <c r="A21" s="1" t="s">
        <v>27</v>
      </c>
      <c r="B21" s="2">
        <v>28850</v>
      </c>
      <c r="C21" s="2">
        <v>105697.1</v>
      </c>
      <c r="D21" s="2">
        <v>70943.489999999991</v>
      </c>
      <c r="E21" s="2">
        <v>3889643</v>
      </c>
      <c r="F21" s="2">
        <v>10054.173306000001</v>
      </c>
      <c r="G21" s="2">
        <v>13195.490330000004</v>
      </c>
      <c r="H21" s="8">
        <v>76.194010639694028</v>
      </c>
      <c r="I21" s="3">
        <v>14591.307999999997</v>
      </c>
      <c r="J21" s="3">
        <v>8.6300000000000008</v>
      </c>
      <c r="K21" s="3">
        <v>14599.938</v>
      </c>
      <c r="L21" s="3">
        <v>960.70587999999987</v>
      </c>
      <c r="M21" s="3">
        <v>38.34843</v>
      </c>
      <c r="N21" s="11">
        <v>2.0920100000000001E-2</v>
      </c>
      <c r="O21" s="3">
        <v>999.07523010000011</v>
      </c>
      <c r="P21" s="3">
        <v>1276.4202099999998</v>
      </c>
      <c r="Q21" s="8">
        <v>78.271655546726279</v>
      </c>
    </row>
    <row r="22" spans="1:17" x14ac:dyDescent="0.25">
      <c r="A22" s="4" t="s">
        <v>19</v>
      </c>
      <c r="B22" s="13">
        <f>(B21-B18)/B18</f>
        <v>0.11119670300042368</v>
      </c>
      <c r="C22" s="13">
        <f t="shared" ref="C22:Q22" si="8">(C21-C18)/C18</f>
        <v>0.12486803456642975</v>
      </c>
      <c r="D22" s="13">
        <f t="shared" si="8"/>
        <v>0.14007440813138047</v>
      </c>
      <c r="E22" s="13">
        <f t="shared" si="8"/>
        <v>0.13706883522769628</v>
      </c>
      <c r="F22" s="13">
        <f t="shared" si="8"/>
        <v>0.14427976257917582</v>
      </c>
      <c r="G22" s="13">
        <f t="shared" si="8"/>
        <v>0.14008176658079735</v>
      </c>
      <c r="H22" s="9">
        <f t="shared" si="8"/>
        <v>3.6821885249234796E-3</v>
      </c>
      <c r="I22" s="13" t="s">
        <v>20</v>
      </c>
      <c r="J22" s="13" t="s">
        <v>20</v>
      </c>
      <c r="K22" s="13" t="s">
        <v>20</v>
      </c>
      <c r="L22" s="13">
        <f>(L21-L18)/L18</f>
        <v>0.18716998465799678</v>
      </c>
      <c r="M22" s="13">
        <f t="shared" si="8"/>
        <v>0.42560756231201013</v>
      </c>
      <c r="N22" s="13">
        <f t="shared" si="8"/>
        <v>-7.6375275938190101E-2</v>
      </c>
      <c r="O22" s="13">
        <f t="shared" si="8"/>
        <v>0.19483348381514384</v>
      </c>
      <c r="P22" s="13">
        <f t="shared" si="8"/>
        <v>0.18210862786538082</v>
      </c>
      <c r="Q22" s="9">
        <f t="shared" si="8"/>
        <v>1.0764540288265368E-2</v>
      </c>
    </row>
    <row r="23" spans="1:17" x14ac:dyDescent="0.25">
      <c r="A23" s="6" t="s">
        <v>21</v>
      </c>
      <c r="B23" s="14">
        <f>(((B21/B6)^(1/5))-1)</f>
        <v>9.3101710161372697E-2</v>
      </c>
      <c r="C23" s="14">
        <f t="shared" ref="C23:Q23" si="9">(((C21/C6)^(1/5))-1)</f>
        <v>0.1262175925329041</v>
      </c>
      <c r="D23" s="14">
        <f t="shared" si="9"/>
        <v>0.13691164337452499</v>
      </c>
      <c r="E23" s="14">
        <f t="shared" si="9"/>
        <v>0.12440911183739534</v>
      </c>
      <c r="F23" s="14">
        <f t="shared" si="9"/>
        <v>0.13936217702574782</v>
      </c>
      <c r="G23" s="14">
        <f t="shared" si="9"/>
        <v>0.13690335028308387</v>
      </c>
      <c r="H23" s="14">
        <f t="shared" si="9"/>
        <v>2.1627403438047033E-3</v>
      </c>
      <c r="I23" s="14"/>
      <c r="J23" s="14"/>
      <c r="K23" s="14"/>
      <c r="L23" s="14">
        <f>(((L21/L6)^(1/5))-1)</f>
        <v>0.13593878065035425</v>
      </c>
      <c r="M23" s="14"/>
      <c r="N23" s="14"/>
      <c r="O23" s="14">
        <f t="shared" si="9"/>
        <v>0.14487079017660331</v>
      </c>
      <c r="P23" s="14">
        <f t="shared" si="9"/>
        <v>0.12135710863192539</v>
      </c>
      <c r="Q23" s="14">
        <f t="shared" si="9"/>
        <v>2.0968950358164706E-2</v>
      </c>
    </row>
    <row r="24" spans="1:17" x14ac:dyDescent="0.25">
      <c r="A24" s="1" t="s">
        <v>28</v>
      </c>
      <c r="B24" s="2">
        <v>30851</v>
      </c>
      <c r="C24" s="2">
        <v>115278.77</v>
      </c>
      <c r="D24" s="2">
        <v>76177.896999999997</v>
      </c>
      <c r="E24" s="2">
        <v>4342507</v>
      </c>
      <c r="F24" s="2">
        <v>11291.995884</v>
      </c>
      <c r="G24" s="2">
        <v>14169.085090000002</v>
      </c>
      <c r="H24" s="8">
        <v>79.694601396454729</v>
      </c>
      <c r="I24" s="3">
        <v>16628.414999999997</v>
      </c>
      <c r="J24" s="3">
        <v>12.044</v>
      </c>
      <c r="K24" s="3">
        <v>16640.458999999999</v>
      </c>
      <c r="L24" s="3">
        <v>986.9500939699999</v>
      </c>
      <c r="M24" s="3">
        <v>44.424835780999999</v>
      </c>
      <c r="N24" s="11">
        <v>2.1481374899999999E-2</v>
      </c>
      <c r="O24" s="3">
        <v>1031.400369856</v>
      </c>
      <c r="P24" s="3">
        <v>1298.8214877300002</v>
      </c>
      <c r="Q24" s="8">
        <v>79.410479392254103</v>
      </c>
    </row>
    <row r="25" spans="1:17" x14ac:dyDescent="0.25">
      <c r="A25" s="4" t="s">
        <v>19</v>
      </c>
      <c r="B25" s="13">
        <f>(B24-B21)/B21</f>
        <v>6.935875216637781E-2</v>
      </c>
      <c r="C25" s="13">
        <f t="shared" ref="C25:Q25" si="10">(C24-C21)/C21</f>
        <v>9.0652156019417729E-2</v>
      </c>
      <c r="D25" s="13">
        <f t="shared" si="10"/>
        <v>7.378276710097019E-2</v>
      </c>
      <c r="E25" s="13">
        <f t="shared" si="10"/>
        <v>0.11642816577254005</v>
      </c>
      <c r="F25" s="13">
        <f t="shared" si="10"/>
        <v>0.12311530150980264</v>
      </c>
      <c r="G25" s="13">
        <f t="shared" si="10"/>
        <v>7.3782385925176747E-2</v>
      </c>
      <c r="H25" s="9">
        <f t="shared" si="10"/>
        <v>4.5943122397300785E-2</v>
      </c>
      <c r="I25" s="13">
        <f t="shared" si="10"/>
        <v>0.13961099306518651</v>
      </c>
      <c r="J25" s="13">
        <f t="shared" si="10"/>
        <v>0.39559675550405554</v>
      </c>
      <c r="K25" s="13">
        <f t="shared" si="10"/>
        <v>0.13976230583992882</v>
      </c>
      <c r="L25" s="13">
        <f t="shared" si="10"/>
        <v>2.7317636454978329E-2</v>
      </c>
      <c r="M25" s="13">
        <f t="shared" si="10"/>
        <v>0.15845253067726628</v>
      </c>
      <c r="N25" s="13">
        <f t="shared" si="10"/>
        <v>2.682945588214199E-2</v>
      </c>
      <c r="O25" s="13">
        <f>(O24-O21)/O21</f>
        <v>3.2355060742287022E-2</v>
      </c>
      <c r="P25" s="13">
        <f t="shared" si="10"/>
        <v>1.7550080729292438E-2</v>
      </c>
      <c r="Q25" s="9">
        <f t="shared" si="10"/>
        <v>1.4549632783070161E-2</v>
      </c>
    </row>
    <row r="26" spans="1:17" x14ac:dyDescent="0.25">
      <c r="A26" s="6" t="s">
        <v>21</v>
      </c>
      <c r="B26" s="14">
        <f>(((B24/B6)^(1/6))-1)</f>
        <v>8.9108254192626246E-2</v>
      </c>
      <c r="C26" s="14">
        <f t="shared" ref="C26:Q26" si="11">(((C24/C6)^(1/6))-1)</f>
        <v>0.12021048421432767</v>
      </c>
      <c r="D26" s="14">
        <f t="shared" si="11"/>
        <v>0.12613813850253286</v>
      </c>
      <c r="E26" s="14">
        <f t="shared" si="11"/>
        <v>0.12307500312279829</v>
      </c>
      <c r="F26" s="14">
        <f t="shared" si="11"/>
        <v>0.1366381343145826</v>
      </c>
      <c r="G26" s="14">
        <f t="shared" si="11"/>
        <v>0.12613122645094954</v>
      </c>
      <c r="H26" s="14">
        <f t="shared" si="11"/>
        <v>9.3300919260945747E-3</v>
      </c>
      <c r="I26" s="14"/>
      <c r="J26" s="14"/>
      <c r="K26" s="14"/>
      <c r="L26" s="14">
        <f>(((L24/L6)^(1/6))-1)</f>
        <v>0.11706873321272449</v>
      </c>
      <c r="M26" s="14"/>
      <c r="N26" s="14"/>
      <c r="O26" s="14">
        <f t="shared" si="11"/>
        <v>0.1253006707741211</v>
      </c>
      <c r="P26" s="14">
        <f t="shared" si="11"/>
        <v>0.10334817911357619</v>
      </c>
      <c r="Q26" s="14">
        <f t="shared" si="11"/>
        <v>1.9896250409531913E-2</v>
      </c>
    </row>
    <row r="27" spans="1:17" x14ac:dyDescent="0.25">
      <c r="A27" s="1" t="s">
        <v>30</v>
      </c>
      <c r="B27" s="2">
        <v>32830</v>
      </c>
      <c r="C27" s="2">
        <v>121887.19000000003</v>
      </c>
      <c r="D27" s="2">
        <v>80712.766000000003</v>
      </c>
      <c r="E27" s="2">
        <v>4825454</v>
      </c>
      <c r="F27" s="2">
        <v>12511.808231000001</v>
      </c>
      <c r="G27" s="2">
        <v>14983.557176000002</v>
      </c>
      <c r="H27" s="8">
        <v>83.503590529496293</v>
      </c>
      <c r="I27" s="3">
        <v>23396.446</v>
      </c>
      <c r="J27" s="3">
        <v>11.247000000000002</v>
      </c>
      <c r="K27" s="3">
        <v>23407.692999999999</v>
      </c>
      <c r="L27" s="3">
        <v>1130.252885315</v>
      </c>
      <c r="M27" s="3">
        <v>62.564753071000005</v>
      </c>
      <c r="N27" s="11">
        <v>2.4748469999999998E-2</v>
      </c>
      <c r="O27" s="3">
        <v>1192.8423868560001</v>
      </c>
      <c r="P27" s="3">
        <v>1379.0801002279998</v>
      </c>
      <c r="Q27" s="8">
        <v>86.495511512260265</v>
      </c>
    </row>
    <row r="28" spans="1:17" x14ac:dyDescent="0.25">
      <c r="A28" s="4" t="s">
        <v>19</v>
      </c>
      <c r="B28" s="13">
        <f>(B27-B24)/B24</f>
        <v>6.414702926971573E-2</v>
      </c>
      <c r="C28" s="13">
        <f t="shared" ref="C28:Q28" si="12">(C27-C24)/C24</f>
        <v>5.7325559597834252E-2</v>
      </c>
      <c r="D28" s="13">
        <f t="shared" si="12"/>
        <v>5.9529984136999822E-2</v>
      </c>
      <c r="E28" s="13">
        <f t="shared" si="12"/>
        <v>0.11121386793389164</v>
      </c>
      <c r="F28" s="13">
        <f t="shared" si="12"/>
        <v>0.10802451218817687</v>
      </c>
      <c r="G28" s="13">
        <f>(G27-G24)/G24</f>
        <v>5.7482334309278939E-2</v>
      </c>
      <c r="H28" s="9">
        <f t="shared" si="12"/>
        <v>4.7794820054285501E-2</v>
      </c>
      <c r="I28" s="13">
        <f t="shared" si="12"/>
        <v>0.40701600242717084</v>
      </c>
      <c r="J28" s="13">
        <f t="shared" si="12"/>
        <v>-6.6174028561939449E-2</v>
      </c>
      <c r="K28" s="13">
        <f t="shared" si="12"/>
        <v>0.4066735178398625</v>
      </c>
      <c r="L28" s="13">
        <f t="shared" si="12"/>
        <v>0.14519760646515123</v>
      </c>
      <c r="M28" s="13">
        <f t="shared" si="12"/>
        <v>0.40832829139591881</v>
      </c>
      <c r="N28" s="13">
        <f t="shared" si="12"/>
        <v>0.15208966442832295</v>
      </c>
      <c r="O28" s="13">
        <f t="shared" si="12"/>
        <v>0.15652701096329835</v>
      </c>
      <c r="P28" s="13">
        <f t="shared" si="12"/>
        <v>6.1793412917945045E-2</v>
      </c>
      <c r="Q28" s="9">
        <f t="shared" si="12"/>
        <v>8.9220367062753853E-2</v>
      </c>
    </row>
    <row r="29" spans="1:17" x14ac:dyDescent="0.25">
      <c r="A29" s="6" t="s">
        <v>21</v>
      </c>
      <c r="B29" s="14">
        <f>(((B27/B6)^(1/7))-1)</f>
        <v>8.550683406859716E-2</v>
      </c>
      <c r="C29" s="14">
        <f t="shared" ref="C29:Q29" si="13">(((C27/C6)^(1/7))-1)</f>
        <v>0.11100296608368487</v>
      </c>
      <c r="D29" s="14">
        <f t="shared" si="13"/>
        <v>0.1163722589810976</v>
      </c>
      <c r="E29" s="14">
        <f t="shared" si="13"/>
        <v>0.1213728351811858</v>
      </c>
      <c r="F29" s="14">
        <f t="shared" si="13"/>
        <v>0.13250567312507755</v>
      </c>
      <c r="G29" s="14">
        <f t="shared" si="13"/>
        <v>0.11605791701615575</v>
      </c>
      <c r="H29" s="14">
        <f t="shared" si="13"/>
        <v>1.4737367889379627E-2</v>
      </c>
      <c r="I29" s="14"/>
      <c r="J29" s="14"/>
      <c r="K29" s="14"/>
      <c r="L29" s="14">
        <f t="shared" si="13"/>
        <v>0.12104444169118267</v>
      </c>
      <c r="M29" s="14"/>
      <c r="N29" s="14"/>
      <c r="O29" s="14">
        <f t="shared" si="13"/>
        <v>0.12970941852482731</v>
      </c>
      <c r="P29" s="14">
        <f t="shared" si="13"/>
        <v>9.7313668441718182E-2</v>
      </c>
      <c r="Q29" s="14">
        <f t="shared" si="13"/>
        <v>2.9522780053504727E-2</v>
      </c>
    </row>
    <row r="30" spans="1:17" x14ac:dyDescent="0.25">
      <c r="A30" s="1" t="s">
        <v>33</v>
      </c>
      <c r="B30" s="2">
        <v>13330</v>
      </c>
      <c r="C30" s="2">
        <v>49153.720000000008</v>
      </c>
      <c r="D30" s="2">
        <v>32937.135763440863</v>
      </c>
      <c r="E30" s="2">
        <v>1467037</v>
      </c>
      <c r="F30" s="2">
        <v>3992.7919209999995</v>
      </c>
      <c r="G30" s="2">
        <v>6119.4767840000004</v>
      </c>
      <c r="H30" s="8">
        <v>65.247276228575018</v>
      </c>
      <c r="I30" s="3">
        <v>12320.663999999999</v>
      </c>
      <c r="J30" s="3">
        <v>52.059999999999995</v>
      </c>
      <c r="K30" s="3">
        <v>12372.724</v>
      </c>
      <c r="L30" s="3">
        <v>276.59173542100001</v>
      </c>
      <c r="M30" s="3">
        <v>34.521271173999992</v>
      </c>
      <c r="N30" s="11">
        <v>0.151630554</v>
      </c>
      <c r="O30" s="3">
        <v>311.26463714899995</v>
      </c>
      <c r="P30" s="3">
        <v>389.84276901199996</v>
      </c>
      <c r="Q30" s="8">
        <v>79.843634893589311</v>
      </c>
    </row>
    <row r="31" spans="1:17" x14ac:dyDescent="0.25">
      <c r="A31" s="4" t="s">
        <v>19</v>
      </c>
      <c r="B31" s="13">
        <f>(B30-B27)/B27</f>
        <v>-0.5939689308559245</v>
      </c>
      <c r="C31" s="13">
        <f t="shared" ref="C31:Q31" si="14">(C30-C27)/C27</f>
        <v>-0.59672776113716308</v>
      </c>
      <c r="D31" s="13">
        <f t="shared" si="14"/>
        <v>-0.59192160799642446</v>
      </c>
      <c r="E31" s="13">
        <f t="shared" si="14"/>
        <v>-0.69597948711147184</v>
      </c>
      <c r="F31" s="13">
        <f t="shared" si="14"/>
        <v>-0.68087810752188316</v>
      </c>
      <c r="G31" s="13">
        <f t="shared" si="14"/>
        <v>-0.59158718372951469</v>
      </c>
      <c r="H31" s="9">
        <f t="shared" si="14"/>
        <v>-0.21862909349356094</v>
      </c>
      <c r="I31" s="13">
        <f t="shared" si="14"/>
        <v>-0.47339591662767933</v>
      </c>
      <c r="J31" s="13">
        <f t="shared" si="14"/>
        <v>3.6287898995287624</v>
      </c>
      <c r="K31" s="13">
        <f t="shared" si="14"/>
        <v>-0.47142488582706549</v>
      </c>
      <c r="L31" s="13">
        <f>(L30-L27)/L27</f>
        <v>-0.75528331843725904</v>
      </c>
      <c r="M31" s="13">
        <f t="shared" si="14"/>
        <v>-0.44823132067948207</v>
      </c>
      <c r="N31" s="13">
        <f t="shared" si="14"/>
        <v>5.1268657820059182</v>
      </c>
      <c r="O31" s="13">
        <f t="shared" si="14"/>
        <v>-0.73905635767236033</v>
      </c>
      <c r="P31" s="13">
        <f t="shared" si="14"/>
        <v>-0.71731680491397976</v>
      </c>
      <c r="Q31" s="9">
        <f t="shared" si="14"/>
        <v>-7.6904298296774476E-2</v>
      </c>
    </row>
    <row r="32" spans="1:17" x14ac:dyDescent="0.25">
      <c r="A32" s="6" t="s">
        <v>21</v>
      </c>
      <c r="B32" s="14">
        <f>(((B30/B6)^(1/8))-1)</f>
        <v>-4.0050470492041357E-2</v>
      </c>
      <c r="C32" s="14">
        <f t="shared" ref="C32:Q32" si="15">(((C30/C6)^(1/8))-1)</f>
        <v>-2.1185020861682058E-2</v>
      </c>
      <c r="D32" s="14">
        <f>(((D30/D6)^(1/8))-1)</f>
        <v>-1.5590363404281993E-2</v>
      </c>
      <c r="E32" s="14">
        <f t="shared" si="15"/>
        <v>-4.7436057082951399E-2</v>
      </c>
      <c r="F32" s="14">
        <f>(((F30/F6)^(1/8))-1)</f>
        <v>-3.3326278270161991E-2</v>
      </c>
      <c r="G32" s="14">
        <f t="shared" si="15"/>
        <v>-1.5732123543883425E-2</v>
      </c>
      <c r="H32" s="14">
        <f t="shared" si="15"/>
        <v>-1.787537229156233E-2</v>
      </c>
      <c r="I32" s="14"/>
      <c r="J32" s="14"/>
      <c r="K32" s="14"/>
      <c r="L32" s="14">
        <f>(((L30/L6)^(1/8))-1)</f>
        <v>-7.3163938907534254E-2</v>
      </c>
      <c r="M32" s="14"/>
      <c r="N32" s="14"/>
      <c r="O32" s="14">
        <f t="shared" si="15"/>
        <v>-5.9379919578838813E-2</v>
      </c>
      <c r="P32" s="14">
        <f t="shared" si="15"/>
        <v>-7.3806051229916236E-2</v>
      </c>
      <c r="Q32" s="14">
        <f t="shared" si="15"/>
        <v>1.5575713564350391E-2</v>
      </c>
    </row>
    <row r="33" spans="1:17" ht="19.5" customHeight="1" x14ac:dyDescent="0.25">
      <c r="A33" s="1" t="s">
        <v>38</v>
      </c>
      <c r="B33" s="2">
        <v>186</v>
      </c>
      <c r="C33" s="2">
        <v>494.3599999999999</v>
      </c>
      <c r="D33" s="2">
        <v>285.08800000000002</v>
      </c>
      <c r="E33" s="2">
        <v>17616</v>
      </c>
      <c r="F33" s="2">
        <v>26.821960000000001</v>
      </c>
      <c r="G33" s="2">
        <v>53.026367999999998</v>
      </c>
      <c r="H33" s="8">
        <v>50.582306523426233</v>
      </c>
      <c r="I33" s="3">
        <v>42.361999999999995</v>
      </c>
      <c r="J33" s="3">
        <v>3.2440000000000002</v>
      </c>
      <c r="K33" s="3">
        <v>45.606000000000002</v>
      </c>
      <c r="L33" s="3">
        <v>1.9658374810000001</v>
      </c>
      <c r="M33" s="3">
        <v>8.2153403999999985E-2</v>
      </c>
      <c r="N33" s="11">
        <v>6.2933600000000004E-3</v>
      </c>
      <c r="O33" s="3">
        <v>2.0542842449999998</v>
      </c>
      <c r="P33" s="3">
        <v>2.4242676439999999</v>
      </c>
      <c r="Q33" s="8">
        <v>84.738343560551186</v>
      </c>
    </row>
    <row r="34" spans="1:17" x14ac:dyDescent="0.25">
      <c r="A34" s="4" t="s">
        <v>19</v>
      </c>
      <c r="B34" s="13">
        <f>(B33-B30)/B30</f>
        <v>-0.98604651162790702</v>
      </c>
      <c r="C34" s="13">
        <f t="shared" ref="C34:Q34" si="16">(C33-C30)/C30</f>
        <v>-0.98994257199658542</v>
      </c>
      <c r="D34" s="13">
        <f t="shared" si="16"/>
        <v>-0.99134448113377127</v>
      </c>
      <c r="E34" s="13">
        <f t="shared" si="16"/>
        <v>-0.98799212289805916</v>
      </c>
      <c r="F34" s="13">
        <f t="shared" si="16"/>
        <v>-0.99328240476070628</v>
      </c>
      <c r="G34" s="13">
        <f t="shared" si="16"/>
        <v>-0.99133481997372019</v>
      </c>
      <c r="H34" s="9">
        <f t="shared" si="16"/>
        <v>-0.22475987585710538</v>
      </c>
      <c r="I34" s="13">
        <f t="shared" si="16"/>
        <v>-0.99656171128439186</v>
      </c>
      <c r="J34" s="13">
        <f t="shared" si="16"/>
        <v>-0.93768728390318867</v>
      </c>
      <c r="K34" s="13">
        <f>(K33-K30)/K30</f>
        <v>-0.996313988738454</v>
      </c>
      <c r="L34" s="13">
        <f t="shared" si="16"/>
        <v>-0.99289263839352326</v>
      </c>
      <c r="M34" s="13">
        <f t="shared" si="16"/>
        <v>-0.99762020918679617</v>
      </c>
      <c r="N34" s="13">
        <f t="shared" si="16"/>
        <v>-0.9584954362166348</v>
      </c>
      <c r="O34" s="13">
        <f t="shared" si="16"/>
        <v>-0.99340020034458121</v>
      </c>
      <c r="P34" s="13">
        <f t="shared" si="16"/>
        <v>-0.99378142205858033</v>
      </c>
      <c r="Q34" s="9">
        <f t="shared" si="16"/>
        <v>6.1303680293178564E-2</v>
      </c>
    </row>
    <row r="35" spans="1:17" x14ac:dyDescent="0.25">
      <c r="A35" s="6" t="s">
        <v>21</v>
      </c>
      <c r="B35" s="14">
        <f>(((B33/B6)^(1/9))-1)</f>
        <v>-0.40010610263192714</v>
      </c>
      <c r="C35" s="14">
        <f t="shared" ref="C35:Q35" si="17">(((C33/C6)^(1/9))-1)</f>
        <v>-0.41144374938292294</v>
      </c>
      <c r="D35" s="14">
        <f t="shared" si="17"/>
        <v>-0.41823921947179266</v>
      </c>
      <c r="E35" s="14">
        <f t="shared" si="17"/>
        <v>-0.41406884153078372</v>
      </c>
      <c r="F35" s="14">
        <f t="shared" si="17"/>
        <v>-0.44346203874441759</v>
      </c>
      <c r="G35" s="14">
        <f t="shared" si="17"/>
        <v>-0.41824158285912261</v>
      </c>
      <c r="H35" s="14">
        <f t="shared" si="17"/>
        <v>-4.3352111705136753E-2</v>
      </c>
      <c r="I35" s="14"/>
      <c r="J35" s="14"/>
      <c r="K35" s="14"/>
      <c r="L35" s="14">
        <f>(((L33/L6)^(1/9))-1)</f>
        <v>-0.4605263965497679</v>
      </c>
      <c r="M35" s="14"/>
      <c r="N35" s="14"/>
      <c r="O35" s="14">
        <f t="shared" si="17"/>
        <v>-0.45788196226279931</v>
      </c>
      <c r="P35" s="14">
        <f t="shared" si="17"/>
        <v>-0.46880217464467533</v>
      </c>
      <c r="Q35" s="14">
        <f t="shared" si="17"/>
        <v>2.0557712890807212E-2</v>
      </c>
    </row>
    <row r="36" spans="1:17" x14ac:dyDescent="0.25">
      <c r="A36" s="1" t="s">
        <v>35</v>
      </c>
      <c r="B36" s="2">
        <v>30951</v>
      </c>
      <c r="C36" s="2">
        <v>119826.72399999999</v>
      </c>
      <c r="D36" s="2">
        <v>79561.657999999996</v>
      </c>
      <c r="E36" s="2">
        <v>4106569</v>
      </c>
      <c r="F36" s="2">
        <v>11098.851442999998</v>
      </c>
      <c r="G36" s="2">
        <v>14798.468788000002</v>
      </c>
      <c r="H36" s="8">
        <f t="shared" ref="H36" si="18">F36/G36*100</f>
        <v>74.999998999896505</v>
      </c>
      <c r="I36" s="3">
        <v>26245.760000000002</v>
      </c>
      <c r="J36" s="3">
        <v>76.319000000000003</v>
      </c>
      <c r="K36" s="3">
        <v>26322.079000000002</v>
      </c>
      <c r="L36" s="3">
        <v>901.97111864999988</v>
      </c>
      <c r="M36" s="3">
        <v>72.217513453400002</v>
      </c>
      <c r="N36" s="11">
        <v>0.20660755300000003</v>
      </c>
      <c r="O36" s="3">
        <f>SUM(L36:N36)</f>
        <v>974.39523965639989</v>
      </c>
      <c r="P36" s="3">
        <v>1362.9516183170001</v>
      </c>
      <c r="Q36" s="8">
        <f t="shared" ref="Q36" si="19">O36/P36*100</f>
        <v>71.49155014464877</v>
      </c>
    </row>
    <row r="37" spans="1:17" x14ac:dyDescent="0.25">
      <c r="A37" s="4" t="s">
        <v>19</v>
      </c>
      <c r="B37" s="13"/>
      <c r="C37" s="13"/>
      <c r="D37" s="13"/>
      <c r="E37" s="13"/>
      <c r="F37" s="13"/>
      <c r="G37" s="13"/>
      <c r="H37" s="9">
        <f>(H36-H33)/H33</f>
        <v>0.48273189094612917</v>
      </c>
      <c r="I37" s="13"/>
      <c r="J37" s="13"/>
      <c r="K37" s="13"/>
      <c r="L37" s="13"/>
      <c r="M37" s="13"/>
      <c r="N37" s="13"/>
      <c r="O37" s="13"/>
      <c r="P37" s="13"/>
      <c r="Q37" s="9">
        <f t="shared" ref="Q37" si="20">(Q36-Q33)/Q33</f>
        <v>-0.15632584800807089</v>
      </c>
    </row>
    <row r="38" spans="1:17" x14ac:dyDescent="0.25">
      <c r="A38" s="6" t="s">
        <v>21</v>
      </c>
      <c r="B38" s="14">
        <f>(((B36/B6)^(1/10))-1)</f>
        <v>5.2890418773413828E-2</v>
      </c>
      <c r="C38" s="14">
        <f>(((C36/B6)^(1/10))-1)</f>
        <v>0.20551071180202274</v>
      </c>
      <c r="D38" s="14">
        <f>(((D36/B6)^(1/10))-1)</f>
        <v>0.15714048249295764</v>
      </c>
      <c r="E38" s="14">
        <f>(((E36/B6)^(1/10))-1)</f>
        <v>0.71657829781683624</v>
      </c>
      <c r="F38" s="14">
        <f>(((F36/B6)^(1/10))-1)</f>
        <v>-4.9737679772460242E-2</v>
      </c>
      <c r="G38" s="14">
        <f>(((G36/B6)^(1/10))-1)</f>
        <v>-2.2003313871294505E-2</v>
      </c>
      <c r="H38" s="10">
        <f>(((H36/B6)^(1/10))-1)</f>
        <v>-0.42347010625254911</v>
      </c>
      <c r="I38" s="14" t="s">
        <v>20</v>
      </c>
      <c r="J38" s="14" t="s">
        <v>20</v>
      </c>
      <c r="K38" s="14"/>
      <c r="L38" s="14">
        <f>(((L36/B6)^(1/10))-1)</f>
        <v>-0.26067572123471761</v>
      </c>
      <c r="M38" s="14" t="s">
        <v>20</v>
      </c>
      <c r="N38" s="14" t="s">
        <v>20</v>
      </c>
      <c r="O38" s="14">
        <f>(((O36/B6)^(1/10))-1)</f>
        <v>-0.25494347845079257</v>
      </c>
      <c r="P38" s="14">
        <f>(((P36/B6)^(1/10))-1)</f>
        <v>-0.2295157789853205</v>
      </c>
      <c r="Q38" s="10">
        <f>(((Q36/B6)^(1/10))-1)</f>
        <v>-0.42622558807228739</v>
      </c>
    </row>
    <row r="39" spans="1:17" x14ac:dyDescent="0.25">
      <c r="A39" s="25" t="s">
        <v>29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1:17" x14ac:dyDescent="0.25">
      <c r="A40" s="27" t="s">
        <v>36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7" x14ac:dyDescent="0.25">
      <c r="A41" s="24" t="s">
        <v>32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spans="1:17" x14ac:dyDescent="0.25">
      <c r="K42" s="12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6" orientation="landscape" r:id="rId1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2022-04-25T07:02:48Z</cp:lastPrinted>
  <dcterms:created xsi:type="dcterms:W3CDTF">2020-06-05T08:03:37Z</dcterms:created>
  <dcterms:modified xsi:type="dcterms:W3CDTF">2023-10-11T07:19:46Z</dcterms:modified>
</cp:coreProperties>
</file>