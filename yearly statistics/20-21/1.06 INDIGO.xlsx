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INDIGO!$A$6:$Q$43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5" l="1"/>
  <c r="B41" i="5"/>
  <c r="Q41" i="5"/>
  <c r="P41" i="5"/>
  <c r="O41" i="5"/>
  <c r="M41" i="5"/>
  <c r="L41" i="5"/>
  <c r="K41" i="5"/>
  <c r="I41" i="5"/>
  <c r="H41" i="5"/>
  <c r="G41" i="5"/>
  <c r="F41" i="5"/>
  <c r="E41" i="5"/>
  <c r="D41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H37" i="5" l="1"/>
  <c r="H30" i="5"/>
  <c r="Q37" i="5"/>
  <c r="Q33" i="5"/>
  <c r="Q30" i="5"/>
  <c r="Q24" i="5"/>
  <c r="H24" i="5"/>
  <c r="Q21" i="5"/>
  <c r="H21" i="5"/>
  <c r="Q18" i="5"/>
  <c r="H18" i="5"/>
  <c r="Q15" i="5"/>
  <c r="H15" i="5"/>
  <c r="Q12" i="5"/>
  <c r="H12" i="5"/>
  <c r="Q9" i="5"/>
  <c r="H9" i="5"/>
  <c r="Q6" i="5"/>
  <c r="H6" i="5"/>
  <c r="C11" i="5" l="1"/>
  <c r="C38" i="5" l="1"/>
  <c r="D38" i="5"/>
  <c r="E38" i="5"/>
  <c r="F38" i="5"/>
  <c r="G38" i="5"/>
  <c r="H38" i="5"/>
  <c r="I38" i="5"/>
  <c r="K38" i="5"/>
  <c r="L38" i="5"/>
  <c r="M38" i="5"/>
  <c r="O38" i="5"/>
  <c r="P38" i="5"/>
  <c r="Q38" i="5"/>
  <c r="B38" i="5" l="1"/>
  <c r="P11" i="5"/>
  <c r="O11" i="5"/>
  <c r="M11" i="5"/>
  <c r="L11" i="5"/>
  <c r="K11" i="5"/>
  <c r="I11" i="5"/>
  <c r="G11" i="5"/>
  <c r="F11" i="5"/>
  <c r="E11" i="5"/>
  <c r="D11" i="5"/>
  <c r="B11" i="5"/>
  <c r="P14" i="5"/>
  <c r="O14" i="5"/>
  <c r="M14" i="5"/>
  <c r="L14" i="5"/>
  <c r="K14" i="5"/>
  <c r="I14" i="5"/>
  <c r="G14" i="5"/>
  <c r="F14" i="5"/>
  <c r="E14" i="5"/>
  <c r="D14" i="5"/>
  <c r="C14" i="5"/>
  <c r="B14" i="5"/>
  <c r="P17" i="5"/>
  <c r="O17" i="5"/>
  <c r="M17" i="5"/>
  <c r="L17" i="5"/>
  <c r="K17" i="5"/>
  <c r="I17" i="5"/>
  <c r="G17" i="5"/>
  <c r="F17" i="5"/>
  <c r="E17" i="5"/>
  <c r="D17" i="5"/>
  <c r="C17" i="5"/>
  <c r="P20" i="5"/>
  <c r="O20" i="5"/>
  <c r="M20" i="5"/>
  <c r="L20" i="5"/>
  <c r="K20" i="5"/>
  <c r="I20" i="5"/>
  <c r="G20" i="5"/>
  <c r="F20" i="5"/>
  <c r="E20" i="5"/>
  <c r="D20" i="5"/>
  <c r="C20" i="5"/>
  <c r="B20" i="5"/>
  <c r="P23" i="5"/>
  <c r="O23" i="5"/>
  <c r="M23" i="5"/>
  <c r="L23" i="5"/>
  <c r="K23" i="5"/>
  <c r="I23" i="5"/>
  <c r="G23" i="5"/>
  <c r="F23" i="5"/>
  <c r="E23" i="5"/>
  <c r="D23" i="5"/>
  <c r="C23" i="5"/>
  <c r="B23" i="5"/>
  <c r="P26" i="5"/>
  <c r="O26" i="5"/>
  <c r="M26" i="5"/>
  <c r="L26" i="5"/>
  <c r="K26" i="5"/>
  <c r="I26" i="5"/>
  <c r="G26" i="5"/>
  <c r="F26" i="5"/>
  <c r="E26" i="5"/>
  <c r="D26" i="5"/>
  <c r="C26" i="5"/>
  <c r="B26" i="5"/>
  <c r="P29" i="5"/>
  <c r="O29" i="5"/>
  <c r="M29" i="5"/>
  <c r="L29" i="5"/>
  <c r="K29" i="5"/>
  <c r="I29" i="5"/>
  <c r="G29" i="5"/>
  <c r="F29" i="5"/>
  <c r="E29" i="5"/>
  <c r="D29" i="5"/>
  <c r="C29" i="5"/>
  <c r="B29" i="5"/>
  <c r="P32" i="5"/>
  <c r="O32" i="5"/>
  <c r="M32" i="5"/>
  <c r="L32" i="5"/>
  <c r="K32" i="5"/>
  <c r="I32" i="5"/>
  <c r="G32" i="5"/>
  <c r="F32" i="5"/>
  <c r="E32" i="5"/>
  <c r="D32" i="5"/>
  <c r="C32" i="5"/>
  <c r="B32" i="5"/>
  <c r="B17" i="5" l="1"/>
  <c r="J37" i="5" l="1"/>
  <c r="N37" i="5"/>
  <c r="E37" i="5" l="1"/>
  <c r="E35" i="5"/>
  <c r="D37" i="5"/>
  <c r="D35" i="5"/>
  <c r="M37" i="5"/>
  <c r="M35" i="5"/>
  <c r="B37" i="5"/>
  <c r="B35" i="5"/>
  <c r="O37" i="5"/>
  <c r="O35" i="5"/>
  <c r="G37" i="5"/>
  <c r="G35" i="5"/>
  <c r="F37" i="5"/>
  <c r="F35" i="5"/>
  <c r="L37" i="5"/>
  <c r="L35" i="5"/>
  <c r="K37" i="5"/>
  <c r="K35" i="5"/>
  <c r="C37" i="5"/>
  <c r="C35" i="5"/>
  <c r="I37" i="5"/>
  <c r="I35" i="5"/>
  <c r="P37" i="5"/>
  <c r="P35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B31" i="5"/>
  <c r="C31" i="5"/>
  <c r="D31" i="5"/>
  <c r="E31" i="5"/>
  <c r="F31" i="5"/>
  <c r="G31" i="5"/>
  <c r="I31" i="5"/>
  <c r="J31" i="5"/>
  <c r="K31" i="5"/>
  <c r="L31" i="5"/>
  <c r="M31" i="5"/>
  <c r="N31" i="5"/>
  <c r="O31" i="5"/>
  <c r="P31" i="5"/>
  <c r="P28" i="5" l="1"/>
  <c r="O28" i="5"/>
  <c r="N28" i="5"/>
  <c r="M28" i="5"/>
  <c r="L28" i="5"/>
  <c r="K28" i="5"/>
  <c r="J28" i="5"/>
  <c r="I28" i="5"/>
  <c r="G28" i="5"/>
  <c r="F28" i="5"/>
  <c r="E28" i="5"/>
  <c r="D28" i="5"/>
  <c r="C28" i="5"/>
  <c r="B28" i="5"/>
  <c r="P25" i="5"/>
  <c r="O25" i="5"/>
  <c r="N25" i="5"/>
  <c r="M25" i="5"/>
  <c r="L25" i="5"/>
  <c r="K25" i="5"/>
  <c r="J25" i="5"/>
  <c r="I25" i="5"/>
  <c r="G25" i="5"/>
  <c r="F25" i="5"/>
  <c r="E25" i="5"/>
  <c r="D25" i="5"/>
  <c r="C25" i="5"/>
  <c r="B25" i="5"/>
  <c r="P22" i="5"/>
  <c r="O22" i="5"/>
  <c r="N22" i="5"/>
  <c r="M22" i="5"/>
  <c r="L22" i="5"/>
  <c r="K22" i="5"/>
  <c r="J22" i="5"/>
  <c r="I22" i="5"/>
  <c r="G22" i="5"/>
  <c r="F22" i="5"/>
  <c r="E22" i="5"/>
  <c r="D22" i="5"/>
  <c r="C22" i="5"/>
  <c r="B22" i="5"/>
  <c r="P19" i="5"/>
  <c r="O19" i="5"/>
  <c r="N19" i="5"/>
  <c r="M19" i="5"/>
  <c r="L19" i="5"/>
  <c r="K19" i="5"/>
  <c r="J19" i="5"/>
  <c r="I19" i="5"/>
  <c r="G19" i="5"/>
  <c r="F19" i="5"/>
  <c r="E19" i="5"/>
  <c r="D19" i="5"/>
  <c r="C19" i="5"/>
  <c r="B19" i="5"/>
  <c r="P16" i="5"/>
  <c r="O16" i="5"/>
  <c r="M16" i="5"/>
  <c r="L16" i="5"/>
  <c r="K16" i="5"/>
  <c r="I16" i="5"/>
  <c r="G16" i="5"/>
  <c r="F16" i="5"/>
  <c r="E16" i="5"/>
  <c r="D16" i="5"/>
  <c r="C16" i="5"/>
  <c r="B16" i="5"/>
  <c r="P13" i="5"/>
  <c r="O13" i="5"/>
  <c r="M13" i="5"/>
  <c r="L13" i="5"/>
  <c r="K13" i="5"/>
  <c r="I13" i="5"/>
  <c r="G13" i="5"/>
  <c r="F13" i="5"/>
  <c r="E13" i="5"/>
  <c r="D13" i="5"/>
  <c r="C13" i="5"/>
  <c r="B13" i="5"/>
  <c r="P10" i="5"/>
  <c r="O10" i="5"/>
  <c r="M10" i="5"/>
  <c r="L10" i="5"/>
  <c r="K10" i="5"/>
  <c r="I10" i="5"/>
  <c r="G10" i="5"/>
  <c r="F10" i="5"/>
  <c r="E10" i="5"/>
  <c r="D10" i="5"/>
  <c r="C10" i="5"/>
  <c r="B10" i="5"/>
  <c r="H32" i="5" l="1"/>
  <c r="H35" i="5"/>
  <c r="H17" i="5"/>
  <c r="H29" i="5"/>
  <c r="H14" i="5"/>
  <c r="H11" i="5"/>
  <c r="Q20" i="5"/>
  <c r="Q23" i="5"/>
  <c r="Q26" i="5"/>
  <c r="Q32" i="5"/>
  <c r="Q17" i="5"/>
  <c r="Q35" i="5"/>
  <c r="Q11" i="5"/>
  <c r="Q14" i="5"/>
  <c r="H20" i="5"/>
  <c r="H23" i="5"/>
  <c r="H26" i="5"/>
  <c r="Q29" i="5"/>
  <c r="Q31" i="5"/>
  <c r="H31" i="5"/>
  <c r="Q19" i="5"/>
  <c r="H13" i="5"/>
  <c r="H16" i="5"/>
  <c r="Q10" i="5"/>
  <c r="Q13" i="5"/>
  <c r="Q16" i="5"/>
  <c r="H28" i="5"/>
  <c r="Q22" i="5"/>
  <c r="Q25" i="5"/>
  <c r="H19" i="5"/>
  <c r="H22" i="5"/>
  <c r="H25" i="5"/>
  <c r="H10" i="5"/>
  <c r="Q28" i="5"/>
</calcChain>
</file>

<file path=xl/sharedStrings.xml><?xml version="1.0" encoding="utf-8"?>
<sst xmlns="http://schemas.openxmlformats.org/spreadsheetml/2006/main" count="87" uniqueCount="40">
  <si>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</si>
  <si>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</si>
  <si>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</si>
  <si>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</si>
  <si>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</si>
  <si>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</si>
  <si>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</si>
  <si>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</si>
  <si>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</si>
  <si>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</si>
  <si>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</si>
  <si>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</si>
  <si>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</si>
  <si>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</si>
  <si>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</si>
  <si>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</si>
  <si>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</si>
  <si>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</si>
  <si>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</si>
  <si>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</si>
  <si>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</si>
  <si>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</si>
  <si>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</si>
  <si>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</si>
  <si>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</si>
  <si>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</si>
  <si>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</si>
  <si>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</si>
  <si>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</si>
  <si>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</si>
  <si>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(INDIGO)</t>
  </si>
  <si>
    <t>SOURCE: ICAO ATR FORM 'A' FURNISHED BY INDIGO</t>
  </si>
  <si>
    <t xml:space="preserve"> तालिका- 1.06 (इंडिगो) </t>
  </si>
  <si>
    <t>2019-20</t>
  </si>
  <si>
    <t>YEAR ON YEAR GROWTH AND CAGR FOR LAST TEN YEARS OF INDIGO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</si>
  <si>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</si>
  <si>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</si>
  <si>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2021-22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</si>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</sst>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5" fontId="0" fillId="4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0" fillId="9" borderId="1" xfId="1" applyNumberFormat="1" applyFont="1" applyFill="1" applyBorder="1" applyAlignment="1" applyProtection="1">
      <alignment horizontal="right" vertical="center" wrapText="1"/>
    </xf>
    <xf numFmtId="0" fontId="8" fillId="7" borderId="1" xfId="1" applyNumberFormat="1" applyFont="1" applyFill="1" applyBorder="1" applyAlignment="1" applyProtection="1">
      <alignment horizontal="center" vertical="center" wrapText="1"/>
    </xf>
    <xf numFmtId="2" fontId="8" fillId="7" borderId="1" xfId="1" applyNumberFormat="1" applyFont="1" applyFill="1" applyBorder="1" applyAlignment="1" applyProtection="1">
      <alignment horizontal="center" vertical="center" wrapText="1"/>
    </xf>
    <xf numFmtId="9" fontId="6" fillId="8" borderId="1" xfId="1" applyNumberFormat="1" applyFont="1" applyFill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view="pageBreakPreview" topLeftCell="D1" zoomScale="175" zoomScaleNormal="100" zoomScaleSheetLayoutView="175" workbookViewId="0">
      <selection activeCell="A42" sqref="A42:Q42"/>
    </sheetView>
  </sheetViews>
  <sheetFormatPr defaultRowHeight="15" x14ac:dyDescent="0.25"/>
  <cols>
    <col min="1" max="1" width="8.42578125" customWidth="1"/>
    <col min="2" max="2" width="8.7109375" customWidth="1"/>
    <col min="3" max="3" width="10.5703125" customWidth="1"/>
    <col min="4" max="4" width="8.85546875" customWidth="1"/>
    <col min="5" max="5" width="11.28515625" customWidth="1"/>
    <col min="6" max="6" width="7.85546875" customWidth="1"/>
    <col min="7" max="7" width="9.140625" customWidth="1"/>
    <col min="8" max="8" width="8.42578125" customWidth="1"/>
    <col min="9" max="9" width="10.5703125" customWidth="1"/>
    <col min="10" max="10" width="9.140625" customWidth="1"/>
    <col min="11" max="11" width="10.28515625" customWidth="1"/>
    <col min="12" max="12" width="8.28515625" customWidth="1"/>
    <col min="13" max="13" width="7" customWidth="1"/>
    <col min="14" max="14" width="8" customWidth="1"/>
    <col min="15" max="15" width="8.42578125" customWidth="1"/>
    <col min="16" max="16" width="9.85546875" customWidth="1"/>
    <col min="17" max="17" width="7.140625" customWidth="1"/>
  </cols>
  <sheetData>
    <row r="1" spans="1:17" x14ac:dyDescent="0.25">
      <c r="A1" s="18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34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122.25" customHeight="1" x14ac:dyDescent="0.25">
      <c r="A5" s="21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4"/>
      <c r="H5" s="24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4"/>
      <c r="Q5" s="24"/>
    </row>
    <row r="6" spans="1:17" ht="17.100000000000001" customHeight="1" x14ac:dyDescent="0.25">
      <c r="A6" s="2" t="s">
        <v>19</v>
      </c>
      <c r="B6" s="5">
        <v>131237</v>
      </c>
      <c r="C6" s="5">
        <v>246142.59000000003</v>
      </c>
      <c r="D6" s="5">
        <v>138813</v>
      </c>
      <c r="E6" s="5">
        <v>16887969</v>
      </c>
      <c r="F6" s="5">
        <v>20259.741999999998</v>
      </c>
      <c r="G6" s="5">
        <v>24976.714</v>
      </c>
      <c r="H6" s="7">
        <f t="shared" ref="H6" si="0">F6/G6*100</f>
        <v>81.11452130972873</v>
      </c>
      <c r="I6" s="4">
        <v>80968</v>
      </c>
      <c r="J6" s="4">
        <v>0</v>
      </c>
      <c r="K6" s="4">
        <v>80968</v>
      </c>
      <c r="L6" s="4">
        <v>1814.192</v>
      </c>
      <c r="M6" s="4">
        <v>114.797</v>
      </c>
      <c r="N6" s="4">
        <v>0</v>
      </c>
      <c r="O6" s="4">
        <v>1928.989</v>
      </c>
      <c r="P6" s="4">
        <v>2526.38</v>
      </c>
      <c r="Q6" s="7">
        <f t="shared" ref="Q6" si="1">O6/P6*100</f>
        <v>76.353873922371136</v>
      </c>
    </row>
    <row r="7" spans="1:17" ht="17.100000000000001" customHeight="1" x14ac:dyDescent="0.25">
      <c r="A7" s="1" t="s">
        <v>26</v>
      </c>
      <c r="B7" s="9"/>
      <c r="C7" s="9"/>
      <c r="D7" s="9"/>
      <c r="E7" s="9"/>
      <c r="F7" s="9"/>
      <c r="G7" s="9"/>
      <c r="H7" s="8"/>
      <c r="I7" s="9"/>
      <c r="J7" s="12"/>
      <c r="K7" s="9"/>
      <c r="L7" s="9"/>
      <c r="M7" s="9"/>
      <c r="N7" s="12"/>
      <c r="O7" s="9"/>
      <c r="P7" s="9"/>
      <c r="Q7" s="8"/>
    </row>
    <row r="8" spans="1:17" ht="17.100000000000001" customHeight="1" x14ac:dyDescent="0.25">
      <c r="A8" s="3" t="s">
        <v>28</v>
      </c>
      <c r="B8" s="10"/>
      <c r="C8" s="10"/>
      <c r="D8" s="10"/>
      <c r="E8" s="10"/>
      <c r="F8" s="10"/>
      <c r="G8" s="10"/>
      <c r="H8" s="10"/>
      <c r="I8" s="10"/>
      <c r="J8" s="14"/>
      <c r="K8" s="10"/>
      <c r="L8" s="10"/>
      <c r="M8" s="10"/>
      <c r="N8" s="14"/>
      <c r="O8" s="10"/>
      <c r="P8" s="10"/>
      <c r="Q8" s="10"/>
    </row>
    <row r="9" spans="1:17" ht="17.100000000000001" customHeight="1" x14ac:dyDescent="0.25">
      <c r="A9" s="2" t="s">
        <v>20</v>
      </c>
      <c r="B9" s="5">
        <v>158488</v>
      </c>
      <c r="C9" s="5">
        <v>297651.5</v>
      </c>
      <c r="D9" s="5">
        <v>166490</v>
      </c>
      <c r="E9" s="5">
        <v>19568603</v>
      </c>
      <c r="F9" s="5">
        <v>23135.406999999999</v>
      </c>
      <c r="G9" s="5">
        <v>29967.616999999998</v>
      </c>
      <c r="H9" s="7">
        <f t="shared" ref="H9" si="2">F9/G9*100</f>
        <v>77.201357051513313</v>
      </c>
      <c r="I9" s="4">
        <v>106638</v>
      </c>
      <c r="J9" s="4">
        <v>0</v>
      </c>
      <c r="K9" s="4">
        <v>106638</v>
      </c>
      <c r="L9" s="4">
        <v>2074.25</v>
      </c>
      <c r="M9" s="4">
        <v>131.048</v>
      </c>
      <c r="N9" s="4">
        <v>0</v>
      </c>
      <c r="O9" s="4">
        <v>2205.2979999999998</v>
      </c>
      <c r="P9" s="4">
        <v>3030.1060000000002</v>
      </c>
      <c r="Q9" s="7">
        <f t="shared" ref="Q9" si="3">O9/P9*100</f>
        <v>72.7795661273896</v>
      </c>
    </row>
    <row r="10" spans="1:17" ht="17.100000000000001" customHeight="1" x14ac:dyDescent="0.25">
      <c r="A10" s="1" t="s">
        <v>26</v>
      </c>
      <c r="B10" s="9">
        <f>(B9-B6)/B6</f>
        <v>0.20764723363075963</v>
      </c>
      <c r="C10" s="9">
        <f t="shared" ref="C10:Q10" si="4">(C9-C6)/C6</f>
        <v>0.20926451614895239</v>
      </c>
      <c r="D10" s="9">
        <f t="shared" si="4"/>
        <v>0.19938334305864724</v>
      </c>
      <c r="E10" s="9">
        <f t="shared" si="4"/>
        <v>0.1587303955851648</v>
      </c>
      <c r="F10" s="9">
        <f t="shared" si="4"/>
        <v>0.1419398628077298</v>
      </c>
      <c r="G10" s="9">
        <f t="shared" si="4"/>
        <v>0.19982224242948846</v>
      </c>
      <c r="H10" s="8">
        <f t="shared" si="4"/>
        <v>-4.8242462570583886E-2</v>
      </c>
      <c r="I10" s="9">
        <f t="shared" si="4"/>
        <v>0.31703883015512302</v>
      </c>
      <c r="J10" s="12" t="s">
        <v>27</v>
      </c>
      <c r="K10" s="9">
        <f t="shared" si="4"/>
        <v>0.31703883015512302</v>
      </c>
      <c r="L10" s="9">
        <f t="shared" si="4"/>
        <v>0.14334645947066241</v>
      </c>
      <c r="M10" s="9">
        <f t="shared" si="4"/>
        <v>0.14156293282925517</v>
      </c>
      <c r="N10" s="12" t="s">
        <v>27</v>
      </c>
      <c r="O10" s="9">
        <f t="shared" si="4"/>
        <v>0.14324031915163837</v>
      </c>
      <c r="P10" s="9">
        <f t="shared" si="4"/>
        <v>0.19938647392712106</v>
      </c>
      <c r="Q10" s="8">
        <f t="shared" si="4"/>
        <v>-4.6812396167554365E-2</v>
      </c>
    </row>
    <row r="11" spans="1:17" ht="17.100000000000001" customHeight="1" x14ac:dyDescent="0.25">
      <c r="A11" s="3" t="s">
        <v>28</v>
      </c>
      <c r="B11" s="10">
        <f>(((B9/B6)^(1/1))-1)</f>
        <v>0.20764723363075954</v>
      </c>
      <c r="C11" s="10">
        <f>(((C9/C6)^(1/1))-1)</f>
        <v>0.20926451614895236</v>
      </c>
      <c r="D11" s="10">
        <f t="shared" ref="D11:Q11" si="5">(((D9/D6)^(1/1))-1)</f>
        <v>0.19938334305864736</v>
      </c>
      <c r="E11" s="10">
        <f t="shared" si="5"/>
        <v>0.15873039558516489</v>
      </c>
      <c r="F11" s="10">
        <f t="shared" si="5"/>
        <v>0.14193986280772974</v>
      </c>
      <c r="G11" s="10">
        <f t="shared" si="5"/>
        <v>0.19982224242948843</v>
      </c>
      <c r="H11" s="10">
        <f t="shared" si="5"/>
        <v>-4.8242462570583844E-2</v>
      </c>
      <c r="I11" s="10">
        <f t="shared" si="5"/>
        <v>0.31703883015512302</v>
      </c>
      <c r="J11" s="14" t="s">
        <v>27</v>
      </c>
      <c r="K11" s="10">
        <f t="shared" si="5"/>
        <v>0.31703883015512302</v>
      </c>
      <c r="L11" s="10">
        <f t="shared" si="5"/>
        <v>0.14334645947066238</v>
      </c>
      <c r="M11" s="10">
        <f t="shared" si="5"/>
        <v>0.14156293282925514</v>
      </c>
      <c r="N11" s="14" t="s">
        <v>27</v>
      </c>
      <c r="O11" s="10">
        <f t="shared" si="5"/>
        <v>0.14324031915163826</v>
      </c>
      <c r="P11" s="10">
        <f t="shared" si="5"/>
        <v>0.19938647392712094</v>
      </c>
      <c r="Q11" s="10">
        <f t="shared" si="5"/>
        <v>-4.6812396167554393E-2</v>
      </c>
    </row>
    <row r="12" spans="1:17" ht="17.100000000000001" customHeight="1" x14ac:dyDescent="0.25">
      <c r="A12" s="2" t="s">
        <v>21</v>
      </c>
      <c r="B12" s="5">
        <v>158488</v>
      </c>
      <c r="C12" s="5">
        <v>297651.5</v>
      </c>
      <c r="D12" s="5">
        <v>166490</v>
      </c>
      <c r="E12" s="5">
        <v>19568603</v>
      </c>
      <c r="F12" s="5">
        <v>23135.406999999996</v>
      </c>
      <c r="G12" s="5">
        <v>29967.616999999998</v>
      </c>
      <c r="H12" s="7">
        <f t="shared" ref="H12" si="6">F12/G12*100</f>
        <v>77.201357051513298</v>
      </c>
      <c r="I12" s="4">
        <v>106638</v>
      </c>
      <c r="J12" s="4">
        <v>0</v>
      </c>
      <c r="K12" s="4">
        <v>106638</v>
      </c>
      <c r="L12" s="4">
        <v>2074.25</v>
      </c>
      <c r="M12" s="4">
        <v>131.048</v>
      </c>
      <c r="N12" s="4">
        <v>0</v>
      </c>
      <c r="O12" s="4">
        <v>2205.2979999999998</v>
      </c>
      <c r="P12" s="4">
        <v>3030.1059999999998</v>
      </c>
      <c r="Q12" s="7">
        <f t="shared" ref="Q12" si="7">O12/P12*100</f>
        <v>72.7795661273896</v>
      </c>
    </row>
    <row r="13" spans="1:17" ht="17.100000000000001" customHeight="1" x14ac:dyDescent="0.25">
      <c r="A13" s="1" t="s">
        <v>26</v>
      </c>
      <c r="B13" s="11">
        <f>(B12-B9)/B9</f>
        <v>0</v>
      </c>
      <c r="C13" s="11">
        <f t="shared" ref="C13:Q13" si="8">(C12-C9)/C9</f>
        <v>0</v>
      </c>
      <c r="D13" s="11">
        <f t="shared" si="8"/>
        <v>0</v>
      </c>
      <c r="E13" s="11">
        <f t="shared" si="8"/>
        <v>0</v>
      </c>
      <c r="F13" s="11">
        <f t="shared" si="8"/>
        <v>-1.5724723611266976E-16</v>
      </c>
      <c r="G13" s="11">
        <f t="shared" si="8"/>
        <v>0</v>
      </c>
      <c r="H13" s="8">
        <f t="shared" si="8"/>
        <v>-1.840751932083225E-16</v>
      </c>
      <c r="I13" s="11">
        <f t="shared" si="8"/>
        <v>0</v>
      </c>
      <c r="J13" s="12" t="s">
        <v>27</v>
      </c>
      <c r="K13" s="11">
        <f t="shared" si="8"/>
        <v>0</v>
      </c>
      <c r="L13" s="11">
        <f t="shared" si="8"/>
        <v>0</v>
      </c>
      <c r="M13" s="11">
        <f t="shared" si="8"/>
        <v>0</v>
      </c>
      <c r="N13" s="12" t="s">
        <v>27</v>
      </c>
      <c r="O13" s="11">
        <f t="shared" si="8"/>
        <v>0</v>
      </c>
      <c r="P13" s="11">
        <f t="shared" si="8"/>
        <v>-1.5007638375900517E-16</v>
      </c>
      <c r="Q13" s="8">
        <f t="shared" si="8"/>
        <v>0</v>
      </c>
    </row>
    <row r="14" spans="1:17" ht="17.100000000000001" customHeight="1" x14ac:dyDescent="0.25">
      <c r="A14" s="3" t="s">
        <v>28</v>
      </c>
      <c r="B14" s="10">
        <f>(((B12/B6)^(1/2))-1)</f>
        <v>9.8930040371433048E-2</v>
      </c>
      <c r="C14" s="10">
        <f t="shared" ref="C14:Q14" si="9">(((C12/C6)^(1/2))-1)</f>
        <v>9.9665638341469798E-2</v>
      </c>
      <c r="D14" s="10">
        <f t="shared" si="9"/>
        <v>9.5163614743773106E-2</v>
      </c>
      <c r="E14" s="10">
        <f t="shared" si="9"/>
        <v>7.6443401013339241E-2</v>
      </c>
      <c r="F14" s="10">
        <f t="shared" si="9"/>
        <v>6.861586307135159E-2</v>
      </c>
      <c r="G14" s="10">
        <f t="shared" si="9"/>
        <v>9.536397714617606E-2</v>
      </c>
      <c r="H14" s="10">
        <f t="shared" si="9"/>
        <v>-2.4419384453844395E-2</v>
      </c>
      <c r="I14" s="10">
        <f t="shared" si="9"/>
        <v>0.14762312200265604</v>
      </c>
      <c r="J14" s="14" t="s">
        <v>27</v>
      </c>
      <c r="K14" s="10">
        <f t="shared" si="9"/>
        <v>0.14762312200265604</v>
      </c>
      <c r="L14" s="10">
        <f t="shared" si="9"/>
        <v>6.9273800048735179E-2</v>
      </c>
      <c r="M14" s="10">
        <f t="shared" si="9"/>
        <v>6.8439484869992517E-2</v>
      </c>
      <c r="N14" s="14" t="s">
        <v>27</v>
      </c>
      <c r="O14" s="10">
        <f t="shared" si="9"/>
        <v>6.9224166932097653E-2</v>
      </c>
      <c r="P14" s="10">
        <f t="shared" si="9"/>
        <v>9.5165044149565947E-2</v>
      </c>
      <c r="Q14" s="10">
        <f t="shared" si="9"/>
        <v>-2.3686728640624488E-2</v>
      </c>
    </row>
    <row r="15" spans="1:17" ht="17.100000000000001" customHeight="1" x14ac:dyDescent="0.25">
      <c r="A15" s="2" t="s">
        <v>22</v>
      </c>
      <c r="B15" s="5">
        <v>236385</v>
      </c>
      <c r="C15" s="5">
        <v>436742.0199999999</v>
      </c>
      <c r="D15" s="5">
        <v>238025</v>
      </c>
      <c r="E15" s="5">
        <v>33103686</v>
      </c>
      <c r="F15" s="5">
        <v>35968.266000000003</v>
      </c>
      <c r="G15" s="5">
        <v>42825.673999999999</v>
      </c>
      <c r="H15" s="7">
        <f t="shared" ref="H15" si="10">F15/G15*100</f>
        <v>83.987623872539643</v>
      </c>
      <c r="I15" s="4">
        <v>138311.22090000001</v>
      </c>
      <c r="J15" s="4">
        <v>11899.743924999999</v>
      </c>
      <c r="K15" s="4">
        <v>150210.964825</v>
      </c>
      <c r="L15" s="4">
        <v>3236.9180000000001</v>
      </c>
      <c r="M15" s="4">
        <v>183.85900000000001</v>
      </c>
      <c r="N15" s="4">
        <v>14.86</v>
      </c>
      <c r="O15" s="4">
        <v>3435.6370000000002</v>
      </c>
      <c r="P15" s="4">
        <v>4595.1000000000004</v>
      </c>
      <c r="Q15" s="7">
        <f t="shared" ref="Q15" si="11">O15/P15*100</f>
        <v>74.767404409044417</v>
      </c>
    </row>
    <row r="16" spans="1:17" ht="17.100000000000001" customHeight="1" x14ac:dyDescent="0.25">
      <c r="A16" s="1" t="s">
        <v>26</v>
      </c>
      <c r="B16" s="11">
        <f>(B15-B12)/B12</f>
        <v>0.49150093382464288</v>
      </c>
      <c r="C16" s="11">
        <f t="shared" ref="C16:Q16" si="12">(C15-C12)/C12</f>
        <v>0.46729319355017496</v>
      </c>
      <c r="D16" s="11">
        <f t="shared" si="12"/>
        <v>0.42966544537209445</v>
      </c>
      <c r="E16" s="11">
        <f t="shared" si="12"/>
        <v>0.69167344240158579</v>
      </c>
      <c r="F16" s="11">
        <f t="shared" si="12"/>
        <v>0.55468481708577722</v>
      </c>
      <c r="G16" s="11">
        <f t="shared" si="12"/>
        <v>0.42906504711402316</v>
      </c>
      <c r="H16" s="8">
        <f t="shared" si="12"/>
        <v>8.7903465433880237E-2</v>
      </c>
      <c r="I16" s="11">
        <f t="shared" si="12"/>
        <v>0.29701626905980999</v>
      </c>
      <c r="J16" s="12" t="s">
        <v>27</v>
      </c>
      <c r="K16" s="11">
        <f t="shared" si="12"/>
        <v>0.40860635819313945</v>
      </c>
      <c r="L16" s="11">
        <f t="shared" si="12"/>
        <v>0.56052452693744736</v>
      </c>
      <c r="M16" s="11">
        <f t="shared" si="12"/>
        <v>0.40298974421585987</v>
      </c>
      <c r="N16" s="12" t="s">
        <v>27</v>
      </c>
      <c r="O16" s="11">
        <f t="shared" si="12"/>
        <v>0.55790147181922833</v>
      </c>
      <c r="P16" s="11">
        <f t="shared" si="12"/>
        <v>0.51648160163373846</v>
      </c>
      <c r="Q16" s="8">
        <f t="shared" si="12"/>
        <v>2.7313137291522283E-2</v>
      </c>
    </row>
    <row r="17" spans="1:17" ht="17.100000000000001" customHeight="1" x14ac:dyDescent="0.25">
      <c r="A17" s="3" t="s">
        <v>28</v>
      </c>
      <c r="B17" s="10">
        <f>(((B15/B6)^(1/3))-1)</f>
        <v>0.21671223007079066</v>
      </c>
      <c r="C17" s="10">
        <f t="shared" ref="C17:Q17" si="13">(((C15/C6)^(1/3))-1)</f>
        <v>0.21063363979007255</v>
      </c>
      <c r="D17" s="10">
        <f t="shared" si="13"/>
        <v>0.19691730085610293</v>
      </c>
      <c r="E17" s="10">
        <f t="shared" si="13"/>
        <v>0.25150611780964938</v>
      </c>
      <c r="F17" s="10">
        <f t="shared" si="13"/>
        <v>0.21086352464283586</v>
      </c>
      <c r="G17" s="10">
        <f t="shared" si="13"/>
        <v>0.19689568680183234</v>
      </c>
      <c r="H17" s="10">
        <f t="shared" si="13"/>
        <v>1.167005445422431E-2</v>
      </c>
      <c r="I17" s="10">
        <f t="shared" si="13"/>
        <v>0.19540389810975567</v>
      </c>
      <c r="J17" s="14" t="s">
        <v>27</v>
      </c>
      <c r="K17" s="10">
        <f t="shared" si="13"/>
        <v>0.22874776606868585</v>
      </c>
      <c r="L17" s="10">
        <f t="shared" si="13"/>
        <v>0.21287529509406311</v>
      </c>
      <c r="M17" s="10">
        <f t="shared" si="13"/>
        <v>0.16999709915671635</v>
      </c>
      <c r="N17" s="14" t="s">
        <v>27</v>
      </c>
      <c r="O17" s="10">
        <f t="shared" si="13"/>
        <v>0.21215783612004779</v>
      </c>
      <c r="P17" s="10">
        <f t="shared" si="13"/>
        <v>0.22067138557729948</v>
      </c>
      <c r="Q17" s="10">
        <f t="shared" si="13"/>
        <v>-6.9744810584098094E-3</v>
      </c>
    </row>
    <row r="18" spans="1:17" ht="17.100000000000001" customHeight="1" x14ac:dyDescent="0.25">
      <c r="A18" s="2" t="s">
        <v>23</v>
      </c>
      <c r="B18" s="5">
        <v>300526</v>
      </c>
      <c r="C18" s="5">
        <v>558566.74769999995</v>
      </c>
      <c r="D18" s="5">
        <v>303494.57400000002</v>
      </c>
      <c r="E18" s="5">
        <v>43531952</v>
      </c>
      <c r="F18" s="5">
        <v>46288.307000000001</v>
      </c>
      <c r="G18" s="5">
        <v>54582.542000000001</v>
      </c>
      <c r="H18" s="7">
        <f t="shared" ref="H18" si="14">F18/G18*100</f>
        <v>84.804234658034062</v>
      </c>
      <c r="I18" s="4">
        <v>163177</v>
      </c>
      <c r="J18" s="4">
        <v>14204</v>
      </c>
      <c r="K18" s="4">
        <v>177381</v>
      </c>
      <c r="L18" s="4">
        <v>4166.085986</v>
      </c>
      <c r="M18" s="4">
        <v>215.91493700000001</v>
      </c>
      <c r="N18" s="4">
        <v>15.645637000000001</v>
      </c>
      <c r="O18" s="4">
        <v>4397.6465599999992</v>
      </c>
      <c r="P18" s="4">
        <v>5935.1954999999998</v>
      </c>
      <c r="Q18" s="7">
        <f t="shared" ref="Q18" si="15">O18/P18*100</f>
        <v>74.094384254065417</v>
      </c>
    </row>
    <row r="19" spans="1:17" ht="17.100000000000001" customHeight="1" x14ac:dyDescent="0.25">
      <c r="A19" s="1" t="s">
        <v>26</v>
      </c>
      <c r="B19" s="11">
        <f>(B18-B15)/B15</f>
        <v>0.27134124415677813</v>
      </c>
      <c r="C19" s="11">
        <f t="shared" ref="C19:Q19" si="16">(C18-C15)/C15</f>
        <v>0.27893979081747178</v>
      </c>
      <c r="D19" s="11">
        <f t="shared" si="16"/>
        <v>0.27505335153870403</v>
      </c>
      <c r="E19" s="11">
        <f t="shared" si="16"/>
        <v>0.31501827319169229</v>
      </c>
      <c r="F19" s="11">
        <f t="shared" si="16"/>
        <v>0.28692072617567932</v>
      </c>
      <c r="G19" s="11">
        <f t="shared" si="16"/>
        <v>0.27452849895602349</v>
      </c>
      <c r="H19" s="8">
        <f t="shared" si="16"/>
        <v>9.722989505378964E-3</v>
      </c>
      <c r="I19" s="11">
        <f t="shared" si="16"/>
        <v>0.17978135785510937</v>
      </c>
      <c r="J19" s="11">
        <f t="shared" si="16"/>
        <v>0.19363913118827902</v>
      </c>
      <c r="K19" s="11">
        <f t="shared" si="16"/>
        <v>0.180879173545379</v>
      </c>
      <c r="L19" s="11">
        <f t="shared" si="16"/>
        <v>0.28705329761211124</v>
      </c>
      <c r="M19" s="11">
        <f t="shared" si="16"/>
        <v>0.17435065457769269</v>
      </c>
      <c r="N19" s="11">
        <f t="shared" si="16"/>
        <v>5.286924629878878E-2</v>
      </c>
      <c r="O19" s="11">
        <f t="shared" si="16"/>
        <v>0.2800090812853625</v>
      </c>
      <c r="P19" s="11">
        <f t="shared" si="16"/>
        <v>0.29163576418358672</v>
      </c>
      <c r="Q19" s="8">
        <f t="shared" si="16"/>
        <v>-9.0015182457983799E-3</v>
      </c>
    </row>
    <row r="20" spans="1:17" ht="17.100000000000001" customHeight="1" x14ac:dyDescent="0.25">
      <c r="A20" s="3" t="s">
        <v>28</v>
      </c>
      <c r="B20" s="10">
        <f>(((B18/B6)^(1/4))-1)</f>
        <v>0.23014537805043145</v>
      </c>
      <c r="C20" s="10">
        <f t="shared" ref="C20:Q20" si="17">(((C18/C6)^(1/4))-1)</f>
        <v>0.22736031811369362</v>
      </c>
      <c r="D20" s="10">
        <f t="shared" si="17"/>
        <v>0.21599054394823747</v>
      </c>
      <c r="E20" s="10">
        <f t="shared" si="17"/>
        <v>0.26709063077531914</v>
      </c>
      <c r="F20" s="10">
        <f t="shared" si="17"/>
        <v>0.22944568361620288</v>
      </c>
      <c r="G20" s="10">
        <f t="shared" si="17"/>
        <v>0.21584892231240738</v>
      </c>
      <c r="H20" s="10">
        <f t="shared" si="17"/>
        <v>1.1182936509855246E-2</v>
      </c>
      <c r="I20" s="10">
        <f t="shared" si="17"/>
        <v>0.19147897501000255</v>
      </c>
      <c r="J20" s="14" t="s">
        <v>27</v>
      </c>
      <c r="K20" s="10">
        <f t="shared" si="17"/>
        <v>0.21660170781625498</v>
      </c>
      <c r="L20" s="10">
        <f t="shared" si="17"/>
        <v>0.23100904918414122</v>
      </c>
      <c r="M20" s="10">
        <f t="shared" si="17"/>
        <v>0.1710839725907547</v>
      </c>
      <c r="N20" s="14" t="s">
        <v>27</v>
      </c>
      <c r="O20" s="10">
        <f t="shared" si="17"/>
        <v>0.2287757805862527</v>
      </c>
      <c r="P20" s="10">
        <f t="shared" si="17"/>
        <v>0.2380383236784922</v>
      </c>
      <c r="Q20" s="10">
        <f t="shared" si="17"/>
        <v>-7.4816287307799545E-3</v>
      </c>
    </row>
    <row r="21" spans="1:17" ht="17.100000000000001" customHeight="1" x14ac:dyDescent="0.25">
      <c r="A21" s="2" t="s">
        <v>24</v>
      </c>
      <c r="B21" s="5">
        <v>347640</v>
      </c>
      <c r="C21" s="5">
        <v>654040.32053000003</v>
      </c>
      <c r="D21" s="5">
        <v>353803.94799999997</v>
      </c>
      <c r="E21" s="5">
        <v>52141844</v>
      </c>
      <c r="F21" s="5">
        <v>55523.815000000002</v>
      </c>
      <c r="G21" s="5">
        <v>63510.063999999998</v>
      </c>
      <c r="H21" s="7">
        <f t="shared" ref="H21" si="18">F21/G21*100</f>
        <v>87.425222874913189</v>
      </c>
      <c r="I21" s="4">
        <v>192467.33000000002</v>
      </c>
      <c r="J21" s="4">
        <v>15237.461000000001</v>
      </c>
      <c r="K21" s="4">
        <v>207704.79100000003</v>
      </c>
      <c r="L21" s="4">
        <v>4997.0683200000003</v>
      </c>
      <c r="M21" s="4">
        <v>261.02579000000003</v>
      </c>
      <c r="N21" s="4">
        <v>16.439809999999998</v>
      </c>
      <c r="O21" s="4">
        <v>5274.5339199999999</v>
      </c>
      <c r="P21" s="4">
        <v>6890.4937499999996</v>
      </c>
      <c r="Q21" s="7">
        <f t="shared" ref="Q21" si="19">O21/P21*100</f>
        <v>76.547982065871551</v>
      </c>
    </row>
    <row r="22" spans="1:17" ht="17.100000000000001" customHeight="1" x14ac:dyDescent="0.25">
      <c r="A22" s="1" t="s">
        <v>26</v>
      </c>
      <c r="B22" s="11">
        <f>(B21-B18)/B18</f>
        <v>0.15677179345547473</v>
      </c>
      <c r="C22" s="11">
        <f t="shared" ref="C22:Q22" si="20">(C21-C18)/C18</f>
        <v>0.17092598731150727</v>
      </c>
      <c r="D22" s="11">
        <f t="shared" si="20"/>
        <v>0.16576696359652199</v>
      </c>
      <c r="E22" s="11">
        <f t="shared" si="20"/>
        <v>0.19778327422579167</v>
      </c>
      <c r="F22" s="11">
        <f t="shared" si="20"/>
        <v>0.19952140396925733</v>
      </c>
      <c r="G22" s="11">
        <f t="shared" si="20"/>
        <v>0.16356002620764706</v>
      </c>
      <c r="H22" s="8">
        <f t="shared" si="20"/>
        <v>3.0906336546141135E-2</v>
      </c>
      <c r="I22" s="11">
        <f t="shared" si="20"/>
        <v>0.17950035850640725</v>
      </c>
      <c r="J22" s="11">
        <f t="shared" si="20"/>
        <v>7.2758448324415734E-2</v>
      </c>
      <c r="K22" s="11">
        <f t="shared" si="20"/>
        <v>0.17095286981131028</v>
      </c>
      <c r="L22" s="11">
        <f t="shared" si="20"/>
        <v>0.19946355807165048</v>
      </c>
      <c r="M22" s="11">
        <f t="shared" si="20"/>
        <v>0.20892881996394727</v>
      </c>
      <c r="N22" s="11">
        <f t="shared" si="20"/>
        <v>5.0760029776991317E-2</v>
      </c>
      <c r="O22" s="11">
        <f t="shared" si="20"/>
        <v>0.19939923503083903</v>
      </c>
      <c r="P22" s="11">
        <f t="shared" si="20"/>
        <v>0.16095480763860262</v>
      </c>
      <c r="Q22" s="8">
        <f t="shared" si="20"/>
        <v>3.3114490882235913E-2</v>
      </c>
    </row>
    <row r="23" spans="1:17" ht="17.100000000000001" customHeight="1" x14ac:dyDescent="0.25">
      <c r="A23" s="3" t="s">
        <v>28</v>
      </c>
      <c r="B23" s="10">
        <f>(((B21/B6)^(1/5))-1)</f>
        <v>0.2151074663166701</v>
      </c>
      <c r="C23" s="10">
        <f t="shared" ref="C23:Q23" si="21">(((C21/C6)^(1/5))-1)</f>
        <v>0.21585994477642112</v>
      </c>
      <c r="D23" s="10">
        <f t="shared" si="21"/>
        <v>0.20577564345138999</v>
      </c>
      <c r="E23" s="10">
        <f t="shared" si="21"/>
        <v>0.25291553052674787</v>
      </c>
      <c r="F23" s="10">
        <f t="shared" si="21"/>
        <v>0.22340169426234469</v>
      </c>
      <c r="G23" s="10">
        <f t="shared" si="21"/>
        <v>0.20520645732252185</v>
      </c>
      <c r="H23" s="10">
        <f t="shared" si="21"/>
        <v>1.5097195031833044E-2</v>
      </c>
      <c r="I23" s="10">
        <f t="shared" si="21"/>
        <v>0.18907355895398203</v>
      </c>
      <c r="J23" s="14" t="s">
        <v>27</v>
      </c>
      <c r="K23" s="10">
        <f t="shared" si="21"/>
        <v>0.20733174658140685</v>
      </c>
      <c r="L23" s="10">
        <f t="shared" si="21"/>
        <v>0.22463426837101097</v>
      </c>
      <c r="M23" s="10">
        <f t="shared" si="21"/>
        <v>0.17855695747797506</v>
      </c>
      <c r="N23" s="14" t="s">
        <v>27</v>
      </c>
      <c r="O23" s="10">
        <f t="shared" si="21"/>
        <v>0.22284346701240265</v>
      </c>
      <c r="P23" s="10">
        <f t="shared" si="21"/>
        <v>0.22222266684006486</v>
      </c>
      <c r="Q23" s="10">
        <f t="shared" si="21"/>
        <v>5.0792722895809383E-4</v>
      </c>
    </row>
    <row r="24" spans="1:17" ht="17.100000000000001" customHeight="1" x14ac:dyDescent="0.25">
      <c r="A24" s="2" t="s">
        <v>25</v>
      </c>
      <c r="B24" s="5">
        <v>448904</v>
      </c>
      <c r="C24" s="5">
        <v>853552.33082999999</v>
      </c>
      <c r="D24" s="5">
        <v>456346.02600000001</v>
      </c>
      <c r="E24" s="5">
        <v>64742944</v>
      </c>
      <c r="F24" s="5">
        <v>69811.416639000003</v>
      </c>
      <c r="G24" s="5">
        <v>81028.372488000008</v>
      </c>
      <c r="H24" s="7">
        <f t="shared" ref="H24" si="22">F24/G24*100</f>
        <v>86.156755338185775</v>
      </c>
      <c r="I24" s="4">
        <v>188184.70794999998</v>
      </c>
      <c r="J24" s="4">
        <v>21163.398409999998</v>
      </c>
      <c r="K24" s="4">
        <v>209348.10635999998</v>
      </c>
      <c r="L24" s="4">
        <v>6282.6052390000004</v>
      </c>
      <c r="M24" s="4">
        <v>257.76510559999997</v>
      </c>
      <c r="N24" s="4">
        <v>21.825904699999995</v>
      </c>
      <c r="O24" s="4">
        <v>6562.1962493000001</v>
      </c>
      <c r="P24" s="4">
        <v>8959.9306053</v>
      </c>
      <c r="Q24" s="7">
        <f t="shared" ref="Q24" si="23">O24/P24*100</f>
        <v>73.239364660015497</v>
      </c>
    </row>
    <row r="25" spans="1:17" ht="17.100000000000001" customHeight="1" x14ac:dyDescent="0.25">
      <c r="A25" s="1" t="s">
        <v>26</v>
      </c>
      <c r="B25" s="11">
        <f>(B24-B21)/B21</f>
        <v>0.29128984006443448</v>
      </c>
      <c r="C25" s="11">
        <f t="shared" ref="C25:Q25" si="24">(C24-C21)/C21</f>
        <v>0.30504542921501521</v>
      </c>
      <c r="D25" s="11">
        <f t="shared" si="24"/>
        <v>0.28982739898651455</v>
      </c>
      <c r="E25" s="11">
        <f t="shared" si="24"/>
        <v>0.24166962718081086</v>
      </c>
      <c r="F25" s="11">
        <f t="shared" si="24"/>
        <v>0.25732384633512667</v>
      </c>
      <c r="G25" s="11">
        <f t="shared" si="24"/>
        <v>0.27583515721224922</v>
      </c>
      <c r="H25" s="8">
        <f t="shared" si="24"/>
        <v>-1.4509171323958989E-2</v>
      </c>
      <c r="I25" s="11">
        <f t="shared" si="24"/>
        <v>-2.2251163613066352E-2</v>
      </c>
      <c r="J25" s="11">
        <f t="shared" si="24"/>
        <v>0.38890582952107283</v>
      </c>
      <c r="K25" s="11">
        <f t="shared" si="24"/>
        <v>7.9117836044520964E-3</v>
      </c>
      <c r="L25" s="11">
        <f t="shared" si="24"/>
        <v>0.25725822355776795</v>
      </c>
      <c r="M25" s="11">
        <f t="shared" si="24"/>
        <v>-1.2491809334242638E-2</v>
      </c>
      <c r="N25" s="11">
        <f t="shared" si="24"/>
        <v>0.32762511853847448</v>
      </c>
      <c r="O25" s="11">
        <f t="shared" si="24"/>
        <v>0.24412817299694231</v>
      </c>
      <c r="P25" s="11">
        <f t="shared" si="24"/>
        <v>0.30033215766286714</v>
      </c>
      <c r="Q25" s="8">
        <f t="shared" si="24"/>
        <v>-4.3222790680607387E-2</v>
      </c>
    </row>
    <row r="26" spans="1:17" ht="17.100000000000001" customHeight="1" x14ac:dyDescent="0.25">
      <c r="A26" s="3" t="s">
        <v>28</v>
      </c>
      <c r="B26" s="10">
        <f>(((B24/B6)^(1/6))-1)</f>
        <v>0.22748500891070722</v>
      </c>
      <c r="C26" s="10">
        <f t="shared" ref="C26:Q26" si="25">(((C24/C6)^(1/6))-1)</f>
        <v>0.23028925520371279</v>
      </c>
      <c r="D26" s="10">
        <f t="shared" si="25"/>
        <v>0.21939391116849927</v>
      </c>
      <c r="E26" s="10">
        <f t="shared" si="25"/>
        <v>0.25103416482586804</v>
      </c>
      <c r="F26" s="10">
        <f t="shared" si="25"/>
        <v>0.22899115343709608</v>
      </c>
      <c r="G26" s="10">
        <f t="shared" si="25"/>
        <v>0.21670035797208675</v>
      </c>
      <c r="H26" s="10">
        <f t="shared" si="25"/>
        <v>1.0101743937590779E-2</v>
      </c>
      <c r="I26" s="10">
        <f t="shared" si="25"/>
        <v>0.15092004209264376</v>
      </c>
      <c r="J26" s="14" t="s">
        <v>27</v>
      </c>
      <c r="K26" s="10">
        <f t="shared" si="25"/>
        <v>0.17154579842525042</v>
      </c>
      <c r="L26" s="10">
        <f t="shared" si="25"/>
        <v>0.23001220485683449</v>
      </c>
      <c r="M26" s="10">
        <f t="shared" si="25"/>
        <v>0.14432380123293753</v>
      </c>
      <c r="N26" s="14" t="s">
        <v>27</v>
      </c>
      <c r="O26" s="10">
        <f t="shared" si="25"/>
        <v>0.22636546058641405</v>
      </c>
      <c r="P26" s="10">
        <f t="shared" si="25"/>
        <v>0.2349072165868602</v>
      </c>
      <c r="Q26" s="10">
        <f t="shared" si="25"/>
        <v>-6.9169212761218679E-3</v>
      </c>
    </row>
    <row r="27" spans="1:17" ht="17.100000000000001" customHeight="1" x14ac:dyDescent="0.25">
      <c r="A27" s="2" t="s">
        <v>29</v>
      </c>
      <c r="B27" s="5">
        <v>522853</v>
      </c>
      <c r="C27" s="5">
        <v>1022515.0666666665</v>
      </c>
      <c r="D27" s="5">
        <v>541959.89</v>
      </c>
      <c r="E27" s="5">
        <v>75025960</v>
      </c>
      <c r="F27" s="5">
        <v>82539.861999999994</v>
      </c>
      <c r="G27" s="5">
        <v>96240.127770000006</v>
      </c>
      <c r="H27" s="7">
        <v>85.764497525666556</v>
      </c>
      <c r="I27" s="4">
        <v>277755.22699999996</v>
      </c>
      <c r="J27" s="4">
        <v>17195.88</v>
      </c>
      <c r="K27" s="4">
        <v>294951.10399999993</v>
      </c>
      <c r="L27" s="4">
        <v>7426.632757880001</v>
      </c>
      <c r="M27" s="4">
        <v>372.29959941800001</v>
      </c>
      <c r="N27" s="4">
        <v>17.485200213000002</v>
      </c>
      <c r="O27" s="4">
        <v>7816.4175575110003</v>
      </c>
      <c r="P27" s="4">
        <v>10701.684850296002</v>
      </c>
      <c r="Q27" s="7">
        <v>73.039130443976802</v>
      </c>
    </row>
    <row r="28" spans="1:17" ht="17.100000000000001" customHeight="1" x14ac:dyDescent="0.25">
      <c r="A28" s="1" t="s">
        <v>26</v>
      </c>
      <c r="B28" s="11">
        <f>(B27-B24)/B24</f>
        <v>0.16473232584249639</v>
      </c>
      <c r="C28" s="11">
        <f t="shared" ref="C28:Q28" si="26">(C27-C24)/C24</f>
        <v>0.19795240401062</v>
      </c>
      <c r="D28" s="11">
        <f t="shared" si="26"/>
        <v>0.18760733987415068</v>
      </c>
      <c r="E28" s="11">
        <f t="shared" si="26"/>
        <v>0.15882836591428404</v>
      </c>
      <c r="F28" s="11">
        <f t="shared" si="26"/>
        <v>0.182326129074557</v>
      </c>
      <c r="G28" s="11">
        <f t="shared" si="26"/>
        <v>0.18773368901433632</v>
      </c>
      <c r="H28" s="8">
        <f t="shared" si="26"/>
        <v>-4.5528387295867114E-3</v>
      </c>
      <c r="I28" s="11">
        <f t="shared" si="26"/>
        <v>0.47597129451027737</v>
      </c>
      <c r="J28" s="11">
        <f t="shared" si="26"/>
        <v>-0.18747076122355139</v>
      </c>
      <c r="K28" s="11">
        <f t="shared" si="26"/>
        <v>0.4089026603985374</v>
      </c>
      <c r="L28" s="11">
        <f t="shared" si="26"/>
        <v>0.18209444575290473</v>
      </c>
      <c r="M28" s="11">
        <f t="shared" si="26"/>
        <v>0.4443366899929998</v>
      </c>
      <c r="N28" s="11">
        <f t="shared" si="26"/>
        <v>-0.19887855952197911</v>
      </c>
      <c r="O28" s="11">
        <f t="shared" si="26"/>
        <v>0.19112828397120704</v>
      </c>
      <c r="P28" s="11">
        <f t="shared" si="26"/>
        <v>0.19439372041182051</v>
      </c>
      <c r="Q28" s="8">
        <f t="shared" si="26"/>
        <v>-2.7339698667267513E-3</v>
      </c>
    </row>
    <row r="29" spans="1:17" x14ac:dyDescent="0.25">
      <c r="A29" s="3" t="s">
        <v>28</v>
      </c>
      <c r="B29" s="10">
        <f>(((B27/B6)^(1/7))-1)</f>
        <v>0.21831747302161753</v>
      </c>
      <c r="C29" s="10">
        <f t="shared" ref="C29:Q29" si="27">(((C27/C6)^(1/7))-1)</f>
        <v>0.22561680497332492</v>
      </c>
      <c r="D29" s="10">
        <f t="shared" si="27"/>
        <v>0.214801407790149</v>
      </c>
      <c r="E29" s="10">
        <f t="shared" si="27"/>
        <v>0.23742578826004856</v>
      </c>
      <c r="F29" s="10">
        <f t="shared" si="27"/>
        <v>0.22221361778781201</v>
      </c>
      <c r="G29" s="10">
        <f t="shared" si="27"/>
        <v>0.21251940737299591</v>
      </c>
      <c r="H29" s="10">
        <f t="shared" si="27"/>
        <v>7.9950971142137561E-3</v>
      </c>
      <c r="I29" s="10">
        <f t="shared" si="27"/>
        <v>0.19255496292302121</v>
      </c>
      <c r="J29" s="14" t="s">
        <v>27</v>
      </c>
      <c r="K29" s="10">
        <f t="shared" si="27"/>
        <v>0.20283271207492271</v>
      </c>
      <c r="L29" s="10">
        <f t="shared" si="27"/>
        <v>0.22304968522669655</v>
      </c>
      <c r="M29" s="10">
        <f t="shared" si="27"/>
        <v>0.18302677984011972</v>
      </c>
      <c r="N29" s="14" t="s">
        <v>27</v>
      </c>
      <c r="O29" s="10">
        <f t="shared" si="27"/>
        <v>0.22126846450557025</v>
      </c>
      <c r="P29" s="10">
        <f t="shared" si="27"/>
        <v>0.22903650702928635</v>
      </c>
      <c r="Q29" s="10">
        <f t="shared" si="27"/>
        <v>-6.3204326960900614E-3</v>
      </c>
    </row>
    <row r="30" spans="1:17" x14ac:dyDescent="0.25">
      <c r="A30" s="2" t="s">
        <v>33</v>
      </c>
      <c r="B30" s="5">
        <v>259576</v>
      </c>
      <c r="C30" s="5">
        <v>478441.34993000003</v>
      </c>
      <c r="D30" s="5">
        <v>251644.19699999996</v>
      </c>
      <c r="E30" s="5">
        <v>30634369</v>
      </c>
      <c r="F30" s="5">
        <v>31466.596000000001</v>
      </c>
      <c r="G30" s="5">
        <v>45340.813000000002</v>
      </c>
      <c r="H30" s="7">
        <f t="shared" ref="H30" si="28">F30/G30*100</f>
        <v>69.400158307703919</v>
      </c>
      <c r="I30" s="4">
        <v>154839.04422000001</v>
      </c>
      <c r="J30" s="4">
        <v>22537.949299999993</v>
      </c>
      <c r="K30" s="4">
        <v>177376.99351999999</v>
      </c>
      <c r="L30" s="4">
        <v>2829.1948686696601</v>
      </c>
      <c r="M30" s="4">
        <v>175.30580475159999</v>
      </c>
      <c r="N30" s="4">
        <v>21.037390319780002</v>
      </c>
      <c r="O30" s="4">
        <v>3025.5380637410403</v>
      </c>
      <c r="P30" s="4">
        <v>4801.3063012940001</v>
      </c>
      <c r="Q30" s="15">
        <f t="shared" ref="Q30" si="29">O30/P30*100</f>
        <v>63.014893736848812</v>
      </c>
    </row>
    <row r="31" spans="1:17" ht="30.75" customHeight="1" x14ac:dyDescent="0.25">
      <c r="A31" s="1" t="s">
        <v>26</v>
      </c>
      <c r="B31" s="11">
        <f>(B30-B27)/B27</f>
        <v>-0.50353923569339754</v>
      </c>
      <c r="C31" s="11">
        <f t="shared" ref="C31:Q31" si="30">(C30-C27)/C27</f>
        <v>-0.5320935939949637</v>
      </c>
      <c r="D31" s="11">
        <f t="shared" si="30"/>
        <v>-0.53567745207122264</v>
      </c>
      <c r="E31" s="11">
        <f t="shared" si="30"/>
        <v>-0.59168307876367066</v>
      </c>
      <c r="F31" s="11">
        <f t="shared" si="30"/>
        <v>-0.61877091580308186</v>
      </c>
      <c r="G31" s="11">
        <f t="shared" si="30"/>
        <v>-0.52887829587718349</v>
      </c>
      <c r="H31" s="8">
        <f t="shared" si="30"/>
        <v>-0.19080551615271013</v>
      </c>
      <c r="I31" s="11">
        <f t="shared" si="30"/>
        <v>-0.44253418417216667</v>
      </c>
      <c r="J31" s="11">
        <f t="shared" si="30"/>
        <v>0.31065983828684496</v>
      </c>
      <c r="K31" s="11">
        <f t="shared" si="30"/>
        <v>-0.39862237803320771</v>
      </c>
      <c r="L31" s="11">
        <f t="shared" si="30"/>
        <v>-0.61904742554184422</v>
      </c>
      <c r="M31" s="11">
        <f t="shared" si="30"/>
        <v>-0.52912706587477387</v>
      </c>
      <c r="N31" s="11">
        <f t="shared" si="30"/>
        <v>0.20315409966761466</v>
      </c>
      <c r="O31" s="11">
        <f t="shared" si="30"/>
        <v>-0.61292522546550487</v>
      </c>
      <c r="P31" s="11">
        <f t="shared" si="30"/>
        <v>-0.55135043047345955</v>
      </c>
      <c r="Q31" s="8">
        <f t="shared" si="30"/>
        <v>-0.13724474327931491</v>
      </c>
    </row>
    <row r="32" spans="1:17" x14ac:dyDescent="0.25">
      <c r="A32" s="3" t="s">
        <v>28</v>
      </c>
      <c r="B32" s="10">
        <f>(((B30/B6)^(1/8))-1)</f>
        <v>8.8995362241945486E-2</v>
      </c>
      <c r="C32" s="10">
        <f t="shared" ref="C32:Q32" si="31">(((C30/C6)^(1/8))-1)</f>
        <v>8.6626376103987601E-2</v>
      </c>
      <c r="D32" s="10">
        <f t="shared" si="31"/>
        <v>7.7195666147592767E-2</v>
      </c>
      <c r="E32" s="10">
        <f t="shared" si="31"/>
        <v>7.728084932377266E-2</v>
      </c>
      <c r="F32" s="10">
        <f t="shared" si="31"/>
        <v>5.6579017247874175E-2</v>
      </c>
      <c r="G32" s="10">
        <f t="shared" si="31"/>
        <v>7.7380846042955032E-2</v>
      </c>
      <c r="H32" s="10">
        <f t="shared" si="31"/>
        <v>-1.9307776698910706E-2</v>
      </c>
      <c r="I32" s="10">
        <f t="shared" si="31"/>
        <v>8.4415917613763769E-2</v>
      </c>
      <c r="J32" s="14" t="s">
        <v>27</v>
      </c>
      <c r="K32" s="10">
        <f t="shared" si="31"/>
        <v>0.10299358019647342</v>
      </c>
      <c r="L32" s="10">
        <f t="shared" si="31"/>
        <v>5.7115526878473544E-2</v>
      </c>
      <c r="M32" s="10">
        <f t="shared" si="31"/>
        <v>5.4346157826392183E-2</v>
      </c>
      <c r="N32" s="14" t="s">
        <v>27</v>
      </c>
      <c r="O32" s="10">
        <f t="shared" si="31"/>
        <v>5.7874402887991838E-2</v>
      </c>
      <c r="P32" s="10">
        <f t="shared" si="31"/>
        <v>8.3571546266952401E-2</v>
      </c>
      <c r="Q32" s="10">
        <f t="shared" si="31"/>
        <v>-2.3715225328212686E-2</v>
      </c>
    </row>
    <row r="33" spans="1:17" ht="30" x14ac:dyDescent="0.25">
      <c r="A33" s="2" t="s">
        <v>35</v>
      </c>
      <c r="B33" s="5">
        <v>376222</v>
      </c>
      <c r="C33" s="5">
        <v>647248.78</v>
      </c>
      <c r="D33" s="5">
        <v>328966.53700000001</v>
      </c>
      <c r="E33" s="5">
        <v>46683054</v>
      </c>
      <c r="F33" s="5">
        <v>44118.653000000006</v>
      </c>
      <c r="G33" s="5">
        <v>59963.006999999998</v>
      </c>
      <c r="H33" s="15">
        <v>73.576451894749056</v>
      </c>
      <c r="I33" s="4">
        <v>206685.47620000003</v>
      </c>
      <c r="J33" s="4">
        <v>20504.214250000001</v>
      </c>
      <c r="K33" s="4">
        <v>227189.69045000005</v>
      </c>
      <c r="L33" s="4">
        <v>3970.201824629999</v>
      </c>
      <c r="M33" s="4">
        <v>237.77941011018999</v>
      </c>
      <c r="N33" s="4">
        <v>19.189513509649995</v>
      </c>
      <c r="O33" s="4">
        <v>4227.1707482498387</v>
      </c>
      <c r="P33" s="4">
        <v>6892.9943055240001</v>
      </c>
      <c r="Q33" s="16">
        <f t="shared" ref="Q33" si="32">O33/P33*100</f>
        <v>61.325609174843102</v>
      </c>
    </row>
    <row r="34" spans="1:17" x14ac:dyDescent="0.25">
      <c r="A34" s="1" t="s">
        <v>26</v>
      </c>
      <c r="B34" s="11">
        <f>(B33-B30)/B30</f>
        <v>0.4493712823989891</v>
      </c>
      <c r="C34" s="11">
        <f t="shared" ref="C34:Q34" si="33">(C33-C30)/C30</f>
        <v>0.35282784419594576</v>
      </c>
      <c r="D34" s="11">
        <f t="shared" si="33"/>
        <v>0.30726852008433186</v>
      </c>
      <c r="E34" s="11">
        <f t="shared" si="33"/>
        <v>0.52387842556835429</v>
      </c>
      <c r="F34" s="11">
        <f t="shared" si="33"/>
        <v>0.40207898560111183</v>
      </c>
      <c r="G34" s="11">
        <f t="shared" si="33"/>
        <v>0.3224951877241371</v>
      </c>
      <c r="H34" s="17">
        <f t="shared" si="33"/>
        <v>6.0177003754493433E-2</v>
      </c>
      <c r="I34" s="11">
        <f t="shared" si="33"/>
        <v>0.33484081641795099</v>
      </c>
      <c r="J34" s="11">
        <f t="shared" si="33"/>
        <v>-9.0236029149288785E-2</v>
      </c>
      <c r="K34" s="11">
        <f t="shared" si="33"/>
        <v>0.28082952552910123</v>
      </c>
      <c r="L34" s="11">
        <f t="shared" si="33"/>
        <v>0.40329740754013937</v>
      </c>
      <c r="M34" s="11">
        <f t="shared" si="33"/>
        <v>0.35636929106319171</v>
      </c>
      <c r="N34" s="11">
        <f t="shared" si="33"/>
        <v>-8.7837739474395563E-2</v>
      </c>
      <c r="O34" s="11">
        <f t="shared" si="33"/>
        <v>0.39716330093794766</v>
      </c>
      <c r="P34" s="11">
        <f t="shared" si="33"/>
        <v>0.43564977382639991</v>
      </c>
      <c r="Q34" s="8">
        <f t="shared" si="33"/>
        <v>-2.680770309730568E-2</v>
      </c>
    </row>
    <row r="35" spans="1:17" x14ac:dyDescent="0.25">
      <c r="A35" s="3" t="s">
        <v>28</v>
      </c>
      <c r="B35" s="10">
        <f>(((B33/B6)^(1/9))-1)</f>
        <v>0.12414123104194896</v>
      </c>
      <c r="C35" s="10">
        <f t="shared" ref="C35:Q35" si="34">(((C33/C6)^(1/9))-1)</f>
        <v>0.11340670029695787</v>
      </c>
      <c r="D35" s="10">
        <f t="shared" si="34"/>
        <v>0.10061577047896142</v>
      </c>
      <c r="E35" s="10">
        <f t="shared" si="34"/>
        <v>0.11960453396484616</v>
      </c>
      <c r="F35" s="10">
        <f t="shared" si="34"/>
        <v>9.0320704955844544E-2</v>
      </c>
      <c r="G35" s="10">
        <f t="shared" si="34"/>
        <v>0.10220125272027891</v>
      </c>
      <c r="H35" s="6">
        <f t="shared" si="34"/>
        <v>-1.0778927836556762E-2</v>
      </c>
      <c r="I35" s="10">
        <f t="shared" si="34"/>
        <v>0.10974152914113522</v>
      </c>
      <c r="J35" s="10" t="s">
        <v>27</v>
      </c>
      <c r="K35" s="10">
        <f t="shared" si="34"/>
        <v>0.12146605888772677</v>
      </c>
      <c r="L35" s="10">
        <f t="shared" si="34"/>
        <v>9.0918102874399942E-2</v>
      </c>
      <c r="M35" s="10">
        <f t="shared" si="34"/>
        <v>8.4271867237847742E-2</v>
      </c>
      <c r="N35" s="10" t="s">
        <v>27</v>
      </c>
      <c r="O35" s="10">
        <f t="shared" si="34"/>
        <v>9.1082982470647611E-2</v>
      </c>
      <c r="P35" s="10">
        <f t="shared" si="34"/>
        <v>0.11798083976806417</v>
      </c>
      <c r="Q35" s="6">
        <f t="shared" si="34"/>
        <v>-2.4059318675798358E-2</v>
      </c>
    </row>
    <row r="36" spans="1:17" x14ac:dyDescent="0.25">
      <c r="A36" s="2" t="s">
        <v>37</v>
      </c>
      <c r="B36" s="5">
        <v>376222</v>
      </c>
      <c r="C36" s="5">
        <v>647248.78</v>
      </c>
      <c r="D36" s="5">
        <v>328966.53700000001</v>
      </c>
      <c r="E36" s="5">
        <v>46683054</v>
      </c>
      <c r="F36" s="5">
        <v>44118.653000000006</v>
      </c>
      <c r="G36" s="5">
        <v>59963.006999999998</v>
      </c>
      <c r="H36" s="7">
        <v>73.576451894749056</v>
      </c>
      <c r="I36" s="4">
        <v>206685.47620000003</v>
      </c>
      <c r="J36" s="4">
        <v>20504.214250000001</v>
      </c>
      <c r="K36" s="4">
        <v>227189.69045000005</v>
      </c>
      <c r="L36" s="4">
        <v>3970.201824629999</v>
      </c>
      <c r="M36" s="4">
        <v>237.77941011018999</v>
      </c>
      <c r="N36" s="4">
        <v>19.189513509649995</v>
      </c>
      <c r="O36" s="4">
        <v>4227.1707482498387</v>
      </c>
      <c r="P36" s="4">
        <v>6892.9943055240001</v>
      </c>
      <c r="Q36" s="7">
        <v>61.325609174843102</v>
      </c>
    </row>
    <row r="37" spans="1:17" x14ac:dyDescent="0.25">
      <c r="A37" s="1" t="s">
        <v>26</v>
      </c>
      <c r="B37" s="11">
        <f>(B36-B33)/B33</f>
        <v>0</v>
      </c>
      <c r="C37" s="11">
        <f t="shared" ref="C37:Q37" si="35">(C36-C33)/C33</f>
        <v>0</v>
      </c>
      <c r="D37" s="11">
        <f t="shared" si="35"/>
        <v>0</v>
      </c>
      <c r="E37" s="11">
        <f t="shared" si="35"/>
        <v>0</v>
      </c>
      <c r="F37" s="11">
        <f t="shared" si="35"/>
        <v>0</v>
      </c>
      <c r="G37" s="11">
        <f t="shared" si="35"/>
        <v>0</v>
      </c>
      <c r="H37" s="8">
        <f t="shared" si="35"/>
        <v>0</v>
      </c>
      <c r="I37" s="11">
        <f t="shared" si="35"/>
        <v>0</v>
      </c>
      <c r="J37" s="11">
        <f t="shared" si="35"/>
        <v>0</v>
      </c>
      <c r="K37" s="11">
        <f t="shared" si="35"/>
        <v>0</v>
      </c>
      <c r="L37" s="11">
        <f t="shared" si="35"/>
        <v>0</v>
      </c>
      <c r="M37" s="11">
        <f t="shared" si="35"/>
        <v>0</v>
      </c>
      <c r="N37" s="11">
        <f t="shared" si="35"/>
        <v>0</v>
      </c>
      <c r="O37" s="11">
        <f t="shared" si="35"/>
        <v>0</v>
      </c>
      <c r="P37" s="11">
        <f t="shared" si="35"/>
        <v>0</v>
      </c>
      <c r="Q37" s="8">
        <f t="shared" si="35"/>
        <v>0</v>
      </c>
    </row>
    <row r="38" spans="1:17" x14ac:dyDescent="0.25">
      <c r="A38" s="3" t="s">
        <v>28</v>
      </c>
      <c r="B38" s="10">
        <f>(((B36/B6)^(1/10))-1)</f>
        <v>0.11106326649277509</v>
      </c>
      <c r="C38" s="10">
        <f t="shared" ref="C38:Q38" si="36">(((C36/C6)^(1/10))-1)</f>
        <v>0.10151000816144173</v>
      </c>
      <c r="D38" s="10">
        <f t="shared" si="36"/>
        <v>9.0114605169910655E-2</v>
      </c>
      <c r="E38" s="10">
        <f t="shared" si="36"/>
        <v>0.10702692447770779</v>
      </c>
      <c r="F38" s="10">
        <f t="shared" si="36"/>
        <v>8.0933143589246637E-2</v>
      </c>
      <c r="G38" s="10">
        <f t="shared" si="36"/>
        <v>9.1527822819486682E-2</v>
      </c>
      <c r="H38" s="10">
        <f t="shared" si="36"/>
        <v>-9.7062841722836968E-3</v>
      </c>
      <c r="I38" s="10">
        <f t="shared" si="36"/>
        <v>9.8246062284001123E-2</v>
      </c>
      <c r="J38" s="10"/>
      <c r="K38" s="10">
        <f t="shared" si="36"/>
        <v>0.10868333818564668</v>
      </c>
      <c r="L38" s="10">
        <f t="shared" si="36"/>
        <v>8.1466157929070748E-2</v>
      </c>
      <c r="M38" s="10">
        <f t="shared" si="36"/>
        <v>7.5534561447658355E-2</v>
      </c>
      <c r="N38" s="10"/>
      <c r="O38" s="10">
        <f t="shared" si="36"/>
        <v>8.1613262757594063E-2</v>
      </c>
      <c r="P38" s="10">
        <f t="shared" si="36"/>
        <v>0.10558191135792705</v>
      </c>
      <c r="Q38" s="10">
        <f t="shared" si="36"/>
        <v>-2.1679667832927518E-2</v>
      </c>
    </row>
    <row r="39" spans="1:17" x14ac:dyDescent="0.25">
      <c r="A39" s="2" t="s">
        <v>39</v>
      </c>
      <c r="B39" s="5">
        <v>594812</v>
      </c>
      <c r="C39" s="5">
        <v>1134826.9166666665</v>
      </c>
      <c r="D39" s="5">
        <v>604608.75899999996</v>
      </c>
      <c r="E39" s="5">
        <v>85265383</v>
      </c>
      <c r="F39" s="5">
        <v>93639.206000000006</v>
      </c>
      <c r="G39" s="5">
        <v>114062.49400000001</v>
      </c>
      <c r="H39" s="7">
        <v>82.09465067456793</v>
      </c>
      <c r="I39" s="4">
        <v>273742.44876000006</v>
      </c>
      <c r="J39" s="4">
        <v>24282.385119999999</v>
      </c>
      <c r="K39" s="4">
        <v>298024.83387999999</v>
      </c>
      <c r="L39" s="4">
        <v>8418.9129113300005</v>
      </c>
      <c r="M39" s="4">
        <v>368.83963055487976</v>
      </c>
      <c r="N39" s="4">
        <v>22.409168769500003</v>
      </c>
      <c r="O39" s="4">
        <v>8810.1617106543799</v>
      </c>
      <c r="P39" s="4">
        <v>12802.751361492003</v>
      </c>
      <c r="Q39" s="7">
        <v>68.814596658914297</v>
      </c>
    </row>
    <row r="40" spans="1:17" x14ac:dyDescent="0.25">
      <c r="A40" s="1" t="s">
        <v>26</v>
      </c>
      <c r="B40" s="11">
        <f>(B39-B36)/B36</f>
        <v>0.58101333786966203</v>
      </c>
      <c r="C40" s="11">
        <f t="shared" ref="C40:Q40" si="37">(C39-C36)/C36</f>
        <v>0.7533086994256929</v>
      </c>
      <c r="D40" s="11">
        <f t="shared" si="37"/>
        <v>0.83790352816341296</v>
      </c>
      <c r="E40" s="11">
        <f t="shared" si="37"/>
        <v>0.82647397061897454</v>
      </c>
      <c r="F40" s="11">
        <f t="shared" si="37"/>
        <v>1.1224402748651459</v>
      </c>
      <c r="G40" s="11">
        <f t="shared" si="37"/>
        <v>0.90221437694076967</v>
      </c>
      <c r="H40" s="8">
        <f t="shared" si="37"/>
        <v>0.11577343783856468</v>
      </c>
      <c r="I40" s="11">
        <f t="shared" si="37"/>
        <v>0.32443969355211044</v>
      </c>
      <c r="J40" s="11">
        <f t="shared" si="37"/>
        <v>0.18426313849115178</v>
      </c>
      <c r="K40" s="11">
        <f t="shared" si="37"/>
        <v>0.31178854678526596</v>
      </c>
      <c r="L40" s="11">
        <f t="shared" si="37"/>
        <v>1.1205251730784735</v>
      </c>
      <c r="M40" s="11">
        <f t="shared" si="37"/>
        <v>0.55118405914101143</v>
      </c>
      <c r="N40" s="11">
        <f t="shared" si="37"/>
        <v>0.16778201585104865</v>
      </c>
      <c r="O40" s="11">
        <f t="shared" si="37"/>
        <v>1.0841745544113688</v>
      </c>
      <c r="P40" s="11">
        <f t="shared" si="37"/>
        <v>0.85735701989945967</v>
      </c>
      <c r="Q40" s="8">
        <f t="shared" si="37"/>
        <v>0.12211843607977263</v>
      </c>
    </row>
    <row r="41" spans="1:17" x14ac:dyDescent="0.25">
      <c r="A41" s="3" t="s">
        <v>28</v>
      </c>
      <c r="B41" s="10">
        <f>(((B39/B9)^(1/10))-1)</f>
        <v>0.14140122327949212</v>
      </c>
      <c r="C41" s="10">
        <f>(((C39/C9)^(1/10))-1)</f>
        <v>0.14319984070195324</v>
      </c>
      <c r="D41" s="10">
        <f t="shared" ref="D41:I41" si="38">(((D39/D9)^(1/10))-1)</f>
        <v>0.13764988727458749</v>
      </c>
      <c r="E41" s="10">
        <f t="shared" si="38"/>
        <v>0.15856736903990765</v>
      </c>
      <c r="F41" s="10">
        <f t="shared" si="38"/>
        <v>0.15005353661607557</v>
      </c>
      <c r="G41" s="10">
        <f t="shared" si="38"/>
        <v>0.14300746126846375</v>
      </c>
      <c r="H41" s="10">
        <f t="shared" si="38"/>
        <v>6.1645051203711443E-3</v>
      </c>
      <c r="I41" s="10">
        <f t="shared" si="38"/>
        <v>9.8861646927279612E-2</v>
      </c>
      <c r="J41" s="10"/>
      <c r="K41" s="10">
        <f t="shared" ref="K41:M41" si="39">(((K39/K9)^(1/10))-1)</f>
        <v>0.10824057445859503</v>
      </c>
      <c r="L41" s="10">
        <f t="shared" si="39"/>
        <v>0.15037515043109084</v>
      </c>
      <c r="M41" s="10">
        <f t="shared" si="39"/>
        <v>0.10902342144513355</v>
      </c>
      <c r="N41" s="10"/>
      <c r="O41" s="10">
        <f t="shared" ref="O41:Q41" si="40">(((O39/O9)^(1/10))-1)</f>
        <v>0.14855463733987628</v>
      </c>
      <c r="P41" s="10">
        <f t="shared" si="40"/>
        <v>0.15500682096485363</v>
      </c>
      <c r="Q41" s="10">
        <f t="shared" si="40"/>
        <v>-5.5862731785319975E-3</v>
      </c>
    </row>
    <row r="42" spans="1:17" x14ac:dyDescent="0.25">
      <c r="A42" s="28" t="s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</row>
    <row r="43" spans="1:17" x14ac:dyDescent="0.25">
      <c r="A43" s="26" t="s">
        <v>38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1:17" ht="27" customHeight="1" x14ac:dyDescent="0.25">
      <c r="A44" s="25" t="s">
        <v>36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</sheetData>
  <mergeCells count="15">
    <mergeCell ref="A44:Q44"/>
    <mergeCell ref="A43:Q43"/>
    <mergeCell ref="P4:P5"/>
    <mergeCell ref="Q4:Q5"/>
    <mergeCell ref="A42:Q42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2023-11-09T10:19:20Z</cp:lastPrinted>
  <dcterms:created xsi:type="dcterms:W3CDTF">2018-10-29T04:00:16Z</dcterms:created>
  <dcterms:modified xsi:type="dcterms:W3CDTF">2023-11-09T10:20:37Z</dcterms:modified>
</cp:coreProperties>
</file>