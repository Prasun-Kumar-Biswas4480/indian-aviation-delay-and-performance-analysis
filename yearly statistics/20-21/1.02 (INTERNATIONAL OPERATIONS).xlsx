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435"/>
  </bookViews>
  <sheets>
    <sheet name="1.02 (IO)" sheetId="1" r:id="rId1"/>
  </sheets>
  <definedNames>
    <definedName name="_xlnm._FilterDatabase" localSheetId="0" hidden="1">'1.02 (IO)'!#REF!</definedName>
    <definedName name="_xlnm.Print_Area" localSheetId="0">'1.02 (IO)'!$A$1:$H$80</definedName>
    <definedName name="_xlnm.Print_Titles" localSheetId="0">'1.02 (IO)'!$3:$6</definedName>
  </definedNames>
  <calcPr calcId="152511"/>
</workbook>
</file>

<file path=xl/calcChain.xml><?xml version="1.0" encoding="utf-8"?>
<calcChain xmlns="http://schemas.openxmlformats.org/spreadsheetml/2006/main">
  <c r="H58" i="1" l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H51" i="1" l="1"/>
  <c r="H43" i="1"/>
  <c r="H35" i="1"/>
  <c r="H27" i="1"/>
  <c r="H19" i="1"/>
  <c r="H11" i="1"/>
  <c r="H8" i="1"/>
  <c r="H9" i="1"/>
  <c r="H10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8" i="1"/>
  <c r="H29" i="1"/>
  <c r="H30" i="1"/>
  <c r="H31" i="1"/>
  <c r="H32" i="1"/>
  <c r="H33" i="1"/>
  <c r="H34" i="1"/>
  <c r="H36" i="1"/>
  <c r="H37" i="1"/>
  <c r="H38" i="1"/>
  <c r="H39" i="1"/>
  <c r="H40" i="1"/>
  <c r="H41" i="1"/>
  <c r="H42" i="1"/>
  <c r="H44" i="1"/>
  <c r="H45" i="1"/>
  <c r="H46" i="1"/>
  <c r="H47" i="1"/>
  <c r="H48" i="1"/>
  <c r="H49" i="1"/>
  <c r="H50" i="1"/>
  <c r="H52" i="1"/>
  <c r="H53" i="1"/>
  <c r="H54" i="1"/>
  <c r="H55" i="1"/>
  <c r="H56" i="1"/>
  <c r="H57" i="1"/>
  <c r="H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7" i="1"/>
  <c r="D77" i="1" l="1"/>
  <c r="E77" i="1"/>
  <c r="F77" i="1"/>
  <c r="G77" i="1"/>
  <c r="H77" i="1"/>
  <c r="C77" i="1"/>
</calcChain>
</file>

<file path=xl/sharedStrings.xml><?xml version="1.0" encoding="utf-8"?>
<sst xmlns="http://schemas.openxmlformats.org/spreadsheetml/2006/main" count="88" uniqueCount="84">
  <si>
    <t>COUNTRY</t>
  </si>
  <si>
    <t>FREIGHT</t>
  </si>
  <si>
    <t>TO INDIA</t>
  </si>
  <si>
    <t>FROM INDIA</t>
  </si>
  <si>
    <t>TOTAL</t>
  </si>
  <si>
    <t>SL. No.</t>
  </si>
  <si>
    <t>*UNITED ARAB EMIRATES includes Ajman, Dubai, Fujairah, Ras al-Khaimah, Sharjah, Umm al-Quwain.</t>
  </si>
  <si>
    <t>(PASSENGERS IN NUMBER AND FREIGHT IN TONNES)</t>
  </si>
  <si>
    <t>PASSENGERS</t>
  </si>
  <si>
    <t>SOURCE :- MONTHLY TRAFFIC STATISTICS FURNISHED BY ALL SCHEDULED INDIAN AND FOREIGN CARRIERS.</t>
  </si>
  <si>
    <t>सारणी 1.02 (अन्तर्राष्ट्रीय प्रचालन)</t>
  </si>
  <si>
    <t>TABLE 1.02 (INTERNATIONAL OPERATIONS)</t>
  </si>
  <si>
    <t>AFGHANISTAN</t>
  </si>
  <si>
    <t>AUSTRALIA</t>
  </si>
  <si>
    <t>BAHRAIN</t>
  </si>
  <si>
    <t>BANGLADESH</t>
  </si>
  <si>
    <t>BHUTAN</t>
  </si>
  <si>
    <t>BURMA</t>
  </si>
  <si>
    <t>CANADA</t>
  </si>
  <si>
    <t>CHINA</t>
  </si>
  <si>
    <t>EGYPT</t>
  </si>
  <si>
    <t>ETHIOPIA</t>
  </si>
  <si>
    <t>FINLAND</t>
  </si>
  <si>
    <t>FRANCE</t>
  </si>
  <si>
    <t>GERMANY</t>
  </si>
  <si>
    <t>HONG KONG</t>
  </si>
  <si>
    <t>IRAN</t>
  </si>
  <si>
    <t>IRAQ</t>
  </si>
  <si>
    <t>ISRAEL</t>
  </si>
  <si>
    <t>ITALY</t>
  </si>
  <si>
    <t>JAPAN</t>
  </si>
  <si>
    <t>KAZAKHSTAN</t>
  </si>
  <si>
    <t>KENYA</t>
  </si>
  <si>
    <t>KOREA</t>
  </si>
  <si>
    <t>KUWAIT</t>
  </si>
  <si>
    <t>MALAYSIA</t>
  </si>
  <si>
    <t>MALDIVES</t>
  </si>
  <si>
    <t>MAURITIUS</t>
  </si>
  <si>
    <t>NEPAL</t>
  </si>
  <si>
    <t>NETHERLANDS</t>
  </si>
  <si>
    <t>OMAN</t>
  </si>
  <si>
    <t>QATAR</t>
  </si>
  <si>
    <t>RUSSIA</t>
  </si>
  <si>
    <t>RWANDA</t>
  </si>
  <si>
    <t>SAUDI ARABIA</t>
  </si>
  <si>
    <t>SEYCHELLES</t>
  </si>
  <si>
    <t>SINGAPORE</t>
  </si>
  <si>
    <t>SPAIN</t>
  </si>
  <si>
    <t>SRI LANKA</t>
  </si>
  <si>
    <t>SWEDEN</t>
  </si>
  <si>
    <t>SWITZERLAND</t>
  </si>
  <si>
    <t>TAIWAN</t>
  </si>
  <si>
    <t>THAILAND</t>
  </si>
  <si>
    <t>TURKEY</t>
  </si>
  <si>
    <t>TURKMENISTAN</t>
  </si>
  <si>
    <t>UNITED ARAB EMIRATES</t>
  </si>
  <si>
    <t>UNITED KINGDOM</t>
  </si>
  <si>
    <t>UNITED STATES</t>
  </si>
  <si>
    <t>UZBEKISTAN</t>
  </si>
  <si>
    <t>YEMEN</t>
  </si>
  <si>
    <t>VIETNAM</t>
  </si>
  <si>
    <t>ARMENIA</t>
  </si>
  <si>
    <t>AZERBAIJAN</t>
  </si>
  <si>
    <t>BELGIUM</t>
  </si>
  <si>
    <t>CAMBODIA</t>
  </si>
  <si>
    <t>GEORGIA</t>
  </si>
  <si>
    <t>INDONESIA</t>
  </si>
  <si>
    <t>IRELAND</t>
  </si>
  <si>
    <t>JORDAN</t>
  </si>
  <si>
    <t>KYRGYZSTAN</t>
  </si>
  <si>
    <t>LAOS</t>
  </si>
  <si>
    <t>LEBANON</t>
  </si>
  <si>
    <t>NEW ZELAND</t>
  </si>
  <si>
    <t>NIGERIA</t>
  </si>
  <si>
    <t>PHILIPPINES</t>
  </si>
  <si>
    <t>POLAND</t>
  </si>
  <si>
    <t>SCOTLAND</t>
  </si>
  <si>
    <t>SENEGAL</t>
  </si>
  <si>
    <t>SOUTH AFRICA</t>
  </si>
  <si>
    <t>SUDAN</t>
  </si>
  <si>
    <t>TAJIKISTAN</t>
  </si>
  <si>
    <t>UKRAINE</t>
  </si>
  <si>
    <r>
      <t xml:space="preserve">NOTE: 1. </t>
    </r>
    <r>
      <rPr>
        <b/>
        <sz val="14"/>
        <color rgb="FFFF0000"/>
        <rFont val="Calibri"/>
        <family val="2"/>
        <scheme val="minor"/>
      </rPr>
      <t xml:space="preserve">THE INTERNATIONAL OPERATIONS BY SCHEDULED INDIAN OPERATORS WERE CARRIED AS PER DGCA’S CIRCULAR DATED 26.03.2020 UNDER COVID-19 RESTRICTION. </t>
    </r>
    <r>
      <rPr>
        <b/>
        <sz val="14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2.THIS TABLE DOES NOT INCLUDE PASSENGERS AND FREIGHT CARRIED BY SCHEDULED DOMESTIC AIRLINES ENTIRELY OUTSIDE THE INDIAN TERRITORY.</t>
    </r>
  </si>
  <si>
    <r>
      <t xml:space="preserve">COUNTRY WISE SCHEDULED INTERNATIONAL PASSENGERS AND FREIGHT CARRIED BY ALL SCHEDULED DOMESTIC AND FOREIGN AIRLINES DURING </t>
    </r>
    <r>
      <rPr>
        <b/>
        <sz val="16"/>
        <color rgb="FFFF0000"/>
        <rFont val="Calibri"/>
        <family val="2"/>
        <scheme val="minor"/>
      </rPr>
      <t>2020-21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</si>
</sst>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name val="APS-C-DV-Akanksha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6"/>
  <sheetViews>
    <sheetView tabSelected="1" view="pageBreakPreview" zoomScale="85" zoomScaleNormal="85" zoomScaleSheetLayoutView="85" workbookViewId="0">
      <selection activeCell="A79" sqref="A79:H79"/>
    </sheetView>
  </sheetViews>
  <sheetFormatPr defaultRowHeight="15" x14ac:dyDescent="0.25"/>
  <cols>
    <col min="1" max="1" width="8.7109375" customWidth="1"/>
    <col min="2" max="2" width="30.140625" customWidth="1"/>
    <col min="3" max="3" width="20.140625" style="1" customWidth="1"/>
    <col min="4" max="8" width="20.140625" customWidth="1"/>
    <col min="10" max="13" width="16.7109375" customWidth="1"/>
  </cols>
  <sheetData>
    <row r="1" spans="1:8" ht="39" customHeight="1" x14ac:dyDescent="0.25">
      <c r="A1" s="15" t="s">
        <v>10</v>
      </c>
      <c r="B1" s="16"/>
      <c r="C1" s="16"/>
      <c r="D1" s="16"/>
      <c r="E1" s="16"/>
      <c r="F1" s="16"/>
      <c r="G1" s="16"/>
      <c r="H1" s="17"/>
    </row>
    <row r="2" spans="1:8" ht="32.25" customHeight="1" x14ac:dyDescent="0.25">
      <c r="A2" s="18" t="s">
        <v>11</v>
      </c>
      <c r="B2" s="19"/>
      <c r="C2" s="19"/>
      <c r="D2" s="19"/>
      <c r="E2" s="19"/>
      <c r="F2" s="19"/>
      <c r="G2" s="19"/>
      <c r="H2" s="20"/>
    </row>
    <row r="3" spans="1:8" ht="47.25" customHeight="1" x14ac:dyDescent="0.25">
      <c r="A3" s="36" t="s">
        <v>83</v>
      </c>
      <c r="B3" s="37"/>
      <c r="C3" s="37"/>
      <c r="D3" s="37"/>
      <c r="E3" s="37"/>
      <c r="F3" s="37"/>
      <c r="G3" s="37"/>
      <c r="H3" s="38"/>
    </row>
    <row r="4" spans="1:8" ht="26.25" customHeight="1" x14ac:dyDescent="0.25">
      <c r="A4" s="21" t="s">
        <v>7</v>
      </c>
      <c r="B4" s="22"/>
      <c r="C4" s="22"/>
      <c r="D4" s="22"/>
      <c r="E4" s="22"/>
      <c r="F4" s="22"/>
      <c r="G4" s="22"/>
      <c r="H4" s="23"/>
    </row>
    <row r="5" spans="1:8" s="2" customFormat="1" ht="27" customHeight="1" x14ac:dyDescent="0.3">
      <c r="A5" s="26" t="s">
        <v>5</v>
      </c>
      <c r="B5" s="27" t="s">
        <v>0</v>
      </c>
      <c r="C5" s="24" t="s">
        <v>8</v>
      </c>
      <c r="D5" s="24"/>
      <c r="E5" s="24"/>
      <c r="F5" s="24" t="s">
        <v>1</v>
      </c>
      <c r="G5" s="24"/>
      <c r="H5" s="25"/>
    </row>
    <row r="6" spans="1:8" s="3" customFormat="1" ht="27" customHeight="1" x14ac:dyDescent="0.25">
      <c r="A6" s="26"/>
      <c r="B6" s="27"/>
      <c r="C6" s="5" t="s">
        <v>2</v>
      </c>
      <c r="D6" s="6" t="s">
        <v>3</v>
      </c>
      <c r="E6" s="6" t="s">
        <v>4</v>
      </c>
      <c r="F6" s="6" t="s">
        <v>2</v>
      </c>
      <c r="G6" s="6" t="s">
        <v>3</v>
      </c>
      <c r="H6" s="9" t="s">
        <v>4</v>
      </c>
    </row>
    <row r="7" spans="1:8" s="4" customFormat="1" ht="21" customHeight="1" x14ac:dyDescent="0.25">
      <c r="A7" s="10">
        <v>1</v>
      </c>
      <c r="B7" s="14" t="s">
        <v>12</v>
      </c>
      <c r="C7" s="11">
        <v>35849</v>
      </c>
      <c r="D7" s="11">
        <v>36697</v>
      </c>
      <c r="E7" s="11">
        <f>C7+D7</f>
        <v>72546</v>
      </c>
      <c r="F7" s="12">
        <v>1518.337</v>
      </c>
      <c r="G7" s="12">
        <v>4010.0610999999999</v>
      </c>
      <c r="H7" s="13">
        <f>F7+G7</f>
        <v>5528.3981000000003</v>
      </c>
    </row>
    <row r="8" spans="1:8" s="4" customFormat="1" ht="21" customHeight="1" x14ac:dyDescent="0.25">
      <c r="A8" s="10">
        <v>2</v>
      </c>
      <c r="B8" s="14" t="s">
        <v>61</v>
      </c>
      <c r="C8" s="11">
        <v>671</v>
      </c>
      <c r="D8" s="11">
        <v>76</v>
      </c>
      <c r="E8" s="11">
        <f t="shared" ref="E8:E71" si="0">C8+D8</f>
        <v>747</v>
      </c>
      <c r="F8" s="12">
        <v>0</v>
      </c>
      <c r="G8" s="12">
        <v>0</v>
      </c>
      <c r="H8" s="13">
        <f t="shared" ref="H8:H71" si="1">F8+G8</f>
        <v>0</v>
      </c>
    </row>
    <row r="9" spans="1:8" s="4" customFormat="1" ht="21" customHeight="1" x14ac:dyDescent="0.25">
      <c r="A9" s="10">
        <v>3</v>
      </c>
      <c r="B9" s="14" t="s">
        <v>13</v>
      </c>
      <c r="C9" s="11">
        <v>12898</v>
      </c>
      <c r="D9" s="11">
        <v>5573</v>
      </c>
      <c r="E9" s="11">
        <f t="shared" si="0"/>
        <v>18471</v>
      </c>
      <c r="F9" s="12">
        <v>274.69409999999999</v>
      </c>
      <c r="G9" s="12">
        <v>309.8485</v>
      </c>
      <c r="H9" s="13">
        <f t="shared" si="1"/>
        <v>584.54259999999999</v>
      </c>
    </row>
    <row r="10" spans="1:8" s="4" customFormat="1" ht="21" customHeight="1" x14ac:dyDescent="0.25">
      <c r="A10" s="10">
        <v>4</v>
      </c>
      <c r="B10" s="14" t="s">
        <v>62</v>
      </c>
      <c r="C10" s="11">
        <v>139</v>
      </c>
      <c r="D10" s="11">
        <v>468</v>
      </c>
      <c r="E10" s="11">
        <f t="shared" si="0"/>
        <v>607</v>
      </c>
      <c r="F10" s="12">
        <v>0</v>
      </c>
      <c r="G10" s="12">
        <v>0</v>
      </c>
      <c r="H10" s="13">
        <f t="shared" si="1"/>
        <v>0</v>
      </c>
    </row>
    <row r="11" spans="1:8" s="4" customFormat="1" ht="21" customHeight="1" x14ac:dyDescent="0.25">
      <c r="A11" s="10">
        <v>5</v>
      </c>
      <c r="B11" s="14" t="s">
        <v>14</v>
      </c>
      <c r="C11" s="11">
        <v>77498</v>
      </c>
      <c r="D11" s="11">
        <v>45679</v>
      </c>
      <c r="E11" s="11">
        <f t="shared" si="0"/>
        <v>123177</v>
      </c>
      <c r="F11" s="12">
        <v>1869.9645</v>
      </c>
      <c r="G11" s="12">
        <v>2037.7337999999997</v>
      </c>
      <c r="H11" s="13">
        <f t="shared" si="1"/>
        <v>3907.6983</v>
      </c>
    </row>
    <row r="12" spans="1:8" s="4" customFormat="1" ht="21" customHeight="1" x14ac:dyDescent="0.25">
      <c r="A12" s="10">
        <v>6</v>
      </c>
      <c r="B12" s="14" t="s">
        <v>15</v>
      </c>
      <c r="C12" s="11">
        <v>47789</v>
      </c>
      <c r="D12" s="11">
        <v>49551</v>
      </c>
      <c r="E12" s="11">
        <f t="shared" si="0"/>
        <v>97340</v>
      </c>
      <c r="F12" s="12">
        <v>1924.2031000000002</v>
      </c>
      <c r="G12" s="12">
        <v>5179.3593799999999</v>
      </c>
      <c r="H12" s="13">
        <f t="shared" si="1"/>
        <v>7103.5624800000005</v>
      </c>
    </row>
    <row r="13" spans="1:8" s="4" customFormat="1" ht="21" customHeight="1" x14ac:dyDescent="0.25">
      <c r="A13" s="10">
        <v>7</v>
      </c>
      <c r="B13" s="14" t="s">
        <v>63</v>
      </c>
      <c r="C13" s="11">
        <v>303</v>
      </c>
      <c r="D13" s="11">
        <v>214</v>
      </c>
      <c r="E13" s="11">
        <f t="shared" si="0"/>
        <v>517</v>
      </c>
      <c r="F13" s="12">
        <v>80.882890000000003</v>
      </c>
      <c r="G13" s="12">
        <v>562.60688000000005</v>
      </c>
      <c r="H13" s="13">
        <f t="shared" si="1"/>
        <v>643.48977000000002</v>
      </c>
    </row>
    <row r="14" spans="1:8" s="4" customFormat="1" ht="21" customHeight="1" x14ac:dyDescent="0.25">
      <c r="A14" s="10">
        <v>8</v>
      </c>
      <c r="B14" s="14" t="s">
        <v>16</v>
      </c>
      <c r="C14" s="11">
        <v>453</v>
      </c>
      <c r="D14" s="11">
        <v>507</v>
      </c>
      <c r="E14" s="11">
        <f t="shared" si="0"/>
        <v>960</v>
      </c>
      <c r="F14" s="12">
        <v>0.22236</v>
      </c>
      <c r="G14" s="12">
        <v>6.4943999999999997</v>
      </c>
      <c r="H14" s="13">
        <f t="shared" si="1"/>
        <v>6.7167599999999998</v>
      </c>
    </row>
    <row r="15" spans="1:8" s="4" customFormat="1" ht="21" customHeight="1" x14ac:dyDescent="0.25">
      <c r="A15" s="10">
        <v>9</v>
      </c>
      <c r="B15" s="14" t="s">
        <v>17</v>
      </c>
      <c r="C15" s="11">
        <v>2228</v>
      </c>
      <c r="D15" s="11">
        <v>1267</v>
      </c>
      <c r="E15" s="11">
        <f t="shared" si="0"/>
        <v>3495</v>
      </c>
      <c r="F15" s="12">
        <v>221.798</v>
      </c>
      <c r="G15" s="12">
        <v>2225.91419</v>
      </c>
      <c r="H15" s="13">
        <f t="shared" si="1"/>
        <v>2447.7121900000002</v>
      </c>
    </row>
    <row r="16" spans="1:8" s="4" customFormat="1" ht="21" customHeight="1" x14ac:dyDescent="0.25">
      <c r="A16" s="10">
        <v>10</v>
      </c>
      <c r="B16" s="14" t="s">
        <v>64</v>
      </c>
      <c r="C16" s="11">
        <v>610</v>
      </c>
      <c r="D16" s="11">
        <v>132</v>
      </c>
      <c r="E16" s="11">
        <f t="shared" si="0"/>
        <v>742</v>
      </c>
      <c r="F16" s="12">
        <v>2.0219999999999998</v>
      </c>
      <c r="G16" s="12">
        <v>38.827100000000002</v>
      </c>
      <c r="H16" s="13">
        <f t="shared" si="1"/>
        <v>40.8491</v>
      </c>
    </row>
    <row r="17" spans="1:8" s="4" customFormat="1" ht="21" customHeight="1" x14ac:dyDescent="0.25">
      <c r="A17" s="10">
        <v>11</v>
      </c>
      <c r="B17" s="14" t="s">
        <v>18</v>
      </c>
      <c r="C17" s="11">
        <v>110884</v>
      </c>
      <c r="D17" s="11">
        <v>142889</v>
      </c>
      <c r="E17" s="11">
        <f t="shared" si="0"/>
        <v>253773</v>
      </c>
      <c r="F17" s="12">
        <v>1191.6261000000002</v>
      </c>
      <c r="G17" s="12">
        <v>2404.491</v>
      </c>
      <c r="H17" s="13">
        <f t="shared" si="1"/>
        <v>3596.1171000000004</v>
      </c>
    </row>
    <row r="18" spans="1:8" s="4" customFormat="1" ht="21" customHeight="1" x14ac:dyDescent="0.25">
      <c r="A18" s="10">
        <v>12</v>
      </c>
      <c r="B18" s="14" t="s">
        <v>19</v>
      </c>
      <c r="C18" s="11">
        <v>853</v>
      </c>
      <c r="D18" s="11">
        <v>2930</v>
      </c>
      <c r="E18" s="11">
        <f t="shared" si="0"/>
        <v>3783</v>
      </c>
      <c r="F18" s="12">
        <v>11517.096300000001</v>
      </c>
      <c r="G18" s="12">
        <v>5796.4157300000006</v>
      </c>
      <c r="H18" s="13">
        <f t="shared" si="1"/>
        <v>17313.512030000002</v>
      </c>
    </row>
    <row r="19" spans="1:8" s="4" customFormat="1" ht="21" customHeight="1" x14ac:dyDescent="0.25">
      <c r="A19" s="10">
        <v>13</v>
      </c>
      <c r="B19" s="14" t="s">
        <v>20</v>
      </c>
      <c r="C19" s="11">
        <v>628</v>
      </c>
      <c r="D19" s="11">
        <v>70</v>
      </c>
      <c r="E19" s="11">
        <f t="shared" si="0"/>
        <v>698</v>
      </c>
      <c r="F19" s="12">
        <v>0</v>
      </c>
      <c r="G19" s="12">
        <v>2.1840000000000002</v>
      </c>
      <c r="H19" s="13">
        <f t="shared" si="1"/>
        <v>2.1840000000000002</v>
      </c>
    </row>
    <row r="20" spans="1:8" s="4" customFormat="1" ht="21" customHeight="1" x14ac:dyDescent="0.25">
      <c r="A20" s="10">
        <v>14</v>
      </c>
      <c r="B20" s="14" t="s">
        <v>21</v>
      </c>
      <c r="C20" s="11">
        <v>5165</v>
      </c>
      <c r="D20" s="11">
        <v>7882</v>
      </c>
      <c r="E20" s="11">
        <f t="shared" si="0"/>
        <v>13047</v>
      </c>
      <c r="F20" s="12">
        <v>245.11099999999999</v>
      </c>
      <c r="G20" s="12">
        <v>546.11800000000005</v>
      </c>
      <c r="H20" s="13">
        <f t="shared" si="1"/>
        <v>791.22900000000004</v>
      </c>
    </row>
    <row r="21" spans="1:8" s="4" customFormat="1" ht="21" customHeight="1" x14ac:dyDescent="0.25">
      <c r="A21" s="10">
        <v>15</v>
      </c>
      <c r="B21" s="14" t="s">
        <v>22</v>
      </c>
      <c r="C21" s="11">
        <v>222</v>
      </c>
      <c r="D21" s="11">
        <v>158</v>
      </c>
      <c r="E21" s="11">
        <f t="shared" si="0"/>
        <v>380</v>
      </c>
      <c r="F21" s="12">
        <v>0.01</v>
      </c>
      <c r="G21" s="12">
        <v>2.56</v>
      </c>
      <c r="H21" s="13">
        <f t="shared" si="1"/>
        <v>2.57</v>
      </c>
    </row>
    <row r="22" spans="1:8" s="4" customFormat="1" ht="21" customHeight="1" x14ac:dyDescent="0.25">
      <c r="A22" s="10">
        <v>16</v>
      </c>
      <c r="B22" s="14" t="s">
        <v>23</v>
      </c>
      <c r="C22" s="11">
        <v>73760</v>
      </c>
      <c r="D22" s="11">
        <v>78809</v>
      </c>
      <c r="E22" s="11">
        <f t="shared" si="0"/>
        <v>152569</v>
      </c>
      <c r="F22" s="12">
        <v>8731.1985299999997</v>
      </c>
      <c r="G22" s="12">
        <v>13650.5128</v>
      </c>
      <c r="H22" s="13">
        <f t="shared" si="1"/>
        <v>22381.711329999998</v>
      </c>
    </row>
    <row r="23" spans="1:8" s="4" customFormat="1" ht="21" customHeight="1" x14ac:dyDescent="0.25">
      <c r="A23" s="10">
        <v>17</v>
      </c>
      <c r="B23" s="14" t="s">
        <v>65</v>
      </c>
      <c r="C23" s="11">
        <v>10214</v>
      </c>
      <c r="D23" s="11">
        <v>10168</v>
      </c>
      <c r="E23" s="11">
        <f t="shared" si="0"/>
        <v>20382</v>
      </c>
      <c r="F23" s="12">
        <v>0</v>
      </c>
      <c r="G23" s="12">
        <v>0.16450000000000001</v>
      </c>
      <c r="H23" s="13">
        <f t="shared" si="1"/>
        <v>0.16450000000000001</v>
      </c>
    </row>
    <row r="24" spans="1:8" s="4" customFormat="1" ht="21" customHeight="1" x14ac:dyDescent="0.25">
      <c r="A24" s="10">
        <v>18</v>
      </c>
      <c r="B24" s="14" t="s">
        <v>24</v>
      </c>
      <c r="C24" s="11">
        <v>94804</v>
      </c>
      <c r="D24" s="11">
        <v>116741</v>
      </c>
      <c r="E24" s="11">
        <f t="shared" si="0"/>
        <v>211545</v>
      </c>
      <c r="F24" s="12">
        <v>50540.358659999998</v>
      </c>
      <c r="G24" s="12">
        <v>84884.572240000009</v>
      </c>
      <c r="H24" s="13">
        <f t="shared" si="1"/>
        <v>135424.93090000001</v>
      </c>
    </row>
    <row r="25" spans="1:8" s="4" customFormat="1" ht="21" customHeight="1" x14ac:dyDescent="0.25">
      <c r="A25" s="10">
        <v>19</v>
      </c>
      <c r="B25" s="14" t="s">
        <v>25</v>
      </c>
      <c r="C25" s="11">
        <v>3398</v>
      </c>
      <c r="D25" s="11">
        <v>6701</v>
      </c>
      <c r="E25" s="11">
        <f t="shared" si="0"/>
        <v>10099</v>
      </c>
      <c r="F25" s="12">
        <v>95283.163059999992</v>
      </c>
      <c r="G25" s="12">
        <v>53657.279310000005</v>
      </c>
      <c r="H25" s="13">
        <f t="shared" si="1"/>
        <v>148940.44237</v>
      </c>
    </row>
    <row r="26" spans="1:8" s="4" customFormat="1" ht="21" customHeight="1" x14ac:dyDescent="0.25">
      <c r="A26" s="10">
        <v>20</v>
      </c>
      <c r="B26" s="14" t="s">
        <v>66</v>
      </c>
      <c r="C26" s="11">
        <v>0</v>
      </c>
      <c r="D26" s="11">
        <v>194</v>
      </c>
      <c r="E26" s="11">
        <f t="shared" si="0"/>
        <v>194</v>
      </c>
      <c r="F26" s="12">
        <v>0</v>
      </c>
      <c r="G26" s="12">
        <v>20.368959999999998</v>
      </c>
      <c r="H26" s="13">
        <f t="shared" si="1"/>
        <v>20.368959999999998</v>
      </c>
    </row>
    <row r="27" spans="1:8" s="4" customFormat="1" ht="21" customHeight="1" x14ac:dyDescent="0.25">
      <c r="A27" s="10">
        <v>21</v>
      </c>
      <c r="B27" s="14" t="s">
        <v>26</v>
      </c>
      <c r="C27" s="11">
        <v>5838</v>
      </c>
      <c r="D27" s="11">
        <v>4442</v>
      </c>
      <c r="E27" s="11">
        <f t="shared" si="0"/>
        <v>10280</v>
      </c>
      <c r="F27" s="12">
        <v>622.53399999999999</v>
      </c>
      <c r="G27" s="12">
        <v>1185.2070000000001</v>
      </c>
      <c r="H27" s="13">
        <f t="shared" si="1"/>
        <v>1807.741</v>
      </c>
    </row>
    <row r="28" spans="1:8" s="4" customFormat="1" ht="21" customHeight="1" x14ac:dyDescent="0.25">
      <c r="A28" s="10">
        <v>22</v>
      </c>
      <c r="B28" s="14" t="s">
        <v>27</v>
      </c>
      <c r="C28" s="11">
        <v>15056</v>
      </c>
      <c r="D28" s="11">
        <v>9673</v>
      </c>
      <c r="E28" s="11">
        <f t="shared" si="0"/>
        <v>24729</v>
      </c>
      <c r="F28" s="12">
        <v>5.0860000000000003</v>
      </c>
      <c r="G28" s="12">
        <v>8.407</v>
      </c>
      <c r="H28" s="13">
        <f t="shared" si="1"/>
        <v>13.493</v>
      </c>
    </row>
    <row r="29" spans="1:8" s="4" customFormat="1" ht="21" customHeight="1" x14ac:dyDescent="0.25">
      <c r="A29" s="10">
        <v>23</v>
      </c>
      <c r="B29" s="14" t="s">
        <v>67</v>
      </c>
      <c r="C29" s="11">
        <v>494</v>
      </c>
      <c r="D29" s="11">
        <v>232</v>
      </c>
      <c r="E29" s="11">
        <f t="shared" si="0"/>
        <v>726</v>
      </c>
      <c r="F29" s="12">
        <v>0</v>
      </c>
      <c r="G29" s="12">
        <v>3.03</v>
      </c>
      <c r="H29" s="13">
        <f t="shared" si="1"/>
        <v>3.03</v>
      </c>
    </row>
    <row r="30" spans="1:8" s="4" customFormat="1" ht="21" customHeight="1" x14ac:dyDescent="0.25">
      <c r="A30" s="10">
        <v>24</v>
      </c>
      <c r="B30" s="14" t="s">
        <v>28</v>
      </c>
      <c r="C30" s="11">
        <v>1840</v>
      </c>
      <c r="D30" s="11">
        <v>2025</v>
      </c>
      <c r="E30" s="11">
        <f t="shared" si="0"/>
        <v>3865</v>
      </c>
      <c r="F30" s="12">
        <v>225.06399999999999</v>
      </c>
      <c r="G30" s="12">
        <v>490.9862</v>
      </c>
      <c r="H30" s="13">
        <f t="shared" si="1"/>
        <v>716.05020000000002</v>
      </c>
    </row>
    <row r="31" spans="1:8" s="4" customFormat="1" ht="21" customHeight="1" x14ac:dyDescent="0.25">
      <c r="A31" s="10">
        <v>25</v>
      </c>
      <c r="B31" s="14" t="s">
        <v>29</v>
      </c>
      <c r="C31" s="11">
        <v>7688</v>
      </c>
      <c r="D31" s="11">
        <v>6743</v>
      </c>
      <c r="E31" s="11">
        <f t="shared" si="0"/>
        <v>14431</v>
      </c>
      <c r="F31" s="12">
        <v>883.74020000000007</v>
      </c>
      <c r="G31" s="12">
        <v>3205.2802999999999</v>
      </c>
      <c r="H31" s="13">
        <f t="shared" si="1"/>
        <v>4089.0205000000001</v>
      </c>
    </row>
    <row r="32" spans="1:8" s="4" customFormat="1" ht="21" customHeight="1" x14ac:dyDescent="0.25">
      <c r="A32" s="10">
        <v>26</v>
      </c>
      <c r="B32" s="14" t="s">
        <v>30</v>
      </c>
      <c r="C32" s="11">
        <v>12629</v>
      </c>
      <c r="D32" s="11">
        <v>12898</v>
      </c>
      <c r="E32" s="11">
        <f t="shared" si="0"/>
        <v>25527</v>
      </c>
      <c r="F32" s="12">
        <v>5652.6960999999992</v>
      </c>
      <c r="G32" s="12">
        <v>4127.2988100000002</v>
      </c>
      <c r="H32" s="13">
        <f t="shared" si="1"/>
        <v>9779.9949099999994</v>
      </c>
    </row>
    <row r="33" spans="1:8" s="4" customFormat="1" ht="21" customHeight="1" x14ac:dyDescent="0.25">
      <c r="A33" s="10">
        <v>27</v>
      </c>
      <c r="B33" s="14" t="s">
        <v>68</v>
      </c>
      <c r="C33" s="11">
        <v>540</v>
      </c>
      <c r="D33" s="11">
        <v>108</v>
      </c>
      <c r="E33" s="11">
        <f t="shared" si="0"/>
        <v>648</v>
      </c>
      <c r="F33" s="12">
        <v>0</v>
      </c>
      <c r="G33" s="12">
        <v>0.6613</v>
      </c>
      <c r="H33" s="13">
        <f t="shared" si="1"/>
        <v>0.6613</v>
      </c>
    </row>
    <row r="34" spans="1:8" s="4" customFormat="1" ht="21" customHeight="1" x14ac:dyDescent="0.25">
      <c r="A34" s="10">
        <v>28</v>
      </c>
      <c r="B34" s="14" t="s">
        <v>31</v>
      </c>
      <c r="C34" s="11">
        <v>3331</v>
      </c>
      <c r="D34" s="11">
        <v>669</v>
      </c>
      <c r="E34" s="11">
        <f t="shared" si="0"/>
        <v>4000</v>
      </c>
      <c r="F34" s="12">
        <v>4.9249999999999998</v>
      </c>
      <c r="G34" s="12">
        <v>2063.5726600000003</v>
      </c>
      <c r="H34" s="13">
        <f t="shared" si="1"/>
        <v>2068.4976600000005</v>
      </c>
    </row>
    <row r="35" spans="1:8" s="4" customFormat="1" ht="21" customHeight="1" x14ac:dyDescent="0.25">
      <c r="A35" s="10">
        <v>29</v>
      </c>
      <c r="B35" s="14" t="s">
        <v>32</v>
      </c>
      <c r="C35" s="11">
        <v>14627</v>
      </c>
      <c r="D35" s="11">
        <v>18004</v>
      </c>
      <c r="E35" s="11">
        <f t="shared" si="0"/>
        <v>32631</v>
      </c>
      <c r="F35" s="12">
        <v>1.8859999999999999</v>
      </c>
      <c r="G35" s="12">
        <v>114.38720000000001</v>
      </c>
      <c r="H35" s="13">
        <f t="shared" si="1"/>
        <v>116.2732</v>
      </c>
    </row>
    <row r="36" spans="1:8" s="4" customFormat="1" ht="21" customHeight="1" x14ac:dyDescent="0.25">
      <c r="A36" s="10">
        <v>30</v>
      </c>
      <c r="B36" s="14" t="s">
        <v>33</v>
      </c>
      <c r="C36" s="11">
        <v>1434</v>
      </c>
      <c r="D36" s="11">
        <v>1460</v>
      </c>
      <c r="E36" s="11">
        <f t="shared" si="0"/>
        <v>2894</v>
      </c>
      <c r="F36" s="12">
        <v>3821.7334000000005</v>
      </c>
      <c r="G36" s="12">
        <v>3619.4295400000001</v>
      </c>
      <c r="H36" s="13">
        <f t="shared" si="1"/>
        <v>7441.1629400000002</v>
      </c>
    </row>
    <row r="37" spans="1:8" s="4" customFormat="1" ht="21" customHeight="1" x14ac:dyDescent="0.25">
      <c r="A37" s="10">
        <v>31</v>
      </c>
      <c r="B37" s="14" t="s">
        <v>34</v>
      </c>
      <c r="C37" s="11">
        <v>121000</v>
      </c>
      <c r="D37" s="11">
        <v>4430</v>
      </c>
      <c r="E37" s="11">
        <f t="shared" si="0"/>
        <v>125430</v>
      </c>
      <c r="F37" s="12">
        <v>219.52500000000001</v>
      </c>
      <c r="G37" s="12">
        <v>4191.4933799999999</v>
      </c>
      <c r="H37" s="13">
        <f t="shared" si="1"/>
        <v>4411.0183799999995</v>
      </c>
    </row>
    <row r="38" spans="1:8" s="4" customFormat="1" ht="21" customHeight="1" x14ac:dyDescent="0.25">
      <c r="A38" s="10">
        <v>32</v>
      </c>
      <c r="B38" s="14" t="s">
        <v>69</v>
      </c>
      <c r="C38" s="11">
        <v>7446</v>
      </c>
      <c r="D38" s="11">
        <v>757</v>
      </c>
      <c r="E38" s="11">
        <f t="shared" si="0"/>
        <v>8203</v>
      </c>
      <c r="F38" s="12">
        <v>0.11</v>
      </c>
      <c r="G38" s="12">
        <v>81.238429999999994</v>
      </c>
      <c r="H38" s="13">
        <f t="shared" si="1"/>
        <v>81.348429999999993</v>
      </c>
    </row>
    <row r="39" spans="1:8" s="4" customFormat="1" ht="21" customHeight="1" x14ac:dyDescent="0.25">
      <c r="A39" s="10">
        <v>33</v>
      </c>
      <c r="B39" s="14" t="s">
        <v>70</v>
      </c>
      <c r="C39" s="11">
        <v>91</v>
      </c>
      <c r="D39" s="11">
        <v>0</v>
      </c>
      <c r="E39" s="11">
        <f t="shared" si="0"/>
        <v>91</v>
      </c>
      <c r="F39" s="12">
        <v>0</v>
      </c>
      <c r="G39" s="12">
        <v>0</v>
      </c>
      <c r="H39" s="13">
        <f t="shared" si="1"/>
        <v>0</v>
      </c>
    </row>
    <row r="40" spans="1:8" s="4" customFormat="1" ht="21" customHeight="1" x14ac:dyDescent="0.25">
      <c r="A40" s="10">
        <v>34</v>
      </c>
      <c r="B40" s="14" t="s">
        <v>71</v>
      </c>
      <c r="C40" s="11">
        <v>520</v>
      </c>
      <c r="D40" s="11">
        <v>206</v>
      </c>
      <c r="E40" s="11">
        <f t="shared" si="0"/>
        <v>726</v>
      </c>
      <c r="F40" s="12">
        <v>0</v>
      </c>
      <c r="G40" s="12">
        <v>0</v>
      </c>
      <c r="H40" s="13">
        <f t="shared" si="1"/>
        <v>0</v>
      </c>
    </row>
    <row r="41" spans="1:8" s="4" customFormat="1" ht="21" customHeight="1" x14ac:dyDescent="0.25">
      <c r="A41" s="10">
        <v>35</v>
      </c>
      <c r="B41" s="14" t="s">
        <v>35</v>
      </c>
      <c r="C41" s="11">
        <v>45725</v>
      </c>
      <c r="D41" s="11">
        <v>9501</v>
      </c>
      <c r="E41" s="11">
        <f t="shared" si="0"/>
        <v>55226</v>
      </c>
      <c r="F41" s="12">
        <v>10863.345100000002</v>
      </c>
      <c r="G41" s="12">
        <v>9495.1567500000001</v>
      </c>
      <c r="H41" s="13">
        <f t="shared" si="1"/>
        <v>20358.501850000001</v>
      </c>
    </row>
    <row r="42" spans="1:8" s="4" customFormat="1" ht="21" customHeight="1" x14ac:dyDescent="0.25">
      <c r="A42" s="10">
        <v>36</v>
      </c>
      <c r="B42" s="14" t="s">
        <v>36</v>
      </c>
      <c r="C42" s="11">
        <v>114438</v>
      </c>
      <c r="D42" s="11">
        <v>120345</v>
      </c>
      <c r="E42" s="11">
        <f t="shared" si="0"/>
        <v>234783</v>
      </c>
      <c r="F42" s="12">
        <v>60.6355</v>
      </c>
      <c r="G42" s="12">
        <v>2999.6547700000001</v>
      </c>
      <c r="H42" s="13">
        <f t="shared" si="1"/>
        <v>3060.29027</v>
      </c>
    </row>
    <row r="43" spans="1:8" s="4" customFormat="1" ht="21" customHeight="1" x14ac:dyDescent="0.25">
      <c r="A43" s="10">
        <v>37</v>
      </c>
      <c r="B43" s="14" t="s">
        <v>37</v>
      </c>
      <c r="C43" s="11">
        <v>1209</v>
      </c>
      <c r="D43" s="11">
        <v>555</v>
      </c>
      <c r="E43" s="11">
        <f t="shared" si="0"/>
        <v>1764</v>
      </c>
      <c r="F43" s="12">
        <v>3.0289999999999999</v>
      </c>
      <c r="G43" s="12">
        <v>612.73509999999999</v>
      </c>
      <c r="H43" s="13">
        <f t="shared" si="1"/>
        <v>615.76409999999998</v>
      </c>
    </row>
    <row r="44" spans="1:8" s="4" customFormat="1" ht="21" customHeight="1" x14ac:dyDescent="0.25">
      <c r="A44" s="10">
        <v>38</v>
      </c>
      <c r="B44" s="14" t="s">
        <v>38</v>
      </c>
      <c r="C44" s="11">
        <v>13174</v>
      </c>
      <c r="D44" s="11">
        <v>13546</v>
      </c>
      <c r="E44" s="11">
        <f t="shared" si="0"/>
        <v>26720</v>
      </c>
      <c r="F44" s="12">
        <v>6.2101999999999995</v>
      </c>
      <c r="G44" s="12">
        <v>113.40499000000001</v>
      </c>
      <c r="H44" s="13">
        <f t="shared" si="1"/>
        <v>119.61519000000001</v>
      </c>
    </row>
    <row r="45" spans="1:8" s="4" customFormat="1" ht="21" customHeight="1" x14ac:dyDescent="0.25">
      <c r="A45" s="10">
        <v>39</v>
      </c>
      <c r="B45" s="14" t="s">
        <v>39</v>
      </c>
      <c r="C45" s="11">
        <v>26033</v>
      </c>
      <c r="D45" s="11">
        <v>53363</v>
      </c>
      <c r="E45" s="11">
        <f t="shared" si="0"/>
        <v>79396</v>
      </c>
      <c r="F45" s="12">
        <v>6119.7394699999995</v>
      </c>
      <c r="G45" s="12">
        <v>6219.9157999999998</v>
      </c>
      <c r="H45" s="13">
        <f t="shared" si="1"/>
        <v>12339.655269999999</v>
      </c>
    </row>
    <row r="46" spans="1:8" s="4" customFormat="1" ht="21" customHeight="1" x14ac:dyDescent="0.25">
      <c r="A46" s="10">
        <v>40</v>
      </c>
      <c r="B46" s="14" t="s">
        <v>72</v>
      </c>
      <c r="C46" s="11">
        <v>1345</v>
      </c>
      <c r="D46" s="11">
        <v>2098</v>
      </c>
      <c r="E46" s="11">
        <f t="shared" si="0"/>
        <v>3443</v>
      </c>
      <c r="F46" s="12">
        <v>3.2915000000000001</v>
      </c>
      <c r="G46" s="12">
        <v>14.800799999999999</v>
      </c>
      <c r="H46" s="13">
        <f t="shared" si="1"/>
        <v>18.092299999999998</v>
      </c>
    </row>
    <row r="47" spans="1:8" s="4" customFormat="1" ht="21" customHeight="1" x14ac:dyDescent="0.25">
      <c r="A47" s="10">
        <v>41</v>
      </c>
      <c r="B47" s="14" t="s">
        <v>73</v>
      </c>
      <c r="C47" s="11">
        <v>3377</v>
      </c>
      <c r="D47" s="11">
        <v>2091</v>
      </c>
      <c r="E47" s="11">
        <f t="shared" si="0"/>
        <v>5468</v>
      </c>
      <c r="F47" s="12">
        <v>1.0999999999999999E-2</v>
      </c>
      <c r="G47" s="12">
        <v>261.08623</v>
      </c>
      <c r="H47" s="13">
        <f t="shared" si="1"/>
        <v>261.09723000000002</v>
      </c>
    </row>
    <row r="48" spans="1:8" s="4" customFormat="1" ht="21" customHeight="1" x14ac:dyDescent="0.25">
      <c r="A48" s="10">
        <v>42</v>
      </c>
      <c r="B48" s="14" t="s">
        <v>40</v>
      </c>
      <c r="C48" s="11">
        <v>236048</v>
      </c>
      <c r="D48" s="11">
        <v>171213</v>
      </c>
      <c r="E48" s="11">
        <f t="shared" si="0"/>
        <v>407261</v>
      </c>
      <c r="F48" s="12">
        <v>563.37259999999992</v>
      </c>
      <c r="G48" s="12">
        <v>6761.6636000000008</v>
      </c>
      <c r="H48" s="13">
        <f t="shared" si="1"/>
        <v>7325.0362000000005</v>
      </c>
    </row>
    <row r="49" spans="1:8" s="4" customFormat="1" ht="21" customHeight="1" x14ac:dyDescent="0.25">
      <c r="A49" s="10">
        <v>43</v>
      </c>
      <c r="B49" s="14" t="s">
        <v>74</v>
      </c>
      <c r="C49" s="11">
        <v>6673</v>
      </c>
      <c r="D49" s="11">
        <v>1447</v>
      </c>
      <c r="E49" s="11">
        <f t="shared" si="0"/>
        <v>8120</v>
      </c>
      <c r="F49" s="12">
        <v>0</v>
      </c>
      <c r="G49" s="12">
        <v>32.777000000000001</v>
      </c>
      <c r="H49" s="13">
        <f t="shared" si="1"/>
        <v>32.777000000000001</v>
      </c>
    </row>
    <row r="50" spans="1:8" s="4" customFormat="1" ht="21" customHeight="1" x14ac:dyDescent="0.25">
      <c r="A50" s="10">
        <v>44</v>
      </c>
      <c r="B50" s="14" t="s">
        <v>75</v>
      </c>
      <c r="C50" s="11">
        <v>0</v>
      </c>
      <c r="D50" s="11">
        <v>0</v>
      </c>
      <c r="E50" s="11">
        <f t="shared" si="0"/>
        <v>0</v>
      </c>
      <c r="F50" s="12">
        <v>281.66500000000002</v>
      </c>
      <c r="G50" s="12">
        <v>636.47500000000002</v>
      </c>
      <c r="H50" s="13">
        <f t="shared" si="1"/>
        <v>918.1400000000001</v>
      </c>
    </row>
    <row r="51" spans="1:8" s="4" customFormat="1" ht="21" customHeight="1" x14ac:dyDescent="0.25">
      <c r="A51" s="10">
        <v>45</v>
      </c>
      <c r="B51" s="14" t="s">
        <v>41</v>
      </c>
      <c r="C51" s="11">
        <v>329562</v>
      </c>
      <c r="D51" s="11">
        <v>246711</v>
      </c>
      <c r="E51" s="11">
        <f t="shared" si="0"/>
        <v>576273</v>
      </c>
      <c r="F51" s="12">
        <v>85311.571450000018</v>
      </c>
      <c r="G51" s="12">
        <v>118087.87963</v>
      </c>
      <c r="H51" s="13">
        <f t="shared" si="1"/>
        <v>203399.45108000003</v>
      </c>
    </row>
    <row r="52" spans="1:8" s="4" customFormat="1" ht="21" customHeight="1" x14ac:dyDescent="0.25">
      <c r="A52" s="10">
        <v>46</v>
      </c>
      <c r="B52" s="14" t="s">
        <v>42</v>
      </c>
      <c r="C52" s="11">
        <v>8230</v>
      </c>
      <c r="D52" s="11">
        <v>6430</v>
      </c>
      <c r="E52" s="11">
        <f t="shared" si="0"/>
        <v>14660</v>
      </c>
      <c r="F52" s="12">
        <v>48.426499999999997</v>
      </c>
      <c r="G52" s="12">
        <v>1314.4632399999998</v>
      </c>
      <c r="H52" s="13">
        <f t="shared" si="1"/>
        <v>1362.8897399999998</v>
      </c>
    </row>
    <row r="53" spans="1:8" s="4" customFormat="1" ht="21" customHeight="1" x14ac:dyDescent="0.25">
      <c r="A53" s="10">
        <v>47</v>
      </c>
      <c r="B53" s="14" t="s">
        <v>43</v>
      </c>
      <c r="C53" s="11">
        <v>1874</v>
      </c>
      <c r="D53" s="11">
        <v>2285</v>
      </c>
      <c r="E53" s="11">
        <f t="shared" si="0"/>
        <v>4159</v>
      </c>
      <c r="F53" s="12">
        <v>0</v>
      </c>
      <c r="G53" s="12">
        <v>0</v>
      </c>
      <c r="H53" s="13">
        <f t="shared" si="1"/>
        <v>0</v>
      </c>
    </row>
    <row r="54" spans="1:8" s="4" customFormat="1" ht="21" customHeight="1" x14ac:dyDescent="0.25">
      <c r="A54" s="10">
        <v>48</v>
      </c>
      <c r="B54" s="14" t="s">
        <v>44</v>
      </c>
      <c r="C54" s="11">
        <v>443605</v>
      </c>
      <c r="D54" s="11">
        <v>8597</v>
      </c>
      <c r="E54" s="11">
        <f t="shared" si="0"/>
        <v>452202</v>
      </c>
      <c r="F54" s="12">
        <v>260.589</v>
      </c>
      <c r="G54" s="12">
        <v>5080.2336999999989</v>
      </c>
      <c r="H54" s="13">
        <f t="shared" si="1"/>
        <v>5340.8226999999988</v>
      </c>
    </row>
    <row r="55" spans="1:8" s="4" customFormat="1" ht="21" customHeight="1" x14ac:dyDescent="0.25">
      <c r="A55" s="10">
        <v>49</v>
      </c>
      <c r="B55" s="14" t="s">
        <v>76</v>
      </c>
      <c r="C55" s="11">
        <v>35</v>
      </c>
      <c r="D55" s="11">
        <v>117</v>
      </c>
      <c r="E55" s="11">
        <f t="shared" si="0"/>
        <v>152</v>
      </c>
      <c r="F55" s="12">
        <v>0</v>
      </c>
      <c r="G55" s="12">
        <v>0</v>
      </c>
      <c r="H55" s="13">
        <f t="shared" si="1"/>
        <v>0</v>
      </c>
    </row>
    <row r="56" spans="1:8" s="4" customFormat="1" ht="21" customHeight="1" x14ac:dyDescent="0.25">
      <c r="A56" s="10">
        <v>50</v>
      </c>
      <c r="B56" s="14" t="s">
        <v>77</v>
      </c>
      <c r="C56" s="11">
        <v>131</v>
      </c>
      <c r="D56" s="11">
        <v>0</v>
      </c>
      <c r="E56" s="11">
        <f t="shared" si="0"/>
        <v>131</v>
      </c>
      <c r="F56" s="12">
        <v>0</v>
      </c>
      <c r="G56" s="12">
        <v>0</v>
      </c>
      <c r="H56" s="13">
        <f t="shared" si="1"/>
        <v>0</v>
      </c>
    </row>
    <row r="57" spans="1:8" s="4" customFormat="1" ht="21" customHeight="1" x14ac:dyDescent="0.25">
      <c r="A57" s="10">
        <v>51</v>
      </c>
      <c r="B57" s="14" t="s">
        <v>45</v>
      </c>
      <c r="C57" s="11">
        <v>527</v>
      </c>
      <c r="D57" s="11">
        <v>318</v>
      </c>
      <c r="E57" s="11">
        <f t="shared" si="0"/>
        <v>845</v>
      </c>
      <c r="F57" s="12">
        <v>1.1379999999999999</v>
      </c>
      <c r="G57" s="12">
        <v>102.455</v>
      </c>
      <c r="H57" s="13">
        <f t="shared" si="1"/>
        <v>103.593</v>
      </c>
    </row>
    <row r="58" spans="1:8" s="4" customFormat="1" ht="21" customHeight="1" x14ac:dyDescent="0.25">
      <c r="A58" s="10">
        <v>52</v>
      </c>
      <c r="B58" s="14" t="s">
        <v>46</v>
      </c>
      <c r="C58" s="11">
        <v>77379</v>
      </c>
      <c r="D58" s="11">
        <v>38212</v>
      </c>
      <c r="E58" s="11">
        <f t="shared" si="0"/>
        <v>115591</v>
      </c>
      <c r="F58" s="12">
        <v>2569.5229499999996</v>
      </c>
      <c r="G58" s="12">
        <v>5010.7180799999996</v>
      </c>
      <c r="H58" s="13">
        <f t="shared" si="1"/>
        <v>7580.2410299999992</v>
      </c>
    </row>
    <row r="59" spans="1:8" s="4" customFormat="1" ht="21" customHeight="1" x14ac:dyDescent="0.25">
      <c r="A59" s="10">
        <v>53</v>
      </c>
      <c r="B59" s="14" t="s">
        <v>78</v>
      </c>
      <c r="C59" s="11">
        <v>491</v>
      </c>
      <c r="D59" s="11">
        <v>77</v>
      </c>
      <c r="E59" s="11">
        <f t="shared" si="0"/>
        <v>568</v>
      </c>
      <c r="F59" s="12">
        <v>31.344000000000001</v>
      </c>
      <c r="G59" s="12">
        <v>160.03563</v>
      </c>
      <c r="H59" s="13">
        <f t="shared" si="1"/>
        <v>191.37962999999999</v>
      </c>
    </row>
    <row r="60" spans="1:8" s="4" customFormat="1" ht="21" customHeight="1" x14ac:dyDescent="0.25">
      <c r="A60" s="10">
        <v>54</v>
      </c>
      <c r="B60" s="14" t="s">
        <v>47</v>
      </c>
      <c r="C60" s="11">
        <v>245</v>
      </c>
      <c r="D60" s="11">
        <v>174</v>
      </c>
      <c r="E60" s="11">
        <f t="shared" si="0"/>
        <v>419</v>
      </c>
      <c r="F60" s="12">
        <v>75.747</v>
      </c>
      <c r="G60" s="12">
        <v>376.49779999999998</v>
      </c>
      <c r="H60" s="13">
        <f t="shared" si="1"/>
        <v>452.2448</v>
      </c>
    </row>
    <row r="61" spans="1:8" s="4" customFormat="1" ht="21" customHeight="1" x14ac:dyDescent="0.25">
      <c r="A61" s="10">
        <v>55</v>
      </c>
      <c r="B61" s="14" t="s">
        <v>48</v>
      </c>
      <c r="C61" s="11">
        <v>11699</v>
      </c>
      <c r="D61" s="11">
        <v>15808</v>
      </c>
      <c r="E61" s="11">
        <f t="shared" si="0"/>
        <v>27507</v>
      </c>
      <c r="F61" s="12">
        <v>4396.4970999999996</v>
      </c>
      <c r="G61" s="12">
        <v>4262.1472000000003</v>
      </c>
      <c r="H61" s="13">
        <f t="shared" si="1"/>
        <v>8658.6442999999999</v>
      </c>
    </row>
    <row r="62" spans="1:8" s="4" customFormat="1" ht="21" customHeight="1" x14ac:dyDescent="0.25">
      <c r="A62" s="10">
        <v>56</v>
      </c>
      <c r="B62" s="14" t="s">
        <v>79</v>
      </c>
      <c r="C62" s="11">
        <v>0</v>
      </c>
      <c r="D62" s="11">
        <v>0</v>
      </c>
      <c r="E62" s="11">
        <f t="shared" si="0"/>
        <v>0</v>
      </c>
      <c r="F62" s="12">
        <v>0</v>
      </c>
      <c r="G62" s="12">
        <v>268.29016000000001</v>
      </c>
      <c r="H62" s="13">
        <f t="shared" si="1"/>
        <v>268.29016000000001</v>
      </c>
    </row>
    <row r="63" spans="1:8" s="4" customFormat="1" ht="21" customHeight="1" x14ac:dyDescent="0.25">
      <c r="A63" s="10">
        <v>57</v>
      </c>
      <c r="B63" s="14" t="s">
        <v>49</v>
      </c>
      <c r="C63" s="11">
        <v>885</v>
      </c>
      <c r="D63" s="11">
        <v>821</v>
      </c>
      <c r="E63" s="11">
        <f t="shared" si="0"/>
        <v>1706</v>
      </c>
      <c r="F63" s="12">
        <v>5.6299999999999996E-2</v>
      </c>
      <c r="G63" s="12">
        <v>5.0514999999999999</v>
      </c>
      <c r="H63" s="13">
        <f t="shared" si="1"/>
        <v>5.1078000000000001</v>
      </c>
    </row>
    <row r="64" spans="1:8" s="4" customFormat="1" ht="21" customHeight="1" x14ac:dyDescent="0.25">
      <c r="A64" s="10">
        <v>58</v>
      </c>
      <c r="B64" s="14" t="s">
        <v>50</v>
      </c>
      <c r="C64" s="11">
        <v>0</v>
      </c>
      <c r="D64" s="11">
        <v>0</v>
      </c>
      <c r="E64" s="11">
        <f t="shared" si="0"/>
        <v>0</v>
      </c>
      <c r="F64" s="12">
        <v>3068.4344000000001</v>
      </c>
      <c r="G64" s="12">
        <v>4875.6790000000001</v>
      </c>
      <c r="H64" s="13">
        <f t="shared" si="1"/>
        <v>7944.1134000000002</v>
      </c>
    </row>
    <row r="65" spans="1:9" s="4" customFormat="1" ht="21" customHeight="1" x14ac:dyDescent="0.25">
      <c r="A65" s="10">
        <v>59</v>
      </c>
      <c r="B65" s="14" t="s">
        <v>51</v>
      </c>
      <c r="C65" s="11">
        <v>36</v>
      </c>
      <c r="D65" s="11">
        <v>58</v>
      </c>
      <c r="E65" s="11">
        <f t="shared" si="0"/>
        <v>94</v>
      </c>
      <c r="F65" s="12">
        <v>3305.1096000000002</v>
      </c>
      <c r="G65" s="12">
        <v>1383.5581999999999</v>
      </c>
      <c r="H65" s="13">
        <f t="shared" si="1"/>
        <v>4688.6678000000002</v>
      </c>
    </row>
    <row r="66" spans="1:9" s="4" customFormat="1" ht="21" customHeight="1" x14ac:dyDescent="0.25">
      <c r="A66" s="10">
        <v>60</v>
      </c>
      <c r="B66" s="14" t="s">
        <v>80</v>
      </c>
      <c r="C66" s="11">
        <v>283</v>
      </c>
      <c r="D66" s="11">
        <v>62</v>
      </c>
      <c r="E66" s="11">
        <f t="shared" si="0"/>
        <v>345</v>
      </c>
      <c r="F66" s="12">
        <v>485.36776000000003</v>
      </c>
      <c r="G66" s="12">
        <v>417.44221999999996</v>
      </c>
      <c r="H66" s="13">
        <f t="shared" si="1"/>
        <v>902.80998</v>
      </c>
    </row>
    <row r="67" spans="1:9" s="4" customFormat="1" ht="21" customHeight="1" x14ac:dyDescent="0.25">
      <c r="A67" s="10">
        <v>61</v>
      </c>
      <c r="B67" s="14" t="s">
        <v>52</v>
      </c>
      <c r="C67" s="11">
        <v>5839</v>
      </c>
      <c r="D67" s="11">
        <v>2695</v>
      </c>
      <c r="E67" s="11">
        <f t="shared" si="0"/>
        <v>8534</v>
      </c>
      <c r="F67" s="12">
        <v>28083.978500000001</v>
      </c>
      <c r="G67" s="12">
        <v>5667.1410500000002</v>
      </c>
      <c r="H67" s="13">
        <f t="shared" si="1"/>
        <v>33751.119550000003</v>
      </c>
    </row>
    <row r="68" spans="1:9" s="4" customFormat="1" ht="21" customHeight="1" x14ac:dyDescent="0.25">
      <c r="A68" s="10">
        <v>62</v>
      </c>
      <c r="B68" s="14" t="s">
        <v>53</v>
      </c>
      <c r="C68" s="11">
        <v>5649</v>
      </c>
      <c r="D68" s="11">
        <v>4387</v>
      </c>
      <c r="E68" s="11">
        <f t="shared" si="0"/>
        <v>10036</v>
      </c>
      <c r="F68" s="12">
        <v>30395.625339999995</v>
      </c>
      <c r="G68" s="12">
        <v>34442.957127000001</v>
      </c>
      <c r="H68" s="13">
        <f t="shared" si="1"/>
        <v>64838.582467</v>
      </c>
    </row>
    <row r="69" spans="1:9" s="4" customFormat="1" ht="21" customHeight="1" x14ac:dyDescent="0.25">
      <c r="A69" s="10">
        <v>63</v>
      </c>
      <c r="B69" s="14" t="s">
        <v>54</v>
      </c>
      <c r="C69" s="11">
        <v>219</v>
      </c>
      <c r="D69" s="11">
        <v>145</v>
      </c>
      <c r="E69" s="11">
        <f t="shared" si="0"/>
        <v>364</v>
      </c>
      <c r="F69" s="12">
        <v>0</v>
      </c>
      <c r="G69" s="12">
        <v>214.19651999999999</v>
      </c>
      <c r="H69" s="13">
        <f t="shared" si="1"/>
        <v>214.19651999999999</v>
      </c>
    </row>
    <row r="70" spans="1:9" s="4" customFormat="1" ht="21" customHeight="1" x14ac:dyDescent="0.25">
      <c r="A70" s="10">
        <v>64</v>
      </c>
      <c r="B70" s="14" t="s">
        <v>81</v>
      </c>
      <c r="C70" s="11">
        <v>3767</v>
      </c>
      <c r="D70" s="11">
        <v>529</v>
      </c>
      <c r="E70" s="11">
        <f t="shared" si="0"/>
        <v>4296</v>
      </c>
      <c r="F70" s="12">
        <v>0</v>
      </c>
      <c r="G70" s="12">
        <v>16.825700000000001</v>
      </c>
      <c r="H70" s="13">
        <f t="shared" si="1"/>
        <v>16.825700000000001</v>
      </c>
    </row>
    <row r="71" spans="1:9" s="4" customFormat="1" ht="21" customHeight="1" x14ac:dyDescent="0.25">
      <c r="A71" s="10">
        <v>65</v>
      </c>
      <c r="B71" s="14" t="s">
        <v>55</v>
      </c>
      <c r="C71" s="11">
        <v>2323126</v>
      </c>
      <c r="D71" s="11">
        <v>2093650</v>
      </c>
      <c r="E71" s="11">
        <f t="shared" si="0"/>
        <v>4416776</v>
      </c>
      <c r="F71" s="12">
        <v>48928.786931000002</v>
      </c>
      <c r="G71" s="12">
        <v>127346.22001699994</v>
      </c>
      <c r="H71" s="13">
        <f t="shared" si="1"/>
        <v>176275.00694799994</v>
      </c>
    </row>
    <row r="72" spans="1:9" s="4" customFormat="1" ht="21" customHeight="1" x14ac:dyDescent="0.25">
      <c r="A72" s="10">
        <v>66</v>
      </c>
      <c r="B72" s="14" t="s">
        <v>56</v>
      </c>
      <c r="C72" s="11">
        <v>201712</v>
      </c>
      <c r="D72" s="11">
        <v>214998</v>
      </c>
      <c r="E72" s="11">
        <f t="shared" ref="E72:E76" si="2">C72+D72</f>
        <v>416710</v>
      </c>
      <c r="F72" s="12">
        <v>12233.865699999998</v>
      </c>
      <c r="G72" s="12">
        <v>22053.246200000001</v>
      </c>
      <c r="H72" s="13">
        <f t="shared" ref="H72:H76" si="3">F72+G72</f>
        <v>34287.111900000004</v>
      </c>
    </row>
    <row r="73" spans="1:9" s="4" customFormat="1" ht="21" customHeight="1" x14ac:dyDescent="0.25">
      <c r="A73" s="10">
        <v>67</v>
      </c>
      <c r="B73" s="14" t="s">
        <v>57</v>
      </c>
      <c r="C73" s="11">
        <v>316359</v>
      </c>
      <c r="D73" s="11">
        <v>331879</v>
      </c>
      <c r="E73" s="11">
        <f t="shared" si="2"/>
        <v>648238</v>
      </c>
      <c r="F73" s="12">
        <v>6176.8515099999995</v>
      </c>
      <c r="G73" s="12">
        <v>12115.108409999999</v>
      </c>
      <c r="H73" s="13">
        <f t="shared" si="3"/>
        <v>18291.959919999998</v>
      </c>
    </row>
    <row r="74" spans="1:9" s="4" customFormat="1" ht="21" customHeight="1" x14ac:dyDescent="0.25">
      <c r="A74" s="10">
        <v>68</v>
      </c>
      <c r="B74" s="14" t="s">
        <v>58</v>
      </c>
      <c r="C74" s="11">
        <v>4022</v>
      </c>
      <c r="D74" s="11">
        <v>3912</v>
      </c>
      <c r="E74" s="11">
        <f t="shared" si="2"/>
        <v>7934</v>
      </c>
      <c r="F74" s="12">
        <v>18.635999999999999</v>
      </c>
      <c r="G74" s="12">
        <v>786.73610000000008</v>
      </c>
      <c r="H74" s="13">
        <f t="shared" si="3"/>
        <v>805.37210000000005</v>
      </c>
    </row>
    <row r="75" spans="1:9" s="4" customFormat="1" ht="21" customHeight="1" x14ac:dyDescent="0.25">
      <c r="A75" s="10">
        <v>69</v>
      </c>
      <c r="B75" s="14" t="s">
        <v>60</v>
      </c>
      <c r="C75" s="11">
        <v>778</v>
      </c>
      <c r="D75" s="11">
        <v>1284</v>
      </c>
      <c r="E75" s="11">
        <f t="shared" si="2"/>
        <v>2062</v>
      </c>
      <c r="F75" s="12">
        <v>9151.8818300000003</v>
      </c>
      <c r="G75" s="12">
        <v>800.37214000000006</v>
      </c>
      <c r="H75" s="13">
        <f t="shared" si="3"/>
        <v>9952.2539699999998</v>
      </c>
    </row>
    <row r="76" spans="1:9" s="4" customFormat="1" ht="21" customHeight="1" x14ac:dyDescent="0.25">
      <c r="A76" s="10">
        <v>70</v>
      </c>
      <c r="B76" s="14" t="s">
        <v>59</v>
      </c>
      <c r="C76" s="11">
        <v>917</v>
      </c>
      <c r="D76" s="11">
        <v>4365</v>
      </c>
      <c r="E76" s="11">
        <f t="shared" si="2"/>
        <v>5282</v>
      </c>
      <c r="F76" s="12">
        <v>0</v>
      </c>
      <c r="G76" s="12">
        <v>7.5555000000000003</v>
      </c>
      <c r="H76" s="13">
        <f t="shared" si="3"/>
        <v>7.5555000000000003</v>
      </c>
    </row>
    <row r="77" spans="1:9" ht="24.75" customHeight="1" x14ac:dyDescent="0.25">
      <c r="A77" s="34" t="s">
        <v>4</v>
      </c>
      <c r="B77" s="35"/>
      <c r="C77" s="8">
        <f t="shared" ref="C77:H77" si="4">SUM(C7:C76)</f>
        <v>4856292</v>
      </c>
      <c r="D77" s="8">
        <f t="shared" si="4"/>
        <v>3920026</v>
      </c>
      <c r="E77" s="8">
        <f t="shared" si="4"/>
        <v>8776318</v>
      </c>
      <c r="F77" s="7">
        <f t="shared" si="4"/>
        <v>437282.71654100006</v>
      </c>
      <c r="G77" s="7">
        <f t="shared" si="4"/>
        <v>566368.98387400003</v>
      </c>
      <c r="H77" s="7">
        <f t="shared" si="4"/>
        <v>1003651.7004150002</v>
      </c>
      <c r="I77" s="4"/>
    </row>
    <row r="78" spans="1:9" ht="27" customHeight="1" x14ac:dyDescent="0.25">
      <c r="A78" s="31" t="s">
        <v>6</v>
      </c>
      <c r="B78" s="32"/>
      <c r="C78" s="32"/>
      <c r="D78" s="32"/>
      <c r="E78" s="32"/>
      <c r="F78" s="32"/>
      <c r="G78" s="32"/>
      <c r="H78" s="33"/>
      <c r="I78" s="4"/>
    </row>
    <row r="79" spans="1:9" ht="78" customHeight="1" x14ac:dyDescent="0.25">
      <c r="A79" s="31" t="s">
        <v>82</v>
      </c>
      <c r="B79" s="32"/>
      <c r="C79" s="32"/>
      <c r="D79" s="32"/>
      <c r="E79" s="32"/>
      <c r="F79" s="32"/>
      <c r="G79" s="32"/>
      <c r="H79" s="33"/>
      <c r="I79" s="4"/>
    </row>
    <row r="80" spans="1:9" ht="25.5" customHeight="1" thickBot="1" x14ac:dyDescent="0.3">
      <c r="A80" s="28" t="s">
        <v>9</v>
      </c>
      <c r="B80" s="29"/>
      <c r="C80" s="29"/>
      <c r="D80" s="29"/>
      <c r="E80" s="29"/>
      <c r="F80" s="29"/>
      <c r="G80" s="29"/>
      <c r="H80" s="30"/>
      <c r="I80" s="4"/>
    </row>
    <row r="81" spans="9:9" ht="15.75" x14ac:dyDescent="0.25">
      <c r="I81" s="4"/>
    </row>
    <row r="82" spans="9:9" ht="15.75" x14ac:dyDescent="0.25">
      <c r="I82" s="4"/>
    </row>
    <row r="83" spans="9:9" ht="15.75" x14ac:dyDescent="0.25">
      <c r="I83" s="4"/>
    </row>
    <row r="84" spans="9:9" ht="15.75" x14ac:dyDescent="0.25">
      <c r="I84" s="4"/>
    </row>
    <row r="85" spans="9:9" ht="15.75" x14ac:dyDescent="0.25">
      <c r="I85" s="4"/>
    </row>
    <row r="86" spans="9:9" ht="15.75" x14ac:dyDescent="0.25">
      <c r="I86" s="4"/>
    </row>
    <row r="87" spans="9:9" ht="15.75" x14ac:dyDescent="0.25">
      <c r="I87" s="4"/>
    </row>
    <row r="88" spans="9:9" ht="15.75" x14ac:dyDescent="0.25">
      <c r="I88" s="4"/>
    </row>
    <row r="89" spans="9:9" ht="15.75" x14ac:dyDescent="0.25">
      <c r="I89" s="4"/>
    </row>
    <row r="90" spans="9:9" ht="15.75" x14ac:dyDescent="0.25">
      <c r="I90" s="4"/>
    </row>
    <row r="91" spans="9:9" ht="15.75" x14ac:dyDescent="0.25">
      <c r="I91" s="4"/>
    </row>
    <row r="92" spans="9:9" ht="15.75" x14ac:dyDescent="0.25">
      <c r="I92" s="4"/>
    </row>
    <row r="93" spans="9:9" ht="15.75" x14ac:dyDescent="0.25">
      <c r="I93" s="4"/>
    </row>
    <row r="94" spans="9:9" ht="15.75" x14ac:dyDescent="0.25">
      <c r="I94" s="4"/>
    </row>
    <row r="95" spans="9:9" ht="15.75" x14ac:dyDescent="0.25">
      <c r="I95" s="4"/>
    </row>
    <row r="96" spans="9:9" ht="15.75" x14ac:dyDescent="0.25">
      <c r="I96" s="4"/>
    </row>
    <row r="97" spans="9:9" ht="15.75" x14ac:dyDescent="0.25">
      <c r="I97" s="4"/>
    </row>
    <row r="98" spans="9:9" ht="15.75" x14ac:dyDescent="0.25">
      <c r="I98" s="4"/>
    </row>
    <row r="99" spans="9:9" ht="15.75" x14ac:dyDescent="0.25">
      <c r="I99" s="4"/>
    </row>
    <row r="100" spans="9:9" ht="15.75" x14ac:dyDescent="0.25">
      <c r="I100" s="4"/>
    </row>
    <row r="101" spans="9:9" ht="15.75" x14ac:dyDescent="0.25">
      <c r="I101" s="4"/>
    </row>
    <row r="102" spans="9:9" ht="15.75" x14ac:dyDescent="0.25">
      <c r="I102" s="4"/>
    </row>
    <row r="103" spans="9:9" ht="15.75" x14ac:dyDescent="0.25">
      <c r="I103" s="4"/>
    </row>
    <row r="104" spans="9:9" ht="15.75" x14ac:dyDescent="0.25">
      <c r="I104" s="4"/>
    </row>
    <row r="105" spans="9:9" ht="15.75" x14ac:dyDescent="0.25">
      <c r="I105" s="4"/>
    </row>
    <row r="106" spans="9:9" ht="15.75" x14ac:dyDescent="0.25">
      <c r="I106" s="4"/>
    </row>
    <row r="107" spans="9:9" ht="15.75" x14ac:dyDescent="0.25">
      <c r="I107" s="4"/>
    </row>
    <row r="108" spans="9:9" ht="15.75" x14ac:dyDescent="0.25">
      <c r="I108" s="4"/>
    </row>
    <row r="109" spans="9:9" ht="15.75" x14ac:dyDescent="0.25">
      <c r="I109" s="4"/>
    </row>
    <row r="110" spans="9:9" ht="15.75" x14ac:dyDescent="0.25">
      <c r="I110" s="4"/>
    </row>
    <row r="111" spans="9:9" ht="15.75" x14ac:dyDescent="0.25">
      <c r="I111" s="4"/>
    </row>
    <row r="112" spans="9:9" ht="15.75" x14ac:dyDescent="0.25">
      <c r="I112" s="4"/>
    </row>
    <row r="113" spans="9:9" ht="15.75" x14ac:dyDescent="0.25">
      <c r="I113" s="4"/>
    </row>
    <row r="114" spans="9:9" ht="15.75" x14ac:dyDescent="0.25">
      <c r="I114" s="4"/>
    </row>
    <row r="115" spans="9:9" ht="15.75" x14ac:dyDescent="0.25">
      <c r="I115" s="4"/>
    </row>
    <row r="116" spans="9:9" ht="15.75" x14ac:dyDescent="0.25">
      <c r="I116" s="4"/>
    </row>
    <row r="117" spans="9:9" ht="15.75" x14ac:dyDescent="0.25">
      <c r="I117" s="4"/>
    </row>
    <row r="118" spans="9:9" ht="15.75" x14ac:dyDescent="0.25">
      <c r="I118" s="4"/>
    </row>
    <row r="119" spans="9:9" ht="15.75" x14ac:dyDescent="0.25">
      <c r="I119" s="4"/>
    </row>
    <row r="120" spans="9:9" ht="15.75" x14ac:dyDescent="0.25">
      <c r="I120" s="4"/>
    </row>
    <row r="121" spans="9:9" ht="15.75" x14ac:dyDescent="0.25">
      <c r="I121" s="4"/>
    </row>
    <row r="122" spans="9:9" ht="15.75" x14ac:dyDescent="0.25">
      <c r="I122" s="4"/>
    </row>
    <row r="123" spans="9:9" ht="15.75" x14ac:dyDescent="0.25">
      <c r="I123" s="4"/>
    </row>
    <row r="124" spans="9:9" ht="15.75" x14ac:dyDescent="0.25">
      <c r="I124" s="4"/>
    </row>
    <row r="125" spans="9:9" ht="15.75" x14ac:dyDescent="0.25">
      <c r="I125" s="4"/>
    </row>
    <row r="126" spans="9:9" ht="15.75" x14ac:dyDescent="0.25">
      <c r="I126" s="4"/>
    </row>
  </sheetData>
  <mergeCells count="12">
    <mergeCell ref="A80:H80"/>
    <mergeCell ref="A79:H79"/>
    <mergeCell ref="A77:B77"/>
    <mergeCell ref="A3:H3"/>
    <mergeCell ref="A78:H78"/>
    <mergeCell ref="A1:H1"/>
    <mergeCell ref="A2:H2"/>
    <mergeCell ref="A4:H4"/>
    <mergeCell ref="C5:E5"/>
    <mergeCell ref="F5:H5"/>
    <mergeCell ref="A5:A6"/>
    <mergeCell ref="B5:B6"/>
  </mergeCells>
  <printOptions horizontalCentered="1"/>
  <pageMargins left="0" right="0" top="0.19685039370078741" bottom="0.19685039370078741" header="0.31496062992125984" footer="0.31496062992125984"/>
  <pageSetup paperSize="9" scale="42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1.02 (IO)</vt:lpstr>
      <vt:lpstr>'1.02 (IO)'!Print_Area</vt:lpstr>
      <vt:lpstr>'1.02 (IO)'!Print_Titles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2022-04-28T09:02:24Z</dcterms:modified>
</cp:coreProperties>
</file>