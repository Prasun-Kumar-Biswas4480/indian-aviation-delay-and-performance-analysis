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5" sheetId="7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'1.15'!$A$1:$D$16</definedName>
    <definedName name="_xlnm.Print_Titles" localSheetId="3">'1.15'!$1:$4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<sst xmlns="http://schemas.openxmlformats.org/spreadsheetml/2006/main" count="882" uniqueCount="191">
  <si>
    <t>YEAR</t>
  </si>
  <si>
    <t>2011-12</t>
  </si>
  <si>
    <t>2012-13</t>
  </si>
  <si>
    <t>DESCRIPTION</t>
  </si>
  <si>
    <t>TOTAL FLEET SIZE</t>
  </si>
  <si>
    <t>Number of Aircraft</t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</si>
  <si>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</si>
  <si>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</si>
  <si>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</si>
  <si>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</si>
  <si>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</si>
  <si>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</si>
  <si>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</si>
  <si>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</si>
  <si>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</si>
  <si>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</si>
  <si>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</si>
  <si>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</si>
  <si>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</si>
  <si>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</si>
  <si>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</si>
  <si>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</si>
  <si>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</si>
  <si>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</si>
  <si>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</si>
  <si>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</si>
  <si>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</si>
  <si>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</si>
  <si>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</si>
  <si>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</si>
  <si>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</si>
  <si>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</si>
  <si>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</si>
  <si>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</si>
  <si>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</si>
  <si>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</si>
  <si>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</si>
  <si>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</si>
  <si>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</si>
  <si>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</si>
  <si>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</si>
  <si>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</si>
  <si>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</si>
  <si>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</si>
  <si>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</si>
  <si>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</si>
  <si>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</si>
  <si>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</si>
  <si>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</si>
  <si>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</si>
  <si>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</si>
  <si>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</si>
  <si>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</si>
  <si>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</si>
  <si>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</si>
  <si>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</si>
  <si>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</si>
  <si>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</si>
  <si>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</si>
  <si>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</si>
  <si>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</si>
  <si>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</si>
  <si>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</si>
  <si>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</si>
  <si>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</si>
  <si>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</si>
  <si>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</si>
  <si>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</si>
  <si>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</si>
  <si>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</si>
  <si>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</si>
  <si>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</si>
  <si>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</si>
  <si>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</si>
  <si>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</si>
  <si>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</si>
  <si>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</si>
  <si>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</si>
  <si>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</si>
  <si>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</si>
  <si>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</si>
  <si>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</si>
  <si>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</si>
  <si>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</si>
  <si>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</si>
  <si>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</si>
  <si>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</si>
  <si>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</si>
  <si>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</si>
  <si>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</si>
  <si>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</si>
  <si>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</si>
  <si>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</si>
  <si>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</si>
  <si>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</si>
  <si>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</si>
  <si>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</si>
  <si>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</si>
  <si>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</si>
  <si>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</si>
  <si>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</si>
  <si>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</si>
  <si>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</si>
  <si>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</si>
  <si>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</si>
  <si>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</si>
  <si>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</si>
  <si>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</si>
  <si>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</si>
  <si>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</si>
  <si>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</si>
  <si>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</si>
  <si>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</si>
  <si>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</si>
  <si>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</si>
  <si>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</si>
  <si>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</si>
  <si>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</si>
  <si>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</si>
  <si>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</si>
  <si>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</si>
  <si>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</si>
  <si>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</si>
  <si>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</si>
  <si>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</si>
  <si>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</si>
  <si>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</si>
  <si>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</si>
  <si>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</si>
  <si>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</si>
  <si>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</si>
  <si>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</si>
  <si>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</si>
  <si>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</si>
  <si>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</si>
  <si>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</si>
  <si>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</si>
  <si>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</si>
  <si>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</si>
  <si>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</si>
  <si>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</si>
  <si>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</si>
  <si>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</si>
  <si>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</si>
  <si>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</si>
  <si>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</si>
  <si>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</si>
  <si>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</si>
  <si>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</si>
  <si>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</si>
  <si>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</si>
  <si>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</si>
  <si>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</si>
  <si>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</si>
  <si>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</si>
  <si>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</si>
  <si>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</si>
  <si>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</si>
  <si>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</si>
  <si>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</si>
  <si>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</si>
  <si>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</si>
  <si>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</si>
  <si>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</si>
  <si>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</si>
  <si>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</si>
  <si>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</si>
  <si>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</si>
  <si>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</si>
  <si>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</si>
  <si>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</si>
  <si>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</si>
  <si>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</si>
  <si>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</si>
  <si>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</si>
  <si>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</si>
  <si>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</si>
  <si>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</si>
  <si>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Note (i) Fleet Size includes leased Aircrafts</t>
  </si>
  <si>
    <t xml:space="preserve">         (ii) Fleet Size is given for year end i.e. 31st March</t>
  </si>
  <si>
    <t>NON OPERATING ITEMS ADJUSTED</t>
  </si>
  <si>
    <t>STAR AIR</t>
  </si>
  <si>
    <t>AIR HERITAGE</t>
  </si>
  <si>
    <t xml:space="preserve"> AIR HERITAGE</t>
  </si>
  <si>
    <t>2018-19</t>
  </si>
  <si>
    <t>TIME SERIES DATA ON FLEET SIZE OF STAR AIR</t>
  </si>
  <si>
    <t>2019-20</t>
  </si>
  <si>
    <t>EMBREAR-EMB145LR</t>
  </si>
  <si>
    <t xml:space="preserve">तालिका 1.15 (स्टार एयर) </t>
  </si>
  <si>
    <t>TABLE - 1.15 (STAR AIR)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</si>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</sst>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1" fontId="17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 applyBorder="1"/>
    <xf numFmtId="0" fontId="9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vertical="top" wrapText="1"/>
    </xf>
    <xf numFmtId="169" fontId="11" fillId="4" borderId="13" xfId="7" applyNumberFormat="1" applyFont="1" applyFill="1" applyBorder="1" applyAlignment="1" applyProtection="1">
      <alignment horizontal="left" vertical="center"/>
    </xf>
    <xf numFmtId="169" fontId="11" fillId="4" borderId="13" xfId="7" applyNumberFormat="1" applyFont="1" applyFill="1" applyBorder="1" applyAlignment="1" applyProtection="1">
      <alignment vertical="center"/>
    </xf>
    <xf numFmtId="169" fontId="12" fillId="4" borderId="12" xfId="7" applyNumberFormat="1" applyFont="1" applyFill="1" applyBorder="1" applyAlignment="1" applyProtection="1">
      <alignment vertical="center"/>
    </xf>
    <xf numFmtId="169" fontId="11" fillId="4" borderId="14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97</v>
      </c>
      <c r="B1" s="7" t="s">
        <v>97</v>
      </c>
      <c r="C1" s="7" t="s">
        <v>97</v>
      </c>
      <c r="D1" s="7" t="s">
        <v>97</v>
      </c>
      <c r="E1" s="7" t="s">
        <v>97</v>
      </c>
      <c r="F1" s="7" t="s">
        <v>97</v>
      </c>
      <c r="G1" s="7" t="s">
        <v>97</v>
      </c>
      <c r="H1" s="7" t="s">
        <v>97</v>
      </c>
      <c r="I1" s="7" t="s">
        <v>97</v>
      </c>
      <c r="J1" s="7" t="s">
        <v>97</v>
      </c>
      <c r="K1" s="7" t="s">
        <v>97</v>
      </c>
      <c r="L1" s="7" t="s">
        <v>97</v>
      </c>
      <c r="M1" s="7" t="s">
        <v>97</v>
      </c>
      <c r="N1" s="7" t="s">
        <v>97</v>
      </c>
      <c r="O1" s="7" t="s">
        <v>97</v>
      </c>
      <c r="P1" s="7" t="s">
        <v>97</v>
      </c>
      <c r="Q1" s="7" t="s">
        <v>97</v>
      </c>
      <c r="R1" s="7" t="s">
        <v>97</v>
      </c>
      <c r="S1" s="7" t="s">
        <v>97</v>
      </c>
      <c r="T1" s="7" t="s">
        <v>97</v>
      </c>
      <c r="U1" s="7" t="s">
        <v>97</v>
      </c>
      <c r="V1" s="7" t="s">
        <v>97</v>
      </c>
      <c r="W1" s="7" t="s">
        <v>97</v>
      </c>
      <c r="X1" s="7" t="s">
        <v>97</v>
      </c>
      <c r="Y1" s="7" t="s">
        <v>97</v>
      </c>
      <c r="Z1" s="7" t="s">
        <v>97</v>
      </c>
      <c r="AA1" s="7" t="s">
        <v>97</v>
      </c>
      <c r="AB1" s="7" t="s">
        <v>97</v>
      </c>
      <c r="AC1" s="7" t="s">
        <v>97</v>
      </c>
      <c r="AD1" s="7" t="s">
        <v>97</v>
      </c>
      <c r="AE1" s="7" t="s">
        <v>97</v>
      </c>
      <c r="AF1" s="7" t="s">
        <v>97</v>
      </c>
      <c r="AG1" s="7" t="s">
        <v>97</v>
      </c>
      <c r="AH1" s="7" t="s">
        <v>97</v>
      </c>
      <c r="AI1" s="7" t="s">
        <v>97</v>
      </c>
      <c r="AJ1" s="7" t="s">
        <v>97</v>
      </c>
      <c r="AK1" s="7" t="s">
        <v>97</v>
      </c>
      <c r="AQ1" s="3" t="s">
        <v>32</v>
      </c>
      <c r="AR1" t="s">
        <v>22</v>
      </c>
    </row>
    <row r="2" spans="1:57">
      <c r="A2" s="7" t="s">
        <v>97</v>
      </c>
      <c r="B2" s="24" t="e">
        <f>#REF!</f>
        <v>#REF!</v>
      </c>
      <c r="C2" s="7" t="s">
        <v>97</v>
      </c>
      <c r="D2" s="7" t="s">
        <v>97</v>
      </c>
      <c r="E2" s="7" t="s">
        <v>97</v>
      </c>
      <c r="F2" s="7" t="s">
        <v>97</v>
      </c>
      <c r="G2" s="7" t="s">
        <v>97</v>
      </c>
      <c r="H2" s="7" t="s">
        <v>97</v>
      </c>
      <c r="I2" s="7" t="s">
        <v>97</v>
      </c>
      <c r="J2" s="7" t="s">
        <v>97</v>
      </c>
      <c r="K2" s="7" t="s">
        <v>97</v>
      </c>
      <c r="L2" s="7" t="s">
        <v>97</v>
      </c>
      <c r="M2" s="7" t="s">
        <v>97</v>
      </c>
      <c r="N2" s="7" t="s">
        <v>97</v>
      </c>
      <c r="O2" s="7" t="s">
        <v>97</v>
      </c>
      <c r="P2" s="7" t="s">
        <v>97</v>
      </c>
      <c r="Q2" s="7" t="s">
        <v>97</v>
      </c>
      <c r="R2" s="7" t="s">
        <v>97</v>
      </c>
      <c r="S2" s="7" t="s">
        <v>97</v>
      </c>
      <c r="T2" s="7" t="s">
        <v>97</v>
      </c>
      <c r="U2" s="7" t="s">
        <v>97</v>
      </c>
      <c r="V2" s="7" t="s">
        <v>97</v>
      </c>
      <c r="W2" s="7" t="s">
        <v>97</v>
      </c>
      <c r="X2" s="7" t="s">
        <v>97</v>
      </c>
      <c r="Y2" s="7" t="s">
        <v>97</v>
      </c>
      <c r="Z2" s="7" t="s">
        <v>97</v>
      </c>
      <c r="AA2" s="7" t="s">
        <v>97</v>
      </c>
      <c r="AB2" s="7" t="s">
        <v>97</v>
      </c>
      <c r="AC2" s="7" t="s">
        <v>97</v>
      </c>
      <c r="AD2" s="7" t="s">
        <v>97</v>
      </c>
      <c r="AE2" s="7" t="s">
        <v>97</v>
      </c>
      <c r="AF2" s="7" t="s">
        <v>97</v>
      </c>
      <c r="AG2" s="7" t="s">
        <v>97</v>
      </c>
      <c r="AH2" s="7" t="s">
        <v>97</v>
      </c>
      <c r="AI2" s="7" t="s">
        <v>97</v>
      </c>
      <c r="AJ2" s="7" t="s">
        <v>97</v>
      </c>
      <c r="AK2" s="7" t="s">
        <v>97</v>
      </c>
    </row>
    <row r="3" spans="1:57" ht="15.75" customHeight="1">
      <c r="A3" s="3" t="s">
        <v>43</v>
      </c>
      <c r="B3" t="s">
        <v>61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7" t="s">
        <v>97</v>
      </c>
      <c r="L3" s="7" t="s">
        <v>97</v>
      </c>
      <c r="M3" s="7" t="s">
        <v>97</v>
      </c>
      <c r="N3" s="7" t="s">
        <v>97</v>
      </c>
      <c r="O3" s="7" t="s">
        <v>97</v>
      </c>
      <c r="P3" s="7" t="s">
        <v>97</v>
      </c>
      <c r="Q3" s="7" t="s">
        <v>97</v>
      </c>
      <c r="R3" s="7" t="s">
        <v>97</v>
      </c>
      <c r="S3" s="7" t="s">
        <v>97</v>
      </c>
      <c r="T3" s="20" t="s">
        <v>97</v>
      </c>
      <c r="U3" s="3" t="s">
        <v>32</v>
      </c>
      <c r="V3" s="3" t="s">
        <v>33</v>
      </c>
      <c r="W3" s="3" t="s">
        <v>47</v>
      </c>
      <c r="X3" s="3" t="s">
        <v>48</v>
      </c>
      <c r="Y3" s="3" t="s">
        <v>49</v>
      </c>
      <c r="Z3" s="3" t="s">
        <v>50</v>
      </c>
      <c r="AA3" s="3" t="s">
        <v>34</v>
      </c>
      <c r="AB3" s="3" t="s">
        <v>35</v>
      </c>
      <c r="AC3" s="3" t="s">
        <v>36</v>
      </c>
      <c r="AD3" s="3" t="s">
        <v>51</v>
      </c>
      <c r="AE3" s="3" t="s">
        <v>52</v>
      </c>
      <c r="AF3" s="3" t="s">
        <v>53</v>
      </c>
      <c r="AG3" s="3" t="s">
        <v>54</v>
      </c>
      <c r="AH3" s="3" t="s">
        <v>55</v>
      </c>
      <c r="AI3" s="3" t="s">
        <v>56</v>
      </c>
      <c r="AJ3" s="3" t="s">
        <v>57</v>
      </c>
      <c r="AK3" s="3" t="s">
        <v>58</v>
      </c>
      <c r="AQ3" s="3" t="s">
        <v>33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34</v>
      </c>
      <c r="AW3" s="3" t="s">
        <v>35</v>
      </c>
      <c r="AX3" s="3" t="s">
        <v>36</v>
      </c>
      <c r="AY3" s="3" t="s">
        <v>51</v>
      </c>
      <c r="AZ3" s="3" t="s">
        <v>52</v>
      </c>
      <c r="BA3" s="3" t="s">
        <v>54</v>
      </c>
      <c r="BB3" s="3" t="s">
        <v>55</v>
      </c>
      <c r="BC3" s="3" t="s">
        <v>56</v>
      </c>
      <c r="BD3" s="3" t="s">
        <v>58</v>
      </c>
    </row>
    <row r="4" spans="1:57" ht="15.75" customHeight="1">
      <c r="A4" s="4" t="s">
        <v>16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16</v>
      </c>
      <c r="V4" t="s">
        <v>17</v>
      </c>
      <c r="W4">
        <v>131</v>
      </c>
      <c r="X4">
        <v>25</v>
      </c>
      <c r="Y4">
        <v>3</v>
      </c>
      <c r="Z4">
        <v>153</v>
      </c>
      <c r="AA4" t="s">
        <v>168</v>
      </c>
      <c r="AB4">
        <v>14.9</v>
      </c>
      <c r="AC4">
        <v>74.599999999999994</v>
      </c>
      <c r="AD4">
        <v>345282</v>
      </c>
      <c r="AE4">
        <v>0</v>
      </c>
      <c r="AF4" t="s">
        <v>98</v>
      </c>
      <c r="AG4">
        <v>345282</v>
      </c>
      <c r="AH4">
        <v>650631</v>
      </c>
      <c r="AI4">
        <v>0</v>
      </c>
      <c r="AJ4" t="s">
        <v>98</v>
      </c>
      <c r="AK4">
        <v>650631</v>
      </c>
      <c r="AQ4" t="s">
        <v>166</v>
      </c>
      <c r="AR4">
        <v>18</v>
      </c>
      <c r="AS4">
        <v>1</v>
      </c>
      <c r="AT4">
        <v>0</v>
      </c>
      <c r="AU4">
        <v>19</v>
      </c>
      <c r="AV4" t="s">
        <v>168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2"/>
    </row>
    <row r="5" spans="1:57">
      <c r="A5" s="4" t="s">
        <v>44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16</v>
      </c>
      <c r="V5" t="s">
        <v>174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98</v>
      </c>
      <c r="AG5">
        <v>2358</v>
      </c>
      <c r="AH5">
        <v>3408</v>
      </c>
      <c r="AI5">
        <v>0</v>
      </c>
      <c r="AJ5" t="s">
        <v>98</v>
      </c>
      <c r="AK5">
        <v>3408</v>
      </c>
      <c r="AQ5" t="s">
        <v>167</v>
      </c>
      <c r="AR5">
        <v>5</v>
      </c>
      <c r="AS5">
        <v>8</v>
      </c>
      <c r="AT5">
        <v>0</v>
      </c>
      <c r="AU5">
        <v>13</v>
      </c>
      <c r="AV5" t="s">
        <v>44</v>
      </c>
      <c r="AW5" t="s">
        <v>44</v>
      </c>
      <c r="AX5" t="s">
        <v>44</v>
      </c>
      <c r="AY5" t="s">
        <v>44</v>
      </c>
      <c r="AZ5" t="s">
        <v>98</v>
      </c>
      <c r="BA5" t="s">
        <v>44</v>
      </c>
      <c r="BB5" t="s">
        <v>44</v>
      </c>
      <c r="BC5" t="s">
        <v>98</v>
      </c>
      <c r="BD5" t="s">
        <v>44</v>
      </c>
      <c r="BE5" s="22"/>
    </row>
    <row r="6" spans="1:57">
      <c r="A6" s="4" t="s">
        <v>22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98</v>
      </c>
      <c r="AF6" t="s">
        <v>98</v>
      </c>
      <c r="AG6" t="s">
        <v>44</v>
      </c>
      <c r="AH6" t="s">
        <v>44</v>
      </c>
      <c r="AI6" t="s">
        <v>98</v>
      </c>
      <c r="AJ6" t="s">
        <v>98</v>
      </c>
      <c r="AK6" t="s">
        <v>44</v>
      </c>
      <c r="BE6" s="22"/>
    </row>
    <row r="7" spans="1:57">
      <c r="A7" s="4" t="s">
        <v>19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22</v>
      </c>
      <c r="V7" t="s">
        <v>166</v>
      </c>
      <c r="W7">
        <v>18</v>
      </c>
      <c r="X7">
        <v>1</v>
      </c>
      <c r="Y7">
        <v>0</v>
      </c>
      <c r="Z7">
        <v>19</v>
      </c>
      <c r="AA7" t="s">
        <v>168</v>
      </c>
      <c r="AB7">
        <v>12.2</v>
      </c>
      <c r="AC7">
        <v>73.5</v>
      </c>
      <c r="AD7">
        <v>69136</v>
      </c>
      <c r="AE7">
        <v>4</v>
      </c>
      <c r="AF7" t="s">
        <v>98</v>
      </c>
      <c r="AG7">
        <v>69140</v>
      </c>
      <c r="AH7">
        <v>128085.05</v>
      </c>
      <c r="AI7">
        <v>6.4</v>
      </c>
      <c r="AJ7" t="s">
        <v>98</v>
      </c>
      <c r="AK7">
        <v>128091.45</v>
      </c>
    </row>
    <row r="8" spans="1:57">
      <c r="A8" s="4" t="s">
        <v>20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22</v>
      </c>
      <c r="V8" t="s">
        <v>167</v>
      </c>
      <c r="W8">
        <v>5</v>
      </c>
      <c r="X8">
        <v>8</v>
      </c>
      <c r="Y8">
        <v>0</v>
      </c>
      <c r="Z8">
        <v>13</v>
      </c>
      <c r="AA8" t="s">
        <v>44</v>
      </c>
      <c r="AB8" t="s">
        <v>44</v>
      </c>
      <c r="AC8" t="s">
        <v>44</v>
      </c>
      <c r="AD8" t="s">
        <v>44</v>
      </c>
      <c r="AE8" t="s">
        <v>98</v>
      </c>
      <c r="AF8" t="s">
        <v>98</v>
      </c>
      <c r="AG8" t="s">
        <v>44</v>
      </c>
      <c r="AH8" t="s">
        <v>44</v>
      </c>
      <c r="AI8" t="s">
        <v>98</v>
      </c>
      <c r="AJ8" t="s">
        <v>98</v>
      </c>
      <c r="AK8" t="s">
        <v>44</v>
      </c>
    </row>
    <row r="9" spans="1:57">
      <c r="A9" s="4" t="s">
        <v>21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19</v>
      </c>
      <c r="V9" t="s">
        <v>138</v>
      </c>
      <c r="W9">
        <v>5</v>
      </c>
      <c r="X9" t="s">
        <v>44</v>
      </c>
      <c r="Y9" t="s">
        <v>44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98</v>
      </c>
      <c r="AF9" t="s">
        <v>98</v>
      </c>
      <c r="AG9">
        <v>982</v>
      </c>
      <c r="AH9">
        <v>4010</v>
      </c>
      <c r="AI9" t="s">
        <v>98</v>
      </c>
      <c r="AJ9" t="s">
        <v>98</v>
      </c>
      <c r="AK9">
        <v>4010</v>
      </c>
    </row>
    <row r="10" spans="1:57">
      <c r="A10" s="4" t="s">
        <v>25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19</v>
      </c>
      <c r="V10" t="s">
        <v>139</v>
      </c>
      <c r="W10">
        <v>3</v>
      </c>
      <c r="X10" t="s">
        <v>44</v>
      </c>
      <c r="Y10" t="s">
        <v>44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98</v>
      </c>
      <c r="AF10" t="s">
        <v>98</v>
      </c>
      <c r="AG10">
        <v>1174</v>
      </c>
      <c r="AH10">
        <v>12787</v>
      </c>
      <c r="AI10" t="s">
        <v>98</v>
      </c>
      <c r="AJ10" t="s">
        <v>98</v>
      </c>
      <c r="AK10">
        <v>12787</v>
      </c>
    </row>
    <row r="11" spans="1:57">
      <c r="A11" s="4" t="s">
        <v>27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19</v>
      </c>
      <c r="V11" t="s">
        <v>140</v>
      </c>
      <c r="W11">
        <v>12</v>
      </c>
      <c r="X11">
        <v>3</v>
      </c>
      <c r="Y11" t="s">
        <v>44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98</v>
      </c>
      <c r="AF11" t="s">
        <v>98</v>
      </c>
      <c r="AG11">
        <v>6359</v>
      </c>
      <c r="AH11">
        <v>48138</v>
      </c>
      <c r="AI11" t="s">
        <v>98</v>
      </c>
      <c r="AJ11" t="s">
        <v>98</v>
      </c>
      <c r="AK11">
        <v>48138</v>
      </c>
    </row>
    <row r="12" spans="1:57">
      <c r="A12" s="4" t="s">
        <v>28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19</v>
      </c>
      <c r="V12" t="s">
        <v>141</v>
      </c>
      <c r="W12">
        <v>23</v>
      </c>
      <c r="X12">
        <v>4</v>
      </c>
      <c r="Y12" t="s">
        <v>44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98</v>
      </c>
      <c r="AG12">
        <v>20842</v>
      </c>
      <c r="AH12">
        <v>114151</v>
      </c>
      <c r="AI12">
        <v>9</v>
      </c>
      <c r="AJ12" t="s">
        <v>98</v>
      </c>
      <c r="AK12">
        <v>114160</v>
      </c>
    </row>
    <row r="13" spans="1:57">
      <c r="A13" s="4" t="s">
        <v>171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19</v>
      </c>
      <c r="V13" t="s">
        <v>142</v>
      </c>
      <c r="W13">
        <v>22</v>
      </c>
      <c r="X13" t="s">
        <v>44</v>
      </c>
      <c r="Y13" t="s">
        <v>44</v>
      </c>
      <c r="Z13">
        <v>22</v>
      </c>
      <c r="AA13" t="s">
        <v>155</v>
      </c>
      <c r="AB13">
        <v>13.18</v>
      </c>
      <c r="AC13">
        <v>70</v>
      </c>
      <c r="AD13">
        <v>44988</v>
      </c>
      <c r="AE13">
        <v>1108</v>
      </c>
      <c r="AF13" t="s">
        <v>98</v>
      </c>
      <c r="AG13">
        <v>46096</v>
      </c>
      <c r="AH13">
        <v>78890</v>
      </c>
      <c r="AI13">
        <v>1482</v>
      </c>
      <c r="AJ13" t="s">
        <v>98</v>
      </c>
      <c r="AK13">
        <v>80373</v>
      </c>
    </row>
    <row r="14" spans="1:57">
      <c r="A14" s="4" t="s">
        <v>31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19</v>
      </c>
      <c r="V14" t="s">
        <v>143</v>
      </c>
      <c r="W14">
        <v>18</v>
      </c>
      <c r="X14">
        <v>14</v>
      </c>
      <c r="Y14">
        <v>3</v>
      </c>
      <c r="Z14">
        <v>29</v>
      </c>
      <c r="AA14" t="s">
        <v>156</v>
      </c>
      <c r="AB14">
        <v>15.66</v>
      </c>
      <c r="AC14">
        <v>76</v>
      </c>
      <c r="AD14">
        <v>39842</v>
      </c>
      <c r="AE14">
        <v>724</v>
      </c>
      <c r="AF14" t="s">
        <v>98</v>
      </c>
      <c r="AG14">
        <v>40566</v>
      </c>
      <c r="AH14">
        <v>89132</v>
      </c>
      <c r="AI14">
        <v>982</v>
      </c>
      <c r="AJ14" t="s">
        <v>98</v>
      </c>
      <c r="AK14">
        <v>90115</v>
      </c>
    </row>
    <row r="15" spans="1:57">
      <c r="A15" s="4" t="s">
        <v>40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19</v>
      </c>
      <c r="V15" t="s">
        <v>144</v>
      </c>
      <c r="W15">
        <v>20</v>
      </c>
      <c r="X15" t="s">
        <v>44</v>
      </c>
      <c r="Y15" t="s">
        <v>44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98</v>
      </c>
      <c r="AG15">
        <v>39324</v>
      </c>
      <c r="AH15">
        <v>85103</v>
      </c>
      <c r="AI15">
        <v>20</v>
      </c>
      <c r="AJ15" t="s">
        <v>98</v>
      </c>
      <c r="AK15">
        <v>85123</v>
      </c>
    </row>
    <row r="16" spans="1:57">
      <c r="A16" s="4" t="s">
        <v>41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20</v>
      </c>
      <c r="V16" t="s">
        <v>128</v>
      </c>
      <c r="W16">
        <v>23</v>
      </c>
      <c r="X16">
        <v>0</v>
      </c>
      <c r="Y16">
        <v>0</v>
      </c>
      <c r="Z16">
        <v>23</v>
      </c>
      <c r="AA16" t="s">
        <v>157</v>
      </c>
      <c r="AB16">
        <v>14.96</v>
      </c>
      <c r="AC16">
        <v>79.02</v>
      </c>
      <c r="AD16">
        <v>28850</v>
      </c>
      <c r="AE16" t="s">
        <v>98</v>
      </c>
      <c r="AF16" t="s">
        <v>98</v>
      </c>
      <c r="AG16">
        <v>28850</v>
      </c>
      <c r="AH16">
        <v>105697</v>
      </c>
      <c r="AI16" t="s">
        <v>98</v>
      </c>
      <c r="AJ16" t="s">
        <v>98</v>
      </c>
      <c r="AK16">
        <v>105697</v>
      </c>
    </row>
    <row r="17" spans="1:37">
      <c r="A17" s="4" t="s">
        <v>42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21</v>
      </c>
      <c r="V17" t="s">
        <v>121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98</v>
      </c>
      <c r="AF17" t="s">
        <v>98</v>
      </c>
      <c r="AG17" t="s">
        <v>44</v>
      </c>
      <c r="AH17" t="s">
        <v>44</v>
      </c>
      <c r="AI17" t="s">
        <v>98</v>
      </c>
      <c r="AJ17" t="s">
        <v>98</v>
      </c>
      <c r="AK17" t="s">
        <v>44</v>
      </c>
    </row>
    <row r="18" spans="1:37">
      <c r="A18" s="4" t="s">
        <v>181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21</v>
      </c>
      <c r="V18" t="s">
        <v>122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98</v>
      </c>
      <c r="AF18" t="s">
        <v>98</v>
      </c>
      <c r="AG18" t="s">
        <v>44</v>
      </c>
      <c r="AH18" t="s">
        <v>44</v>
      </c>
      <c r="AI18" t="s">
        <v>98</v>
      </c>
      <c r="AJ18" t="s">
        <v>98</v>
      </c>
      <c r="AK18" t="s">
        <v>44</v>
      </c>
    </row>
    <row r="19" spans="1:37">
      <c r="A19" s="4" t="s">
        <v>182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21</v>
      </c>
      <c r="V19" t="s">
        <v>123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98</v>
      </c>
      <c r="AF19" t="s">
        <v>98</v>
      </c>
      <c r="AG19" t="s">
        <v>44</v>
      </c>
      <c r="AH19" t="s">
        <v>44</v>
      </c>
      <c r="AI19" t="s">
        <v>98</v>
      </c>
      <c r="AJ19" t="s">
        <v>98</v>
      </c>
      <c r="AK19" t="s">
        <v>44</v>
      </c>
    </row>
    <row r="20" spans="1:37">
      <c r="A20" s="4" t="s">
        <v>45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23</v>
      </c>
      <c r="V20" t="s">
        <v>129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98</v>
      </c>
      <c r="AG20">
        <v>5143</v>
      </c>
      <c r="AH20">
        <v>7842</v>
      </c>
      <c r="AI20">
        <v>437</v>
      </c>
      <c r="AJ20" t="s">
        <v>98</v>
      </c>
      <c r="AK20">
        <v>8279</v>
      </c>
    </row>
    <row r="21" spans="1:37">
      <c r="T21" s="21" t="str">
        <f t="shared" si="0"/>
        <v>JET AIRWAYSB- 737 - 800</v>
      </c>
      <c r="U21" t="s">
        <v>23</v>
      </c>
      <c r="V21" t="s">
        <v>130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160</v>
      </c>
      <c r="AD21">
        <v>135957</v>
      </c>
      <c r="AE21">
        <v>828</v>
      </c>
      <c r="AF21" t="s">
        <v>98</v>
      </c>
      <c r="AG21">
        <v>136785</v>
      </c>
      <c r="AH21">
        <v>309764</v>
      </c>
      <c r="AI21">
        <v>1161</v>
      </c>
      <c r="AJ21" t="s">
        <v>98</v>
      </c>
      <c r="AK21">
        <v>310925</v>
      </c>
    </row>
    <row r="22" spans="1:37">
      <c r="T22" s="21" t="str">
        <f t="shared" si="0"/>
        <v>JET AIRWAYSB- 737 - 900</v>
      </c>
      <c r="U22" t="s">
        <v>23</v>
      </c>
      <c r="V22" t="s">
        <v>131</v>
      </c>
      <c r="W22">
        <v>6</v>
      </c>
      <c r="X22">
        <v>0</v>
      </c>
      <c r="Y22">
        <v>0</v>
      </c>
      <c r="Z22">
        <v>6</v>
      </c>
      <c r="AA22" t="s">
        <v>158</v>
      </c>
      <c r="AB22">
        <v>19</v>
      </c>
      <c r="AC22">
        <v>74.3</v>
      </c>
      <c r="AD22">
        <v>11060</v>
      </c>
      <c r="AE22">
        <v>2</v>
      </c>
      <c r="AF22" t="s">
        <v>98</v>
      </c>
      <c r="AG22">
        <v>11062</v>
      </c>
      <c r="AH22">
        <v>29406</v>
      </c>
      <c r="AI22">
        <v>1</v>
      </c>
      <c r="AJ22" t="s">
        <v>98</v>
      </c>
      <c r="AK22">
        <v>29407</v>
      </c>
    </row>
    <row r="23" spans="1:37">
      <c r="T23" s="21" t="str">
        <f t="shared" si="0"/>
        <v>JET AIRWAYSATR 72 - 500 / 600</v>
      </c>
      <c r="U23" t="s">
        <v>23</v>
      </c>
      <c r="V23" t="s">
        <v>132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98</v>
      </c>
      <c r="AG23">
        <v>43431</v>
      </c>
      <c r="AH23">
        <v>54266</v>
      </c>
      <c r="AI23">
        <v>26</v>
      </c>
      <c r="AJ23" t="s">
        <v>98</v>
      </c>
      <c r="AK23">
        <v>54292</v>
      </c>
    </row>
    <row r="24" spans="1:37">
      <c r="T24" s="21" t="str">
        <f t="shared" si="0"/>
        <v>JET AIRWAYSA 330- 200 / 300</v>
      </c>
      <c r="U24" t="s">
        <v>23</v>
      </c>
      <c r="V24" t="s">
        <v>133</v>
      </c>
      <c r="W24">
        <v>8</v>
      </c>
      <c r="X24">
        <v>0</v>
      </c>
      <c r="Y24">
        <v>0</v>
      </c>
      <c r="Z24">
        <v>8</v>
      </c>
      <c r="AA24" t="s">
        <v>159</v>
      </c>
      <c r="AB24">
        <v>43</v>
      </c>
      <c r="AC24">
        <v>233</v>
      </c>
      <c r="AD24">
        <v>8780</v>
      </c>
      <c r="AE24">
        <v>2</v>
      </c>
      <c r="AF24" t="s">
        <v>98</v>
      </c>
      <c r="AG24">
        <v>8782</v>
      </c>
      <c r="AH24">
        <v>39583</v>
      </c>
      <c r="AI24">
        <v>13</v>
      </c>
      <c r="AJ24" t="s">
        <v>98</v>
      </c>
      <c r="AK24">
        <v>39596</v>
      </c>
    </row>
    <row r="25" spans="1:37">
      <c r="T25" s="21" t="str">
        <f t="shared" si="0"/>
        <v>JET AIRWAYSB 777- 300 ER</v>
      </c>
      <c r="U25" t="s">
        <v>23</v>
      </c>
      <c r="V25" t="s">
        <v>134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161</v>
      </c>
      <c r="AD25">
        <v>6761</v>
      </c>
      <c r="AE25">
        <v>0</v>
      </c>
      <c r="AF25" t="s">
        <v>98</v>
      </c>
      <c r="AG25">
        <v>6761</v>
      </c>
      <c r="AH25">
        <v>53165</v>
      </c>
      <c r="AI25">
        <v>0</v>
      </c>
      <c r="AJ25" t="s">
        <v>98</v>
      </c>
      <c r="AK25">
        <v>53165</v>
      </c>
    </row>
    <row r="26" spans="1:37">
      <c r="T26" s="21" t="str">
        <f t="shared" si="0"/>
        <v>JETLITEBoeing 737 - 700</v>
      </c>
      <c r="U26" t="s">
        <v>24</v>
      </c>
      <c r="V26" t="s">
        <v>135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98</v>
      </c>
      <c r="AG26">
        <v>9358</v>
      </c>
      <c r="AH26">
        <v>13833</v>
      </c>
      <c r="AI26">
        <v>7</v>
      </c>
      <c r="AJ26" t="s">
        <v>98</v>
      </c>
      <c r="AK26">
        <v>13840</v>
      </c>
    </row>
    <row r="27" spans="1:37">
      <c r="T27" s="21" t="str">
        <f t="shared" si="0"/>
        <v>JETLITEBoeing 737 - 800</v>
      </c>
      <c r="U27" t="s">
        <v>24</v>
      </c>
      <c r="V27" t="s">
        <v>136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98</v>
      </c>
      <c r="AG27">
        <v>12747</v>
      </c>
      <c r="AH27">
        <v>21900</v>
      </c>
      <c r="AI27">
        <v>17</v>
      </c>
      <c r="AJ27" t="s">
        <v>98</v>
      </c>
      <c r="AK27">
        <v>21917</v>
      </c>
    </row>
    <row r="28" spans="1:37">
      <c r="T28" s="21" t="str">
        <f t="shared" si="0"/>
        <v>SPICEJET737 - 700</v>
      </c>
      <c r="U28" t="s">
        <v>25</v>
      </c>
      <c r="V28" t="s">
        <v>149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98</v>
      </c>
      <c r="AG28">
        <v>5303</v>
      </c>
      <c r="AH28">
        <v>6894.19</v>
      </c>
      <c r="AI28">
        <v>0</v>
      </c>
      <c r="AJ28" t="s">
        <v>98</v>
      </c>
      <c r="AK28">
        <v>6894.19</v>
      </c>
    </row>
    <row r="29" spans="1:37">
      <c r="T29" s="21" t="str">
        <f t="shared" si="0"/>
        <v>SPICEJET737 - 800</v>
      </c>
      <c r="U29" t="s">
        <v>25</v>
      </c>
      <c r="V29" t="s">
        <v>150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98</v>
      </c>
      <c r="AG29">
        <v>67010</v>
      </c>
      <c r="AH29">
        <v>1177648.18</v>
      </c>
      <c r="AI29">
        <v>9</v>
      </c>
      <c r="AJ29" t="s">
        <v>98</v>
      </c>
      <c r="AK29">
        <v>117657.07</v>
      </c>
    </row>
    <row r="30" spans="1:37">
      <c r="T30" s="21" t="str">
        <f t="shared" si="0"/>
        <v>SPICEJET737 - 900 ER</v>
      </c>
      <c r="U30" t="s">
        <v>25</v>
      </c>
      <c r="V30" t="s">
        <v>151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98</v>
      </c>
      <c r="AG30">
        <v>9373</v>
      </c>
      <c r="AH30">
        <v>15278.56</v>
      </c>
      <c r="AI30">
        <v>0</v>
      </c>
      <c r="AJ30" t="s">
        <v>98</v>
      </c>
      <c r="AK30">
        <v>15278.56</v>
      </c>
    </row>
    <row r="31" spans="1:37">
      <c r="T31" s="21" t="str">
        <f t="shared" si="0"/>
        <v>SPICEJETDH8</v>
      </c>
      <c r="U31" t="s">
        <v>25</v>
      </c>
      <c r="V31" t="s">
        <v>152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98</v>
      </c>
      <c r="AG31">
        <v>56632</v>
      </c>
      <c r="AH31">
        <v>57909.02</v>
      </c>
      <c r="AI31">
        <v>2.27</v>
      </c>
      <c r="AJ31" t="s">
        <v>98</v>
      </c>
      <c r="AK31">
        <v>57911.29</v>
      </c>
    </row>
    <row r="32" spans="1:37">
      <c r="T32" s="21" t="str">
        <f t="shared" si="0"/>
        <v>SPICEJETA319</v>
      </c>
      <c r="U32" t="s">
        <v>25</v>
      </c>
      <c r="V32" t="s">
        <v>153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98</v>
      </c>
      <c r="AF32" t="s">
        <v>98</v>
      </c>
      <c r="AG32" t="s">
        <v>44</v>
      </c>
      <c r="AH32" t="s">
        <v>44</v>
      </c>
      <c r="AI32" t="s">
        <v>98</v>
      </c>
      <c r="AJ32" t="s">
        <v>98</v>
      </c>
      <c r="AK32" t="s">
        <v>44</v>
      </c>
    </row>
    <row r="33" spans="20:37">
      <c r="T33" s="21" t="str">
        <f t="shared" si="0"/>
        <v>SPICEJETA 320</v>
      </c>
      <c r="U33" t="s">
        <v>25</v>
      </c>
      <c r="V33" t="s">
        <v>154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98</v>
      </c>
      <c r="AF33" t="s">
        <v>98</v>
      </c>
      <c r="AG33" t="s">
        <v>44</v>
      </c>
      <c r="AH33" t="s">
        <v>44</v>
      </c>
      <c r="AI33" t="s">
        <v>98</v>
      </c>
      <c r="AJ33" t="s">
        <v>98</v>
      </c>
      <c r="AK33" t="s">
        <v>44</v>
      </c>
    </row>
    <row r="34" spans="20:37">
      <c r="T34" s="21" t="str">
        <f t="shared" si="0"/>
        <v>AIR COSTA(blank)</v>
      </c>
      <c r="U34" t="s">
        <v>26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98</v>
      </c>
      <c r="AF34" t="s">
        <v>98</v>
      </c>
      <c r="AG34" t="s">
        <v>44</v>
      </c>
      <c r="AH34" t="s">
        <v>44</v>
      </c>
      <c r="AI34" t="s">
        <v>98</v>
      </c>
      <c r="AJ34" t="s">
        <v>98</v>
      </c>
      <c r="AK34" t="s">
        <v>44</v>
      </c>
    </row>
    <row r="35" spans="20:37">
      <c r="T35" s="21" t="str">
        <f t="shared" si="0"/>
        <v>AIR ASIAAIRBUS A320</v>
      </c>
      <c r="U35" t="s">
        <v>27</v>
      </c>
      <c r="V35" t="s">
        <v>124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98</v>
      </c>
      <c r="AG35">
        <v>33127</v>
      </c>
      <c r="AH35">
        <v>47179</v>
      </c>
      <c r="AI35">
        <v>171</v>
      </c>
      <c r="AJ35" t="s">
        <v>98</v>
      </c>
      <c r="AK35">
        <v>47351</v>
      </c>
    </row>
    <row r="36" spans="20:37">
      <c r="T36" s="21" t="str">
        <f t="shared" si="0"/>
        <v>VISTARAAirbus Industrie</v>
      </c>
      <c r="U36" t="s">
        <v>28</v>
      </c>
      <c r="V36" t="s">
        <v>137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98</v>
      </c>
      <c r="AG36">
        <v>28216</v>
      </c>
      <c r="AH36">
        <v>47697.52</v>
      </c>
      <c r="AI36">
        <v>34</v>
      </c>
      <c r="AJ36" t="s">
        <v>98</v>
      </c>
      <c r="AK36">
        <v>47732</v>
      </c>
    </row>
    <row r="37" spans="20:37">
      <c r="T37" s="21" t="str">
        <f t="shared" si="0"/>
        <v>VISTARAAirbus Industrie</v>
      </c>
      <c r="U37" t="s">
        <v>28</v>
      </c>
      <c r="V37" t="s">
        <v>137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98</v>
      </c>
      <c r="AG37">
        <v>4829</v>
      </c>
      <c r="AH37">
        <v>9358</v>
      </c>
      <c r="AI37">
        <v>48</v>
      </c>
      <c r="AJ37" t="s">
        <v>98</v>
      </c>
      <c r="AK37">
        <v>9406</v>
      </c>
    </row>
    <row r="38" spans="20:37">
      <c r="T38" s="21" t="str">
        <f t="shared" si="0"/>
        <v>BLUE DART BOEING 757- 200</v>
      </c>
      <c r="U38" t="s">
        <v>171</v>
      </c>
      <c r="V38" t="s">
        <v>125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98</v>
      </c>
      <c r="AG38">
        <v>6148</v>
      </c>
      <c r="AH38">
        <v>8329</v>
      </c>
      <c r="AI38">
        <v>121</v>
      </c>
      <c r="AJ38" t="s">
        <v>98</v>
      </c>
      <c r="AK38">
        <v>8450</v>
      </c>
    </row>
    <row r="39" spans="20:37">
      <c r="T39" s="21" t="str">
        <f t="shared" si="0"/>
        <v>BLUE DART BOEING 757 - 200</v>
      </c>
      <c r="U39" t="s">
        <v>171</v>
      </c>
      <c r="V39" t="s">
        <v>172</v>
      </c>
      <c r="W39">
        <v>6</v>
      </c>
      <c r="X39">
        <v>0</v>
      </c>
      <c r="Y39">
        <v>0</v>
      </c>
      <c r="Z39">
        <v>6</v>
      </c>
      <c r="AA39" t="s">
        <v>44</v>
      </c>
      <c r="AB39">
        <v>36</v>
      </c>
      <c r="AC39">
        <v>109</v>
      </c>
      <c r="AD39">
        <v>6023</v>
      </c>
      <c r="AE39">
        <v>125</v>
      </c>
      <c r="AF39" t="s">
        <v>98</v>
      </c>
      <c r="AG39">
        <v>6148</v>
      </c>
      <c r="AH39">
        <v>8329</v>
      </c>
      <c r="AI39">
        <v>121</v>
      </c>
      <c r="AJ39" t="s">
        <v>98</v>
      </c>
      <c r="AK39">
        <v>8450</v>
      </c>
    </row>
    <row r="40" spans="20:37">
      <c r="T40" s="21" t="str">
        <f t="shared" si="0"/>
        <v>AIR PEGASUS(blank)</v>
      </c>
      <c r="U40" t="s">
        <v>30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98</v>
      </c>
      <c r="AF40" t="s">
        <v>98</v>
      </c>
      <c r="AG40" t="s">
        <v>44</v>
      </c>
      <c r="AH40" t="s">
        <v>44</v>
      </c>
      <c r="AI40" t="s">
        <v>98</v>
      </c>
      <c r="AJ40" t="s">
        <v>98</v>
      </c>
      <c r="AK40" t="s">
        <v>44</v>
      </c>
    </row>
    <row r="41" spans="20:37">
      <c r="T41" s="21" t="str">
        <f t="shared" si="0"/>
        <v>TRUEJETATR 72-212 A / VT-TMK</v>
      </c>
      <c r="U41" t="s">
        <v>31</v>
      </c>
      <c r="V41" t="s">
        <v>145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98</v>
      </c>
      <c r="AG41">
        <v>1794</v>
      </c>
      <c r="AH41">
        <v>2396.56</v>
      </c>
      <c r="AI41" t="s">
        <v>98</v>
      </c>
      <c r="AJ41" t="s">
        <v>98</v>
      </c>
      <c r="AK41">
        <v>2396.56</v>
      </c>
    </row>
    <row r="42" spans="20:37">
      <c r="T42" s="21" t="str">
        <f t="shared" si="0"/>
        <v>TRUEJETATR 72-212 A / VT-TMP</v>
      </c>
      <c r="U42" t="s">
        <v>31</v>
      </c>
      <c r="V42" t="s">
        <v>146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98</v>
      </c>
      <c r="AF42" t="s">
        <v>98</v>
      </c>
      <c r="AG42">
        <v>2212</v>
      </c>
      <c r="AH42">
        <v>2957.33</v>
      </c>
      <c r="AI42" t="s">
        <v>98</v>
      </c>
      <c r="AJ42" t="s">
        <v>98</v>
      </c>
      <c r="AK42">
        <v>2957.33</v>
      </c>
    </row>
    <row r="43" spans="20:37">
      <c r="T43" s="21" t="str">
        <f t="shared" si="0"/>
        <v>TRUEJETATR 72-212 A / VT-TMU</v>
      </c>
      <c r="U43" t="s">
        <v>31</v>
      </c>
      <c r="V43" t="s">
        <v>147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98</v>
      </c>
      <c r="AF43" t="s">
        <v>98</v>
      </c>
      <c r="AG43">
        <v>2546</v>
      </c>
      <c r="AH43">
        <v>3312.12</v>
      </c>
      <c r="AI43" t="s">
        <v>98</v>
      </c>
      <c r="AJ43" t="s">
        <v>98</v>
      </c>
      <c r="AK43">
        <v>3312.12</v>
      </c>
    </row>
    <row r="44" spans="20:37">
      <c r="T44" s="21" t="str">
        <f t="shared" si="0"/>
        <v>TRUEJETATR 72-212 A / VT-TMC</v>
      </c>
      <c r="U44" t="s">
        <v>31</v>
      </c>
      <c r="V44" t="s">
        <v>148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98</v>
      </c>
      <c r="AF44" t="s">
        <v>98</v>
      </c>
      <c r="AG44">
        <v>2374</v>
      </c>
      <c r="AH44">
        <v>3040.53</v>
      </c>
      <c r="AI44" t="s">
        <v>98</v>
      </c>
      <c r="AJ44" t="s">
        <v>98</v>
      </c>
      <c r="AK44">
        <v>3040.53</v>
      </c>
    </row>
    <row r="45" spans="20:37">
      <c r="T45" s="21" t="str">
        <f t="shared" si="0"/>
        <v>SCHEDULED NATIONAL AIRLINES(blank)</v>
      </c>
      <c r="U45" t="s">
        <v>40</v>
      </c>
      <c r="V45" t="s">
        <v>44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41</v>
      </c>
      <c r="V46" t="s">
        <v>44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42</v>
      </c>
      <c r="V47" t="s">
        <v>44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126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98</v>
      </c>
      <c r="AF48" t="s">
        <v>98</v>
      </c>
      <c r="AG48" t="s">
        <v>44</v>
      </c>
      <c r="AH48" t="s">
        <v>44</v>
      </c>
      <c r="AI48" t="s">
        <v>98</v>
      </c>
      <c r="AJ48" t="s">
        <v>98</v>
      </c>
      <c r="AK48" t="s">
        <v>44</v>
      </c>
    </row>
    <row r="49" spans="20:37">
      <c r="T49" s="21" t="str">
        <f t="shared" si="0"/>
        <v>ZOOM AIRBOMBADIER CRJ200LR ,MSN-7809, VT-ZOA</v>
      </c>
      <c r="U49" t="s">
        <v>127</v>
      </c>
      <c r="V49" t="s">
        <v>162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98</v>
      </c>
      <c r="AG49">
        <v>748</v>
      </c>
      <c r="AH49">
        <v>873</v>
      </c>
      <c r="AI49">
        <v>38</v>
      </c>
      <c r="AJ49" t="s">
        <v>98</v>
      </c>
      <c r="AK49">
        <v>912</v>
      </c>
    </row>
    <row r="50" spans="20:37">
      <c r="T50" s="21" t="str">
        <f t="shared" si="0"/>
        <v>ZOOM AIRBOMBADIER CRJ200LR ,MSN 7816, VT-ZOB</v>
      </c>
      <c r="U50" t="s">
        <v>127</v>
      </c>
      <c r="V50" t="s">
        <v>163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98</v>
      </c>
      <c r="AG50">
        <v>153</v>
      </c>
      <c r="AH50">
        <v>137</v>
      </c>
      <c r="AI50">
        <v>28</v>
      </c>
      <c r="AJ50" t="s">
        <v>98</v>
      </c>
      <c r="AK50">
        <v>165</v>
      </c>
    </row>
    <row r="51" spans="20:37">
      <c r="T51" s="21" t="str">
        <f t="shared" si="0"/>
        <v>ZOOM AIRBOMBADIER CRJ200ER ,VT-ZOC. VT-ZOD</v>
      </c>
      <c r="U51" t="s">
        <v>127</v>
      </c>
      <c r="V51" t="s">
        <v>164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98</v>
      </c>
      <c r="AG51">
        <v>0</v>
      </c>
      <c r="AH51">
        <v>0</v>
      </c>
      <c r="AI51">
        <v>0</v>
      </c>
      <c r="AJ51" t="s">
        <v>98</v>
      </c>
      <c r="AK51">
        <v>0</v>
      </c>
    </row>
    <row r="52" spans="20:37">
      <c r="T52" s="21" t="str">
        <f t="shared" si="0"/>
        <v>ZOOM AIRBOMBADIER CRJ200ER ,VT-ZOC. VT-ZOD</v>
      </c>
      <c r="U52" t="s">
        <v>127</v>
      </c>
      <c r="V52" t="s">
        <v>164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98</v>
      </c>
      <c r="AG52">
        <v>295</v>
      </c>
      <c r="AH52">
        <v>329</v>
      </c>
      <c r="AI52">
        <v>34</v>
      </c>
      <c r="AJ52" t="s">
        <v>98</v>
      </c>
      <c r="AK52">
        <v>363</v>
      </c>
    </row>
    <row r="53" spans="20:37">
      <c r="T53" s="21" t="str">
        <f t="shared" si="0"/>
        <v>ZOOM AIRBOMBADIER CRJ100 ,VT-ARE</v>
      </c>
      <c r="U53" t="s">
        <v>127</v>
      </c>
      <c r="V53" t="s">
        <v>165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98</v>
      </c>
      <c r="AG53">
        <v>0</v>
      </c>
      <c r="AH53">
        <v>0</v>
      </c>
      <c r="AI53">
        <v>0</v>
      </c>
      <c r="AJ53" t="s">
        <v>98</v>
      </c>
      <c r="AK53">
        <v>0</v>
      </c>
    </row>
    <row r="54" spans="20:37">
      <c r="T54" s="21" t="str">
        <f t="shared" si="0"/>
        <v>AIR ODDISACESSNA CARAVAN 208B</v>
      </c>
      <c r="U54" t="s">
        <v>169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98</v>
      </c>
      <c r="AG54">
        <v>564</v>
      </c>
      <c r="AH54">
        <v>0</v>
      </c>
      <c r="AI54">
        <v>641.45000000000005</v>
      </c>
      <c r="AJ54" t="s">
        <v>98</v>
      </c>
      <c r="AK54">
        <v>641.25</v>
      </c>
    </row>
    <row r="55" spans="20:37">
      <c r="T55" s="21" t="str">
        <f t="shared" si="0"/>
        <v>AIR ODDISABEECHCRAFT 1900D</v>
      </c>
      <c r="U55" t="s">
        <v>169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98</v>
      </c>
      <c r="AG55">
        <v>44</v>
      </c>
      <c r="AH55">
        <v>20.37</v>
      </c>
      <c r="AI55">
        <v>0</v>
      </c>
      <c r="AJ55" t="s">
        <v>98</v>
      </c>
      <c r="AK55">
        <v>20.37</v>
      </c>
    </row>
    <row r="56" spans="20:37">
      <c r="T56" s="21" t="str">
        <f t="shared" si="0"/>
        <v>AIR DECCANBEECHCRAFT 1900D</v>
      </c>
      <c r="U56" t="s">
        <v>170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173</v>
      </c>
      <c r="AB56">
        <v>0</v>
      </c>
      <c r="AC56">
        <v>0</v>
      </c>
      <c r="AD56">
        <v>267</v>
      </c>
      <c r="AE56">
        <v>0</v>
      </c>
      <c r="AF56" t="s">
        <v>98</v>
      </c>
      <c r="AG56">
        <v>267</v>
      </c>
      <c r="AH56">
        <v>299</v>
      </c>
      <c r="AI56">
        <v>0</v>
      </c>
      <c r="AJ56" t="s">
        <v>98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43</v>
      </c>
      <c r="B3" t="s">
        <v>62</v>
      </c>
      <c r="C3" t="s">
        <v>72</v>
      </c>
      <c r="V3" s="6" t="s">
        <v>73</v>
      </c>
      <c r="W3" s="3" t="s">
        <v>37</v>
      </c>
      <c r="X3" s="3" t="s">
        <v>59</v>
      </c>
      <c r="Y3" t="s">
        <v>71</v>
      </c>
      <c r="Z3" t="s">
        <v>62</v>
      </c>
      <c r="AA3" t="s">
        <v>72</v>
      </c>
    </row>
    <row r="4" spans="1:27">
      <c r="A4" s="4" t="s">
        <v>27</v>
      </c>
      <c r="B4" s="5">
        <v>2467</v>
      </c>
      <c r="C4" s="5">
        <v>3806.1423290000002</v>
      </c>
      <c r="V4" t="str">
        <f>W4&amp;X4</f>
        <v>AIR ASIAP1</v>
      </c>
      <c r="W4" t="s">
        <v>27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19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27</v>
      </c>
      <c r="X5" t="s">
        <v>8</v>
      </c>
      <c r="Y5" s="5"/>
      <c r="Z5" s="5"/>
      <c r="AA5" s="5"/>
    </row>
    <row r="6" spans="1:27">
      <c r="A6" s="4" t="s">
        <v>20</v>
      </c>
      <c r="B6" s="5">
        <v>1472</v>
      </c>
      <c r="C6" s="5">
        <v>2956.1</v>
      </c>
      <c r="V6" t="str">
        <f t="shared" si="0"/>
        <v>AIR ASIAP3</v>
      </c>
      <c r="W6" t="s">
        <v>27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42</v>
      </c>
      <c r="B7" s="5">
        <v>61052</v>
      </c>
      <c r="C7" s="5">
        <v>93775.981349000009</v>
      </c>
      <c r="V7" t="str">
        <f t="shared" si="0"/>
        <v>AIR ASIAP4</v>
      </c>
      <c r="W7" t="s">
        <v>27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21</v>
      </c>
      <c r="B8" s="5">
        <v>648</v>
      </c>
      <c r="C8" s="5">
        <v>1392.7165519999999</v>
      </c>
      <c r="V8" t="str">
        <f t="shared" si="0"/>
        <v>AIR ASIAP4.1</v>
      </c>
      <c r="W8" t="s">
        <v>27</v>
      </c>
      <c r="X8" t="s">
        <v>38</v>
      </c>
      <c r="Y8" s="5">
        <v>180</v>
      </c>
      <c r="Z8" s="5">
        <v>199</v>
      </c>
      <c r="AA8" s="5">
        <v>337.623289</v>
      </c>
    </row>
    <row r="9" spans="1:27">
      <c r="A9" s="4" t="s">
        <v>29</v>
      </c>
      <c r="B9" s="5">
        <v>1389</v>
      </c>
      <c r="C9" s="5">
        <v>1617.18</v>
      </c>
      <c r="V9" t="str">
        <f t="shared" si="0"/>
        <v>AIR ASIAP4.2</v>
      </c>
      <c r="W9" t="s">
        <v>27</v>
      </c>
      <c r="X9" t="s">
        <v>39</v>
      </c>
      <c r="Y9" s="5"/>
      <c r="Z9" s="5"/>
      <c r="AA9" s="5"/>
    </row>
    <row r="10" spans="1:27">
      <c r="A10" s="4" t="s">
        <v>22</v>
      </c>
      <c r="B10" s="5">
        <v>4140</v>
      </c>
      <c r="C10" s="5">
        <v>6380</v>
      </c>
      <c r="V10" t="str">
        <f t="shared" si="0"/>
        <v>AIR ASIAP5</v>
      </c>
      <c r="W10" t="s">
        <v>27</v>
      </c>
      <c r="X10" t="s">
        <v>11</v>
      </c>
      <c r="Y10" s="5"/>
      <c r="Z10" s="5"/>
      <c r="AA10" s="5"/>
    </row>
    <row r="11" spans="1:27">
      <c r="A11" s="4" t="s">
        <v>16</v>
      </c>
      <c r="B11" s="5">
        <v>25201</v>
      </c>
      <c r="C11" s="5">
        <v>33290.79</v>
      </c>
      <c r="V11" t="str">
        <f t="shared" si="0"/>
        <v>AIR ASIAP6</v>
      </c>
      <c r="W11" t="s">
        <v>27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40</v>
      </c>
      <c r="B12" s="5">
        <v>12112</v>
      </c>
      <c r="C12" s="5">
        <v>34401.086552000001</v>
      </c>
      <c r="V12" t="str">
        <f t="shared" si="0"/>
        <v>AIR INDIAP1</v>
      </c>
      <c r="W12" t="s">
        <v>19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41</v>
      </c>
      <c r="B13" s="5">
        <v>48940</v>
      </c>
      <c r="C13" s="5">
        <v>59374.894797000001</v>
      </c>
      <c r="V13" t="str">
        <f t="shared" si="0"/>
        <v>AIR INDIAP2</v>
      </c>
      <c r="W13" t="s">
        <v>19</v>
      </c>
      <c r="X13" t="s">
        <v>8</v>
      </c>
      <c r="Y13" s="5"/>
      <c r="Z13" s="5"/>
      <c r="AA13" s="5"/>
    </row>
    <row r="14" spans="1:27">
      <c r="A14" s="4" t="s">
        <v>25</v>
      </c>
      <c r="B14" s="5">
        <v>12094</v>
      </c>
      <c r="C14" s="5">
        <v>9401.4900000000016</v>
      </c>
      <c r="V14" t="str">
        <f t="shared" si="0"/>
        <v>AIR INDIAP3</v>
      </c>
      <c r="W14" t="s">
        <v>19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31</v>
      </c>
      <c r="B15" s="5">
        <v>895</v>
      </c>
      <c r="C15" s="5">
        <v>801.87858399999982</v>
      </c>
      <c r="V15" t="str">
        <f t="shared" si="0"/>
        <v>AIR INDIAP4</v>
      </c>
      <c r="W15" t="s">
        <v>19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28</v>
      </c>
      <c r="B16" s="5">
        <v>2721</v>
      </c>
      <c r="C16" s="5">
        <v>4070.3999999999996</v>
      </c>
      <c r="V16" t="str">
        <f t="shared" si="0"/>
        <v>AIR INDIAP4.1</v>
      </c>
      <c r="W16" t="s">
        <v>19</v>
      </c>
      <c r="X16" t="s">
        <v>38</v>
      </c>
      <c r="Y16" s="5"/>
      <c r="Z16" s="5"/>
      <c r="AA16" s="5"/>
    </row>
    <row r="17" spans="1:27">
      <c r="A17" s="4" t="s">
        <v>44</v>
      </c>
      <c r="B17" s="5"/>
      <c r="C17" s="5"/>
      <c r="V17" t="str">
        <f t="shared" si="0"/>
        <v>AIR INDIAP4.2</v>
      </c>
      <c r="W17" t="s">
        <v>19</v>
      </c>
      <c r="X17" t="s">
        <v>39</v>
      </c>
      <c r="Y17" s="5"/>
      <c r="Z17" s="5"/>
      <c r="AA17" s="5"/>
    </row>
    <row r="18" spans="1:27">
      <c r="A18" s="4" t="s">
        <v>181</v>
      </c>
      <c r="B18" s="5"/>
      <c r="C18" s="5"/>
      <c r="V18" t="str">
        <f t="shared" si="0"/>
        <v>AIR INDIAP5</v>
      </c>
      <c r="W18" t="s">
        <v>19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183</v>
      </c>
      <c r="B19" s="5">
        <v>33</v>
      </c>
      <c r="C19" s="5">
        <v>7.0138840000000009</v>
      </c>
      <c r="V19" t="str">
        <f t="shared" si="0"/>
        <v>AIR INDIAP6</v>
      </c>
      <c r="W19" t="s">
        <v>19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45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20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20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20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20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20</v>
      </c>
      <c r="X24" t="s">
        <v>38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20</v>
      </c>
      <c r="X25" t="s">
        <v>39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20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20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42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42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42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42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42</v>
      </c>
      <c r="X32" t="s">
        <v>38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42</v>
      </c>
      <c r="X33" t="s">
        <v>39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42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42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21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21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21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21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21</v>
      </c>
      <c r="X40" t="s">
        <v>38</v>
      </c>
      <c r="Y40" s="5"/>
      <c r="Z40" s="5"/>
      <c r="AA40" s="5"/>
    </row>
    <row r="41" spans="22:27">
      <c r="V41" t="str">
        <f t="shared" si="0"/>
        <v>ALLIANCE AIRP4.2</v>
      </c>
      <c r="W41" t="s">
        <v>21</v>
      </c>
      <c r="X41" t="s">
        <v>39</v>
      </c>
      <c r="Y41" s="5"/>
      <c r="Z41" s="5"/>
      <c r="AA41" s="5"/>
    </row>
    <row r="42" spans="22:27">
      <c r="V42" t="str">
        <f t="shared" si="0"/>
        <v>ALLIANCE AIRP5</v>
      </c>
      <c r="W42" t="s">
        <v>21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21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29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29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29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29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29</v>
      </c>
      <c r="X48" t="s">
        <v>38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29</v>
      </c>
      <c r="X49" t="s">
        <v>39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29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29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22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22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22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22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22</v>
      </c>
      <c r="X56" t="s">
        <v>38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22</v>
      </c>
      <c r="X57" t="s">
        <v>39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22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22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16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16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16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16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16</v>
      </c>
      <c r="X64" t="s">
        <v>38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16</v>
      </c>
      <c r="X65" t="s">
        <v>39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16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16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40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40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40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40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40</v>
      </c>
      <c r="X72" t="s">
        <v>38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40</v>
      </c>
      <c r="X73" t="s">
        <v>39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40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40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41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41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41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41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41</v>
      </c>
      <c r="X80" t="s">
        <v>38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41</v>
      </c>
      <c r="X81" t="s">
        <v>39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41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41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25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25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25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25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25</v>
      </c>
      <c r="X88" t="s">
        <v>38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25</v>
      </c>
      <c r="X89" t="s">
        <v>39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25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25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31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31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31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31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31</v>
      </c>
      <c r="X96" t="s">
        <v>38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31</v>
      </c>
      <c r="X97" t="s">
        <v>39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31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31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28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28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28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28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28</v>
      </c>
      <c r="X104" t="s">
        <v>38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28</v>
      </c>
      <c r="X105" t="s">
        <v>39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28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28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44</v>
      </c>
      <c r="X108" t="s">
        <v>44</v>
      </c>
      <c r="Y108" s="5"/>
      <c r="Z108" s="5"/>
      <c r="AA108" s="5"/>
    </row>
    <row r="109" spans="22:27">
      <c r="V109" t="str">
        <f t="shared" si="1"/>
        <v>STAR AIRP1</v>
      </c>
      <c r="W109" t="s">
        <v>181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181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181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181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181</v>
      </c>
      <c r="X113" t="s">
        <v>38</v>
      </c>
      <c r="Y113" s="5"/>
      <c r="Z113" s="5"/>
      <c r="AA113" s="5"/>
    </row>
    <row r="114" spans="22:27">
      <c r="V114" t="str">
        <f t="shared" si="1"/>
        <v>STAR AIRP4.2</v>
      </c>
      <c r="W114" t="s">
        <v>181</v>
      </c>
      <c r="X114" t="s">
        <v>39</v>
      </c>
      <c r="Y114" s="5"/>
      <c r="Z114" s="5"/>
      <c r="AA114" s="5"/>
    </row>
    <row r="115" spans="22:27">
      <c r="V115" t="str">
        <f t="shared" si="1"/>
        <v>STAR AIRP5</v>
      </c>
      <c r="W115" t="s">
        <v>181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181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183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183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183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183</v>
      </c>
      <c r="X121" t="s">
        <v>38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183</v>
      </c>
      <c r="X122" t="s">
        <v>39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183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14</v>
      </c>
      <c r="C2" s="9" t="s">
        <v>99</v>
      </c>
      <c r="D2" s="9" t="s">
        <v>100</v>
      </c>
      <c r="E2" s="9" t="s">
        <v>15</v>
      </c>
      <c r="F2" s="9" t="s">
        <v>101</v>
      </c>
      <c r="G2" s="10" t="s">
        <v>102</v>
      </c>
      <c r="H2" s="10" t="s">
        <v>103</v>
      </c>
      <c r="I2" s="11" t="s">
        <v>104</v>
      </c>
      <c r="J2" s="10" t="s">
        <v>105</v>
      </c>
      <c r="K2" s="10" t="s">
        <v>106</v>
      </c>
      <c r="L2" s="10" t="s">
        <v>107</v>
      </c>
      <c r="M2" s="10" t="s">
        <v>108</v>
      </c>
      <c r="N2" s="10" t="s">
        <v>109</v>
      </c>
      <c r="O2" s="10" t="s">
        <v>110</v>
      </c>
      <c r="P2" s="10" t="s">
        <v>111</v>
      </c>
      <c r="Q2" s="10" t="s">
        <v>112</v>
      </c>
      <c r="R2" s="10" t="s">
        <v>113</v>
      </c>
      <c r="S2" s="12" t="s">
        <v>114</v>
      </c>
      <c r="T2" s="10" t="s">
        <v>115</v>
      </c>
      <c r="U2" s="10" t="s">
        <v>116</v>
      </c>
      <c r="V2" s="9" t="s">
        <v>117</v>
      </c>
      <c r="W2" s="10" t="s">
        <v>118</v>
      </c>
      <c r="X2" s="9" t="s">
        <v>119</v>
      </c>
      <c r="Y2" s="9" t="s">
        <v>120</v>
      </c>
    </row>
    <row r="3" spans="1:25">
      <c r="A3" s="3" t="s">
        <v>43</v>
      </c>
      <c r="B3" t="s">
        <v>46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</row>
    <row r="4" spans="1:25" s="17" customFormat="1">
      <c r="A4" s="19" t="s">
        <v>27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19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20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21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29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22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16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23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24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25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31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28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44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181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182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180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45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3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9" tint="0.59999389629810485"/>
  </sheetPr>
  <dimension ref="A1:D16"/>
  <sheetViews>
    <sheetView tabSelected="1" view="pageBreakPreview" zoomScaleNormal="75" zoomScaleSheetLayoutView="100" workbookViewId="0">
      <selection activeCell="J6" sqref="J6"/>
    </sheetView>
  </sheetViews>
  <sheetFormatPr defaultColWidth="9.140625" defaultRowHeight="35.1" customHeight="1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7" customHeight="1">
      <c r="A1" s="29" t="s">
        <v>188</v>
      </c>
      <c r="B1" s="30"/>
      <c r="C1" s="30"/>
      <c r="D1" s="31"/>
    </row>
    <row r="2" spans="1:4" ht="26.25" customHeight="1">
      <c r="A2" s="32" t="s">
        <v>189</v>
      </c>
      <c r="B2" s="33"/>
      <c r="C2" s="33"/>
      <c r="D2" s="34"/>
    </row>
    <row r="3" spans="1:4" ht="31.5" customHeight="1">
      <c r="A3" s="35" t="s">
        <v>185</v>
      </c>
      <c r="B3" s="36"/>
      <c r="C3" s="36"/>
      <c r="D3" s="37"/>
    </row>
    <row r="4" spans="1:4" ht="42.75" customHeight="1">
      <c r="A4" s="2" t="s">
        <v>0</v>
      </c>
      <c r="B4" s="2" t="s">
        <v>4</v>
      </c>
      <c r="C4" s="2" t="s">
        <v>3</v>
      </c>
      <c r="D4" s="2" t="s">
        <v>5</v>
      </c>
    </row>
    <row r="5" spans="1:4" ht="20.100000000000001" customHeight="1">
      <c r="A5" s="27" t="s">
        <v>1</v>
      </c>
      <c r="B5" s="26"/>
      <c r="C5" s="28"/>
      <c r="D5" s="25"/>
    </row>
    <row r="6" spans="1:4" ht="20.100000000000001" customHeight="1">
      <c r="A6" s="27" t="s">
        <v>2</v>
      </c>
      <c r="B6" s="26"/>
      <c r="C6" s="28"/>
      <c r="D6" s="25"/>
    </row>
    <row r="7" spans="1:4" ht="20.100000000000001" customHeight="1">
      <c r="A7" s="27" t="s">
        <v>13</v>
      </c>
      <c r="B7" s="26"/>
      <c r="C7" s="28"/>
      <c r="D7" s="25"/>
    </row>
    <row r="8" spans="1:4" ht="20.100000000000001" customHeight="1">
      <c r="A8" s="27" t="s">
        <v>6</v>
      </c>
      <c r="B8" s="26"/>
      <c r="C8" s="28"/>
      <c r="D8" s="25"/>
    </row>
    <row r="9" spans="1:4" ht="20.100000000000001" customHeight="1">
      <c r="A9" s="27" t="s">
        <v>18</v>
      </c>
      <c r="B9" s="26"/>
      <c r="C9" s="28"/>
      <c r="D9" s="25"/>
    </row>
    <row r="10" spans="1:4" ht="20.100000000000001" customHeight="1">
      <c r="A10" s="27" t="s">
        <v>60</v>
      </c>
      <c r="B10" s="26"/>
      <c r="C10" s="28"/>
      <c r="D10" s="25"/>
    </row>
    <row r="11" spans="1:4" ht="20.100000000000001" customHeight="1">
      <c r="A11" s="27" t="s">
        <v>175</v>
      </c>
      <c r="B11" s="26"/>
      <c r="C11" s="28"/>
      <c r="D11" s="25"/>
    </row>
    <row r="12" spans="1:4" ht="20.100000000000001" customHeight="1">
      <c r="A12" s="27" t="s">
        <v>184</v>
      </c>
      <c r="B12" s="26">
        <v>4</v>
      </c>
      <c r="C12" s="28" t="s">
        <v>187</v>
      </c>
      <c r="D12" s="25">
        <v>4</v>
      </c>
    </row>
    <row r="13" spans="1:4" ht="20.100000000000001" customHeight="1">
      <c r="A13" s="27" t="s">
        <v>186</v>
      </c>
      <c r="B13" s="26">
        <v>5</v>
      </c>
      <c r="C13" s="28" t="s">
        <v>187</v>
      </c>
      <c r="D13" s="25">
        <v>5</v>
      </c>
    </row>
    <row r="14" spans="1:4" ht="20.100000000000001" customHeight="1">
      <c r="A14" s="27" t="s">
        <v>190</v>
      </c>
      <c r="B14" s="26">
        <v>5</v>
      </c>
      <c r="C14" s="28" t="s">
        <v>187</v>
      </c>
      <c r="D14" s="25">
        <v>5</v>
      </c>
    </row>
    <row r="15" spans="1:4" ht="23.25" customHeight="1">
      <c r="A15" s="38" t="s">
        <v>178</v>
      </c>
      <c r="B15" s="38"/>
      <c r="C15" s="38"/>
      <c r="D15" s="38"/>
    </row>
    <row r="16" spans="1:4" ht="20.25" customHeight="1">
      <c r="A16" s="38" t="s">
        <v>179</v>
      </c>
      <c r="B16" s="38"/>
      <c r="C16" s="38"/>
      <c r="D16" s="38"/>
    </row>
  </sheetData>
  <mergeCells count="5">
    <mergeCell ref="A1:D1"/>
    <mergeCell ref="A2:D2"/>
    <mergeCell ref="A3:D3"/>
    <mergeCell ref="A15:D15"/>
    <mergeCell ref="A16:D16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1.15</vt:lpstr>
      <vt:lpstr>'1.15'!Print_Area</vt:lpstr>
      <vt:lpstr>'1.15'!Print_Titles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2022-08-22T10:43:30Z</dcterms:modified>
</cp:coreProperties>
</file>