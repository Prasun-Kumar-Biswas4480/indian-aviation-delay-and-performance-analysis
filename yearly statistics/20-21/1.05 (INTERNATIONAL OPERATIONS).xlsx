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Ruchika DGCA\Annual Publication 2020-21\International\"/>
    </mc:Choice>
  </mc:AlternateContent>
  <bookViews>
    <workbookView showHorizontalScroll="0" showVerticalScroll="0" showSheetTabs="0" xWindow="0" yWindow="0" windowWidth="24000" windowHeight="9435"/>
  </bookViews>
  <sheets>
    <sheet name="Table 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D79" i="1" l="1"/>
  <c r="E79" i="1"/>
  <c r="F79" i="1"/>
  <c r="C79" i="1"/>
  <c r="D80" i="1" l="1"/>
  <c r="E80" i="1"/>
  <c r="F80" i="1"/>
  <c r="C80" i="1"/>
</calcChain>
</file>

<file path=xl/sharedStrings.xml><?xml version="1.0" encoding="utf-8"?>
<sst xmlns="http://schemas.openxmlformats.org/spreadsheetml/2006/main" count="87" uniqueCount="87">
  <si>
    <t>TABLE - 1.05 (INTERNATIONAL OPERATIONS)</t>
  </si>
  <si>
    <t>(PASSENGERS IN NUMBER AND FREIGHT IN TONNES)</t>
  </si>
  <si>
    <t>SL.NO.</t>
  </si>
  <si>
    <t>NAME OF THE AIRLINE</t>
  </si>
  <si>
    <t>PASSENGERS TO INDIA</t>
  </si>
  <si>
    <t>PASSENGERS FROM INDIA</t>
  </si>
  <si>
    <t>FREIGHT TO INDIA</t>
  </si>
  <si>
    <t>FREIGHT FROM INDIA</t>
  </si>
  <si>
    <t>DOMESTIC CARRIERS</t>
  </si>
  <si>
    <t>AIR INDIA</t>
  </si>
  <si>
    <t>AIR INDIA EXPRESS</t>
  </si>
  <si>
    <t>INDIGO</t>
  </si>
  <si>
    <t>SPICEJET</t>
  </si>
  <si>
    <t>TOTAL (DOMESTIC CARRIERS)</t>
  </si>
  <si>
    <t>FOREIGN CARRIERS</t>
  </si>
  <si>
    <t>AEROFLOT</t>
  </si>
  <si>
    <t>AEROLOGIC</t>
  </si>
  <si>
    <t>AIR ARABIA</t>
  </si>
  <si>
    <t>AIR ASIA BERHAD</t>
  </si>
  <si>
    <t>AIR ASIA X</t>
  </si>
  <si>
    <t>AIR ASTANA</t>
  </si>
  <si>
    <t>AIR CANADA</t>
  </si>
  <si>
    <t>AIR FRANCE</t>
  </si>
  <si>
    <t>AIR MAURITIUS</t>
  </si>
  <si>
    <t>AIR SEYCHELLES</t>
  </si>
  <si>
    <t>ALL NIPPON AIRWAYS</t>
  </si>
  <si>
    <t>ARIANA AFGHAN</t>
  </si>
  <si>
    <t>BIMAN BANGLADESH</t>
  </si>
  <si>
    <t>BRITISH AIRWAYS</t>
  </si>
  <si>
    <t>CATHAY PACIFIC</t>
  </si>
  <si>
    <t>CHINA AIRLINES LTD</t>
  </si>
  <si>
    <t>CHINA EASTERN AIRLINES</t>
  </si>
  <si>
    <t>DRAGON AIR</t>
  </si>
  <si>
    <t>DRUK AIR</t>
  </si>
  <si>
    <t>EL-AL-ISRAEL</t>
  </si>
  <si>
    <t>EMIRATES AIRLINE</t>
  </si>
  <si>
    <t>ETHIOPIAN AIRLINES</t>
  </si>
  <si>
    <t>ETIHAD AIRLINES</t>
  </si>
  <si>
    <t>FEDERAL EXPRESS</t>
  </si>
  <si>
    <t>FLY DUBAI</t>
  </si>
  <si>
    <t>GULF AIR</t>
  </si>
  <si>
    <t>IRAN AIR</t>
  </si>
  <si>
    <t>IRAQI AIRWAYS</t>
  </si>
  <si>
    <t>ISLAND AVIATION SERVICES</t>
  </si>
  <si>
    <t>JAPAN AIRLINES</t>
  </si>
  <si>
    <t>KALITTA AIR</t>
  </si>
  <si>
    <t>KAM AIR</t>
  </si>
  <si>
    <t>KENYA AIRWAYS</t>
  </si>
  <si>
    <t>KLM AIRLINES</t>
  </si>
  <si>
    <t>KOREAN AIR</t>
  </si>
  <si>
    <t>KUWAIT AIRWAYS</t>
  </si>
  <si>
    <t>LUFTHANSA</t>
  </si>
  <si>
    <t>MAHAN AIR</t>
  </si>
  <si>
    <t>MALAYSIA AIRLINES</t>
  </si>
  <si>
    <t>MALINDO AIRWAYS</t>
  </si>
  <si>
    <t>NEPAL AIRLINES CORPORATION</t>
  </si>
  <si>
    <t>OMAN AIR</t>
  </si>
  <si>
    <t>QATAR AIRWAYS</t>
  </si>
  <si>
    <t>RWANDAIR</t>
  </si>
  <si>
    <t>SAUDIA</t>
  </si>
  <si>
    <t>SCOOT TIGER AIR</t>
  </si>
  <si>
    <t>SILK AIR</t>
  </si>
  <si>
    <t>SINGAPORE AIRLINES</t>
  </si>
  <si>
    <t>SWISS AIR</t>
  </si>
  <si>
    <t>THAI AIR ASIA</t>
  </si>
  <si>
    <t>THAI AIRWAYS</t>
  </si>
  <si>
    <t>THAI SMILE AIRWAYS</t>
  </si>
  <si>
    <t>TURKISH AIRLINES</t>
  </si>
  <si>
    <t>TURKMENISTAN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</si>
  <si>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</si>
  <si>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</si>
  <si>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</si>
  <si>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</si>
  <si>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</si>
  <si>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</si>
  <si>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SOURCE :- MONTHLY TRAFFIC STATISTICS FURNISHED BY ALL SCHEDULED DOMESTIC AND FOREIGN AIRLINES.</t>
  </si>
  <si>
    <t>GO AIR</t>
  </si>
  <si>
    <t xml:space="preserve">CHINA SOUTHERN </t>
  </si>
  <si>
    <t>FLYNAS</t>
  </si>
  <si>
    <t>SRILANKAN AIRWAYS</t>
  </si>
  <si>
    <t>US BANGLA AIRLINES</t>
  </si>
  <si>
    <r>
      <rPr>
        <b/>
        <sz val="12"/>
        <rFont val="Nirmala UI"/>
        <family val="2"/>
      </rPr>
      <t xml:space="preserve">सारणी </t>
    </r>
    <r>
      <rPr>
        <b/>
        <sz val="12"/>
        <rFont val="Arial"/>
        <family val="2"/>
      </rPr>
      <t>1.05 (</t>
    </r>
    <r>
      <rPr>
        <b/>
        <sz val="12"/>
        <rFont val="Nirmala UI"/>
        <family val="2"/>
      </rPr>
      <t>अन्तर्राष्ट्रीय प्रचालन</t>
    </r>
    <r>
      <rPr>
        <b/>
        <sz val="12"/>
        <rFont val="Arial"/>
        <family val="2"/>
      </rPr>
      <t>)</t>
    </r>
  </si>
  <si>
    <t>VISTARA AIRLINES</t>
  </si>
  <si>
    <t>BLUE DART AVIATION</t>
  </si>
  <si>
    <t>LOT POLISH</t>
  </si>
  <si>
    <t>AIRLINE WISE SCHEDULED INTERNATIONAL PASSENGERS AND FREIGHT CARRIED TO &amp; FROM INDIA BY ALL SCHEDULED DOMESTIC AND FOREIGN AIRLINES FOR THE YEAR 2020-21</t>
  </si>
  <si>
    <t> NOTE: 1.THE INTERNATIONAL OPERATIONS BY SCHEDULED INDIAN OPERATORS WERE CARRIED AS PER DGCA’S CIRCULAR DATED 26.03.2020 UNDER COVID-19 RESTRICTION. 2.THIS TABLE DOES NOT INCLUDES PASSENGERS AND FREIGHT CARRIED BY DOMESTIC CARRIERS ENTIRELY OUTSIDE THE INDIAN TERRITORY.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</si>
</sst>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5" formatCode="0.0"/>
    <numFmt numFmtId="166" formatCode="_(* #,##0.0_);_(* \(#,##0.0\);_(* &quot;-&quot;??_);_(@_)"/>
    <numFmt numFmtId="167" formatCode="_(* #,##0_);_(* \(#,##0\);_(* &quot;-&quot;??_);_(@_)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name val="Nirmala UI"/>
      <family val="2"/>
    </font>
    <font>
      <b/>
      <sz val="12"/>
      <name val="Arial"/>
      <family val="2"/>
    </font>
    <font>
      <sz val="12"/>
      <color rgb="FF000000"/>
      <name val="Times New Roman"/>
      <family val="1"/>
    </font>
    <font>
      <b/>
      <sz val="12"/>
      <name val="Calibri"/>
      <family val="2"/>
    </font>
    <font>
      <b/>
      <i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center" vertical="top" shrinkToFit="1"/>
    </xf>
    <xf numFmtId="0" fontId="9" fillId="0" borderId="1" xfId="0" applyFont="1" applyFill="1" applyBorder="1" applyAlignment="1">
      <alignment horizontal="left" vertical="top" wrapText="1"/>
    </xf>
    <xf numFmtId="3" fontId="8" fillId="0" borderId="1" xfId="0" applyNumberFormat="1" applyFont="1" applyFill="1" applyBorder="1" applyAlignment="1">
      <alignment horizontal="right" vertical="top" shrinkToFit="1"/>
    </xf>
    <xf numFmtId="164" fontId="8" fillId="0" borderId="1" xfId="0" applyNumberFormat="1" applyFont="1" applyFill="1" applyBorder="1" applyAlignment="1">
      <alignment horizontal="right" vertical="top" shrinkToFit="1"/>
    </xf>
    <xf numFmtId="165" fontId="8" fillId="0" borderId="1" xfId="0" applyNumberFormat="1" applyFont="1" applyFill="1" applyBorder="1" applyAlignment="1">
      <alignment horizontal="right" vertical="top" shrinkToFit="1"/>
    </xf>
    <xf numFmtId="3" fontId="10" fillId="4" borderId="1" xfId="0" applyNumberFormat="1" applyFont="1" applyFill="1" applyBorder="1" applyAlignment="1">
      <alignment horizontal="right" vertical="top" shrinkToFit="1"/>
    </xf>
    <xf numFmtId="3" fontId="8" fillId="6" borderId="1" xfId="0" applyNumberFormat="1" applyFont="1" applyFill="1" applyBorder="1" applyAlignment="1">
      <alignment horizontal="right" vertical="top" shrinkToFit="1"/>
    </xf>
    <xf numFmtId="164" fontId="8" fillId="6" borderId="1" xfId="0" applyNumberFormat="1" applyFont="1" applyFill="1" applyBorder="1" applyAlignment="1">
      <alignment horizontal="right" vertical="top" shrinkToFi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67" fontId="6" fillId="5" borderId="2" xfId="1" applyNumberFormat="1" applyFont="1" applyFill="1" applyBorder="1" applyAlignment="1">
      <alignment horizontal="right" vertical="top" wrapText="1"/>
    </xf>
    <xf numFmtId="166" fontId="6" fillId="5" borderId="2" xfId="1" applyNumberFormat="1" applyFont="1" applyFill="1" applyBorder="1" applyAlignment="1">
      <alignment horizontal="right" vertical="top" wrapText="1"/>
    </xf>
    <xf numFmtId="0" fontId="9" fillId="0" borderId="4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0" borderId="9" xfId="0" applyFont="1" applyFill="1" applyBorder="1" applyAlignment="1">
      <alignment horizontal="left" vertical="top" wrapText="1"/>
    </xf>
    <xf numFmtId="0" fontId="11" fillId="0" borderId="10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left" vertical="top" wrapText="1"/>
    </xf>
    <xf numFmtId="0" fontId="11" fillId="0" borderId="6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right" vertical="top" wrapText="1"/>
    </xf>
    <xf numFmtId="0" fontId="7" fillId="0" borderId="4" xfId="0" applyFont="1" applyFill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2"/>
  <sheetViews>
    <sheetView tabSelected="1" topLeftCell="A76" zoomScaleNormal="100" workbookViewId="0">
      <selection activeCell="C84" sqref="C84"/>
    </sheetView>
  </sheetViews>
  <sheetFormatPr defaultColWidth="8.83203125" defaultRowHeight="15.75" x14ac:dyDescent="0.2"/>
  <cols>
    <col min="1" max="1" width="13.33203125" style="1" customWidth="1"/>
    <col min="2" max="2" width="33.5" style="1" customWidth="1"/>
    <col min="3" max="3" width="29" style="1" customWidth="1"/>
    <col min="4" max="4" width="22.5" style="1" customWidth="1"/>
    <col min="5" max="5" width="24" style="1" customWidth="1"/>
    <col min="6" max="6" width="25.6640625" style="1" customWidth="1"/>
    <col min="7" max="16384" width="8.83203125" style="1"/>
  </cols>
  <sheetData>
    <row r="1" spans="1:6" ht="17.25" customHeight="1" x14ac:dyDescent="0.2">
      <c r="A1" s="28" t="s">
        <v>81</v>
      </c>
      <c r="B1" s="29"/>
      <c r="C1" s="29"/>
      <c r="D1" s="29"/>
      <c r="E1" s="29"/>
      <c r="F1" s="30"/>
    </row>
    <row r="2" spans="1:6" ht="17.25" customHeight="1" x14ac:dyDescent="0.2">
      <c r="A2" s="31" t="s">
        <v>0</v>
      </c>
      <c r="B2" s="32"/>
      <c r="C2" s="32"/>
      <c r="D2" s="32"/>
      <c r="E2" s="32"/>
      <c r="F2" s="33"/>
    </row>
    <row r="3" spans="1:6" ht="33" customHeight="1" x14ac:dyDescent="0.2">
      <c r="A3" s="34" t="s">
        <v>85</v>
      </c>
      <c r="B3" s="35"/>
      <c r="C3" s="35"/>
      <c r="D3" s="35"/>
      <c r="E3" s="35"/>
      <c r="F3" s="36"/>
    </row>
    <row r="4" spans="1:6" ht="16.5" customHeight="1" x14ac:dyDescent="0.2">
      <c r="A4" s="37" t="s">
        <v>1</v>
      </c>
      <c r="B4" s="38"/>
      <c r="C4" s="38"/>
      <c r="D4" s="38"/>
      <c r="E4" s="38"/>
      <c r="F4" s="39"/>
    </row>
    <row r="5" spans="1:6" s="11" customFormat="1" ht="31.5" customHeight="1" x14ac:dyDescent="0.2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</row>
    <row r="6" spans="1:6" ht="18" customHeight="1" x14ac:dyDescent="0.2">
      <c r="A6" s="20" t="s">
        <v>8</v>
      </c>
      <c r="B6" s="21"/>
      <c r="C6" s="21"/>
      <c r="D6" s="21"/>
      <c r="E6" s="21"/>
      <c r="F6" s="22"/>
    </row>
    <row r="7" spans="1:6" ht="18" customHeight="1" x14ac:dyDescent="0.2">
      <c r="A7" s="2">
        <v>1</v>
      </c>
      <c r="B7" s="3" t="s">
        <v>9</v>
      </c>
      <c r="C7" s="4">
        <v>838459</v>
      </c>
      <c r="D7" s="4">
        <v>680546</v>
      </c>
      <c r="E7" s="5">
        <v>18199.1649</v>
      </c>
      <c r="F7" s="5">
        <v>21179.386399999999</v>
      </c>
    </row>
    <row r="8" spans="1:6" ht="18" customHeight="1" x14ac:dyDescent="0.2">
      <c r="A8" s="2">
        <v>2</v>
      </c>
      <c r="B8" s="3" t="s">
        <v>10</v>
      </c>
      <c r="C8" s="4">
        <v>862457</v>
      </c>
      <c r="D8" s="4">
        <v>581826</v>
      </c>
      <c r="E8" s="6">
        <v>666.899</v>
      </c>
      <c r="F8" s="5">
        <v>11504.501</v>
      </c>
    </row>
    <row r="9" spans="1:6" ht="18" customHeight="1" x14ac:dyDescent="0.2">
      <c r="A9" s="2">
        <v>3</v>
      </c>
      <c r="B9" s="3" t="s">
        <v>83</v>
      </c>
      <c r="C9" s="4">
        <v>0</v>
      </c>
      <c r="D9" s="4">
        <v>0</v>
      </c>
      <c r="E9" s="5">
        <v>1683.03</v>
      </c>
      <c r="F9" s="5">
        <v>266.18400000000003</v>
      </c>
    </row>
    <row r="10" spans="1:6" ht="18" customHeight="1" x14ac:dyDescent="0.2">
      <c r="A10" s="2">
        <v>4</v>
      </c>
      <c r="B10" s="3" t="s">
        <v>76</v>
      </c>
      <c r="C10" s="4">
        <v>251229</v>
      </c>
      <c r="D10" s="4">
        <v>120079</v>
      </c>
      <c r="E10" s="5">
        <v>19.097000000000001</v>
      </c>
      <c r="F10" s="5">
        <v>619.64281000000005</v>
      </c>
    </row>
    <row r="11" spans="1:6" ht="18" customHeight="1" x14ac:dyDescent="0.2">
      <c r="A11" s="2">
        <v>5</v>
      </c>
      <c r="B11" s="3" t="s">
        <v>11</v>
      </c>
      <c r="C11" s="4">
        <v>761023</v>
      </c>
      <c r="D11" s="4">
        <v>526429</v>
      </c>
      <c r="E11" s="5">
        <v>2329.6301200000003</v>
      </c>
      <c r="F11" s="5">
        <v>9191.7024499999952</v>
      </c>
    </row>
    <row r="12" spans="1:6" ht="18" customHeight="1" x14ac:dyDescent="0.2">
      <c r="A12" s="2">
        <v>6</v>
      </c>
      <c r="B12" s="3" t="s">
        <v>12</v>
      </c>
      <c r="C12" s="4">
        <v>389009</v>
      </c>
      <c r="D12" s="4">
        <v>259409</v>
      </c>
      <c r="E12" s="5">
        <v>14483.432030000007</v>
      </c>
      <c r="F12" s="5">
        <v>33468.046420000021</v>
      </c>
    </row>
    <row r="13" spans="1:6" ht="18" customHeight="1" x14ac:dyDescent="0.2">
      <c r="A13" s="2">
        <v>7</v>
      </c>
      <c r="B13" s="14" t="s">
        <v>82</v>
      </c>
      <c r="C13" s="4">
        <v>65748</v>
      </c>
      <c r="D13" s="4">
        <v>79943</v>
      </c>
      <c r="E13" s="5">
        <v>1783.7725</v>
      </c>
      <c r="F13" s="5">
        <v>1807.827</v>
      </c>
    </row>
    <row r="14" spans="1:6" ht="18" customHeight="1" x14ac:dyDescent="0.2">
      <c r="A14" s="18" t="s">
        <v>13</v>
      </c>
      <c r="B14" s="19"/>
      <c r="C14" s="7">
        <f>SUM(C7:C13)</f>
        <v>3167925</v>
      </c>
      <c r="D14" s="7">
        <f>SUM(D7:D13)</f>
        <v>2248232</v>
      </c>
      <c r="E14" s="7">
        <f>SUM(E7:E13)</f>
        <v>39165.025550000013</v>
      </c>
      <c r="F14" s="7">
        <f>SUM(F7:F13)</f>
        <v>78037.290080000021</v>
      </c>
    </row>
    <row r="15" spans="1:6" ht="18" customHeight="1" x14ac:dyDescent="0.2">
      <c r="A15" s="20" t="s">
        <v>14</v>
      </c>
      <c r="B15" s="21"/>
      <c r="C15" s="21"/>
      <c r="D15" s="21"/>
      <c r="E15" s="21"/>
      <c r="F15" s="22"/>
    </row>
    <row r="16" spans="1:6" ht="18" customHeight="1" x14ac:dyDescent="0.2">
      <c r="A16" s="2">
        <v>1</v>
      </c>
      <c r="B16" s="3" t="s">
        <v>15</v>
      </c>
      <c r="C16" s="4">
        <v>3354</v>
      </c>
      <c r="D16" s="4">
        <v>5054</v>
      </c>
      <c r="E16" s="5">
        <v>48.017000000000003</v>
      </c>
      <c r="F16" s="5">
        <v>524.27800000000002</v>
      </c>
    </row>
    <row r="17" spans="1:6" ht="18" customHeight="1" x14ac:dyDescent="0.2">
      <c r="A17" s="2">
        <v>2</v>
      </c>
      <c r="B17" s="3" t="s">
        <v>16</v>
      </c>
      <c r="C17" s="4">
        <v>0</v>
      </c>
      <c r="D17" s="4">
        <v>0</v>
      </c>
      <c r="E17" s="5">
        <v>79607.244999999995</v>
      </c>
      <c r="F17" s="5">
        <v>81892.264999999999</v>
      </c>
    </row>
    <row r="18" spans="1:6" ht="18" customHeight="1" x14ac:dyDescent="0.2">
      <c r="A18" s="2">
        <v>3</v>
      </c>
      <c r="B18" s="3" t="s">
        <v>17</v>
      </c>
      <c r="C18" s="4">
        <v>354223</v>
      </c>
      <c r="D18" s="4">
        <v>320516</v>
      </c>
      <c r="E18" s="5">
        <v>597.21600000000001</v>
      </c>
      <c r="F18" s="5">
        <v>5327.0079999999998</v>
      </c>
    </row>
    <row r="19" spans="1:6" ht="18" customHeight="1" x14ac:dyDescent="0.2">
      <c r="A19" s="2">
        <v>4</v>
      </c>
      <c r="B19" s="3" t="s">
        <v>18</v>
      </c>
      <c r="C19" s="4">
        <v>0</v>
      </c>
      <c r="D19" s="4">
        <v>0</v>
      </c>
      <c r="E19" s="5">
        <v>0.27200000000000002</v>
      </c>
      <c r="F19" s="5">
        <v>61.87</v>
      </c>
    </row>
    <row r="20" spans="1:6" ht="18" customHeight="1" x14ac:dyDescent="0.2">
      <c r="A20" s="2">
        <v>5</v>
      </c>
      <c r="B20" s="3" t="s">
        <v>19</v>
      </c>
      <c r="C20" s="4">
        <v>0</v>
      </c>
      <c r="D20" s="4">
        <v>0</v>
      </c>
      <c r="E20" s="5">
        <v>108.83</v>
      </c>
      <c r="F20" s="5">
        <v>339.45</v>
      </c>
    </row>
    <row r="21" spans="1:6" ht="18" customHeight="1" x14ac:dyDescent="0.2">
      <c r="A21" s="2">
        <v>6</v>
      </c>
      <c r="B21" s="3" t="s">
        <v>20</v>
      </c>
      <c r="C21" s="4">
        <v>1537</v>
      </c>
      <c r="D21" s="4">
        <v>414</v>
      </c>
      <c r="E21" s="5">
        <v>4.9249999999999998</v>
      </c>
      <c r="F21" s="5">
        <v>1559.201</v>
      </c>
    </row>
    <row r="22" spans="1:6" ht="18" customHeight="1" x14ac:dyDescent="0.2">
      <c r="A22" s="2">
        <v>7</v>
      </c>
      <c r="B22" s="3" t="s">
        <v>21</v>
      </c>
      <c r="C22" s="4">
        <v>47485</v>
      </c>
      <c r="D22" s="4">
        <v>56541</v>
      </c>
      <c r="E22" s="5">
        <v>690.52800000000002</v>
      </c>
      <c r="F22" s="5">
        <v>1250.8630000000001</v>
      </c>
    </row>
    <row r="23" spans="1:6" ht="18" customHeight="1" x14ac:dyDescent="0.2">
      <c r="A23" s="2">
        <v>8</v>
      </c>
      <c r="B23" s="3" t="s">
        <v>22</v>
      </c>
      <c r="C23" s="4">
        <v>59718</v>
      </c>
      <c r="D23" s="4">
        <v>69126</v>
      </c>
      <c r="E23" s="5">
        <v>4210.8799300000001</v>
      </c>
      <c r="F23" s="5">
        <v>7110.8859999999995</v>
      </c>
    </row>
    <row r="24" spans="1:6" ht="18" customHeight="1" x14ac:dyDescent="0.2">
      <c r="A24" s="2">
        <v>9</v>
      </c>
      <c r="B24" s="3" t="s">
        <v>23</v>
      </c>
      <c r="C24" s="4">
        <v>616</v>
      </c>
      <c r="D24" s="4">
        <v>343</v>
      </c>
      <c r="E24" s="5">
        <v>3.0289999999999999</v>
      </c>
      <c r="F24" s="5">
        <v>595.70899999999995</v>
      </c>
    </row>
    <row r="25" spans="1:6" ht="18" customHeight="1" x14ac:dyDescent="0.2">
      <c r="A25" s="2">
        <v>10</v>
      </c>
      <c r="B25" s="3" t="s">
        <v>24</v>
      </c>
      <c r="C25" s="4">
        <v>120</v>
      </c>
      <c r="D25" s="4">
        <v>318</v>
      </c>
      <c r="E25" s="5">
        <v>1.1379999999999999</v>
      </c>
      <c r="F25" s="5">
        <v>97</v>
      </c>
    </row>
    <row r="26" spans="1:6" ht="18" customHeight="1" x14ac:dyDescent="0.2">
      <c r="A26" s="2">
        <v>11</v>
      </c>
      <c r="B26" s="3" t="s">
        <v>25</v>
      </c>
      <c r="C26" s="4">
        <v>1440</v>
      </c>
      <c r="D26" s="4">
        <v>2055</v>
      </c>
      <c r="E26" s="5">
        <v>2453.6704000000004</v>
      </c>
      <c r="F26" s="5">
        <v>2078.6508100000001</v>
      </c>
    </row>
    <row r="27" spans="1:6" ht="18" customHeight="1" x14ac:dyDescent="0.2">
      <c r="A27" s="2">
        <v>12</v>
      </c>
      <c r="B27" s="3" t="s">
        <v>26</v>
      </c>
      <c r="C27" s="4">
        <v>4242</v>
      </c>
      <c r="D27" s="4">
        <v>6531</v>
      </c>
      <c r="E27" s="5">
        <v>583.59100000000001</v>
      </c>
      <c r="F27" s="5">
        <v>988.55799999999999</v>
      </c>
    </row>
    <row r="28" spans="1:6" ht="18" customHeight="1" x14ac:dyDescent="0.2">
      <c r="A28" s="2">
        <v>13</v>
      </c>
      <c r="B28" s="3" t="s">
        <v>27</v>
      </c>
      <c r="C28" s="4">
        <v>2773</v>
      </c>
      <c r="D28" s="4">
        <v>4945</v>
      </c>
      <c r="E28" s="5">
        <v>37.618000000000002</v>
      </c>
      <c r="F28" s="5">
        <v>57.244999999999997</v>
      </c>
    </row>
    <row r="29" spans="1:6" ht="18" customHeight="1" x14ac:dyDescent="0.2">
      <c r="A29" s="2">
        <v>14</v>
      </c>
      <c r="B29" s="3" t="s">
        <v>28</v>
      </c>
      <c r="C29" s="4">
        <v>69680</v>
      </c>
      <c r="D29" s="4">
        <v>62989</v>
      </c>
      <c r="E29" s="5">
        <v>4005.02</v>
      </c>
      <c r="F29" s="5">
        <v>9774.6299999999992</v>
      </c>
    </row>
    <row r="30" spans="1:6" ht="18" customHeight="1" x14ac:dyDescent="0.2">
      <c r="A30" s="2">
        <v>15</v>
      </c>
      <c r="B30" s="3" t="s">
        <v>29</v>
      </c>
      <c r="C30" s="4">
        <v>0</v>
      </c>
      <c r="D30" s="4">
        <v>0</v>
      </c>
      <c r="E30" s="5">
        <v>62292.665459999997</v>
      </c>
      <c r="F30" s="5">
        <v>38116.591370000002</v>
      </c>
    </row>
    <row r="31" spans="1:6" ht="18" customHeight="1" x14ac:dyDescent="0.2">
      <c r="A31" s="2">
        <v>16</v>
      </c>
      <c r="B31" s="3" t="s">
        <v>30</v>
      </c>
      <c r="C31" s="4">
        <v>36</v>
      </c>
      <c r="D31" s="4">
        <v>58</v>
      </c>
      <c r="E31" s="5">
        <v>3846.1842000000001</v>
      </c>
      <c r="F31" s="5">
        <v>3359.9762000000001</v>
      </c>
    </row>
    <row r="32" spans="1:6" ht="18" customHeight="1" x14ac:dyDescent="0.2">
      <c r="A32" s="2">
        <v>17</v>
      </c>
      <c r="B32" s="3" t="s">
        <v>31</v>
      </c>
      <c r="C32" s="4">
        <v>0</v>
      </c>
      <c r="D32" s="4">
        <v>1043</v>
      </c>
      <c r="E32" s="5">
        <v>806.62019999999995</v>
      </c>
      <c r="F32" s="5">
        <v>320.29672999999997</v>
      </c>
    </row>
    <row r="33" spans="1:6" ht="18" customHeight="1" x14ac:dyDescent="0.2">
      <c r="A33" s="2">
        <v>18</v>
      </c>
      <c r="B33" s="3" t="s">
        <v>77</v>
      </c>
      <c r="C33" s="4">
        <v>0</v>
      </c>
      <c r="D33" s="4">
        <v>747</v>
      </c>
      <c r="E33" s="5">
        <v>131.238</v>
      </c>
      <c r="F33" s="5">
        <v>102.72499999999999</v>
      </c>
    </row>
    <row r="34" spans="1:6" ht="18" customHeight="1" x14ac:dyDescent="0.2">
      <c r="A34" s="2">
        <v>19</v>
      </c>
      <c r="B34" s="3" t="s">
        <v>32</v>
      </c>
      <c r="C34" s="4">
        <v>0</v>
      </c>
      <c r="D34" s="4">
        <v>0</v>
      </c>
      <c r="E34" s="5">
        <v>337.90249999999997</v>
      </c>
      <c r="F34" s="5">
        <v>433.65699999999998</v>
      </c>
    </row>
    <row r="35" spans="1:6" ht="18" customHeight="1" x14ac:dyDescent="0.2">
      <c r="A35" s="2">
        <v>20</v>
      </c>
      <c r="B35" s="3" t="s">
        <v>33</v>
      </c>
      <c r="C35" s="4">
        <v>462</v>
      </c>
      <c r="D35" s="4">
        <v>507</v>
      </c>
      <c r="E35" s="5">
        <v>0.22236</v>
      </c>
      <c r="F35" s="5">
        <v>6.4944000000000006</v>
      </c>
    </row>
    <row r="36" spans="1:6" ht="18" customHeight="1" x14ac:dyDescent="0.2">
      <c r="A36" s="2">
        <v>21</v>
      </c>
      <c r="B36" s="3" t="s">
        <v>34</v>
      </c>
      <c r="C36" s="4">
        <v>379</v>
      </c>
      <c r="D36" s="4">
        <v>389</v>
      </c>
      <c r="E36" s="5">
        <v>172.82499999999999</v>
      </c>
      <c r="F36" s="5">
        <v>452.68700000000001</v>
      </c>
    </row>
    <row r="37" spans="1:6" ht="18" customHeight="1" x14ac:dyDescent="0.2">
      <c r="A37" s="2">
        <v>22</v>
      </c>
      <c r="B37" s="3" t="s">
        <v>35</v>
      </c>
      <c r="C37" s="4">
        <v>404574</v>
      </c>
      <c r="D37" s="4">
        <v>367993</v>
      </c>
      <c r="E37" s="5">
        <v>28298.128871000008</v>
      </c>
      <c r="F37" s="5">
        <v>49732.347926999988</v>
      </c>
    </row>
    <row r="38" spans="1:6" ht="18" customHeight="1" x14ac:dyDescent="0.2">
      <c r="A38" s="2">
        <v>23</v>
      </c>
      <c r="B38" s="3" t="s">
        <v>36</v>
      </c>
      <c r="C38" s="4">
        <v>5296</v>
      </c>
      <c r="D38" s="4">
        <v>7882</v>
      </c>
      <c r="E38" s="5">
        <v>245.11099999999999</v>
      </c>
      <c r="F38" s="5">
        <v>546.11800000000005</v>
      </c>
    </row>
    <row r="39" spans="1:6" ht="18" customHeight="1" x14ac:dyDescent="0.2">
      <c r="A39" s="2">
        <v>24</v>
      </c>
      <c r="B39" s="3" t="s">
        <v>37</v>
      </c>
      <c r="C39" s="4">
        <v>59491</v>
      </c>
      <c r="D39" s="4">
        <v>34862</v>
      </c>
      <c r="E39" s="5">
        <v>9431.1426999999985</v>
      </c>
      <c r="F39" s="5">
        <v>18534.102999999999</v>
      </c>
    </row>
    <row r="40" spans="1:6" ht="18" customHeight="1" x14ac:dyDescent="0.2">
      <c r="A40" s="2">
        <v>25</v>
      </c>
      <c r="B40" s="3" t="s">
        <v>38</v>
      </c>
      <c r="C40" s="4">
        <v>495</v>
      </c>
      <c r="D40" s="4">
        <v>465</v>
      </c>
      <c r="E40" s="5">
        <v>18498.414000000001</v>
      </c>
      <c r="F40" s="5">
        <v>42215.440600000002</v>
      </c>
    </row>
    <row r="41" spans="1:6" ht="18" customHeight="1" x14ac:dyDescent="0.2">
      <c r="A41" s="2">
        <v>26</v>
      </c>
      <c r="B41" s="3" t="s">
        <v>39</v>
      </c>
      <c r="C41" s="4">
        <v>149714</v>
      </c>
      <c r="D41" s="4">
        <v>170995</v>
      </c>
      <c r="E41" s="5">
        <v>130.75700000000001</v>
      </c>
      <c r="F41" s="5">
        <v>1993.462</v>
      </c>
    </row>
    <row r="42" spans="1:6" ht="18" customHeight="1" x14ac:dyDescent="0.2">
      <c r="A42" s="2">
        <v>27</v>
      </c>
      <c r="B42" s="3" t="s">
        <v>78</v>
      </c>
      <c r="C42" s="4">
        <v>7201</v>
      </c>
      <c r="D42" s="4">
        <v>9</v>
      </c>
      <c r="E42" s="5">
        <v>0</v>
      </c>
      <c r="F42" s="5">
        <v>80.23</v>
      </c>
    </row>
    <row r="43" spans="1:6" ht="18" customHeight="1" x14ac:dyDescent="0.2">
      <c r="A43" s="2">
        <v>28</v>
      </c>
      <c r="B43" s="3" t="s">
        <v>40</v>
      </c>
      <c r="C43" s="4">
        <v>34932</v>
      </c>
      <c r="D43" s="4">
        <v>21370</v>
      </c>
      <c r="E43" s="5">
        <v>25.038</v>
      </c>
      <c r="F43" s="5">
        <v>1154.654</v>
      </c>
    </row>
    <row r="44" spans="1:6" ht="18" customHeight="1" x14ac:dyDescent="0.2">
      <c r="A44" s="2">
        <v>29</v>
      </c>
      <c r="B44" s="3" t="s">
        <v>41</v>
      </c>
      <c r="C44" s="4">
        <v>443</v>
      </c>
      <c r="D44" s="4">
        <v>1888</v>
      </c>
      <c r="E44" s="5">
        <v>176.40899999999999</v>
      </c>
      <c r="F44" s="5">
        <v>307.65499999999997</v>
      </c>
    </row>
    <row r="45" spans="1:6" ht="18" customHeight="1" x14ac:dyDescent="0.2">
      <c r="A45" s="2">
        <v>30</v>
      </c>
      <c r="B45" s="3" t="s">
        <v>42</v>
      </c>
      <c r="C45" s="4">
        <v>15056</v>
      </c>
      <c r="D45" s="4">
        <v>9527</v>
      </c>
      <c r="E45" s="5">
        <v>5.0860000000000003</v>
      </c>
      <c r="F45" s="5">
        <v>8.407</v>
      </c>
    </row>
    <row r="46" spans="1:6" ht="18" customHeight="1" x14ac:dyDescent="0.2">
      <c r="A46" s="2">
        <v>31</v>
      </c>
      <c r="B46" s="3" t="s">
        <v>43</v>
      </c>
      <c r="C46" s="4">
        <v>5355</v>
      </c>
      <c r="D46" s="4">
        <v>5625</v>
      </c>
      <c r="E46" s="5">
        <v>1.9710000000000001</v>
      </c>
      <c r="F46" s="5">
        <v>499.94799999999998</v>
      </c>
    </row>
    <row r="47" spans="1:6" ht="18" customHeight="1" x14ac:dyDescent="0.2">
      <c r="A47" s="2">
        <v>32</v>
      </c>
      <c r="B47" s="3" t="s">
        <v>44</v>
      </c>
      <c r="C47" s="4">
        <v>3938</v>
      </c>
      <c r="D47" s="4">
        <v>5488</v>
      </c>
      <c r="E47" s="5">
        <v>2941.8910000000001</v>
      </c>
      <c r="F47" s="5">
        <v>1856.2270000000001</v>
      </c>
    </row>
    <row r="48" spans="1:6" ht="18" customHeight="1" x14ac:dyDescent="0.2">
      <c r="A48" s="2">
        <v>33</v>
      </c>
      <c r="B48" s="3" t="s">
        <v>45</v>
      </c>
      <c r="C48" s="4">
        <v>0</v>
      </c>
      <c r="D48" s="4">
        <v>0</v>
      </c>
      <c r="E48" s="5">
        <v>1560.288</v>
      </c>
      <c r="F48" s="5">
        <v>1159.537</v>
      </c>
    </row>
    <row r="49" spans="1:6" ht="18" customHeight="1" x14ac:dyDescent="0.2">
      <c r="A49" s="2">
        <v>34</v>
      </c>
      <c r="B49" s="3" t="s">
        <v>46</v>
      </c>
      <c r="C49" s="4">
        <v>28129</v>
      </c>
      <c r="D49" s="4">
        <v>26622</v>
      </c>
      <c r="E49" s="5">
        <v>0</v>
      </c>
      <c r="F49" s="5">
        <v>1526.057</v>
      </c>
    </row>
    <row r="50" spans="1:6" ht="18" customHeight="1" x14ac:dyDescent="0.2">
      <c r="A50" s="2">
        <v>35</v>
      </c>
      <c r="B50" s="3" t="s">
        <v>47</v>
      </c>
      <c r="C50" s="4">
        <v>8291</v>
      </c>
      <c r="D50" s="4">
        <v>10795</v>
      </c>
      <c r="E50" s="5">
        <v>1.3560000000000001</v>
      </c>
      <c r="F50" s="5">
        <v>24.637</v>
      </c>
    </row>
    <row r="51" spans="1:6" ht="18" customHeight="1" x14ac:dyDescent="0.2">
      <c r="A51" s="2">
        <v>36</v>
      </c>
      <c r="B51" s="3" t="s">
        <v>48</v>
      </c>
      <c r="C51" s="4">
        <v>24304</v>
      </c>
      <c r="D51" s="4">
        <v>52811</v>
      </c>
      <c r="E51" s="5">
        <v>5481.5590699999993</v>
      </c>
      <c r="F51" s="5">
        <v>6171.0688</v>
      </c>
    </row>
    <row r="52" spans="1:6" ht="18" customHeight="1" x14ac:dyDescent="0.2">
      <c r="A52" s="2">
        <v>37</v>
      </c>
      <c r="B52" s="3" t="s">
        <v>49</v>
      </c>
      <c r="C52" s="4">
        <v>0</v>
      </c>
      <c r="D52" s="4">
        <v>622</v>
      </c>
      <c r="E52" s="5">
        <v>3122.2911000000004</v>
      </c>
      <c r="F52" s="5">
        <v>3193.3896999999997</v>
      </c>
    </row>
    <row r="53" spans="1:6" ht="18" customHeight="1" x14ac:dyDescent="0.2">
      <c r="A53" s="2">
        <v>38</v>
      </c>
      <c r="B53" s="3" t="s">
        <v>50</v>
      </c>
      <c r="C53" s="4">
        <v>3521</v>
      </c>
      <c r="D53" s="4">
        <v>0</v>
      </c>
      <c r="E53" s="5">
        <v>0</v>
      </c>
      <c r="F53" s="5">
        <v>1270.0540000000001</v>
      </c>
    </row>
    <row r="54" spans="1:6" ht="18" customHeight="1" x14ac:dyDescent="0.2">
      <c r="A54" s="2">
        <v>39</v>
      </c>
      <c r="B54" s="3" t="s">
        <v>84</v>
      </c>
      <c r="C54" s="4">
        <v>0</v>
      </c>
      <c r="D54" s="4">
        <v>0</v>
      </c>
      <c r="E54" s="5">
        <v>281.66500000000002</v>
      </c>
      <c r="F54" s="5">
        <v>636.47500000000002</v>
      </c>
    </row>
    <row r="55" spans="1:6" ht="18" customHeight="1" x14ac:dyDescent="0.2">
      <c r="A55" s="2">
        <v>40</v>
      </c>
      <c r="B55" s="3" t="s">
        <v>51</v>
      </c>
      <c r="C55" s="4">
        <v>54643</v>
      </c>
      <c r="D55" s="4">
        <v>80745</v>
      </c>
      <c r="E55" s="5">
        <v>23428.123</v>
      </c>
      <c r="F55" s="5">
        <v>15103.870999999999</v>
      </c>
    </row>
    <row r="56" spans="1:6" ht="18" customHeight="1" x14ac:dyDescent="0.2">
      <c r="A56" s="2">
        <v>41</v>
      </c>
      <c r="B56" s="3" t="s">
        <v>52</v>
      </c>
      <c r="C56" s="4">
        <v>5395</v>
      </c>
      <c r="D56" s="4">
        <v>2554</v>
      </c>
      <c r="E56" s="5">
        <v>446.125</v>
      </c>
      <c r="F56" s="5">
        <v>877.55200000000002</v>
      </c>
    </row>
    <row r="57" spans="1:6" ht="18" customHeight="1" x14ac:dyDescent="0.2">
      <c r="A57" s="2">
        <v>42</v>
      </c>
      <c r="B57" s="3" t="s">
        <v>53</v>
      </c>
      <c r="C57" s="4">
        <v>867</v>
      </c>
      <c r="D57" s="4">
        <v>287</v>
      </c>
      <c r="E57" s="5">
        <v>10386.118799999998</v>
      </c>
      <c r="F57" s="5">
        <v>7930.7455</v>
      </c>
    </row>
    <row r="58" spans="1:6" ht="18" customHeight="1" x14ac:dyDescent="0.2">
      <c r="A58" s="2">
        <v>43</v>
      </c>
      <c r="B58" s="3" t="s">
        <v>54</v>
      </c>
      <c r="C58" s="4">
        <v>345</v>
      </c>
      <c r="D58" s="4">
        <v>0</v>
      </c>
      <c r="E58" s="5">
        <v>0</v>
      </c>
      <c r="F58" s="5">
        <v>0</v>
      </c>
    </row>
    <row r="59" spans="1:6" ht="18" customHeight="1" x14ac:dyDescent="0.2">
      <c r="A59" s="2">
        <v>44</v>
      </c>
      <c r="B59" s="3" t="s">
        <v>55</v>
      </c>
      <c r="C59" s="4">
        <v>1244</v>
      </c>
      <c r="D59" s="4">
        <v>1339</v>
      </c>
      <c r="E59" s="5">
        <v>1.365</v>
      </c>
      <c r="F59" s="5">
        <v>7.81</v>
      </c>
    </row>
    <row r="60" spans="1:6" ht="18" customHeight="1" x14ac:dyDescent="0.2">
      <c r="A60" s="2">
        <v>45</v>
      </c>
      <c r="B60" s="3" t="s">
        <v>56</v>
      </c>
      <c r="C60" s="4">
        <v>49666</v>
      </c>
      <c r="D60" s="4">
        <v>56687</v>
      </c>
      <c r="E60" s="5">
        <v>518.18560000000002</v>
      </c>
      <c r="F60" s="5">
        <v>4297.7425999999996</v>
      </c>
    </row>
    <row r="61" spans="1:6" ht="18" customHeight="1" x14ac:dyDescent="0.2">
      <c r="A61" s="2">
        <v>46</v>
      </c>
      <c r="B61" s="3" t="s">
        <v>57</v>
      </c>
      <c r="C61" s="4">
        <v>129748</v>
      </c>
      <c r="D61" s="4">
        <v>114629</v>
      </c>
      <c r="E61" s="5">
        <v>85203.011449999976</v>
      </c>
      <c r="F61" s="5">
        <v>115636.46656000003</v>
      </c>
    </row>
    <row r="62" spans="1:6" ht="18" customHeight="1" x14ac:dyDescent="0.2">
      <c r="A62" s="2">
        <v>47</v>
      </c>
      <c r="B62" s="3" t="s">
        <v>58</v>
      </c>
      <c r="C62" s="4">
        <v>1874</v>
      </c>
      <c r="D62" s="4">
        <v>2285</v>
      </c>
      <c r="E62" s="5">
        <v>0</v>
      </c>
      <c r="F62" s="5">
        <v>0</v>
      </c>
    </row>
    <row r="63" spans="1:6" ht="18" customHeight="1" x14ac:dyDescent="0.2">
      <c r="A63" s="2">
        <v>48</v>
      </c>
      <c r="B63" s="3" t="s">
        <v>59</v>
      </c>
      <c r="C63" s="4">
        <v>15566</v>
      </c>
      <c r="D63" s="4">
        <v>4053</v>
      </c>
      <c r="E63" s="5">
        <v>228.25700000000001</v>
      </c>
      <c r="F63" s="5">
        <v>2289.6179999999999</v>
      </c>
    </row>
    <row r="64" spans="1:6" ht="18" customHeight="1" x14ac:dyDescent="0.2">
      <c r="A64" s="2">
        <v>49</v>
      </c>
      <c r="B64" s="3" t="s">
        <v>60</v>
      </c>
      <c r="C64" s="4">
        <v>2377</v>
      </c>
      <c r="D64" s="4">
        <v>491</v>
      </c>
      <c r="E64" s="5">
        <v>55.116</v>
      </c>
      <c r="F64" s="5">
        <v>52.875</v>
      </c>
    </row>
    <row r="65" spans="1:6" ht="18" customHeight="1" x14ac:dyDescent="0.2">
      <c r="A65" s="2">
        <v>50</v>
      </c>
      <c r="B65" s="3" t="s">
        <v>61</v>
      </c>
      <c r="C65" s="4">
        <v>153</v>
      </c>
      <c r="D65" s="4">
        <v>0</v>
      </c>
      <c r="E65" s="5">
        <v>8.5999999999999993E-2</v>
      </c>
      <c r="F65" s="5">
        <v>21.095659999999999</v>
      </c>
    </row>
    <row r="66" spans="1:6" ht="18" customHeight="1" x14ac:dyDescent="0.2">
      <c r="A66" s="2">
        <v>51</v>
      </c>
      <c r="B66" s="3" t="s">
        <v>62</v>
      </c>
      <c r="C66" s="4">
        <v>0</v>
      </c>
      <c r="D66" s="4">
        <v>729</v>
      </c>
      <c r="E66" s="5">
        <v>477.59839999999991</v>
      </c>
      <c r="F66" s="5">
        <v>441.28069999999997</v>
      </c>
    </row>
    <row r="67" spans="1:6" ht="18" customHeight="1" x14ac:dyDescent="0.2">
      <c r="A67" s="2">
        <v>52</v>
      </c>
      <c r="B67" s="3" t="s">
        <v>79</v>
      </c>
      <c r="C67" s="4">
        <v>2824</v>
      </c>
      <c r="D67" s="4">
        <v>12030</v>
      </c>
      <c r="E67" s="5">
        <v>4180.1639999999998</v>
      </c>
      <c r="F67" s="5">
        <v>3989.087</v>
      </c>
    </row>
    <row r="68" spans="1:6" ht="18" customHeight="1" x14ac:dyDescent="0.2">
      <c r="A68" s="2">
        <v>53</v>
      </c>
      <c r="B68" s="3" t="s">
        <v>63</v>
      </c>
      <c r="C68" s="4">
        <v>0</v>
      </c>
      <c r="D68" s="4">
        <v>0</v>
      </c>
      <c r="E68" s="5">
        <v>3036.4740000000002</v>
      </c>
      <c r="F68" s="5">
        <v>4875.6790000000001</v>
      </c>
    </row>
    <row r="69" spans="1:6" ht="18" customHeight="1" x14ac:dyDescent="0.2">
      <c r="A69" s="2">
        <v>54</v>
      </c>
      <c r="B69" s="3" t="s">
        <v>64</v>
      </c>
      <c r="C69" s="4">
        <v>66</v>
      </c>
      <c r="D69" s="4">
        <v>143</v>
      </c>
      <c r="E69" s="5">
        <v>0</v>
      </c>
      <c r="F69" s="5">
        <v>0</v>
      </c>
    </row>
    <row r="70" spans="1:6" ht="18" customHeight="1" x14ac:dyDescent="0.2">
      <c r="A70" s="2">
        <v>55</v>
      </c>
      <c r="B70" s="3" t="s">
        <v>65</v>
      </c>
      <c r="C70" s="4">
        <v>53</v>
      </c>
      <c r="D70" s="4">
        <v>450</v>
      </c>
      <c r="E70" s="5">
        <v>1938.7059999999999</v>
      </c>
      <c r="F70" s="5">
        <v>869.63699999999994</v>
      </c>
    </row>
    <row r="71" spans="1:6" ht="18" customHeight="1" x14ac:dyDescent="0.2">
      <c r="A71" s="2">
        <v>56</v>
      </c>
      <c r="B71" s="3" t="s">
        <v>66</v>
      </c>
      <c r="C71" s="4">
        <v>39</v>
      </c>
      <c r="D71" s="4">
        <v>160</v>
      </c>
      <c r="E71" s="5">
        <v>0</v>
      </c>
      <c r="F71" s="5">
        <v>0</v>
      </c>
    </row>
    <row r="72" spans="1:6" ht="18" customHeight="1" x14ac:dyDescent="0.2">
      <c r="A72" s="2">
        <v>57</v>
      </c>
      <c r="B72" s="3" t="s">
        <v>67</v>
      </c>
      <c r="C72" s="4">
        <v>931</v>
      </c>
      <c r="D72" s="4">
        <v>214</v>
      </c>
      <c r="E72" s="5">
        <v>33333.846339999989</v>
      </c>
      <c r="F72" s="5">
        <v>34468.714126999999</v>
      </c>
    </row>
    <row r="73" spans="1:6" ht="18" customHeight="1" x14ac:dyDescent="0.2">
      <c r="A73" s="2">
        <v>58</v>
      </c>
      <c r="B73" s="3" t="s">
        <v>68</v>
      </c>
      <c r="C73" s="4">
        <v>0</v>
      </c>
      <c r="D73" s="4">
        <v>129</v>
      </c>
      <c r="E73" s="5">
        <v>0</v>
      </c>
      <c r="F73" s="5">
        <v>208.37100000000001</v>
      </c>
    </row>
    <row r="74" spans="1:6" ht="18" customHeight="1" x14ac:dyDescent="0.2">
      <c r="A74" s="2">
        <v>59</v>
      </c>
      <c r="B74" s="3" t="s">
        <v>69</v>
      </c>
      <c r="C74" s="4">
        <v>103327</v>
      </c>
      <c r="D74" s="4">
        <v>114263</v>
      </c>
      <c r="E74" s="5">
        <v>2374.8316099999997</v>
      </c>
      <c r="F74" s="5">
        <v>7337.178609999999</v>
      </c>
    </row>
    <row r="75" spans="1:6" ht="18" customHeight="1" x14ac:dyDescent="0.2">
      <c r="A75" s="2">
        <v>60</v>
      </c>
      <c r="B75" s="3" t="s">
        <v>80</v>
      </c>
      <c r="C75" s="4">
        <v>7789</v>
      </c>
      <c r="D75" s="4">
        <v>7800</v>
      </c>
      <c r="E75" s="5">
        <v>11.135999999999999</v>
      </c>
      <c r="F75" s="5">
        <v>23.434999999999999</v>
      </c>
    </row>
    <row r="76" spans="1:6" ht="18" customHeight="1" x14ac:dyDescent="0.2">
      <c r="A76" s="2">
        <v>61</v>
      </c>
      <c r="B76" s="3" t="s">
        <v>70</v>
      </c>
      <c r="C76" s="4">
        <v>3629</v>
      </c>
      <c r="D76" s="4">
        <v>3912</v>
      </c>
      <c r="E76" s="5">
        <v>18.635999999999999</v>
      </c>
      <c r="F76" s="5">
        <v>380.66500000000002</v>
      </c>
    </row>
    <row r="77" spans="1:6" ht="18" customHeight="1" x14ac:dyDescent="0.2">
      <c r="A77" s="2">
        <v>62</v>
      </c>
      <c r="B77" s="3" t="s">
        <v>71</v>
      </c>
      <c r="C77" s="4">
        <v>10109</v>
      </c>
      <c r="D77" s="4">
        <v>15999</v>
      </c>
      <c r="E77" s="5">
        <v>2339.1660000000002</v>
      </c>
      <c r="F77" s="5">
        <v>4152.4620000000004</v>
      </c>
    </row>
    <row r="78" spans="1:6" ht="18" customHeight="1" x14ac:dyDescent="0.2">
      <c r="A78" s="2">
        <v>63</v>
      </c>
      <c r="B78" s="3" t="s">
        <v>72</v>
      </c>
      <c r="C78" s="4">
        <v>917</v>
      </c>
      <c r="D78" s="4">
        <v>4365</v>
      </c>
      <c r="E78" s="5">
        <v>0</v>
      </c>
      <c r="F78" s="5">
        <v>7.5555000000000003</v>
      </c>
    </row>
    <row r="79" spans="1:6" ht="18" customHeight="1" x14ac:dyDescent="0.2">
      <c r="A79" s="18" t="s">
        <v>73</v>
      </c>
      <c r="B79" s="19"/>
      <c r="C79" s="8">
        <f>SUM(C16:C78)</f>
        <v>1688367</v>
      </c>
      <c r="D79" s="8">
        <f>SUM(D16:D78)</f>
        <v>1671794</v>
      </c>
      <c r="E79" s="9">
        <f>SUM(E16:E78)</f>
        <v>398117.69099100004</v>
      </c>
      <c r="F79" s="9">
        <f>SUM(F16:F78)</f>
        <v>488331.69379400002</v>
      </c>
    </row>
    <row r="80" spans="1:6" ht="18" customHeight="1" x14ac:dyDescent="0.2">
      <c r="A80" s="23" t="s">
        <v>74</v>
      </c>
      <c r="B80" s="24"/>
      <c r="C80" s="12">
        <f>C79+C14</f>
        <v>4856292</v>
      </c>
      <c r="D80" s="12">
        <f>D79+D14</f>
        <v>3920026</v>
      </c>
      <c r="E80" s="13">
        <f>E79+E14</f>
        <v>437282.71654100006</v>
      </c>
      <c r="F80" s="13">
        <f>F79+F14</f>
        <v>566368.98387400003</v>
      </c>
    </row>
    <row r="81" spans="1:6" ht="50.25" customHeight="1" x14ac:dyDescent="0.2">
      <c r="A81" s="25" t="s">
        <v>86</v>
      </c>
      <c r="B81" s="26"/>
      <c r="C81" s="26"/>
      <c r="D81" s="26"/>
      <c r="E81" s="26"/>
      <c r="F81" s="27"/>
    </row>
    <row r="82" spans="1:6" ht="18" customHeight="1" x14ac:dyDescent="0.2">
      <c r="A82" s="15" t="s">
        <v>75</v>
      </c>
      <c r="B82" s="16"/>
      <c r="C82" s="16"/>
      <c r="D82" s="16"/>
      <c r="E82" s="16"/>
      <c r="F82" s="17"/>
    </row>
  </sheetData>
  <mergeCells count="11">
    <mergeCell ref="A1:F1"/>
    <mergeCell ref="A2:F2"/>
    <mergeCell ref="A3:F3"/>
    <mergeCell ref="A4:F4"/>
    <mergeCell ref="A6:F6"/>
    <mergeCell ref="A82:F82"/>
    <mergeCell ref="A14:B14"/>
    <mergeCell ref="A15:F15"/>
    <mergeCell ref="A79:B79"/>
    <mergeCell ref="A80:B80"/>
    <mergeCell ref="A81:F81"/>
  </mergeCells>
  <pageMargins left="0.7" right="0.7" top="0.75" bottom="0.75" header="0.3" footer="0.3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Savitri-dgca</dc:creator>
  <cp:lastModifiedBy>acer</cp:lastModifiedBy>
  <cp:lastPrinted>2020-05-15T07:49:27Z</cp:lastPrinted>
  <dcterms:created xsi:type="dcterms:W3CDTF">2020-03-23T05:55:23Z</dcterms:created>
  <dcterms:modified xsi:type="dcterms:W3CDTF">2022-03-25T06:35:25Z</dcterms:modified>
</cp:coreProperties>
</file>