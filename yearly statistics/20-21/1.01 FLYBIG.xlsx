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FLYBIG\"/>
    </mc:Choice>
  </mc:AlternateContent>
  <bookViews>
    <workbookView xWindow="0" yWindow="0" windowWidth="24000" windowHeight="9435"/>
  </bookViews>
  <sheets>
    <sheet name="flybig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4" l="1"/>
  <c r="Q17" i="4" l="1"/>
  <c r="Q16" i="4" l="1"/>
  <c r="Q15" i="4"/>
  <c r="Q14" i="4"/>
  <c r="Q13" i="4"/>
  <c r="Q12" i="4"/>
  <c r="Q11" i="4"/>
  <c r="Q10" i="4"/>
  <c r="Q9" i="4"/>
  <c r="Q8" i="4"/>
  <c r="Q7" i="4"/>
  <c r="Q6" i="4"/>
  <c r="H16" i="4"/>
  <c r="H14" i="4"/>
  <c r="H13" i="4"/>
  <c r="H12" i="4"/>
  <c r="H11" i="4"/>
  <c r="H10" i="4"/>
  <c r="H9" i="4"/>
  <c r="H8" i="4"/>
  <c r="H7" i="4"/>
  <c r="H6" i="4"/>
  <c r="H15" i="4" l="1"/>
  <c r="P18" i="4"/>
  <c r="O18" i="4"/>
  <c r="N18" i="4"/>
  <c r="M18" i="4"/>
  <c r="L18" i="4"/>
  <c r="K18" i="4"/>
  <c r="J18" i="4"/>
  <c r="I18" i="4"/>
  <c r="G18" i="4"/>
  <c r="F18" i="4"/>
  <c r="E18" i="4"/>
  <c r="D18" i="4"/>
  <c r="C18" i="4"/>
  <c r="B18" i="4"/>
  <c r="H18" i="4" l="1"/>
  <c r="Q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<sst xmlns="http://schemas.openxmlformats.org/spreadsheetml/2006/main" count="26" uniqueCount="24">
  <si>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</si>
  <si>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</si>
  <si>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</si>
  <si>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</si>
  <si>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</si>
  <si>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</si>
  <si>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</si>
  <si>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</si>
  <si>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</si>
  <si>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</si>
  <si>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</si>
  <si>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</si>
  <si>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</si>
  <si>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</si>
  <si>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</si>
  <si>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</si>
  <si>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</si>
  <si>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</si>
  <si>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</si>
  <si>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(FLY BIG)</t>
  </si>
  <si>
    <t xml:space="preserve">तालिका 1.01 (फ्लाई बिग) </t>
  </si>
  <si>
    <t xml:space="preserve">SOURCE:-  ICAO ATR FORM 'A' FURNISHED BY FLY BIG </t>
  </si>
  <si>
    <t>2022-23</t>
  </si>
  <si>
    <t>MONTHLY TRAFFIC AND OPERATING STATISTICS OF FLY BIG ON SCHEDULED DOMESTIC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</si>
</sst>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164" fontId="0" fillId="0" borderId="1" xfId="1" applyNumberFormat="1" applyFont="1" applyBorder="1" applyAlignment="1">
      <alignment horizontal="right" vertical="center"/>
    </xf>
    <xf numFmtId="164" fontId="3" fillId="4" borderId="1" xfId="3" applyNumberFormat="1" applyBorder="1" applyAlignment="1">
      <alignment horizontal="right" vertical="center"/>
    </xf>
    <xf numFmtId="164" fontId="4" fillId="4" borderId="1" xfId="3" applyNumberFormat="1" applyFont="1" applyBorder="1" applyAlignment="1" applyProtection="1">
      <alignment horizontal="right" vertical="center" wrapText="1"/>
    </xf>
    <xf numFmtId="167" fontId="3" fillId="4" borderId="1" xfId="3" applyNumberFormat="1" applyFon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  <xf numFmtId="166" fontId="4" fillId="4" borderId="1" xfId="3" applyNumberFormat="1" applyFont="1" applyBorder="1" applyAlignment="1" applyProtection="1">
      <alignment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="90" zoomScaleNormal="100" zoomScaleSheetLayoutView="90" workbookViewId="0">
      <selection activeCell="J9" sqref="J9"/>
    </sheetView>
  </sheetViews>
  <sheetFormatPr defaultRowHeight="15" x14ac:dyDescent="0.25"/>
  <cols>
    <col min="1" max="1" width="14" bestFit="1" customWidth="1"/>
    <col min="2" max="2" width="6.85546875" customWidth="1"/>
    <col min="3" max="3" width="6.7109375" customWidth="1"/>
    <col min="4" max="4" width="7.140625" customWidth="1"/>
    <col min="5" max="5" width="9.7109375" customWidth="1"/>
    <col min="6" max="6" width="8" customWidth="1"/>
    <col min="7" max="7" width="8.28515625" customWidth="1"/>
    <col min="8" max="8" width="9.42578125" customWidth="1"/>
    <col min="9" max="9" width="7.140625" customWidth="1"/>
    <col min="10" max="10" width="6.7109375" customWidth="1"/>
    <col min="11" max="11" width="7.5703125" customWidth="1"/>
    <col min="12" max="12" width="7.42578125" customWidth="1"/>
    <col min="13" max="14" width="7.7109375" customWidth="1"/>
    <col min="15" max="15" width="7.140625" customWidth="1"/>
    <col min="16" max="17" width="8.28515625" customWidth="1"/>
  </cols>
  <sheetData>
    <row r="1" spans="1:17" x14ac:dyDescent="0.2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20.7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2">
        <v>44652</v>
      </c>
      <c r="B6" s="2">
        <v>398</v>
      </c>
      <c r="C6" s="2">
        <v>554</v>
      </c>
      <c r="D6" s="2">
        <v>182.06</v>
      </c>
      <c r="E6" s="2">
        <v>16164</v>
      </c>
      <c r="F6" s="5">
        <v>7.2789799999999998</v>
      </c>
      <c r="G6" s="5">
        <v>12.999639999999999</v>
      </c>
      <c r="H6" s="5">
        <f t="shared" ref="H6:H16" si="0">F6/G6*100</f>
        <v>55.993704441046063</v>
      </c>
      <c r="I6" s="5"/>
      <c r="J6" s="5"/>
      <c r="K6" s="5"/>
      <c r="L6" s="5">
        <v>0.54591999999999996</v>
      </c>
      <c r="M6" s="5">
        <v>0</v>
      </c>
      <c r="N6" s="5">
        <v>0</v>
      </c>
      <c r="O6" s="5">
        <v>0.54591999999999996</v>
      </c>
      <c r="P6" s="5">
        <v>4.1008300000000002</v>
      </c>
      <c r="Q6" s="5">
        <f t="shared" ref="Q6:Q17" si="1">O6/P6*100</f>
        <v>13.312426996486076</v>
      </c>
    </row>
    <row r="7" spans="1:17" x14ac:dyDescent="0.25">
      <c r="A7" s="13">
        <v>44682</v>
      </c>
      <c r="B7" s="3">
        <v>519</v>
      </c>
      <c r="C7" s="3">
        <v>738</v>
      </c>
      <c r="D7" s="3">
        <v>234</v>
      </c>
      <c r="E7" s="3">
        <v>23803</v>
      </c>
      <c r="F7" s="6">
        <v>10.64663</v>
      </c>
      <c r="G7" s="6">
        <v>17.043950000000002</v>
      </c>
      <c r="H7" s="6">
        <f t="shared" si="0"/>
        <v>62.465742976246695</v>
      </c>
      <c r="I7" s="6"/>
      <c r="J7" s="6"/>
      <c r="K7" s="6">
        <v>0</v>
      </c>
      <c r="L7" s="6">
        <v>0.79849999999999999</v>
      </c>
      <c r="M7" s="6">
        <v>0</v>
      </c>
      <c r="N7" s="6">
        <v>0</v>
      </c>
      <c r="O7" s="6">
        <v>0.79849999999999999</v>
      </c>
      <c r="P7" s="6">
        <v>5.5765320000000003</v>
      </c>
      <c r="Q7" s="6">
        <f t="shared" si="1"/>
        <v>14.318935137465363</v>
      </c>
    </row>
    <row r="8" spans="1:17" x14ac:dyDescent="0.25">
      <c r="A8" s="12">
        <v>44713</v>
      </c>
      <c r="B8" s="2">
        <v>590</v>
      </c>
      <c r="C8" s="2">
        <v>817</v>
      </c>
      <c r="D8" s="2">
        <v>276</v>
      </c>
      <c r="E8" s="2">
        <v>23027</v>
      </c>
      <c r="F8" s="5">
        <v>10.662795000000001</v>
      </c>
      <c r="G8" s="5">
        <v>19.690860000000001</v>
      </c>
      <c r="H8" s="5">
        <f t="shared" si="0"/>
        <v>54.150986803014192</v>
      </c>
      <c r="I8" s="5"/>
      <c r="J8" s="5"/>
      <c r="K8" s="5">
        <v>0</v>
      </c>
      <c r="L8" s="5">
        <v>0.79970962499999987</v>
      </c>
      <c r="M8" s="5">
        <v>0</v>
      </c>
      <c r="N8" s="5">
        <v>0</v>
      </c>
      <c r="O8" s="5">
        <v>0.79970962499999987</v>
      </c>
      <c r="P8" s="5">
        <v>6.0910299999999999</v>
      </c>
      <c r="Q8" s="5">
        <f t="shared" si="1"/>
        <v>13.129300381052136</v>
      </c>
    </row>
    <row r="9" spans="1:17" x14ac:dyDescent="0.25">
      <c r="A9" s="13">
        <v>44743</v>
      </c>
      <c r="B9" s="3">
        <v>632</v>
      </c>
      <c r="C9" s="3">
        <v>909.48</v>
      </c>
      <c r="D9" s="3">
        <v>285</v>
      </c>
      <c r="E9" s="3">
        <v>21775</v>
      </c>
      <c r="F9" s="6">
        <v>9.4979999999999993</v>
      </c>
      <c r="G9" s="6">
        <v>20.298999999999999</v>
      </c>
      <c r="H9" s="6">
        <f t="shared" si="0"/>
        <v>46.790482289767965</v>
      </c>
      <c r="I9" s="6"/>
      <c r="J9" s="6"/>
      <c r="K9" s="6">
        <v>0</v>
      </c>
      <c r="L9" s="6">
        <v>0.71241999999999994</v>
      </c>
      <c r="M9" s="6">
        <v>0</v>
      </c>
      <c r="N9" s="6">
        <v>0</v>
      </c>
      <c r="O9" s="6">
        <v>0.71241999999999994</v>
      </c>
      <c r="P9" s="6">
        <v>6.2884399999999996</v>
      </c>
      <c r="Q9" s="6">
        <f t="shared" si="1"/>
        <v>11.329041860938483</v>
      </c>
    </row>
    <row r="10" spans="1:17" x14ac:dyDescent="0.25">
      <c r="A10" s="12">
        <v>44774</v>
      </c>
      <c r="B10" s="2">
        <v>447</v>
      </c>
      <c r="C10" s="2">
        <v>616.03</v>
      </c>
      <c r="D10" s="2">
        <v>190</v>
      </c>
      <c r="E10" s="2">
        <v>16357</v>
      </c>
      <c r="F10" s="5">
        <v>6.7488700000000001</v>
      </c>
      <c r="G10" s="5">
        <v>13.509292</v>
      </c>
      <c r="H10" s="5">
        <f t="shared" si="0"/>
        <v>49.957244243443697</v>
      </c>
      <c r="I10" s="5"/>
      <c r="J10" s="5"/>
      <c r="K10" s="5">
        <v>0</v>
      </c>
      <c r="L10" s="5">
        <v>0.50887000000000004</v>
      </c>
      <c r="M10" s="5">
        <v>0</v>
      </c>
      <c r="N10" s="5">
        <v>0</v>
      </c>
      <c r="O10" s="5">
        <v>0.50887000000000004</v>
      </c>
      <c r="P10" s="5">
        <v>4.1927200000000004</v>
      </c>
      <c r="Q10" s="5">
        <f t="shared" si="1"/>
        <v>12.136989829991032</v>
      </c>
    </row>
    <row r="11" spans="1:17" x14ac:dyDescent="0.25">
      <c r="A11" s="13">
        <v>44805</v>
      </c>
      <c r="B11" s="3">
        <v>430</v>
      </c>
      <c r="C11" s="3">
        <v>563.16999999999996</v>
      </c>
      <c r="D11" s="3">
        <v>173</v>
      </c>
      <c r="E11" s="3">
        <v>16702</v>
      </c>
      <c r="F11" s="6">
        <v>6.7787700000000006</v>
      </c>
      <c r="G11" s="6">
        <v>12.388425999999999</v>
      </c>
      <c r="H11" s="6">
        <f t="shared" si="0"/>
        <v>54.718573610561997</v>
      </c>
      <c r="I11" s="6"/>
      <c r="J11" s="6"/>
      <c r="K11" s="6">
        <v>0</v>
      </c>
      <c r="L11" s="6">
        <v>0.49871264999999992</v>
      </c>
      <c r="M11" s="6">
        <v>0</v>
      </c>
      <c r="N11" s="6">
        <v>0</v>
      </c>
      <c r="O11" s="6">
        <v>0.49871264999999992</v>
      </c>
      <c r="P11" s="6">
        <v>3.7776860000000001</v>
      </c>
      <c r="Q11" s="6">
        <f t="shared" si="1"/>
        <v>13.201537925597837</v>
      </c>
    </row>
    <row r="12" spans="1:17" x14ac:dyDescent="0.25">
      <c r="A12" s="12">
        <v>44835</v>
      </c>
      <c r="B12" s="2">
        <v>579</v>
      </c>
      <c r="C12" s="2">
        <v>771.15</v>
      </c>
      <c r="D12" s="2">
        <v>239</v>
      </c>
      <c r="E12" s="2">
        <v>26948</v>
      </c>
      <c r="F12" s="5">
        <v>11.4139</v>
      </c>
      <c r="G12" s="5">
        <v>16.937676</v>
      </c>
      <c r="H12" s="5">
        <f t="shared" si="0"/>
        <v>67.387639248737557</v>
      </c>
      <c r="I12" s="5"/>
      <c r="J12" s="5"/>
      <c r="K12" s="5">
        <v>0</v>
      </c>
      <c r="L12" s="5">
        <v>0.79221000000000008</v>
      </c>
      <c r="M12" s="5">
        <v>0</v>
      </c>
      <c r="N12" s="5">
        <v>0</v>
      </c>
      <c r="O12" s="5">
        <v>0.79221000000000008</v>
      </c>
      <c r="P12" s="5">
        <v>4.8211700000000004</v>
      </c>
      <c r="Q12" s="5">
        <f t="shared" si="1"/>
        <v>16.431903459118846</v>
      </c>
    </row>
    <row r="13" spans="1:17" x14ac:dyDescent="0.25">
      <c r="A13" s="13">
        <v>44866</v>
      </c>
      <c r="B13" s="3">
        <v>540</v>
      </c>
      <c r="C13" s="3">
        <v>735.4</v>
      </c>
      <c r="D13" s="3">
        <v>230</v>
      </c>
      <c r="E13" s="3">
        <v>25675</v>
      </c>
      <c r="F13" s="6">
        <v>11.060540000000001</v>
      </c>
      <c r="G13" s="6">
        <v>16.22559</v>
      </c>
      <c r="H13" s="6">
        <f t="shared" si="0"/>
        <v>68.167259249124385</v>
      </c>
      <c r="I13" s="6"/>
      <c r="J13" s="6"/>
      <c r="K13" s="6">
        <v>0</v>
      </c>
      <c r="L13" s="6">
        <v>0.79791999999999996</v>
      </c>
      <c r="M13" s="6">
        <v>0</v>
      </c>
      <c r="N13" s="6">
        <v>0</v>
      </c>
      <c r="O13" s="6">
        <v>0.79791999999999996</v>
      </c>
      <c r="P13" s="6">
        <v>4.7904600000000004</v>
      </c>
      <c r="Q13" s="6">
        <f t="shared" si="1"/>
        <v>16.656438003866015</v>
      </c>
    </row>
    <row r="14" spans="1:17" x14ac:dyDescent="0.25">
      <c r="A14" s="12">
        <v>44896</v>
      </c>
      <c r="B14" s="2">
        <v>581</v>
      </c>
      <c r="C14" s="2">
        <v>830.2</v>
      </c>
      <c r="D14" s="2">
        <v>250</v>
      </c>
      <c r="E14" s="2">
        <v>28680</v>
      </c>
      <c r="F14" s="5">
        <v>12.465956</v>
      </c>
      <c r="G14" s="5">
        <v>17.619302000000001</v>
      </c>
      <c r="H14" s="5">
        <f t="shared" si="0"/>
        <v>70.751701741646741</v>
      </c>
      <c r="I14" s="5"/>
      <c r="J14" s="5"/>
      <c r="K14" s="5">
        <v>0</v>
      </c>
      <c r="L14" s="5">
        <v>0.86839349999999982</v>
      </c>
      <c r="M14" s="5">
        <v>0</v>
      </c>
      <c r="N14" s="5">
        <v>0</v>
      </c>
      <c r="O14" s="5">
        <v>0.86839349999999982</v>
      </c>
      <c r="P14" s="5">
        <v>5.0201139999999995</v>
      </c>
      <c r="Q14" s="5">
        <f t="shared" si="1"/>
        <v>17.298282469282569</v>
      </c>
    </row>
    <row r="15" spans="1:17" x14ac:dyDescent="0.25">
      <c r="A15" s="13">
        <v>44927</v>
      </c>
      <c r="B15" s="3">
        <v>565</v>
      </c>
      <c r="C15" s="3">
        <v>796</v>
      </c>
      <c r="D15" s="3">
        <v>236</v>
      </c>
      <c r="E15" s="3">
        <v>21729</v>
      </c>
      <c r="F15" s="6">
        <v>9.3553999999999995</v>
      </c>
      <c r="G15" s="6">
        <v>16.625554000000001</v>
      </c>
      <c r="H15" s="6">
        <f t="shared" ref="H15" si="2">F15/G15*100</f>
        <v>56.271207563970492</v>
      </c>
      <c r="I15" s="9"/>
      <c r="J15" s="9"/>
      <c r="K15" s="9">
        <v>0</v>
      </c>
      <c r="L15" s="6">
        <v>0.70165999999999995</v>
      </c>
      <c r="M15" s="9">
        <v>0</v>
      </c>
      <c r="N15" s="9">
        <v>0</v>
      </c>
      <c r="O15" s="6">
        <v>0.70165999999999995</v>
      </c>
      <c r="P15" s="6">
        <v>5.2060000000000004</v>
      </c>
      <c r="Q15" s="6">
        <f t="shared" si="1"/>
        <v>13.477910103726467</v>
      </c>
    </row>
    <row r="16" spans="1:17" x14ac:dyDescent="0.25">
      <c r="A16" s="12">
        <v>44958</v>
      </c>
      <c r="B16" s="2">
        <v>486</v>
      </c>
      <c r="C16" s="2">
        <v>617.83333333333337</v>
      </c>
      <c r="D16" s="2">
        <v>205</v>
      </c>
      <c r="E16" s="2">
        <v>18249</v>
      </c>
      <c r="F16" s="5">
        <v>8.159599</v>
      </c>
      <c r="G16" s="5">
        <v>14.479924</v>
      </c>
      <c r="H16" s="5">
        <f t="shared" si="0"/>
        <v>56.351117588738717</v>
      </c>
      <c r="I16" s="10"/>
      <c r="J16" s="10"/>
      <c r="K16" s="10">
        <v>0</v>
      </c>
      <c r="L16" s="5">
        <v>0.61196992500000014</v>
      </c>
      <c r="M16" s="10">
        <v>0</v>
      </c>
      <c r="N16" s="10">
        <v>0</v>
      </c>
      <c r="O16" s="5">
        <v>0.61196992500000014</v>
      </c>
      <c r="P16" s="5">
        <v>4.5314719999999999</v>
      </c>
      <c r="Q16" s="5">
        <f t="shared" si="1"/>
        <v>13.504881526356119</v>
      </c>
    </row>
    <row r="17" spans="1:17" x14ac:dyDescent="0.25">
      <c r="A17" s="13">
        <v>44986</v>
      </c>
      <c r="B17" s="3">
        <v>405</v>
      </c>
      <c r="C17" s="3">
        <v>548.15</v>
      </c>
      <c r="D17" s="3">
        <v>170</v>
      </c>
      <c r="E17" s="3">
        <v>16483</v>
      </c>
      <c r="F17" s="6">
        <v>7.2380000000000004</v>
      </c>
      <c r="G17" s="6">
        <v>11.974</v>
      </c>
      <c r="H17" s="6">
        <f>F17/G17*100</f>
        <v>60.447636545849349</v>
      </c>
      <c r="I17" s="9"/>
      <c r="J17" s="9"/>
      <c r="K17" s="9">
        <v>0</v>
      </c>
      <c r="L17" s="6">
        <v>0.54288999999999998</v>
      </c>
      <c r="M17" s="9">
        <v>0</v>
      </c>
      <c r="N17" s="9">
        <v>0</v>
      </c>
      <c r="O17" s="6">
        <v>0.54288999999999998</v>
      </c>
      <c r="P17" s="6">
        <v>3.7410000000000001</v>
      </c>
      <c r="Q17" s="6">
        <f t="shared" si="1"/>
        <v>14.511895215183104</v>
      </c>
    </row>
    <row r="18" spans="1:17" x14ac:dyDescent="0.25">
      <c r="A18" s="1" t="s">
        <v>22</v>
      </c>
      <c r="B18" s="4">
        <f>SUM(B6:B17)</f>
        <v>6172</v>
      </c>
      <c r="C18" s="4">
        <f t="shared" ref="C18:G18" si="3">SUM(C6:C17)</f>
        <v>8496.413333333332</v>
      </c>
      <c r="D18" s="4">
        <f t="shared" si="3"/>
        <v>2670.06</v>
      </c>
      <c r="E18" s="4">
        <f t="shared" si="3"/>
        <v>255592</v>
      </c>
      <c r="F18" s="8">
        <f t="shared" si="3"/>
        <v>111.30744</v>
      </c>
      <c r="G18" s="8">
        <f t="shared" si="3"/>
        <v>189.79321400000001</v>
      </c>
      <c r="H18" s="8">
        <f t="shared" ref="H18" si="4">F18/G18*100</f>
        <v>58.646691129852513</v>
      </c>
      <c r="I18" s="11">
        <f>SUM(I6:I17)</f>
        <v>0</v>
      </c>
      <c r="J18" s="11">
        <f t="shared" ref="J18:P18" si="5">SUM(J6:J17)</f>
        <v>0</v>
      </c>
      <c r="K18" s="11">
        <f t="shared" si="5"/>
        <v>0</v>
      </c>
      <c r="L18" s="8">
        <f t="shared" si="5"/>
        <v>8.1791757</v>
      </c>
      <c r="M18" s="11">
        <f t="shared" si="5"/>
        <v>0</v>
      </c>
      <c r="N18" s="11">
        <f t="shared" si="5"/>
        <v>0</v>
      </c>
      <c r="O18" s="8">
        <f t="shared" si="5"/>
        <v>8.1791757</v>
      </c>
      <c r="P18" s="8">
        <f t="shared" si="5"/>
        <v>58.137454000000005</v>
      </c>
      <c r="Q18" s="14">
        <f t="shared" ref="Q18" si="6">O18/P18*100</f>
        <v>14.068685739145026</v>
      </c>
    </row>
    <row r="19" spans="1:17" x14ac:dyDescent="0.25">
      <c r="A19" s="17" t="s">
        <v>21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2022-04-26T05:16:06Z</cp:lastPrinted>
  <dcterms:created xsi:type="dcterms:W3CDTF">2018-10-29T04:00:07Z</dcterms:created>
  <dcterms:modified xsi:type="dcterms:W3CDTF">2023-10-11T11:53:03Z</dcterms:modified>
</cp:coreProperties>
</file>