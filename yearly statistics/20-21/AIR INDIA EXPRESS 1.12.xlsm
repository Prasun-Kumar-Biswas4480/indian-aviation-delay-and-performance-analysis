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'1.12'!$A$1:$D$14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<sst xmlns="http://schemas.openxmlformats.org/spreadsheetml/2006/main" count="877" uniqueCount="188">
  <si>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</si>
  <si>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</si>
  <si>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</si>
  <si>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</si>
  <si>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</si>
  <si>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</si>
  <si>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</si>
  <si>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</si>
  <si>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</si>
  <si>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</si>
  <si>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</si>
  <si>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</si>
  <si>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</si>
  <si>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</si>
  <si>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</si>
  <si>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</si>
  <si>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r>
      <t>Year end on 31</t>
    </r>
    <r>
      <rPr>
        <b/>
        <vertAlign val="superscript"/>
        <sz val="12"/>
        <rFont val="Cambria"/>
        <family val="1"/>
        <scheme val="major"/>
      </rPr>
      <t xml:space="preserve">st </t>
    </r>
    <r>
      <rPr>
        <b/>
        <sz val="12"/>
        <rFont val="Cambria"/>
        <family val="1"/>
        <scheme val="major"/>
      </rPr>
      <t>March</t>
    </r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</si>
  <si>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</si>
  <si>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</si>
  <si>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</si>
  <si>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</si>
  <si>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</si>
  <si>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</si>
  <si>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</si>
  <si>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</si>
  <si>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</si>
  <si>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</si>
  <si>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</si>
  <si>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</si>
  <si>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</si>
  <si>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</si>
  <si>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</si>
  <si>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</si>
  <si>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</si>
  <si>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</si>
  <si>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</si>
  <si>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</si>
  <si>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</si>
  <si>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</si>
  <si>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</si>
  <si>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</si>
  <si>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</si>
  <si>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</si>
  <si>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</si>
  <si>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</si>
  <si>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</si>
  <si>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</si>
  <si>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</si>
  <si>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</si>
  <si>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</si>
  <si>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</si>
  <si>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</si>
  <si>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</si>
  <si>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</si>
  <si>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</si>
  <si>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</si>
  <si>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</si>
  <si>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</si>
  <si>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</si>
  <si>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</si>
  <si>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</si>
  <si>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</si>
  <si>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</si>
  <si>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</si>
  <si>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</si>
  <si>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</si>
  <si>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</si>
  <si>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</si>
  <si>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</si>
  <si>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</si>
  <si>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</si>
  <si>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</si>
  <si>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</si>
  <si>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</si>
  <si>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</si>
  <si>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</si>
  <si>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</si>
  <si>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</si>
  <si>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</si>
  <si>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</si>
  <si>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</si>
  <si>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</si>
  <si>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</si>
  <si>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</si>
  <si>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</si>
  <si>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</si>
  <si>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</si>
  <si>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</si>
  <si>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</si>
  <si>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</si>
  <si>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</si>
  <si>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</si>
  <si>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</si>
  <si>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</si>
  <si>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</si>
  <si>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</si>
  <si>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</si>
  <si>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</si>
  <si>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</si>
  <si>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</si>
  <si>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</si>
  <si>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</si>
  <si>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</si>
  <si>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</si>
  <si>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</si>
  <si>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</si>
  <si>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</si>
  <si>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</si>
  <si>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</si>
  <si>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</si>
  <si>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</si>
  <si>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</si>
  <si>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</si>
  <si>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</si>
  <si>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</si>
  <si>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</si>
  <si>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</si>
  <si>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</si>
  <si>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</si>
  <si>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</si>
  <si>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</si>
  <si>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</si>
  <si>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</si>
  <si>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</si>
  <si>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</si>
  <si>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</si>
  <si>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</si>
  <si>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</si>
  <si>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</si>
  <si>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</si>
  <si>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</si>
  <si>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</si>
  <si>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</si>
  <si>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</si>
  <si>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</si>
  <si>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</si>
  <si>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</si>
  <si>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</si>
  <si>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</si>
  <si>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</si>
  <si>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</si>
  <si>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</si>
  <si>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</si>
  <si>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</si>
  <si>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</si>
  <si>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</si>
  <si>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</si>
  <si>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</si>
  <si>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</si>
  <si>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</si>
  <si>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</si>
  <si>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</si>
  <si>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</si>
  <si>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</si>
  <si>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</si>
  <si>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</si>
  <si>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</si>
  <si>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</si>
  <si>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</si>
  <si>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</si>
  <si>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</si>
  <si>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</si>
  <si>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</si>
  <si>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</si>
  <si>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</si>
  <si>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</si>
  <si>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</si>
  <si>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</si>
  <si>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</si>
  <si>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</si>
  <si>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</si>
  <si>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</si>
  <si>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</si>
  <si>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</si>
  <si>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</si>
  <si>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</si>
  <si>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</si>
  <si>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</si>
  <si>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</si>
  <si>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</si>
  <si>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</si>
  <si>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</si>
  <si>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AIR INDIA EXPRESS</t>
  </si>
  <si>
    <t xml:space="preserve">तालिका 1.12 (एयर इंडिया एक्सप्रेस) </t>
  </si>
  <si>
    <t>TABLE - 1.12 (AIR INDIA EXPRESS)</t>
  </si>
  <si>
    <t>OTHER FLIGHT CREW</t>
  </si>
  <si>
    <t>CABIN CREW</t>
  </si>
  <si>
    <t>PERSONNEL STATISTICS OF AIR INDIA EXPRESS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</si>
</sst>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b/>
      <vertAlign val="superscript"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1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0" fontId="9" fillId="2" borderId="0" xfId="2" applyFont="1" applyFill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0" xfId="7" applyNumberFormat="1" applyFont="1" applyFill="1" applyBorder="1" applyAlignment="1" applyProtection="1">
      <alignment horizontal="left" vertical="center"/>
    </xf>
    <xf numFmtId="167" fontId="12" fillId="4" borderId="10" xfId="7" applyNumberFormat="1" applyFont="1" applyFill="1" applyBorder="1" applyAlignment="1" applyProtection="1">
      <alignment vertical="center"/>
    </xf>
    <xf numFmtId="167" fontId="13" fillId="4" borderId="9" xfId="7" applyNumberFormat="1" applyFont="1" applyFill="1" applyBorder="1" applyAlignment="1" applyProtection="1">
      <alignment vertical="center"/>
    </xf>
    <xf numFmtId="167" fontId="12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65" fontId="3" fillId="2" borderId="1" xfId="0" applyNumberFormat="1" applyFont="1" applyFill="1" applyBorder="1" applyAlignment="1">
      <alignment horizontal="center" vertical="center"/>
    </xf>
    <xf numFmtId="0" fontId="9" fillId="2" borderId="0" xfId="2" applyFont="1" applyFill="1" applyBorder="1" applyAlignment="1">
      <alignment horizontal="left" vertical="center" wrapText="1"/>
    </xf>
    <xf numFmtId="0" fontId="9" fillId="2" borderId="2" xfId="2" applyFont="1" applyFill="1" applyBorder="1" applyAlignment="1" applyProtection="1">
      <alignment horizontal="center" vertical="center" wrapText="1"/>
    </xf>
    <xf numFmtId="0" fontId="9" fillId="2" borderId="1" xfId="2" applyFont="1" applyFill="1" applyBorder="1" applyAlignment="1" applyProtection="1">
      <alignment horizontal="center" vertical="center" wrapText="1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19" fillId="2" borderId="7" xfId="2" applyFont="1" applyFill="1" applyBorder="1" applyAlignment="1">
      <alignment horizontal="center" vertical="center"/>
    </xf>
    <xf numFmtId="0" fontId="9" fillId="2" borderId="3" xfId="2" quotePrefix="1" applyFont="1" applyFill="1" applyBorder="1" applyAlignment="1" applyProtection="1">
      <alignment horizontal="center" vertical="center" wrapText="1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8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98</v>
      </c>
      <c r="B1" s="9" t="s">
        <v>98</v>
      </c>
      <c r="C1" s="9" t="s">
        <v>98</v>
      </c>
      <c r="D1" s="9" t="s">
        <v>98</v>
      </c>
      <c r="E1" s="9" t="s">
        <v>98</v>
      </c>
      <c r="F1" s="9" t="s">
        <v>98</v>
      </c>
      <c r="G1" s="9" t="s">
        <v>98</v>
      </c>
      <c r="H1" s="9" t="s">
        <v>98</v>
      </c>
      <c r="I1" s="9" t="s">
        <v>98</v>
      </c>
      <c r="J1" s="9" t="s">
        <v>98</v>
      </c>
      <c r="K1" s="9" t="s">
        <v>98</v>
      </c>
      <c r="L1" s="9" t="s">
        <v>98</v>
      </c>
      <c r="M1" s="9" t="s">
        <v>98</v>
      </c>
      <c r="N1" s="9" t="s">
        <v>98</v>
      </c>
      <c r="O1" s="9" t="s">
        <v>98</v>
      </c>
      <c r="P1" s="9" t="s">
        <v>98</v>
      </c>
      <c r="Q1" s="9" t="s">
        <v>98</v>
      </c>
      <c r="R1" s="9" t="s">
        <v>98</v>
      </c>
      <c r="S1" s="9" t="s">
        <v>98</v>
      </c>
      <c r="T1" s="9" t="s">
        <v>98</v>
      </c>
      <c r="U1" s="9" t="s">
        <v>98</v>
      </c>
      <c r="V1" s="9" t="s">
        <v>98</v>
      </c>
      <c r="W1" s="9" t="s">
        <v>98</v>
      </c>
      <c r="X1" s="9" t="s">
        <v>98</v>
      </c>
      <c r="Y1" s="9" t="s">
        <v>98</v>
      </c>
      <c r="Z1" s="9" t="s">
        <v>98</v>
      </c>
      <c r="AA1" s="9" t="s">
        <v>98</v>
      </c>
      <c r="AB1" s="9" t="s">
        <v>98</v>
      </c>
      <c r="AC1" s="9" t="s">
        <v>98</v>
      </c>
      <c r="AD1" s="9" t="s">
        <v>98</v>
      </c>
      <c r="AE1" s="9" t="s">
        <v>98</v>
      </c>
      <c r="AF1" s="9" t="s">
        <v>98</v>
      </c>
      <c r="AG1" s="9" t="s">
        <v>98</v>
      </c>
      <c r="AH1" s="9" t="s">
        <v>98</v>
      </c>
      <c r="AI1" s="9" t="s">
        <v>98</v>
      </c>
      <c r="AJ1" s="9" t="s">
        <v>98</v>
      </c>
      <c r="AK1" s="9" t="s">
        <v>98</v>
      </c>
      <c r="AQ1" s="5" t="s">
        <v>34</v>
      </c>
      <c r="AR1" t="s">
        <v>24</v>
      </c>
    </row>
    <row r="2" spans="1:57">
      <c r="A2" s="9" t="s">
        <v>98</v>
      </c>
      <c r="B2" s="26" t="e">
        <f>#REF!</f>
        <v>#REF!</v>
      </c>
      <c r="C2" s="9" t="s">
        <v>98</v>
      </c>
      <c r="D2" s="9" t="s">
        <v>98</v>
      </c>
      <c r="E2" s="9" t="s">
        <v>98</v>
      </c>
      <c r="F2" s="9" t="s">
        <v>98</v>
      </c>
      <c r="G2" s="9" t="s">
        <v>98</v>
      </c>
      <c r="H2" s="9" t="s">
        <v>98</v>
      </c>
      <c r="I2" s="9" t="s">
        <v>98</v>
      </c>
      <c r="J2" s="9" t="s">
        <v>98</v>
      </c>
      <c r="K2" s="9" t="s">
        <v>98</v>
      </c>
      <c r="L2" s="9" t="s">
        <v>98</v>
      </c>
      <c r="M2" s="9" t="s">
        <v>98</v>
      </c>
      <c r="N2" s="9" t="s">
        <v>98</v>
      </c>
      <c r="O2" s="9" t="s">
        <v>98</v>
      </c>
      <c r="P2" s="9" t="s">
        <v>98</v>
      </c>
      <c r="Q2" s="9" t="s">
        <v>98</v>
      </c>
      <c r="R2" s="9" t="s">
        <v>98</v>
      </c>
      <c r="S2" s="9" t="s">
        <v>98</v>
      </c>
      <c r="T2" s="9" t="s">
        <v>98</v>
      </c>
      <c r="U2" s="9" t="s">
        <v>98</v>
      </c>
      <c r="V2" s="9" t="s">
        <v>98</v>
      </c>
      <c r="W2" s="9" t="s">
        <v>98</v>
      </c>
      <c r="X2" s="9" t="s">
        <v>98</v>
      </c>
      <c r="Y2" s="9" t="s">
        <v>98</v>
      </c>
      <c r="Z2" s="9" t="s">
        <v>98</v>
      </c>
      <c r="AA2" s="9" t="s">
        <v>98</v>
      </c>
      <c r="AB2" s="9" t="s">
        <v>98</v>
      </c>
      <c r="AC2" s="9" t="s">
        <v>98</v>
      </c>
      <c r="AD2" s="9" t="s">
        <v>98</v>
      </c>
      <c r="AE2" s="9" t="s">
        <v>98</v>
      </c>
      <c r="AF2" s="9" t="s">
        <v>98</v>
      </c>
      <c r="AG2" s="9" t="s">
        <v>98</v>
      </c>
      <c r="AH2" s="9" t="s">
        <v>98</v>
      </c>
      <c r="AI2" s="9" t="s">
        <v>98</v>
      </c>
      <c r="AJ2" s="9" t="s">
        <v>98</v>
      </c>
      <c r="AK2" s="9" t="s">
        <v>98</v>
      </c>
    </row>
    <row r="3" spans="1:57" ht="15.75" customHeight="1">
      <c r="A3" s="5" t="s">
        <v>45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9" t="s">
        <v>98</v>
      </c>
      <c r="L3" s="9" t="s">
        <v>98</v>
      </c>
      <c r="M3" s="9" t="s">
        <v>98</v>
      </c>
      <c r="N3" s="9" t="s">
        <v>98</v>
      </c>
      <c r="O3" s="9" t="s">
        <v>98</v>
      </c>
      <c r="P3" s="9" t="s">
        <v>98</v>
      </c>
      <c r="Q3" s="9" t="s">
        <v>98</v>
      </c>
      <c r="R3" s="9" t="s">
        <v>98</v>
      </c>
      <c r="S3" s="9" t="s">
        <v>98</v>
      </c>
      <c r="T3" s="22" t="s">
        <v>98</v>
      </c>
      <c r="U3" s="5" t="s">
        <v>34</v>
      </c>
      <c r="V3" s="5" t="s">
        <v>35</v>
      </c>
      <c r="W3" s="5" t="s">
        <v>49</v>
      </c>
      <c r="X3" s="5" t="s">
        <v>50</v>
      </c>
      <c r="Y3" s="5" t="s">
        <v>51</v>
      </c>
      <c r="Z3" s="5" t="s">
        <v>52</v>
      </c>
      <c r="AA3" s="5" t="s">
        <v>36</v>
      </c>
      <c r="AB3" s="5" t="s">
        <v>37</v>
      </c>
      <c r="AC3" s="5" t="s">
        <v>38</v>
      </c>
      <c r="AD3" s="5" t="s">
        <v>53</v>
      </c>
      <c r="AE3" s="5" t="s">
        <v>54</v>
      </c>
      <c r="AF3" s="5" t="s">
        <v>55</v>
      </c>
      <c r="AG3" s="5" t="s">
        <v>56</v>
      </c>
      <c r="AH3" s="5" t="s">
        <v>57</v>
      </c>
      <c r="AI3" s="5" t="s">
        <v>58</v>
      </c>
      <c r="AJ3" s="5" t="s">
        <v>59</v>
      </c>
      <c r="AK3" s="5" t="s">
        <v>60</v>
      </c>
      <c r="AQ3" s="5" t="s">
        <v>35</v>
      </c>
      <c r="AR3" s="5" t="s">
        <v>49</v>
      </c>
      <c r="AS3" s="5" t="s">
        <v>50</v>
      </c>
      <c r="AT3" s="5" t="s">
        <v>51</v>
      </c>
      <c r="AU3" s="5" t="s">
        <v>52</v>
      </c>
      <c r="AV3" s="5" t="s">
        <v>36</v>
      </c>
      <c r="AW3" s="5" t="s">
        <v>37</v>
      </c>
      <c r="AX3" s="5" t="s">
        <v>38</v>
      </c>
      <c r="AY3" s="5" t="s">
        <v>53</v>
      </c>
      <c r="AZ3" s="5" t="s">
        <v>54</v>
      </c>
      <c r="BA3" s="5" t="s">
        <v>56</v>
      </c>
      <c r="BB3" s="5" t="s">
        <v>57</v>
      </c>
      <c r="BC3" s="5" t="s">
        <v>58</v>
      </c>
      <c r="BD3" s="5" t="s">
        <v>60</v>
      </c>
    </row>
    <row r="4" spans="1:57" ht="15.75" customHeight="1">
      <c r="A4" s="6" t="s">
        <v>19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6" t="s">
        <v>46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19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46</v>
      </c>
      <c r="AW5" t="s">
        <v>46</v>
      </c>
      <c r="AX5" t="s">
        <v>46</v>
      </c>
      <c r="AY5" t="s">
        <v>46</v>
      </c>
      <c r="AZ5" t="s">
        <v>99</v>
      </c>
      <c r="BA5" t="s">
        <v>46</v>
      </c>
      <c r="BB5" t="s">
        <v>46</v>
      </c>
      <c r="BC5" t="s">
        <v>99</v>
      </c>
      <c r="BD5" t="s">
        <v>46</v>
      </c>
      <c r="BE5" s="24"/>
    </row>
    <row r="6" spans="1:57">
      <c r="A6" s="6" t="s">
        <v>24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46</v>
      </c>
      <c r="V6" t="s">
        <v>46</v>
      </c>
      <c r="W6" t="s">
        <v>46</v>
      </c>
      <c r="X6" t="s">
        <v>46</v>
      </c>
      <c r="Y6" t="s">
        <v>46</v>
      </c>
      <c r="Z6" t="s">
        <v>46</v>
      </c>
      <c r="AA6" t="s">
        <v>46</v>
      </c>
      <c r="AB6" t="s">
        <v>46</v>
      </c>
      <c r="AC6" t="s">
        <v>46</v>
      </c>
      <c r="AD6" t="s">
        <v>46</v>
      </c>
      <c r="AE6" t="s">
        <v>99</v>
      </c>
      <c r="AF6" t="s">
        <v>99</v>
      </c>
      <c r="AG6" t="s">
        <v>46</v>
      </c>
      <c r="AH6" t="s">
        <v>46</v>
      </c>
      <c r="AI6" t="s">
        <v>99</v>
      </c>
      <c r="AJ6" t="s">
        <v>99</v>
      </c>
      <c r="AK6" t="s">
        <v>46</v>
      </c>
      <c r="BE6" s="24"/>
    </row>
    <row r="7" spans="1:57">
      <c r="A7" s="6" t="s">
        <v>21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24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6" t="s">
        <v>22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24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46</v>
      </c>
      <c r="AB8" t="s">
        <v>46</v>
      </c>
      <c r="AC8" t="s">
        <v>46</v>
      </c>
      <c r="AD8" t="s">
        <v>46</v>
      </c>
      <c r="AE8" t="s">
        <v>99</v>
      </c>
      <c r="AF8" t="s">
        <v>99</v>
      </c>
      <c r="AG8" t="s">
        <v>46</v>
      </c>
      <c r="AH8" t="s">
        <v>46</v>
      </c>
      <c r="AI8" t="s">
        <v>99</v>
      </c>
      <c r="AJ8" t="s">
        <v>99</v>
      </c>
      <c r="AK8" t="s">
        <v>46</v>
      </c>
    </row>
    <row r="9" spans="1:57">
      <c r="A9" s="6" t="s">
        <v>23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21</v>
      </c>
      <c r="V9" t="s">
        <v>139</v>
      </c>
      <c r="W9">
        <v>5</v>
      </c>
      <c r="X9" t="s">
        <v>46</v>
      </c>
      <c r="Y9" t="s">
        <v>46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6" t="s">
        <v>27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21</v>
      </c>
      <c r="V10" t="s">
        <v>140</v>
      </c>
      <c r="W10">
        <v>3</v>
      </c>
      <c r="X10" t="s">
        <v>46</v>
      </c>
      <c r="Y10" t="s">
        <v>46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6" t="s">
        <v>29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21</v>
      </c>
      <c r="V11" t="s">
        <v>141</v>
      </c>
      <c r="W11">
        <v>12</v>
      </c>
      <c r="X11">
        <v>3</v>
      </c>
      <c r="Y11" t="s">
        <v>46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6" t="s">
        <v>30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21</v>
      </c>
      <c r="V12" t="s">
        <v>142</v>
      </c>
      <c r="W12">
        <v>23</v>
      </c>
      <c r="X12">
        <v>4</v>
      </c>
      <c r="Y12" t="s">
        <v>46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6" t="s">
        <v>172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21</v>
      </c>
      <c r="V13" t="s">
        <v>143</v>
      </c>
      <c r="W13">
        <v>22</v>
      </c>
      <c r="X13" t="s">
        <v>46</v>
      </c>
      <c r="Y13" t="s">
        <v>46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6" t="s">
        <v>33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21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6" t="s">
        <v>42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21</v>
      </c>
      <c r="V15" t="s">
        <v>145</v>
      </c>
      <c r="W15">
        <v>20</v>
      </c>
      <c r="X15" t="s">
        <v>46</v>
      </c>
      <c r="Y15" t="s">
        <v>46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6" t="s">
        <v>43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22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6" t="s">
        <v>44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23</v>
      </c>
      <c r="V17" t="s">
        <v>122</v>
      </c>
      <c r="W17" t="s">
        <v>46</v>
      </c>
      <c r="X17" t="s">
        <v>46</v>
      </c>
      <c r="Y17" t="s">
        <v>46</v>
      </c>
      <c r="Z17" t="s">
        <v>46</v>
      </c>
      <c r="AA17" t="s">
        <v>46</v>
      </c>
      <c r="AB17" t="s">
        <v>46</v>
      </c>
      <c r="AC17" t="s">
        <v>46</v>
      </c>
      <c r="AD17" t="s">
        <v>46</v>
      </c>
      <c r="AE17" t="s">
        <v>99</v>
      </c>
      <c r="AF17" t="s">
        <v>99</v>
      </c>
      <c r="AG17" t="s">
        <v>46</v>
      </c>
      <c r="AH17" t="s">
        <v>46</v>
      </c>
      <c r="AI17" t="s">
        <v>99</v>
      </c>
      <c r="AJ17" t="s">
        <v>99</v>
      </c>
      <c r="AK17" t="s">
        <v>46</v>
      </c>
    </row>
    <row r="18" spans="1:37">
      <c r="A18" s="6" t="s">
        <v>179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23</v>
      </c>
      <c r="V18" t="s">
        <v>123</v>
      </c>
      <c r="W18" t="s">
        <v>46</v>
      </c>
      <c r="X18" t="s">
        <v>46</v>
      </c>
      <c r="Y18" t="s">
        <v>46</v>
      </c>
      <c r="Z18" t="s">
        <v>46</v>
      </c>
      <c r="AA18" t="s">
        <v>46</v>
      </c>
      <c r="AB18" t="s">
        <v>46</v>
      </c>
      <c r="AC18" t="s">
        <v>46</v>
      </c>
      <c r="AD18" t="s">
        <v>46</v>
      </c>
      <c r="AE18" t="s">
        <v>99</v>
      </c>
      <c r="AF18" t="s">
        <v>99</v>
      </c>
      <c r="AG18" t="s">
        <v>46</v>
      </c>
      <c r="AH18" t="s">
        <v>46</v>
      </c>
      <c r="AI18" t="s">
        <v>99</v>
      </c>
      <c r="AJ18" t="s">
        <v>99</v>
      </c>
      <c r="AK18" t="s">
        <v>46</v>
      </c>
    </row>
    <row r="19" spans="1:37">
      <c r="A19" s="6" t="s">
        <v>180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23</v>
      </c>
      <c r="V19" t="s">
        <v>124</v>
      </c>
      <c r="W19" t="s">
        <v>46</v>
      </c>
      <c r="X19" t="s">
        <v>46</v>
      </c>
      <c r="Y19" t="s">
        <v>46</v>
      </c>
      <c r="Z19" t="s">
        <v>46</v>
      </c>
      <c r="AA19" t="s">
        <v>46</v>
      </c>
      <c r="AB19" t="s">
        <v>46</v>
      </c>
      <c r="AC19" t="s">
        <v>46</v>
      </c>
      <c r="AD19" t="s">
        <v>46</v>
      </c>
      <c r="AE19" t="s">
        <v>99</v>
      </c>
      <c r="AF19" t="s">
        <v>99</v>
      </c>
      <c r="AG19" t="s">
        <v>46</v>
      </c>
      <c r="AH19" t="s">
        <v>46</v>
      </c>
      <c r="AI19" t="s">
        <v>99</v>
      </c>
      <c r="AJ19" t="s">
        <v>99</v>
      </c>
      <c r="AK19" t="s">
        <v>46</v>
      </c>
    </row>
    <row r="20" spans="1:37">
      <c r="A20" s="6" t="s">
        <v>47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25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3" t="str">
        <f t="shared" si="0"/>
        <v>JET AIRWAYSB- 737 - 800</v>
      </c>
      <c r="U21" t="s">
        <v>25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3" t="str">
        <f t="shared" si="0"/>
        <v>JET AIRWAYSB- 737 - 900</v>
      </c>
      <c r="U22" t="s">
        <v>25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3" t="str">
        <f t="shared" si="0"/>
        <v>JET AIRWAYSATR 72 - 500 / 600</v>
      </c>
      <c r="U23" t="s">
        <v>25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3" t="str">
        <f t="shared" si="0"/>
        <v>JET AIRWAYSA 330- 200 / 300</v>
      </c>
      <c r="U24" t="s">
        <v>25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3" t="str">
        <f t="shared" si="0"/>
        <v>JET AIRWAYSB 777- 300 ER</v>
      </c>
      <c r="U25" t="s">
        <v>25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3" t="str">
        <f t="shared" si="0"/>
        <v>JETLITEBoeing 737 - 700</v>
      </c>
      <c r="U26" t="s">
        <v>26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3" t="str">
        <f t="shared" si="0"/>
        <v>JETLITEBoeing 737 - 800</v>
      </c>
      <c r="U27" t="s">
        <v>26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3" t="str">
        <f t="shared" si="0"/>
        <v>SPICEJET737 - 700</v>
      </c>
      <c r="U28" t="s">
        <v>27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3" t="str">
        <f t="shared" si="0"/>
        <v>SPICEJET737 - 800</v>
      </c>
      <c r="U29" t="s">
        <v>27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3" t="str">
        <f t="shared" si="0"/>
        <v>SPICEJET737 - 900 ER</v>
      </c>
      <c r="U30" t="s">
        <v>27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3" t="str">
        <f t="shared" si="0"/>
        <v>SPICEJETDH8</v>
      </c>
      <c r="U31" t="s">
        <v>27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3" t="str">
        <f t="shared" si="0"/>
        <v>SPICEJETA319</v>
      </c>
      <c r="U32" t="s">
        <v>27</v>
      </c>
      <c r="V32" t="s">
        <v>154</v>
      </c>
      <c r="W32" t="s">
        <v>46</v>
      </c>
      <c r="X32" t="s">
        <v>46</v>
      </c>
      <c r="Y32" t="s">
        <v>46</v>
      </c>
      <c r="Z32" t="s">
        <v>46</v>
      </c>
      <c r="AA32" t="s">
        <v>46</v>
      </c>
      <c r="AB32" t="s">
        <v>46</v>
      </c>
      <c r="AC32" t="s">
        <v>46</v>
      </c>
      <c r="AD32" t="s">
        <v>46</v>
      </c>
      <c r="AE32" t="s">
        <v>99</v>
      </c>
      <c r="AF32" t="s">
        <v>99</v>
      </c>
      <c r="AG32" t="s">
        <v>46</v>
      </c>
      <c r="AH32" t="s">
        <v>46</v>
      </c>
      <c r="AI32" t="s">
        <v>99</v>
      </c>
      <c r="AJ32" t="s">
        <v>99</v>
      </c>
      <c r="AK32" t="s">
        <v>46</v>
      </c>
    </row>
    <row r="33" spans="20:37">
      <c r="T33" s="23" t="str">
        <f t="shared" si="0"/>
        <v>SPICEJETA 320</v>
      </c>
      <c r="U33" t="s">
        <v>27</v>
      </c>
      <c r="V33" t="s">
        <v>155</v>
      </c>
      <c r="W33" t="s">
        <v>46</v>
      </c>
      <c r="X33" t="s">
        <v>46</v>
      </c>
      <c r="Y33" t="s">
        <v>46</v>
      </c>
      <c r="Z33" t="s">
        <v>46</v>
      </c>
      <c r="AA33" t="s">
        <v>46</v>
      </c>
      <c r="AB33" t="s">
        <v>46</v>
      </c>
      <c r="AC33" t="s">
        <v>46</v>
      </c>
      <c r="AD33" t="s">
        <v>46</v>
      </c>
      <c r="AE33" t="s">
        <v>99</v>
      </c>
      <c r="AF33" t="s">
        <v>99</v>
      </c>
      <c r="AG33" t="s">
        <v>46</v>
      </c>
      <c r="AH33" t="s">
        <v>46</v>
      </c>
      <c r="AI33" t="s">
        <v>99</v>
      </c>
      <c r="AJ33" t="s">
        <v>99</v>
      </c>
      <c r="AK33" t="s">
        <v>46</v>
      </c>
    </row>
    <row r="34" spans="20:37">
      <c r="T34" s="23" t="str">
        <f t="shared" si="0"/>
        <v>AIR COSTA(blank)</v>
      </c>
      <c r="U34" t="s">
        <v>28</v>
      </c>
      <c r="V34" t="s">
        <v>46</v>
      </c>
      <c r="W34" t="s">
        <v>46</v>
      </c>
      <c r="X34" t="s">
        <v>46</v>
      </c>
      <c r="Y34" t="s">
        <v>46</v>
      </c>
      <c r="Z34" t="s">
        <v>46</v>
      </c>
      <c r="AA34" t="s">
        <v>46</v>
      </c>
      <c r="AB34" t="s">
        <v>46</v>
      </c>
      <c r="AC34" t="s">
        <v>46</v>
      </c>
      <c r="AD34" t="s">
        <v>46</v>
      </c>
      <c r="AE34" t="s">
        <v>99</v>
      </c>
      <c r="AF34" t="s">
        <v>99</v>
      </c>
      <c r="AG34" t="s">
        <v>46</v>
      </c>
      <c r="AH34" t="s">
        <v>46</v>
      </c>
      <c r="AI34" t="s">
        <v>99</v>
      </c>
      <c r="AJ34" t="s">
        <v>99</v>
      </c>
      <c r="AK34" t="s">
        <v>46</v>
      </c>
    </row>
    <row r="35" spans="20:37">
      <c r="T35" s="23" t="str">
        <f t="shared" si="0"/>
        <v>AIR ASIAAIRBUS A320</v>
      </c>
      <c r="U35" t="s">
        <v>29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3" t="str">
        <f t="shared" si="0"/>
        <v>VISTARAAirbus Industrie</v>
      </c>
      <c r="U36" t="s">
        <v>30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3" t="str">
        <f t="shared" si="0"/>
        <v>VISTARAAirbus Industrie</v>
      </c>
      <c r="U37" t="s">
        <v>30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3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3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46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3" t="str">
        <f t="shared" si="0"/>
        <v>AIR PEGASUS(blank)</v>
      </c>
      <c r="U40" t="s">
        <v>32</v>
      </c>
      <c r="V40" t="s">
        <v>46</v>
      </c>
      <c r="W40" t="s">
        <v>46</v>
      </c>
      <c r="X40" t="s">
        <v>46</v>
      </c>
      <c r="Y40" t="s">
        <v>46</v>
      </c>
      <c r="Z40" t="s">
        <v>46</v>
      </c>
      <c r="AA40" t="s">
        <v>46</v>
      </c>
      <c r="AB40" t="s">
        <v>46</v>
      </c>
      <c r="AC40" t="s">
        <v>46</v>
      </c>
      <c r="AD40" t="s">
        <v>46</v>
      </c>
      <c r="AE40" t="s">
        <v>99</v>
      </c>
      <c r="AF40" t="s">
        <v>99</v>
      </c>
      <c r="AG40" t="s">
        <v>46</v>
      </c>
      <c r="AH40" t="s">
        <v>46</v>
      </c>
      <c r="AI40" t="s">
        <v>99</v>
      </c>
      <c r="AJ40" t="s">
        <v>99</v>
      </c>
      <c r="AK40" t="s">
        <v>46</v>
      </c>
    </row>
    <row r="41" spans="20:37">
      <c r="T41" s="23" t="str">
        <f t="shared" si="0"/>
        <v>TRUEJETATR 72-212 A / VT-TMK</v>
      </c>
      <c r="U41" t="s">
        <v>33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3" t="str">
        <f t="shared" si="0"/>
        <v>TRUEJETATR 72-212 A / VT-TMP</v>
      </c>
      <c r="U42" t="s">
        <v>33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3" t="str">
        <f t="shared" si="0"/>
        <v>TRUEJETATR 72-212 A / VT-TMU</v>
      </c>
      <c r="U43" t="s">
        <v>33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3" t="str">
        <f t="shared" si="0"/>
        <v>TRUEJETATR 72-212 A / VT-TMC</v>
      </c>
      <c r="U44" t="s">
        <v>33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3" t="str">
        <f t="shared" si="0"/>
        <v>SCHEDULED NATIONAL AIRLINES(blank)</v>
      </c>
      <c r="U45" t="s">
        <v>42</v>
      </c>
      <c r="V45" t="s">
        <v>46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43</v>
      </c>
      <c r="V46" t="s">
        <v>46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44</v>
      </c>
      <c r="V47" t="s">
        <v>46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127</v>
      </c>
      <c r="V48" t="s">
        <v>46</v>
      </c>
      <c r="W48" t="s">
        <v>46</v>
      </c>
      <c r="X48" t="s">
        <v>46</v>
      </c>
      <c r="Y48" t="s">
        <v>46</v>
      </c>
      <c r="Z48" t="s">
        <v>46</v>
      </c>
      <c r="AA48" t="s">
        <v>46</v>
      </c>
      <c r="AB48" t="s">
        <v>46</v>
      </c>
      <c r="AC48" t="s">
        <v>46</v>
      </c>
      <c r="AD48" t="s">
        <v>46</v>
      </c>
      <c r="AE48" t="s">
        <v>99</v>
      </c>
      <c r="AF48" t="s">
        <v>99</v>
      </c>
      <c r="AG48" t="s">
        <v>46</v>
      </c>
      <c r="AH48" t="s">
        <v>46</v>
      </c>
      <c r="AI48" t="s">
        <v>99</v>
      </c>
      <c r="AJ48" t="s">
        <v>99</v>
      </c>
      <c r="AK48" t="s">
        <v>46</v>
      </c>
    </row>
    <row r="49" spans="20:37">
      <c r="T49" s="23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3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3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3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3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3" t="str">
        <f t="shared" si="0"/>
        <v>AIR ODDISACESSNA CARAVAN 208B</v>
      </c>
      <c r="U54" t="s">
        <v>170</v>
      </c>
      <c r="V54" t="s">
        <v>176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3" t="str">
        <f t="shared" si="0"/>
        <v>AIR ODDISABEECHCRAFT 1900D</v>
      </c>
      <c r="U55" t="s">
        <v>170</v>
      </c>
      <c r="V55" t="s">
        <v>177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3" t="str">
        <f t="shared" si="0"/>
        <v>AIR DECCANBEECHCRAFT 1900D</v>
      </c>
      <c r="U56" t="s">
        <v>171</v>
      </c>
      <c r="V56" t="s">
        <v>177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45</v>
      </c>
      <c r="B3" t="s">
        <v>63</v>
      </c>
      <c r="C3" t="s">
        <v>73</v>
      </c>
      <c r="V3" s="8" t="s">
        <v>74</v>
      </c>
      <c r="W3" s="5" t="s">
        <v>39</v>
      </c>
      <c r="X3" s="5" t="s">
        <v>61</v>
      </c>
      <c r="Y3" t="s">
        <v>72</v>
      </c>
      <c r="Z3" t="s">
        <v>63</v>
      </c>
      <c r="AA3" t="s">
        <v>73</v>
      </c>
    </row>
    <row r="4" spans="1:27">
      <c r="A4" s="6" t="s">
        <v>29</v>
      </c>
      <c r="B4" s="7">
        <v>2467</v>
      </c>
      <c r="C4" s="7">
        <v>3806.1423290000002</v>
      </c>
      <c r="V4" t="str">
        <f>W4&amp;X4</f>
        <v>AIR ASIAP1</v>
      </c>
      <c r="W4" t="s">
        <v>29</v>
      </c>
      <c r="X4" t="s">
        <v>9</v>
      </c>
      <c r="Y4" s="7">
        <v>263</v>
      </c>
      <c r="Z4" s="7">
        <v>311</v>
      </c>
      <c r="AA4" s="7">
        <v>1997.191354</v>
      </c>
    </row>
    <row r="5" spans="1:27">
      <c r="A5" s="6" t="s">
        <v>21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29</v>
      </c>
      <c r="X5" t="s">
        <v>10</v>
      </c>
      <c r="Y5" s="7"/>
      <c r="Z5" s="7"/>
      <c r="AA5" s="7"/>
    </row>
    <row r="6" spans="1:27">
      <c r="A6" s="6" t="s">
        <v>22</v>
      </c>
      <c r="B6" s="7">
        <v>1472</v>
      </c>
      <c r="C6" s="7">
        <v>2956.1</v>
      </c>
      <c r="V6" t="str">
        <f t="shared" si="0"/>
        <v>AIR ASIAP3</v>
      </c>
      <c r="W6" t="s">
        <v>29</v>
      </c>
      <c r="X6" t="s">
        <v>11</v>
      </c>
      <c r="Y6" s="7">
        <v>476</v>
      </c>
      <c r="Z6" s="7">
        <v>488</v>
      </c>
      <c r="AA6" s="7">
        <v>399.74493799999999</v>
      </c>
    </row>
    <row r="7" spans="1:27">
      <c r="A7" s="6" t="s">
        <v>44</v>
      </c>
      <c r="B7" s="7">
        <v>61052</v>
      </c>
      <c r="C7" s="7">
        <v>93775.981349000009</v>
      </c>
      <c r="V7" t="str">
        <f t="shared" si="0"/>
        <v>AIR ASIAP4</v>
      </c>
      <c r="W7" t="s">
        <v>29</v>
      </c>
      <c r="X7" t="s">
        <v>12</v>
      </c>
      <c r="Y7" s="7">
        <v>180</v>
      </c>
      <c r="Z7" s="7">
        <v>199</v>
      </c>
      <c r="AA7" s="7">
        <v>337.623289</v>
      </c>
    </row>
    <row r="8" spans="1:27">
      <c r="A8" s="6" t="s">
        <v>23</v>
      </c>
      <c r="B8" s="7">
        <v>648</v>
      </c>
      <c r="C8" s="7">
        <v>1392.7165519999999</v>
      </c>
      <c r="V8" t="str">
        <f t="shared" si="0"/>
        <v>AIR ASIAP4.1</v>
      </c>
      <c r="W8" t="s">
        <v>29</v>
      </c>
      <c r="X8" t="s">
        <v>40</v>
      </c>
      <c r="Y8" s="7">
        <v>180</v>
      </c>
      <c r="Z8" s="7">
        <v>199</v>
      </c>
      <c r="AA8" s="7">
        <v>337.623289</v>
      </c>
    </row>
    <row r="9" spans="1:27">
      <c r="A9" s="6" t="s">
        <v>31</v>
      </c>
      <c r="B9" s="7">
        <v>1389</v>
      </c>
      <c r="C9" s="7">
        <v>1617.18</v>
      </c>
      <c r="V9" t="str">
        <f t="shared" si="0"/>
        <v>AIR ASIAP4.2</v>
      </c>
      <c r="W9" t="s">
        <v>29</v>
      </c>
      <c r="X9" t="s">
        <v>41</v>
      </c>
      <c r="Y9" s="7"/>
      <c r="Z9" s="7"/>
      <c r="AA9" s="7"/>
    </row>
    <row r="10" spans="1:27">
      <c r="A10" s="6" t="s">
        <v>24</v>
      </c>
      <c r="B10" s="7">
        <v>4140</v>
      </c>
      <c r="C10" s="7">
        <v>6380</v>
      </c>
      <c r="V10" t="str">
        <f t="shared" si="0"/>
        <v>AIR ASIAP5</v>
      </c>
      <c r="W10" t="s">
        <v>29</v>
      </c>
      <c r="X10" t="s">
        <v>13</v>
      </c>
      <c r="Y10" s="7"/>
      <c r="Z10" s="7"/>
      <c r="AA10" s="7"/>
    </row>
    <row r="11" spans="1:27">
      <c r="A11" s="6" t="s">
        <v>19</v>
      </c>
      <c r="B11" s="7">
        <v>25201</v>
      </c>
      <c r="C11" s="7">
        <v>33290.79</v>
      </c>
      <c r="V11" t="str">
        <f t="shared" si="0"/>
        <v>AIR ASIAP6</v>
      </c>
      <c r="W11" t="s">
        <v>29</v>
      </c>
      <c r="X11" t="s">
        <v>14</v>
      </c>
      <c r="Y11" s="7">
        <v>1253</v>
      </c>
      <c r="Z11" s="7">
        <v>1270</v>
      </c>
      <c r="AA11" s="7">
        <v>733.95945900000004</v>
      </c>
    </row>
    <row r="12" spans="1:27">
      <c r="A12" s="6" t="s">
        <v>42</v>
      </c>
      <c r="B12" s="7">
        <v>12112</v>
      </c>
      <c r="C12" s="7">
        <v>34401.086552000001</v>
      </c>
      <c r="V12" t="str">
        <f t="shared" si="0"/>
        <v>AIR INDIAP1</v>
      </c>
      <c r="W12" t="s">
        <v>21</v>
      </c>
      <c r="X12" t="s">
        <v>9</v>
      </c>
      <c r="Y12" s="7">
        <v>1329</v>
      </c>
      <c r="Z12" s="7">
        <v>1318</v>
      </c>
      <c r="AA12" s="7">
        <v>12079.48</v>
      </c>
    </row>
    <row r="13" spans="1:27">
      <c r="A13" s="6" t="s">
        <v>43</v>
      </c>
      <c r="B13" s="7">
        <v>48940</v>
      </c>
      <c r="C13" s="7">
        <v>59374.894797000001</v>
      </c>
      <c r="V13" t="str">
        <f t="shared" si="0"/>
        <v>AIR INDIAP2</v>
      </c>
      <c r="W13" t="s">
        <v>21</v>
      </c>
      <c r="X13" t="s">
        <v>10</v>
      </c>
      <c r="Y13" s="7"/>
      <c r="Z13" s="7"/>
      <c r="AA13" s="7"/>
    </row>
    <row r="14" spans="1:27">
      <c r="A14" s="6" t="s">
        <v>27</v>
      </c>
      <c r="B14" s="7">
        <v>12094</v>
      </c>
      <c r="C14" s="7">
        <v>9401.4900000000016</v>
      </c>
      <c r="V14" t="str">
        <f t="shared" si="0"/>
        <v>AIR INDIAP3</v>
      </c>
      <c r="W14" t="s">
        <v>21</v>
      </c>
      <c r="X14" t="s">
        <v>11</v>
      </c>
      <c r="Y14" s="7">
        <v>1766</v>
      </c>
      <c r="Z14" s="7">
        <v>1703</v>
      </c>
      <c r="AA14" s="7">
        <v>5986.11</v>
      </c>
    </row>
    <row r="15" spans="1:27">
      <c r="A15" s="6" t="s">
        <v>33</v>
      </c>
      <c r="B15" s="7">
        <v>895</v>
      </c>
      <c r="C15" s="7">
        <v>801.87858399999982</v>
      </c>
      <c r="V15" t="str">
        <f t="shared" si="0"/>
        <v>AIR INDIAP4</v>
      </c>
      <c r="W15" t="s">
        <v>21</v>
      </c>
      <c r="X15" t="s">
        <v>12</v>
      </c>
      <c r="Y15" s="7">
        <v>577</v>
      </c>
      <c r="Z15" s="7">
        <v>543</v>
      </c>
      <c r="AA15" s="7">
        <v>69.31</v>
      </c>
    </row>
    <row r="16" spans="1:27">
      <c r="A16" s="6" t="s">
        <v>30</v>
      </c>
      <c r="B16" s="7">
        <v>2721</v>
      </c>
      <c r="C16" s="7">
        <v>4070.3999999999996</v>
      </c>
      <c r="V16" t="str">
        <f t="shared" si="0"/>
        <v>AIR INDIAP4.1</v>
      </c>
      <c r="W16" t="s">
        <v>21</v>
      </c>
      <c r="X16" t="s">
        <v>40</v>
      </c>
      <c r="Y16" s="7"/>
      <c r="Z16" s="7"/>
      <c r="AA16" s="7"/>
    </row>
    <row r="17" spans="1:27">
      <c r="A17" s="6" t="s">
        <v>46</v>
      </c>
      <c r="B17" s="7"/>
      <c r="C17" s="7"/>
      <c r="V17" t="str">
        <f t="shared" si="0"/>
        <v>AIR INDIAP4.2</v>
      </c>
      <c r="W17" t="s">
        <v>21</v>
      </c>
      <c r="X17" t="s">
        <v>41</v>
      </c>
      <c r="Y17" s="7"/>
      <c r="Z17" s="7"/>
      <c r="AA17" s="7"/>
    </row>
    <row r="18" spans="1:27">
      <c r="A18" s="6" t="s">
        <v>179</v>
      </c>
      <c r="B18" s="7"/>
      <c r="C18" s="7"/>
      <c r="V18" t="str">
        <f t="shared" si="0"/>
        <v>AIR INDIAP5</v>
      </c>
      <c r="W18" t="s">
        <v>21</v>
      </c>
      <c r="X18" t="s">
        <v>13</v>
      </c>
      <c r="Y18" s="7">
        <v>2113</v>
      </c>
      <c r="Z18" s="7">
        <v>1989</v>
      </c>
      <c r="AA18" s="7">
        <v>3208.24</v>
      </c>
    </row>
    <row r="19" spans="1:27">
      <c r="A19" s="6" t="s">
        <v>181</v>
      </c>
      <c r="B19" s="7">
        <v>33</v>
      </c>
      <c r="C19" s="7">
        <v>7.0138840000000009</v>
      </c>
      <c r="V19" t="str">
        <f t="shared" si="0"/>
        <v>AIR INDIAP6</v>
      </c>
      <c r="W19" t="s">
        <v>21</v>
      </c>
      <c r="X19" t="s">
        <v>14</v>
      </c>
      <c r="Y19" s="7">
        <v>4964</v>
      </c>
      <c r="Z19" s="7">
        <v>4439</v>
      </c>
      <c r="AA19" s="7">
        <v>8709.1299999999992</v>
      </c>
    </row>
    <row r="20" spans="1:27">
      <c r="A20" s="6" t="s">
        <v>47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22</v>
      </c>
      <c r="X20" t="s">
        <v>9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22</v>
      </c>
      <c r="X21" t="s">
        <v>10</v>
      </c>
      <c r="Y21" s="7"/>
      <c r="Z21" s="7"/>
      <c r="AA21" s="7"/>
    </row>
    <row r="22" spans="1:27">
      <c r="V22" t="str">
        <f t="shared" si="0"/>
        <v>AIR INDIA EXPRESSP3</v>
      </c>
      <c r="W22" t="s">
        <v>22</v>
      </c>
      <c r="X22" t="s">
        <v>11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22</v>
      </c>
      <c r="X23" t="s">
        <v>12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22</v>
      </c>
      <c r="X24" t="s">
        <v>40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22</v>
      </c>
      <c r="X25" t="s">
        <v>41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22</v>
      </c>
      <c r="X26" t="s">
        <v>13</v>
      </c>
      <c r="Y26" s="7"/>
      <c r="Z26" s="7"/>
      <c r="AA26" s="7"/>
    </row>
    <row r="27" spans="1:27">
      <c r="V27" t="str">
        <f t="shared" si="0"/>
        <v>AIR INDIA EXPRESSP6</v>
      </c>
      <c r="W27" t="s">
        <v>22</v>
      </c>
      <c r="X27" t="s">
        <v>14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44</v>
      </c>
      <c r="X28" t="s">
        <v>9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44</v>
      </c>
      <c r="X29" t="s">
        <v>10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44</v>
      </c>
      <c r="X30" t="s">
        <v>11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44</v>
      </c>
      <c r="X31" t="s">
        <v>12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44</v>
      </c>
      <c r="X32" t="s">
        <v>40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44</v>
      </c>
      <c r="X33" t="s">
        <v>41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44</v>
      </c>
      <c r="X34" t="s">
        <v>13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44</v>
      </c>
      <c r="X35" t="s">
        <v>14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23</v>
      </c>
      <c r="X36" t="s">
        <v>9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23</v>
      </c>
      <c r="X37" t="s">
        <v>10</v>
      </c>
      <c r="Y37" s="7"/>
      <c r="Z37" s="7"/>
      <c r="AA37" s="7"/>
    </row>
    <row r="38" spans="22:27">
      <c r="V38" t="str">
        <f t="shared" si="0"/>
        <v>ALLIANCE AIRP3</v>
      </c>
      <c r="W38" t="s">
        <v>23</v>
      </c>
      <c r="X38" t="s">
        <v>11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23</v>
      </c>
      <c r="X39" t="s">
        <v>12</v>
      </c>
      <c r="Y39" s="7"/>
      <c r="Z39" s="7"/>
      <c r="AA39" s="7"/>
    </row>
    <row r="40" spans="22:27">
      <c r="V40" t="str">
        <f t="shared" si="0"/>
        <v>ALLIANCE AIRP4.1</v>
      </c>
      <c r="W40" t="s">
        <v>23</v>
      </c>
      <c r="X40" t="s">
        <v>40</v>
      </c>
      <c r="Y40" s="7"/>
      <c r="Z40" s="7"/>
      <c r="AA40" s="7"/>
    </row>
    <row r="41" spans="22:27">
      <c r="V41" t="str">
        <f t="shared" si="0"/>
        <v>ALLIANCE AIRP4.2</v>
      </c>
      <c r="W41" t="s">
        <v>23</v>
      </c>
      <c r="X41" t="s">
        <v>41</v>
      </c>
      <c r="Y41" s="7"/>
      <c r="Z41" s="7"/>
      <c r="AA41" s="7"/>
    </row>
    <row r="42" spans="22:27">
      <c r="V42" t="str">
        <f t="shared" si="0"/>
        <v>ALLIANCE AIRP5</v>
      </c>
      <c r="W42" t="s">
        <v>23</v>
      </c>
      <c r="X42" t="s">
        <v>13</v>
      </c>
      <c r="Y42" s="7"/>
      <c r="Z42" s="7"/>
      <c r="AA42" s="7"/>
    </row>
    <row r="43" spans="22:27">
      <c r="V43" t="str">
        <f t="shared" si="0"/>
        <v>ALLIANCE AIRP6</v>
      </c>
      <c r="W43" t="s">
        <v>23</v>
      </c>
      <c r="X43" t="s">
        <v>14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31</v>
      </c>
      <c r="X44" t="s">
        <v>9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31</v>
      </c>
      <c r="X45" t="s">
        <v>10</v>
      </c>
      <c r="Y45" s="7"/>
      <c r="Z45" s="7"/>
      <c r="AA45" s="7"/>
    </row>
    <row r="46" spans="22:27">
      <c r="V46" t="str">
        <f t="shared" si="0"/>
        <v>Blue Dart P3</v>
      </c>
      <c r="W46" t="s">
        <v>31</v>
      </c>
      <c r="X46" t="s">
        <v>11</v>
      </c>
      <c r="Y46" s="7"/>
      <c r="Z46" s="7"/>
      <c r="AA46" s="7"/>
    </row>
    <row r="47" spans="22:27">
      <c r="V47" t="str">
        <f t="shared" si="0"/>
        <v>Blue Dart P4</v>
      </c>
      <c r="W47" t="s">
        <v>31</v>
      </c>
      <c r="X47" t="s">
        <v>12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31</v>
      </c>
      <c r="X48" t="s">
        <v>40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31</v>
      </c>
      <c r="X49" t="s">
        <v>41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31</v>
      </c>
      <c r="X50" t="s">
        <v>13</v>
      </c>
      <c r="Y50" s="7"/>
      <c r="Z50" s="7"/>
      <c r="AA50" s="7"/>
    </row>
    <row r="51" spans="22:27">
      <c r="V51" t="str">
        <f t="shared" si="0"/>
        <v>Blue Dart P6</v>
      </c>
      <c r="W51" t="s">
        <v>31</v>
      </c>
      <c r="X51" t="s">
        <v>14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24</v>
      </c>
      <c r="X52" t="s">
        <v>9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24</v>
      </c>
      <c r="X53" t="s">
        <v>10</v>
      </c>
      <c r="Y53" s="7"/>
      <c r="Z53" s="7"/>
      <c r="AA53" s="7"/>
    </row>
    <row r="54" spans="22:27">
      <c r="V54" t="str">
        <f t="shared" si="0"/>
        <v>GO AIRP3</v>
      </c>
      <c r="W54" t="s">
        <v>24</v>
      </c>
      <c r="X54" t="s">
        <v>11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24</v>
      </c>
      <c r="X55" t="s">
        <v>12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24</v>
      </c>
      <c r="X56" t="s">
        <v>40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24</v>
      </c>
      <c r="X57" t="s">
        <v>41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24</v>
      </c>
      <c r="X58" t="s">
        <v>13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24</v>
      </c>
      <c r="X59" t="s">
        <v>14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19</v>
      </c>
      <c r="X60" t="s">
        <v>9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19</v>
      </c>
      <c r="X61" t="s">
        <v>10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19</v>
      </c>
      <c r="X62" t="s">
        <v>11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19</v>
      </c>
      <c r="X63" t="s">
        <v>12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19</v>
      </c>
      <c r="X64" t="s">
        <v>40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19</v>
      </c>
      <c r="X65" t="s">
        <v>41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19</v>
      </c>
      <c r="X66" t="s">
        <v>13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19</v>
      </c>
      <c r="X67" t="s">
        <v>14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42</v>
      </c>
      <c r="X68" t="s">
        <v>9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42</v>
      </c>
      <c r="X69" t="s">
        <v>10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42</v>
      </c>
      <c r="X70" t="s">
        <v>11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42</v>
      </c>
      <c r="X71" t="s">
        <v>12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42</v>
      </c>
      <c r="X72" t="s">
        <v>40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42</v>
      </c>
      <c r="X73" t="s">
        <v>41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42</v>
      </c>
      <c r="X74" t="s">
        <v>13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42</v>
      </c>
      <c r="X75" t="s">
        <v>14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43</v>
      </c>
      <c r="X76" t="s">
        <v>9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43</v>
      </c>
      <c r="X77" t="s">
        <v>10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43</v>
      </c>
      <c r="X78" t="s">
        <v>11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43</v>
      </c>
      <c r="X79" t="s">
        <v>12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43</v>
      </c>
      <c r="X80" t="s">
        <v>40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43</v>
      </c>
      <c r="X81" t="s">
        <v>41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43</v>
      </c>
      <c r="X82" t="s">
        <v>13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43</v>
      </c>
      <c r="X83" t="s">
        <v>14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27</v>
      </c>
      <c r="X84" t="s">
        <v>9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27</v>
      </c>
      <c r="X85" t="s">
        <v>10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27</v>
      </c>
      <c r="X86" t="s">
        <v>11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27</v>
      </c>
      <c r="X87" t="s">
        <v>12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27</v>
      </c>
      <c r="X88" t="s">
        <v>40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27</v>
      </c>
      <c r="X89" t="s">
        <v>41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27</v>
      </c>
      <c r="X90" t="s">
        <v>13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27</v>
      </c>
      <c r="X91" t="s">
        <v>14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33</v>
      </c>
      <c r="X92" t="s">
        <v>9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33</v>
      </c>
      <c r="X93" t="s">
        <v>10</v>
      </c>
      <c r="Y93" s="7"/>
      <c r="Z93" s="7"/>
      <c r="AA93" s="7"/>
    </row>
    <row r="94" spans="22:27">
      <c r="V94" t="str">
        <f t="shared" si="1"/>
        <v>TRUEJETP3</v>
      </c>
      <c r="W94" t="s">
        <v>33</v>
      </c>
      <c r="X94" t="s">
        <v>11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33</v>
      </c>
      <c r="X95" t="s">
        <v>12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33</v>
      </c>
      <c r="X96" t="s">
        <v>40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33</v>
      </c>
      <c r="X97" t="s">
        <v>41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33</v>
      </c>
      <c r="X98" t="s">
        <v>13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33</v>
      </c>
      <c r="X99" t="s">
        <v>14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30</v>
      </c>
      <c r="X100" t="s">
        <v>9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30</v>
      </c>
      <c r="X101" t="s">
        <v>10</v>
      </c>
      <c r="Y101" s="7"/>
      <c r="Z101" s="7"/>
      <c r="AA101" s="7"/>
    </row>
    <row r="102" spans="22:27">
      <c r="V102" t="str">
        <f t="shared" si="1"/>
        <v>VISTARAP3</v>
      </c>
      <c r="W102" t="s">
        <v>30</v>
      </c>
      <c r="X102" t="s">
        <v>11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30</v>
      </c>
      <c r="X103" t="s">
        <v>12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30</v>
      </c>
      <c r="X104" t="s">
        <v>40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30</v>
      </c>
      <c r="X105" t="s">
        <v>41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30</v>
      </c>
      <c r="X106" t="s">
        <v>13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30</v>
      </c>
      <c r="X107" t="s">
        <v>14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46</v>
      </c>
      <c r="X108" t="s">
        <v>46</v>
      </c>
      <c r="Y108" s="7"/>
      <c r="Z108" s="7"/>
      <c r="AA108" s="7"/>
    </row>
    <row r="109" spans="22:27">
      <c r="V109" t="str">
        <f t="shared" si="1"/>
        <v>STAR AIRP1</v>
      </c>
      <c r="W109" t="s">
        <v>179</v>
      </c>
      <c r="X109" t="s">
        <v>9</v>
      </c>
      <c r="Y109" s="7"/>
      <c r="Z109" s="7"/>
      <c r="AA109" s="7"/>
    </row>
    <row r="110" spans="22:27">
      <c r="V110" t="str">
        <f t="shared" si="1"/>
        <v>STAR AIRP2</v>
      </c>
      <c r="W110" t="s">
        <v>179</v>
      </c>
      <c r="X110" t="s">
        <v>10</v>
      </c>
      <c r="Y110" s="7"/>
      <c r="Z110" s="7"/>
      <c r="AA110" s="7"/>
    </row>
    <row r="111" spans="22:27">
      <c r="V111" t="str">
        <f t="shared" si="1"/>
        <v>STAR AIRP3</v>
      </c>
      <c r="W111" t="s">
        <v>179</v>
      </c>
      <c r="X111" t="s">
        <v>11</v>
      </c>
      <c r="Y111" s="7"/>
      <c r="Z111" s="7"/>
      <c r="AA111" s="7"/>
    </row>
    <row r="112" spans="22:27">
      <c r="V112" t="str">
        <f t="shared" si="1"/>
        <v>STAR AIRP4</v>
      </c>
      <c r="W112" t="s">
        <v>179</v>
      </c>
      <c r="X112" t="s">
        <v>12</v>
      </c>
      <c r="Y112" s="7"/>
      <c r="Z112" s="7"/>
      <c r="AA112" s="7"/>
    </row>
    <row r="113" spans="22:27">
      <c r="V113" t="str">
        <f t="shared" si="1"/>
        <v>STAR AIRP4.1</v>
      </c>
      <c r="W113" t="s">
        <v>179</v>
      </c>
      <c r="X113" t="s">
        <v>40</v>
      </c>
      <c r="Y113" s="7"/>
      <c r="Z113" s="7"/>
      <c r="AA113" s="7"/>
    </row>
    <row r="114" spans="22:27">
      <c r="V114" t="str">
        <f t="shared" si="1"/>
        <v>STAR AIRP4.2</v>
      </c>
      <c r="W114" t="s">
        <v>179</v>
      </c>
      <c r="X114" t="s">
        <v>41</v>
      </c>
      <c r="Y114" s="7"/>
      <c r="Z114" s="7"/>
      <c r="AA114" s="7"/>
    </row>
    <row r="115" spans="22:27">
      <c r="V115" t="str">
        <f t="shared" si="1"/>
        <v>STAR AIRP5</v>
      </c>
      <c r="W115" t="s">
        <v>179</v>
      </c>
      <c r="X115" t="s">
        <v>13</v>
      </c>
      <c r="Y115" s="7"/>
      <c r="Z115" s="7"/>
      <c r="AA115" s="7"/>
    </row>
    <row r="116" spans="22:27">
      <c r="V116" t="str">
        <f t="shared" si="1"/>
        <v>STAR AIRP6</v>
      </c>
      <c r="W116" t="s">
        <v>179</v>
      </c>
      <c r="X116" t="s">
        <v>14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181</v>
      </c>
      <c r="X117" t="s">
        <v>9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181</v>
      </c>
      <c r="X118" t="s">
        <v>10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181</v>
      </c>
      <c r="X119" t="s">
        <v>11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181</v>
      </c>
      <c r="X120" t="s">
        <v>12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181</v>
      </c>
      <c r="X121" t="s">
        <v>40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181</v>
      </c>
      <c r="X122" t="s">
        <v>41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181</v>
      </c>
      <c r="X123" t="s">
        <v>13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181</v>
      </c>
      <c r="X124" t="s">
        <v>14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17</v>
      </c>
      <c r="C2" s="11" t="s">
        <v>100</v>
      </c>
      <c r="D2" s="11" t="s">
        <v>101</v>
      </c>
      <c r="E2" s="11" t="s">
        <v>18</v>
      </c>
      <c r="F2" s="11" t="s">
        <v>102</v>
      </c>
      <c r="G2" s="12" t="s">
        <v>103</v>
      </c>
      <c r="H2" s="12" t="s">
        <v>104</v>
      </c>
      <c r="I2" s="13" t="s">
        <v>105</v>
      </c>
      <c r="J2" s="12" t="s">
        <v>106</v>
      </c>
      <c r="K2" s="12" t="s">
        <v>107</v>
      </c>
      <c r="L2" s="12" t="s">
        <v>108</v>
      </c>
      <c r="M2" s="12" t="s">
        <v>109</v>
      </c>
      <c r="N2" s="12" t="s">
        <v>110</v>
      </c>
      <c r="O2" s="12" t="s">
        <v>111</v>
      </c>
      <c r="P2" s="12" t="s">
        <v>112</v>
      </c>
      <c r="Q2" s="12" t="s">
        <v>113</v>
      </c>
      <c r="R2" s="12" t="s">
        <v>114</v>
      </c>
      <c r="S2" s="14" t="s">
        <v>115</v>
      </c>
      <c r="T2" s="12" t="s">
        <v>116</v>
      </c>
      <c r="U2" s="12" t="s">
        <v>117</v>
      </c>
      <c r="V2" s="11" t="s">
        <v>118</v>
      </c>
      <c r="W2" s="12" t="s">
        <v>119</v>
      </c>
      <c r="X2" s="11" t="s">
        <v>120</v>
      </c>
      <c r="Y2" s="11" t="s">
        <v>121</v>
      </c>
    </row>
    <row r="3" spans="1:25">
      <c r="A3" s="5" t="s">
        <v>45</v>
      </c>
      <c r="B3" t="s">
        <v>48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9" customFormat="1">
      <c r="A4" s="21" t="s">
        <v>29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21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22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23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31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24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19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25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26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27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33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30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46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42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43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44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179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180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178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47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E14"/>
  <sheetViews>
    <sheetView showGridLines="0" tabSelected="1" view="pageBreakPreview" zoomScaleNormal="100" zoomScaleSheetLayoutView="100" workbookViewId="0">
      <selection activeCell="F11" sqref="F11"/>
    </sheetView>
  </sheetViews>
  <sheetFormatPr defaultColWidth="11" defaultRowHeight="15"/>
  <cols>
    <col min="1" max="1" width="38.28515625" style="2" customWidth="1"/>
    <col min="2" max="3" width="17.5703125" style="2" customWidth="1"/>
    <col min="4" max="4" width="18.28515625" style="2" customWidth="1"/>
    <col min="5" max="5" width="17.28515625" style="2" bestFit="1" customWidth="1"/>
    <col min="6" max="7" width="11" style="2" customWidth="1"/>
    <col min="8" max="16384" width="11" style="2"/>
  </cols>
  <sheetData>
    <row r="1" spans="1:5" ht="24.95" customHeight="1">
      <c r="A1" s="34" t="s">
        <v>183</v>
      </c>
      <c r="B1" s="35"/>
      <c r="C1" s="35"/>
      <c r="D1" s="36"/>
    </row>
    <row r="2" spans="1:5" ht="24.95" customHeight="1">
      <c r="A2" s="37" t="s">
        <v>184</v>
      </c>
      <c r="B2" s="38"/>
      <c r="C2" s="38"/>
      <c r="D2" s="39"/>
    </row>
    <row r="3" spans="1:5" ht="45" customHeight="1">
      <c r="A3" s="32" t="s">
        <v>187</v>
      </c>
      <c r="B3" s="32"/>
      <c r="C3" s="32"/>
      <c r="D3" s="32"/>
    </row>
    <row r="4" spans="1:5" ht="36" customHeight="1">
      <c r="A4" s="33" t="s">
        <v>8</v>
      </c>
      <c r="B4" s="33" t="s">
        <v>7</v>
      </c>
      <c r="C4" s="33"/>
      <c r="D4" s="33" t="s">
        <v>15</v>
      </c>
    </row>
    <row r="5" spans="1:5" ht="36" customHeight="1">
      <c r="A5" s="33"/>
      <c r="B5" s="3" t="s">
        <v>6</v>
      </c>
      <c r="C5" s="3" t="s">
        <v>5</v>
      </c>
      <c r="D5" s="33"/>
    </row>
    <row r="6" spans="1:5" ht="50.1" customHeight="1">
      <c r="A6" s="3" t="s">
        <v>4</v>
      </c>
      <c r="B6" s="27">
        <v>317</v>
      </c>
      <c r="C6" s="27">
        <v>326</v>
      </c>
      <c r="D6" s="29">
        <v>1096.016001</v>
      </c>
      <c r="E6" s="1"/>
    </row>
    <row r="7" spans="1:5" ht="50.1" customHeight="1">
      <c r="A7" s="3" t="s">
        <v>185</v>
      </c>
      <c r="B7" s="27">
        <v>0</v>
      </c>
      <c r="C7" s="27">
        <v>0</v>
      </c>
      <c r="D7" s="29">
        <v>0</v>
      </c>
      <c r="E7" s="1"/>
    </row>
    <row r="8" spans="1:5" ht="50.1" customHeight="1">
      <c r="A8" s="3" t="s">
        <v>186</v>
      </c>
      <c r="B8" s="27">
        <v>628</v>
      </c>
      <c r="C8" s="27">
        <v>620</v>
      </c>
      <c r="D8" s="29">
        <v>246.74890099999999</v>
      </c>
      <c r="E8" s="1"/>
    </row>
    <row r="9" spans="1:5" ht="50.1" customHeight="1">
      <c r="A9" s="3" t="s">
        <v>3</v>
      </c>
      <c r="B9" s="27">
        <v>70</v>
      </c>
      <c r="C9" s="27">
        <v>75</v>
      </c>
      <c r="D9" s="29">
        <v>58.353758999999997</v>
      </c>
      <c r="E9" s="1"/>
    </row>
    <row r="10" spans="1:5" ht="50.1" customHeight="1">
      <c r="A10" s="3" t="s">
        <v>2</v>
      </c>
      <c r="B10" s="27">
        <v>46</v>
      </c>
      <c r="C10" s="27">
        <v>46</v>
      </c>
      <c r="D10" s="29">
        <v>22.681571000000002</v>
      </c>
      <c r="E10" s="1"/>
    </row>
    <row r="11" spans="1:5" ht="50.1" customHeight="1">
      <c r="A11" s="3" t="s">
        <v>1</v>
      </c>
      <c r="B11" s="27">
        <v>346</v>
      </c>
      <c r="C11" s="27">
        <v>372</v>
      </c>
      <c r="D11" s="29">
        <v>443.53904899999998</v>
      </c>
      <c r="E11" s="1"/>
    </row>
    <row r="12" spans="1:5" ht="50.1" customHeight="1">
      <c r="A12" s="3" t="s">
        <v>0</v>
      </c>
      <c r="B12" s="28">
        <v>1407</v>
      </c>
      <c r="C12" s="28">
        <v>1439</v>
      </c>
      <c r="D12" s="30">
        <v>1867.339281</v>
      </c>
    </row>
    <row r="13" spans="1:5" ht="32.25" customHeight="1">
      <c r="A13" s="40" t="s">
        <v>182</v>
      </c>
      <c r="B13" s="40"/>
      <c r="C13" s="40"/>
      <c r="D13" s="40"/>
    </row>
    <row r="14" spans="1:5" ht="20.100000000000001" customHeight="1">
      <c r="A14" s="31" t="s">
        <v>16</v>
      </c>
      <c r="B14" s="31"/>
      <c r="C14" s="31"/>
      <c r="D14" s="4"/>
    </row>
  </sheetData>
  <mergeCells count="8">
    <mergeCell ref="A14:C14"/>
    <mergeCell ref="A3:D3"/>
    <mergeCell ref="A4:A5"/>
    <mergeCell ref="A1:D1"/>
    <mergeCell ref="D4:D5"/>
    <mergeCell ref="B4:C4"/>
    <mergeCell ref="A2:D2"/>
    <mergeCell ref="A13:D13"/>
  </mergeCells>
  <printOptions gridLines="1"/>
  <pageMargins left="0.54" right="0.53" top="1.25" bottom="1" header="0.5" footer="0.75"/>
  <pageSetup firstPageNumber="147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2022-08-23T06:34:09Z</cp:lastPrinted>
  <dcterms:created xsi:type="dcterms:W3CDTF">2002-12-26T09:18:20Z</dcterms:created>
  <dcterms:modified xsi:type="dcterms:W3CDTF">2022-08-23T06:34:44Z</dcterms:modified>
</cp:coreProperties>
</file>