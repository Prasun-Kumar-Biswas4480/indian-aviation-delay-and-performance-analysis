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IR INDIA EXPRESS\AIR INDIA EXPRESS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B!$A$8:$J$27</definedName>
  </definedNames>
  <calcPr calcId="152511"/>
  <pivotCaches>
    <pivotCache cacheId="4" r:id="rId5"/>
    <pivotCache cacheId="5" r:id="rId6"/>
    <pivotCache cacheId="6" r:id="rId7"/>
    <pivotCache cacheId="7" r:id="rId8"/>
  </pivotCaches>
</workbook>
</file>

<file path=xl/calcChain.xml><?xml version="1.0" encoding="utf-8"?>
<calcChain xmlns="http://schemas.openxmlformats.org/spreadsheetml/2006/main">
  <c r="I17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<sst xmlns="http://schemas.openxmlformats.org/spreadsheetml/2006/main" count="889" uniqueCount="195">
  <si>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</si>
  <si>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</si>
  <si>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</si>
  <si>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</si>
  <si>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</si>
  <si>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</si>
  <si>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</si>
  <si>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</si>
  <si>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</si>
  <si>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</si>
  <si>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</si>
  <si>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</si>
  <si>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</si>
  <si>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</si>
  <si>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</si>
  <si>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</si>
  <si>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</si>
  <si>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</si>
  <si>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</si>
  <si>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</si>
  <si>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</si>
  <si>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</si>
  <si>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</si>
  <si>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</si>
  <si>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</si>
  <si>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</si>
  <si>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</si>
  <si>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</si>
  <si>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</si>
  <si>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</si>
  <si>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</si>
  <si>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</si>
  <si>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</si>
  <si>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</si>
  <si>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</si>
  <si>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</si>
  <si>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</si>
  <si>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</si>
  <si>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</si>
  <si>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</si>
  <si>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</si>
  <si>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</si>
  <si>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</si>
  <si>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</si>
  <si>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</si>
  <si>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</si>
  <si>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</si>
  <si>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</si>
  <si>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</si>
  <si>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</si>
  <si>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</si>
  <si>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</si>
  <si>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</si>
  <si>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</si>
  <si>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</si>
  <si>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</si>
  <si>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</si>
  <si>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</si>
  <si>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</si>
  <si>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</si>
  <si>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</si>
  <si>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</si>
  <si>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</si>
  <si>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</si>
  <si>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</si>
  <si>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</si>
  <si>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</si>
  <si>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</si>
  <si>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</si>
  <si>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</si>
  <si>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</si>
  <si>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</si>
  <si>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</si>
  <si>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</si>
  <si>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</si>
  <si>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</si>
  <si>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</si>
  <si>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</si>
  <si>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</si>
  <si>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</si>
  <si>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</si>
  <si>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</si>
  <si>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</si>
  <si>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</si>
  <si>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</si>
  <si>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</si>
  <si>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</si>
  <si>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</si>
  <si>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</si>
  <si>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</si>
  <si>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</si>
  <si>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</si>
  <si>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</si>
  <si>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</si>
  <si>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</si>
  <si>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</si>
  <si>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</si>
  <si>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</si>
  <si>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</si>
  <si>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</si>
  <si>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</si>
  <si>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</si>
  <si>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</si>
  <si>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</si>
  <si>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</si>
  <si>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</si>
  <si>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</si>
  <si>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</si>
  <si>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</si>
  <si>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</si>
  <si>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</si>
  <si>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</si>
  <si>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</si>
  <si>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</si>
  <si>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</si>
  <si>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</si>
  <si>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</si>
  <si>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</si>
  <si>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</si>
  <si>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</si>
  <si>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</si>
  <si>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</si>
  <si>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</si>
  <si>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</si>
  <si>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</si>
  <si>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</si>
  <si>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</si>
  <si>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</si>
  <si>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</si>
  <si>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</si>
  <si>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</si>
  <si>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</si>
  <si>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</si>
  <si>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</si>
  <si>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</si>
  <si>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</si>
  <si>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</si>
  <si>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</si>
  <si>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</si>
  <si>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</si>
  <si>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</si>
  <si>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</si>
  <si>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</si>
  <si>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</si>
  <si>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</si>
  <si>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</si>
  <si>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</si>
  <si>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</si>
  <si>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</si>
  <si>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</si>
  <si>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</si>
  <si>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</si>
  <si>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</si>
  <si>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</si>
  <si>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</si>
  <si>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</si>
  <si>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</si>
  <si>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</si>
  <si>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</si>
  <si>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</si>
  <si>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</si>
  <si>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</si>
  <si>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</si>
  <si>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</si>
  <si>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</si>
  <si>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</si>
  <si>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</si>
  <si>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</si>
  <si>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</si>
  <si>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</si>
  <si>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</si>
  <si>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</si>
  <si>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</si>
  <si>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</si>
  <si>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</si>
  <si>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</si>
  <si>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</si>
  <si>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</si>
  <si>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</si>
  <si>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</si>
  <si>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</si>
  <si>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</si>
  <si>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</si>
  <si>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</si>
  <si>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</si>
  <si>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STRENGTH AND UTILISATION OF AIRCRAFT BY AIR INDIA EXPRESS</t>
  </si>
  <si>
    <t>2020-21</t>
  </si>
  <si>
    <t>2021-22</t>
  </si>
  <si>
    <t>2022-23</t>
  </si>
  <si>
    <t>2023-24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</si>
  <si>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</si>
  <si>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>NON REVENUE FLIGHTS</t>
  </si>
  <si>
    <t xml:space="preserve">तालिका 1B (एयर इंडिया एक्सप्रेस) </t>
  </si>
  <si>
    <t>TABLE - 1B (AIR INDIA EXPRESS)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</si>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</sst>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0" fillId="4" borderId="1" xfId="1" applyNumberFormat="1" applyFont="1" applyFill="1" applyBorder="1" applyAlignment="1" applyProtection="1">
      <alignment horizontal="left" wrapText="1"/>
    </xf>
    <xf numFmtId="166" fontId="7" fillId="4" borderId="1" xfId="1" applyNumberFormat="1" applyFont="1" applyFill="1" applyBorder="1" applyAlignment="1" applyProtection="1">
      <alignment horizontal="left" wrapText="1"/>
    </xf>
    <xf numFmtId="166" fontId="8" fillId="4" borderId="1" xfId="1" applyNumberFormat="1" applyFont="1" applyFill="1" applyBorder="1" applyAlignment="1" applyProtection="1">
      <alignment horizontal="left" wrapText="1"/>
    </xf>
    <xf numFmtId="166" fontId="7" fillId="4" borderId="1" xfId="1" applyNumberFormat="1" applyFont="1" applyFill="1" applyBorder="1" applyAlignment="1" applyProtection="1">
      <alignment horizontal="left" vertical="top" wrapText="1"/>
    </xf>
    <xf numFmtId="166" fontId="7" fillId="5" borderId="3" xfId="7" applyNumberFormat="1" applyFont="1" applyFill="1" applyBorder="1" applyAlignment="1" applyProtection="1">
      <alignment horizontal="left" vertical="center"/>
    </xf>
    <xf numFmtId="166" fontId="7" fillId="5" borderId="3" xfId="7" applyNumberFormat="1" applyFont="1" applyFill="1" applyBorder="1" applyAlignment="1" applyProtection="1">
      <alignment vertical="center"/>
    </xf>
    <xf numFmtId="166" fontId="8" fillId="5" borderId="2" xfId="7" applyNumberFormat="1" applyFont="1" applyFill="1" applyBorder="1" applyAlignment="1" applyProtection="1">
      <alignment vertical="center"/>
    </xf>
    <xf numFmtId="166" fontId="7" fillId="5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2" applyFont="1" applyFill="1"/>
    <xf numFmtId="37" fontId="15" fillId="2" borderId="1" xfId="2" applyNumberFormat="1" applyFont="1" applyFill="1" applyBorder="1" applyAlignment="1" applyProtection="1">
      <alignment horizontal="center" vertical="center" wrapText="1"/>
    </xf>
    <xf numFmtId="37" fontId="15" fillId="3" borderId="1" xfId="2" applyNumberFormat="1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1" xfId="2" quotePrefix="1" applyFont="1" applyFill="1" applyBorder="1" applyAlignment="1" applyProtection="1">
      <alignment horizontal="center" vertical="center" wrapText="1"/>
    </xf>
    <xf numFmtId="0" fontId="14" fillId="2" borderId="1" xfId="2" quotePrefix="1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>
      <alignment horizontal="center" vertical="center"/>
    </xf>
    <xf numFmtId="0" fontId="14" fillId="2" borderId="1" xfId="2" applyFont="1" applyFill="1" applyBorder="1" applyAlignment="1" applyProtection="1">
      <alignment horizontal="left" vertical="center" wrapText="1"/>
    </xf>
    <xf numFmtId="0" fontId="14" fillId="2" borderId="1" xfId="2" quotePrefix="1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5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98</v>
      </c>
      <c r="B1" s="5" t="s">
        <v>98</v>
      </c>
      <c r="C1" s="5" t="s">
        <v>98</v>
      </c>
      <c r="D1" s="5" t="s">
        <v>98</v>
      </c>
      <c r="E1" s="5" t="s">
        <v>98</v>
      </c>
      <c r="F1" s="5" t="s">
        <v>98</v>
      </c>
      <c r="G1" s="5" t="s">
        <v>98</v>
      </c>
      <c r="H1" s="5" t="s">
        <v>98</v>
      </c>
      <c r="I1" s="5" t="s">
        <v>98</v>
      </c>
      <c r="J1" s="5" t="s">
        <v>98</v>
      </c>
      <c r="K1" s="5" t="s">
        <v>98</v>
      </c>
      <c r="L1" s="5" t="s">
        <v>98</v>
      </c>
      <c r="M1" s="5" t="s">
        <v>98</v>
      </c>
      <c r="N1" s="5" t="s">
        <v>98</v>
      </c>
      <c r="O1" s="5" t="s">
        <v>98</v>
      </c>
      <c r="P1" s="5" t="s">
        <v>98</v>
      </c>
      <c r="Q1" s="5" t="s">
        <v>98</v>
      </c>
      <c r="R1" s="5" t="s">
        <v>98</v>
      </c>
      <c r="S1" s="5" t="s">
        <v>98</v>
      </c>
      <c r="T1" s="5" t="s">
        <v>98</v>
      </c>
      <c r="U1" s="5" t="s">
        <v>98</v>
      </c>
      <c r="V1" s="5" t="s">
        <v>98</v>
      </c>
      <c r="W1" s="5" t="s">
        <v>98</v>
      </c>
      <c r="X1" s="5" t="s">
        <v>98</v>
      </c>
      <c r="Y1" s="5" t="s">
        <v>98</v>
      </c>
      <c r="Z1" s="5" t="s">
        <v>98</v>
      </c>
      <c r="AA1" s="5" t="s">
        <v>98</v>
      </c>
      <c r="AB1" s="5" t="s">
        <v>98</v>
      </c>
      <c r="AC1" s="5" t="s">
        <v>98</v>
      </c>
      <c r="AD1" s="5" t="s">
        <v>98</v>
      </c>
      <c r="AE1" s="5" t="s">
        <v>98</v>
      </c>
      <c r="AF1" s="5" t="s">
        <v>98</v>
      </c>
      <c r="AG1" s="5" t="s">
        <v>98</v>
      </c>
      <c r="AH1" s="5" t="s">
        <v>98</v>
      </c>
      <c r="AI1" s="5" t="s">
        <v>98</v>
      </c>
      <c r="AJ1" s="5" t="s">
        <v>98</v>
      </c>
      <c r="AK1" s="5" t="s">
        <v>98</v>
      </c>
      <c r="AQ1" s="1" t="s">
        <v>33</v>
      </c>
      <c r="AR1" t="s">
        <v>23</v>
      </c>
    </row>
    <row r="2" spans="1:57" x14ac:dyDescent="0.2">
      <c r="A2" s="5" t="s">
        <v>98</v>
      </c>
      <c r="B2" s="22" t="e">
        <f>#REF!</f>
        <v>#REF!</v>
      </c>
      <c r="C2" s="5" t="s">
        <v>98</v>
      </c>
      <c r="D2" s="5" t="s">
        <v>98</v>
      </c>
      <c r="E2" s="5" t="s">
        <v>98</v>
      </c>
      <c r="F2" s="5" t="s">
        <v>98</v>
      </c>
      <c r="G2" s="5" t="s">
        <v>98</v>
      </c>
      <c r="H2" s="5" t="s">
        <v>98</v>
      </c>
      <c r="I2" s="5" t="s">
        <v>98</v>
      </c>
      <c r="J2" s="5" t="s">
        <v>98</v>
      </c>
      <c r="K2" s="5" t="s">
        <v>98</v>
      </c>
      <c r="L2" s="5" t="s">
        <v>98</v>
      </c>
      <c r="M2" s="5" t="s">
        <v>98</v>
      </c>
      <c r="N2" s="5" t="s">
        <v>98</v>
      </c>
      <c r="O2" s="5" t="s">
        <v>98</v>
      </c>
      <c r="P2" s="5" t="s">
        <v>98</v>
      </c>
      <c r="Q2" s="5" t="s">
        <v>98</v>
      </c>
      <c r="R2" s="5" t="s">
        <v>98</v>
      </c>
      <c r="S2" s="5" t="s">
        <v>98</v>
      </c>
      <c r="T2" s="5" t="s">
        <v>98</v>
      </c>
      <c r="U2" s="5" t="s">
        <v>98</v>
      </c>
      <c r="V2" s="5" t="s">
        <v>98</v>
      </c>
      <c r="W2" s="5" t="s">
        <v>98</v>
      </c>
      <c r="X2" s="5" t="s">
        <v>98</v>
      </c>
      <c r="Y2" s="5" t="s">
        <v>98</v>
      </c>
      <c r="Z2" s="5" t="s">
        <v>98</v>
      </c>
      <c r="AA2" s="5" t="s">
        <v>98</v>
      </c>
      <c r="AB2" s="5" t="s">
        <v>98</v>
      </c>
      <c r="AC2" s="5" t="s">
        <v>98</v>
      </c>
      <c r="AD2" s="5" t="s">
        <v>98</v>
      </c>
      <c r="AE2" s="5" t="s">
        <v>98</v>
      </c>
      <c r="AF2" s="5" t="s">
        <v>98</v>
      </c>
      <c r="AG2" s="5" t="s">
        <v>98</v>
      </c>
      <c r="AH2" s="5" t="s">
        <v>98</v>
      </c>
      <c r="AI2" s="5" t="s">
        <v>98</v>
      </c>
      <c r="AJ2" s="5" t="s">
        <v>98</v>
      </c>
      <c r="AK2" s="5" t="s">
        <v>98</v>
      </c>
    </row>
    <row r="3" spans="1:57" ht="15.75" customHeight="1" x14ac:dyDescent="0.2">
      <c r="A3" s="1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5" t="s">
        <v>98</v>
      </c>
      <c r="L3" s="5" t="s">
        <v>98</v>
      </c>
      <c r="M3" s="5" t="s">
        <v>98</v>
      </c>
      <c r="N3" s="5" t="s">
        <v>98</v>
      </c>
      <c r="O3" s="5" t="s">
        <v>98</v>
      </c>
      <c r="P3" s="5" t="s">
        <v>98</v>
      </c>
      <c r="Q3" s="5" t="s">
        <v>98</v>
      </c>
      <c r="R3" s="5" t="s">
        <v>98</v>
      </c>
      <c r="S3" s="5" t="s">
        <v>98</v>
      </c>
      <c r="T3" s="18" t="s">
        <v>98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2" t="s">
        <v>172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 x14ac:dyDescent="0.2">
      <c r="A18" s="2" t="s">
        <v>180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 x14ac:dyDescent="0.2">
      <c r="A19" s="2" t="s">
        <v>181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63</v>
      </c>
      <c r="C3" t="s">
        <v>73</v>
      </c>
      <c r="V3" s="4" t="s">
        <v>74</v>
      </c>
      <c r="W3" s="1" t="s">
        <v>38</v>
      </c>
      <c r="X3" s="1" t="s">
        <v>60</v>
      </c>
      <c r="Y3" t="s">
        <v>72</v>
      </c>
      <c r="Z3" t="s">
        <v>63</v>
      </c>
      <c r="AA3" t="s">
        <v>73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17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180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182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17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17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17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17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17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17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17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17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180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180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180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180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180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180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180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180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182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182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182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182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182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182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182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182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15</v>
      </c>
      <c r="C2" s="7" t="s">
        <v>100</v>
      </c>
      <c r="D2" s="7" t="s">
        <v>101</v>
      </c>
      <c r="E2" s="7" t="s">
        <v>16</v>
      </c>
      <c r="F2" s="7" t="s">
        <v>102</v>
      </c>
      <c r="G2" s="8" t="s">
        <v>103</v>
      </c>
      <c r="H2" s="8" t="s">
        <v>104</v>
      </c>
      <c r="I2" s="9" t="s">
        <v>105</v>
      </c>
      <c r="J2" s="8" t="s">
        <v>106</v>
      </c>
      <c r="K2" s="8" t="s">
        <v>107</v>
      </c>
      <c r="L2" s="8" t="s">
        <v>108</v>
      </c>
      <c r="M2" s="8" t="s">
        <v>109</v>
      </c>
      <c r="N2" s="8" t="s">
        <v>110</v>
      </c>
      <c r="O2" s="8" t="s">
        <v>111</v>
      </c>
      <c r="P2" s="8" t="s">
        <v>112</v>
      </c>
      <c r="Q2" s="8" t="s">
        <v>113</v>
      </c>
      <c r="R2" s="8" t="s">
        <v>114</v>
      </c>
      <c r="S2" s="10" t="s">
        <v>115</v>
      </c>
      <c r="T2" s="8" t="s">
        <v>116</v>
      </c>
      <c r="U2" s="8" t="s">
        <v>117</v>
      </c>
      <c r="V2" s="7" t="s">
        <v>118</v>
      </c>
      <c r="W2" s="8" t="s">
        <v>119</v>
      </c>
      <c r="X2" s="7" t="s">
        <v>120</v>
      </c>
      <c r="Y2" s="7" t="s">
        <v>121</v>
      </c>
    </row>
    <row r="3" spans="1:25" x14ac:dyDescent="0.2">
      <c r="A3" s="1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180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181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179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8"/>
  <sheetViews>
    <sheetView showGridLines="0" tabSelected="1" view="pageBreakPreview" zoomScaleNormal="100" zoomScaleSheetLayoutView="100" workbookViewId="0">
      <selection activeCell="M13" sqref="M13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5" width="10.7109375" style="23" customWidth="1"/>
    <col min="6" max="6" width="10.140625" style="23" customWidth="1"/>
    <col min="7" max="7" width="10.7109375" style="23" customWidth="1"/>
    <col min="8" max="9" width="10.28515625" style="23" customWidth="1"/>
    <col min="10" max="10" width="10.140625" style="23" customWidth="1"/>
    <col min="11" max="16384" width="11" style="23"/>
  </cols>
  <sheetData>
    <row r="1" spans="1:10" ht="24.95" customHeight="1" x14ac:dyDescent="0.25">
      <c r="A1" s="29" t="s">
        <v>192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ht="24.95" customHeight="1" x14ac:dyDescent="0.25">
      <c r="A2" s="31" t="s">
        <v>193</v>
      </c>
      <c r="B2" s="32"/>
      <c r="C2" s="32"/>
      <c r="D2" s="32"/>
      <c r="E2" s="32"/>
      <c r="F2" s="32"/>
      <c r="G2" s="32"/>
      <c r="H2" s="32"/>
      <c r="I2" s="32"/>
      <c r="J2" s="32"/>
    </row>
    <row r="3" spans="1:10" ht="36.75" customHeight="1" x14ac:dyDescent="0.25">
      <c r="A3" s="35" t="s">
        <v>185</v>
      </c>
      <c r="B3" s="35"/>
      <c r="C3" s="35"/>
      <c r="D3" s="35"/>
      <c r="E3" s="35"/>
      <c r="F3" s="35"/>
      <c r="G3" s="35"/>
      <c r="H3" s="35"/>
      <c r="I3" s="35"/>
      <c r="J3" s="35"/>
    </row>
    <row r="4" spans="1:10" ht="15.75" x14ac:dyDescent="0.25">
      <c r="A4" s="33" t="s">
        <v>8</v>
      </c>
      <c r="B4" s="34" t="s">
        <v>7</v>
      </c>
      <c r="C4" s="35" t="s">
        <v>6</v>
      </c>
      <c r="D4" s="36"/>
      <c r="E4" s="36"/>
      <c r="F4" s="36"/>
      <c r="G4" s="36"/>
      <c r="H4" s="36"/>
      <c r="I4" s="36"/>
      <c r="J4" s="36"/>
    </row>
    <row r="5" spans="1:10" ht="34.5" customHeight="1" x14ac:dyDescent="0.25">
      <c r="A5" s="33"/>
      <c r="B5" s="34"/>
      <c r="C5" s="35" t="s">
        <v>5</v>
      </c>
      <c r="D5" s="35"/>
      <c r="E5" s="35"/>
      <c r="F5" s="35"/>
      <c r="G5" s="33" t="s">
        <v>4</v>
      </c>
      <c r="H5" s="33"/>
      <c r="I5" s="33"/>
      <c r="J5" s="33"/>
    </row>
    <row r="6" spans="1:10" ht="34.5" customHeight="1" x14ac:dyDescent="0.25">
      <c r="A6" s="33"/>
      <c r="B6" s="34"/>
      <c r="C6" s="35" t="s">
        <v>3</v>
      </c>
      <c r="D6" s="35"/>
      <c r="E6" s="34" t="s">
        <v>191</v>
      </c>
      <c r="F6" s="34" t="s">
        <v>2</v>
      </c>
      <c r="G6" s="35" t="s">
        <v>3</v>
      </c>
      <c r="H6" s="35"/>
      <c r="I6" s="34" t="s">
        <v>191</v>
      </c>
      <c r="J6" s="34" t="s">
        <v>2</v>
      </c>
    </row>
    <row r="7" spans="1:10" ht="90" customHeight="1" x14ac:dyDescent="0.25">
      <c r="A7" s="33"/>
      <c r="B7" s="34"/>
      <c r="C7" s="26" t="s">
        <v>1</v>
      </c>
      <c r="D7" s="26" t="s">
        <v>0</v>
      </c>
      <c r="E7" s="34"/>
      <c r="F7" s="34"/>
      <c r="G7" s="26" t="s">
        <v>1</v>
      </c>
      <c r="H7" s="26" t="s">
        <v>0</v>
      </c>
      <c r="I7" s="34"/>
      <c r="J7" s="34"/>
    </row>
    <row r="8" spans="1:10" ht="24.95" customHeight="1" x14ac:dyDescent="0.25">
      <c r="A8" s="27" t="s">
        <v>19</v>
      </c>
      <c r="B8" s="24">
        <v>18</v>
      </c>
      <c r="C8" s="24">
        <v>20068</v>
      </c>
      <c r="D8" s="24">
        <v>0</v>
      </c>
      <c r="E8" s="24"/>
      <c r="F8" s="24">
        <v>20068</v>
      </c>
      <c r="G8" s="24">
        <v>63055</v>
      </c>
      <c r="H8" s="24">
        <v>0</v>
      </c>
      <c r="I8" s="24"/>
      <c r="J8" s="24">
        <v>63055</v>
      </c>
    </row>
    <row r="9" spans="1:10" ht="24.95" customHeight="1" x14ac:dyDescent="0.25">
      <c r="A9" s="27" t="s">
        <v>61</v>
      </c>
      <c r="B9" s="24">
        <v>23</v>
      </c>
      <c r="C9" s="24">
        <v>26084</v>
      </c>
      <c r="D9" s="24">
        <v>0</v>
      </c>
      <c r="E9" s="24"/>
      <c r="F9" s="24">
        <v>26084</v>
      </c>
      <c r="G9" s="24">
        <v>83495</v>
      </c>
      <c r="H9" s="24">
        <v>0</v>
      </c>
      <c r="I9" s="24"/>
      <c r="J9" s="24">
        <v>83495</v>
      </c>
    </row>
    <row r="10" spans="1:10" ht="24.95" customHeight="1" x14ac:dyDescent="0.25">
      <c r="A10" s="27" t="s">
        <v>176</v>
      </c>
      <c r="B10" s="24">
        <v>23</v>
      </c>
      <c r="C10" s="24">
        <v>28850</v>
      </c>
      <c r="D10" s="24">
        <v>0</v>
      </c>
      <c r="E10" s="24"/>
      <c r="F10" s="24">
        <v>28850</v>
      </c>
      <c r="G10" s="24">
        <v>105697</v>
      </c>
      <c r="H10" s="24">
        <v>0</v>
      </c>
      <c r="I10" s="24"/>
      <c r="J10" s="24">
        <v>105697</v>
      </c>
    </row>
    <row r="11" spans="1:10" ht="24.95" customHeight="1" x14ac:dyDescent="0.25">
      <c r="A11" s="27" t="s">
        <v>183</v>
      </c>
      <c r="B11" s="24">
        <v>25</v>
      </c>
      <c r="C11" s="24">
        <v>30864</v>
      </c>
      <c r="D11" s="24">
        <v>0</v>
      </c>
      <c r="E11" s="24"/>
      <c r="F11" s="24">
        <v>30864</v>
      </c>
      <c r="G11" s="24">
        <v>102412</v>
      </c>
      <c r="H11" s="24">
        <v>0</v>
      </c>
      <c r="I11" s="24"/>
      <c r="J11" s="24">
        <v>102412</v>
      </c>
    </row>
    <row r="12" spans="1:10" ht="24.95" customHeight="1" x14ac:dyDescent="0.25">
      <c r="A12" s="27" t="s">
        <v>184</v>
      </c>
      <c r="B12" s="24">
        <v>25</v>
      </c>
      <c r="C12" s="24">
        <v>32859</v>
      </c>
      <c r="D12" s="24">
        <v>0</v>
      </c>
      <c r="E12" s="24"/>
      <c r="F12" s="24">
        <v>32859</v>
      </c>
      <c r="G12" s="24">
        <v>108902</v>
      </c>
      <c r="H12" s="24">
        <v>0</v>
      </c>
      <c r="I12" s="24"/>
      <c r="J12" s="24">
        <v>108902</v>
      </c>
    </row>
    <row r="13" spans="1:10" ht="24.95" customHeight="1" x14ac:dyDescent="0.25">
      <c r="A13" s="27" t="s">
        <v>186</v>
      </c>
      <c r="B13" s="24">
        <v>24</v>
      </c>
      <c r="C13" s="24">
        <v>436</v>
      </c>
      <c r="D13" s="24">
        <v>12906</v>
      </c>
      <c r="E13" s="24"/>
      <c r="F13" s="24">
        <v>13342</v>
      </c>
      <c r="G13" s="24">
        <v>975</v>
      </c>
      <c r="H13" s="24">
        <v>42940</v>
      </c>
      <c r="I13" s="24"/>
      <c r="J13" s="24">
        <v>43915</v>
      </c>
    </row>
    <row r="14" spans="1:10" ht="24.95" customHeight="1" x14ac:dyDescent="0.25">
      <c r="A14" s="27" t="s">
        <v>187</v>
      </c>
      <c r="B14" s="24">
        <v>24</v>
      </c>
      <c r="C14" s="24">
        <v>190</v>
      </c>
      <c r="D14" s="24">
        <v>22064</v>
      </c>
      <c r="E14" s="24"/>
      <c r="F14" s="24">
        <v>22254</v>
      </c>
      <c r="G14" s="24">
        <v>500.29</v>
      </c>
      <c r="H14" s="24">
        <v>82609.94</v>
      </c>
      <c r="I14" s="24"/>
      <c r="J14" s="24">
        <v>83110.23</v>
      </c>
    </row>
    <row r="15" spans="1:10" ht="24.95" customHeight="1" x14ac:dyDescent="0.25">
      <c r="A15" s="27" t="s">
        <v>188</v>
      </c>
      <c r="B15" s="24">
        <v>26</v>
      </c>
      <c r="C15" s="24">
        <v>30951</v>
      </c>
      <c r="D15" s="24">
        <v>0</v>
      </c>
      <c r="E15" s="24"/>
      <c r="F15" s="24">
        <v>30951</v>
      </c>
      <c r="G15" s="24">
        <v>119826</v>
      </c>
      <c r="H15" s="24">
        <v>0</v>
      </c>
      <c r="I15" s="24"/>
      <c r="J15" s="24">
        <v>119826</v>
      </c>
    </row>
    <row r="16" spans="1:10" ht="24.95" customHeight="1" x14ac:dyDescent="0.25">
      <c r="A16" s="28" t="s">
        <v>189</v>
      </c>
      <c r="B16" s="24">
        <v>48</v>
      </c>
      <c r="C16" s="24">
        <v>43854</v>
      </c>
      <c r="D16" s="24">
        <v>152</v>
      </c>
      <c r="E16" s="24">
        <v>201</v>
      </c>
      <c r="F16" s="24">
        <v>44207</v>
      </c>
      <c r="G16" s="24">
        <v>154951</v>
      </c>
      <c r="H16" s="24">
        <v>775</v>
      </c>
      <c r="I16" s="24">
        <v>1062</v>
      </c>
      <c r="J16" s="24">
        <v>156788</v>
      </c>
    </row>
    <row r="17" spans="1:10" ht="24.95" customHeight="1" x14ac:dyDescent="0.25">
      <c r="A17" s="28" t="s">
        <v>194</v>
      </c>
      <c r="B17" s="24">
        <v>106</v>
      </c>
      <c r="C17" s="24">
        <v>116190</v>
      </c>
      <c r="D17" s="24">
        <v>695</v>
      </c>
      <c r="E17" s="24">
        <v>112</v>
      </c>
      <c r="F17" s="24">
        <v>116997</v>
      </c>
      <c r="G17" s="24">
        <v>291469</v>
      </c>
      <c r="H17" s="24">
        <v>918</v>
      </c>
      <c r="I17" s="25">
        <f>J17-(G17+H17)</f>
        <v>2304</v>
      </c>
      <c r="J17" s="24">
        <v>294691</v>
      </c>
    </row>
    <row r="18" spans="1:10" ht="24.95" customHeight="1" x14ac:dyDescent="0.25">
      <c r="A18" s="30" t="s">
        <v>190</v>
      </c>
      <c r="B18" s="30"/>
      <c r="C18" s="30"/>
      <c r="D18" s="30"/>
      <c r="E18" s="30"/>
      <c r="F18" s="30"/>
      <c r="G18" s="30"/>
      <c r="H18" s="30"/>
      <c r="I18" s="30"/>
      <c r="J18" s="30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F6:F7"/>
    <mergeCell ref="G6:H6"/>
    <mergeCell ref="J6:J7"/>
    <mergeCell ref="I6:I7"/>
    <mergeCell ref="E6:E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2025-03-28T09:11:04Z</cp:lastPrinted>
  <dcterms:created xsi:type="dcterms:W3CDTF">2002-12-26T09:18:20Z</dcterms:created>
  <dcterms:modified xsi:type="dcterms:W3CDTF">2025-11-17T10:14:00Z</dcterms:modified>
</cp:coreProperties>
</file>