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BIG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<sst xmlns="http://schemas.openxmlformats.org/spreadsheetml/2006/main" count="889" uniqueCount="195">
  <si>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</si>
  <si>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</si>
  <si>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</si>
  <si>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NON REVENUE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</si>
  <si>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</si>
  <si>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</si>
  <si>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</si>
  <si>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</si>
  <si>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</si>
  <si>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</si>
  <si>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</si>
  <si>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</si>
  <si>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</si>
  <si>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</si>
  <si>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</si>
  <si>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</si>
  <si>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</si>
  <si>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</si>
  <si>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</si>
  <si>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</si>
  <si>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</si>
  <si>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</si>
  <si>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</si>
  <si>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</si>
  <si>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</si>
  <si>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</si>
  <si>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</si>
  <si>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</si>
  <si>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</si>
  <si>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</si>
  <si>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</si>
  <si>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</si>
  <si>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</si>
  <si>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</si>
  <si>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</si>
  <si>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</si>
  <si>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</si>
  <si>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</si>
  <si>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</si>
  <si>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</si>
  <si>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</si>
  <si>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</si>
  <si>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</si>
  <si>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</si>
  <si>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</si>
  <si>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</si>
  <si>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</si>
  <si>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</si>
  <si>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</si>
  <si>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</si>
  <si>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</si>
  <si>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</si>
  <si>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</si>
  <si>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</si>
  <si>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</si>
  <si>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</si>
  <si>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</si>
  <si>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</si>
  <si>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</si>
  <si>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</si>
  <si>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</si>
  <si>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</si>
  <si>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</si>
  <si>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</si>
  <si>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</si>
  <si>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</si>
  <si>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</si>
  <si>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</si>
  <si>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</si>
  <si>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</si>
  <si>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</si>
  <si>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</si>
  <si>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</si>
  <si>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</si>
  <si>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</si>
  <si>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</si>
  <si>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</si>
  <si>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</si>
  <si>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</si>
  <si>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</si>
  <si>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</si>
  <si>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</si>
  <si>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</si>
  <si>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</si>
  <si>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</si>
  <si>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</si>
  <si>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</si>
  <si>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</si>
  <si>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</si>
  <si>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</si>
  <si>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</si>
  <si>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</si>
  <si>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</si>
  <si>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</si>
  <si>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</si>
  <si>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</si>
  <si>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</si>
  <si>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</si>
  <si>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</si>
  <si>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</si>
  <si>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</si>
  <si>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</si>
  <si>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</si>
  <si>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</si>
  <si>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</si>
  <si>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</si>
  <si>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</si>
  <si>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</si>
  <si>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</si>
  <si>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</si>
  <si>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</si>
  <si>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</si>
  <si>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</si>
  <si>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</si>
  <si>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</si>
  <si>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</si>
  <si>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</si>
  <si>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</si>
  <si>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</si>
  <si>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</si>
  <si>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</si>
  <si>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</si>
  <si>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</si>
  <si>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</si>
  <si>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</si>
  <si>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</si>
  <si>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</si>
  <si>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</si>
  <si>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</si>
  <si>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</si>
  <si>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</si>
  <si>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</si>
  <si>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</si>
  <si>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</si>
  <si>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</si>
  <si>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</si>
  <si>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</si>
  <si>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</si>
  <si>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</si>
  <si>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</si>
  <si>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</si>
  <si>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</si>
  <si>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</si>
  <si>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</si>
  <si>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</si>
  <si>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</si>
  <si>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</si>
  <si>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</si>
  <si>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</si>
  <si>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</si>
  <si>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</si>
  <si>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</si>
  <si>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</si>
  <si>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</si>
  <si>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</si>
  <si>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</si>
  <si>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</si>
  <si>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</si>
  <si>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</si>
  <si>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</si>
  <si>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</si>
  <si>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</si>
  <si>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</si>
  <si>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</si>
  <si>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</si>
  <si>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</si>
  <si>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</si>
  <si>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</si>
  <si>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</si>
  <si>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</si>
  <si>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</si>
  <si>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</si>
  <si>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</si>
  <si>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</si>
  <si>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</si>
  <si>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</si>
  <si>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</si>
  <si>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</si>
  <si>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</si>
  <si>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</si>
  <si>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</si>
  <si>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</si>
  <si>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</si>
  <si>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</si>
  <si>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</si>
  <si>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</si>
  <si>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</si>
  <si>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</si>
  <si>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</si>
  <si>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TIME SERIES DATA ON FLEET STRENGTH AND UTILISATION OF AIRCRAFT BY FLYBIG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</si>
  <si>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</si>
  <si>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</si>
  <si>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</si>
  <si>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 xml:space="preserve">तालिका 1B (फ्लाई बिग) </t>
  </si>
  <si>
    <t>TABLE - 1B (FLYBIG)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</si>
</sst>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9" xfId="7" applyNumberFormat="1" applyFont="1" applyFill="1" applyBorder="1" applyAlignment="1" applyProtection="1">
      <alignment horizontal="left" vertical="center"/>
    </xf>
    <xf numFmtId="169" fontId="8" fillId="4" borderId="9" xfId="7" applyNumberFormat="1" applyFont="1" applyFill="1" applyBorder="1" applyAlignment="1" applyProtection="1">
      <alignment vertical="center"/>
    </xf>
    <xf numFmtId="169" fontId="9" fillId="4" borderId="8" xfId="7" applyNumberFormat="1" applyFont="1" applyFill="1" applyBorder="1" applyAlignment="1" applyProtection="1">
      <alignment vertical="center"/>
    </xf>
    <xf numFmtId="169" fontId="8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6" fillId="2" borderId="1" xfId="2" applyFont="1" applyFill="1" applyBorder="1" applyAlignment="1" applyProtection="1">
      <alignment horizontal="center" vertical="center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left" vertical="center" wrapText="1"/>
    </xf>
    <xf numFmtId="0" fontId="15" fillId="2" borderId="3" xfId="2" applyFont="1" applyFill="1" applyBorder="1" applyAlignment="1" applyProtection="1">
      <alignment horizontal="left" vertical="center" wrapText="1"/>
    </xf>
    <xf numFmtId="0" fontId="15" fillId="2" borderId="4" xfId="2" quotePrefix="1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100</v>
      </c>
      <c r="B1" s="5" t="s">
        <v>100</v>
      </c>
      <c r="C1" s="5" t="s">
        <v>100</v>
      </c>
      <c r="D1" s="5" t="s">
        <v>100</v>
      </c>
      <c r="E1" s="5" t="s">
        <v>100</v>
      </c>
      <c r="F1" s="5" t="s">
        <v>100</v>
      </c>
      <c r="G1" s="5" t="s">
        <v>100</v>
      </c>
      <c r="H1" s="5" t="s">
        <v>100</v>
      </c>
      <c r="I1" s="5" t="s">
        <v>100</v>
      </c>
      <c r="J1" s="5" t="s">
        <v>100</v>
      </c>
      <c r="K1" s="5" t="s">
        <v>100</v>
      </c>
      <c r="L1" s="5" t="s">
        <v>100</v>
      </c>
      <c r="M1" s="5" t="s">
        <v>100</v>
      </c>
      <c r="N1" s="5" t="s">
        <v>100</v>
      </c>
      <c r="O1" s="5" t="s">
        <v>100</v>
      </c>
      <c r="P1" s="5" t="s">
        <v>100</v>
      </c>
      <c r="Q1" s="5" t="s">
        <v>100</v>
      </c>
      <c r="R1" s="5" t="s">
        <v>100</v>
      </c>
      <c r="S1" s="5" t="s">
        <v>100</v>
      </c>
      <c r="T1" s="5" t="s">
        <v>100</v>
      </c>
      <c r="U1" s="5" t="s">
        <v>100</v>
      </c>
      <c r="V1" s="5" t="s">
        <v>100</v>
      </c>
      <c r="W1" s="5" t="s">
        <v>100</v>
      </c>
      <c r="X1" s="5" t="s">
        <v>100</v>
      </c>
      <c r="Y1" s="5" t="s">
        <v>100</v>
      </c>
      <c r="Z1" s="5" t="s">
        <v>100</v>
      </c>
      <c r="AA1" s="5" t="s">
        <v>100</v>
      </c>
      <c r="AB1" s="5" t="s">
        <v>100</v>
      </c>
      <c r="AC1" s="5" t="s">
        <v>100</v>
      </c>
      <c r="AD1" s="5" t="s">
        <v>100</v>
      </c>
      <c r="AE1" s="5" t="s">
        <v>100</v>
      </c>
      <c r="AF1" s="5" t="s">
        <v>100</v>
      </c>
      <c r="AG1" s="5" t="s">
        <v>100</v>
      </c>
      <c r="AH1" s="5" t="s">
        <v>100</v>
      </c>
      <c r="AI1" s="5" t="s">
        <v>100</v>
      </c>
      <c r="AJ1" s="5" t="s">
        <v>100</v>
      </c>
      <c r="AK1" s="5" t="s">
        <v>100</v>
      </c>
      <c r="AQ1" s="1" t="s">
        <v>35</v>
      </c>
      <c r="AR1" t="s">
        <v>25</v>
      </c>
    </row>
    <row r="2" spans="1:57" x14ac:dyDescent="0.2">
      <c r="A2" s="5" t="s">
        <v>100</v>
      </c>
      <c r="B2" s="22" t="e">
        <f>#REF!</f>
        <v>#REF!</v>
      </c>
      <c r="C2" s="5" t="s">
        <v>100</v>
      </c>
      <c r="D2" s="5" t="s">
        <v>100</v>
      </c>
      <c r="E2" s="5" t="s">
        <v>100</v>
      </c>
      <c r="F2" s="5" t="s">
        <v>100</v>
      </c>
      <c r="G2" s="5" t="s">
        <v>100</v>
      </c>
      <c r="H2" s="5" t="s">
        <v>100</v>
      </c>
      <c r="I2" s="5" t="s">
        <v>100</v>
      </c>
      <c r="J2" s="5" t="s">
        <v>100</v>
      </c>
      <c r="K2" s="5" t="s">
        <v>100</v>
      </c>
      <c r="L2" s="5" t="s">
        <v>100</v>
      </c>
      <c r="M2" s="5" t="s">
        <v>100</v>
      </c>
      <c r="N2" s="5" t="s">
        <v>100</v>
      </c>
      <c r="O2" s="5" t="s">
        <v>100</v>
      </c>
      <c r="P2" s="5" t="s">
        <v>100</v>
      </c>
      <c r="Q2" s="5" t="s">
        <v>100</v>
      </c>
      <c r="R2" s="5" t="s">
        <v>100</v>
      </c>
      <c r="S2" s="5" t="s">
        <v>100</v>
      </c>
      <c r="T2" s="5" t="s">
        <v>100</v>
      </c>
      <c r="U2" s="5" t="s">
        <v>100</v>
      </c>
      <c r="V2" s="5" t="s">
        <v>100</v>
      </c>
      <c r="W2" s="5" t="s">
        <v>100</v>
      </c>
      <c r="X2" s="5" t="s">
        <v>100</v>
      </c>
      <c r="Y2" s="5" t="s">
        <v>100</v>
      </c>
      <c r="Z2" s="5" t="s">
        <v>100</v>
      </c>
      <c r="AA2" s="5" t="s">
        <v>100</v>
      </c>
      <c r="AB2" s="5" t="s">
        <v>100</v>
      </c>
      <c r="AC2" s="5" t="s">
        <v>100</v>
      </c>
      <c r="AD2" s="5" t="s">
        <v>100</v>
      </c>
      <c r="AE2" s="5" t="s">
        <v>100</v>
      </c>
      <c r="AF2" s="5" t="s">
        <v>100</v>
      </c>
      <c r="AG2" s="5" t="s">
        <v>100</v>
      </c>
      <c r="AH2" s="5" t="s">
        <v>100</v>
      </c>
      <c r="AI2" s="5" t="s">
        <v>100</v>
      </c>
      <c r="AJ2" s="5" t="s">
        <v>100</v>
      </c>
      <c r="AK2" s="5" t="s">
        <v>100</v>
      </c>
    </row>
    <row r="3" spans="1:57" ht="15.75" customHeight="1" x14ac:dyDescent="0.2">
      <c r="A3" s="1" t="s">
        <v>46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5" t="s">
        <v>100</v>
      </c>
      <c r="L3" s="5" t="s">
        <v>100</v>
      </c>
      <c r="M3" s="5" t="s">
        <v>100</v>
      </c>
      <c r="N3" s="5" t="s">
        <v>100</v>
      </c>
      <c r="O3" s="5" t="s">
        <v>100</v>
      </c>
      <c r="P3" s="5" t="s">
        <v>100</v>
      </c>
      <c r="Q3" s="5" t="s">
        <v>100</v>
      </c>
      <c r="R3" s="5" t="s">
        <v>100</v>
      </c>
      <c r="S3" s="5" t="s">
        <v>100</v>
      </c>
      <c r="T3" s="18" t="s">
        <v>100</v>
      </c>
      <c r="U3" s="1" t="s">
        <v>35</v>
      </c>
      <c r="V3" s="1" t="s">
        <v>36</v>
      </c>
      <c r="W3" s="1" t="s">
        <v>50</v>
      </c>
      <c r="X3" s="1" t="s">
        <v>51</v>
      </c>
      <c r="Y3" s="1" t="s">
        <v>52</v>
      </c>
      <c r="Z3" s="1" t="s">
        <v>53</v>
      </c>
      <c r="AA3" s="1" t="s">
        <v>37</v>
      </c>
      <c r="AB3" s="1" t="s">
        <v>38</v>
      </c>
      <c r="AC3" s="1" t="s">
        <v>39</v>
      </c>
      <c r="AD3" s="1" t="s">
        <v>54</v>
      </c>
      <c r="AE3" s="1" t="s">
        <v>55</v>
      </c>
      <c r="AF3" s="1" t="s">
        <v>56</v>
      </c>
      <c r="AG3" s="1" t="s">
        <v>57</v>
      </c>
      <c r="AH3" s="1" t="s">
        <v>58</v>
      </c>
      <c r="AI3" s="1" t="s">
        <v>59</v>
      </c>
      <c r="AJ3" s="1" t="s">
        <v>60</v>
      </c>
      <c r="AK3" s="1" t="s">
        <v>61</v>
      </c>
      <c r="AQ3" s="1" t="s">
        <v>36</v>
      </c>
      <c r="AR3" s="1" t="s">
        <v>50</v>
      </c>
      <c r="AS3" s="1" t="s">
        <v>51</v>
      </c>
      <c r="AT3" s="1" t="s">
        <v>52</v>
      </c>
      <c r="AU3" s="1" t="s">
        <v>53</v>
      </c>
      <c r="AV3" s="1" t="s">
        <v>37</v>
      </c>
      <c r="AW3" s="1" t="s">
        <v>38</v>
      </c>
      <c r="AX3" s="1" t="s">
        <v>39</v>
      </c>
      <c r="AY3" s="1" t="s">
        <v>54</v>
      </c>
      <c r="AZ3" s="1" t="s">
        <v>55</v>
      </c>
      <c r="BA3" s="1" t="s">
        <v>57</v>
      </c>
      <c r="BB3" s="1" t="s">
        <v>58</v>
      </c>
      <c r="BC3" s="1" t="s">
        <v>59</v>
      </c>
      <c r="BD3" s="1" t="s">
        <v>61</v>
      </c>
    </row>
    <row r="4" spans="1:57" ht="15.75" customHeight="1" x14ac:dyDescent="0.2">
      <c r="A4" s="2" t="s">
        <v>19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47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19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0"/>
    </row>
    <row r="6" spans="1:57" x14ac:dyDescent="0.2">
      <c r="A6" s="2" t="s">
        <v>25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0"/>
    </row>
    <row r="7" spans="1:57" x14ac:dyDescent="0.2">
      <c r="A7" s="2" t="s">
        <v>22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2" t="s">
        <v>23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 x14ac:dyDescent="0.2">
      <c r="A9" s="2" t="s">
        <v>24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2" t="s">
        <v>28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2" t="s">
        <v>30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2" t="s">
        <v>31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2" t="s">
        <v>174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2" t="s">
        <v>34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2" t="s">
        <v>43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2" t="s">
        <v>44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2" t="s">
        <v>45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 x14ac:dyDescent="0.2">
      <c r="A20" s="2" t="s">
        <v>48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T21" s="19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19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19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19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19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 x14ac:dyDescent="0.2">
      <c r="T33" s="19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 x14ac:dyDescent="0.2">
      <c r="T34" s="19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 x14ac:dyDescent="0.2">
      <c r="T35" s="19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19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 x14ac:dyDescent="0.2">
      <c r="T41" s="19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 x14ac:dyDescent="0.2">
      <c r="T49" s="19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172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172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173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46</v>
      </c>
      <c r="B3" t="s">
        <v>65</v>
      </c>
      <c r="C3" t="s">
        <v>75</v>
      </c>
      <c r="V3" s="4" t="s">
        <v>76</v>
      </c>
      <c r="W3" s="1" t="s">
        <v>40</v>
      </c>
      <c r="X3" s="1" t="s">
        <v>62</v>
      </c>
      <c r="Y3" t="s">
        <v>74</v>
      </c>
      <c r="Z3" t="s">
        <v>65</v>
      </c>
      <c r="AA3" t="s">
        <v>75</v>
      </c>
    </row>
    <row r="4" spans="1:27" x14ac:dyDescent="0.2">
      <c r="A4" s="2" t="s">
        <v>30</v>
      </c>
      <c r="B4" s="3">
        <v>2467</v>
      </c>
      <c r="C4" s="3">
        <v>3806.1423290000002</v>
      </c>
      <c r="V4" t="str">
        <f>W4&amp;X4</f>
        <v>AIR ASIAP1</v>
      </c>
      <c r="W4" t="s">
        <v>30</v>
      </c>
      <c r="X4" t="s">
        <v>11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22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30</v>
      </c>
      <c r="X5" t="s">
        <v>12</v>
      </c>
      <c r="Y5" s="3"/>
      <c r="Z5" s="3"/>
      <c r="AA5" s="3"/>
    </row>
    <row r="6" spans="1:27" x14ac:dyDescent="0.2">
      <c r="A6" s="2" t="s">
        <v>23</v>
      </c>
      <c r="B6" s="3">
        <v>1472</v>
      </c>
      <c r="C6" s="3">
        <v>2956.1</v>
      </c>
      <c r="V6" t="str">
        <f t="shared" si="0"/>
        <v>AIR ASIAP3</v>
      </c>
      <c r="W6" t="s">
        <v>30</v>
      </c>
      <c r="X6" t="s">
        <v>13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45</v>
      </c>
      <c r="B7" s="3">
        <v>61052</v>
      </c>
      <c r="C7" s="3">
        <v>93775.981349000009</v>
      </c>
      <c r="V7" t="str">
        <f t="shared" si="0"/>
        <v>AIR ASIAP4</v>
      </c>
      <c r="W7" t="s">
        <v>30</v>
      </c>
      <c r="X7" t="s">
        <v>14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24</v>
      </c>
      <c r="B8" s="3">
        <v>648</v>
      </c>
      <c r="C8" s="3">
        <v>1392.7165519999999</v>
      </c>
      <c r="V8" t="str">
        <f t="shared" si="0"/>
        <v>AIR ASIAP4.1</v>
      </c>
      <c r="W8" t="s">
        <v>30</v>
      </c>
      <c r="X8" t="s">
        <v>41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32</v>
      </c>
      <c r="B9" s="3">
        <v>1389</v>
      </c>
      <c r="C9" s="3">
        <v>1617.18</v>
      </c>
      <c r="V9" t="str">
        <f t="shared" si="0"/>
        <v>AIR ASIAP4.2</v>
      </c>
      <c r="W9" t="s">
        <v>30</v>
      </c>
      <c r="X9" t="s">
        <v>42</v>
      </c>
      <c r="Y9" s="3"/>
      <c r="Z9" s="3"/>
      <c r="AA9" s="3"/>
    </row>
    <row r="10" spans="1:27" x14ac:dyDescent="0.2">
      <c r="A10" s="2" t="s">
        <v>25</v>
      </c>
      <c r="B10" s="3">
        <v>4140</v>
      </c>
      <c r="C10" s="3">
        <v>6380</v>
      </c>
      <c r="V10" t="str">
        <f t="shared" si="0"/>
        <v>AIR ASIAP5</v>
      </c>
      <c r="W10" t="s">
        <v>30</v>
      </c>
      <c r="X10" t="s">
        <v>15</v>
      </c>
      <c r="Y10" s="3"/>
      <c r="Z10" s="3"/>
      <c r="AA10" s="3"/>
    </row>
    <row r="11" spans="1:27" x14ac:dyDescent="0.2">
      <c r="A11" s="2" t="s">
        <v>19</v>
      </c>
      <c r="B11" s="3">
        <v>25201</v>
      </c>
      <c r="C11" s="3">
        <v>33290.79</v>
      </c>
      <c r="V11" t="str">
        <f t="shared" si="0"/>
        <v>AIR ASIAP6</v>
      </c>
      <c r="W11" t="s">
        <v>30</v>
      </c>
      <c r="X11" t="s">
        <v>16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43</v>
      </c>
      <c r="B12" s="3">
        <v>12112</v>
      </c>
      <c r="C12" s="3">
        <v>34401.086552000001</v>
      </c>
      <c r="V12" t="str">
        <f t="shared" si="0"/>
        <v>AIR INDIAP1</v>
      </c>
      <c r="W12" t="s">
        <v>22</v>
      </c>
      <c r="X12" t="s">
        <v>11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44</v>
      </c>
      <c r="B13" s="3">
        <v>48940</v>
      </c>
      <c r="C13" s="3">
        <v>59374.894797000001</v>
      </c>
      <c r="V13" t="str">
        <f t="shared" si="0"/>
        <v>AIR INDIAP2</v>
      </c>
      <c r="W13" t="s">
        <v>22</v>
      </c>
      <c r="X13" t="s">
        <v>12</v>
      </c>
      <c r="Y13" s="3"/>
      <c r="Z13" s="3"/>
      <c r="AA13" s="3"/>
    </row>
    <row r="14" spans="1:27" x14ac:dyDescent="0.2">
      <c r="A14" s="2" t="s">
        <v>28</v>
      </c>
      <c r="B14" s="3">
        <v>12094</v>
      </c>
      <c r="C14" s="3">
        <v>9401.4900000000016</v>
      </c>
      <c r="V14" t="str">
        <f t="shared" si="0"/>
        <v>AIR INDIAP3</v>
      </c>
      <c r="W14" t="s">
        <v>22</v>
      </c>
      <c r="X14" t="s">
        <v>13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34</v>
      </c>
      <c r="B15" s="3">
        <v>895</v>
      </c>
      <c r="C15" s="3">
        <v>801.87858399999982</v>
      </c>
      <c r="V15" t="str">
        <f t="shared" si="0"/>
        <v>AIR INDIAP4</v>
      </c>
      <c r="W15" t="s">
        <v>22</v>
      </c>
      <c r="X15" t="s">
        <v>14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31</v>
      </c>
      <c r="B16" s="3">
        <v>2721</v>
      </c>
      <c r="C16" s="3">
        <v>4070.3999999999996</v>
      </c>
      <c r="V16" t="str">
        <f t="shared" si="0"/>
        <v>AIR INDIAP4.1</v>
      </c>
      <c r="W16" t="s">
        <v>22</v>
      </c>
      <c r="X16" t="s">
        <v>41</v>
      </c>
      <c r="Y16" s="3"/>
      <c r="Z16" s="3"/>
      <c r="AA16" s="3"/>
    </row>
    <row r="17" spans="1:27" x14ac:dyDescent="0.2">
      <c r="A17" s="2" t="s">
        <v>47</v>
      </c>
      <c r="B17" s="3"/>
      <c r="C17" s="3"/>
      <c r="V17" t="str">
        <f t="shared" si="0"/>
        <v>AIR INDIAP4.2</v>
      </c>
      <c r="W17" t="s">
        <v>22</v>
      </c>
      <c r="X17" t="s">
        <v>42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22</v>
      </c>
      <c r="X18" t="s">
        <v>15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22</v>
      </c>
      <c r="X19" t="s">
        <v>16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48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23</v>
      </c>
      <c r="X20" t="s">
        <v>11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23</v>
      </c>
      <c r="X21" t="s">
        <v>12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23</v>
      </c>
      <c r="X22" t="s">
        <v>13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23</v>
      </c>
      <c r="X23" t="s">
        <v>14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23</v>
      </c>
      <c r="X24" t="s">
        <v>41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23</v>
      </c>
      <c r="X25" t="s">
        <v>42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23</v>
      </c>
      <c r="X26" t="s">
        <v>15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23</v>
      </c>
      <c r="X27" t="s">
        <v>16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45</v>
      </c>
      <c r="X28" t="s">
        <v>11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45</v>
      </c>
      <c r="X29" t="s">
        <v>12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45</v>
      </c>
      <c r="X30" t="s">
        <v>13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45</v>
      </c>
      <c r="X31" t="s">
        <v>14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45</v>
      </c>
      <c r="X32" t="s">
        <v>41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45</v>
      </c>
      <c r="X33" t="s">
        <v>42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45</v>
      </c>
      <c r="X34" t="s">
        <v>15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45</v>
      </c>
      <c r="X35" t="s">
        <v>16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24</v>
      </c>
      <c r="X36" t="s">
        <v>11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24</v>
      </c>
      <c r="X37" t="s">
        <v>12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24</v>
      </c>
      <c r="X38" t="s">
        <v>13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24</v>
      </c>
      <c r="X39" t="s">
        <v>14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24</v>
      </c>
      <c r="X40" t="s">
        <v>41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24</v>
      </c>
      <c r="X41" t="s">
        <v>42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24</v>
      </c>
      <c r="X42" t="s">
        <v>15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24</v>
      </c>
      <c r="X43" t="s">
        <v>16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32</v>
      </c>
      <c r="X44" t="s">
        <v>11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32</v>
      </c>
      <c r="X45" t="s">
        <v>12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32</v>
      </c>
      <c r="X46" t="s">
        <v>13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32</v>
      </c>
      <c r="X47" t="s">
        <v>14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32</v>
      </c>
      <c r="X48" t="s">
        <v>41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32</v>
      </c>
      <c r="X49" t="s">
        <v>42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32</v>
      </c>
      <c r="X50" t="s">
        <v>15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32</v>
      </c>
      <c r="X51" t="s">
        <v>16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25</v>
      </c>
      <c r="X52" t="s">
        <v>11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25</v>
      </c>
      <c r="X53" t="s">
        <v>12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25</v>
      </c>
      <c r="X54" t="s">
        <v>13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25</v>
      </c>
      <c r="X55" t="s">
        <v>14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25</v>
      </c>
      <c r="X56" t="s">
        <v>41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25</v>
      </c>
      <c r="X57" t="s">
        <v>42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25</v>
      </c>
      <c r="X58" t="s">
        <v>15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25</v>
      </c>
      <c r="X59" t="s">
        <v>16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19</v>
      </c>
      <c r="X60" t="s">
        <v>11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19</v>
      </c>
      <c r="X61" t="s">
        <v>12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19</v>
      </c>
      <c r="X62" t="s">
        <v>13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19</v>
      </c>
      <c r="X63" t="s">
        <v>14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19</v>
      </c>
      <c r="X64" t="s">
        <v>41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19</v>
      </c>
      <c r="X65" t="s">
        <v>42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19</v>
      </c>
      <c r="X66" t="s">
        <v>15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19</v>
      </c>
      <c r="X67" t="s">
        <v>16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43</v>
      </c>
      <c r="X68" t="s">
        <v>11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43</v>
      </c>
      <c r="X69" t="s">
        <v>12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43</v>
      </c>
      <c r="X70" t="s">
        <v>13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43</v>
      </c>
      <c r="X71" t="s">
        <v>14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43</v>
      </c>
      <c r="X72" t="s">
        <v>41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43</v>
      </c>
      <c r="X73" t="s">
        <v>42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43</v>
      </c>
      <c r="X74" t="s">
        <v>15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43</v>
      </c>
      <c r="X75" t="s">
        <v>16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44</v>
      </c>
      <c r="X76" t="s">
        <v>11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44</v>
      </c>
      <c r="X77" t="s">
        <v>12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44</v>
      </c>
      <c r="X78" t="s">
        <v>13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44</v>
      </c>
      <c r="X79" t="s">
        <v>14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44</v>
      </c>
      <c r="X80" t="s">
        <v>41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44</v>
      </c>
      <c r="X81" t="s">
        <v>42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44</v>
      </c>
      <c r="X82" t="s">
        <v>15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44</v>
      </c>
      <c r="X83" t="s">
        <v>16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28</v>
      </c>
      <c r="X84" t="s">
        <v>11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28</v>
      </c>
      <c r="X85" t="s">
        <v>12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28</v>
      </c>
      <c r="X86" t="s">
        <v>13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28</v>
      </c>
      <c r="X87" t="s">
        <v>14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28</v>
      </c>
      <c r="X88" t="s">
        <v>41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28</v>
      </c>
      <c r="X89" t="s">
        <v>42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28</v>
      </c>
      <c r="X90" t="s">
        <v>15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28</v>
      </c>
      <c r="X91" t="s">
        <v>16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34</v>
      </c>
      <c r="X92" t="s">
        <v>11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34</v>
      </c>
      <c r="X93" t="s">
        <v>12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34</v>
      </c>
      <c r="X94" t="s">
        <v>13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34</v>
      </c>
      <c r="X95" t="s">
        <v>14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34</v>
      </c>
      <c r="X96" t="s">
        <v>41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34</v>
      </c>
      <c r="X97" t="s">
        <v>42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34</v>
      </c>
      <c r="X98" t="s">
        <v>15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34</v>
      </c>
      <c r="X99" t="s">
        <v>16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31</v>
      </c>
      <c r="X100" t="s">
        <v>11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31</v>
      </c>
      <c r="X101" t="s">
        <v>12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31</v>
      </c>
      <c r="X102" t="s">
        <v>13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31</v>
      </c>
      <c r="X103" t="s">
        <v>14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31</v>
      </c>
      <c r="X104" t="s">
        <v>41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31</v>
      </c>
      <c r="X105" t="s">
        <v>42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31</v>
      </c>
      <c r="X106" t="s">
        <v>15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31</v>
      </c>
      <c r="X107" t="s">
        <v>16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47</v>
      </c>
      <c r="X108" t="s">
        <v>47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11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12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13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14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41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42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15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16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11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12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13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14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41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42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15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16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17</v>
      </c>
      <c r="C2" s="7" t="s">
        <v>102</v>
      </c>
      <c r="D2" s="7" t="s">
        <v>103</v>
      </c>
      <c r="E2" s="7" t="s">
        <v>18</v>
      </c>
      <c r="F2" s="7" t="s">
        <v>104</v>
      </c>
      <c r="G2" s="8" t="s">
        <v>105</v>
      </c>
      <c r="H2" s="8" t="s">
        <v>106</v>
      </c>
      <c r="I2" s="9" t="s">
        <v>107</v>
      </c>
      <c r="J2" s="8" t="s">
        <v>108</v>
      </c>
      <c r="K2" s="8" t="s">
        <v>109</v>
      </c>
      <c r="L2" s="8" t="s">
        <v>110</v>
      </c>
      <c r="M2" s="8" t="s">
        <v>111</v>
      </c>
      <c r="N2" s="8" t="s">
        <v>112</v>
      </c>
      <c r="O2" s="8" t="s">
        <v>113</v>
      </c>
      <c r="P2" s="8" t="s">
        <v>114</v>
      </c>
      <c r="Q2" s="8" t="s">
        <v>115</v>
      </c>
      <c r="R2" s="8" t="s">
        <v>116</v>
      </c>
      <c r="S2" s="10" t="s">
        <v>117</v>
      </c>
      <c r="T2" s="8" t="s">
        <v>118</v>
      </c>
      <c r="U2" s="8" t="s">
        <v>119</v>
      </c>
      <c r="V2" s="7" t="s">
        <v>120</v>
      </c>
      <c r="W2" s="8" t="s">
        <v>121</v>
      </c>
      <c r="X2" s="7" t="s">
        <v>122</v>
      </c>
      <c r="Y2" s="7" t="s">
        <v>123</v>
      </c>
    </row>
    <row r="3" spans="1:25" x14ac:dyDescent="0.2">
      <c r="A3" s="1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5" customFormat="1" x14ac:dyDescent="0.2">
      <c r="A4" s="17" t="s">
        <v>30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22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23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24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32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25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19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28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34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31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47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43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44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45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48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8" transitionEvaluation="1" transitionEntry="1" codeName="Sheet10">
    <tabColor theme="9" tint="0.59999389629810485"/>
  </sheetPr>
  <dimension ref="A1:J18"/>
  <sheetViews>
    <sheetView showGridLines="0" tabSelected="1" view="pageBreakPreview" topLeftCell="A8" zoomScaleNormal="100" zoomScaleSheetLayoutView="100" workbookViewId="0">
      <selection activeCell="M20" sqref="M20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4" width="10.7109375" style="23" customWidth="1"/>
    <col min="5" max="5" width="7.28515625" style="23" customWidth="1"/>
    <col min="6" max="6" width="10.140625" style="23" customWidth="1"/>
    <col min="7" max="7" width="10.7109375" style="23" customWidth="1"/>
    <col min="8" max="8" width="10.28515625" style="23" customWidth="1"/>
    <col min="9" max="9" width="7.425781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8" t="s">
        <v>193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4.95" customHeight="1" x14ac:dyDescent="0.25">
      <c r="A2" s="32" t="s">
        <v>194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6.75" customHeight="1" x14ac:dyDescent="0.25">
      <c r="A3" s="36" t="s">
        <v>189</v>
      </c>
      <c r="B3" s="37"/>
      <c r="C3" s="37"/>
      <c r="D3" s="37"/>
      <c r="E3" s="37"/>
      <c r="F3" s="37"/>
      <c r="G3" s="37"/>
      <c r="H3" s="37"/>
      <c r="I3" s="37"/>
      <c r="J3" s="37"/>
    </row>
    <row r="4" spans="1:10" ht="15.75" x14ac:dyDescent="0.25">
      <c r="A4" s="34" t="s">
        <v>9</v>
      </c>
      <c r="B4" s="35" t="s">
        <v>8</v>
      </c>
      <c r="C4" s="38" t="s">
        <v>7</v>
      </c>
      <c r="D4" s="39"/>
      <c r="E4" s="39"/>
      <c r="F4" s="39"/>
      <c r="G4" s="39"/>
      <c r="H4" s="39"/>
      <c r="I4" s="39"/>
      <c r="J4" s="39"/>
    </row>
    <row r="5" spans="1:10" ht="34.5" customHeight="1" x14ac:dyDescent="0.25">
      <c r="A5" s="34"/>
      <c r="B5" s="35"/>
      <c r="C5" s="38" t="s">
        <v>6</v>
      </c>
      <c r="D5" s="38"/>
      <c r="E5" s="38"/>
      <c r="F5" s="38"/>
      <c r="G5" s="34" t="s">
        <v>5</v>
      </c>
      <c r="H5" s="34"/>
      <c r="I5" s="34"/>
      <c r="J5" s="34"/>
    </row>
    <row r="6" spans="1:10" ht="34.5" customHeight="1" x14ac:dyDescent="0.25">
      <c r="A6" s="34"/>
      <c r="B6" s="35"/>
      <c r="C6" s="38" t="s">
        <v>4</v>
      </c>
      <c r="D6" s="38"/>
      <c r="E6" s="35" t="s">
        <v>3</v>
      </c>
      <c r="F6" s="35" t="s">
        <v>2</v>
      </c>
      <c r="G6" s="38" t="s">
        <v>4</v>
      </c>
      <c r="H6" s="38"/>
      <c r="I6" s="35" t="s">
        <v>3</v>
      </c>
      <c r="J6" s="35" t="s">
        <v>2</v>
      </c>
    </row>
    <row r="7" spans="1:10" ht="85.5" customHeight="1" x14ac:dyDescent="0.25">
      <c r="A7" s="34"/>
      <c r="B7" s="35"/>
      <c r="C7" s="24" t="s">
        <v>1</v>
      </c>
      <c r="D7" s="24" t="s">
        <v>0</v>
      </c>
      <c r="E7" s="35"/>
      <c r="F7" s="35"/>
      <c r="G7" s="24" t="s">
        <v>1</v>
      </c>
      <c r="H7" s="24" t="s">
        <v>0</v>
      </c>
      <c r="I7" s="35"/>
      <c r="J7" s="35"/>
    </row>
    <row r="8" spans="1:10" ht="24.95" customHeight="1" x14ac:dyDescent="0.25">
      <c r="A8" s="25" t="s">
        <v>10</v>
      </c>
      <c r="B8" s="26"/>
      <c r="C8" s="27"/>
      <c r="D8" s="27"/>
      <c r="E8" s="27"/>
      <c r="F8" s="27"/>
      <c r="G8" s="27"/>
      <c r="H8" s="27"/>
      <c r="I8" s="27"/>
      <c r="J8" s="27"/>
    </row>
    <row r="9" spans="1:10" ht="24.95" customHeight="1" x14ac:dyDescent="0.25">
      <c r="A9" s="25" t="s">
        <v>21</v>
      </c>
      <c r="B9" s="27"/>
      <c r="C9" s="27"/>
      <c r="D9" s="27"/>
      <c r="E9" s="27"/>
      <c r="F9" s="27"/>
      <c r="G9" s="27"/>
      <c r="H9" s="27"/>
      <c r="I9" s="27"/>
      <c r="J9" s="27"/>
    </row>
    <row r="10" spans="1:10" ht="24.95" customHeight="1" x14ac:dyDescent="0.25">
      <c r="A10" s="25" t="s">
        <v>63</v>
      </c>
      <c r="B10" s="27"/>
      <c r="C10" s="27"/>
      <c r="D10" s="27"/>
      <c r="E10" s="27"/>
      <c r="F10" s="27"/>
      <c r="G10" s="27"/>
      <c r="H10" s="27"/>
      <c r="I10" s="27"/>
      <c r="J10" s="27"/>
    </row>
    <row r="11" spans="1:10" ht="24.95" customHeight="1" x14ac:dyDescent="0.25">
      <c r="A11" s="25" t="s">
        <v>178</v>
      </c>
      <c r="B11" s="27"/>
      <c r="C11" s="27"/>
      <c r="D11" s="27"/>
      <c r="E11" s="27"/>
      <c r="F11" s="27"/>
      <c r="G11" s="27"/>
      <c r="H11" s="27"/>
      <c r="I11" s="27"/>
      <c r="J11" s="27"/>
    </row>
    <row r="12" spans="1:10" ht="24.95" customHeight="1" x14ac:dyDescent="0.25">
      <c r="A12" s="25" t="s">
        <v>185</v>
      </c>
      <c r="B12" s="27"/>
      <c r="C12" s="27"/>
      <c r="D12" s="27"/>
      <c r="E12" s="27"/>
      <c r="F12" s="27"/>
      <c r="G12" s="27"/>
      <c r="H12" s="27"/>
      <c r="I12" s="27"/>
      <c r="J12" s="27"/>
    </row>
    <row r="13" spans="1:10" ht="24.95" customHeight="1" x14ac:dyDescent="0.25">
      <c r="A13" s="25" t="s">
        <v>186</v>
      </c>
      <c r="B13" s="27"/>
      <c r="C13" s="27"/>
      <c r="D13" s="27"/>
      <c r="E13" s="27"/>
      <c r="F13" s="27"/>
      <c r="G13" s="27"/>
      <c r="H13" s="27"/>
      <c r="I13" s="27"/>
      <c r="J13" s="27"/>
    </row>
    <row r="14" spans="1:10" ht="24.95" customHeight="1" x14ac:dyDescent="0.25">
      <c r="A14" s="25" t="s">
        <v>187</v>
      </c>
      <c r="B14" s="27"/>
      <c r="C14" s="27"/>
      <c r="D14" s="27"/>
      <c r="E14" s="27"/>
      <c r="F14" s="27"/>
      <c r="G14" s="27"/>
      <c r="H14" s="27"/>
      <c r="I14" s="27"/>
      <c r="J14" s="27"/>
    </row>
    <row r="15" spans="1:10" ht="24.95" customHeight="1" x14ac:dyDescent="0.25">
      <c r="A15" s="25" t="s">
        <v>188</v>
      </c>
      <c r="B15" s="27">
        <v>2</v>
      </c>
      <c r="C15" s="27">
        <v>2210</v>
      </c>
      <c r="D15" s="27">
        <v>0</v>
      </c>
      <c r="E15" s="27">
        <v>0</v>
      </c>
      <c r="F15" s="27">
        <v>2210</v>
      </c>
      <c r="G15" s="27">
        <v>2737</v>
      </c>
      <c r="H15" s="27">
        <v>0</v>
      </c>
      <c r="I15" s="27">
        <v>0</v>
      </c>
      <c r="J15" s="27">
        <v>2737</v>
      </c>
    </row>
    <row r="16" spans="1:10" ht="24.95" customHeight="1" x14ac:dyDescent="0.25">
      <c r="A16" s="25" t="s">
        <v>190</v>
      </c>
      <c r="B16" s="27">
        <v>3</v>
      </c>
      <c r="C16" s="27">
        <v>6401</v>
      </c>
      <c r="D16" s="27">
        <v>0</v>
      </c>
      <c r="E16" s="27">
        <v>0</v>
      </c>
      <c r="F16" s="27">
        <v>6401</v>
      </c>
      <c r="G16" s="27">
        <v>7316</v>
      </c>
      <c r="H16" s="27">
        <v>0</v>
      </c>
      <c r="I16" s="27">
        <v>0</v>
      </c>
      <c r="J16" s="27">
        <v>7316</v>
      </c>
    </row>
    <row r="17" spans="1:10" ht="24.95" customHeight="1" x14ac:dyDescent="0.25">
      <c r="A17" s="25" t="s">
        <v>191</v>
      </c>
      <c r="B17" s="27">
        <v>1</v>
      </c>
      <c r="C17" s="27">
        <v>4267</v>
      </c>
      <c r="D17" s="27">
        <v>198</v>
      </c>
      <c r="E17" s="27">
        <v>0</v>
      </c>
      <c r="F17" s="27">
        <v>4465</v>
      </c>
      <c r="G17" s="27">
        <v>5311</v>
      </c>
      <c r="H17" s="27">
        <v>151</v>
      </c>
      <c r="I17" s="27">
        <v>0</v>
      </c>
      <c r="J17" s="27">
        <v>5462</v>
      </c>
    </row>
    <row r="18" spans="1:10" ht="24.95" customHeight="1" x14ac:dyDescent="0.25">
      <c r="A18" s="30" t="s">
        <v>192</v>
      </c>
      <c r="B18" s="31"/>
      <c r="C18" s="31"/>
      <c r="D18" s="31"/>
      <c r="E18" s="31"/>
      <c r="F18" s="31"/>
      <c r="G18" s="31"/>
      <c r="H18" s="31"/>
      <c r="I18" s="31"/>
      <c r="J18" s="31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2025-03-28T09:59:53Z</cp:lastPrinted>
  <dcterms:created xsi:type="dcterms:W3CDTF">2002-12-26T09:18:20Z</dcterms:created>
  <dcterms:modified xsi:type="dcterms:W3CDTF">2025-04-03T11:45:17Z</dcterms:modified>
</cp:coreProperties>
</file>