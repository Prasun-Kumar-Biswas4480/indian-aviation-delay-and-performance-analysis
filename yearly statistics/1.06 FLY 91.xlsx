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91\"/>
    </mc:Choice>
  </mc:AlternateContent>
  <bookViews>
    <workbookView xWindow="0" yWindow="0" windowWidth="24000" windowHeight="10725"/>
  </bookViews>
  <sheets>
    <sheet name="FLY 91" sheetId="1" r:id="rId1"/>
  </sheets>
  <definedNames>
    <definedName name="_xlnm.Print_Area" localSheetId="0">'FLY 91'!$A$1:$Q$21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8" i="1"/>
  <c r="B17" i="1"/>
</calcChain>
</file>

<file path=xl/sharedStrings.xml><?xml version="1.0" encoding="utf-8"?>
<sst xmlns="http://schemas.openxmlformats.org/spreadsheetml/2006/main" count="41" uniqueCount="39">
  <si>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</si>
  <si>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</si>
  <si>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</si>
  <si>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</si>
  <si>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</si>
  <si>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</si>
  <si>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</si>
  <si>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</si>
  <si>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</si>
  <si>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</si>
  <si>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</si>
  <si>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</si>
  <si>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</si>
  <si>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</si>
  <si>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</si>
  <si>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</si>
  <si>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</si>
  <si>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</si>
  <si>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</si>
  <si>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</si>
  <si>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</si>
  <si>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</si>
  <si>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</si>
  <si>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</si>
  <si>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</si>
  <si>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* DENOTES that THE INTERNATIONAL OPERATIONS BY SCHEDULED INDIAN OPERATORS WERE CARRIED AS PER DGCA’S CIRCULAR DATED 26.03.2020 UNDER COVID-19 RESTRICTION.</t>
  </si>
  <si>
    <t xml:space="preserve">  </t>
  </si>
  <si>
    <t>2022-23</t>
  </si>
  <si>
    <t>TABLE - 1.06 (FLY 91)</t>
  </si>
  <si>
    <t xml:space="preserve">YEAR ON YEAR GROWTH AND CAGR FOR LAST TEN YEARS OF FLY 91 ON TOTAL (DOMESTIC + INTERNATIONAL*) SCHEDULED SERVICES (ALL AIR TRAFFIC AND OPERATING STATISTICS) </t>
  </si>
  <si>
    <t>SOURCE: ICAO ATR FORM 'A' FURNISHED BY FLY 91</t>
  </si>
  <si>
    <t xml:space="preserve"> तालिका- 1.06 (फ्लाई 91 )</t>
  </si>
  <si>
    <t>2023-24</t>
  </si>
  <si>
    <t>YOY growth</t>
  </si>
  <si>
    <t>CAGR last 10 years</t>
  </si>
  <si>
    <t>2020-21*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</si>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</sst>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[$-1010409]mmmm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8" fontId="4" fillId="5" borderId="1" xfId="4" applyNumberFormat="1" applyBorder="1" applyAlignment="1" applyProtection="1">
      <alignment horizontal="center" vertical="center" wrapText="1"/>
    </xf>
    <xf numFmtId="167" fontId="4" fillId="5" borderId="1" xfId="4" applyNumberFormat="1" applyBorder="1" applyAlignment="1">
      <alignment horizontal="center" vertical="center"/>
    </xf>
    <xf numFmtId="166" fontId="4" fillId="5" borderId="1" xfId="4" applyNumberFormat="1" applyBorder="1" applyAlignment="1">
      <alignment horizontal="center" vertical="center"/>
    </xf>
    <xf numFmtId="168" fontId="3" fillId="2" borderId="1" xfId="0" applyNumberFormat="1" applyFont="1" applyFill="1" applyBorder="1" applyAlignment="1" applyProtection="1">
      <alignment horizontal="center" vertical="center" wrapText="1"/>
    </xf>
    <xf numFmtId="167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168" fontId="0" fillId="5" borderId="1" xfId="4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F1" zoomScaleNormal="100" zoomScaleSheetLayoutView="100" workbookViewId="0">
      <selection activeCell="L14" sqref="L14"/>
    </sheetView>
  </sheetViews>
  <sheetFormatPr defaultColWidth="9.140625" defaultRowHeight="15" x14ac:dyDescent="0.25"/>
  <cols>
    <col min="1" max="1" width="12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21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28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5" t="s">
        <v>3</v>
      </c>
      <c r="H4" s="15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5" t="s">
        <v>7</v>
      </c>
      <c r="Q4" s="15" t="s">
        <v>8</v>
      </c>
    </row>
    <row r="5" spans="1:17" ht="88.5" x14ac:dyDescent="0.25">
      <c r="A5" s="24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6"/>
      <c r="H5" s="16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6"/>
      <c r="Q5" s="16"/>
    </row>
    <row r="6" spans="1:17" x14ac:dyDescent="0.25">
      <c r="A6" s="7" t="s">
        <v>19</v>
      </c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10" t="s">
        <v>20</v>
      </c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7" t="s">
        <v>21</v>
      </c>
      <c r="B8" s="8"/>
      <c r="C8" s="8"/>
      <c r="D8" s="8"/>
      <c r="E8" s="9"/>
      <c r="F8" s="8"/>
      <c r="G8" s="8"/>
      <c r="H8" s="8"/>
      <c r="I8" s="8"/>
      <c r="J8" s="8"/>
      <c r="K8" s="8" t="s">
        <v>26</v>
      </c>
      <c r="L8" s="8"/>
      <c r="M8" s="8"/>
      <c r="N8" s="8"/>
      <c r="O8" s="8"/>
      <c r="P8" s="8"/>
      <c r="Q8" s="8"/>
    </row>
    <row r="9" spans="1:17" x14ac:dyDescent="0.25">
      <c r="A9" s="10" t="s">
        <v>22</v>
      </c>
      <c r="B9" s="11"/>
      <c r="C9" s="11"/>
      <c r="D9" s="11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7" t="s">
        <v>23</v>
      </c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10" t="s">
        <v>24</v>
      </c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7" t="s">
        <v>35</v>
      </c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10" t="s">
        <v>36</v>
      </c>
      <c r="B13" s="12"/>
      <c r="C13" s="12"/>
      <c r="D13" s="12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25">
      <c r="A14" s="13" t="s">
        <v>27</v>
      </c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15.75" customHeight="1" x14ac:dyDescent="0.25">
      <c r="A15" s="10" t="s">
        <v>32</v>
      </c>
      <c r="B15" s="12">
        <v>38</v>
      </c>
      <c r="C15" s="12">
        <v>63</v>
      </c>
      <c r="D15" s="12">
        <v>19.937999999999999</v>
      </c>
      <c r="E15" s="12">
        <v>1351</v>
      </c>
      <c r="F15" s="11">
        <v>0.693496</v>
      </c>
      <c r="G15" s="11">
        <v>1.3956600000000001</v>
      </c>
      <c r="H15" s="11">
        <v>49.689465915767443</v>
      </c>
      <c r="I15" s="11">
        <v>0</v>
      </c>
      <c r="J15" s="11">
        <v>0</v>
      </c>
      <c r="K15" s="11">
        <v>0</v>
      </c>
      <c r="L15" s="11">
        <v>6.9349600000000011E-2</v>
      </c>
      <c r="M15" s="11">
        <v>0</v>
      </c>
      <c r="N15" s="11">
        <v>0</v>
      </c>
      <c r="O15" s="11">
        <v>6.9349600000000011E-2</v>
      </c>
      <c r="P15" s="11">
        <v>0.11639628</v>
      </c>
      <c r="Q15" s="11">
        <v>59.58059828028869</v>
      </c>
    </row>
    <row r="16" spans="1:17" x14ac:dyDescent="0.25">
      <c r="A16" s="13" t="s">
        <v>37</v>
      </c>
      <c r="B16" s="9">
        <v>3682</v>
      </c>
      <c r="C16" s="9">
        <v>6060.1329999999989</v>
      </c>
      <c r="D16" s="9">
        <v>1816.0759999999998</v>
      </c>
      <c r="E16" s="9">
        <v>170523</v>
      </c>
      <c r="F16" s="8">
        <v>82.444710999999998</v>
      </c>
      <c r="G16" s="8">
        <v>119.46794639803922</v>
      </c>
      <c r="H16" s="8">
        <v>69.009900551327405</v>
      </c>
      <c r="I16" s="8">
        <v>0</v>
      </c>
      <c r="J16" s="8">
        <v>0</v>
      </c>
      <c r="K16" s="8">
        <v>0</v>
      </c>
      <c r="L16" s="8">
        <v>6.8021752739999997</v>
      </c>
      <c r="M16" s="8">
        <v>0</v>
      </c>
      <c r="N16" s="8">
        <v>0</v>
      </c>
      <c r="O16" s="8">
        <v>6.8021752739999997</v>
      </c>
      <c r="P16" s="8">
        <v>10.037027606000001</v>
      </c>
      <c r="Q16" s="8">
        <v>67.770813641418599</v>
      </c>
    </row>
    <row r="17" spans="1:17" x14ac:dyDescent="0.25">
      <c r="A17" s="2" t="s">
        <v>33</v>
      </c>
      <c r="B17" s="4">
        <f>IFERROR(((B16-B15)/B15),"-")</f>
        <v>95.89473684210526</v>
      </c>
      <c r="C17" s="4">
        <f t="shared" ref="C17:Q17" si="0">IFERROR(((C16-C15)/C15),"-")</f>
        <v>95.192587301587281</v>
      </c>
      <c r="D17" s="4">
        <f t="shared" si="0"/>
        <v>90.086167118066001</v>
      </c>
      <c r="E17" s="4">
        <f t="shared" si="0"/>
        <v>125.21983715766099</v>
      </c>
      <c r="F17" s="4">
        <f t="shared" si="0"/>
        <v>117.88274914347019</v>
      </c>
      <c r="G17" s="4">
        <f t="shared" si="0"/>
        <v>84.599606206410726</v>
      </c>
      <c r="H17" s="4">
        <f t="shared" si="0"/>
        <v>0.38882355202431768</v>
      </c>
      <c r="I17" s="4" t="str">
        <f t="shared" si="0"/>
        <v>-</v>
      </c>
      <c r="J17" s="4" t="str">
        <f t="shared" si="0"/>
        <v>-</v>
      </c>
      <c r="K17" s="4" t="str">
        <f t="shared" si="0"/>
        <v>-</v>
      </c>
      <c r="L17" s="4">
        <f t="shared" si="0"/>
        <v>97.085284904310896</v>
      </c>
      <c r="M17" s="4" t="str">
        <f t="shared" si="0"/>
        <v>-</v>
      </c>
      <c r="N17" s="4" t="str">
        <f t="shared" si="0"/>
        <v>-</v>
      </c>
      <c r="O17" s="4">
        <f t="shared" si="0"/>
        <v>97.085284904310896</v>
      </c>
      <c r="P17" s="4">
        <f t="shared" si="0"/>
        <v>85.231515354270769</v>
      </c>
      <c r="Q17" s="4">
        <f t="shared" si="0"/>
        <v>0.13746446993701159</v>
      </c>
    </row>
    <row r="18" spans="1:17" ht="30" x14ac:dyDescent="0.25">
      <c r="A18" s="3" t="s">
        <v>34</v>
      </c>
      <c r="B18" s="5" t="str">
        <f>IFERROR((((B16/B6)^(1/10))-1),"-")</f>
        <v>-</v>
      </c>
      <c r="C18" s="5" t="str">
        <f t="shared" ref="C18:Q18" si="1">IFERROR((((C16/C6)^(1/10))-1),"-")</f>
        <v>-</v>
      </c>
      <c r="D18" s="5" t="str">
        <f t="shared" si="1"/>
        <v>-</v>
      </c>
      <c r="E18" s="5" t="str">
        <f t="shared" si="1"/>
        <v>-</v>
      </c>
      <c r="F18" s="5" t="str">
        <f t="shared" si="1"/>
        <v>-</v>
      </c>
      <c r="G18" s="5" t="str">
        <f t="shared" si="1"/>
        <v>-</v>
      </c>
      <c r="H18" s="5" t="str">
        <f t="shared" si="1"/>
        <v>-</v>
      </c>
      <c r="I18" s="5" t="str">
        <f t="shared" si="1"/>
        <v>-</v>
      </c>
      <c r="J18" s="5" t="str">
        <f t="shared" si="1"/>
        <v>-</v>
      </c>
      <c r="K18" s="5" t="str">
        <f t="shared" si="1"/>
        <v>-</v>
      </c>
      <c r="L18" s="5" t="str">
        <f t="shared" si="1"/>
        <v>-</v>
      </c>
      <c r="M18" s="5" t="str">
        <f t="shared" si="1"/>
        <v>-</v>
      </c>
      <c r="N18" s="5" t="str">
        <f t="shared" si="1"/>
        <v>-</v>
      </c>
      <c r="O18" s="5" t="str">
        <f t="shared" si="1"/>
        <v>-</v>
      </c>
      <c r="P18" s="5" t="str">
        <f t="shared" si="1"/>
        <v>-</v>
      </c>
      <c r="Q18" s="5" t="str">
        <f t="shared" si="1"/>
        <v>-</v>
      </c>
    </row>
    <row r="19" spans="1:17" x14ac:dyDescent="0.25">
      <c r="A19" s="17" t="s">
        <v>30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" customHeight="1" x14ac:dyDescent="0.25">
      <c r="A20" s="19" t="s">
        <v>38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x14ac:dyDescent="0.25">
      <c r="A21" s="14" t="s">
        <v>25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 91</vt:lpstr>
      <vt:lpstr>'FLY 91'!Print_Area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2024-09-19T09:30:03Z</cp:lastPrinted>
  <dcterms:created xsi:type="dcterms:W3CDTF">2018-10-29T04:00:16Z</dcterms:created>
  <dcterms:modified xsi:type="dcterms:W3CDTF">2025-11-19T12:08:27Z</dcterms:modified>
</cp:coreProperties>
</file>