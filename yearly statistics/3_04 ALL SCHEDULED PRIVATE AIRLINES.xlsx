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xWindow="0" yWindow="0" windowWidth="11265" windowHeight="9495"/>
  </bookViews>
  <sheets>
    <sheet name="Table 3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Q17" i="2" l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<sst xmlns="http://schemas.openxmlformats.org/spreadsheetml/2006/main" count="39" uniqueCount="37">
  <si>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</si>
  <si>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</si>
  <si>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</si>
  <si>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</si>
  <si>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</si>
  <si>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</si>
  <si>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</si>
  <si>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</si>
  <si>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</si>
  <si>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</si>
  <si>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</si>
  <si>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</si>
  <si>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</si>
  <si>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</si>
  <si>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</si>
  <si>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</si>
  <si>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</si>
  <si>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</si>
  <si>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</si>
  <si>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</si>
  <si>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</si>
  <si>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</si>
  <si>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</si>
  <si>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</si>
  <si>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</si>
  <si>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SOURCE: ICAO ATR FORM 'A' FURNISHED BY ALL SCHEDULED PRIVATE AIRLINES</t>
  </si>
  <si>
    <t>2019-20</t>
  </si>
  <si>
    <t xml:space="preserve">YEAR ON YEAR GROWTH AND CAGR FOR LAST TEN YEARS OF ALL SCHEDULED PRIVATE AIRLINES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</si>
  <si>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</si>
  <si>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</si>
  <si>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</si>
  <si>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</si>
  <si>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</si>
  <si>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</si>
  <si>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</si>
  <si>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तालिका - 3.04 (सभी अनुसूचित 
निजी एयरलाइन्स)</t>
  </si>
  <si>
    <t>TABLE - 3.04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</si>
</sst>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8" borderId="0" applyNumberFormat="0" applyBorder="0" applyAlignment="0" applyProtection="0"/>
  </cellStyleXfs>
  <cellXfs count="29">
    <xf numFmtId="0" fontId="0" fillId="0" borderId="0" xfId="0"/>
    <xf numFmtId="0" fontId="6" fillId="5" borderId="1" xfId="3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4" borderId="1" xfId="2" applyFont="1" applyBorder="1" applyAlignment="1" applyProtection="1">
      <alignment horizontal="center" vertical="center" textRotation="90" wrapText="1"/>
    </xf>
    <xf numFmtId="164" fontId="8" fillId="2" borderId="1" xfId="4" applyNumberFormat="1" applyFont="1" applyFill="1" applyBorder="1" applyAlignment="1" applyProtection="1">
      <alignment horizontal="center" vertical="center" wrapText="1"/>
    </xf>
    <xf numFmtId="164" fontId="8" fillId="7" borderId="1" xfId="4" applyNumberFormat="1" applyFont="1" applyFill="1" applyBorder="1" applyAlignment="1" applyProtection="1">
      <alignment horizontal="center" vertical="center" wrapText="1"/>
    </xf>
    <xf numFmtId="165" fontId="3" fillId="8" borderId="1" xfId="6" applyNumberFormat="1" applyBorder="1" applyAlignment="1">
      <alignment horizontal="center" vertical="center"/>
    </xf>
    <xf numFmtId="166" fontId="3" fillId="8" borderId="1" xfId="6" applyNumberFormat="1" applyBorder="1" applyAlignment="1">
      <alignment horizontal="right" vertical="center"/>
    </xf>
    <xf numFmtId="166" fontId="0" fillId="8" borderId="1" xfId="6" applyNumberFormat="1" applyFont="1" applyBorder="1" applyAlignment="1">
      <alignment horizontal="right" vertical="center"/>
    </xf>
    <xf numFmtId="167" fontId="0" fillId="8" borderId="1" xfId="6" applyNumberFormat="1" applyFont="1" applyBorder="1" applyAlignment="1">
      <alignment horizontal="right" vertical="center"/>
    </xf>
    <xf numFmtId="167" fontId="3" fillId="8" borderId="1" xfId="6" applyNumberFormat="1" applyBorder="1" applyAlignment="1">
      <alignment horizontal="right" vertical="center"/>
    </xf>
    <xf numFmtId="43" fontId="0" fillId="9" borderId="1" xfId="0" applyNumberFormat="1" applyFont="1" applyFill="1" applyBorder="1" applyAlignment="1"/>
    <xf numFmtId="165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167" fontId="3" fillId="6" borderId="1" xfId="6" applyNumberFormat="1" applyFill="1" applyBorder="1" applyAlignment="1">
      <alignment horizontal="right" vertical="center"/>
    </xf>
    <xf numFmtId="167" fontId="0" fillId="6" borderId="1" xfId="0" applyNumberFormat="1" applyFont="1" applyFill="1" applyBorder="1" applyAlignment="1"/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8" fillId="4" borderId="1" xfId="2" applyFont="1" applyBorder="1" applyAlignment="1" applyProtection="1">
      <alignment horizontal="center" vertical="center" textRotation="90" wrapText="1"/>
    </xf>
    <xf numFmtId="0" fontId="8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3" borderId="2" xfId="1" applyFont="1" applyAlignment="1">
      <alignment horizontal="center" vertical="center" wrapText="1"/>
    </xf>
    <xf numFmtId="0" fontId="8" fillId="3" borderId="2" xfId="1" applyFont="1" applyAlignment="1">
      <alignment horizontal="center" vertical="center"/>
    </xf>
    <xf numFmtId="0" fontId="8" fillId="3" borderId="2" xfId="1" quotePrefix="1" applyFont="1" applyAlignment="1" applyProtection="1">
      <alignment horizontal="center" vertical="center" wrapText="1"/>
    </xf>
    <xf numFmtId="0" fontId="8" fillId="3" borderId="2" xfId="1" applyFont="1"/>
    <xf numFmtId="0" fontId="8" fillId="4" borderId="1" xfId="2" applyFont="1" applyBorder="1" applyAlignment="1" applyProtection="1">
      <alignment horizontal="center" vertical="center" wrapText="1"/>
    </xf>
    <xf numFmtId="0" fontId="8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="85" zoomScaleNormal="100" zoomScaleSheetLayoutView="85" workbookViewId="0">
      <selection activeCell="E9" sqref="E9"/>
    </sheetView>
  </sheetViews>
  <sheetFormatPr defaultRowHeight="15" x14ac:dyDescent="0.25"/>
  <cols>
    <col min="1" max="1" width="13" customWidth="1"/>
    <col min="2" max="2" width="11.28515625" customWidth="1"/>
    <col min="3" max="3" width="11.5703125" customWidth="1"/>
    <col min="4" max="4" width="9.7109375" customWidth="1"/>
    <col min="5" max="5" width="13.28515625" customWidth="1"/>
    <col min="6" max="6" width="9" customWidth="1"/>
    <col min="7" max="7" width="9.140625" customWidth="1"/>
    <col min="8" max="8" width="7.85546875" customWidth="1"/>
    <col min="9" max="9" width="10.42578125" customWidth="1"/>
    <col min="10" max="10" width="10" customWidth="1"/>
    <col min="11" max="11" width="11" customWidth="1"/>
    <col min="12" max="12" width="10.28515625" customWidth="1"/>
    <col min="13" max="13" width="8.28515625" customWidth="1"/>
    <col min="14" max="14" width="7" customWidth="1"/>
    <col min="15" max="15" width="11.5703125" customWidth="1"/>
    <col min="16" max="16" width="9.7109375" customWidth="1"/>
    <col min="17" max="17" width="8.42578125" customWidth="1"/>
  </cols>
  <sheetData>
    <row r="1" spans="1:17" x14ac:dyDescent="0.25">
      <c r="A1" s="23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0" customHeight="1" x14ac:dyDescent="0.25">
      <c r="A3" s="27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33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9" t="s">
        <v>3</v>
      </c>
      <c r="H4" s="19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9" t="s">
        <v>7</v>
      </c>
      <c r="Q4" s="19" t="s">
        <v>8</v>
      </c>
    </row>
    <row r="5" spans="1:17" ht="111.75" customHeight="1" x14ac:dyDescent="0.25">
      <c r="A5" s="27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0"/>
      <c r="H5" s="20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0"/>
      <c r="Q5" s="20"/>
    </row>
    <row r="6" spans="1:17" ht="20.100000000000001" customHeight="1" x14ac:dyDescent="0.25">
      <c r="A6" s="6" t="s">
        <v>19</v>
      </c>
      <c r="B6" s="7">
        <v>474725</v>
      </c>
      <c r="C6" s="7">
        <v>779303.45</v>
      </c>
      <c r="D6" s="7">
        <v>399346.46299999999</v>
      </c>
      <c r="E6" s="7">
        <v>49594742</v>
      </c>
      <c r="F6" s="8">
        <v>48178.593740000004</v>
      </c>
      <c r="G6" s="8">
        <v>65285.399773000012</v>
      </c>
      <c r="H6" s="9">
        <v>73.796888596101013</v>
      </c>
      <c r="I6" s="10">
        <v>423994</v>
      </c>
      <c r="J6" s="10">
        <v>3608</v>
      </c>
      <c r="K6" s="10">
        <v>427602</v>
      </c>
      <c r="L6" s="10">
        <v>4092.7314590000001</v>
      </c>
      <c r="M6" s="10">
        <v>462.08255500000007</v>
      </c>
      <c r="N6" s="10">
        <v>2.58</v>
      </c>
      <c r="O6" s="11">
        <v>4557.3940140000004</v>
      </c>
      <c r="P6" s="10">
        <v>6611.3212310000026</v>
      </c>
      <c r="Q6" s="10">
        <v>68.933180748058533</v>
      </c>
    </row>
    <row r="7" spans="1:17" ht="20.100000000000001" customHeight="1" x14ac:dyDescent="0.25">
      <c r="A7" s="12" t="s">
        <v>20</v>
      </c>
      <c r="B7" s="13">
        <v>503836</v>
      </c>
      <c r="C7" s="13">
        <v>817731.61999999988</v>
      </c>
      <c r="D7" s="13">
        <v>421484.15100000007</v>
      </c>
      <c r="E7" s="13">
        <v>57855203</v>
      </c>
      <c r="F7" s="13">
        <v>55183.620906000026</v>
      </c>
      <c r="G7" s="13">
        <v>69421.533825999984</v>
      </c>
      <c r="H7" s="14">
        <v>79.490639092351017</v>
      </c>
      <c r="I7" s="14">
        <v>463650.79199999996</v>
      </c>
      <c r="J7" s="14">
        <v>10924</v>
      </c>
      <c r="K7" s="15">
        <v>474574.79199999996</v>
      </c>
      <c r="L7" s="14">
        <v>4749.6872440000016</v>
      </c>
      <c r="M7" s="14">
        <v>514.402874</v>
      </c>
      <c r="N7" s="14">
        <v>11.532999999999998</v>
      </c>
      <c r="O7" s="16">
        <v>5275.6231180000023</v>
      </c>
      <c r="P7" s="14">
        <v>7132.3017099999997</v>
      </c>
      <c r="Q7" s="15">
        <v>73.968030693418356</v>
      </c>
    </row>
    <row r="8" spans="1:17" ht="20.100000000000001" customHeight="1" x14ac:dyDescent="0.25">
      <c r="A8" s="6" t="s">
        <v>21</v>
      </c>
      <c r="B8" s="7">
        <v>584069</v>
      </c>
      <c r="C8" s="7">
        <v>954484.96600000013</v>
      </c>
      <c r="D8" s="7">
        <v>498879.27599999995</v>
      </c>
      <c r="E8" s="7">
        <v>71905955</v>
      </c>
      <c r="F8" s="8">
        <v>68406.117336999989</v>
      </c>
      <c r="G8" s="8">
        <v>81809.050216000032</v>
      </c>
      <c r="H8" s="9">
        <v>83.616809089443834</v>
      </c>
      <c r="I8" s="10">
        <v>507022.82670000003</v>
      </c>
      <c r="J8" s="10">
        <v>16518.733925</v>
      </c>
      <c r="K8" s="10">
        <v>523541.56062500004</v>
      </c>
      <c r="L8" s="10">
        <v>5884.5993817349972</v>
      </c>
      <c r="M8" s="10">
        <v>565.76673766499994</v>
      </c>
      <c r="N8" s="10">
        <v>18.433999999999997</v>
      </c>
      <c r="O8" s="11">
        <v>6468.8001193999971</v>
      </c>
      <c r="P8" s="10">
        <v>8714.5670605850028</v>
      </c>
      <c r="Q8" s="10">
        <v>74.229735963105341</v>
      </c>
    </row>
    <row r="9" spans="1:17" ht="20.100000000000001" customHeight="1" x14ac:dyDescent="0.25">
      <c r="A9" s="12" t="s">
        <v>22</v>
      </c>
      <c r="B9" s="13">
        <v>686245</v>
      </c>
      <c r="C9" s="13">
        <v>1135218.1112999998</v>
      </c>
      <c r="D9" s="13">
        <v>597921.98200000008</v>
      </c>
      <c r="E9" s="13">
        <v>89278114</v>
      </c>
      <c r="F9" s="13">
        <v>85173.015745999961</v>
      </c>
      <c r="G9" s="13">
        <v>99853.627384000021</v>
      </c>
      <c r="H9" s="14">
        <v>85.297868467468021</v>
      </c>
      <c r="I9" s="14">
        <v>537353.35400000005</v>
      </c>
      <c r="J9" s="14">
        <v>25935</v>
      </c>
      <c r="K9" s="15">
        <v>563288.35400000005</v>
      </c>
      <c r="L9" s="14">
        <v>7318.9950780000063</v>
      </c>
      <c r="M9" s="14">
        <v>599.07718199999999</v>
      </c>
      <c r="N9" s="14">
        <v>26.722636999999992</v>
      </c>
      <c r="O9" s="16">
        <v>7944.7948970000061</v>
      </c>
      <c r="P9" s="14">
        <v>10679.296409779998</v>
      </c>
      <c r="Q9" s="15">
        <v>74.394366371592042</v>
      </c>
    </row>
    <row r="10" spans="1:17" ht="20.100000000000001" customHeight="1" x14ac:dyDescent="0.25">
      <c r="A10" s="6" t="s">
        <v>23</v>
      </c>
      <c r="B10" s="7">
        <v>783535</v>
      </c>
      <c r="C10" s="7">
        <v>1307754.4899300002</v>
      </c>
      <c r="D10" s="7">
        <v>685687.96799999999</v>
      </c>
      <c r="E10" s="7">
        <v>107148495</v>
      </c>
      <c r="F10" s="8">
        <v>101998.05176799998</v>
      </c>
      <c r="G10" s="8">
        <v>115764.41697199993</v>
      </c>
      <c r="H10" s="9">
        <v>88.1082930626864</v>
      </c>
      <c r="I10" s="10">
        <v>584288.98749999993</v>
      </c>
      <c r="J10" s="10">
        <v>26281.159299999999</v>
      </c>
      <c r="K10" s="10">
        <v>610570.14679999999</v>
      </c>
      <c r="L10" s="10">
        <v>8722.724935500004</v>
      </c>
      <c r="M10" s="10">
        <v>663.5693090000002</v>
      </c>
      <c r="N10" s="10">
        <v>27.306610000000003</v>
      </c>
      <c r="O10" s="11">
        <v>9413.6008545000041</v>
      </c>
      <c r="P10" s="10">
        <v>12471.414514999995</v>
      </c>
      <c r="Q10" s="10">
        <v>75.481420677484451</v>
      </c>
    </row>
    <row r="11" spans="1:17" ht="20.100000000000001" customHeight="1" x14ac:dyDescent="0.25">
      <c r="A11" s="12" t="s">
        <v>24</v>
      </c>
      <c r="B11" s="13">
        <v>903655</v>
      </c>
      <c r="C11" s="13">
        <v>1559856.1106300002</v>
      </c>
      <c r="D11" s="13">
        <v>807171.72100000002</v>
      </c>
      <c r="E11" s="13">
        <v>123062779</v>
      </c>
      <c r="F11" s="13">
        <v>118921.730123</v>
      </c>
      <c r="G11" s="13">
        <v>136867.08968</v>
      </c>
      <c r="H11" s="14">
        <v>86.888477281896712</v>
      </c>
      <c r="I11" s="14">
        <v>648021.34987000027</v>
      </c>
      <c r="J11" s="14">
        <v>30591.696309999999</v>
      </c>
      <c r="K11" s="15">
        <v>678613.0461800003</v>
      </c>
      <c r="L11" s="14">
        <v>10305.295711066799</v>
      </c>
      <c r="M11" s="14">
        <v>732.88039794700001</v>
      </c>
      <c r="N11" s="14">
        <v>31.034569699999999</v>
      </c>
      <c r="O11" s="16">
        <v>11069.2106787138</v>
      </c>
      <c r="P11" s="14">
        <v>15071.930231750001</v>
      </c>
      <c r="Q11" s="15">
        <v>73.442555190414751</v>
      </c>
    </row>
    <row r="12" spans="1:17" ht="20.100000000000001" customHeight="1" x14ac:dyDescent="0.25">
      <c r="A12" s="6" t="s">
        <v>26</v>
      </c>
      <c r="B12" s="7">
        <v>898718</v>
      </c>
      <c r="C12" s="7">
        <v>1505946.9386666666</v>
      </c>
      <c r="D12" s="7">
        <v>811041.78889999981</v>
      </c>
      <c r="E12" s="7">
        <v>123969776</v>
      </c>
      <c r="F12" s="8">
        <v>120740.07117400003</v>
      </c>
      <c r="G12" s="8">
        <v>138030.36244699999</v>
      </c>
      <c r="H12" s="9">
        <v>87.473559464397567</v>
      </c>
      <c r="I12" s="10">
        <v>628075.48864605301</v>
      </c>
      <c r="J12" s="10">
        <v>17528.002200000003</v>
      </c>
      <c r="K12" s="10">
        <v>645603.48484605306</v>
      </c>
      <c r="L12" s="10">
        <v>10636.367984205575</v>
      </c>
      <c r="M12" s="10">
        <v>698.41917383681994</v>
      </c>
      <c r="N12" s="10">
        <v>17.8224067208</v>
      </c>
      <c r="O12" s="11">
        <v>11352.609564763194</v>
      </c>
      <c r="P12" s="10">
        <v>16923.041427009404</v>
      </c>
      <c r="Q12" s="10">
        <v>67.083742681408765</v>
      </c>
    </row>
    <row r="13" spans="1:17" ht="20.100000000000001" customHeight="1" x14ac:dyDescent="0.25">
      <c r="A13" s="12" t="s">
        <v>28</v>
      </c>
      <c r="B13" s="13">
        <v>428294</v>
      </c>
      <c r="C13" s="13">
        <v>735320.8226666667</v>
      </c>
      <c r="D13" s="13">
        <v>397161.14539999992</v>
      </c>
      <c r="E13" s="13">
        <v>47820860</v>
      </c>
      <c r="F13" s="13">
        <v>47432.339120999997</v>
      </c>
      <c r="G13" s="13">
        <v>68773.237672999996</v>
      </c>
      <c r="H13" s="14">
        <v>68.969181510007175</v>
      </c>
      <c r="I13" s="14">
        <v>407842.50804786943</v>
      </c>
      <c r="J13" s="14">
        <v>23626.074089999995</v>
      </c>
      <c r="K13" s="15">
        <v>431468.58213786938</v>
      </c>
      <c r="L13" s="14">
        <v>4111.6001860336601</v>
      </c>
      <c r="M13" s="14">
        <v>451.14489488629999</v>
      </c>
      <c r="N13" s="14">
        <v>21.441715616379991</v>
      </c>
      <c r="O13" s="16">
        <v>4584.1867965363381</v>
      </c>
      <c r="P13" s="14">
        <v>7291.4911310180978</v>
      </c>
      <c r="Q13" s="15">
        <v>62.870361002499855</v>
      </c>
    </row>
    <row r="14" spans="1:17" ht="20.100000000000001" customHeight="1" x14ac:dyDescent="0.25">
      <c r="A14" s="6" t="s">
        <v>29</v>
      </c>
      <c r="B14" s="7">
        <v>638487</v>
      </c>
      <c r="C14" s="7">
        <v>1077595.8596666667</v>
      </c>
      <c r="D14" s="7">
        <v>592927.92390000005</v>
      </c>
      <c r="E14" s="7">
        <v>76713832</v>
      </c>
      <c r="F14" s="8">
        <v>74634.578729000001</v>
      </c>
      <c r="G14" s="8">
        <v>100444.526578</v>
      </c>
      <c r="H14" s="9">
        <v>74.304276471493608</v>
      </c>
      <c r="I14" s="10">
        <v>523762.08877000003</v>
      </c>
      <c r="J14" s="10">
        <v>24534.807032663201</v>
      </c>
      <c r="K14" s="10">
        <v>548296.89580266329</v>
      </c>
      <c r="L14" s="10">
        <v>6479.3886825889986</v>
      </c>
      <c r="M14" s="10">
        <v>621.67073630201003</v>
      </c>
      <c r="N14" s="10">
        <v>25.927791357546042</v>
      </c>
      <c r="O14" s="11">
        <v>7126.9872102485551</v>
      </c>
      <c r="P14" s="10">
        <v>11271.397962749001</v>
      </c>
      <c r="Q14" s="10">
        <v>63.230729975133812</v>
      </c>
    </row>
    <row r="15" spans="1:17" x14ac:dyDescent="0.25">
      <c r="A15" s="12" t="s">
        <v>30</v>
      </c>
      <c r="B15" s="13">
        <v>968431</v>
      </c>
      <c r="C15" s="13">
        <v>1682751.0569</v>
      </c>
      <c r="D15" s="13">
        <v>906541.14807466662</v>
      </c>
      <c r="E15" s="13">
        <v>134433348</v>
      </c>
      <c r="F15" s="13">
        <v>131449.16189599998</v>
      </c>
      <c r="G15" s="13">
        <v>157386.81044599996</v>
      </c>
      <c r="H15" s="14">
        <v>83.519807996300116</v>
      </c>
      <c r="I15" s="14">
        <v>664332.13971399982</v>
      </c>
      <c r="J15" s="14">
        <v>33298.229776285239</v>
      </c>
      <c r="K15" s="15">
        <v>697630.36949028529</v>
      </c>
      <c r="L15" s="14">
        <v>11528.103734579683</v>
      </c>
      <c r="M15" s="14">
        <v>878.5191819182802</v>
      </c>
      <c r="N15" s="14">
        <v>33.771341065290741</v>
      </c>
      <c r="O15" s="16">
        <v>12440.394257563257</v>
      </c>
      <c r="P15" s="14">
        <v>17554.380550825001</v>
      </c>
      <c r="Q15" s="15">
        <v>70.86774848901517</v>
      </c>
    </row>
    <row r="16" spans="1:17" x14ac:dyDescent="0.25">
      <c r="A16" s="6" t="s">
        <v>31</v>
      </c>
      <c r="B16" s="7">
        <v>1027213</v>
      </c>
      <c r="C16" s="7">
        <v>1723370.4139999989</v>
      </c>
      <c r="D16" s="7">
        <v>943933.84490000003</v>
      </c>
      <c r="E16" s="7">
        <v>152049810</v>
      </c>
      <c r="F16" s="8">
        <v>147596.34521159998</v>
      </c>
      <c r="G16" s="8">
        <v>168405.07412420001</v>
      </c>
      <c r="H16" s="9">
        <v>87.643644931236793</v>
      </c>
      <c r="I16" s="10">
        <v>714686.85727234394</v>
      </c>
      <c r="J16" s="10">
        <v>45437.91255254353</v>
      </c>
      <c r="K16" s="10">
        <v>760124.76982488751</v>
      </c>
      <c r="L16" s="10">
        <v>12942.268962850001</v>
      </c>
      <c r="M16" s="10">
        <v>1139.3501971296841</v>
      </c>
      <c r="N16" s="10">
        <v>51.767705497797266</v>
      </c>
      <c r="O16" s="11">
        <v>14133.38686547748</v>
      </c>
      <c r="P16" s="10">
        <v>19185.556750721997</v>
      </c>
      <c r="Q16" s="10">
        <v>73.666805968221936</v>
      </c>
    </row>
    <row r="17" spans="1:17" ht="28.5" x14ac:dyDescent="0.25">
      <c r="A17" s="1" t="s">
        <v>32</v>
      </c>
      <c r="B17" s="5">
        <f t="shared" ref="B17:Q17" si="0">(B16-B15)/B15</f>
        <v>6.0698180871946478E-2</v>
      </c>
      <c r="C17" s="5">
        <f t="shared" si="0"/>
        <v>2.4138660875262691E-2</v>
      </c>
      <c r="D17" s="5">
        <f t="shared" si="0"/>
        <v>4.1247655337817699E-2</v>
      </c>
      <c r="E17" s="5">
        <f t="shared" si="0"/>
        <v>0.13104235118804003</v>
      </c>
      <c r="F17" s="5">
        <f t="shared" si="0"/>
        <v>0.12283975860093611</v>
      </c>
      <c r="G17" s="5">
        <f t="shared" si="0"/>
        <v>7.0007541591170744E-2</v>
      </c>
      <c r="H17" s="5">
        <f t="shared" si="0"/>
        <v>4.9375555737859934E-2</v>
      </c>
      <c r="I17" s="5">
        <f t="shared" si="0"/>
        <v>7.579750330914628E-2</v>
      </c>
      <c r="J17" s="5">
        <f t="shared" si="0"/>
        <v>0.36457441905527621</v>
      </c>
      <c r="K17" s="5">
        <f t="shared" si="0"/>
        <v>8.9580963025252119E-2</v>
      </c>
      <c r="L17" s="5">
        <f t="shared" si="0"/>
        <v>0.12267110539857393</v>
      </c>
      <c r="M17" s="5">
        <f t="shared" si="0"/>
        <v>0.29689848620250892</v>
      </c>
      <c r="N17" s="5">
        <f t="shared" si="0"/>
        <v>0.53288865247352268</v>
      </c>
      <c r="O17" s="5">
        <f t="shared" si="0"/>
        <v>0.13608834035826084</v>
      </c>
      <c r="P17" s="5">
        <f t="shared" si="0"/>
        <v>9.2921319278357326E-2</v>
      </c>
      <c r="Q17" s="5">
        <f t="shared" si="0"/>
        <v>3.9496915577057354E-2</v>
      </c>
    </row>
    <row r="18" spans="1:17" ht="29.25" customHeight="1" x14ac:dyDescent="0.25">
      <c r="A18" s="2" t="s">
        <v>33</v>
      </c>
      <c r="B18" s="4">
        <f t="shared" ref="B18:Q18" si="1">(((B16/B6)^(1/10))-1)</f>
        <v>8.0243944276804813E-2</v>
      </c>
      <c r="C18" s="4">
        <f t="shared" si="1"/>
        <v>8.2597957539936706E-2</v>
      </c>
      <c r="D18" s="4">
        <f t="shared" si="1"/>
        <v>8.9831036205997083E-2</v>
      </c>
      <c r="E18" s="4">
        <f t="shared" si="1"/>
        <v>0.11854902772642339</v>
      </c>
      <c r="F18" s="4">
        <f t="shared" si="1"/>
        <v>0.11846435641231157</v>
      </c>
      <c r="G18" s="4">
        <f t="shared" si="1"/>
        <v>9.9395387360773135E-2</v>
      </c>
      <c r="H18" s="4">
        <f t="shared" si="1"/>
        <v>1.7344960030545309E-2</v>
      </c>
      <c r="I18" s="4">
        <f t="shared" si="1"/>
        <v>5.3599627683750928E-2</v>
      </c>
      <c r="J18" s="4">
        <f t="shared" si="1"/>
        <v>0.28829459359076348</v>
      </c>
      <c r="K18" s="4">
        <f t="shared" si="1"/>
        <v>5.9215959321090139E-2</v>
      </c>
      <c r="L18" s="4">
        <f t="shared" si="1"/>
        <v>0.12201772348180473</v>
      </c>
      <c r="M18" s="4">
        <f t="shared" si="1"/>
        <v>9.4444557422314945E-2</v>
      </c>
      <c r="N18" s="4">
        <f t="shared" si="1"/>
        <v>0.34972073891923361</v>
      </c>
      <c r="O18" s="4">
        <f t="shared" si="1"/>
        <v>0.11983224061258935</v>
      </c>
      <c r="P18" s="4">
        <f t="shared" si="1"/>
        <v>0.11241955528017766</v>
      </c>
      <c r="Q18" s="4">
        <f t="shared" si="1"/>
        <v>6.6635697810477623E-3</v>
      </c>
    </row>
    <row r="19" spans="1:17" x14ac:dyDescent="0.25">
      <c r="A19" s="21" t="s">
        <v>25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8.75" customHeight="1" x14ac:dyDescent="0.25">
      <c r="A20" s="17" t="s">
        <v>34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2022-04-25T11:08:15Z</cp:lastPrinted>
  <dcterms:created xsi:type="dcterms:W3CDTF">2018-10-29T04:00:14Z</dcterms:created>
  <dcterms:modified xsi:type="dcterms:W3CDTF">2025-01-28T09:46:52Z</dcterms:modified>
</cp:coreProperties>
</file>