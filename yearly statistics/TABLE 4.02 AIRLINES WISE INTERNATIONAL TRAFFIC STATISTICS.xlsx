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Annual Report 2024-25\04 All Scheduled Airline Wise Domestic and International Operations Traffic Statistics\"/>
    </mc:Choice>
  </mc:AlternateContent>
  <bookViews>
    <workbookView xWindow="0" yWindow="0" windowWidth="24000" windowHeight="9435"/>
  </bookViews>
  <sheets>
    <sheet name="inter indian" sheetId="1" r:id="rId1"/>
  </sheets>
  <definedNames>
    <definedName name="_xlnm.Print_Area" localSheetId="0">'inter indian'!$A$1:$Q$14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" i="1" l="1"/>
  <c r="H12" i="1"/>
  <c r="P13" i="1" l="1"/>
  <c r="O13" i="1"/>
  <c r="N13" i="1"/>
  <c r="M13" i="1"/>
  <c r="L13" i="1"/>
  <c r="K13" i="1"/>
  <c r="J13" i="1"/>
  <c r="I13" i="1"/>
  <c r="G13" i="1"/>
  <c r="F13" i="1"/>
  <c r="E13" i="1"/>
  <c r="D13" i="1"/>
  <c r="C13" i="1"/>
  <c r="B13" i="1"/>
  <c r="Q11" i="1"/>
  <c r="Q10" i="1"/>
  <c r="Q9" i="1"/>
  <c r="Q8" i="1"/>
  <c r="Q7" i="1"/>
  <c r="Q6" i="1"/>
  <c r="H11" i="1"/>
  <c r="H10" i="1"/>
  <c r="H9" i="1"/>
  <c r="H8" i="1"/>
  <c r="H7" i="1"/>
  <c r="H6" i="1"/>
  <c r="Q13" i="1" l="1"/>
  <c r="H13" i="1"/>
</calcChain>
</file>

<file path=xl/sharedStrings.xml><?xml version="1.0" encoding="utf-8"?>
<sst xmlns="http://schemas.openxmlformats.org/spreadsheetml/2006/main" count="35" uniqueCount="32">
  <si>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</si>
  <si>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</si>
  <si>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</si>
  <si>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</si>
  <si>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</si>
  <si>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</si>
  <si>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</si>
  <si>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</si>
  <si>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</si>
  <si>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</si>
  <si>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</si>
  <si>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</si>
  <si>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</si>
  <si>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</si>
  <si>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</si>
  <si>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</si>
  <si>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</si>
  <si>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</si>
  <si>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AIRLINE</t>
  </si>
  <si>
    <t>INDIGO</t>
  </si>
  <si>
    <t>SPICEJET</t>
  </si>
  <si>
    <t>YEAR TOTAL</t>
  </si>
  <si>
    <t>VISTARA</t>
  </si>
  <si>
    <t xml:space="preserve">SOURCE:-  ICAO ATR FORM 'A' FURNISHED BY ALL SCHEDULED INDIAN AIRLINES </t>
  </si>
  <si>
    <t>AIR INDIA</t>
  </si>
  <si>
    <t>AIR INDIA EXPRESS</t>
  </si>
  <si>
    <t>ALLIANCE AIR</t>
  </si>
  <si>
    <t>AKASA AIR</t>
  </si>
  <si>
    <t>AIRLINE-WISE TRAFFIC AND OPERATING STATISTICS OF SCHEDULED INDIAN AIRLINES ON SCHEDULED INTERNATIONAL SERVICES DURING 2024-25</t>
  </si>
  <si>
    <t xml:space="preserve"> </t>
  </si>
  <si>
    <t xml:space="preserve">तालिका  4.02 ( अनुसूचित भारतीय एयरलाइन्स) </t>
  </si>
  <si>
    <t>Table 4.02 ( SCHEDULED INDIAN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</si>
</sst>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2" fillId="4" borderId="0" applyNumberFormat="0" applyBorder="0" applyAlignment="0" applyProtection="0"/>
  </cellStyleXfs>
  <cellXfs count="32">
    <xf numFmtId="0" fontId="0" fillId="0" borderId="0" xfId="0"/>
    <xf numFmtId="0" fontId="0" fillId="0" borderId="0" xfId="0" applyFont="1"/>
    <xf numFmtId="166" fontId="2" fillId="4" borderId="1" xfId="3" applyNumberFormat="1" applyBorder="1" applyAlignment="1">
      <alignment horizontal="right" vertical="center"/>
    </xf>
    <xf numFmtId="0" fontId="4" fillId="3" borderId="1" xfId="2" applyFont="1" applyBorder="1" applyAlignment="1" applyProtection="1">
      <alignment horizontal="center" vertical="center" textRotation="90" wrapText="1"/>
    </xf>
    <xf numFmtId="0" fontId="2" fillId="0" borderId="1" xfId="3" applyFill="1" applyBorder="1" applyAlignment="1">
      <alignment horizontal="center" vertical="center"/>
    </xf>
    <xf numFmtId="165" fontId="2" fillId="0" borderId="1" xfId="3" applyNumberFormat="1" applyFill="1" applyBorder="1" applyAlignment="1">
      <alignment vertical="center"/>
    </xf>
    <xf numFmtId="166" fontId="2" fillId="0" borderId="1" xfId="3" applyNumberFormat="1" applyFill="1" applyBorder="1" applyAlignment="1">
      <alignment horizontal="right" vertical="center"/>
    </xf>
    <xf numFmtId="0" fontId="0" fillId="0" borderId="0" xfId="0" applyFont="1" applyFill="1"/>
    <xf numFmtId="0" fontId="0" fillId="5" borderId="1" xfId="0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vertical="center"/>
    </xf>
    <xf numFmtId="166" fontId="0" fillId="5" borderId="1" xfId="1" applyNumberFormat="1" applyFont="1" applyFill="1" applyBorder="1" applyAlignment="1">
      <alignment horizontal="right" vertical="center"/>
    </xf>
    <xf numFmtId="0" fontId="5" fillId="4" borderId="1" xfId="3" applyFont="1" applyBorder="1" applyAlignment="1">
      <alignment horizontal="center" vertical="center"/>
    </xf>
    <xf numFmtId="165" fontId="5" fillId="4" borderId="1" xfId="3" applyNumberFormat="1" applyFont="1" applyBorder="1" applyAlignment="1">
      <alignment vertical="center"/>
    </xf>
    <xf numFmtId="166" fontId="5" fillId="4" borderId="1" xfId="3" applyNumberFormat="1" applyFont="1" applyBorder="1" applyAlignment="1">
      <alignment horizontal="right" vertical="center"/>
    </xf>
    <xf numFmtId="166" fontId="0" fillId="5" borderId="1" xfId="1" applyNumberFormat="1" applyFont="1" applyFill="1" applyBorder="1" applyAlignment="1">
      <alignment vertical="center"/>
    </xf>
    <xf numFmtId="166" fontId="2" fillId="0" borderId="1" xfId="3" applyNumberFormat="1" applyFill="1" applyBorder="1" applyAlignment="1">
      <alignment vertical="center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4" fillId="3" borderId="5" xfId="2" applyFont="1" applyBorder="1" applyAlignment="1" applyProtection="1">
      <alignment horizontal="center" vertical="center" textRotation="90" wrapText="1"/>
    </xf>
    <xf numFmtId="0" fontId="4" fillId="3" borderId="6" xfId="2" applyFont="1" applyBorder="1" applyAlignment="1" applyProtection="1">
      <alignment horizontal="center" vertical="center" textRotation="90" wrapText="1"/>
    </xf>
    <xf numFmtId="0" fontId="4" fillId="4" borderId="2" xfId="3" applyFont="1" applyBorder="1" applyAlignment="1">
      <alignment horizontal="center" vertical="center" wrapText="1"/>
    </xf>
    <xf numFmtId="0" fontId="4" fillId="4" borderId="3" xfId="3" applyFont="1" applyBorder="1" applyAlignment="1">
      <alignment horizontal="center" vertical="center" wrapText="1"/>
    </xf>
    <xf numFmtId="0" fontId="4" fillId="4" borderId="4" xfId="3" applyFont="1" applyBorder="1" applyAlignment="1">
      <alignment horizontal="center" vertical="center" wrapText="1"/>
    </xf>
    <xf numFmtId="0" fontId="4" fillId="4" borderId="2" xfId="3" quotePrefix="1" applyFont="1" applyBorder="1" applyAlignment="1" applyProtection="1">
      <alignment horizontal="center" vertical="center" wrapText="1"/>
    </xf>
    <xf numFmtId="0" fontId="4" fillId="4" borderId="3" xfId="3" quotePrefix="1" applyFont="1" applyBorder="1" applyAlignment="1" applyProtection="1">
      <alignment horizontal="center" vertical="center" wrapText="1"/>
    </xf>
    <xf numFmtId="0" fontId="4" fillId="4" borderId="4" xfId="3" quotePrefix="1" applyFont="1" applyBorder="1" applyAlignment="1" applyProtection="1">
      <alignment horizontal="center" vertical="center" wrapText="1"/>
    </xf>
    <xf numFmtId="0" fontId="4" fillId="3" borderId="2" xfId="2" applyFont="1" applyBorder="1" applyAlignment="1" applyProtection="1">
      <alignment horizontal="center" vertical="center" wrapText="1"/>
    </xf>
    <xf numFmtId="0" fontId="4" fillId="3" borderId="3" xfId="2" applyFont="1" applyBorder="1" applyAlignment="1" applyProtection="1">
      <alignment horizontal="center" vertical="center" wrapText="1"/>
    </xf>
    <xf numFmtId="0" fontId="4" fillId="3" borderId="4" xfId="2" applyFont="1" applyBorder="1" applyAlignment="1" applyProtection="1">
      <alignment horizontal="center" vertical="center" wrapText="1"/>
    </xf>
    <xf numFmtId="0" fontId="4" fillId="3" borderId="5" xfId="2" applyFont="1" applyBorder="1" applyAlignment="1" applyProtection="1">
      <alignment horizontal="center" vertical="center" wrapText="1"/>
    </xf>
    <xf numFmtId="0" fontId="4" fillId="3" borderId="6" xfId="2" applyFont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  <pageSetUpPr fitToPage="1"/>
  </sheetPr>
  <dimension ref="A1:AA14"/>
  <sheetViews>
    <sheetView tabSelected="1" zoomScale="85" zoomScaleNormal="85" zoomScaleSheetLayoutView="100" workbookViewId="0">
      <selection sqref="A1:Q14"/>
    </sheetView>
  </sheetViews>
  <sheetFormatPr defaultColWidth="9.140625" defaultRowHeight="15" x14ac:dyDescent="0.25"/>
  <cols>
    <col min="1" max="1" width="16.7109375" style="1" customWidth="1"/>
    <col min="2" max="3" width="9.5703125" style="1" customWidth="1"/>
    <col min="4" max="4" width="9.7109375" style="1" customWidth="1"/>
    <col min="5" max="5" width="12.7109375" style="1" customWidth="1"/>
    <col min="6" max="6" width="10" style="1" customWidth="1"/>
    <col min="7" max="7" width="9.5703125" style="1" customWidth="1"/>
    <col min="8" max="8" width="8" style="1" customWidth="1"/>
    <col min="9" max="9" width="11.42578125" style="1" customWidth="1"/>
    <col min="10" max="10" width="8.7109375" style="1" bestFit="1" customWidth="1"/>
    <col min="11" max="11" width="11.42578125" style="1" bestFit="1" customWidth="1"/>
    <col min="12" max="12" width="9.85546875" style="1" customWidth="1"/>
    <col min="13" max="13" width="8.85546875" style="1" customWidth="1"/>
    <col min="14" max="14" width="6.85546875" style="1" customWidth="1"/>
    <col min="15" max="15" width="11" style="1" customWidth="1"/>
    <col min="16" max="16" width="12.85546875" style="1" customWidth="1"/>
    <col min="17" max="17" width="14.140625" style="1" customWidth="1"/>
    <col min="18" max="16384" width="9.140625" style="7"/>
  </cols>
  <sheetData>
    <row r="1" spans="1:27" ht="18.75" customHeight="1" x14ac:dyDescent="0.25">
      <c r="A1" s="21" t="s">
        <v>30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</row>
    <row r="2" spans="1:27" ht="18.75" customHeight="1" x14ac:dyDescent="0.25">
      <c r="A2" s="24" t="s">
        <v>31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6"/>
    </row>
    <row r="3" spans="1:27" ht="18.75" customHeight="1" x14ac:dyDescent="0.25">
      <c r="A3" s="27" t="s">
        <v>28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9"/>
    </row>
    <row r="4" spans="1:27" ht="21" customHeight="1" x14ac:dyDescent="0.25">
      <c r="A4" s="30" t="s">
        <v>18</v>
      </c>
      <c r="B4" s="27" t="s">
        <v>0</v>
      </c>
      <c r="C4" s="28"/>
      <c r="D4" s="29"/>
      <c r="E4" s="27" t="s">
        <v>1</v>
      </c>
      <c r="F4" s="29"/>
      <c r="G4" s="19" t="s">
        <v>2</v>
      </c>
      <c r="H4" s="19" t="s">
        <v>3</v>
      </c>
      <c r="I4" s="27" t="s">
        <v>4</v>
      </c>
      <c r="J4" s="28"/>
      <c r="K4" s="29"/>
      <c r="L4" s="27" t="s">
        <v>5</v>
      </c>
      <c r="M4" s="28"/>
      <c r="N4" s="28"/>
      <c r="O4" s="29"/>
      <c r="P4" s="19" t="s">
        <v>6</v>
      </c>
      <c r="Q4" s="19" t="s">
        <v>7</v>
      </c>
    </row>
    <row r="5" spans="1:27" ht="139.5" customHeight="1" x14ac:dyDescent="0.25">
      <c r="A5" s="31"/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20"/>
      <c r="H5" s="20"/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14</v>
      </c>
      <c r="O5" s="3" t="s">
        <v>15</v>
      </c>
      <c r="P5" s="20"/>
      <c r="Q5" s="20"/>
    </row>
    <row r="6" spans="1:27" ht="30" customHeight="1" x14ac:dyDescent="0.25">
      <c r="A6" s="8" t="s">
        <v>24</v>
      </c>
      <c r="B6" s="9">
        <v>51834</v>
      </c>
      <c r="C6" s="9">
        <v>353565.58699999994</v>
      </c>
      <c r="D6" s="9">
        <v>260487.03400000004</v>
      </c>
      <c r="E6" s="9">
        <v>9865764</v>
      </c>
      <c r="F6" s="9">
        <v>57197.424859999992</v>
      </c>
      <c r="G6" s="9">
        <v>66895.891197999998</v>
      </c>
      <c r="H6" s="2">
        <f t="shared" ref="H6:H12" si="0">F6/G6*100</f>
        <v>85.502149438006185</v>
      </c>
      <c r="I6" s="10">
        <v>164318.2144</v>
      </c>
      <c r="J6" s="10">
        <v>2207.2300605853839</v>
      </c>
      <c r="K6" s="10">
        <v>166525.44446058542</v>
      </c>
      <c r="L6" s="10">
        <v>5973.5728432060032</v>
      </c>
      <c r="M6" s="10">
        <v>1055.4390053274999</v>
      </c>
      <c r="N6" s="10">
        <v>17.453451566557941</v>
      </c>
      <c r="O6" s="10">
        <v>7046.4653001000606</v>
      </c>
      <c r="P6" s="10">
        <v>8558.4211941219983</v>
      </c>
      <c r="Q6" s="2">
        <f t="shared" ref="Q6:Q12" si="1">O6/P6*100</f>
        <v>82.333705484600799</v>
      </c>
    </row>
    <row r="7" spans="1:27" ht="30" customHeight="1" x14ac:dyDescent="0.25">
      <c r="A7" s="4" t="s">
        <v>25</v>
      </c>
      <c r="B7" s="5">
        <v>44784</v>
      </c>
      <c r="C7" s="5">
        <v>158859.83333333331</v>
      </c>
      <c r="D7" s="5">
        <v>120936.52332588792</v>
      </c>
      <c r="E7" s="5">
        <v>6158460</v>
      </c>
      <c r="F7" s="5">
        <v>17013.177704576763</v>
      </c>
      <c r="G7" s="5">
        <v>22760.359925260873</v>
      </c>
      <c r="H7" s="6">
        <f t="shared" si="0"/>
        <v>74.749159329833233</v>
      </c>
      <c r="I7" s="6">
        <v>53422.845593625905</v>
      </c>
      <c r="J7" s="6">
        <v>23.296799999999998</v>
      </c>
      <c r="K7" s="6">
        <v>53446.142393625909</v>
      </c>
      <c r="L7" s="6">
        <v>1259.387928483718</v>
      </c>
      <c r="M7" s="6">
        <v>101.01694296280374</v>
      </c>
      <c r="N7" s="6">
        <v>2.3171317499999997E-2</v>
      </c>
      <c r="O7" s="6">
        <v>1360.4280427640219</v>
      </c>
      <c r="P7" s="6">
        <v>2368.4488665177591</v>
      </c>
      <c r="Q7" s="6">
        <f t="shared" si="1"/>
        <v>57.439620588651671</v>
      </c>
      <c r="Z7" s="7" t="s">
        <v>29</v>
      </c>
    </row>
    <row r="8" spans="1:27" ht="30" customHeight="1" x14ac:dyDescent="0.25">
      <c r="A8" s="8" t="s">
        <v>27</v>
      </c>
      <c r="B8" s="9">
        <v>2793</v>
      </c>
      <c r="C8" s="9">
        <v>12180.349996666668</v>
      </c>
      <c r="D8" s="9">
        <v>7733.3199999999988</v>
      </c>
      <c r="E8" s="9">
        <v>391076</v>
      </c>
      <c r="F8" s="14">
        <v>1095.591435</v>
      </c>
      <c r="G8" s="14">
        <v>1448.893401</v>
      </c>
      <c r="H8" s="2">
        <f t="shared" si="0"/>
        <v>75.615737792983438</v>
      </c>
      <c r="I8" s="10">
        <v>1004.59132</v>
      </c>
      <c r="J8" s="10">
        <v>0</v>
      </c>
      <c r="K8" s="10">
        <v>1004.59132</v>
      </c>
      <c r="L8" s="10">
        <v>102.64085497000001</v>
      </c>
      <c r="M8" s="10">
        <v>2.5831293099999999</v>
      </c>
      <c r="N8" s="10">
        <v>0</v>
      </c>
      <c r="O8" s="10">
        <v>105.22398428</v>
      </c>
      <c r="P8" s="10">
        <v>158.57945989000001</v>
      </c>
      <c r="Q8" s="2">
        <f t="shared" si="1"/>
        <v>66.35410686414842</v>
      </c>
    </row>
    <row r="9" spans="1:27" ht="30" customHeight="1" x14ac:dyDescent="0.25">
      <c r="A9" s="4" t="s">
        <v>26</v>
      </c>
      <c r="B9" s="5">
        <v>366</v>
      </c>
      <c r="C9" s="5">
        <v>452</v>
      </c>
      <c r="D9" s="5">
        <v>129.56399999999999</v>
      </c>
      <c r="E9" s="5">
        <v>17348</v>
      </c>
      <c r="F9" s="15">
        <v>6.1411920000000002</v>
      </c>
      <c r="G9" s="15">
        <v>8.2743959999999994</v>
      </c>
      <c r="H9" s="6">
        <f t="shared" si="0"/>
        <v>74.219217934457092</v>
      </c>
      <c r="I9" s="6">
        <v>0</v>
      </c>
      <c r="J9" s="6">
        <v>0</v>
      </c>
      <c r="K9" s="6">
        <v>0</v>
      </c>
      <c r="L9" s="6">
        <v>0.58955437999999993</v>
      </c>
      <c r="M9" s="6">
        <v>0</v>
      </c>
      <c r="N9" s="6">
        <v>0</v>
      </c>
      <c r="O9" s="6">
        <v>0.58955437999999993</v>
      </c>
      <c r="P9" s="6">
        <v>0.88071659999999996</v>
      </c>
      <c r="Q9" s="6">
        <f t="shared" si="1"/>
        <v>66.940305201468888</v>
      </c>
      <c r="AA9" s="7" t="s">
        <v>29</v>
      </c>
    </row>
    <row r="10" spans="1:27" ht="30" customHeight="1" x14ac:dyDescent="0.25">
      <c r="A10" s="8" t="s">
        <v>19</v>
      </c>
      <c r="B10" s="9">
        <v>86059</v>
      </c>
      <c r="C10" s="9">
        <v>330599</v>
      </c>
      <c r="D10" s="9">
        <v>218959.32700000002</v>
      </c>
      <c r="E10" s="9">
        <v>14231436</v>
      </c>
      <c r="F10" s="9">
        <v>37258.101000000002</v>
      </c>
      <c r="G10" s="9">
        <v>44367.100999999995</v>
      </c>
      <c r="H10" s="2">
        <f t="shared" si="0"/>
        <v>83.976866101754098</v>
      </c>
      <c r="I10" s="10">
        <v>45284.37833</v>
      </c>
      <c r="J10" s="10">
        <v>152.89049999999997</v>
      </c>
      <c r="K10" s="10">
        <v>45437.268830000001</v>
      </c>
      <c r="L10" s="10">
        <v>3353.224886</v>
      </c>
      <c r="M10" s="10">
        <v>123.99255006750998</v>
      </c>
      <c r="N10" s="10">
        <v>0.35307320809999998</v>
      </c>
      <c r="O10" s="10">
        <v>3477.5705092756098</v>
      </c>
      <c r="P10" s="10">
        <v>4312.5607790000004</v>
      </c>
      <c r="Q10" s="2">
        <f t="shared" si="1"/>
        <v>80.638179668322067</v>
      </c>
    </row>
    <row r="11" spans="1:27" ht="30" customHeight="1" x14ac:dyDescent="0.25">
      <c r="A11" s="4" t="s">
        <v>20</v>
      </c>
      <c r="B11" s="5">
        <v>9496</v>
      </c>
      <c r="C11" s="5">
        <v>30333.116666666661</v>
      </c>
      <c r="D11" s="5">
        <v>22194.14</v>
      </c>
      <c r="E11" s="5">
        <v>1458761</v>
      </c>
      <c r="F11" s="5">
        <v>3414.0333269999992</v>
      </c>
      <c r="G11" s="5">
        <v>4173.0549929999997</v>
      </c>
      <c r="H11" s="6">
        <f t="shared" si="0"/>
        <v>81.811366797868587</v>
      </c>
      <c r="I11" s="6">
        <v>8211.3710099999989</v>
      </c>
      <c r="J11" s="6">
        <v>0</v>
      </c>
      <c r="K11" s="6">
        <v>8211.3710099999989</v>
      </c>
      <c r="L11" s="6">
        <v>256.05249952500003</v>
      </c>
      <c r="M11" s="6">
        <v>19.185245774549998</v>
      </c>
      <c r="N11" s="6">
        <v>0</v>
      </c>
      <c r="O11" s="6">
        <v>275.23774529955</v>
      </c>
      <c r="P11" s="6">
        <v>386.69734799999992</v>
      </c>
      <c r="Q11" s="6">
        <f t="shared" si="1"/>
        <v>71.176527773743629</v>
      </c>
    </row>
    <row r="12" spans="1:27" ht="30" customHeight="1" x14ac:dyDescent="0.25">
      <c r="A12" s="4" t="s">
        <v>22</v>
      </c>
      <c r="B12" s="5">
        <v>10990</v>
      </c>
      <c r="C12" s="5">
        <v>49054.149900000004</v>
      </c>
      <c r="D12" s="5">
        <v>38034.763999999996</v>
      </c>
      <c r="E12" s="5">
        <v>1733112</v>
      </c>
      <c r="F12" s="5">
        <v>6595.3471909999998</v>
      </c>
      <c r="G12" s="5">
        <v>8749.1539150000008</v>
      </c>
      <c r="H12" s="6">
        <f t="shared" si="0"/>
        <v>75.382685629665247</v>
      </c>
      <c r="I12" s="6">
        <v>22352.706740000005</v>
      </c>
      <c r="J12" s="6">
        <v>30.691350000000003</v>
      </c>
      <c r="K12" s="6">
        <v>22383.398089999999</v>
      </c>
      <c r="L12" s="6">
        <v>692.50752480000006</v>
      </c>
      <c r="M12" s="6">
        <v>117.03823377439882</v>
      </c>
      <c r="N12" s="6">
        <v>8.4589327000000006E-2</v>
      </c>
      <c r="O12" s="6">
        <v>809.63034790139886</v>
      </c>
      <c r="P12" s="6">
        <v>1245.5804657110002</v>
      </c>
      <c r="Q12" s="6">
        <f t="shared" si="1"/>
        <v>65.000244479528419</v>
      </c>
    </row>
    <row r="13" spans="1:27" ht="30" customHeight="1" x14ac:dyDescent="0.25">
      <c r="A13" s="11" t="s">
        <v>21</v>
      </c>
      <c r="B13" s="12">
        <f t="shared" ref="B13:G13" si="2">SUM(B6:B12)</f>
        <v>206322</v>
      </c>
      <c r="C13" s="12">
        <f t="shared" si="2"/>
        <v>935044.03689666663</v>
      </c>
      <c r="D13" s="12">
        <f t="shared" si="2"/>
        <v>668474.67232588795</v>
      </c>
      <c r="E13" s="12">
        <f t="shared" si="2"/>
        <v>33855957</v>
      </c>
      <c r="F13" s="12">
        <f t="shared" si="2"/>
        <v>122579.81670957673</v>
      </c>
      <c r="G13" s="12">
        <f t="shared" si="2"/>
        <v>148402.72882826085</v>
      </c>
      <c r="H13" s="13">
        <f t="shared" ref="H13" si="3">F13/G13*100</f>
        <v>82.599435790316434</v>
      </c>
      <c r="I13" s="13">
        <f t="shared" ref="I13:P13" si="4">SUM(I6:I12)</f>
        <v>294594.10739362589</v>
      </c>
      <c r="J13" s="13">
        <f t="shared" si="4"/>
        <v>2414.108710585384</v>
      </c>
      <c r="K13" s="13">
        <f t="shared" si="4"/>
        <v>297008.21610421134</v>
      </c>
      <c r="L13" s="13">
        <f t="shared" si="4"/>
        <v>11637.976091364721</v>
      </c>
      <c r="M13" s="13">
        <f t="shared" si="4"/>
        <v>1419.2551072167623</v>
      </c>
      <c r="N13" s="13">
        <f t="shared" si="4"/>
        <v>17.914285419157942</v>
      </c>
      <c r="O13" s="13">
        <f t="shared" si="4"/>
        <v>13075.145484000641</v>
      </c>
      <c r="P13" s="13">
        <f t="shared" si="4"/>
        <v>17031.168829840757</v>
      </c>
      <c r="Q13" s="13">
        <f t="shared" ref="Q13" si="5">O13/P13*100</f>
        <v>76.771862311007894</v>
      </c>
    </row>
    <row r="14" spans="1:27" ht="19.5" customHeight="1" x14ac:dyDescent="0.25">
      <c r="A14" s="16" t="s">
        <v>23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</row>
  </sheetData>
  <mergeCells count="13">
    <mergeCell ref="A14:Q14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5" right="0.25" top="0.75" bottom="0.75" header="0.3" footer="0.3"/>
  <pageSetup paperSize="9" scale="78" orientation="landscape" r:id="rId1"/>
  <ignoredErrors>
    <ignoredError sqref="H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 indian</vt:lpstr>
      <vt:lpstr>'inter indian'!Print_Area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2025-11-24T12:19:55Z</cp:lastPrinted>
  <dcterms:created xsi:type="dcterms:W3CDTF">2018-10-29T04:00:07Z</dcterms:created>
  <dcterms:modified xsi:type="dcterms:W3CDTF">2025-11-24T12:19:59Z</dcterms:modified>
</cp:coreProperties>
</file>