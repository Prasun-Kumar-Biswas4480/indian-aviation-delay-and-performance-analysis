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Draft Annual Report 2024-25\01 Airline Wise Air Transport Operating and Traffic Statistics\STAR AIR\"/>
    </mc:Choice>
  </mc:AlternateContent>
  <bookViews>
    <workbookView xWindow="0" yWindow="0" windowWidth="11970" windowHeight="9495"/>
  </bookViews>
  <sheets>
    <sheet name="STARAIR" sheetId="1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6" l="1"/>
  <c r="D17" i="16"/>
  <c r="E17" i="16"/>
  <c r="F17" i="16"/>
  <c r="G17" i="16"/>
  <c r="H17" i="16"/>
  <c r="I17" i="16"/>
  <c r="J17" i="16"/>
  <c r="K17" i="16"/>
  <c r="L17" i="16"/>
  <c r="M17" i="16"/>
  <c r="N17" i="16"/>
  <c r="O17" i="16"/>
  <c r="P17" i="16"/>
  <c r="Q17" i="16"/>
  <c r="C18" i="16"/>
  <c r="D18" i="16"/>
  <c r="E18" i="16"/>
  <c r="F18" i="16"/>
  <c r="G18" i="16"/>
  <c r="H18" i="16"/>
  <c r="I18" i="16"/>
  <c r="J18" i="16"/>
  <c r="K18" i="16"/>
  <c r="L18" i="16"/>
  <c r="M18" i="16"/>
  <c r="N18" i="16"/>
  <c r="O18" i="16"/>
  <c r="P18" i="16"/>
  <c r="Q18" i="16"/>
  <c r="B18" i="16"/>
  <c r="B17" i="16"/>
</calcChain>
</file>

<file path=xl/sharedStrings.xml><?xml version="1.0" encoding="utf-8"?>
<sst xmlns="http://schemas.openxmlformats.org/spreadsheetml/2006/main" count="39" uniqueCount="37">
  <si>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</si>
  <si>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</si>
  <si>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</si>
  <si>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</si>
  <si>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</si>
  <si>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</si>
  <si>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</si>
  <si>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</si>
  <si>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</si>
  <si>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</si>
  <si>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</si>
  <si>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</si>
  <si>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</si>
  <si>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</si>
  <si>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</si>
  <si>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</si>
  <si>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</si>
  <si>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</si>
  <si>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</si>
  <si>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2014-15</t>
  </si>
  <si>
    <t>2015-16</t>
  </si>
  <si>
    <t>2016-17</t>
  </si>
  <si>
    <t>2017-18</t>
  </si>
  <si>
    <t>2018-19</t>
  </si>
  <si>
    <t xml:space="preserve">तालिका - 1.04 (स्टार एयर) </t>
  </si>
  <si>
    <t>TABLE - 1.04 (STAR AIR)</t>
  </si>
  <si>
    <t xml:space="preserve">SOURCE: ICAO ATR FORM 'A' FURNISHED BY STAR AIR </t>
  </si>
  <si>
    <t>2019-20</t>
  </si>
  <si>
    <t xml:space="preserve">YEAR ON YEAR GROWTH AND CAGR FOR LAST TEN YEARS OF STAR AIR ON SCHEDULED DOMESTIC SERVICES (ALL AIR TRAFFIC AND OPERATING STATISTICS) </t>
  </si>
  <si>
    <t>2020-21</t>
  </si>
  <si>
    <t>2021-22</t>
  </si>
  <si>
    <t>2022-23</t>
  </si>
  <si>
    <t>2023-24</t>
  </si>
  <si>
    <t>YOY growth</t>
  </si>
  <si>
    <t>CAGR last 10 years</t>
  </si>
  <si>
    <t>2024-25</t>
  </si>
  <si>
    <t>Note: Growth has been calculated with respect to preceeding year while Compound Annual Growth Rate (CAGR) has been calculating taking 2014-15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</si>
</sst>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0.0%"/>
    <numFmt numFmtId="166" formatCode="_(* #,##0.0_);_(* \(#,##0.0\);_(* &quot;-&quot;??_);_(@_)"/>
    <numFmt numFmtId="167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5" fillId="3" borderId="2" applyNumberFormat="0" applyAlignment="0" applyProtection="0"/>
    <xf numFmtId="0" fontId="6" fillId="4" borderId="0" applyNumberFormat="0" applyBorder="0" applyAlignment="0" applyProtection="0"/>
    <xf numFmtId="0" fontId="4" fillId="5" borderId="0" applyNumberFormat="0" applyBorder="0" applyAlignment="0" applyProtection="0"/>
    <xf numFmtId="9" fontId="4" fillId="0" borderId="0" applyFont="0" applyFill="0" applyBorder="0" applyAlignment="0" applyProtection="0"/>
    <xf numFmtId="0" fontId="4" fillId="6" borderId="0" applyNumberFormat="0" applyBorder="0" applyAlignment="0" applyProtection="0"/>
    <xf numFmtId="164" fontId="4" fillId="0" borderId="0" applyFont="0" applyFill="0" applyBorder="0" applyAlignment="0" applyProtection="0"/>
  </cellStyleXfs>
  <cellXfs count="25">
    <xf numFmtId="0" fontId="0" fillId="0" borderId="0" xfId="0"/>
    <xf numFmtId="0" fontId="3" fillId="4" borderId="1" xfId="2" applyFont="1" applyBorder="1" applyAlignment="1" applyProtection="1">
      <alignment horizontal="center" vertical="center" textRotation="90" wrapText="1"/>
    </xf>
    <xf numFmtId="0" fontId="3" fillId="2" borderId="3" xfId="0" applyFont="1" applyFill="1" applyBorder="1" applyAlignment="1" applyProtection="1">
      <alignment horizontal="center" vertical="center" wrapText="1"/>
    </xf>
    <xf numFmtId="0" fontId="4" fillId="5" borderId="3" xfId="3" applyFont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166" fontId="0" fillId="0" borderId="1" xfId="6" applyNumberFormat="1" applyFont="1" applyBorder="1" applyAlignment="1">
      <alignment horizontal="right" vertical="center"/>
    </xf>
    <xf numFmtId="17" fontId="4" fillId="6" borderId="1" xfId="5" applyNumberFormat="1" applyFont="1" applyBorder="1" applyAlignment="1" applyProtection="1">
      <alignment horizontal="center" vertical="center" wrapText="1"/>
    </xf>
    <xf numFmtId="167" fontId="4" fillId="6" borderId="1" xfId="5" applyNumberFormat="1" applyBorder="1" applyAlignment="1">
      <alignment horizontal="right" vertical="center"/>
    </xf>
    <xf numFmtId="166" fontId="4" fillId="6" borderId="1" xfId="5" applyNumberFormat="1" applyBorder="1" applyAlignment="1">
      <alignment horizontal="right" vertical="center"/>
    </xf>
    <xf numFmtId="17" fontId="4" fillId="7" borderId="1" xfId="5" applyNumberFormat="1" applyFont="1" applyFill="1" applyBorder="1" applyAlignment="1" applyProtection="1">
      <alignment horizontal="center" vertical="center" wrapText="1"/>
    </xf>
    <xf numFmtId="167" fontId="0" fillId="0" borderId="1" xfId="6" applyNumberFormat="1" applyFont="1" applyBorder="1" applyAlignment="1">
      <alignment horizontal="right" vertical="center"/>
    </xf>
    <xf numFmtId="165" fontId="7" fillId="5" borderId="1" xfId="4" applyNumberFormat="1" applyFont="1" applyFill="1" applyBorder="1" applyAlignment="1" applyProtection="1">
      <alignment vertical="center" wrapText="1"/>
    </xf>
    <xf numFmtId="17" fontId="0" fillId="6" borderId="1" xfId="5" applyNumberFormat="1" applyFont="1" applyBorder="1" applyAlignment="1" applyProtection="1">
      <alignment horizontal="center" vertical="center" wrapText="1"/>
    </xf>
    <xf numFmtId="167" fontId="0" fillId="6" borderId="1" xfId="5" applyNumberFormat="1" applyFont="1" applyBorder="1" applyAlignment="1">
      <alignment horizontal="right" vertical="center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3" fillId="4" borderId="1" xfId="2" applyFont="1" applyBorder="1" applyAlignment="1" applyProtection="1">
      <alignment horizontal="center" vertical="center" textRotation="90" wrapText="1"/>
    </xf>
    <xf numFmtId="0" fontId="3" fillId="4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vertical="center"/>
    </xf>
    <xf numFmtId="0" fontId="3" fillId="3" borderId="2" xfId="1" applyFont="1" applyAlignment="1">
      <alignment horizontal="center" vertical="center" wrapText="1"/>
    </xf>
    <xf numFmtId="0" fontId="3" fillId="3" borderId="2" xfId="1" quotePrefix="1" applyFont="1" applyAlignment="1" applyProtection="1">
      <alignment horizontal="center" vertical="center" wrapText="1"/>
    </xf>
    <xf numFmtId="0" fontId="3" fillId="3" borderId="2" xfId="1" applyFont="1"/>
    <xf numFmtId="0" fontId="3" fillId="4" borderId="1" xfId="2" applyFont="1" applyBorder="1" applyAlignment="1" applyProtection="1">
      <alignment horizontal="center" vertical="center" wrapText="1"/>
    </xf>
    <xf numFmtId="0" fontId="3" fillId="4" borderId="1" xfId="2" applyFont="1" applyBorder="1"/>
  </cellXfs>
  <cellStyles count="7">
    <cellStyle name="20% - Accent2" xfId="3" builtinId="34"/>
    <cellStyle name="40% - Accent2" xfId="5" builtinId="35"/>
    <cellStyle name="Accent2" xfId="2" builtinId="33"/>
    <cellStyle name="Comma" xfId="6" builtinId="3"/>
    <cellStyle name="Input" xfId="1" builtinId="20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tabSelected="1" view="pageBreakPreview" topLeftCell="C1" zoomScaleNormal="100" zoomScaleSheetLayoutView="100" workbookViewId="0">
      <selection activeCell="R24" sqref="R24"/>
    </sheetView>
  </sheetViews>
  <sheetFormatPr defaultRowHeight="15" x14ac:dyDescent="0.25"/>
  <cols>
    <col min="1" max="1" width="12.5703125" customWidth="1"/>
    <col min="2" max="2" width="9.85546875" customWidth="1"/>
    <col min="3" max="3" width="8.42578125" customWidth="1"/>
    <col min="4" max="4" width="7.85546875" customWidth="1"/>
    <col min="5" max="5" width="9.42578125" customWidth="1"/>
    <col min="6" max="6" width="9" customWidth="1"/>
    <col min="7" max="7" width="9.85546875" customWidth="1"/>
    <col min="8" max="8" width="9.5703125" customWidth="1"/>
    <col min="9" max="10" width="5.42578125" customWidth="1"/>
    <col min="11" max="11" width="5" customWidth="1"/>
    <col min="12" max="12" width="8.28515625" customWidth="1"/>
    <col min="13" max="13" width="6.42578125" customWidth="1"/>
    <col min="14" max="14" width="7" customWidth="1"/>
    <col min="15" max="16" width="8.28515625" customWidth="1"/>
    <col min="17" max="17" width="9.42578125" customWidth="1"/>
  </cols>
  <sheetData>
    <row r="1" spans="1:17" x14ac:dyDescent="0.25">
      <c r="A1" s="20" t="s">
        <v>24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x14ac:dyDescent="0.25">
      <c r="A2" s="21" t="s">
        <v>25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 ht="37.5" customHeight="1" x14ac:dyDescent="0.25">
      <c r="A3" s="23" t="s">
        <v>28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1:17" x14ac:dyDescent="0.25">
      <c r="A4" s="23" t="s">
        <v>0</v>
      </c>
      <c r="B4" s="23" t="s">
        <v>1</v>
      </c>
      <c r="C4" s="23"/>
      <c r="D4" s="23"/>
      <c r="E4" s="23" t="s">
        <v>2</v>
      </c>
      <c r="F4" s="24"/>
      <c r="G4" s="16" t="s">
        <v>3</v>
      </c>
      <c r="H4" s="16" t="s">
        <v>4</v>
      </c>
      <c r="I4" s="23" t="s">
        <v>5</v>
      </c>
      <c r="J4" s="23"/>
      <c r="K4" s="23"/>
      <c r="L4" s="23" t="s">
        <v>6</v>
      </c>
      <c r="M4" s="23"/>
      <c r="N4" s="23"/>
      <c r="O4" s="23"/>
      <c r="P4" s="16" t="s">
        <v>7</v>
      </c>
      <c r="Q4" s="16" t="s">
        <v>8</v>
      </c>
    </row>
    <row r="5" spans="1:17" ht="118.5" customHeight="1" x14ac:dyDescent="0.25">
      <c r="A5" s="23"/>
      <c r="B5" s="1" t="s">
        <v>9</v>
      </c>
      <c r="C5" s="1" t="s">
        <v>10</v>
      </c>
      <c r="D5" s="1" t="s">
        <v>11</v>
      </c>
      <c r="E5" s="1" t="s">
        <v>12</v>
      </c>
      <c r="F5" s="1" t="s">
        <v>13</v>
      </c>
      <c r="G5" s="17"/>
      <c r="H5" s="17"/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15</v>
      </c>
      <c r="O5" s="1" t="s">
        <v>16</v>
      </c>
      <c r="P5" s="17"/>
      <c r="Q5" s="17"/>
    </row>
    <row r="6" spans="1:17" ht="17.100000000000001" customHeight="1" x14ac:dyDescent="0.25">
      <c r="A6" s="6" t="s">
        <v>19</v>
      </c>
      <c r="B6" s="13"/>
      <c r="C6" s="7"/>
      <c r="D6" s="7"/>
      <c r="E6" s="7"/>
      <c r="F6" s="7"/>
      <c r="G6" s="7"/>
      <c r="H6" s="8"/>
      <c r="I6" s="8"/>
      <c r="J6" s="8"/>
      <c r="K6" s="8"/>
      <c r="L6" s="8"/>
      <c r="M6" s="8"/>
      <c r="N6" s="8"/>
      <c r="O6" s="8"/>
      <c r="P6" s="8"/>
      <c r="Q6" s="8"/>
    </row>
    <row r="7" spans="1:17" ht="17.100000000000001" customHeight="1" x14ac:dyDescent="0.25">
      <c r="A7" s="9" t="s">
        <v>20</v>
      </c>
      <c r="B7" s="10"/>
      <c r="C7" s="10"/>
      <c r="D7" s="10"/>
      <c r="E7" s="10"/>
      <c r="F7" s="10"/>
      <c r="G7" s="10"/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ht="17.100000000000001" customHeight="1" x14ac:dyDescent="0.25">
      <c r="A8" s="6" t="s">
        <v>21</v>
      </c>
      <c r="B8" s="7"/>
      <c r="C8" s="7"/>
      <c r="D8" s="7"/>
      <c r="E8" s="7"/>
      <c r="F8" s="7"/>
      <c r="G8" s="7"/>
      <c r="H8" s="8"/>
      <c r="I8" s="8"/>
      <c r="J8" s="8"/>
      <c r="K8" s="8"/>
      <c r="L8" s="8"/>
      <c r="M8" s="8"/>
      <c r="N8" s="8"/>
      <c r="O8" s="8"/>
      <c r="P8" s="8"/>
      <c r="Q8" s="8"/>
    </row>
    <row r="9" spans="1:17" ht="17.100000000000001" customHeight="1" x14ac:dyDescent="0.25">
      <c r="A9" s="9" t="s">
        <v>22</v>
      </c>
      <c r="B9" s="10"/>
      <c r="C9" s="10"/>
      <c r="D9" s="10"/>
      <c r="E9" s="10"/>
      <c r="F9" s="10"/>
      <c r="G9" s="10"/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ht="17.100000000000001" customHeight="1" x14ac:dyDescent="0.25">
      <c r="A10" s="6" t="s">
        <v>23</v>
      </c>
      <c r="B10" s="7">
        <v>278</v>
      </c>
      <c r="C10" s="7">
        <v>290.2</v>
      </c>
      <c r="D10" s="7">
        <v>126.92</v>
      </c>
      <c r="E10" s="7">
        <v>7385</v>
      </c>
      <c r="F10" s="7">
        <v>4.8811260000000001</v>
      </c>
      <c r="G10" s="7">
        <v>9.0361000000000011</v>
      </c>
      <c r="H10" s="8">
        <v>54.018060889100383</v>
      </c>
      <c r="I10" s="8"/>
      <c r="J10" s="8"/>
      <c r="K10" s="8"/>
      <c r="L10" s="8">
        <v>0.80164000000000002</v>
      </c>
      <c r="M10" s="8"/>
      <c r="N10" s="8"/>
      <c r="O10" s="8">
        <v>0.80164000000000002</v>
      </c>
      <c r="P10" s="8">
        <v>5.8134572000000011</v>
      </c>
      <c r="Q10" s="8">
        <v>13.789385083973782</v>
      </c>
    </row>
    <row r="11" spans="1:17" ht="17.100000000000001" customHeight="1" x14ac:dyDescent="0.25">
      <c r="A11" s="9" t="s">
        <v>27</v>
      </c>
      <c r="B11" s="10">
        <v>2595</v>
      </c>
      <c r="C11" s="10">
        <v>3029.4</v>
      </c>
      <c r="D11" s="10">
        <v>1642.1389999999999</v>
      </c>
      <c r="E11" s="10">
        <v>84876</v>
      </c>
      <c r="F11" s="10">
        <v>54.899259999999998</v>
      </c>
      <c r="G11" s="10">
        <v>80.928200000000004</v>
      </c>
      <c r="H11" s="5">
        <v>67.8369962509978</v>
      </c>
      <c r="I11" s="5"/>
      <c r="J11" s="5"/>
      <c r="K11" s="5"/>
      <c r="L11" s="5">
        <v>4.9341540000000004</v>
      </c>
      <c r="M11" s="5"/>
      <c r="N11" s="5"/>
      <c r="O11" s="5">
        <v>4.9341540000000004</v>
      </c>
      <c r="P11" s="5">
        <v>35.540754</v>
      </c>
      <c r="Q11" s="5">
        <v>13.88308756758509</v>
      </c>
    </row>
    <row r="12" spans="1:17" ht="17.100000000000001" customHeight="1" x14ac:dyDescent="0.25">
      <c r="A12" s="6" t="s">
        <v>29</v>
      </c>
      <c r="B12" s="7">
        <v>3229</v>
      </c>
      <c r="C12" s="7">
        <v>4173</v>
      </c>
      <c r="D12" s="7">
        <v>2205.1570000000002</v>
      </c>
      <c r="E12" s="7">
        <v>112239</v>
      </c>
      <c r="F12" s="7">
        <v>79.749519000000006</v>
      </c>
      <c r="G12" s="7">
        <v>110.26405</v>
      </c>
      <c r="H12" s="8">
        <v>72.325947577655654</v>
      </c>
      <c r="I12" s="8"/>
      <c r="J12" s="8"/>
      <c r="K12" s="8"/>
      <c r="L12" s="8">
        <v>6.9771140000000003</v>
      </c>
      <c r="M12" s="8"/>
      <c r="N12" s="8"/>
      <c r="O12" s="8">
        <v>6.9771140000000003</v>
      </c>
      <c r="P12" s="8">
        <v>47.182549999999999</v>
      </c>
      <c r="Q12" s="8">
        <v>14.787488170944554</v>
      </c>
    </row>
    <row r="13" spans="1:17" ht="17.100000000000001" customHeight="1" x14ac:dyDescent="0.25">
      <c r="A13" s="9" t="s">
        <v>30</v>
      </c>
      <c r="B13" s="10">
        <v>5746</v>
      </c>
      <c r="C13" s="10">
        <v>7996.4299999999994</v>
      </c>
      <c r="D13" s="10">
        <v>4377.8410000000003</v>
      </c>
      <c r="E13" s="10">
        <v>199633</v>
      </c>
      <c r="F13" s="10">
        <v>160.93577500000001</v>
      </c>
      <c r="G13" s="10">
        <v>218.89205000000001</v>
      </c>
      <c r="H13" s="5">
        <v>73.522896331776323</v>
      </c>
      <c r="I13" s="5"/>
      <c r="J13" s="5"/>
      <c r="K13" s="5"/>
      <c r="L13" s="5">
        <v>14.493932179999998</v>
      </c>
      <c r="M13" s="5"/>
      <c r="N13" s="5"/>
      <c r="O13" s="5">
        <v>14.493932179999998</v>
      </c>
      <c r="P13" s="5">
        <v>97.224709999999988</v>
      </c>
      <c r="Q13" s="5">
        <v>14.9076630621989</v>
      </c>
    </row>
    <row r="14" spans="1:17" x14ac:dyDescent="0.25">
      <c r="A14" s="6" t="s">
        <v>31</v>
      </c>
      <c r="B14" s="7">
        <v>5850</v>
      </c>
      <c r="C14" s="7">
        <v>8172.7300000000005</v>
      </c>
      <c r="D14" s="7">
        <v>4233.1009999999997</v>
      </c>
      <c r="E14" s="7">
        <v>226628</v>
      </c>
      <c r="F14" s="7">
        <v>169.432366</v>
      </c>
      <c r="G14" s="7">
        <v>211.64005000000003</v>
      </c>
      <c r="H14" s="8">
        <v>80.05685407842229</v>
      </c>
      <c r="I14" s="8"/>
      <c r="J14" s="8"/>
      <c r="K14" s="8"/>
      <c r="L14" s="8">
        <v>15.278960449999998</v>
      </c>
      <c r="M14" s="8"/>
      <c r="N14" s="8"/>
      <c r="O14" s="8">
        <v>15.278960449999998</v>
      </c>
      <c r="P14" s="8">
        <v>94.374301999999986</v>
      </c>
      <c r="Q14" s="8">
        <v>16.189746706682929</v>
      </c>
    </row>
    <row r="15" spans="1:17" x14ac:dyDescent="0.25">
      <c r="A15" s="9" t="s">
        <v>32</v>
      </c>
      <c r="B15" s="10">
        <v>9595</v>
      </c>
      <c r="C15" s="10">
        <v>13314.156666666668</v>
      </c>
      <c r="D15" s="10">
        <v>6135.0049999999983</v>
      </c>
      <c r="E15" s="10">
        <v>417839</v>
      </c>
      <c r="F15" s="10">
        <v>274.57396099999994</v>
      </c>
      <c r="G15" s="10">
        <v>364.77472299999999</v>
      </c>
      <c r="H15" s="5">
        <v>75.272200535671416</v>
      </c>
      <c r="I15" s="5"/>
      <c r="J15" s="5"/>
      <c r="K15" s="5"/>
      <c r="L15" s="5">
        <v>24.71165697</v>
      </c>
      <c r="M15" s="5"/>
      <c r="N15" s="5"/>
      <c r="O15" s="5">
        <v>27.550780070000002</v>
      </c>
      <c r="P15" s="5">
        <v>32.829654869999992</v>
      </c>
      <c r="Q15" s="5">
        <v>83.920407263178788</v>
      </c>
    </row>
    <row r="16" spans="1:17" x14ac:dyDescent="0.25">
      <c r="A16" s="12" t="s">
        <v>35</v>
      </c>
      <c r="B16" s="7">
        <v>14120</v>
      </c>
      <c r="C16" s="7">
        <v>19549.909999999996</v>
      </c>
      <c r="D16" s="7">
        <v>8546.125</v>
      </c>
      <c r="E16" s="7">
        <v>677627</v>
      </c>
      <c r="F16" s="7">
        <v>415.66007281976363</v>
      </c>
      <c r="G16" s="7">
        <v>561.04338964847693</v>
      </c>
      <c r="H16" s="8">
        <v>74.086974463810435</v>
      </c>
      <c r="I16" s="8">
        <v>0</v>
      </c>
      <c r="J16" s="8">
        <v>0</v>
      </c>
      <c r="K16" s="8">
        <v>0</v>
      </c>
      <c r="L16" s="8">
        <v>37.512986333778734</v>
      </c>
      <c r="M16" s="8">
        <v>0</v>
      </c>
      <c r="N16" s="8">
        <v>0</v>
      </c>
      <c r="O16" s="8">
        <v>37.512986333778734</v>
      </c>
      <c r="P16" s="8">
        <v>50.494406808362911</v>
      </c>
      <c r="Q16" s="8">
        <v>74.291369489988369</v>
      </c>
    </row>
    <row r="17" spans="1:17" x14ac:dyDescent="0.25">
      <c r="A17" s="3" t="s">
        <v>33</v>
      </c>
      <c r="B17" s="11">
        <f>IFERROR(((B16-B15)/B15),"-")</f>
        <v>0.47159979155810317</v>
      </c>
      <c r="C17" s="11">
        <f t="shared" ref="C17:Q17" si="0">IFERROR(((C16-C15)/C15),"-")</f>
        <v>0.46835511173945887</v>
      </c>
      <c r="D17" s="11">
        <f t="shared" si="0"/>
        <v>0.39301027464525334</v>
      </c>
      <c r="E17" s="11">
        <f t="shared" si="0"/>
        <v>0.6217418670827759</v>
      </c>
      <c r="F17" s="11">
        <f t="shared" si="0"/>
        <v>0.51383645887587903</v>
      </c>
      <c r="G17" s="11">
        <f t="shared" si="0"/>
        <v>0.53805446011805191</v>
      </c>
      <c r="H17" s="11">
        <f t="shared" si="0"/>
        <v>-1.5745867178405443E-2</v>
      </c>
      <c r="I17" s="11" t="str">
        <f t="shared" si="0"/>
        <v>-</v>
      </c>
      <c r="J17" s="11" t="str">
        <f t="shared" si="0"/>
        <v>-</v>
      </c>
      <c r="K17" s="11" t="str">
        <f t="shared" si="0"/>
        <v>-</v>
      </c>
      <c r="L17" s="11">
        <f t="shared" si="0"/>
        <v>0.51802796466945022</v>
      </c>
      <c r="M17" s="11" t="str">
        <f t="shared" si="0"/>
        <v>-</v>
      </c>
      <c r="N17" s="11" t="str">
        <f t="shared" si="0"/>
        <v>-</v>
      </c>
      <c r="O17" s="11">
        <f t="shared" si="0"/>
        <v>0.36159434464168083</v>
      </c>
      <c r="P17" s="11">
        <f t="shared" si="0"/>
        <v>0.53807303208981083</v>
      </c>
      <c r="Q17" s="11">
        <f t="shared" si="0"/>
        <v>-0.11474012206581949</v>
      </c>
    </row>
    <row r="18" spans="1:17" ht="30" x14ac:dyDescent="0.25">
      <c r="A18" s="2" t="s">
        <v>34</v>
      </c>
      <c r="B18" s="4" t="str">
        <f>IFERROR((((B16/B6)^(1/10))-1),"-")</f>
        <v>-</v>
      </c>
      <c r="C18" s="4" t="str">
        <f t="shared" ref="C18:Q18" si="1">IFERROR((((C16/C6)^(1/10))-1),"-")</f>
        <v>-</v>
      </c>
      <c r="D18" s="4" t="str">
        <f t="shared" si="1"/>
        <v>-</v>
      </c>
      <c r="E18" s="4" t="str">
        <f t="shared" si="1"/>
        <v>-</v>
      </c>
      <c r="F18" s="4" t="str">
        <f t="shared" si="1"/>
        <v>-</v>
      </c>
      <c r="G18" s="4" t="str">
        <f t="shared" si="1"/>
        <v>-</v>
      </c>
      <c r="H18" s="4" t="str">
        <f t="shared" si="1"/>
        <v>-</v>
      </c>
      <c r="I18" s="4" t="str">
        <f t="shared" si="1"/>
        <v>-</v>
      </c>
      <c r="J18" s="4" t="str">
        <f t="shared" si="1"/>
        <v>-</v>
      </c>
      <c r="K18" s="4" t="str">
        <f t="shared" si="1"/>
        <v>-</v>
      </c>
      <c r="L18" s="4" t="str">
        <f t="shared" si="1"/>
        <v>-</v>
      </c>
      <c r="M18" s="4" t="str">
        <f t="shared" si="1"/>
        <v>-</v>
      </c>
      <c r="N18" s="4" t="str">
        <f t="shared" si="1"/>
        <v>-</v>
      </c>
      <c r="O18" s="4" t="str">
        <f t="shared" si="1"/>
        <v>-</v>
      </c>
      <c r="P18" s="4" t="str">
        <f t="shared" si="1"/>
        <v>-</v>
      </c>
      <c r="Q18" s="4" t="str">
        <f t="shared" si="1"/>
        <v>-</v>
      </c>
    </row>
    <row r="19" spans="1:17" x14ac:dyDescent="0.25">
      <c r="A19" s="18" t="s">
        <v>26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</row>
    <row r="20" spans="1:17" ht="32.25" customHeight="1" x14ac:dyDescent="0.25">
      <c r="A20" s="14" t="s">
        <v>36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</row>
  </sheetData>
  <mergeCells count="14">
    <mergeCell ref="A20:Q20"/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STARAIR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2023-11-09T11:02:18Z</cp:lastPrinted>
  <dcterms:created xsi:type="dcterms:W3CDTF">2018-10-29T04:00:14Z</dcterms:created>
  <dcterms:modified xsi:type="dcterms:W3CDTF">2025-11-19T12:13:40Z</dcterms:modified>
</cp:coreProperties>
</file>