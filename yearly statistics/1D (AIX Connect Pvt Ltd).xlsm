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IX CONNECT\AIX CONNECT Pvt Ltd (PDF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D" sheetId="4" r:id="rId4"/>
  </sheets>
  <definedNames>
    <definedName name="\a" localSheetId="3">D!#REF!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D!$A$1:$J$15</definedName>
    <definedName name="Print_Area_MI" localSheetId="3">D!$A$7:$J$14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I13" i="4" l="1"/>
  <c r="I12" i="4"/>
  <c r="I8" i="4"/>
  <c r="I9" i="4"/>
  <c r="I10" i="4"/>
  <c r="I11" i="4"/>
  <c r="I7" i="4"/>
  <c r="F10" i="4"/>
  <c r="E8" i="4"/>
  <c r="E9" i="4"/>
  <c r="E10" i="4"/>
  <c r="E11" i="4"/>
  <c r="E12" i="4"/>
  <c r="E13" i="4"/>
  <c r="E7" i="4"/>
  <c r="B10" i="4"/>
  <c r="J13" i="4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<sst xmlns="http://schemas.openxmlformats.org/spreadsheetml/2006/main" count="885" uniqueCount="191">
  <si>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</si>
  <si>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</si>
  <si>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</si>
  <si>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</si>
  <si>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</si>
  <si>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</si>
  <si>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</si>
  <si>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</si>
  <si>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</si>
  <si>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</si>
  <si>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</si>
  <si>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</si>
  <si>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</si>
  <si>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</si>
  <si>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</si>
  <si>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</si>
  <si>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</si>
  <si>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</si>
  <si>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</si>
  <si>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</si>
  <si>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</si>
  <si>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</si>
  <si>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</si>
  <si>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</si>
  <si>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</si>
  <si>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</si>
  <si>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</si>
  <si>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</si>
  <si>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</si>
  <si>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</si>
  <si>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</si>
  <si>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</si>
  <si>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</si>
  <si>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</si>
  <si>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</si>
  <si>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</si>
  <si>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</si>
  <si>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</si>
  <si>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</si>
  <si>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</si>
  <si>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</si>
  <si>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</si>
  <si>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</si>
  <si>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</si>
  <si>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</si>
  <si>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</si>
  <si>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</si>
  <si>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</si>
  <si>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</si>
  <si>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</si>
  <si>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</si>
  <si>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</si>
  <si>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</si>
  <si>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</si>
  <si>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</si>
  <si>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</si>
  <si>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</si>
  <si>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</si>
  <si>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</si>
  <si>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</si>
  <si>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</si>
  <si>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</si>
  <si>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</si>
  <si>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</si>
  <si>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</si>
  <si>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</si>
  <si>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</si>
  <si>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</si>
  <si>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</si>
  <si>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</si>
  <si>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</si>
  <si>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</si>
  <si>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</si>
  <si>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</si>
  <si>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</si>
  <si>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</si>
  <si>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</si>
  <si>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</si>
  <si>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</si>
  <si>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</si>
  <si>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</si>
  <si>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</si>
  <si>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</si>
  <si>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</si>
  <si>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</si>
  <si>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</si>
  <si>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</si>
  <si>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</si>
  <si>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</si>
  <si>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</si>
  <si>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</si>
  <si>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</si>
  <si>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</si>
  <si>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</si>
  <si>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</si>
  <si>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</si>
  <si>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</si>
  <si>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</si>
  <si>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</si>
  <si>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</si>
  <si>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</si>
  <si>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</si>
  <si>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</si>
  <si>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</si>
  <si>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</si>
  <si>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</si>
  <si>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</si>
  <si>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</si>
  <si>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</si>
  <si>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</si>
  <si>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</si>
  <si>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</si>
  <si>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</si>
  <si>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</si>
  <si>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</si>
  <si>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</si>
  <si>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</si>
  <si>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</si>
  <si>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</si>
  <si>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</si>
  <si>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</si>
  <si>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</si>
  <si>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</si>
  <si>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</si>
  <si>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</si>
  <si>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</si>
  <si>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</si>
  <si>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</si>
  <si>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</si>
  <si>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</si>
  <si>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</si>
  <si>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</si>
  <si>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</si>
  <si>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</si>
  <si>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</si>
  <si>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</si>
  <si>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</si>
  <si>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</si>
  <si>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</si>
  <si>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</si>
  <si>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</si>
  <si>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</si>
  <si>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</si>
  <si>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</si>
  <si>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</si>
  <si>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</si>
  <si>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</si>
  <si>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</si>
  <si>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</si>
  <si>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</si>
  <si>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</si>
  <si>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</si>
  <si>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</si>
  <si>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</si>
  <si>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</si>
  <si>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</si>
  <si>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</si>
  <si>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</si>
  <si>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</si>
  <si>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</si>
  <si>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</si>
  <si>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</si>
  <si>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</si>
  <si>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</si>
  <si>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</si>
  <si>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</si>
  <si>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</si>
  <si>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</si>
  <si>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</si>
  <si>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</si>
  <si>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</si>
  <si>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</si>
  <si>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</si>
  <si>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</si>
  <si>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</si>
  <si>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</si>
  <si>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</si>
  <si>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</si>
  <si>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</si>
  <si>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</si>
  <si>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</si>
  <si>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OTHER FLIGHT CREW</t>
  </si>
  <si>
    <t>CABIN CREW</t>
  </si>
  <si>
    <t>MALE</t>
  </si>
  <si>
    <t>FEMALE</t>
  </si>
  <si>
    <t>TRANSGENDER</t>
  </si>
  <si>
    <t>PERSONNEL STATISTICS OF AIX CONNECT DURING 2023-24</t>
  </si>
  <si>
    <t>SOURCE : ICAO ATR FORM-D FURNISHED BY AIX CONNECT</t>
  </si>
  <si>
    <r>
      <t>Year end on 31</t>
    </r>
    <r>
      <rPr>
        <b/>
        <vertAlign val="superscript"/>
        <sz val="12"/>
        <rFont val="Garamond"/>
        <family val="1"/>
      </rPr>
      <t xml:space="preserve">st </t>
    </r>
    <r>
      <rPr>
        <b/>
        <sz val="12"/>
        <rFont val="Garamond"/>
        <family val="1"/>
      </rPr>
      <t>March</t>
    </r>
  </si>
  <si>
    <t xml:space="preserve">तालिका 1D (ए आई एक्स कनेक्ट) </t>
  </si>
  <si>
    <t>TABLE - 1D (AIX CONNECT)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</si>
</sst>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4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0" fontId="14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1" fillId="3" borderId="1" xfId="1" applyNumberFormat="1" applyFont="1" applyFill="1" applyBorder="1" applyAlignment="1" applyProtection="1">
      <alignment horizontal="left" wrapText="1"/>
    </xf>
    <xf numFmtId="168" fontId="8" fillId="3" borderId="1" xfId="1" applyNumberFormat="1" applyFont="1" applyFill="1" applyBorder="1" applyAlignment="1" applyProtection="1">
      <alignment horizontal="left" wrapText="1"/>
    </xf>
    <xf numFmtId="168" fontId="9" fillId="3" borderId="1" xfId="1" applyNumberFormat="1" applyFont="1" applyFill="1" applyBorder="1" applyAlignment="1" applyProtection="1">
      <alignment horizontal="left" wrapText="1"/>
    </xf>
    <xf numFmtId="168" fontId="8" fillId="3" borderId="1" xfId="1" applyNumberFormat="1" applyFont="1" applyFill="1" applyBorder="1" applyAlignment="1" applyProtection="1">
      <alignment horizontal="left" vertical="top" wrapText="1"/>
    </xf>
    <xf numFmtId="168" fontId="8" fillId="4" borderId="11" xfId="7" applyNumberFormat="1" applyFont="1" applyFill="1" applyBorder="1" applyAlignment="1" applyProtection="1">
      <alignment horizontal="left" vertical="center"/>
    </xf>
    <xf numFmtId="168" fontId="8" fillId="4" borderId="11" xfId="7" applyNumberFormat="1" applyFont="1" applyFill="1" applyBorder="1" applyAlignment="1" applyProtection="1">
      <alignment vertical="center"/>
    </xf>
    <xf numFmtId="168" fontId="9" fillId="4" borderId="10" xfId="7" applyNumberFormat="1" applyFont="1" applyFill="1" applyBorder="1" applyAlignment="1" applyProtection="1">
      <alignment vertical="center"/>
    </xf>
    <xf numFmtId="168" fontId="8" fillId="4" borderId="12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 applyAlignment="1">
      <alignment horizontal="left" indent="1"/>
    </xf>
    <xf numFmtId="0" fontId="16" fillId="2" borderId="0" xfId="2" applyFont="1" applyFill="1"/>
    <xf numFmtId="0" fontId="15" fillId="2" borderId="1" xfId="2" applyFont="1" applyFill="1" applyBorder="1" applyAlignment="1" applyProtection="1">
      <alignment horizontal="center" vertical="center" wrapText="1"/>
    </xf>
    <xf numFmtId="3" fontId="16" fillId="2" borderId="1" xfId="0" applyNumberFormat="1" applyFont="1" applyFill="1" applyBorder="1" applyAlignment="1">
      <alignment horizontal="center" vertical="center"/>
    </xf>
    <xf numFmtId="165" fontId="16" fillId="2" borderId="1" xfId="0" applyNumberFormat="1" applyFont="1" applyFill="1" applyBorder="1" applyAlignment="1">
      <alignment horizontal="center" vertical="center"/>
    </xf>
    <xf numFmtId="3" fontId="15" fillId="2" borderId="1" xfId="0" applyNumberFormat="1" applyFont="1" applyFill="1" applyBorder="1" applyAlignment="1">
      <alignment horizontal="center" vertical="center"/>
    </xf>
    <xf numFmtId="165" fontId="15" fillId="2" borderId="1" xfId="0" applyNumberFormat="1" applyFont="1" applyFill="1" applyBorder="1" applyAlignment="1">
      <alignment horizontal="center" vertical="center"/>
    </xf>
    <xf numFmtId="0" fontId="15" fillId="2" borderId="9" xfId="2" applyFont="1" applyFill="1" applyBorder="1" applyAlignment="1">
      <alignment vertical="center" wrapText="1"/>
    </xf>
    <xf numFmtId="0" fontId="15" fillId="2" borderId="6" xfId="2" applyFont="1" applyFill="1" applyBorder="1" applyAlignment="1">
      <alignment horizontal="center" vertical="center"/>
    </xf>
    <xf numFmtId="0" fontId="15" fillId="2" borderId="7" xfId="2" applyFont="1" applyFill="1" applyBorder="1" applyAlignment="1">
      <alignment horizontal="center" vertical="center"/>
    </xf>
    <xf numFmtId="0" fontId="15" fillId="2" borderId="3" xfId="2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wrapText="1"/>
    </xf>
    <xf numFmtId="0" fontId="15" fillId="2" borderId="4" xfId="2" applyFont="1" applyFill="1" applyBorder="1" applyAlignment="1">
      <alignment horizontal="left" vertical="center" wrapText="1"/>
    </xf>
    <xf numFmtId="0" fontId="15" fillId="2" borderId="5" xfId="2" applyFont="1" applyFill="1" applyBorder="1" applyAlignment="1">
      <alignment horizontal="left" vertical="center" wrapText="1"/>
    </xf>
    <xf numFmtId="0" fontId="15" fillId="2" borderId="8" xfId="2" applyFont="1" applyFill="1" applyBorder="1" applyAlignment="1">
      <alignment horizontal="center" vertical="center"/>
    </xf>
    <xf numFmtId="0" fontId="15" fillId="2" borderId="4" xfId="2" applyFont="1" applyFill="1" applyBorder="1" applyAlignment="1">
      <alignment horizontal="center" vertical="center"/>
    </xf>
    <xf numFmtId="0" fontId="15" fillId="2" borderId="5" xfId="2" applyFont="1" applyFill="1" applyBorder="1" applyAlignment="1">
      <alignment horizontal="center" vertical="center"/>
    </xf>
    <xf numFmtId="0" fontId="15" fillId="2" borderId="9" xfId="2" applyFont="1" applyFill="1" applyBorder="1" applyAlignment="1">
      <alignment horizontal="center" vertical="center"/>
    </xf>
    <xf numFmtId="0" fontId="15" fillId="2" borderId="6" xfId="2" applyFont="1" applyFill="1" applyBorder="1" applyAlignment="1" applyProtection="1">
      <alignment horizontal="left" vertical="center" wrapText="1"/>
    </xf>
    <xf numFmtId="0" fontId="15" fillId="2" borderId="7" xfId="2" applyFont="1" applyFill="1" applyBorder="1" applyAlignment="1" applyProtection="1">
      <alignment horizontal="left" vertical="center" wrapText="1"/>
    </xf>
    <xf numFmtId="0" fontId="15" fillId="2" borderId="8" xfId="2" applyFont="1" applyFill="1" applyBorder="1" applyAlignment="1" applyProtection="1">
      <alignment horizontal="left" vertical="center" wrapText="1"/>
    </xf>
    <xf numFmtId="0" fontId="15" fillId="2" borderId="2" xfId="2" applyFont="1" applyFill="1" applyBorder="1" applyAlignment="1" applyProtection="1">
      <alignment horizontal="center" vertical="center" wrapText="1"/>
    </xf>
    <xf numFmtId="0" fontId="15" fillId="2" borderId="13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008831018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008831018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008831018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97</v>
      </c>
      <c r="B1" s="5" t="s">
        <v>97</v>
      </c>
      <c r="C1" s="5" t="s">
        <v>97</v>
      </c>
      <c r="D1" s="5" t="s">
        <v>97</v>
      </c>
      <c r="E1" s="5" t="s">
        <v>97</v>
      </c>
      <c r="F1" s="5" t="s">
        <v>97</v>
      </c>
      <c r="G1" s="5" t="s">
        <v>97</v>
      </c>
      <c r="H1" s="5" t="s">
        <v>97</v>
      </c>
      <c r="I1" s="5" t="s">
        <v>97</v>
      </c>
      <c r="J1" s="5" t="s">
        <v>97</v>
      </c>
      <c r="K1" s="5" t="s">
        <v>97</v>
      </c>
      <c r="L1" s="5" t="s">
        <v>97</v>
      </c>
      <c r="M1" s="5" t="s">
        <v>97</v>
      </c>
      <c r="N1" s="5" t="s">
        <v>97</v>
      </c>
      <c r="O1" s="5" t="s">
        <v>97</v>
      </c>
      <c r="P1" s="5" t="s">
        <v>97</v>
      </c>
      <c r="Q1" s="5" t="s">
        <v>97</v>
      </c>
      <c r="R1" s="5" t="s">
        <v>97</v>
      </c>
      <c r="S1" s="5" t="s">
        <v>97</v>
      </c>
      <c r="T1" s="5" t="s">
        <v>97</v>
      </c>
      <c r="U1" s="5" t="s">
        <v>97</v>
      </c>
      <c r="V1" s="5" t="s">
        <v>97</v>
      </c>
      <c r="W1" s="5" t="s">
        <v>97</v>
      </c>
      <c r="X1" s="5" t="s">
        <v>97</v>
      </c>
      <c r="Y1" s="5" t="s">
        <v>97</v>
      </c>
      <c r="Z1" s="5" t="s">
        <v>97</v>
      </c>
      <c r="AA1" s="5" t="s">
        <v>97</v>
      </c>
      <c r="AB1" s="5" t="s">
        <v>97</v>
      </c>
      <c r="AC1" s="5" t="s">
        <v>97</v>
      </c>
      <c r="AD1" s="5" t="s">
        <v>97</v>
      </c>
      <c r="AE1" s="5" t="s">
        <v>97</v>
      </c>
      <c r="AF1" s="5" t="s">
        <v>97</v>
      </c>
      <c r="AG1" s="5" t="s">
        <v>97</v>
      </c>
      <c r="AH1" s="5" t="s">
        <v>97</v>
      </c>
      <c r="AI1" s="5" t="s">
        <v>97</v>
      </c>
      <c r="AJ1" s="5" t="s">
        <v>97</v>
      </c>
      <c r="AK1" s="5" t="s">
        <v>97</v>
      </c>
      <c r="AQ1" s="1" t="s">
        <v>33</v>
      </c>
      <c r="AR1" t="s">
        <v>23</v>
      </c>
    </row>
    <row r="2" spans="1:57" x14ac:dyDescent="0.2">
      <c r="A2" s="5" t="s">
        <v>97</v>
      </c>
      <c r="B2" s="22" t="e">
        <f>#REF!</f>
        <v>#REF!</v>
      </c>
      <c r="C2" s="5" t="s">
        <v>97</v>
      </c>
      <c r="D2" s="5" t="s">
        <v>97</v>
      </c>
      <c r="E2" s="5" t="s">
        <v>97</v>
      </c>
      <c r="F2" s="5" t="s">
        <v>97</v>
      </c>
      <c r="G2" s="5" t="s">
        <v>97</v>
      </c>
      <c r="H2" s="5" t="s">
        <v>97</v>
      </c>
      <c r="I2" s="5" t="s">
        <v>97</v>
      </c>
      <c r="J2" s="5" t="s">
        <v>97</v>
      </c>
      <c r="K2" s="5" t="s">
        <v>97</v>
      </c>
      <c r="L2" s="5" t="s">
        <v>97</v>
      </c>
      <c r="M2" s="5" t="s">
        <v>97</v>
      </c>
      <c r="N2" s="5" t="s">
        <v>97</v>
      </c>
      <c r="O2" s="5" t="s">
        <v>97</v>
      </c>
      <c r="P2" s="5" t="s">
        <v>97</v>
      </c>
      <c r="Q2" s="5" t="s">
        <v>97</v>
      </c>
      <c r="R2" s="5" t="s">
        <v>97</v>
      </c>
      <c r="S2" s="5" t="s">
        <v>97</v>
      </c>
      <c r="T2" s="5" t="s">
        <v>97</v>
      </c>
      <c r="U2" s="5" t="s">
        <v>97</v>
      </c>
      <c r="V2" s="5" t="s">
        <v>97</v>
      </c>
      <c r="W2" s="5" t="s">
        <v>97</v>
      </c>
      <c r="X2" s="5" t="s">
        <v>97</v>
      </c>
      <c r="Y2" s="5" t="s">
        <v>97</v>
      </c>
      <c r="Z2" s="5" t="s">
        <v>97</v>
      </c>
      <c r="AA2" s="5" t="s">
        <v>97</v>
      </c>
      <c r="AB2" s="5" t="s">
        <v>97</v>
      </c>
      <c r="AC2" s="5" t="s">
        <v>97</v>
      </c>
      <c r="AD2" s="5" t="s">
        <v>97</v>
      </c>
      <c r="AE2" s="5" t="s">
        <v>97</v>
      </c>
      <c r="AF2" s="5" t="s">
        <v>97</v>
      </c>
      <c r="AG2" s="5" t="s">
        <v>97</v>
      </c>
      <c r="AH2" s="5" t="s">
        <v>97</v>
      </c>
      <c r="AI2" s="5" t="s">
        <v>97</v>
      </c>
      <c r="AJ2" s="5" t="s">
        <v>97</v>
      </c>
      <c r="AK2" s="5" t="s">
        <v>97</v>
      </c>
    </row>
    <row r="3" spans="1:57" ht="15.75" customHeight="1" x14ac:dyDescent="0.2">
      <c r="A3" s="1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5" t="s">
        <v>97</v>
      </c>
      <c r="L3" s="5" t="s">
        <v>97</v>
      </c>
      <c r="M3" s="5" t="s">
        <v>97</v>
      </c>
      <c r="N3" s="5" t="s">
        <v>97</v>
      </c>
      <c r="O3" s="5" t="s">
        <v>97</v>
      </c>
      <c r="P3" s="5" t="s">
        <v>97</v>
      </c>
      <c r="Q3" s="5" t="s">
        <v>97</v>
      </c>
      <c r="R3" s="5" t="s">
        <v>97</v>
      </c>
      <c r="S3" s="5" t="s">
        <v>97</v>
      </c>
      <c r="T3" s="18" t="s">
        <v>97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98</v>
      </c>
      <c r="BA5" t="s">
        <v>45</v>
      </c>
      <c r="BB5" t="s">
        <v>45</v>
      </c>
      <c r="BC5" t="s">
        <v>98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98</v>
      </c>
      <c r="AF6" t="s">
        <v>98</v>
      </c>
      <c r="AG6" t="s">
        <v>45</v>
      </c>
      <c r="AH6" t="s">
        <v>45</v>
      </c>
      <c r="AI6" t="s">
        <v>98</v>
      </c>
      <c r="AJ6" t="s">
        <v>98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98</v>
      </c>
      <c r="AF8" t="s">
        <v>98</v>
      </c>
      <c r="AG8" t="s">
        <v>45</v>
      </c>
      <c r="AH8" t="s">
        <v>45</v>
      </c>
      <c r="AI8" t="s">
        <v>98</v>
      </c>
      <c r="AJ8" t="s">
        <v>98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138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139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140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141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2" t="s">
        <v>171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142</v>
      </c>
      <c r="W13">
        <v>22</v>
      </c>
      <c r="X13" t="s">
        <v>45</v>
      </c>
      <c r="Y13" t="s">
        <v>45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144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121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98</v>
      </c>
      <c r="AF17" t="s">
        <v>98</v>
      </c>
      <c r="AG17" t="s">
        <v>45</v>
      </c>
      <c r="AH17" t="s">
        <v>45</v>
      </c>
      <c r="AI17" t="s">
        <v>98</v>
      </c>
      <c r="AJ17" t="s">
        <v>98</v>
      </c>
      <c r="AK17" t="s">
        <v>45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122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98</v>
      </c>
      <c r="AF18" t="s">
        <v>98</v>
      </c>
      <c r="AG18" t="s">
        <v>45</v>
      </c>
      <c r="AH18" t="s">
        <v>45</v>
      </c>
      <c r="AI18" t="s">
        <v>98</v>
      </c>
      <c r="AJ18" t="s">
        <v>98</v>
      </c>
      <c r="AK18" t="s">
        <v>45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123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98</v>
      </c>
      <c r="AF19" t="s">
        <v>98</v>
      </c>
      <c r="AG19" t="s">
        <v>45</v>
      </c>
      <c r="AH19" t="s">
        <v>45</v>
      </c>
      <c r="AI19" t="s">
        <v>98</v>
      </c>
      <c r="AJ19" t="s">
        <v>98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153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98</v>
      </c>
      <c r="AF32" t="s">
        <v>98</v>
      </c>
      <c r="AG32" t="s">
        <v>45</v>
      </c>
      <c r="AH32" t="s">
        <v>45</v>
      </c>
      <c r="AI32" t="s">
        <v>98</v>
      </c>
      <c r="AJ32" t="s">
        <v>98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154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98</v>
      </c>
      <c r="AF33" t="s">
        <v>98</v>
      </c>
      <c r="AG33" t="s">
        <v>45</v>
      </c>
      <c r="AH33" t="s">
        <v>45</v>
      </c>
      <c r="AI33" t="s">
        <v>98</v>
      </c>
      <c r="AJ33" t="s">
        <v>98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98</v>
      </c>
      <c r="AF34" t="s">
        <v>98</v>
      </c>
      <c r="AG34" t="s">
        <v>45</v>
      </c>
      <c r="AH34" t="s">
        <v>45</v>
      </c>
      <c r="AI34" t="s">
        <v>98</v>
      </c>
      <c r="AJ34" t="s">
        <v>98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98</v>
      </c>
      <c r="AF40" t="s">
        <v>98</v>
      </c>
      <c r="AG40" t="s">
        <v>45</v>
      </c>
      <c r="AH40" t="s">
        <v>45</v>
      </c>
      <c r="AI40" t="s">
        <v>98</v>
      </c>
      <c r="AJ40" t="s">
        <v>98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126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98</v>
      </c>
      <c r="AF48" t="s">
        <v>98</v>
      </c>
      <c r="AG48" t="s">
        <v>45</v>
      </c>
      <c r="AH48" t="s">
        <v>45</v>
      </c>
      <c r="AI48" t="s">
        <v>98</v>
      </c>
      <c r="AJ48" t="s">
        <v>98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62</v>
      </c>
      <c r="C3" t="s">
        <v>72</v>
      </c>
      <c r="V3" s="4" t="s">
        <v>73</v>
      </c>
      <c r="W3" s="1" t="s">
        <v>38</v>
      </c>
      <c r="X3" s="1" t="s">
        <v>60</v>
      </c>
      <c r="Y3" t="s">
        <v>71</v>
      </c>
      <c r="Z3" t="s">
        <v>62</v>
      </c>
      <c r="AA3" t="s">
        <v>72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99</v>
      </c>
      <c r="D2" s="7" t="s">
        <v>100</v>
      </c>
      <c r="E2" s="7" t="s">
        <v>17</v>
      </c>
      <c r="F2" s="7" t="s">
        <v>101</v>
      </c>
      <c r="G2" s="8" t="s">
        <v>102</v>
      </c>
      <c r="H2" s="8" t="s">
        <v>103</v>
      </c>
      <c r="I2" s="9" t="s">
        <v>104</v>
      </c>
      <c r="J2" s="8" t="s">
        <v>105</v>
      </c>
      <c r="K2" s="8" t="s">
        <v>106</v>
      </c>
      <c r="L2" s="8" t="s">
        <v>107</v>
      </c>
      <c r="M2" s="8" t="s">
        <v>108</v>
      </c>
      <c r="N2" s="8" t="s">
        <v>109</v>
      </c>
      <c r="O2" s="8" t="s">
        <v>110</v>
      </c>
      <c r="P2" s="8" t="s">
        <v>111</v>
      </c>
      <c r="Q2" s="8" t="s">
        <v>112</v>
      </c>
      <c r="R2" s="8" t="s">
        <v>113</v>
      </c>
      <c r="S2" s="10" t="s">
        <v>114</v>
      </c>
      <c r="T2" s="8" t="s">
        <v>115</v>
      </c>
      <c r="U2" s="8" t="s">
        <v>116</v>
      </c>
      <c r="V2" s="7" t="s">
        <v>117</v>
      </c>
      <c r="W2" s="8" t="s">
        <v>118</v>
      </c>
      <c r="X2" s="7" t="s">
        <v>119</v>
      </c>
      <c r="Y2" s="7" t="s">
        <v>120</v>
      </c>
    </row>
    <row r="3" spans="1:25" x14ac:dyDescent="0.2">
      <c r="A3" s="1" t="s">
        <v>44</v>
      </c>
      <c r="B3" t="s">
        <v>47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="87" zoomScaleNormal="100" zoomScaleSheetLayoutView="87" workbookViewId="0">
      <selection activeCell="A3" sqref="A3:J3"/>
    </sheetView>
  </sheetViews>
  <sheetFormatPr defaultColWidth="11.140625" defaultRowHeight="15.75" x14ac:dyDescent="0.25"/>
  <cols>
    <col min="1" max="1" width="31.7109375" style="24" customWidth="1"/>
    <col min="2" max="9" width="11.140625" style="24"/>
    <col min="10" max="10" width="19.28515625" style="24" customWidth="1"/>
    <col min="11" max="16384" width="11.140625" style="24"/>
  </cols>
  <sheetData>
    <row r="1" spans="1:11" ht="24.95" customHeight="1" x14ac:dyDescent="0.25">
      <c r="A1" s="31" t="s">
        <v>189</v>
      </c>
      <c r="B1" s="32"/>
      <c r="C1" s="32"/>
      <c r="D1" s="32"/>
      <c r="E1" s="32"/>
      <c r="F1" s="32"/>
      <c r="G1" s="32"/>
      <c r="H1" s="32"/>
      <c r="I1" s="32"/>
      <c r="J1" s="37"/>
    </row>
    <row r="2" spans="1:11" ht="24.95" customHeight="1" x14ac:dyDescent="0.25">
      <c r="A2" s="38" t="s">
        <v>190</v>
      </c>
      <c r="B2" s="39"/>
      <c r="C2" s="39"/>
      <c r="D2" s="39"/>
      <c r="E2" s="39"/>
      <c r="F2" s="39"/>
      <c r="G2" s="39"/>
      <c r="H2" s="39"/>
      <c r="I2" s="39"/>
      <c r="J2" s="40"/>
    </row>
    <row r="3" spans="1:11" ht="45" customHeight="1" x14ac:dyDescent="0.25">
      <c r="A3" s="34" t="s">
        <v>186</v>
      </c>
      <c r="B3" s="34"/>
      <c r="C3" s="34"/>
      <c r="D3" s="34"/>
      <c r="E3" s="34"/>
      <c r="F3" s="34"/>
      <c r="G3" s="34"/>
      <c r="H3" s="34"/>
      <c r="I3" s="34"/>
      <c r="J3" s="34"/>
    </row>
    <row r="4" spans="1:11" ht="21" customHeight="1" x14ac:dyDescent="0.25">
      <c r="A4" s="34" t="s">
        <v>8</v>
      </c>
      <c r="B4" s="34" t="s">
        <v>7</v>
      </c>
      <c r="C4" s="34"/>
      <c r="D4" s="34"/>
      <c r="E4" s="34"/>
      <c r="F4" s="34"/>
      <c r="G4" s="34"/>
      <c r="H4" s="34"/>
      <c r="I4" s="34"/>
      <c r="J4" s="44" t="s">
        <v>15</v>
      </c>
    </row>
    <row r="5" spans="1:11" ht="32.25" customHeight="1" x14ac:dyDescent="0.25">
      <c r="A5" s="34"/>
      <c r="B5" s="34" t="s">
        <v>6</v>
      </c>
      <c r="C5" s="34"/>
      <c r="D5" s="34"/>
      <c r="E5" s="34"/>
      <c r="F5" s="34" t="s">
        <v>5</v>
      </c>
      <c r="G5" s="34"/>
      <c r="H5" s="34"/>
      <c r="I5" s="34"/>
      <c r="J5" s="45"/>
    </row>
    <row r="6" spans="1:11" ht="36" customHeight="1" x14ac:dyDescent="0.25">
      <c r="A6" s="25"/>
      <c r="B6" s="25" t="s">
        <v>183</v>
      </c>
      <c r="C6" s="25" t="s">
        <v>184</v>
      </c>
      <c r="D6" s="25" t="s">
        <v>185</v>
      </c>
      <c r="E6" s="25" t="s">
        <v>0</v>
      </c>
      <c r="F6" s="25" t="s">
        <v>183</v>
      </c>
      <c r="G6" s="25" t="s">
        <v>184</v>
      </c>
      <c r="H6" s="25" t="s">
        <v>185</v>
      </c>
      <c r="I6" s="25" t="s">
        <v>0</v>
      </c>
      <c r="J6" s="33"/>
    </row>
    <row r="7" spans="1:11" ht="35.1" customHeight="1" x14ac:dyDescent="0.25">
      <c r="A7" s="25" t="s">
        <v>4</v>
      </c>
      <c r="B7" s="26">
        <v>332</v>
      </c>
      <c r="C7" s="26">
        <v>57</v>
      </c>
      <c r="D7" s="26">
        <v>0</v>
      </c>
      <c r="E7" s="26">
        <f>B7+C7+D7</f>
        <v>389</v>
      </c>
      <c r="F7" s="26">
        <v>332</v>
      </c>
      <c r="G7" s="26">
        <v>57</v>
      </c>
      <c r="H7" s="26">
        <v>0</v>
      </c>
      <c r="I7" s="26">
        <f>F7+G7</f>
        <v>389</v>
      </c>
      <c r="J7" s="27">
        <v>3211</v>
      </c>
      <c r="K7" s="23"/>
    </row>
    <row r="8" spans="1:11" ht="35.1" customHeight="1" x14ac:dyDescent="0.25">
      <c r="A8" s="25" t="s">
        <v>181</v>
      </c>
      <c r="B8" s="26">
        <v>0</v>
      </c>
      <c r="C8" s="26">
        <v>0</v>
      </c>
      <c r="D8" s="26">
        <v>0</v>
      </c>
      <c r="E8" s="26">
        <f t="shared" ref="E8:E13" si="0">B8+C8+D8</f>
        <v>0</v>
      </c>
      <c r="F8" s="26">
        <v>0</v>
      </c>
      <c r="G8" s="26">
        <v>0</v>
      </c>
      <c r="H8" s="26">
        <v>0</v>
      </c>
      <c r="I8" s="26">
        <f t="shared" ref="I8:I11" si="1">F8+G8</f>
        <v>0</v>
      </c>
      <c r="J8" s="27">
        <v>0</v>
      </c>
      <c r="K8" s="23"/>
    </row>
    <row r="9" spans="1:11" ht="35.1" customHeight="1" x14ac:dyDescent="0.25">
      <c r="A9" s="25" t="s">
        <v>182</v>
      </c>
      <c r="B9" s="26">
        <v>89</v>
      </c>
      <c r="C9" s="26">
        <v>559</v>
      </c>
      <c r="D9" s="26">
        <v>0</v>
      </c>
      <c r="E9" s="26">
        <f t="shared" si="0"/>
        <v>648</v>
      </c>
      <c r="F9" s="26">
        <v>89</v>
      </c>
      <c r="G9" s="26">
        <v>559</v>
      </c>
      <c r="H9" s="26">
        <v>0</v>
      </c>
      <c r="I9" s="26">
        <f t="shared" si="1"/>
        <v>648</v>
      </c>
      <c r="J9" s="27">
        <v>542</v>
      </c>
      <c r="K9" s="23"/>
    </row>
    <row r="10" spans="1:11" ht="35.1" customHeight="1" x14ac:dyDescent="0.25">
      <c r="A10" s="25" t="s">
        <v>3</v>
      </c>
      <c r="B10" s="26">
        <f>358+59</f>
        <v>417</v>
      </c>
      <c r="C10" s="26">
        <v>39</v>
      </c>
      <c r="D10" s="26">
        <v>0</v>
      </c>
      <c r="E10" s="26">
        <f t="shared" si="0"/>
        <v>456</v>
      </c>
      <c r="F10" s="26">
        <f>358+59</f>
        <v>417</v>
      </c>
      <c r="G10" s="26">
        <v>39</v>
      </c>
      <c r="H10" s="26">
        <v>0</v>
      </c>
      <c r="I10" s="26">
        <f t="shared" si="1"/>
        <v>456</v>
      </c>
      <c r="J10" s="27">
        <v>685</v>
      </c>
      <c r="K10" s="23"/>
    </row>
    <row r="11" spans="1:11" ht="35.1" customHeight="1" x14ac:dyDescent="0.25">
      <c r="A11" s="25" t="s">
        <v>2</v>
      </c>
      <c r="B11" s="26">
        <v>31</v>
      </c>
      <c r="C11" s="26">
        <v>8</v>
      </c>
      <c r="D11" s="26">
        <v>0</v>
      </c>
      <c r="E11" s="26">
        <f t="shared" si="0"/>
        <v>39</v>
      </c>
      <c r="F11" s="26">
        <v>31</v>
      </c>
      <c r="G11" s="26">
        <v>8</v>
      </c>
      <c r="H11" s="26">
        <v>0</v>
      </c>
      <c r="I11" s="26">
        <f t="shared" si="1"/>
        <v>39</v>
      </c>
      <c r="J11" s="27">
        <v>61</v>
      </c>
      <c r="K11" s="23"/>
    </row>
    <row r="12" spans="1:11" ht="35.1" customHeight="1" x14ac:dyDescent="0.25">
      <c r="A12" s="25" t="s">
        <v>1</v>
      </c>
      <c r="B12" s="26">
        <v>1019</v>
      </c>
      <c r="C12" s="26">
        <v>458</v>
      </c>
      <c r="D12" s="26">
        <v>2</v>
      </c>
      <c r="E12" s="26">
        <f t="shared" si="0"/>
        <v>1479</v>
      </c>
      <c r="F12" s="26">
        <v>1019</v>
      </c>
      <c r="G12" s="26">
        <v>458</v>
      </c>
      <c r="H12" s="26">
        <v>2</v>
      </c>
      <c r="I12" s="26">
        <f>F12+G12+H12</f>
        <v>1479</v>
      </c>
      <c r="J12" s="27">
        <v>1225</v>
      </c>
      <c r="K12" s="23"/>
    </row>
    <row r="13" spans="1:11" ht="35.1" customHeight="1" x14ac:dyDescent="0.25">
      <c r="A13" s="25" t="s">
        <v>0</v>
      </c>
      <c r="B13" s="28">
        <v>1888</v>
      </c>
      <c r="C13" s="28">
        <v>1121</v>
      </c>
      <c r="D13" s="28">
        <v>2</v>
      </c>
      <c r="E13" s="28">
        <f t="shared" si="0"/>
        <v>3011</v>
      </c>
      <c r="F13" s="28">
        <v>1888</v>
      </c>
      <c r="G13" s="28">
        <v>1121</v>
      </c>
      <c r="H13" s="28">
        <v>2</v>
      </c>
      <c r="I13" s="28">
        <f>F13+G13+H13</f>
        <v>3011</v>
      </c>
      <c r="J13" s="29">
        <f>SUM(J7:J12)</f>
        <v>5724</v>
      </c>
    </row>
    <row r="14" spans="1:11" ht="32.25" customHeight="1" x14ac:dyDescent="0.25">
      <c r="A14" s="41" t="s">
        <v>187</v>
      </c>
      <c r="B14" s="42"/>
      <c r="C14" s="42"/>
      <c r="D14" s="42"/>
      <c r="E14" s="42"/>
      <c r="F14" s="42"/>
      <c r="G14" s="42"/>
      <c r="H14" s="42"/>
      <c r="I14" s="42"/>
      <c r="J14" s="43"/>
    </row>
    <row r="15" spans="1:11" ht="20.100000000000001" customHeight="1" x14ac:dyDescent="0.25">
      <c r="A15" s="35" t="s">
        <v>188</v>
      </c>
      <c r="B15" s="36"/>
      <c r="C15" s="36"/>
      <c r="D15" s="36"/>
      <c r="E15" s="36"/>
      <c r="F15" s="36"/>
      <c r="G15" s="36"/>
      <c r="H15" s="36"/>
      <c r="I15" s="36"/>
      <c r="J15" s="30"/>
    </row>
  </sheetData>
  <mergeCells count="10">
    <mergeCell ref="A15:I15"/>
    <mergeCell ref="A3:J3"/>
    <mergeCell ref="A4:A5"/>
    <mergeCell ref="A1:J1"/>
    <mergeCell ref="A2:J2"/>
    <mergeCell ref="A14:J14"/>
    <mergeCell ref="B4:I4"/>
    <mergeCell ref="B5:E5"/>
    <mergeCell ref="F5:I5"/>
    <mergeCell ref="J4:J6"/>
  </mergeCells>
  <printOptions gridLines="1"/>
  <pageMargins left="0.54" right="0.53" top="1.25" bottom="1" header="0.5" footer="0.75"/>
  <pageSetup scale="55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D</vt:lpstr>
      <vt:lpstr>D!Print_Area</vt:lpstr>
      <vt:lpstr>D!Print_Area_MI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2025-03-28T09:05:49Z</cp:lastPrinted>
  <dcterms:created xsi:type="dcterms:W3CDTF">2002-12-26T09:18:20Z</dcterms:created>
  <dcterms:modified xsi:type="dcterms:W3CDTF">2025-04-04T05:57:27Z</dcterms:modified>
</cp:coreProperties>
</file>