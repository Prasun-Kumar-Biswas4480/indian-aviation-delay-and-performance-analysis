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raft Annual Report 2024-25\01 Airline Wise Air Transport Operating and Traffic Statistics\AIX CONNECT\"/>
    </mc:Choice>
  </mc:AlternateContent>
  <bookViews>
    <workbookView xWindow="0" yWindow="0" windowWidth="24000" windowHeight="10725"/>
  </bookViews>
  <sheets>
    <sheet name="AIX CONNECT" sheetId="5" r:id="rId1"/>
  </sheets>
  <definedNames>
    <definedName name="_xlnm._FilterDatabase" localSheetId="0" hidden="1">'AIX CONNECT'!$A$6:$Q$20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5" l="1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B18" i="5"/>
  <c r="B17" i="5"/>
  <c r="Q15" i="5" l="1"/>
  <c r="H15" i="5"/>
</calcChain>
</file>

<file path=xl/sharedStrings.xml><?xml version="1.0" encoding="utf-8"?>
<sst xmlns="http://schemas.openxmlformats.org/spreadsheetml/2006/main" count="39" uniqueCount="37">
  <si>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</si>
  <si>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</si>
  <si>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</si>
  <si>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</si>
  <si>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</si>
  <si>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</si>
  <si>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</si>
  <si>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</si>
  <si>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</si>
  <si>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</si>
  <si>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</si>
  <si>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</si>
  <si>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</si>
  <si>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</si>
  <si>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</si>
  <si>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</si>
  <si>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</si>
  <si>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</si>
  <si>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</si>
  <si>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</si>
  <si>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</si>
  <si>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</si>
  <si>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</si>
  <si>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</si>
  <si>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</si>
  <si>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</si>
  <si>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</si>
  <si>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</si>
  <si>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</si>
  <si>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YOY growth</t>
  </si>
  <si>
    <t>CAGR last 10 years</t>
  </si>
  <si>
    <t>Table 1.04 (AIX CONNECT)</t>
  </si>
  <si>
    <t xml:space="preserve">YEAR ON YEAR GROWTH AND CAGR FOR LAST TEN YEARS OF AIX CONNECT ON SCHEDULED DOMESTIC SERVICES (ALL AIR TRAFFIC AND OPERATING STATISTICS) </t>
  </si>
  <si>
    <t>SOURCE: ICAO ATR FORM 'A' FURNISHED BY AIX CONNECT</t>
  </si>
  <si>
    <t xml:space="preserve">तालिका 1.04 (ए आई एक्स कनेक्ट) </t>
  </si>
  <si>
    <t>2024-25</t>
  </si>
  <si>
    <t>Note: Growth has been calculated with respect to preceeding year while Compound Annual Growth Rate (CAGR) has been calculating taking 2014-15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</si>
</sst>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[$-1010409]mmmm/yy;@"/>
    <numFmt numFmtId="167" formatCode="_(* #,##0_);_(* \(#,##0\);_(* &quot;-&quot;??_);_(@_)"/>
    <numFmt numFmtId="168" formatCode="_(* #,##0.0_);_(* \(#,##0.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9" fontId="4" fillId="0" borderId="0" applyFont="0" applyFill="0" applyBorder="0" applyAlignment="0" applyProtection="0"/>
    <xf numFmtId="0" fontId="4" fillId="5" borderId="0" applyNumberFormat="0" applyBorder="0" applyAlignment="0" applyProtection="0"/>
    <xf numFmtId="164" fontId="4" fillId="0" borderId="0" applyFont="0" applyFill="0" applyBorder="0" applyAlignment="0" applyProtection="0"/>
  </cellStyleXfs>
  <cellXfs count="25">
    <xf numFmtId="0" fontId="0" fillId="0" borderId="0" xfId="0"/>
    <xf numFmtId="165" fontId="4" fillId="4" borderId="1" xfId="3" applyNumberFormat="1" applyFill="1" applyBorder="1" applyAlignment="1" applyProtection="1">
      <alignment horizontal="center" vertical="center" wrapText="1"/>
    </xf>
    <xf numFmtId="0" fontId="5" fillId="3" borderId="1" xfId="1" applyBorder="1" applyAlignment="1" applyProtection="1">
      <alignment horizontal="center" vertical="center" textRotation="90" wrapText="1"/>
    </xf>
    <xf numFmtId="0" fontId="0" fillId="0" borderId="0" xfId="0" applyAlignment="1"/>
    <xf numFmtId="0" fontId="3" fillId="2" borderId="1" xfId="0" applyFont="1" applyFill="1" applyBorder="1" applyAlignment="1" applyProtection="1">
      <alignment horizontal="center" vertical="center" wrapText="1"/>
    </xf>
    <xf numFmtId="0" fontId="0" fillId="4" borderId="1" xfId="2" applyFont="1" applyBorder="1" applyAlignment="1" applyProtection="1">
      <alignment horizontal="center" vertical="center" wrapText="1"/>
    </xf>
    <xf numFmtId="166" fontId="4" fillId="5" borderId="1" xfId="4" applyNumberFormat="1" applyFont="1" applyBorder="1" applyAlignment="1" applyProtection="1">
      <alignment horizontal="center" vertical="top"/>
    </xf>
    <xf numFmtId="167" fontId="4" fillId="5" borderId="1" xfId="4" applyNumberFormat="1" applyBorder="1" applyAlignment="1">
      <alignment horizontal="right" vertical="top"/>
    </xf>
    <xf numFmtId="168" fontId="4" fillId="5" borderId="1" xfId="4" applyNumberFormat="1" applyBorder="1" applyAlignment="1">
      <alignment horizontal="right" vertical="top"/>
    </xf>
    <xf numFmtId="166" fontId="4" fillId="6" borderId="1" xfId="4" applyNumberFormat="1" applyFont="1" applyFill="1" applyBorder="1" applyAlignment="1" applyProtection="1">
      <alignment horizontal="center" vertical="top"/>
    </xf>
    <xf numFmtId="167" fontId="0" fillId="0" borderId="1" xfId="5" applyNumberFormat="1" applyFont="1" applyBorder="1" applyAlignment="1">
      <alignment horizontal="right" vertical="top"/>
    </xf>
    <xf numFmtId="168" fontId="0" fillId="0" borderId="1" xfId="5" applyNumberFormat="1" applyFont="1" applyBorder="1" applyAlignment="1">
      <alignment horizontal="right" vertical="top"/>
    </xf>
    <xf numFmtId="166" fontId="0" fillId="5" borderId="1" xfId="4" applyNumberFormat="1" applyFont="1" applyBorder="1" applyAlignment="1" applyProtection="1">
      <alignment horizontal="center" vertical="top"/>
    </xf>
    <xf numFmtId="165" fontId="4" fillId="6" borderId="1" xfId="3" applyNumberForma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5" fillId="3" borderId="1" xfId="1" applyBorder="1" applyAlignment="1" applyProtection="1">
      <alignment horizontal="center" vertical="center" textRotation="90" wrapText="1"/>
    </xf>
    <xf numFmtId="0" fontId="5" fillId="3" borderId="1" xfId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0" fillId="5" borderId="1" xfId="4" applyFont="1" applyBorder="1" applyAlignment="1">
      <alignment horizontal="center" vertical="center" wrapText="1"/>
    </xf>
    <xf numFmtId="0" fontId="0" fillId="5" borderId="1" xfId="4" quotePrefix="1" applyFont="1" applyBorder="1" applyAlignment="1" applyProtection="1">
      <alignment horizontal="center" vertical="center" wrapText="1"/>
    </xf>
    <xf numFmtId="0" fontId="5" fillId="3" borderId="1" xfId="1" applyBorder="1" applyAlignment="1" applyProtection="1">
      <alignment horizontal="center" vertical="center" wrapText="1"/>
    </xf>
    <xf numFmtId="0" fontId="5" fillId="3" borderId="1" xfId="1" applyBorder="1"/>
    <xf numFmtId="0" fontId="5" fillId="3" borderId="1" xfId="1" applyBorder="1" applyAlignment="1" applyProtection="1">
      <alignment horizontal="center" vertical="center"/>
    </xf>
  </cellXfs>
  <cellStyles count="6">
    <cellStyle name="20% - Accent2" xfId="2" builtinId="34"/>
    <cellStyle name="40% - Accent2" xfId="4" builtinId="35"/>
    <cellStyle name="Accent2" xfId="1" builtinId="33"/>
    <cellStyle name="Comma" xfId="5" builtinId="3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view="pageBreakPreview" topLeftCell="F4" zoomScaleNormal="100" zoomScaleSheetLayoutView="100" workbookViewId="0">
      <selection activeCell="N26" sqref="N26"/>
    </sheetView>
  </sheetViews>
  <sheetFormatPr defaultRowHeight="15" x14ac:dyDescent="0.25"/>
  <cols>
    <col min="1" max="1" width="11" style="3" customWidth="1"/>
    <col min="2" max="2" width="9.42578125" customWidth="1"/>
    <col min="3" max="3" width="11" customWidth="1"/>
    <col min="4" max="4" width="7.85546875" customWidth="1"/>
    <col min="5" max="5" width="13.140625" customWidth="1"/>
    <col min="6" max="6" width="9.85546875" customWidth="1"/>
    <col min="7" max="7" width="10.42578125" customWidth="1"/>
    <col min="8" max="8" width="8.28515625" customWidth="1"/>
    <col min="9" max="9" width="11.5703125" customWidth="1"/>
    <col min="10" max="10" width="11" customWidth="1"/>
    <col min="11" max="11" width="12" customWidth="1"/>
    <col min="12" max="12" width="10.85546875" customWidth="1"/>
    <col min="13" max="13" width="8.28515625" customWidth="1"/>
    <col min="14" max="14" width="8.42578125" customWidth="1"/>
    <col min="15" max="15" width="9.28515625" customWidth="1"/>
    <col min="16" max="16" width="9.140625" customWidth="1"/>
    <col min="17" max="17" width="7.140625" customWidth="1"/>
  </cols>
  <sheetData>
    <row r="1" spans="1:17" ht="15" customHeight="1" x14ac:dyDescent="0.25">
      <c r="A1" s="20" t="s">
        <v>34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15" customHeight="1" x14ac:dyDescent="0.25">
      <c r="A2" s="21" t="s">
        <v>31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x14ac:dyDescent="0.25">
      <c r="A3" s="22" t="s">
        <v>32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x14ac:dyDescent="0.25">
      <c r="A4" s="24" t="s">
        <v>0</v>
      </c>
      <c r="B4" s="22" t="s">
        <v>1</v>
      </c>
      <c r="C4" s="22"/>
      <c r="D4" s="22"/>
      <c r="E4" s="22" t="s">
        <v>2</v>
      </c>
      <c r="F4" s="23"/>
      <c r="G4" s="16" t="s">
        <v>3</v>
      </c>
      <c r="H4" s="16" t="s">
        <v>4</v>
      </c>
      <c r="I4" s="22" t="s">
        <v>5</v>
      </c>
      <c r="J4" s="22"/>
      <c r="K4" s="22"/>
      <c r="L4" s="22" t="s">
        <v>6</v>
      </c>
      <c r="M4" s="22"/>
      <c r="N4" s="22"/>
      <c r="O4" s="22"/>
      <c r="P4" s="16" t="s">
        <v>7</v>
      </c>
      <c r="Q4" s="16" t="s">
        <v>8</v>
      </c>
    </row>
    <row r="5" spans="1:17" ht="115.5" customHeight="1" x14ac:dyDescent="0.25">
      <c r="A5" s="24"/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17"/>
      <c r="H5" s="17"/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15</v>
      </c>
      <c r="O5" s="2" t="s">
        <v>16</v>
      </c>
      <c r="P5" s="17"/>
      <c r="Q5" s="17"/>
    </row>
    <row r="6" spans="1:17" ht="16.5" customHeight="1" x14ac:dyDescent="0.25">
      <c r="A6" s="6" t="s">
        <v>19</v>
      </c>
      <c r="B6" s="7">
        <v>4142</v>
      </c>
      <c r="C6" s="7">
        <v>4857.05</v>
      </c>
      <c r="D6" s="7">
        <v>2993.5840000000003</v>
      </c>
      <c r="E6" s="7">
        <v>553106</v>
      </c>
      <c r="F6" s="8">
        <v>416.82832100000002</v>
      </c>
      <c r="G6" s="8">
        <v>547.74158</v>
      </c>
      <c r="H6" s="8">
        <v>76.099448393163811</v>
      </c>
      <c r="I6" s="8">
        <v>2969.4799999999996</v>
      </c>
      <c r="J6" s="8">
        <v>0</v>
      </c>
      <c r="K6" s="8">
        <v>2969.4799999999996</v>
      </c>
      <c r="L6" s="8">
        <v>34.973300000000002</v>
      </c>
      <c r="M6" s="8">
        <v>3.28</v>
      </c>
      <c r="N6" s="8">
        <v>0</v>
      </c>
      <c r="O6" s="8">
        <v>38.253300000000003</v>
      </c>
      <c r="P6" s="8">
        <v>81.727599999999995</v>
      </c>
      <c r="Q6" s="8">
        <v>46.80585261282603</v>
      </c>
    </row>
    <row r="7" spans="1:17" ht="16.5" customHeight="1" x14ac:dyDescent="0.25">
      <c r="A7" s="9" t="s">
        <v>20</v>
      </c>
      <c r="B7" s="10">
        <v>11932</v>
      </c>
      <c r="C7" s="10">
        <v>17988.399999999998</v>
      </c>
      <c r="D7" s="10">
        <v>13044</v>
      </c>
      <c r="E7" s="10">
        <v>1705808</v>
      </c>
      <c r="F7" s="11">
        <v>1882.694</v>
      </c>
      <c r="G7" s="11">
        <v>2347.8090000000002</v>
      </c>
      <c r="H7" s="11">
        <v>80.189402119167269</v>
      </c>
      <c r="I7" s="11">
        <v>12080.499999999998</v>
      </c>
      <c r="J7" s="11">
        <v>0</v>
      </c>
      <c r="K7" s="11">
        <v>12080.499999999998</v>
      </c>
      <c r="L7" s="11">
        <v>158.15570000000002</v>
      </c>
      <c r="M7" s="11">
        <v>16.783000000000001</v>
      </c>
      <c r="N7" s="11">
        <v>0</v>
      </c>
      <c r="O7" s="11">
        <v>174.93869999999998</v>
      </c>
      <c r="P7" s="11">
        <v>355.22489999999999</v>
      </c>
      <c r="Q7" s="11">
        <v>49.247307832305673</v>
      </c>
    </row>
    <row r="8" spans="1:17" ht="16.5" customHeight="1" x14ac:dyDescent="0.25">
      <c r="A8" s="6" t="s">
        <v>21</v>
      </c>
      <c r="B8" s="7">
        <v>17440</v>
      </c>
      <c r="C8" s="7">
        <v>27698</v>
      </c>
      <c r="D8" s="7">
        <v>18089</v>
      </c>
      <c r="E8" s="7">
        <v>2668553</v>
      </c>
      <c r="F8" s="8">
        <v>2799.3470000000002</v>
      </c>
      <c r="G8" s="8">
        <v>3270.4520000000002</v>
      </c>
      <c r="H8" s="8">
        <v>85.595110400641872</v>
      </c>
      <c r="I8" s="8">
        <v>9440</v>
      </c>
      <c r="J8" s="8">
        <v>0</v>
      </c>
      <c r="K8" s="8">
        <v>9440</v>
      </c>
      <c r="L8" s="8">
        <v>230.41499999999999</v>
      </c>
      <c r="M8" s="8">
        <v>10.363700000000001</v>
      </c>
      <c r="N8" s="8">
        <v>0</v>
      </c>
      <c r="O8" s="8">
        <v>240.77870000000001</v>
      </c>
      <c r="P8" s="8">
        <v>488.23099999999999</v>
      </c>
      <c r="Q8" s="8">
        <v>49.316553025104923</v>
      </c>
    </row>
    <row r="9" spans="1:17" ht="16.5" customHeight="1" x14ac:dyDescent="0.25">
      <c r="A9" s="9" t="s">
        <v>22</v>
      </c>
      <c r="B9" s="10">
        <v>32806</v>
      </c>
      <c r="C9" s="10">
        <v>49152.800000000003</v>
      </c>
      <c r="D9" s="10">
        <v>30712.9</v>
      </c>
      <c r="E9" s="10">
        <v>4984419</v>
      </c>
      <c r="F9" s="11">
        <v>4751.7145099999998</v>
      </c>
      <c r="G9" s="11">
        <v>5528.3016200000002</v>
      </c>
      <c r="H9" s="11">
        <v>85.952519175319523</v>
      </c>
      <c r="I9" s="11">
        <v>10117.142</v>
      </c>
      <c r="J9" s="11">
        <v>0</v>
      </c>
      <c r="K9" s="11">
        <v>10117.142</v>
      </c>
      <c r="L9" s="11">
        <v>382.06885999999997</v>
      </c>
      <c r="M9" s="11">
        <v>11.07329</v>
      </c>
      <c r="N9" s="11">
        <v>0</v>
      </c>
      <c r="O9" s="11">
        <v>393.14215000000002</v>
      </c>
      <c r="P9" s="11">
        <v>811.96762999999999</v>
      </c>
      <c r="Q9" s="11">
        <v>48.418451114855401</v>
      </c>
    </row>
    <row r="10" spans="1:17" ht="16.5" customHeight="1" x14ac:dyDescent="0.25">
      <c r="A10" s="6" t="s">
        <v>23</v>
      </c>
      <c r="B10" s="7">
        <v>47893</v>
      </c>
      <c r="C10" s="7">
        <v>103568.54999999999</v>
      </c>
      <c r="D10" s="7">
        <v>46792.159999999996</v>
      </c>
      <c r="E10" s="7">
        <v>7291535</v>
      </c>
      <c r="F10" s="8">
        <v>7351.2316330000003</v>
      </c>
      <c r="G10" s="8">
        <v>8721.1283199999998</v>
      </c>
      <c r="H10" s="8">
        <v>84.292208109603877</v>
      </c>
      <c r="I10" s="8">
        <v>28212.948</v>
      </c>
      <c r="J10" s="8">
        <v>0</v>
      </c>
      <c r="K10" s="8">
        <v>28212.948</v>
      </c>
      <c r="L10" s="8">
        <v>604.39351999999997</v>
      </c>
      <c r="M10" s="8">
        <v>33.234718000000001</v>
      </c>
      <c r="N10" s="8">
        <v>0</v>
      </c>
      <c r="O10" s="8">
        <v>637.62823800000001</v>
      </c>
      <c r="P10" s="8">
        <v>1276.0256600000002</v>
      </c>
      <c r="Q10" s="8">
        <v>49.969860167232049</v>
      </c>
    </row>
    <row r="11" spans="1:17" ht="16.5" customHeight="1" x14ac:dyDescent="0.25">
      <c r="A11" s="9" t="s">
        <v>24</v>
      </c>
      <c r="B11" s="10">
        <v>63177</v>
      </c>
      <c r="C11" s="10">
        <v>116601.96666666666</v>
      </c>
      <c r="D11" s="10">
        <v>64079.014999999992</v>
      </c>
      <c r="E11" s="10">
        <v>9441070</v>
      </c>
      <c r="F11" s="11">
        <v>9989.0609849999964</v>
      </c>
      <c r="G11" s="11">
        <v>11826.70974</v>
      </c>
      <c r="H11" s="11">
        <v>84.461876587832748</v>
      </c>
      <c r="I11" s="11">
        <v>37778.034800000001</v>
      </c>
      <c r="J11" s="11">
        <v>297.29789999999997</v>
      </c>
      <c r="K11" s="11">
        <v>38075.329700000002</v>
      </c>
      <c r="L11" s="11">
        <v>827.24941353399993</v>
      </c>
      <c r="M11" s="11">
        <v>47.614323085100004</v>
      </c>
      <c r="N11" s="11">
        <v>0.30141250780000001</v>
      </c>
      <c r="O11" s="11">
        <v>875.16514912689991</v>
      </c>
      <c r="P11" s="11">
        <v>1716.6833459194002</v>
      </c>
      <c r="Q11" s="11">
        <v>50.979998798682914</v>
      </c>
    </row>
    <row r="12" spans="1:17" ht="16.5" customHeight="1" x14ac:dyDescent="0.25">
      <c r="A12" s="6" t="s">
        <v>25</v>
      </c>
      <c r="B12" s="7">
        <v>31637</v>
      </c>
      <c r="C12" s="7">
        <v>61126.23333333333</v>
      </c>
      <c r="D12" s="7">
        <v>33057.283000000003</v>
      </c>
      <c r="E12" s="7">
        <v>3609627</v>
      </c>
      <c r="F12" s="8">
        <v>3871.6154749999996</v>
      </c>
      <c r="G12" s="8">
        <v>6036.9886499999993</v>
      </c>
      <c r="H12" s="8">
        <v>64.131567896852019</v>
      </c>
      <c r="I12" s="8">
        <v>30439.9084</v>
      </c>
      <c r="J12" s="8">
        <v>1928.2543000000001</v>
      </c>
      <c r="K12" s="8">
        <v>32368.162700000001</v>
      </c>
      <c r="L12" s="8">
        <v>293.99177778400002</v>
      </c>
      <c r="M12" s="8">
        <v>37.991932478999999</v>
      </c>
      <c r="N12" s="8">
        <v>2.1420438342999994</v>
      </c>
      <c r="O12" s="8">
        <v>334.12575409729999</v>
      </c>
      <c r="P12" s="8">
        <v>692.02133684909995</v>
      </c>
      <c r="Q12" s="8">
        <v>48.28257978556497</v>
      </c>
    </row>
    <row r="13" spans="1:17" x14ac:dyDescent="0.25">
      <c r="A13" s="9" t="s">
        <v>26</v>
      </c>
      <c r="B13" s="10">
        <v>38797</v>
      </c>
      <c r="C13" s="10">
        <v>74262.149999999994</v>
      </c>
      <c r="D13" s="10">
        <v>40373.638999999996</v>
      </c>
      <c r="E13" s="10">
        <v>4785571</v>
      </c>
      <c r="F13" s="11">
        <v>5135.7650749999993</v>
      </c>
      <c r="G13" s="11">
        <v>7323.697181999999</v>
      </c>
      <c r="H13" s="11">
        <v>70.125306213131751</v>
      </c>
      <c r="I13" s="11">
        <v>28933.137200000005</v>
      </c>
      <c r="J13" s="11">
        <v>2210.5072</v>
      </c>
      <c r="K13" s="11">
        <v>31143.644400000005</v>
      </c>
      <c r="L13" s="11">
        <v>338.43357356200005</v>
      </c>
      <c r="M13" s="11">
        <v>64.355079788899999</v>
      </c>
      <c r="N13" s="11">
        <v>4.4261737793000009</v>
      </c>
      <c r="O13" s="11">
        <v>407.21482713020004</v>
      </c>
      <c r="P13" s="11">
        <v>807.47278000000006</v>
      </c>
      <c r="Q13" s="11">
        <v>50.430780729252568</v>
      </c>
    </row>
    <row r="14" spans="1:17" x14ac:dyDescent="0.25">
      <c r="A14" s="6" t="s">
        <v>27</v>
      </c>
      <c r="B14" s="7">
        <v>61063</v>
      </c>
      <c r="C14" s="7">
        <v>113466.48000000001</v>
      </c>
      <c r="D14" s="7">
        <v>61000.457999999991</v>
      </c>
      <c r="E14" s="7">
        <v>8986255</v>
      </c>
      <c r="F14" s="8">
        <v>9195.2927050000017</v>
      </c>
      <c r="G14" s="8">
        <v>11061.720863999999</v>
      </c>
      <c r="H14" s="8">
        <v>83.127144664495873</v>
      </c>
      <c r="I14" s="8">
        <v>37503.965550000001</v>
      </c>
      <c r="J14" s="8">
        <v>3057.1418599999997</v>
      </c>
      <c r="K14" s="8">
        <v>40561.10740999999</v>
      </c>
      <c r="L14" s="8">
        <v>689.64695287500001</v>
      </c>
      <c r="M14" s="8">
        <v>73.809155716749984</v>
      </c>
      <c r="N14" s="8">
        <v>4.8370953015199989</v>
      </c>
      <c r="O14" s="8">
        <v>768.29320389326995</v>
      </c>
      <c r="P14" s="8">
        <v>1220.0091599999998</v>
      </c>
      <c r="Q14" s="8">
        <v>62.974379954103789</v>
      </c>
    </row>
    <row r="15" spans="1:17" x14ac:dyDescent="0.25">
      <c r="A15" s="9" t="s">
        <v>28</v>
      </c>
      <c r="B15" s="10">
        <v>67667</v>
      </c>
      <c r="C15" s="10">
        <v>125903.64999999998</v>
      </c>
      <c r="D15" s="10">
        <v>67485.03300000001</v>
      </c>
      <c r="E15" s="10">
        <v>10482064</v>
      </c>
      <c r="F15" s="11">
        <v>10570.678302</v>
      </c>
      <c r="G15" s="11">
        <v>12202.469895999999</v>
      </c>
      <c r="H15" s="11">
        <f t="shared" ref="H15" si="0">F15/G15*100</f>
        <v>86.627366361830539</v>
      </c>
      <c r="I15" s="11">
        <v>43522.713560000004</v>
      </c>
      <c r="J15" s="11">
        <v>3488.9034900000001</v>
      </c>
      <c r="K15" s="11">
        <v>47011.617050000001</v>
      </c>
      <c r="L15" s="11">
        <v>792.79969762500025</v>
      </c>
      <c r="M15" s="11">
        <v>54.91798472199001</v>
      </c>
      <c r="N15" s="11">
        <v>3.0613095988800003</v>
      </c>
      <c r="O15" s="11">
        <v>850.77899194587019</v>
      </c>
      <c r="P15" s="11">
        <v>1349.7195400000001</v>
      </c>
      <c r="Q15" s="11">
        <f t="shared" ref="Q15" si="1">O15/P15*100</f>
        <v>63.033761217228147</v>
      </c>
    </row>
    <row r="16" spans="1:17" x14ac:dyDescent="0.25">
      <c r="A16" s="12" t="s">
        <v>35</v>
      </c>
      <c r="B16" s="7">
        <v>24703</v>
      </c>
      <c r="C16" s="7">
        <v>47015.766666666663</v>
      </c>
      <c r="D16" s="7">
        <v>25652.010999999991</v>
      </c>
      <c r="E16" s="7">
        <v>3760720</v>
      </c>
      <c r="F16" s="8">
        <v>3959.8990619999995</v>
      </c>
      <c r="G16" s="8">
        <v>4624.8928560000004</v>
      </c>
      <c r="H16" s="8">
        <v>85.621422707397727</v>
      </c>
      <c r="I16" s="8">
        <v>15558.880930000001</v>
      </c>
      <c r="J16" s="8">
        <v>1034.0686700000001</v>
      </c>
      <c r="K16" s="8">
        <v>16592.9496</v>
      </c>
      <c r="L16" s="8">
        <v>377.24559994999987</v>
      </c>
      <c r="M16" s="8">
        <v>19.841376858530001</v>
      </c>
      <c r="N16" s="8">
        <v>1.0045964027099998</v>
      </c>
      <c r="O16" s="8">
        <v>398.09157321123985</v>
      </c>
      <c r="P16" s="8">
        <v>513.04021999999998</v>
      </c>
      <c r="Q16" s="8">
        <v>77.594612993741478</v>
      </c>
    </row>
    <row r="17" spans="1:17" ht="30" x14ac:dyDescent="0.25">
      <c r="A17" s="5" t="s">
        <v>29</v>
      </c>
      <c r="B17" s="1">
        <f>IFERROR(((B16-B15)/B15),"-")</f>
        <v>-0.63493283284318791</v>
      </c>
      <c r="C17" s="1">
        <f t="shared" ref="C17:Q17" si="2">IFERROR(((C16-C15)/C15),"-")</f>
        <v>-0.6265734419401926</v>
      </c>
      <c r="D17" s="1">
        <f t="shared" si="2"/>
        <v>-0.61988592344616644</v>
      </c>
      <c r="E17" s="1">
        <f t="shared" si="2"/>
        <v>-0.64122333158812994</v>
      </c>
      <c r="F17" s="1">
        <f t="shared" si="2"/>
        <v>-0.62538836687038557</v>
      </c>
      <c r="G17" s="1">
        <f t="shared" si="2"/>
        <v>-0.62098715297662388</v>
      </c>
      <c r="H17" s="1">
        <f t="shared" si="2"/>
        <v>-1.1612307942401534E-2</v>
      </c>
      <c r="I17" s="1">
        <f t="shared" si="2"/>
        <v>-0.64251123936583887</v>
      </c>
      <c r="J17" s="1">
        <f t="shared" si="2"/>
        <v>-0.70361213115700139</v>
      </c>
      <c r="K17" s="1">
        <f t="shared" si="2"/>
        <v>-0.64704575929919006</v>
      </c>
      <c r="L17" s="1">
        <f t="shared" si="2"/>
        <v>-0.52416026257310755</v>
      </c>
      <c r="M17" s="1">
        <f t="shared" si="2"/>
        <v>-0.63870894099678777</v>
      </c>
      <c r="N17" s="1">
        <f t="shared" si="2"/>
        <v>-0.67184096535759141</v>
      </c>
      <c r="O17" s="1">
        <f t="shared" si="2"/>
        <v>-0.532085797863039</v>
      </c>
      <c r="P17" s="1">
        <f t="shared" si="2"/>
        <v>-0.61989124051652988</v>
      </c>
      <c r="Q17" s="1">
        <f t="shared" si="2"/>
        <v>0.23100083979335212</v>
      </c>
    </row>
    <row r="18" spans="1:17" ht="30" x14ac:dyDescent="0.25">
      <c r="A18" s="4" t="s">
        <v>30</v>
      </c>
      <c r="B18" s="13">
        <f>IFERROR((((B16/B6)^(1/10))-1),"-")</f>
        <v>0.19551205687108753</v>
      </c>
      <c r="C18" s="13">
        <f t="shared" ref="C18:Q18" si="3">IFERROR((((C16/C6)^(1/10))-1),"-")</f>
        <v>0.25483636154071099</v>
      </c>
      <c r="D18" s="13">
        <f t="shared" si="3"/>
        <v>0.23963262285856146</v>
      </c>
      <c r="E18" s="13">
        <f t="shared" si="3"/>
        <v>0.21128478763537517</v>
      </c>
      <c r="F18" s="13">
        <f t="shared" si="3"/>
        <v>0.2524854507907115</v>
      </c>
      <c r="G18" s="13">
        <f t="shared" si="3"/>
        <v>0.23780603723513161</v>
      </c>
      <c r="H18" s="13">
        <f t="shared" si="3"/>
        <v>1.1859219549751998E-2</v>
      </c>
      <c r="I18" s="13">
        <f t="shared" si="3"/>
        <v>0.18012984943651422</v>
      </c>
      <c r="J18" s="13" t="str">
        <f t="shared" si="3"/>
        <v>-</v>
      </c>
      <c r="K18" s="13">
        <f t="shared" si="3"/>
        <v>0.18774803048541289</v>
      </c>
      <c r="L18" s="13">
        <f t="shared" si="3"/>
        <v>0.26849499200984073</v>
      </c>
      <c r="M18" s="13">
        <f t="shared" si="3"/>
        <v>0.19720851274481621</v>
      </c>
      <c r="N18" s="13" t="str">
        <f t="shared" si="3"/>
        <v>-</v>
      </c>
      <c r="O18" s="13">
        <f t="shared" si="3"/>
        <v>0.26395440505054069</v>
      </c>
      <c r="P18" s="13">
        <f t="shared" si="3"/>
        <v>0.20165076353722977</v>
      </c>
      <c r="Q18" s="13">
        <f t="shared" si="3"/>
        <v>5.1848376752918979E-2</v>
      </c>
    </row>
    <row r="19" spans="1:17" x14ac:dyDescent="0.25">
      <c r="A19" s="18" t="s">
        <v>33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</row>
    <row r="20" spans="1:17" x14ac:dyDescent="0.25">
      <c r="A20" s="14" t="s">
        <v>36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95" right="0.45" top="0.5" bottom="0.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AIX CONNECT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2024-09-09T11:11:21Z</cp:lastPrinted>
  <dcterms:created xsi:type="dcterms:W3CDTF">2018-10-29T04:00:14Z</dcterms:created>
  <dcterms:modified xsi:type="dcterms:W3CDTF">2025-11-19T12:02:30Z</dcterms:modified>
</cp:coreProperties>
</file>