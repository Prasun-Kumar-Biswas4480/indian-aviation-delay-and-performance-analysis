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deep Verma\Desktop\Nitin Soni, JSO\Annual Report 2023-24\03 All Scheduled Private Airlines Air Transport Operating and Traffic Statistics\"/>
    </mc:Choice>
  </mc:AlternateContent>
  <bookViews>
    <workbookView showHorizontalScroll="0" showVerticalScroll="0" showSheetTabs="0" xWindow="0" yWindow="0" windowWidth="17070" windowHeight="9660"/>
  </bookViews>
  <sheets>
    <sheet name="1.01" sheetId="1" r:id="rId1"/>
  </sheets>
  <definedNames>
    <definedName name="_xlnm.Print_Area" localSheetId="0">'1.01'!$A$1:$Q$19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12" i="1"/>
  <c r="Q11" i="1"/>
  <c r="Q10" i="1"/>
  <c r="Q9" i="1"/>
  <c r="Q8" i="1"/>
  <c r="Q7" i="1"/>
  <c r="Q6" i="1"/>
  <c r="H17" i="1"/>
  <c r="H16" i="1"/>
  <c r="H15" i="1"/>
  <c r="H14" i="1"/>
  <c r="H13" i="1"/>
  <c r="H12" i="1"/>
  <c r="H11" i="1"/>
  <c r="H10" i="1"/>
  <c r="H9" i="1"/>
  <c r="H8" i="1"/>
  <c r="H7" i="1"/>
  <c r="H6" i="1"/>
  <c r="P18" i="1" l="1"/>
  <c r="O18" i="1"/>
  <c r="Q18" i="1" s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<sst xmlns="http://schemas.openxmlformats.org/spreadsheetml/2006/main" count="26" uniqueCount="24">
  <si>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</si>
  <si>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</si>
  <si>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</si>
  <si>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</si>
  <si>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</si>
  <si>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</si>
  <si>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</si>
  <si>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</si>
  <si>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</si>
  <si>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</si>
  <si>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</si>
  <si>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</si>
  <si>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</si>
  <si>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</si>
  <si>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</si>
  <si>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</si>
  <si>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</si>
  <si>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</si>
  <si>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</si>
  <si>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PRIVATE AIRLINES</t>
  </si>
  <si>
    <t>2023-24</t>
  </si>
  <si>
    <t>MONTHLY TRAFFIC AND OPERATING STATISTICS OF ALL SCHEDULED PRIVATE AIRLINES ON SCHEDULED DOMESTIC SERVICES DURING 2023-24</t>
  </si>
  <si>
    <t xml:space="preserve">तालिका 3.01 (सभी अनुसूचित निजी एयरलाइन्स) </t>
  </si>
  <si>
    <t>Table 3.01 (ALL SCHEDULED PRIVATE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</si>
</sst>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39">
    <xf numFmtId="0" fontId="0" fillId="0" borderId="0" xfId="0"/>
    <xf numFmtId="0" fontId="0" fillId="0" borderId="0" xfId="0" applyFont="1"/>
    <xf numFmtId="164" fontId="3" fillId="4" borderId="1" xfId="3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5" fontId="3" fillId="4" borderId="1" xfId="3" applyNumberFormat="1" applyFont="1" applyBorder="1" applyAlignment="1">
      <alignment horizontal="right" vertical="center"/>
    </xf>
    <xf numFmtId="165" fontId="3" fillId="0" borderId="1" xfId="1" applyNumberFormat="1" applyFont="1" applyBorder="1" applyAlignment="1">
      <alignment horizontal="right" vertical="center"/>
    </xf>
    <xf numFmtId="165" fontId="3" fillId="6" borderId="1" xfId="3" applyNumberFormat="1" applyFill="1" applyBorder="1" applyAlignment="1">
      <alignment horizontal="right" vertical="center"/>
    </xf>
    <xf numFmtId="165" fontId="4" fillId="4" borderId="1" xfId="3" applyNumberFormat="1" applyFont="1" applyBorder="1" applyAlignment="1">
      <alignment horizontal="right" vertical="center"/>
    </xf>
    <xf numFmtId="164" fontId="0" fillId="4" borderId="1" xfId="3" applyNumberFormat="1" applyFont="1" applyBorder="1" applyAlignment="1">
      <alignment horizontal="right" vertical="center"/>
    </xf>
    <xf numFmtId="3" fontId="0" fillId="0" borderId="0" xfId="0" applyNumberFormat="1" applyFont="1"/>
    <xf numFmtId="166" fontId="0" fillId="0" borderId="0" xfId="0" applyNumberFormat="1" applyFont="1"/>
    <xf numFmtId="0" fontId="2" fillId="3" borderId="1" xfId="2" applyFont="1" applyBorder="1" applyAlignment="1" applyProtection="1">
      <alignment horizontal="center" vertical="center" textRotation="90" wrapText="1"/>
    </xf>
    <xf numFmtId="0" fontId="0" fillId="0" borderId="0" xfId="0" applyFont="1" applyAlignment="1">
      <alignment horizontal="center"/>
    </xf>
    <xf numFmtId="0" fontId="2" fillId="3" borderId="1" xfId="2" applyFont="1" applyBorder="1" applyAlignment="1" applyProtection="1">
      <alignment horizontal="center" vertical="center" textRotation="90"/>
    </xf>
    <xf numFmtId="0" fontId="2" fillId="3" borderId="5" xfId="2" applyFont="1" applyBorder="1" applyAlignment="1" applyProtection="1">
      <alignment horizontal="center" vertical="center" textRotation="90"/>
    </xf>
    <xf numFmtId="0" fontId="4" fillId="4" borderId="1" xfId="3" applyFont="1" applyBorder="1" applyAlignment="1" applyProtection="1">
      <alignment horizontal="center" vertical="center"/>
    </xf>
    <xf numFmtId="3" fontId="4" fillId="4" borderId="1" xfId="3" applyNumberFormat="1" applyFont="1" applyBorder="1" applyAlignment="1" applyProtection="1">
      <alignment horizontal="right" vertical="center"/>
    </xf>
    <xf numFmtId="166" fontId="4" fillId="4" borderId="1" xfId="3" applyNumberFormat="1" applyFont="1" applyBorder="1" applyAlignment="1" applyProtection="1">
      <alignment horizontal="right" vertical="center"/>
    </xf>
    <xf numFmtId="165" fontId="0" fillId="4" borderId="1" xfId="3" applyNumberFormat="1" applyFont="1" applyBorder="1" applyAlignment="1">
      <alignment horizontal="right" vertical="center"/>
    </xf>
    <xf numFmtId="165" fontId="0" fillId="6" borderId="1" xfId="0" applyNumberFormat="1" applyFont="1" applyFill="1" applyBorder="1" applyAlignment="1">
      <alignment vertical="center"/>
    </xf>
    <xf numFmtId="165" fontId="0" fillId="5" borderId="1" xfId="0" applyNumberFormat="1" applyFont="1" applyFill="1" applyBorder="1" applyAlignment="1">
      <alignment vertical="center"/>
    </xf>
    <xf numFmtId="167" fontId="3" fillId="4" borderId="1" xfId="3" applyNumberFormat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3" borderId="1" xfId="2" applyFont="1" applyBorder="1" applyAlignment="1" applyProtection="1">
      <alignment horizontal="center" vertical="center" textRotation="90"/>
    </xf>
    <xf numFmtId="0" fontId="2" fillId="3" borderId="1" xfId="2" applyFont="1" applyBorder="1" applyAlignment="1">
      <alignment textRotation="90"/>
    </xf>
    <xf numFmtId="0" fontId="2" fillId="4" borderId="1" xfId="3" applyFont="1" applyBorder="1" applyAlignment="1">
      <alignment horizontal="center" vertical="center"/>
    </xf>
    <xf numFmtId="0" fontId="2" fillId="4" borderId="1" xfId="3" quotePrefix="1" applyFont="1" applyBorder="1" applyAlignment="1" applyProtection="1">
      <alignment horizontal="center" vertical="center"/>
    </xf>
    <xf numFmtId="0" fontId="2" fillId="4" borderId="1" xfId="3" applyFont="1" applyBorder="1" applyAlignment="1"/>
    <xf numFmtId="0" fontId="2" fillId="3" borderId="1" xfId="2" applyFont="1" applyBorder="1" applyAlignment="1" applyProtection="1">
      <alignment horizontal="center" vertical="center"/>
    </xf>
    <xf numFmtId="0" fontId="2" fillId="3" borderId="1" xfId="2" applyFont="1" applyBorder="1" applyAlignment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 applyAlignment="1">
      <alignment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 wrapText="1"/>
    </xf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</sheetPr>
  <dimension ref="A1:Q20"/>
  <sheetViews>
    <sheetView tabSelected="1" view="pageBreakPreview" zoomScaleNormal="85" zoomScaleSheetLayoutView="100" workbookViewId="0">
      <selection activeCell="E5" sqref="E5"/>
    </sheetView>
  </sheetViews>
  <sheetFormatPr defaultColWidth="9.140625" defaultRowHeight="15" x14ac:dyDescent="0.25"/>
  <cols>
    <col min="1" max="1" width="14.140625" style="14" customWidth="1"/>
    <col min="2" max="2" width="10.140625" style="1" customWidth="1"/>
    <col min="3" max="3" width="10" style="1" customWidth="1"/>
    <col min="4" max="4" width="9.85546875" style="1" customWidth="1"/>
    <col min="5" max="5" width="12.85546875" style="1" customWidth="1"/>
    <col min="6" max="6" width="11" style="1" customWidth="1"/>
    <col min="7" max="7" width="11.5703125" style="1" customWidth="1"/>
    <col min="8" max="8" width="9" style="1" customWidth="1"/>
    <col min="9" max="9" width="9.5703125" style="1" customWidth="1"/>
    <col min="10" max="10" width="8.7109375" style="1" customWidth="1"/>
    <col min="11" max="11" width="9.85546875" style="1" customWidth="1"/>
    <col min="12" max="12" width="11.42578125" style="1" customWidth="1"/>
    <col min="13" max="13" width="10" style="1" customWidth="1"/>
    <col min="14" max="14" width="8.42578125" style="1" customWidth="1"/>
    <col min="15" max="15" width="11.5703125" style="1" customWidth="1"/>
    <col min="16" max="16" width="12.140625" style="1" customWidth="1"/>
    <col min="17" max="17" width="8.7109375" style="1" customWidth="1"/>
    <col min="18" max="16384" width="9.140625" style="1"/>
  </cols>
  <sheetData>
    <row r="1" spans="1:17" ht="18.75" customHeight="1" x14ac:dyDescent="0.25">
      <c r="A1" s="30" t="s">
        <v>22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ht="18.75" customHeight="1" x14ac:dyDescent="0.25">
      <c r="A2" s="31" t="s">
        <v>23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7" ht="18.75" customHeight="1" x14ac:dyDescent="0.25">
      <c r="A3" s="33" t="s">
        <v>21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7" ht="21" customHeight="1" x14ac:dyDescent="0.25">
      <c r="A4" s="33" t="s">
        <v>0</v>
      </c>
      <c r="B4" s="33" t="s">
        <v>1</v>
      </c>
      <c r="C4" s="33"/>
      <c r="D4" s="33"/>
      <c r="E4" s="35" t="s">
        <v>2</v>
      </c>
      <c r="F4" s="36"/>
      <c r="G4" s="37" t="s">
        <v>3</v>
      </c>
      <c r="H4" s="28" t="s">
        <v>4</v>
      </c>
      <c r="I4" s="33" t="s">
        <v>5</v>
      </c>
      <c r="J4" s="33"/>
      <c r="K4" s="33"/>
      <c r="L4" s="33" t="s">
        <v>6</v>
      </c>
      <c r="M4" s="33"/>
      <c r="N4" s="33"/>
      <c r="O4" s="33"/>
      <c r="P4" s="28" t="s">
        <v>7</v>
      </c>
      <c r="Q4" s="28" t="s">
        <v>8</v>
      </c>
    </row>
    <row r="5" spans="1:17" ht="125.25" customHeight="1" x14ac:dyDescent="0.25">
      <c r="A5" s="33"/>
      <c r="B5" s="15" t="s">
        <v>9</v>
      </c>
      <c r="C5" s="15" t="s">
        <v>10</v>
      </c>
      <c r="D5" s="15" t="s">
        <v>11</v>
      </c>
      <c r="E5" s="13" t="s">
        <v>12</v>
      </c>
      <c r="F5" s="13" t="s">
        <v>13</v>
      </c>
      <c r="G5" s="38"/>
      <c r="H5" s="29"/>
      <c r="I5" s="15" t="s">
        <v>14</v>
      </c>
      <c r="J5" s="15" t="s">
        <v>15</v>
      </c>
      <c r="K5" s="15" t="s">
        <v>16</v>
      </c>
      <c r="L5" s="15" t="s">
        <v>17</v>
      </c>
      <c r="M5" s="15" t="s">
        <v>18</v>
      </c>
      <c r="N5" s="15" t="s">
        <v>15</v>
      </c>
      <c r="O5" s="16" t="s">
        <v>16</v>
      </c>
      <c r="P5" s="29"/>
      <c r="Q5" s="29"/>
    </row>
    <row r="6" spans="1:17" ht="30" customHeight="1" x14ac:dyDescent="0.25">
      <c r="A6" s="23">
        <v>45017</v>
      </c>
      <c r="B6" s="2">
        <v>85342</v>
      </c>
      <c r="C6" s="2">
        <v>150501.00666666665</v>
      </c>
      <c r="D6" s="2">
        <v>78878.103399999993</v>
      </c>
      <c r="E6" s="2">
        <v>12746762</v>
      </c>
      <c r="F6" s="10">
        <v>12348.244177999999</v>
      </c>
      <c r="G6" s="10">
        <v>13961.741135</v>
      </c>
      <c r="H6" s="20">
        <f t="shared" ref="H6:H17" si="0">F6/G6*100</f>
        <v>88.443440245749827</v>
      </c>
      <c r="I6" s="4">
        <v>55873.721830000002</v>
      </c>
      <c r="J6" s="4">
        <v>3159.2036143527475</v>
      </c>
      <c r="K6" s="4">
        <v>59032.925444352753</v>
      </c>
      <c r="L6" s="4">
        <v>1082.678261796</v>
      </c>
      <c r="M6" s="4">
        <v>114.92048814866999</v>
      </c>
      <c r="N6" s="4">
        <v>3.0013915449198638</v>
      </c>
      <c r="O6" s="22">
        <v>1200.6001414895898</v>
      </c>
      <c r="P6" s="4">
        <v>1663.397375756</v>
      </c>
      <c r="Q6" s="4">
        <f t="shared" ref="Q6:Q17" si="1">O6/P6*100</f>
        <v>72.177590213157998</v>
      </c>
    </row>
    <row r="7" spans="1:17" ht="30" customHeight="1" x14ac:dyDescent="0.25">
      <c r="A7" s="24">
        <v>45047</v>
      </c>
      <c r="B7" s="3">
        <v>84469</v>
      </c>
      <c r="C7" s="3">
        <v>145757.76666666669</v>
      </c>
      <c r="D7" s="3">
        <v>77775.751000000004</v>
      </c>
      <c r="E7" s="3">
        <v>13029588</v>
      </c>
      <c r="F7" s="3">
        <v>12618.019937000001</v>
      </c>
      <c r="G7" s="3">
        <v>13754.721999000001</v>
      </c>
      <c r="H7" s="5">
        <f t="shared" si="0"/>
        <v>91.73591394953209</v>
      </c>
      <c r="I7" s="5">
        <v>60999.618870000006</v>
      </c>
      <c r="J7" s="5">
        <v>3260.8888290079917</v>
      </c>
      <c r="K7" s="8">
        <v>64260.507699007991</v>
      </c>
      <c r="L7" s="5">
        <v>1106.560192999</v>
      </c>
      <c r="M7" s="5">
        <v>83.788673750060013</v>
      </c>
      <c r="N7" s="5">
        <v>3.7645930470900004</v>
      </c>
      <c r="O7" s="21">
        <v>1194.1134597961498</v>
      </c>
      <c r="P7" s="5">
        <v>1533.0268452019993</v>
      </c>
      <c r="Q7" s="8">
        <f t="shared" si="1"/>
        <v>77.892534206653593</v>
      </c>
    </row>
    <row r="8" spans="1:17" ht="30" customHeight="1" x14ac:dyDescent="0.25">
      <c r="A8" s="23">
        <v>45078</v>
      </c>
      <c r="B8" s="2">
        <v>81151</v>
      </c>
      <c r="C8" s="2">
        <v>140977.27066666668</v>
      </c>
      <c r="D8" s="2">
        <v>74776.366400000014</v>
      </c>
      <c r="E8" s="2">
        <v>12342568</v>
      </c>
      <c r="F8" s="2">
        <v>12029.882960000001</v>
      </c>
      <c r="G8" s="2">
        <v>13229.855520000001</v>
      </c>
      <c r="H8" s="4">
        <f t="shared" si="0"/>
        <v>90.929813570632263</v>
      </c>
      <c r="I8" s="4">
        <v>59319.97393</v>
      </c>
      <c r="J8" s="4">
        <v>3593.4139244917828</v>
      </c>
      <c r="K8" s="4">
        <v>62913.387854491782</v>
      </c>
      <c r="L8" s="4">
        <v>1056.8491529250002</v>
      </c>
      <c r="M8" s="4">
        <v>134.6123827266</v>
      </c>
      <c r="N8" s="4">
        <v>4.3068254960245573</v>
      </c>
      <c r="O8" s="22">
        <v>1195.7683611476245</v>
      </c>
      <c r="P8" s="4">
        <v>1595.89732054</v>
      </c>
      <c r="Q8" s="4">
        <f t="shared" si="1"/>
        <v>74.927650153771495</v>
      </c>
    </row>
    <row r="9" spans="1:17" ht="30" customHeight="1" x14ac:dyDescent="0.25">
      <c r="A9" s="24">
        <v>45108</v>
      </c>
      <c r="B9" s="3">
        <v>84130</v>
      </c>
      <c r="C9" s="3">
        <v>147767.96499999889</v>
      </c>
      <c r="D9" s="3">
        <v>77537.442668000003</v>
      </c>
      <c r="E9" s="3">
        <v>11976324</v>
      </c>
      <c r="F9" s="3">
        <v>11555.448033999999</v>
      </c>
      <c r="G9" s="3">
        <v>13721.460693999999</v>
      </c>
      <c r="H9" s="5">
        <f t="shared" si="0"/>
        <v>84.214416319779019</v>
      </c>
      <c r="I9" s="5">
        <v>61326.352729999991</v>
      </c>
      <c r="J9" s="5">
        <v>3831.8967577114136</v>
      </c>
      <c r="K9" s="8">
        <v>65158.2494877114</v>
      </c>
      <c r="L9" s="5">
        <v>1015.533617445</v>
      </c>
      <c r="M9" s="5">
        <v>127.5943816078548</v>
      </c>
      <c r="N9" s="5">
        <v>4.6381186005305803</v>
      </c>
      <c r="O9" s="21">
        <v>1147.7661176533852</v>
      </c>
      <c r="P9" s="5">
        <v>1628.0525791140001</v>
      </c>
      <c r="Q9" s="8">
        <f t="shared" si="1"/>
        <v>70.499327379095405</v>
      </c>
    </row>
    <row r="10" spans="1:17" ht="30" customHeight="1" x14ac:dyDescent="0.25">
      <c r="A10" s="23">
        <v>45139</v>
      </c>
      <c r="B10" s="2">
        <v>85331</v>
      </c>
      <c r="C10" s="2">
        <v>148439.47500000001</v>
      </c>
      <c r="D10" s="2">
        <v>78832.030050000001</v>
      </c>
      <c r="E10" s="2">
        <v>12298147</v>
      </c>
      <c r="F10" s="2">
        <v>11883.358119</v>
      </c>
      <c r="G10" s="2">
        <v>14010.069895000001</v>
      </c>
      <c r="H10" s="4">
        <f t="shared" si="0"/>
        <v>84.820120156866636</v>
      </c>
      <c r="I10" s="4">
        <v>61655.188960000021</v>
      </c>
      <c r="J10" s="4">
        <v>4088.182611411738</v>
      </c>
      <c r="K10" s="4">
        <v>65743.371571411757</v>
      </c>
      <c r="L10" s="4">
        <v>1045.3052227990001</v>
      </c>
      <c r="M10" s="4">
        <v>135.70470085158999</v>
      </c>
      <c r="N10" s="4">
        <v>4.9164707972623374</v>
      </c>
      <c r="O10" s="22">
        <v>1185.9263944478523</v>
      </c>
      <c r="P10" s="4">
        <v>1680.1603408379997</v>
      </c>
      <c r="Q10" s="4">
        <f t="shared" si="1"/>
        <v>70.58412019512123</v>
      </c>
    </row>
    <row r="11" spans="1:17" ht="30" customHeight="1" x14ac:dyDescent="0.25">
      <c r="A11" s="24">
        <v>45170</v>
      </c>
      <c r="B11" s="3">
        <v>83396</v>
      </c>
      <c r="C11" s="3">
        <v>146698.59333333338</v>
      </c>
      <c r="D11" s="3">
        <v>76955.433000000005</v>
      </c>
      <c r="E11" s="3">
        <v>12126917</v>
      </c>
      <c r="F11" s="3">
        <v>11742.699025</v>
      </c>
      <c r="G11" s="3">
        <v>13700.107554</v>
      </c>
      <c r="H11" s="5">
        <f t="shared" si="0"/>
        <v>85.712458670235051</v>
      </c>
      <c r="I11" s="5">
        <v>57909.188234000016</v>
      </c>
      <c r="J11" s="5">
        <v>3514.9626031135917</v>
      </c>
      <c r="K11" s="8">
        <v>61424.150837113601</v>
      </c>
      <c r="L11" s="5">
        <v>1031.9111924390002</v>
      </c>
      <c r="M11" s="5">
        <v>82.202740501580024</v>
      </c>
      <c r="N11" s="5">
        <v>4.2086225784595657</v>
      </c>
      <c r="O11" s="21">
        <v>1118.3225555190397</v>
      </c>
      <c r="P11" s="5">
        <v>1525.477184619999</v>
      </c>
      <c r="Q11" s="8">
        <f t="shared" si="1"/>
        <v>73.3096874075909</v>
      </c>
    </row>
    <row r="12" spans="1:17" ht="30" customHeight="1" x14ac:dyDescent="0.25">
      <c r="A12" s="23">
        <v>45200</v>
      </c>
      <c r="B12" s="2">
        <v>87914</v>
      </c>
      <c r="C12" s="2">
        <v>81221.076666666675</v>
      </c>
      <c r="D12" s="2">
        <v>81055.422529999996</v>
      </c>
      <c r="E12" s="2">
        <v>12506983</v>
      </c>
      <c r="F12" s="2">
        <v>12253.3639886</v>
      </c>
      <c r="G12" s="2">
        <v>14481.163450199998</v>
      </c>
      <c r="H12" s="4">
        <f t="shared" si="0"/>
        <v>84.615880697284524</v>
      </c>
      <c r="I12" s="4">
        <v>61950.900920000007</v>
      </c>
      <c r="J12" s="4">
        <v>3713.3913181535454</v>
      </c>
      <c r="K12" s="4">
        <v>65664.292238153546</v>
      </c>
      <c r="L12" s="4">
        <v>1077.0113299920001</v>
      </c>
      <c r="M12" s="4">
        <v>87.821169631480004</v>
      </c>
      <c r="N12" s="4">
        <v>4.6402278158030086</v>
      </c>
      <c r="O12" s="22">
        <v>1169.4727274392831</v>
      </c>
      <c r="P12" s="4">
        <v>1610.9372505979998</v>
      </c>
      <c r="Q12" s="4">
        <f t="shared" si="1"/>
        <v>72.595796453596222</v>
      </c>
    </row>
    <row r="13" spans="1:17" ht="30" customHeight="1" x14ac:dyDescent="0.25">
      <c r="A13" s="24">
        <v>45231</v>
      </c>
      <c r="B13" s="3">
        <v>86241</v>
      </c>
      <c r="C13" s="3">
        <v>151156.85</v>
      </c>
      <c r="D13" s="3">
        <v>78407.310880000005</v>
      </c>
      <c r="E13" s="3">
        <v>12611802</v>
      </c>
      <c r="F13" s="3">
        <v>12304.532794999999</v>
      </c>
      <c r="G13" s="3">
        <v>14248.517208999998</v>
      </c>
      <c r="H13" s="5">
        <f t="shared" si="0"/>
        <v>86.356584439733197</v>
      </c>
      <c r="I13" s="5">
        <v>59562.616300000009</v>
      </c>
      <c r="J13" s="5">
        <v>3786.6517547124445</v>
      </c>
      <c r="K13" s="8">
        <v>63349.268054712447</v>
      </c>
      <c r="L13" s="5">
        <v>1078.3209516669997</v>
      </c>
      <c r="M13" s="5">
        <v>76.802210350070041</v>
      </c>
      <c r="N13" s="5">
        <v>4.3487319424584356</v>
      </c>
      <c r="O13" s="21">
        <v>1159.4718939595284</v>
      </c>
      <c r="P13" s="5">
        <v>1583.5982785739982</v>
      </c>
      <c r="Q13" s="8">
        <f t="shared" si="1"/>
        <v>73.217552055159601</v>
      </c>
    </row>
    <row r="14" spans="1:17" ht="30" customHeight="1" x14ac:dyDescent="0.25">
      <c r="A14" s="23">
        <v>45261</v>
      </c>
      <c r="B14" s="2">
        <v>88725</v>
      </c>
      <c r="C14" s="2">
        <v>155901.31333333332</v>
      </c>
      <c r="D14" s="2">
        <v>81862.051972000016</v>
      </c>
      <c r="E14" s="2">
        <v>13666425</v>
      </c>
      <c r="F14" s="2">
        <v>13358.834739999998</v>
      </c>
      <c r="G14" s="2">
        <v>14716.305285999999</v>
      </c>
      <c r="H14" s="4">
        <f t="shared" si="0"/>
        <v>90.775738069993722</v>
      </c>
      <c r="I14" s="4">
        <v>59675.250200000009</v>
      </c>
      <c r="J14" s="4">
        <v>4104.4779770323867</v>
      </c>
      <c r="K14" s="4">
        <v>63779.728177032397</v>
      </c>
      <c r="L14" s="4">
        <v>1172.1889777920001</v>
      </c>
      <c r="M14" s="4">
        <v>77.144962653069598</v>
      </c>
      <c r="N14" s="4">
        <v>4.6806422358988415</v>
      </c>
      <c r="O14" s="22">
        <v>1254.0145826809683</v>
      </c>
      <c r="P14" s="4">
        <v>1635.6423280739998</v>
      </c>
      <c r="Q14" s="4">
        <f t="shared" si="1"/>
        <v>76.668019722722292</v>
      </c>
    </row>
    <row r="15" spans="1:17" ht="30" customHeight="1" x14ac:dyDescent="0.25">
      <c r="A15" s="24">
        <v>45292</v>
      </c>
      <c r="B15" s="3">
        <v>85573</v>
      </c>
      <c r="C15" s="3">
        <v>149802.08333333331</v>
      </c>
      <c r="D15" s="3">
        <v>78264.865000000005</v>
      </c>
      <c r="E15" s="3">
        <v>12998953</v>
      </c>
      <c r="F15" s="3">
        <v>12533.856862999999</v>
      </c>
      <c r="G15" s="3">
        <v>14045.742656999999</v>
      </c>
      <c r="H15" s="7">
        <f t="shared" si="0"/>
        <v>89.235985373500213</v>
      </c>
      <c r="I15" s="5">
        <v>56113.811088343959</v>
      </c>
      <c r="J15" s="5">
        <v>4086.5692802869748</v>
      </c>
      <c r="K15" s="8">
        <v>60200.380368630926</v>
      </c>
      <c r="L15" s="7">
        <v>1106.734566719</v>
      </c>
      <c r="M15" s="7">
        <v>71.416535105649729</v>
      </c>
      <c r="N15" s="7">
        <v>4.4282783494260425</v>
      </c>
      <c r="O15" s="21">
        <v>1182.5793801740758</v>
      </c>
      <c r="P15" s="7">
        <v>1561.4885134140004</v>
      </c>
      <c r="Q15" s="8">
        <f t="shared" si="1"/>
        <v>75.734106912417374</v>
      </c>
    </row>
    <row r="16" spans="1:17" ht="30" customHeight="1" x14ac:dyDescent="0.25">
      <c r="A16" s="23">
        <v>45323</v>
      </c>
      <c r="B16" s="2">
        <v>83759</v>
      </c>
      <c r="C16" s="2">
        <v>145740.72999999998</v>
      </c>
      <c r="D16" s="2">
        <v>76213.123999999996</v>
      </c>
      <c r="E16" s="2">
        <v>12518027</v>
      </c>
      <c r="F16" s="2">
        <v>12116.148588</v>
      </c>
      <c r="G16" s="2">
        <v>13605.281142</v>
      </c>
      <c r="H16" s="6">
        <f t="shared" si="0"/>
        <v>89.054746179386228</v>
      </c>
      <c r="I16" s="4">
        <v>58439.621960000004</v>
      </c>
      <c r="J16" s="4">
        <v>4358.2319897855878</v>
      </c>
      <c r="K16" s="4">
        <v>62797.853949785589</v>
      </c>
      <c r="L16" s="6">
        <v>1062.2502686930002</v>
      </c>
      <c r="M16" s="6">
        <v>72.139930960759997</v>
      </c>
      <c r="N16" s="6">
        <v>4.6231648423294889</v>
      </c>
      <c r="O16" s="22">
        <v>1139.0133644960897</v>
      </c>
      <c r="P16" s="6">
        <v>1519.485238516</v>
      </c>
      <c r="Q16" s="4">
        <f t="shared" si="1"/>
        <v>74.960475799587442</v>
      </c>
    </row>
    <row r="17" spans="1:17" ht="30" customHeight="1" x14ac:dyDescent="0.25">
      <c r="A17" s="24">
        <v>45352</v>
      </c>
      <c r="B17" s="3">
        <v>91182</v>
      </c>
      <c r="C17" s="3">
        <v>159406.28333333335</v>
      </c>
      <c r="D17" s="3">
        <v>83375.944000000003</v>
      </c>
      <c r="E17" s="3">
        <v>13227314</v>
      </c>
      <c r="F17" s="3">
        <v>12851.955983999998</v>
      </c>
      <c r="G17" s="3">
        <v>14930.107583000003</v>
      </c>
      <c r="H17" s="7">
        <f t="shared" si="0"/>
        <v>86.080799569279279</v>
      </c>
      <c r="I17" s="5">
        <v>61860.612249999998</v>
      </c>
      <c r="J17" s="5">
        <v>3940.0418924833261</v>
      </c>
      <c r="K17" s="8">
        <v>65800.654142483327</v>
      </c>
      <c r="L17" s="7">
        <v>1106.9252275839999</v>
      </c>
      <c r="M17" s="7">
        <v>75.202020842299973</v>
      </c>
      <c r="N17" s="7">
        <v>4.2106382475945399</v>
      </c>
      <c r="O17" s="21">
        <v>1186.3378866738947</v>
      </c>
      <c r="P17" s="7">
        <v>1648.3934954759993</v>
      </c>
      <c r="Q17" s="8">
        <f t="shared" si="1"/>
        <v>71.96933802091479</v>
      </c>
    </row>
    <row r="18" spans="1:17" ht="30" customHeight="1" x14ac:dyDescent="0.25">
      <c r="A18" s="17" t="s">
        <v>20</v>
      </c>
      <c r="B18" s="18">
        <f>SUM(B6:B17)</f>
        <v>1027213</v>
      </c>
      <c r="C18" s="18">
        <f t="shared" ref="C18:G18" si="2">SUM(C6:C17)</f>
        <v>1723370.4139999989</v>
      </c>
      <c r="D18" s="18">
        <f t="shared" si="2"/>
        <v>943933.84490000003</v>
      </c>
      <c r="E18" s="18">
        <f t="shared" si="2"/>
        <v>152049810</v>
      </c>
      <c r="F18" s="18">
        <f t="shared" si="2"/>
        <v>147596.34521159998</v>
      </c>
      <c r="G18" s="18">
        <f t="shared" si="2"/>
        <v>168405.07412420001</v>
      </c>
      <c r="H18" s="19">
        <f>F18/G18*100</f>
        <v>87.643644931236793</v>
      </c>
      <c r="I18" s="19">
        <f>SUM(I6:I17)</f>
        <v>714686.85727234394</v>
      </c>
      <c r="J18" s="19">
        <f t="shared" ref="J18:P18" si="3">SUM(J6:J17)</f>
        <v>45437.91255254353</v>
      </c>
      <c r="K18" s="19">
        <f t="shared" si="3"/>
        <v>760124.76982488751</v>
      </c>
      <c r="L18" s="19">
        <f t="shared" si="3"/>
        <v>12942.268962850001</v>
      </c>
      <c r="M18" s="19">
        <f t="shared" si="3"/>
        <v>1139.3501971296841</v>
      </c>
      <c r="N18" s="19">
        <f t="shared" si="3"/>
        <v>51.767705497797266</v>
      </c>
      <c r="O18" s="19">
        <f t="shared" si="3"/>
        <v>14133.38686547748</v>
      </c>
      <c r="P18" s="19">
        <f t="shared" si="3"/>
        <v>19185.556750721997</v>
      </c>
      <c r="Q18" s="9">
        <f t="shared" ref="Q18" si="4">O18/P18*100</f>
        <v>73.666805968221936</v>
      </c>
    </row>
    <row r="19" spans="1:17" ht="19.5" customHeight="1" x14ac:dyDescent="0.25">
      <c r="A19" s="25" t="s">
        <v>19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7"/>
    </row>
    <row r="20" spans="1:17" x14ac:dyDescent="0.25">
      <c r="B20" s="11"/>
      <c r="C20" s="11"/>
      <c r="D20" s="11"/>
      <c r="E20" s="11"/>
      <c r="F20" s="11"/>
      <c r="G20" s="11"/>
      <c r="H20" s="12"/>
      <c r="I20" s="11"/>
      <c r="J20" s="11"/>
      <c r="K20" s="11"/>
      <c r="L20" s="11"/>
      <c r="M20" s="11"/>
      <c r="N20" s="11"/>
      <c r="O20" s="11"/>
      <c r="P20" s="11"/>
      <c r="Q20" s="12"/>
    </row>
  </sheetData>
  <mergeCells count="13">
    <mergeCell ref="A19:Q19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1.01</vt:lpstr>
      <vt:lpstr>'1.01'!Print_Area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2022-04-25T12:01:22Z</cp:lastPrinted>
  <dcterms:created xsi:type="dcterms:W3CDTF">2018-10-29T04:00:07Z</dcterms:created>
  <dcterms:modified xsi:type="dcterms:W3CDTF">2025-01-28T07:42:08Z</dcterms:modified>
</cp:coreProperties>
</file>