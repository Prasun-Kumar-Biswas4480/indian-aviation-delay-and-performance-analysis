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AKASA AIR\"/>
    </mc:Choice>
  </mc:AlternateContent>
  <bookViews>
    <workbookView xWindow="0" yWindow="0" windowWidth="24000" windowHeight="11025"/>
  </bookViews>
  <sheets>
    <sheet name="AIR DECC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P18" i="1" l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<sst xmlns="http://schemas.openxmlformats.org/spreadsheetml/2006/main" count="26" uniqueCount="24">
  <si>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</si>
  <si>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</si>
  <si>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</si>
  <si>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</si>
  <si>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</si>
  <si>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</si>
  <si>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</si>
  <si>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</si>
  <si>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</si>
  <si>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</si>
  <si>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</si>
  <si>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</si>
  <si>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</si>
  <si>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</si>
  <si>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</si>
  <si>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</si>
  <si>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</si>
  <si>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</si>
  <si>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</si>
  <si>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2022-23</t>
  </si>
  <si>
    <t>Table 1.03 (AKASA AIR)</t>
  </si>
  <si>
    <t>SOURCE:-  ICAO ATR FORM 'A' FURNISHED BY AKASA AIR</t>
  </si>
  <si>
    <t xml:space="preserve">तालिका 1.03 (अकासा एयर) </t>
  </si>
  <si>
    <t>MONTHLY TRAFFIC AND OPERATING STATISTICS OF AKASA AIR ON SCHEDULED (DOMESTIC + INTERNATIONAL)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</si>
</sst>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[$-1010409]mmmm/yy;@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1" fillId="3" borderId="1" xfId="3" applyNumberFormat="1" applyBorder="1" applyAlignment="1" applyProtection="1">
      <alignment horizontal="center" vertical="center" wrapText="1"/>
    </xf>
    <xf numFmtId="166" fontId="4" fillId="4" borderId="1" xfId="0" applyNumberFormat="1" applyFont="1" applyFill="1" applyBorder="1" applyAlignment="1" applyProtection="1">
      <alignment horizontal="center" vertical="center" wrapText="1"/>
    </xf>
    <xf numFmtId="167" fontId="1" fillId="3" borderId="1" xfId="3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98" zoomScaleSheetLayoutView="100" workbookViewId="0">
      <selection activeCell="N9" sqref="N9"/>
    </sheetView>
  </sheetViews>
  <sheetFormatPr defaultRowHeight="18.600000000000001" customHeight="1" x14ac:dyDescent="0.25"/>
  <cols>
    <col min="1" max="1" width="13.7109375" customWidth="1"/>
    <col min="2" max="2" width="8.42578125" customWidth="1"/>
    <col min="3" max="3" width="8.28515625" customWidth="1"/>
    <col min="4" max="4" width="8.5703125" customWidth="1"/>
    <col min="5" max="5" width="12" customWidth="1"/>
    <col min="6" max="6" width="8.5703125" customWidth="1"/>
    <col min="7" max="7" width="9" customWidth="1"/>
    <col min="8" max="8" width="8.140625" customWidth="1"/>
    <col min="9" max="9" width="9.28515625" customWidth="1"/>
    <col min="10" max="10" width="8.140625" customWidth="1"/>
    <col min="11" max="11" width="10.28515625" customWidth="1"/>
    <col min="12" max="17" width="8.140625" customWidth="1"/>
  </cols>
  <sheetData>
    <row r="1" spans="1:17" ht="18.600000000000001" customHeight="1" x14ac:dyDescent="0.25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8.600000000000001" customHeight="1" x14ac:dyDescent="0.25">
      <c r="A2" s="13" t="s">
        <v>20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8.600000000000001" customHeight="1" x14ac:dyDescent="0.25">
      <c r="A3" s="15" t="s">
        <v>23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18.600000000000001" customHeight="1" x14ac:dyDescent="0.25">
      <c r="A4" s="15" t="s">
        <v>0</v>
      </c>
      <c r="B4" s="15" t="s">
        <v>1</v>
      </c>
      <c r="C4" s="15"/>
      <c r="D4" s="15"/>
      <c r="E4" s="15" t="s">
        <v>2</v>
      </c>
      <c r="F4" s="16"/>
      <c r="G4" s="9" t="s">
        <v>3</v>
      </c>
      <c r="H4" s="9" t="s">
        <v>4</v>
      </c>
      <c r="I4" s="15" t="s">
        <v>5</v>
      </c>
      <c r="J4" s="15"/>
      <c r="K4" s="15"/>
      <c r="L4" s="15" t="s">
        <v>6</v>
      </c>
      <c r="M4" s="15"/>
      <c r="N4" s="15"/>
      <c r="O4" s="15"/>
      <c r="P4" s="9" t="s">
        <v>7</v>
      </c>
      <c r="Q4" s="9" t="s">
        <v>8</v>
      </c>
    </row>
    <row r="5" spans="1:17" ht="100.9" customHeight="1" x14ac:dyDescent="0.25">
      <c r="A5" s="15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0"/>
      <c r="H5" s="10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0"/>
      <c r="Q5" s="10"/>
    </row>
    <row r="6" spans="1:17" ht="18.600000000000001" customHeight="1" x14ac:dyDescent="0.25">
      <c r="A6" s="5">
        <v>44652</v>
      </c>
      <c r="B6" s="7"/>
      <c r="C6" s="7"/>
      <c r="D6" s="7"/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.600000000000001" customHeight="1" x14ac:dyDescent="0.25">
      <c r="A7" s="6">
        <v>44682</v>
      </c>
      <c r="B7" s="8"/>
      <c r="C7" s="8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8.600000000000001" customHeight="1" x14ac:dyDescent="0.25">
      <c r="A8" s="5">
        <v>44713</v>
      </c>
      <c r="B8" s="7"/>
      <c r="C8" s="7"/>
      <c r="D8" s="7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.600000000000001" customHeight="1" x14ac:dyDescent="0.25">
      <c r="A9" s="6">
        <v>44743</v>
      </c>
      <c r="B9" s="8"/>
      <c r="C9" s="8"/>
      <c r="D9" s="8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8.600000000000001" customHeight="1" x14ac:dyDescent="0.25">
      <c r="A10" s="5">
        <v>44774</v>
      </c>
      <c r="B10" s="7">
        <v>246</v>
      </c>
      <c r="C10" s="7">
        <v>348.43</v>
      </c>
      <c r="D10" s="7">
        <v>141</v>
      </c>
      <c r="E10" s="7">
        <v>23744</v>
      </c>
      <c r="F10" s="1">
        <v>14.05987</v>
      </c>
      <c r="G10" s="1">
        <v>26.592110999999999</v>
      </c>
      <c r="H10" s="1">
        <f t="shared" ref="H10:H17" si="0">F10/G10*100</f>
        <v>52.872334956784741</v>
      </c>
      <c r="I10" s="1">
        <v>73.042000000000002</v>
      </c>
      <c r="J10" s="1"/>
      <c r="K10" s="1">
        <v>73.042000000000002</v>
      </c>
      <c r="L10" s="1">
        <v>1.0202994686831799</v>
      </c>
      <c r="M10" s="1">
        <v>6.2223974000000001E-2</v>
      </c>
      <c r="N10" s="1">
        <v>0</v>
      </c>
      <c r="O10" s="1">
        <v>1.0825234426831798</v>
      </c>
      <c r="P10" s="1">
        <v>2.8851736940000001</v>
      </c>
      <c r="Q10" s="1">
        <f t="shared" ref="Q10:Q17" si="1">O10/P10*100</f>
        <v>37.520217411325802</v>
      </c>
    </row>
    <row r="11" spans="1:17" ht="18.600000000000001" customHeight="1" x14ac:dyDescent="0.25">
      <c r="A11" s="6">
        <v>44805</v>
      </c>
      <c r="B11" s="8">
        <v>623</v>
      </c>
      <c r="C11" s="2">
        <v>933</v>
      </c>
      <c r="D11" s="2">
        <v>400</v>
      </c>
      <c r="E11" s="2">
        <v>92589</v>
      </c>
      <c r="F11" s="2">
        <v>61.372</v>
      </c>
      <c r="G11" s="2">
        <v>75.537000000000006</v>
      </c>
      <c r="H11" s="2">
        <f t="shared" si="0"/>
        <v>81.247600513655556</v>
      </c>
      <c r="I11" s="2">
        <v>597.17925000000002</v>
      </c>
      <c r="J11" s="2"/>
      <c r="K11" s="2">
        <v>597.17925000000002</v>
      </c>
      <c r="L11" s="2">
        <v>4.7080000000000002</v>
      </c>
      <c r="M11" s="2">
        <v>0.48399999999999999</v>
      </c>
      <c r="N11" s="2">
        <v>0</v>
      </c>
      <c r="O11" s="2">
        <v>5.1920000000000002</v>
      </c>
      <c r="P11" s="2">
        <v>8.2070000000000007</v>
      </c>
      <c r="Q11" s="2">
        <f t="shared" si="1"/>
        <v>63.263068112586815</v>
      </c>
    </row>
    <row r="12" spans="1:17" ht="18.600000000000001" customHeight="1" x14ac:dyDescent="0.25">
      <c r="A12" s="5">
        <v>44835</v>
      </c>
      <c r="B12" s="7">
        <v>1155</v>
      </c>
      <c r="C12" s="1">
        <v>1811.88</v>
      </c>
      <c r="D12" s="1">
        <v>798</v>
      </c>
      <c r="E12" s="1">
        <v>160617</v>
      </c>
      <c r="F12" s="1">
        <v>116.84699999999999</v>
      </c>
      <c r="G12" s="1">
        <v>150.83600000000001</v>
      </c>
      <c r="H12" s="1">
        <f t="shared" si="0"/>
        <v>77.466254740247678</v>
      </c>
      <c r="I12" s="1">
        <v>1169.98</v>
      </c>
      <c r="J12" s="1"/>
      <c r="K12" s="1">
        <v>1169.98</v>
      </c>
      <c r="L12" s="1">
        <v>9.1803999999999988</v>
      </c>
      <c r="M12" s="1">
        <v>1.0697999999999999</v>
      </c>
      <c r="N12" s="1">
        <v>0</v>
      </c>
      <c r="O12" s="1">
        <v>10.2502</v>
      </c>
      <c r="P12" s="1">
        <v>16.365200000000002</v>
      </c>
      <c r="Q12" s="1">
        <f t="shared" si="1"/>
        <v>62.634126072397521</v>
      </c>
    </row>
    <row r="13" spans="1:17" ht="18.600000000000001" customHeight="1" x14ac:dyDescent="0.25">
      <c r="A13" s="6">
        <v>44866</v>
      </c>
      <c r="B13" s="8">
        <v>1483</v>
      </c>
      <c r="C13" s="2">
        <v>2416</v>
      </c>
      <c r="D13" s="2">
        <v>1090</v>
      </c>
      <c r="E13" s="2">
        <v>206775</v>
      </c>
      <c r="F13" s="2">
        <v>163.28100000000001</v>
      </c>
      <c r="G13" s="2">
        <v>206.035</v>
      </c>
      <c r="H13" s="2">
        <f t="shared" si="0"/>
        <v>79.249156696677758</v>
      </c>
      <c r="I13" s="2">
        <v>1385.7219999999998</v>
      </c>
      <c r="J13" s="2">
        <v>0</v>
      </c>
      <c r="K13" s="2">
        <v>1385.7219999999998</v>
      </c>
      <c r="L13" s="2">
        <v>13.387</v>
      </c>
      <c r="M13" s="2">
        <v>1.3640000000000001</v>
      </c>
      <c r="N13" s="2">
        <v>0</v>
      </c>
      <c r="O13" s="2">
        <v>14.750999999999999</v>
      </c>
      <c r="P13" s="2">
        <v>22.355</v>
      </c>
      <c r="Q13" s="2">
        <f t="shared" si="1"/>
        <v>65.985238201744565</v>
      </c>
    </row>
    <row r="14" spans="1:17" ht="18.600000000000001" customHeight="1" x14ac:dyDescent="0.25">
      <c r="A14" s="5">
        <v>44896</v>
      </c>
      <c r="B14" s="7">
        <v>1977</v>
      </c>
      <c r="C14" s="1">
        <v>3298.35</v>
      </c>
      <c r="D14" s="1">
        <v>1508</v>
      </c>
      <c r="E14" s="1">
        <v>292393</v>
      </c>
      <c r="F14" s="1">
        <v>235.89</v>
      </c>
      <c r="G14" s="1">
        <v>281.43</v>
      </c>
      <c r="H14" s="1">
        <f t="shared" si="0"/>
        <v>83.818356251998722</v>
      </c>
      <c r="I14" s="1">
        <v>1812.3300000000002</v>
      </c>
      <c r="J14" s="1"/>
      <c r="K14" s="1">
        <v>1812.3300000000002</v>
      </c>
      <c r="L14" s="1">
        <v>19.434000000000001</v>
      </c>
      <c r="M14" s="1">
        <v>1.8009999999999999</v>
      </c>
      <c r="N14" s="1">
        <v>0</v>
      </c>
      <c r="O14" s="1">
        <v>21.234999999999999</v>
      </c>
      <c r="P14" s="1">
        <v>30.916</v>
      </c>
      <c r="Q14" s="1">
        <f t="shared" si="1"/>
        <v>68.686117220856516</v>
      </c>
    </row>
    <row r="15" spans="1:17" ht="18.600000000000001" customHeight="1" x14ac:dyDescent="0.25">
      <c r="A15" s="6">
        <v>44927</v>
      </c>
      <c r="B15" s="8">
        <v>2448</v>
      </c>
      <c r="C15" s="2">
        <v>4124</v>
      </c>
      <c r="D15" s="2">
        <v>1856</v>
      </c>
      <c r="E15" s="2">
        <v>356550</v>
      </c>
      <c r="F15" s="2">
        <v>281.52716099999998</v>
      </c>
      <c r="G15" s="2">
        <v>339.79324700000001</v>
      </c>
      <c r="H15" s="2">
        <f t="shared" si="0"/>
        <v>82.852488531062534</v>
      </c>
      <c r="I15" s="2">
        <v>1778.48</v>
      </c>
      <c r="J15" s="2"/>
      <c r="K15" s="2">
        <v>1778.48</v>
      </c>
      <c r="L15" s="2">
        <v>23.053355563</v>
      </c>
      <c r="M15" s="2">
        <v>1.821</v>
      </c>
      <c r="N15" s="2">
        <v>0</v>
      </c>
      <c r="O15" s="2">
        <v>24.874355563000002</v>
      </c>
      <c r="P15" s="2">
        <v>38.062765586000005</v>
      </c>
      <c r="Q15" s="2">
        <f t="shared" si="1"/>
        <v>65.350888670446807</v>
      </c>
    </row>
    <row r="16" spans="1:17" ht="18.600000000000001" customHeight="1" x14ac:dyDescent="0.25">
      <c r="A16" s="5">
        <v>44958</v>
      </c>
      <c r="B16" s="7">
        <v>2469</v>
      </c>
      <c r="C16" s="1">
        <v>4089</v>
      </c>
      <c r="D16" s="1">
        <v>1832.203</v>
      </c>
      <c r="E16" s="1">
        <v>361135</v>
      </c>
      <c r="F16" s="1">
        <v>278.74799999999999</v>
      </c>
      <c r="G16" s="1">
        <v>332.97800000000001</v>
      </c>
      <c r="H16" s="1">
        <f t="shared" si="0"/>
        <v>83.713638738895654</v>
      </c>
      <c r="I16" s="1">
        <v>1900.7517800000001</v>
      </c>
      <c r="J16" s="1"/>
      <c r="K16" s="1">
        <v>1900.7517800000001</v>
      </c>
      <c r="L16" s="1">
        <v>22.759</v>
      </c>
      <c r="M16" s="1">
        <v>1.978</v>
      </c>
      <c r="N16" s="1">
        <v>0</v>
      </c>
      <c r="O16" s="1">
        <v>24.736999999999998</v>
      </c>
      <c r="P16" s="1">
        <v>37.570999999999998</v>
      </c>
      <c r="Q16" s="1">
        <f t="shared" si="1"/>
        <v>65.840674988688079</v>
      </c>
    </row>
    <row r="17" spans="1:17" ht="18.600000000000001" customHeight="1" x14ac:dyDescent="0.25">
      <c r="A17" s="6">
        <v>44986</v>
      </c>
      <c r="B17" s="8">
        <v>3199</v>
      </c>
      <c r="C17" s="2">
        <v>5419.2839999999997</v>
      </c>
      <c r="D17" s="2">
        <v>2500.174</v>
      </c>
      <c r="E17" s="2">
        <v>419911</v>
      </c>
      <c r="F17" s="2">
        <v>331.95299999999997</v>
      </c>
      <c r="G17" s="2">
        <v>451.005</v>
      </c>
      <c r="H17" s="2">
        <f t="shared" si="0"/>
        <v>73.602953404064252</v>
      </c>
      <c r="I17" s="2">
        <v>2238.7240400000005</v>
      </c>
      <c r="J17" s="2"/>
      <c r="K17" s="2">
        <v>2238.7240400000005</v>
      </c>
      <c r="L17" s="2">
        <v>26.911000000000001</v>
      </c>
      <c r="M17" s="2">
        <v>2.1819999999999999</v>
      </c>
      <c r="N17" s="2">
        <v>0</v>
      </c>
      <c r="O17" s="2">
        <v>29.093</v>
      </c>
      <c r="P17" s="2">
        <v>51.268999999999998</v>
      </c>
      <c r="Q17" s="2">
        <f t="shared" si="1"/>
        <v>56.745791804014125</v>
      </c>
    </row>
    <row r="18" spans="1:17" ht="18.600000000000001" customHeight="1" x14ac:dyDescent="0.25">
      <c r="A18" s="3" t="s">
        <v>19</v>
      </c>
      <c r="B18" s="7">
        <f>SUM(B6:B17)</f>
        <v>13600</v>
      </c>
      <c r="C18" s="7">
        <f t="shared" ref="C18:G18" si="2">SUM(C6:C17)</f>
        <v>22439.944</v>
      </c>
      <c r="D18" s="7">
        <f t="shared" si="2"/>
        <v>10125.377</v>
      </c>
      <c r="E18" s="7">
        <f t="shared" si="2"/>
        <v>1913714</v>
      </c>
      <c r="F18" s="1">
        <f t="shared" si="2"/>
        <v>1483.6780309999999</v>
      </c>
      <c r="G18" s="1">
        <f t="shared" si="2"/>
        <v>1864.2063580000004</v>
      </c>
      <c r="H18" s="1">
        <f t="shared" ref="H18" si="3">F18/G18*100</f>
        <v>79.587649974102263</v>
      </c>
      <c r="I18" s="1">
        <f>SUM(I6:I17)</f>
        <v>10956.209070000001</v>
      </c>
      <c r="J18" s="1">
        <f t="shared" ref="J18:P18" si="4">SUM(J6:J17)</f>
        <v>0</v>
      </c>
      <c r="K18" s="1">
        <f t="shared" si="4"/>
        <v>10956.209070000001</v>
      </c>
      <c r="L18" s="1">
        <f t="shared" si="4"/>
        <v>120.45305503168318</v>
      </c>
      <c r="M18" s="1">
        <f t="shared" si="4"/>
        <v>10.762023974</v>
      </c>
      <c r="N18" s="1">
        <f t="shared" si="4"/>
        <v>0</v>
      </c>
      <c r="O18" s="1">
        <f t="shared" si="4"/>
        <v>131.21507900568318</v>
      </c>
      <c r="P18" s="1">
        <f t="shared" si="4"/>
        <v>207.63113928000001</v>
      </c>
      <c r="Q18" s="1">
        <f t="shared" ref="Q18" si="5">O18/P18*100</f>
        <v>63.196242847145243</v>
      </c>
    </row>
    <row r="19" spans="1:17" ht="18.600000000000001" customHeight="1" x14ac:dyDescent="0.25">
      <c r="A19" s="11" t="s">
        <v>21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DECCAN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2022-04-25T12:12:49Z</cp:lastPrinted>
  <dcterms:created xsi:type="dcterms:W3CDTF">2020-06-03T10:38:16Z</dcterms:created>
  <dcterms:modified xsi:type="dcterms:W3CDTF">2023-09-19T11:21:41Z</dcterms:modified>
</cp:coreProperties>
</file>