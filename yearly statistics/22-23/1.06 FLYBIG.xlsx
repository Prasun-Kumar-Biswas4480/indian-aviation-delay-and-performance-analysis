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FFICE\Yearly publication\2022-23\FINALupdated 26-09-2023\Annual tables 22_23\FLYBIG\"/>
    </mc:Choice>
  </mc:AlternateContent>
  <bookViews>
    <workbookView xWindow="0" yWindow="0" windowWidth="24000" windowHeight="10725"/>
  </bookViews>
  <sheets>
    <sheet name="flybig" sheetId="1" r:id="rId1"/>
  </sheets>
  <definedNames>
    <definedName name="_xlnm.Print_Area" localSheetId="0">flybig!$A$1:$Q$41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1" l="1"/>
  <c r="F37" i="1"/>
  <c r="E37" i="1"/>
  <c r="Q34" i="1"/>
  <c r="P34" i="1"/>
  <c r="P37" i="1" s="1"/>
  <c r="O34" i="1"/>
  <c r="L34" i="1"/>
  <c r="L37" i="1" s="1"/>
  <c r="H34" i="1"/>
  <c r="G34" i="1"/>
  <c r="F34" i="1"/>
  <c r="D37" i="1"/>
  <c r="C34" i="1"/>
  <c r="C37" i="1" s="1"/>
  <c r="B34" i="1"/>
  <c r="B37" i="1" s="1"/>
  <c r="Q37" i="1" l="1"/>
  <c r="O37" i="1"/>
  <c r="H37" i="1"/>
</calcChain>
</file>

<file path=xl/sharedStrings.xml><?xml version="1.0" encoding="utf-8"?>
<sst xmlns="http://schemas.openxmlformats.org/spreadsheetml/2006/main" count="101" uniqueCount="40">
  <si>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</si>
  <si>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</si>
  <si>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</si>
  <si>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</si>
  <si>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</si>
  <si>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</si>
  <si>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</si>
  <si>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</si>
  <si>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</si>
  <si>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</si>
  <si>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</si>
  <si>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</si>
  <si>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</si>
  <si>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</si>
  <si>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</si>
  <si>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</si>
  <si>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</si>
  <si>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</si>
  <si>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</si>
  <si>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2012-13</t>
  </si>
  <si>
    <t>2013-14</t>
  </si>
  <si>
    <t>2014-15</t>
  </si>
  <si>
    <t>2015-16</t>
  </si>
  <si>
    <t>2016-17</t>
  </si>
  <si>
    <t>2017-18</t>
  </si>
  <si>
    <t>Growth</t>
  </si>
  <si>
    <t>-</t>
  </si>
  <si>
    <t>CAGR</t>
  </si>
  <si>
    <t>2018-19</t>
  </si>
  <si>
    <t>2019-20</t>
  </si>
  <si>
    <t xml:space="preserve"> तालिका- 1.06 (फ्लाई बिग)</t>
  </si>
  <si>
    <t>TABLE - 1.06 (FLY BIG)</t>
  </si>
  <si>
    <t>SOURCE: ICAO ATR FORM 'A' FURNISHED BY FLY BIG</t>
  </si>
  <si>
    <t>* DENOTES that THE INTERNATIONAL OPERATIONS BY SCHEDULED INDIAN OPERATORS WERE CARRIED AS PER DGCA’S CIRCULAR DATED 26.03.2020 UNDER COVID-19 RESTRICTION.</t>
  </si>
  <si>
    <t xml:space="preserve">YEAR ON YEAR GROWTH AND CAGR FOR LAST TEN YEARS OF FLY BIG ON TOTAL (DOMESTIC + INTERNATIONAL*) SCHEDULED SERVICES (ALL AIR TRAFFIC AND OPERATING STATISTICS) </t>
  </si>
  <si>
    <t>2021-22</t>
  </si>
  <si>
    <t xml:space="preserve">  </t>
  </si>
  <si>
    <t>2020-21</t>
  </si>
  <si>
    <t>Note: Growth has been calculated with respect to preceeding year while Compound Annual Growth Rate (CAGR) has been calculating taking 2012-13 as a Base Year</t>
  </si>
  <si>
    <t>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</si>
</sst>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* #,##0.00_);_(* \(#,##0.00\);_(* &quot;-&quot;??_);_(@_)"/>
    <numFmt numFmtId="165" formatCode="0.0%"/>
    <numFmt numFmtId="166" formatCode="_(* #,##0_);_(* \(#,##0\);_(* &quot;-&quot;??_);_(@_)"/>
    <numFmt numFmtId="167" formatCode="_(* #,##0.0_);_(* \(#,##0.0\);_(* &quot;-&quot;??_);_(@_)"/>
    <numFmt numFmtId="168" formatCode="0.0"/>
    <numFmt numFmtId="169" formatCode="#,##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4" fillId="0" borderId="0" applyFont="0" applyFill="0" applyBorder="0" applyAlignment="0" applyProtection="0"/>
    <xf numFmtId="0" fontId="5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6" borderId="0" applyNumberFormat="0" applyBorder="0" applyAlignment="0" applyProtection="0"/>
    <xf numFmtId="164" fontId="4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Font="1"/>
    <xf numFmtId="0" fontId="0" fillId="0" borderId="0" xfId="0" applyFont="1" applyBorder="1"/>
    <xf numFmtId="0" fontId="4" fillId="4" borderId="1" xfId="3" applyBorder="1" applyAlignment="1" applyProtection="1">
      <alignment horizontal="center" vertical="center" wrapText="1"/>
    </xf>
    <xf numFmtId="0" fontId="5" fillId="6" borderId="1" xfId="5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5" fontId="3" fillId="2" borderId="1" xfId="1" applyNumberFormat="1" applyFont="1" applyFill="1" applyBorder="1" applyAlignment="1" applyProtection="1">
      <alignment horizontal="right" vertical="center" wrapText="1"/>
    </xf>
    <xf numFmtId="167" fontId="5" fillId="6" borderId="1" xfId="6" applyNumberFormat="1" applyFont="1" applyFill="1" applyBorder="1" applyAlignment="1" applyProtection="1">
      <alignment horizontal="center" vertical="center" wrapText="1"/>
    </xf>
    <xf numFmtId="166" fontId="5" fillId="6" borderId="1" xfId="6" applyNumberFormat="1" applyFont="1" applyFill="1" applyBorder="1" applyAlignment="1" applyProtection="1">
      <alignment horizontal="center" vertical="center" wrapText="1"/>
    </xf>
    <xf numFmtId="165" fontId="7" fillId="2" borderId="1" xfId="1" applyNumberFormat="1" applyFont="1" applyFill="1" applyBorder="1" applyAlignment="1" applyProtection="1">
      <alignment horizontal="center" vertical="center" wrapText="1"/>
    </xf>
    <xf numFmtId="168" fontId="8" fillId="7" borderId="1" xfId="1" applyNumberFormat="1" applyFont="1" applyFill="1" applyBorder="1" applyAlignment="1" applyProtection="1">
      <alignment horizontal="center" vertical="center" wrapText="1"/>
    </xf>
    <xf numFmtId="165" fontId="4" fillId="8" borderId="1" xfId="1" applyNumberFormat="1" applyFill="1" applyBorder="1" applyAlignment="1" applyProtection="1">
      <alignment horizontal="right" vertical="center" wrapText="1"/>
    </xf>
    <xf numFmtId="165" fontId="6" fillId="8" borderId="1" xfId="1" applyNumberFormat="1" applyFont="1" applyFill="1" applyBorder="1" applyAlignment="1" applyProtection="1">
      <alignment horizontal="center" vertical="center" wrapText="1"/>
    </xf>
    <xf numFmtId="165" fontId="4" fillId="8" borderId="1" xfId="3" applyNumberFormat="1" applyFill="1" applyBorder="1" applyAlignment="1" applyProtection="1">
      <alignment horizontal="right" vertical="center" wrapText="1"/>
    </xf>
    <xf numFmtId="165" fontId="6" fillId="4" borderId="1" xfId="3" applyNumberFormat="1" applyFont="1" applyBorder="1" applyAlignment="1" applyProtection="1">
      <alignment horizontal="right" vertical="center" wrapText="1"/>
    </xf>
    <xf numFmtId="165" fontId="7" fillId="2" borderId="1" xfId="1" applyNumberFormat="1" applyFont="1" applyFill="1" applyBorder="1" applyAlignment="1" applyProtection="1">
      <alignment horizontal="right" vertical="center" wrapText="1"/>
    </xf>
    <xf numFmtId="3" fontId="5" fillId="6" borderId="1" xfId="6" applyNumberFormat="1" applyFont="1" applyFill="1" applyBorder="1" applyAlignment="1" applyProtection="1">
      <alignment horizontal="center" vertical="center" wrapText="1"/>
    </xf>
    <xf numFmtId="164" fontId="5" fillId="6" borderId="1" xfId="6" applyFont="1" applyFill="1" applyBorder="1" applyAlignment="1" applyProtection="1">
      <alignment horizontal="center" vertical="center" wrapText="1"/>
    </xf>
    <xf numFmtId="0" fontId="3" fillId="3" borderId="1" xfId="2" applyFont="1" applyBorder="1" applyAlignment="1" applyProtection="1">
      <alignment horizontal="center" vertical="center" textRotation="90" wrapText="1"/>
    </xf>
    <xf numFmtId="167" fontId="8" fillId="7" borderId="1" xfId="1" applyNumberFormat="1" applyFont="1" applyFill="1" applyBorder="1" applyAlignment="1" applyProtection="1">
      <alignment horizontal="center" vertical="center" wrapText="1"/>
    </xf>
    <xf numFmtId="169" fontId="5" fillId="6" borderId="1" xfId="6" applyNumberFormat="1" applyFont="1" applyFill="1" applyBorder="1" applyAlignment="1" applyProtection="1">
      <alignment horizontal="right" vertical="center" wrapText="1"/>
    </xf>
    <xf numFmtId="3" fontId="5" fillId="6" borderId="1" xfId="6" applyNumberFormat="1" applyFont="1" applyFill="1" applyBorder="1" applyAlignment="1" applyProtection="1">
      <alignment horizontal="right" vertical="center" wrapText="1"/>
    </xf>
    <xf numFmtId="0" fontId="1" fillId="0" borderId="1" xfId="0" applyFont="1" applyBorder="1" applyAlignment="1">
      <alignment horizontal="left" wrapText="1"/>
    </xf>
    <xf numFmtId="0" fontId="3" fillId="3" borderId="1" xfId="2" applyFont="1" applyBorder="1" applyAlignment="1" applyProtection="1">
      <alignment horizontal="center" vertical="center" textRotation="90" wrapText="1"/>
    </xf>
    <xf numFmtId="0" fontId="3" fillId="3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5" borderId="1" xfId="4" applyFont="1" applyBorder="1" applyAlignment="1">
      <alignment horizontal="center" vertical="center" wrapText="1"/>
    </xf>
    <xf numFmtId="0" fontId="3" fillId="5" borderId="1" xfId="4" quotePrefix="1" applyFont="1" applyBorder="1" applyAlignment="1" applyProtection="1">
      <alignment horizontal="center" vertical="center" wrapText="1"/>
    </xf>
    <xf numFmtId="0" fontId="3" fillId="5" borderId="1" xfId="4" applyFont="1" applyBorder="1"/>
    <xf numFmtId="0" fontId="3" fillId="3" borderId="1" xfId="2" applyFont="1" applyBorder="1" applyAlignment="1" applyProtection="1">
      <alignment horizontal="center" vertical="center" wrapText="1"/>
    </xf>
    <xf numFmtId="0" fontId="3" fillId="3" borderId="1" xfId="2" applyFont="1" applyBorder="1"/>
  </cellXfs>
  <cellStyles count="7">
    <cellStyle name="20% - Accent1" xfId="3" builtinId="30"/>
    <cellStyle name="40% - Accent1" xfId="4" builtinId="31"/>
    <cellStyle name="60% - Accent1" xfId="5" builtinId="32"/>
    <cellStyle name="Accent1" xfId="2" builtinId="29"/>
    <cellStyle name="Comma" xfId="6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41"/>
  <sheetViews>
    <sheetView tabSelected="1" view="pageBreakPreview" topLeftCell="A25" zoomScaleNormal="100" zoomScaleSheetLayoutView="100" workbookViewId="0">
      <selection activeCell="D48" sqref="D48"/>
    </sheetView>
  </sheetViews>
  <sheetFormatPr defaultColWidth="9.140625" defaultRowHeight="15" x14ac:dyDescent="0.25"/>
  <cols>
    <col min="1" max="1" width="10.28515625" style="1" customWidth="1"/>
    <col min="2" max="2" width="9.42578125" style="1" customWidth="1"/>
    <col min="3" max="3" width="9.7109375" style="1" customWidth="1"/>
    <col min="4" max="4" width="12.7109375" style="1" bestFit="1" customWidth="1"/>
    <col min="5" max="5" width="12.28515625" style="1" customWidth="1"/>
    <col min="6" max="6" width="10" style="1" customWidth="1"/>
    <col min="7" max="7" width="9.7109375" style="1" customWidth="1"/>
    <col min="8" max="8" width="7.42578125" style="1" customWidth="1"/>
    <col min="9" max="9" width="10.5703125" style="1" customWidth="1"/>
    <col min="10" max="10" width="8.7109375" style="1" customWidth="1"/>
    <col min="11" max="11" width="10.85546875" style="1" customWidth="1"/>
    <col min="12" max="12" width="12.7109375" style="1" customWidth="1"/>
    <col min="13" max="13" width="9.5703125" style="1" customWidth="1"/>
    <col min="14" max="14" width="7.140625" style="1" customWidth="1"/>
    <col min="15" max="15" width="12.42578125" style="1" customWidth="1"/>
    <col min="16" max="16" width="12.140625" style="1" customWidth="1"/>
    <col min="17" max="17" width="7.42578125" style="1" customWidth="1"/>
    <col min="18" max="16384" width="9.140625" style="1"/>
  </cols>
  <sheetData>
    <row r="1" spans="1:17" x14ac:dyDescent="0.25">
      <c r="A1" s="29" t="s">
        <v>30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</row>
    <row r="2" spans="1:17" x14ac:dyDescent="0.25">
      <c r="A2" s="30" t="s">
        <v>31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</row>
    <row r="3" spans="1:17" x14ac:dyDescent="0.25">
      <c r="A3" s="32" t="s">
        <v>34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</row>
    <row r="4" spans="1:17" x14ac:dyDescent="0.25">
      <c r="A4" s="32" t="s">
        <v>0</v>
      </c>
      <c r="B4" s="32" t="s">
        <v>1</v>
      </c>
      <c r="C4" s="32"/>
      <c r="D4" s="32"/>
      <c r="E4" s="32" t="s">
        <v>2</v>
      </c>
      <c r="F4" s="33"/>
      <c r="G4" s="23" t="s">
        <v>3</v>
      </c>
      <c r="H4" s="23" t="s">
        <v>4</v>
      </c>
      <c r="I4" s="32" t="s">
        <v>5</v>
      </c>
      <c r="J4" s="32"/>
      <c r="K4" s="32"/>
      <c r="L4" s="32" t="s">
        <v>6</v>
      </c>
      <c r="M4" s="32"/>
      <c r="N4" s="32"/>
      <c r="O4" s="32"/>
      <c r="P4" s="23" t="s">
        <v>7</v>
      </c>
      <c r="Q4" s="23" t="s">
        <v>8</v>
      </c>
    </row>
    <row r="5" spans="1:17" ht="93" x14ac:dyDescent="0.25">
      <c r="A5" s="32"/>
      <c r="B5" s="18" t="s">
        <v>9</v>
      </c>
      <c r="C5" s="18" t="s">
        <v>10</v>
      </c>
      <c r="D5" s="18" t="s">
        <v>11</v>
      </c>
      <c r="E5" s="18" t="s">
        <v>12</v>
      </c>
      <c r="F5" s="18" t="s">
        <v>13</v>
      </c>
      <c r="G5" s="24"/>
      <c r="H5" s="24"/>
      <c r="I5" s="18" t="s">
        <v>14</v>
      </c>
      <c r="J5" s="18" t="s">
        <v>15</v>
      </c>
      <c r="K5" s="18" t="s">
        <v>16</v>
      </c>
      <c r="L5" s="18" t="s">
        <v>17</v>
      </c>
      <c r="M5" s="18" t="s">
        <v>18</v>
      </c>
      <c r="N5" s="18" t="s">
        <v>15</v>
      </c>
      <c r="O5" s="18" t="s">
        <v>16</v>
      </c>
      <c r="P5" s="24"/>
      <c r="Q5" s="24"/>
    </row>
    <row r="6" spans="1:17" x14ac:dyDescent="0.25">
      <c r="A6" s="4" t="s">
        <v>19</v>
      </c>
      <c r="B6" s="8"/>
      <c r="C6" s="8"/>
      <c r="D6" s="8"/>
      <c r="E6" s="8"/>
      <c r="F6" s="8"/>
      <c r="G6" s="8"/>
      <c r="H6" s="10"/>
      <c r="I6" s="7"/>
      <c r="J6" s="7"/>
      <c r="K6" s="7"/>
      <c r="L6" s="7"/>
      <c r="M6" s="7"/>
      <c r="N6" s="7"/>
      <c r="O6" s="7"/>
      <c r="P6" s="7"/>
      <c r="Q6" s="10"/>
    </row>
    <row r="7" spans="1:17" x14ac:dyDescent="0.25">
      <c r="A7" s="3" t="s">
        <v>25</v>
      </c>
      <c r="B7" s="11"/>
      <c r="C7" s="11"/>
      <c r="D7" s="11"/>
      <c r="E7" s="11"/>
      <c r="F7" s="11"/>
      <c r="G7" s="11"/>
      <c r="H7" s="12"/>
      <c r="I7" s="11"/>
      <c r="J7" s="11"/>
      <c r="K7" s="11"/>
      <c r="L7" s="11"/>
      <c r="M7" s="11"/>
      <c r="N7" s="11"/>
      <c r="O7" s="11"/>
      <c r="P7" s="11"/>
      <c r="Q7" s="12"/>
    </row>
    <row r="8" spans="1:17" s="2" customFormat="1" x14ac:dyDescent="0.25">
      <c r="A8" s="5" t="s">
        <v>27</v>
      </c>
      <c r="B8" s="6"/>
      <c r="C8" s="6"/>
      <c r="D8" s="6"/>
      <c r="E8" s="6"/>
      <c r="F8" s="6"/>
      <c r="G8" s="6"/>
      <c r="H8" s="9"/>
      <c r="I8" s="6"/>
      <c r="J8" s="6"/>
      <c r="K8" s="6"/>
      <c r="L8" s="6"/>
      <c r="M8" s="6"/>
      <c r="N8" s="6"/>
      <c r="O8" s="6"/>
      <c r="P8" s="6"/>
      <c r="Q8" s="9"/>
    </row>
    <row r="9" spans="1:17" x14ac:dyDescent="0.25">
      <c r="A9" s="4" t="s">
        <v>20</v>
      </c>
      <c r="B9" s="8"/>
      <c r="C9" s="8"/>
      <c r="D9" s="8"/>
      <c r="E9" s="8"/>
      <c r="F9" s="8"/>
      <c r="G9" s="8"/>
      <c r="H9" s="10"/>
      <c r="I9" s="7"/>
      <c r="J9" s="7"/>
      <c r="K9" s="7"/>
      <c r="L9" s="7"/>
      <c r="M9" s="7"/>
      <c r="N9" s="7"/>
      <c r="O9" s="7"/>
      <c r="P9" s="7"/>
      <c r="Q9" s="10"/>
    </row>
    <row r="10" spans="1:17" x14ac:dyDescent="0.25">
      <c r="A10" s="3" t="s">
        <v>25</v>
      </c>
      <c r="B10" s="13"/>
      <c r="C10" s="13"/>
      <c r="D10" s="13"/>
      <c r="E10" s="13"/>
      <c r="F10" s="13"/>
      <c r="G10" s="13"/>
      <c r="H10" s="12"/>
      <c r="I10" s="13"/>
      <c r="J10" s="13"/>
      <c r="K10" s="13"/>
      <c r="L10" s="13"/>
      <c r="M10" s="13"/>
      <c r="N10" s="13"/>
      <c r="O10" s="13"/>
      <c r="P10" s="13"/>
      <c r="Q10" s="12"/>
    </row>
    <row r="11" spans="1:17" x14ac:dyDescent="0.25">
      <c r="A11" s="5" t="s">
        <v>27</v>
      </c>
      <c r="B11" s="6"/>
      <c r="C11" s="6"/>
      <c r="D11" s="6"/>
      <c r="E11" s="6"/>
      <c r="F11" s="6"/>
      <c r="G11" s="6"/>
      <c r="H11" s="9"/>
      <c r="I11" s="6"/>
      <c r="J11" s="6"/>
      <c r="K11" s="6" t="s">
        <v>36</v>
      </c>
      <c r="L11" s="6"/>
      <c r="M11" s="6"/>
      <c r="N11" s="6"/>
      <c r="O11" s="6"/>
      <c r="P11" s="6"/>
      <c r="Q11" s="9"/>
    </row>
    <row r="12" spans="1:17" x14ac:dyDescent="0.25">
      <c r="A12" s="4" t="s">
        <v>21</v>
      </c>
      <c r="B12" s="8"/>
      <c r="C12" s="8"/>
      <c r="D12" s="8"/>
      <c r="E12" s="8"/>
      <c r="F12" s="8"/>
      <c r="G12" s="8"/>
      <c r="H12" s="10"/>
      <c r="I12" s="7"/>
      <c r="J12" s="7"/>
      <c r="K12" s="7" t="s">
        <v>36</v>
      </c>
      <c r="L12" s="7"/>
      <c r="M12" s="7"/>
      <c r="N12" s="7"/>
      <c r="O12" s="7"/>
      <c r="P12" s="7"/>
      <c r="Q12" s="10"/>
    </row>
    <row r="13" spans="1:17" x14ac:dyDescent="0.25">
      <c r="A13" s="3" t="s">
        <v>25</v>
      </c>
      <c r="B13" s="13"/>
      <c r="C13" s="13"/>
      <c r="D13" s="13"/>
      <c r="E13" s="13"/>
      <c r="F13" s="13"/>
      <c r="G13" s="13"/>
      <c r="H13" s="12"/>
      <c r="I13" s="13"/>
      <c r="J13" s="13"/>
      <c r="K13" s="13"/>
      <c r="L13" s="13"/>
      <c r="M13" s="13"/>
      <c r="N13" s="13"/>
      <c r="O13" s="13"/>
      <c r="P13" s="13"/>
      <c r="Q13" s="12"/>
    </row>
    <row r="14" spans="1:17" x14ac:dyDescent="0.25">
      <c r="A14" s="5" t="s">
        <v>27</v>
      </c>
      <c r="B14" s="6"/>
      <c r="C14" s="6"/>
      <c r="D14" s="6"/>
      <c r="E14" s="6"/>
      <c r="F14" s="6"/>
      <c r="G14" s="6"/>
      <c r="H14" s="9"/>
      <c r="I14" s="6"/>
      <c r="J14" s="6"/>
      <c r="K14" s="6"/>
      <c r="L14" s="6"/>
      <c r="M14" s="6"/>
      <c r="N14" s="6"/>
      <c r="O14" s="6"/>
      <c r="P14" s="6"/>
      <c r="Q14" s="9"/>
    </row>
    <row r="15" spans="1:17" x14ac:dyDescent="0.25">
      <c r="A15" s="4" t="s">
        <v>22</v>
      </c>
      <c r="B15" s="8"/>
      <c r="C15" s="8"/>
      <c r="D15" s="8"/>
      <c r="E15" s="8"/>
      <c r="F15" s="8"/>
      <c r="G15" s="8"/>
      <c r="H15" s="10"/>
      <c r="I15" s="7"/>
      <c r="J15" s="7"/>
      <c r="K15" s="7"/>
      <c r="L15" s="7"/>
      <c r="M15" s="7"/>
      <c r="N15" s="7"/>
      <c r="O15" s="7"/>
      <c r="P15" s="7"/>
      <c r="Q15" s="10"/>
    </row>
    <row r="16" spans="1:17" x14ac:dyDescent="0.25">
      <c r="A16" s="3" t="s">
        <v>25</v>
      </c>
      <c r="B16" s="13"/>
      <c r="C16" s="13"/>
      <c r="D16" s="13"/>
      <c r="E16" s="13"/>
      <c r="F16" s="13"/>
      <c r="G16" s="13"/>
      <c r="H16" s="12"/>
      <c r="I16" s="13"/>
      <c r="J16" s="13"/>
      <c r="K16" s="13"/>
      <c r="L16" s="13"/>
      <c r="M16" s="13"/>
      <c r="N16" s="13"/>
      <c r="O16" s="13"/>
      <c r="P16" s="13"/>
      <c r="Q16" s="12"/>
    </row>
    <row r="17" spans="1:17" x14ac:dyDescent="0.25">
      <c r="A17" s="5" t="s">
        <v>27</v>
      </c>
      <c r="B17" s="6"/>
      <c r="C17" s="6"/>
      <c r="D17" s="6"/>
      <c r="E17" s="6"/>
      <c r="F17" s="6"/>
      <c r="G17" s="6"/>
      <c r="H17" s="9"/>
      <c r="I17" s="6"/>
      <c r="J17" s="6"/>
      <c r="K17" s="6"/>
      <c r="L17" s="6"/>
      <c r="M17" s="6"/>
      <c r="N17" s="6"/>
      <c r="O17" s="6"/>
      <c r="P17" s="6"/>
      <c r="Q17" s="9"/>
    </row>
    <row r="18" spans="1:17" x14ac:dyDescent="0.25">
      <c r="A18" s="4" t="s">
        <v>23</v>
      </c>
      <c r="B18" s="8"/>
      <c r="C18" s="8"/>
      <c r="D18" s="8"/>
      <c r="E18" s="8"/>
      <c r="F18" s="8"/>
      <c r="G18" s="8"/>
      <c r="H18" s="10"/>
      <c r="I18" s="7"/>
      <c r="J18" s="7"/>
      <c r="K18" s="7"/>
      <c r="L18" s="7"/>
      <c r="M18" s="7"/>
      <c r="N18" s="7"/>
      <c r="O18" s="7"/>
      <c r="P18" s="7"/>
      <c r="Q18" s="10"/>
    </row>
    <row r="19" spans="1:17" x14ac:dyDescent="0.25">
      <c r="A19" s="3" t="s">
        <v>25</v>
      </c>
      <c r="B19" s="13"/>
      <c r="C19" s="13"/>
      <c r="D19" s="13"/>
      <c r="E19" s="13"/>
      <c r="F19" s="13"/>
      <c r="G19" s="13"/>
      <c r="H19" s="12"/>
      <c r="I19" s="13"/>
      <c r="J19" s="13"/>
      <c r="K19" s="13"/>
      <c r="L19" s="13"/>
      <c r="M19" s="13"/>
      <c r="N19" s="13"/>
      <c r="O19" s="13"/>
      <c r="P19" s="13"/>
      <c r="Q19" s="12"/>
    </row>
    <row r="20" spans="1:17" x14ac:dyDescent="0.25">
      <c r="A20" s="5" t="s">
        <v>27</v>
      </c>
      <c r="B20" s="6"/>
      <c r="C20" s="6"/>
      <c r="D20" s="6"/>
      <c r="E20" s="6"/>
      <c r="F20" s="6"/>
      <c r="G20" s="6"/>
      <c r="H20" s="9"/>
      <c r="I20" s="6"/>
      <c r="J20" s="6"/>
      <c r="K20" s="6"/>
      <c r="L20" s="6"/>
      <c r="M20" s="6"/>
      <c r="N20" s="6"/>
      <c r="O20" s="6"/>
      <c r="P20" s="6"/>
      <c r="Q20" s="9"/>
    </row>
    <row r="21" spans="1:17" x14ac:dyDescent="0.25">
      <c r="A21" s="4" t="s">
        <v>24</v>
      </c>
      <c r="B21" s="8"/>
      <c r="C21" s="8"/>
      <c r="D21" s="8"/>
      <c r="E21" s="8"/>
      <c r="F21" s="8"/>
      <c r="G21" s="8"/>
      <c r="H21" s="10"/>
      <c r="I21" s="7"/>
      <c r="J21" s="7"/>
      <c r="K21" s="7"/>
      <c r="L21" s="7"/>
      <c r="M21" s="7"/>
      <c r="N21" s="7"/>
      <c r="O21" s="7"/>
      <c r="P21" s="7"/>
      <c r="Q21" s="10"/>
    </row>
    <row r="22" spans="1:17" x14ac:dyDescent="0.25">
      <c r="A22" s="3" t="s">
        <v>25</v>
      </c>
      <c r="B22" s="13"/>
      <c r="C22" s="13"/>
      <c r="D22" s="13"/>
      <c r="E22" s="13"/>
      <c r="F22" s="13"/>
      <c r="G22" s="13"/>
      <c r="H22" s="12"/>
      <c r="I22" s="13"/>
      <c r="J22" s="13"/>
      <c r="K22" s="13"/>
      <c r="L22" s="13"/>
      <c r="M22" s="13"/>
      <c r="N22" s="13"/>
      <c r="O22" s="13"/>
      <c r="P22" s="13"/>
      <c r="Q22" s="12"/>
    </row>
    <row r="23" spans="1:17" x14ac:dyDescent="0.25">
      <c r="A23" s="5" t="s">
        <v>27</v>
      </c>
      <c r="B23" s="6"/>
      <c r="C23" s="6"/>
      <c r="D23" s="6"/>
      <c r="E23" s="6"/>
      <c r="F23" s="6"/>
      <c r="G23" s="6"/>
      <c r="H23" s="9"/>
      <c r="I23" s="6"/>
      <c r="J23" s="6"/>
      <c r="K23" s="6"/>
      <c r="L23" s="6"/>
      <c r="M23" s="6"/>
      <c r="N23" s="6"/>
      <c r="O23" s="6"/>
      <c r="P23" s="6"/>
      <c r="Q23" s="9"/>
    </row>
    <row r="24" spans="1:17" x14ac:dyDescent="0.25">
      <c r="A24" s="4" t="s">
        <v>28</v>
      </c>
      <c r="B24" s="8"/>
      <c r="C24" s="8"/>
      <c r="D24" s="8"/>
      <c r="E24" s="8"/>
      <c r="F24" s="8"/>
      <c r="G24" s="8"/>
      <c r="H24" s="10"/>
      <c r="I24" s="7"/>
      <c r="J24" s="7"/>
      <c r="K24" s="7"/>
      <c r="L24" s="7"/>
      <c r="M24" s="7"/>
      <c r="N24" s="7"/>
      <c r="O24" s="7"/>
      <c r="P24" s="7"/>
      <c r="Q24" s="10"/>
    </row>
    <row r="25" spans="1:17" x14ac:dyDescent="0.25">
      <c r="A25" s="3" t="s">
        <v>25</v>
      </c>
      <c r="B25" s="13"/>
      <c r="C25" s="13"/>
      <c r="D25" s="13"/>
      <c r="E25" s="13"/>
      <c r="F25" s="13"/>
      <c r="G25" s="13"/>
      <c r="H25" s="12"/>
      <c r="I25" s="13"/>
      <c r="J25" s="13"/>
      <c r="K25" s="13"/>
      <c r="L25" s="13"/>
      <c r="M25" s="13"/>
      <c r="N25" s="13"/>
      <c r="O25" s="13"/>
      <c r="P25" s="13"/>
      <c r="Q25" s="12"/>
    </row>
    <row r="26" spans="1:17" x14ac:dyDescent="0.25">
      <c r="A26" s="5" t="s">
        <v>27</v>
      </c>
      <c r="B26" s="6"/>
      <c r="C26" s="6"/>
      <c r="D26" s="6"/>
      <c r="E26" s="6"/>
      <c r="F26" s="6"/>
      <c r="G26" s="6"/>
      <c r="H26" s="9"/>
      <c r="I26" s="6"/>
      <c r="J26" s="6"/>
      <c r="K26" s="6"/>
      <c r="L26" s="6"/>
      <c r="M26" s="6"/>
      <c r="N26" s="6"/>
      <c r="O26" s="6"/>
      <c r="P26" s="6"/>
      <c r="Q26" s="9"/>
    </row>
    <row r="27" spans="1:17" x14ac:dyDescent="0.25">
      <c r="A27" s="4" t="s">
        <v>29</v>
      </c>
      <c r="B27" s="8"/>
      <c r="C27" s="8"/>
      <c r="D27" s="8"/>
      <c r="E27" s="8"/>
      <c r="F27" s="8"/>
      <c r="G27" s="8"/>
      <c r="H27" s="10"/>
      <c r="I27" s="7"/>
      <c r="J27" s="7"/>
      <c r="K27" s="7"/>
      <c r="L27" s="7"/>
      <c r="M27" s="7"/>
      <c r="N27" s="7"/>
      <c r="O27" s="7"/>
      <c r="P27" s="7"/>
      <c r="Q27" s="10"/>
    </row>
    <row r="28" spans="1:17" x14ac:dyDescent="0.25">
      <c r="A28" s="3" t="s">
        <v>25</v>
      </c>
      <c r="B28" s="13"/>
      <c r="C28" s="13"/>
      <c r="D28" s="13"/>
      <c r="E28" s="13"/>
      <c r="F28" s="13"/>
      <c r="G28" s="13"/>
      <c r="H28" s="12"/>
      <c r="I28" s="13"/>
      <c r="J28" s="13"/>
      <c r="K28" s="13"/>
      <c r="L28" s="13"/>
      <c r="M28" s="13"/>
      <c r="N28" s="13"/>
      <c r="O28" s="13"/>
      <c r="P28" s="13"/>
      <c r="Q28" s="12"/>
    </row>
    <row r="29" spans="1:17" x14ac:dyDescent="0.25">
      <c r="A29" s="5" t="s">
        <v>27</v>
      </c>
      <c r="B29" s="6"/>
      <c r="C29" s="6"/>
      <c r="D29" s="6"/>
      <c r="E29" s="6"/>
      <c r="F29" s="6"/>
      <c r="G29" s="6"/>
      <c r="H29" s="9"/>
      <c r="I29" s="6"/>
      <c r="J29" s="6"/>
      <c r="K29" s="6"/>
      <c r="L29" s="6"/>
      <c r="M29" s="6"/>
      <c r="N29" s="6"/>
      <c r="O29" s="6"/>
      <c r="P29" s="6"/>
      <c r="Q29" s="9"/>
    </row>
    <row r="30" spans="1:17" x14ac:dyDescent="0.25">
      <c r="A30" s="4" t="s">
        <v>37</v>
      </c>
      <c r="B30" s="8">
        <v>226</v>
      </c>
      <c r="C30" s="8">
        <v>289</v>
      </c>
      <c r="D30" s="8">
        <v>84.177999999999997</v>
      </c>
      <c r="E30" s="8">
        <v>7238</v>
      </c>
      <c r="F30" s="8">
        <v>3.4677699999999998</v>
      </c>
      <c r="G30" s="8">
        <v>7.7315000000000005</v>
      </c>
      <c r="H30" s="10">
        <v>44.852486580870462</v>
      </c>
      <c r="I30" s="7">
        <v>0</v>
      </c>
      <c r="J30" s="7">
        <v>0</v>
      </c>
      <c r="K30" s="7">
        <v>0</v>
      </c>
      <c r="L30" s="7">
        <v>0.26007999999999998</v>
      </c>
      <c r="M30" s="7">
        <v>0</v>
      </c>
      <c r="N30" s="7">
        <v>0</v>
      </c>
      <c r="O30" s="7">
        <v>0.25605</v>
      </c>
      <c r="P30" s="7">
        <v>2.3614800000000002</v>
      </c>
      <c r="Q30" s="10">
        <v>10.842776563849787</v>
      </c>
    </row>
    <row r="31" spans="1:17" x14ac:dyDescent="0.25">
      <c r="A31" s="3" t="s">
        <v>25</v>
      </c>
      <c r="B31" s="14"/>
      <c r="C31" s="14"/>
      <c r="D31" s="14"/>
      <c r="E31" s="14"/>
      <c r="F31" s="14"/>
      <c r="G31" s="14"/>
      <c r="H31" s="12"/>
      <c r="I31" s="14"/>
      <c r="J31" s="14"/>
      <c r="K31" s="14"/>
      <c r="L31" s="14"/>
      <c r="M31" s="14"/>
      <c r="N31" s="14"/>
      <c r="O31" s="14"/>
      <c r="P31" s="14"/>
      <c r="Q31" s="12"/>
    </row>
    <row r="32" spans="1:17" x14ac:dyDescent="0.25">
      <c r="A32" s="5" t="s">
        <v>27</v>
      </c>
      <c r="B32" s="15"/>
      <c r="C32" s="15"/>
      <c r="D32" s="15"/>
      <c r="E32" s="15"/>
      <c r="F32" s="15"/>
      <c r="G32" s="15"/>
      <c r="H32" s="9"/>
      <c r="I32" s="15"/>
      <c r="J32" s="15"/>
      <c r="K32" s="15"/>
      <c r="L32" s="15"/>
      <c r="M32" s="15"/>
      <c r="N32" s="15"/>
      <c r="O32" s="15"/>
      <c r="P32" s="15"/>
      <c r="Q32" s="9"/>
    </row>
    <row r="33" spans="1:17" ht="15.75" customHeight="1" x14ac:dyDescent="0.25">
      <c r="A33" s="4" t="s">
        <v>35</v>
      </c>
      <c r="B33" s="21">
        <v>2210</v>
      </c>
      <c r="C33" s="21">
        <v>2627.63</v>
      </c>
      <c r="D33" s="21">
        <v>11863.77</v>
      </c>
      <c r="E33" s="21">
        <v>81268</v>
      </c>
      <c r="F33" s="7">
        <v>30.496769999999998</v>
      </c>
      <c r="G33" s="7">
        <v>59.715550000000007</v>
      </c>
      <c r="H33" s="19">
        <v>51.07006466489883</v>
      </c>
      <c r="I33" s="17">
        <v>0</v>
      </c>
      <c r="J33" s="17">
        <v>0</v>
      </c>
      <c r="K33" s="17">
        <v>0</v>
      </c>
      <c r="L33" s="7">
        <v>2.2872000000000003</v>
      </c>
      <c r="M33" s="7">
        <v>0</v>
      </c>
      <c r="N33" s="7">
        <v>0</v>
      </c>
      <c r="O33" s="7">
        <v>2.2872000000000003</v>
      </c>
      <c r="P33" s="7">
        <v>18.252542000000002</v>
      </c>
      <c r="Q33" s="19">
        <v>12.530857345787783</v>
      </c>
    </row>
    <row r="34" spans="1:17" x14ac:dyDescent="0.25">
      <c r="A34" s="3" t="s">
        <v>25</v>
      </c>
      <c r="B34" s="14">
        <f t="shared" ref="B34:H34" si="0">(B33-B30)/B30</f>
        <v>8.7787610619469021</v>
      </c>
      <c r="C34" s="14">
        <f t="shared" si="0"/>
        <v>8.0921453287197238</v>
      </c>
      <c r="D34" s="14"/>
      <c r="E34" s="14"/>
      <c r="F34" s="14">
        <f t="shared" si="0"/>
        <v>7.7943462225003382</v>
      </c>
      <c r="G34" s="14">
        <f t="shared" si="0"/>
        <v>6.723669404384661</v>
      </c>
      <c r="H34" s="12">
        <f t="shared" si="0"/>
        <v>0.13862281799734508</v>
      </c>
      <c r="I34" s="14" t="s">
        <v>26</v>
      </c>
      <c r="J34" s="14" t="s">
        <v>26</v>
      </c>
      <c r="K34" s="14" t="s">
        <v>26</v>
      </c>
      <c r="L34" s="14">
        <f>(L33-L30)/L30</f>
        <v>7.7942171639495568</v>
      </c>
      <c r="M34" s="14" t="s">
        <v>26</v>
      </c>
      <c r="N34" s="14" t="s">
        <v>26</v>
      </c>
      <c r="O34" s="14">
        <f>(O33-O30)/O30</f>
        <v>7.9326303456356193</v>
      </c>
      <c r="P34" s="14">
        <f>(P33-P30)/P30</f>
        <v>6.7292807900130427</v>
      </c>
      <c r="Q34" s="12">
        <f>(Q33-Q30)/Q30</f>
        <v>0.15568713161222184</v>
      </c>
    </row>
    <row r="35" spans="1:17" x14ac:dyDescent="0.25">
      <c r="A35" s="5" t="s">
        <v>27</v>
      </c>
      <c r="B35" s="15" t="s">
        <v>26</v>
      </c>
      <c r="C35" s="15" t="s">
        <v>26</v>
      </c>
      <c r="D35" s="15" t="s">
        <v>26</v>
      </c>
      <c r="E35" s="15" t="s">
        <v>26</v>
      </c>
      <c r="F35" s="15" t="s">
        <v>26</v>
      </c>
      <c r="G35" s="15" t="s">
        <v>26</v>
      </c>
      <c r="H35" s="9" t="s">
        <v>26</v>
      </c>
      <c r="I35" s="15" t="s">
        <v>26</v>
      </c>
      <c r="J35" s="15" t="s">
        <v>26</v>
      </c>
      <c r="K35" s="15" t="s">
        <v>26</v>
      </c>
      <c r="L35" s="15" t="s">
        <v>26</v>
      </c>
      <c r="M35" s="15" t="s">
        <v>26</v>
      </c>
      <c r="N35" s="15" t="s">
        <v>26</v>
      </c>
      <c r="O35" s="15" t="s">
        <v>26</v>
      </c>
      <c r="P35" s="15" t="s">
        <v>26</v>
      </c>
      <c r="Q35" s="9" t="s">
        <v>26</v>
      </c>
    </row>
    <row r="36" spans="1:17" x14ac:dyDescent="0.25">
      <c r="A36" s="4" t="s">
        <v>39</v>
      </c>
      <c r="B36" s="21">
        <v>6172</v>
      </c>
      <c r="C36" s="21">
        <v>8496.413333333332</v>
      </c>
      <c r="D36" s="21">
        <v>2670.06</v>
      </c>
      <c r="E36" s="21">
        <v>255592</v>
      </c>
      <c r="F36" s="20">
        <v>111.30744</v>
      </c>
      <c r="G36" s="20">
        <v>189.79321400000001</v>
      </c>
      <c r="H36" s="20">
        <v>58.646691129852513</v>
      </c>
      <c r="I36" s="17">
        <v>0</v>
      </c>
      <c r="J36" s="17">
        <v>0</v>
      </c>
      <c r="K36" s="17">
        <v>0</v>
      </c>
      <c r="L36" s="20">
        <v>8.1791757</v>
      </c>
      <c r="M36" s="16">
        <v>0</v>
      </c>
      <c r="N36" s="16">
        <v>0</v>
      </c>
      <c r="O36" s="20">
        <v>8.1791757</v>
      </c>
      <c r="P36" s="20">
        <v>58.137454000000005</v>
      </c>
      <c r="Q36" s="20">
        <v>14.068685739145026</v>
      </c>
    </row>
    <row r="37" spans="1:17" x14ac:dyDescent="0.25">
      <c r="A37" s="3" t="s">
        <v>25</v>
      </c>
      <c r="B37" s="14">
        <f t="shared" ref="B37:H37" si="1">(B36-B33)/B33</f>
        <v>1.7927601809954752</v>
      </c>
      <c r="C37" s="14">
        <f t="shared" si="1"/>
        <v>2.2334892406211422</v>
      </c>
      <c r="D37" s="14">
        <f t="shared" si="1"/>
        <v>-0.77494000642291616</v>
      </c>
      <c r="E37" s="14">
        <f t="shared" si="1"/>
        <v>2.1450509425604172</v>
      </c>
      <c r="F37" s="14">
        <f t="shared" si="1"/>
        <v>2.6498107832403237</v>
      </c>
      <c r="G37" s="14">
        <f t="shared" si="1"/>
        <v>2.1782879668696005</v>
      </c>
      <c r="H37" s="12">
        <f t="shared" si="1"/>
        <v>0.14835748720250211</v>
      </c>
      <c r="I37" s="14"/>
      <c r="J37" s="14" t="s">
        <v>26</v>
      </c>
      <c r="K37" s="14"/>
      <c r="L37" s="14">
        <f>(L36-L33)/L33</f>
        <v>2.5760649265477435</v>
      </c>
      <c r="M37" s="14"/>
      <c r="N37" s="14" t="s">
        <v>26</v>
      </c>
      <c r="O37" s="14">
        <f t="shared" ref="O37:Q37" si="2">(O36-O33)/O33</f>
        <v>2.5760649265477435</v>
      </c>
      <c r="P37" s="14">
        <f t="shared" si="2"/>
        <v>2.1851702628598249</v>
      </c>
      <c r="Q37" s="12">
        <f t="shared" si="2"/>
        <v>0.12272331819930742</v>
      </c>
    </row>
    <row r="38" spans="1:17" x14ac:dyDescent="0.25">
      <c r="A38" s="5" t="s">
        <v>27</v>
      </c>
      <c r="B38" s="15" t="s">
        <v>26</v>
      </c>
      <c r="C38" s="15" t="s">
        <v>26</v>
      </c>
      <c r="D38" s="15" t="s">
        <v>26</v>
      </c>
      <c r="E38" s="15" t="s">
        <v>26</v>
      </c>
      <c r="F38" s="15" t="s">
        <v>26</v>
      </c>
      <c r="G38" s="15" t="s">
        <v>26</v>
      </c>
      <c r="H38" s="9" t="s">
        <v>26</v>
      </c>
      <c r="I38" s="15" t="s">
        <v>26</v>
      </c>
      <c r="J38" s="15" t="s">
        <v>26</v>
      </c>
      <c r="K38" s="15" t="s">
        <v>26</v>
      </c>
      <c r="L38" s="15" t="s">
        <v>26</v>
      </c>
      <c r="M38" s="15" t="s">
        <v>26</v>
      </c>
      <c r="N38" s="15" t="s">
        <v>26</v>
      </c>
      <c r="O38" s="15" t="s">
        <v>26</v>
      </c>
      <c r="P38" s="15" t="s">
        <v>26</v>
      </c>
      <c r="Q38" s="9" t="s">
        <v>26</v>
      </c>
    </row>
    <row r="39" spans="1:17" x14ac:dyDescent="0.25">
      <c r="A39" s="25" t="s">
        <v>32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</row>
    <row r="40" spans="1:17" x14ac:dyDescent="0.25">
      <c r="A40" s="27" t="s">
        <v>38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</row>
    <row r="41" spans="1:17" x14ac:dyDescent="0.25">
      <c r="A41" s="22" t="s">
        <v>33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</row>
  </sheetData>
  <mergeCells count="15"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A41:Q41"/>
    <mergeCell ref="P4:P5"/>
    <mergeCell ref="Q4:Q5"/>
    <mergeCell ref="A39:Q39"/>
    <mergeCell ref="A40:Q40"/>
  </mergeCells>
  <printOptions horizontalCentered="1"/>
  <pageMargins left="0.25" right="0.25" top="0.75" bottom="0.75" header="0.3" footer="0.3"/>
  <pageSetup paperSize="9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flybig</vt:lpstr>
      <vt:lpstr>flybig!Print_Area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2022-04-26T05:20:10Z</cp:lastPrinted>
  <dcterms:created xsi:type="dcterms:W3CDTF">2018-10-29T04:00:16Z</dcterms:created>
  <dcterms:modified xsi:type="dcterms:W3CDTF">2023-10-11T11:51:30Z</dcterms:modified>
</cp:coreProperties>
</file>