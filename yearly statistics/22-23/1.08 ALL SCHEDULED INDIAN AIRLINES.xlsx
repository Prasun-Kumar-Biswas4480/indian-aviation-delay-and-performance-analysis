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ALL SCHEDULED INDIAN AIRLINES\"/>
    </mc:Choice>
  </mc:AlternateContent>
  <bookViews>
    <workbookView xWindow="0" yWindow="0" windowWidth="13140" windowHeight="10635"/>
  </bookViews>
  <sheets>
    <sheet name="scheduled indian airlines" sheetId="1" r:id="rId1"/>
  </sheets>
  <definedNames>
    <definedName name="_xlnm.Print_Area" localSheetId="0">'scheduled indian airlines'!$A$1:$G$18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  <c r="G14" i="1" l="1"/>
  <c r="D14" i="1"/>
  <c r="G6" i="1" l="1"/>
  <c r="G7" i="1"/>
  <c r="G8" i="1"/>
  <c r="G9" i="1"/>
  <c r="G10" i="1"/>
  <c r="G11" i="1"/>
  <c r="G12" i="1"/>
  <c r="G13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<sst xmlns="http://schemas.openxmlformats.org/spreadsheetml/2006/main" count="25" uniqueCount="22">
  <si>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</si>
  <si>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</si>
  <si>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</si>
  <si>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</si>
  <si>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</si>
  <si>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</si>
  <si>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</si>
  <si>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</si>
  <si>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</si>
  <si>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</si>
  <si>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</si>
  <si>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2018-19</t>
  </si>
  <si>
    <t xml:space="preserve">   INTERNATIONAL TRAFFIC CARRIED TO AND FROM INDIA ON SCHEDULED SERVICES OF ALL SCHEDULED INDIAN AIRLINES FOR LAST TEN YEARS</t>
  </si>
  <si>
    <t xml:space="preserve">तालिका- 1.08 (सभी अनुसूचित भारतीय एयरलाइन्स) </t>
  </si>
  <si>
    <t>TABLE - 1.08 (ALL SCHEDULED INDIAN AIRLINES)</t>
  </si>
  <si>
    <t>SOURCE : UPLIFT &amp; DISCHARGE STATISTICS FURNISHED BY SCHEDULED INDIAN AIRLINES</t>
  </si>
  <si>
    <t>This table does not include the passengers and freight carried by SCHEDULED INDIAN AIRLINES entirely outside the Indian territory.</t>
  </si>
  <si>
    <t>2022-23</t>
  </si>
  <si>
    <t>*The international operations by scheduled indian operators were carried as per dgca’s circular dated 26.03.2020 under covid-19 restriction.</t>
  </si>
  <si>
    <t>2021-22*</t>
  </si>
  <si>
    <t>2020-21*</t>
  </si>
  <si>
    <t>2019-20*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</si>
</sst>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3" fontId="6" fillId="2" borderId="2" xfId="0" applyNumberFormat="1" applyFont="1" applyFill="1" applyBorder="1" applyAlignment="1" applyProtection="1">
      <alignment horizontal="center" vertical="center" wrapText="1"/>
    </xf>
    <xf numFmtId="164" fontId="6" fillId="2" borderId="2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0"/>
  <sheetViews>
    <sheetView tabSelected="1" view="pageBreakPreview" topLeftCell="A4" zoomScale="85" zoomScaleNormal="100" zoomScaleSheetLayoutView="85" workbookViewId="0">
      <selection activeCell="A18" sqref="A18:G18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5" t="s">
        <v>13</v>
      </c>
      <c r="B1" s="16"/>
      <c r="C1" s="16"/>
      <c r="D1" s="16"/>
      <c r="E1" s="16"/>
      <c r="F1" s="16"/>
      <c r="G1" s="16"/>
      <c r="H1" s="1"/>
      <c r="I1" s="1"/>
      <c r="J1" s="1"/>
    </row>
    <row r="2" spans="1:10" ht="26.25" customHeight="1">
      <c r="A2" s="17" t="s">
        <v>14</v>
      </c>
      <c r="B2" s="18"/>
      <c r="C2" s="18"/>
      <c r="D2" s="18"/>
      <c r="E2" s="18"/>
      <c r="F2" s="18"/>
      <c r="G2" s="18"/>
      <c r="H2" s="1"/>
      <c r="I2" s="1"/>
      <c r="J2" s="1"/>
    </row>
    <row r="3" spans="1:10" ht="31.5" customHeight="1">
      <c r="A3" s="19" t="s">
        <v>12</v>
      </c>
      <c r="B3" s="19"/>
      <c r="C3" s="19"/>
      <c r="D3" s="19"/>
      <c r="E3" s="19"/>
      <c r="F3" s="19"/>
      <c r="G3" s="19"/>
      <c r="H3" s="1"/>
      <c r="I3" s="1"/>
      <c r="J3" s="1"/>
    </row>
    <row r="4" spans="1:10" ht="27" customHeight="1">
      <c r="A4" s="20" t="s">
        <v>0</v>
      </c>
      <c r="B4" s="20" t="s">
        <v>1</v>
      </c>
      <c r="C4" s="20"/>
      <c r="D4" s="20"/>
      <c r="E4" s="20" t="s">
        <v>2</v>
      </c>
      <c r="F4" s="20"/>
      <c r="G4" s="20"/>
      <c r="H4" s="1"/>
      <c r="I4" s="1"/>
      <c r="J4" s="1"/>
    </row>
    <row r="5" spans="1:10" ht="22.5" customHeight="1">
      <c r="A5" s="20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  <c r="H5" s="1"/>
      <c r="I5" s="1"/>
      <c r="J5" s="1"/>
    </row>
    <row r="6" spans="1:10" ht="26.25" customHeight="1">
      <c r="A6" s="5" t="s">
        <v>6</v>
      </c>
      <c r="B6" s="2">
        <v>7658250</v>
      </c>
      <c r="C6" s="2">
        <v>7827475</v>
      </c>
      <c r="D6" s="2">
        <f t="shared" ref="D6:D13" si="0">SUM(B6:C6)</f>
        <v>15485725</v>
      </c>
      <c r="E6" s="3">
        <v>87004.558000000005</v>
      </c>
      <c r="F6" s="3">
        <v>143666.85800000001</v>
      </c>
      <c r="G6" s="3">
        <f t="shared" ref="G6:G14" si="1">SUM(E6:F6)</f>
        <v>230671.41600000003</v>
      </c>
      <c r="H6" s="4"/>
      <c r="I6" s="4"/>
      <c r="J6" s="1"/>
    </row>
    <row r="7" spans="1:10" ht="26.25" customHeight="1">
      <c r="A7" s="5" t="s">
        <v>7</v>
      </c>
      <c r="B7" s="2">
        <v>8385537</v>
      </c>
      <c r="C7" s="2">
        <v>8520371</v>
      </c>
      <c r="D7" s="2">
        <f t="shared" si="0"/>
        <v>16905908</v>
      </c>
      <c r="E7" s="3">
        <v>97776.859700000001</v>
      </c>
      <c r="F7" s="3">
        <v>146162.158</v>
      </c>
      <c r="G7" s="3">
        <f t="shared" si="1"/>
        <v>243939.0177</v>
      </c>
      <c r="H7" s="4"/>
      <c r="I7" s="4"/>
      <c r="J7" s="1"/>
    </row>
    <row r="8" spans="1:10" ht="26.25" customHeight="1">
      <c r="A8" s="5" t="s">
        <v>8</v>
      </c>
      <c r="B8" s="2">
        <v>8957031</v>
      </c>
      <c r="C8" s="2">
        <v>9283963</v>
      </c>
      <c r="D8" s="2">
        <f t="shared" si="0"/>
        <v>18240994</v>
      </c>
      <c r="E8" s="3">
        <v>92702.835599999991</v>
      </c>
      <c r="F8" s="3">
        <v>143861.65299999999</v>
      </c>
      <c r="G8" s="3">
        <f t="shared" si="1"/>
        <v>236564.48859999998</v>
      </c>
      <c r="H8" s="4"/>
      <c r="I8" s="4"/>
      <c r="J8" s="1"/>
    </row>
    <row r="9" spans="1:10" ht="26.25" customHeight="1">
      <c r="A9" s="5" t="s">
        <v>9</v>
      </c>
      <c r="B9" s="2">
        <v>10195917</v>
      </c>
      <c r="C9" s="2">
        <v>10423229</v>
      </c>
      <c r="D9" s="2">
        <f t="shared" si="0"/>
        <v>20619146</v>
      </c>
      <c r="E9" s="3">
        <v>108857.37055095288</v>
      </c>
      <c r="F9" s="3">
        <v>175552.44643649255</v>
      </c>
      <c r="G9" s="3">
        <f t="shared" si="1"/>
        <v>284409.81698744546</v>
      </c>
      <c r="H9" s="4"/>
      <c r="I9" s="4"/>
      <c r="J9" s="1"/>
    </row>
    <row r="10" spans="1:10" ht="26.25" customHeight="1">
      <c r="A10" s="5" t="s">
        <v>10</v>
      </c>
      <c r="B10" s="2">
        <v>11772395</v>
      </c>
      <c r="C10" s="2">
        <v>11784165</v>
      </c>
      <c r="D10" s="2">
        <f t="shared" si="0"/>
        <v>23556560</v>
      </c>
      <c r="E10" s="3">
        <v>132957.50075983416</v>
      </c>
      <c r="F10" s="3">
        <v>221897.61135089799</v>
      </c>
      <c r="G10" s="3">
        <f t="shared" si="1"/>
        <v>354855.11211073212</v>
      </c>
      <c r="H10" s="4"/>
      <c r="I10" s="4"/>
      <c r="J10" s="1"/>
    </row>
    <row r="11" spans="1:10" ht="26.25" customHeight="1">
      <c r="A11" s="5" t="s">
        <v>11</v>
      </c>
      <c r="B11" s="2">
        <v>12787690</v>
      </c>
      <c r="C11" s="2">
        <v>12829952</v>
      </c>
      <c r="D11" s="2">
        <f t="shared" si="0"/>
        <v>25617642</v>
      </c>
      <c r="E11" s="3">
        <v>133468.35358273503</v>
      </c>
      <c r="F11" s="3">
        <v>233449.89056999999</v>
      </c>
      <c r="G11" s="3">
        <f t="shared" si="1"/>
        <v>366918.24415273499</v>
      </c>
      <c r="H11" s="4"/>
      <c r="I11" s="4"/>
      <c r="J11" s="1"/>
    </row>
    <row r="12" spans="1:10" ht="26.25" customHeight="1">
      <c r="A12" s="5" t="s">
        <v>21</v>
      </c>
      <c r="B12" s="2">
        <v>11390185</v>
      </c>
      <c r="C12" s="2">
        <v>11301816</v>
      </c>
      <c r="D12" s="2">
        <f t="shared" si="0"/>
        <v>22692001</v>
      </c>
      <c r="E12" s="3">
        <v>59679.266739999992</v>
      </c>
      <c r="F12" s="3">
        <v>154818.02888755494</v>
      </c>
      <c r="G12" s="3">
        <f t="shared" si="1"/>
        <v>214497.29562755494</v>
      </c>
      <c r="H12" s="1"/>
      <c r="I12" s="1"/>
      <c r="J12" s="1"/>
    </row>
    <row r="13" spans="1:10" ht="26.25" customHeight="1">
      <c r="A13" s="5" t="s">
        <v>20</v>
      </c>
      <c r="B13" s="10">
        <v>3167925</v>
      </c>
      <c r="C13" s="10">
        <v>2248232</v>
      </c>
      <c r="D13" s="10">
        <f t="shared" si="0"/>
        <v>5416157</v>
      </c>
      <c r="E13" s="11">
        <v>39165.025549999998</v>
      </c>
      <c r="F13" s="11">
        <v>78037.290079999977</v>
      </c>
      <c r="G13" s="11">
        <f t="shared" si="1"/>
        <v>117202.31562999997</v>
      </c>
      <c r="H13" s="1"/>
      <c r="I13" s="1"/>
      <c r="J13" s="1"/>
    </row>
    <row r="14" spans="1:10" ht="26.25" customHeight="1">
      <c r="A14" s="5" t="s">
        <v>19</v>
      </c>
      <c r="B14" s="10">
        <v>4816936</v>
      </c>
      <c r="C14" s="10">
        <v>5384611</v>
      </c>
      <c r="D14" s="10">
        <f>SUM(B14:C14)</f>
        <v>10201547</v>
      </c>
      <c r="E14" s="11">
        <v>80592.144690000001</v>
      </c>
      <c r="F14" s="11">
        <v>135294.88574</v>
      </c>
      <c r="G14" s="3">
        <f t="shared" si="1"/>
        <v>215887.03042999998</v>
      </c>
      <c r="H14" s="1"/>
      <c r="I14" s="1"/>
      <c r="J14" s="1"/>
    </row>
    <row r="15" spans="1:10" ht="26.25" customHeight="1">
      <c r="A15" s="5" t="s">
        <v>17</v>
      </c>
      <c r="B15" s="10">
        <v>11553172</v>
      </c>
      <c r="C15" s="10">
        <v>12305644</v>
      </c>
      <c r="D15" s="10">
        <f>SUM(B15:C15)</f>
        <v>23858816</v>
      </c>
      <c r="E15" s="11">
        <v>55753.53161000002</v>
      </c>
      <c r="F15" s="11">
        <v>137710.86307999998</v>
      </c>
      <c r="G15" s="3">
        <f>SUM(E15:F15)</f>
        <v>193464.39468999999</v>
      </c>
      <c r="H15" s="1"/>
      <c r="I15" s="1"/>
      <c r="J15" s="1"/>
    </row>
    <row r="16" spans="1:10" ht="15.75" customHeight="1">
      <c r="A16" s="13" t="s">
        <v>15</v>
      </c>
      <c r="B16" s="13"/>
      <c r="C16" s="13"/>
      <c r="D16" s="13"/>
      <c r="E16" s="13"/>
      <c r="F16" s="13"/>
      <c r="G16" s="13"/>
      <c r="H16" s="1"/>
      <c r="I16" s="1"/>
      <c r="J16" s="1"/>
    </row>
    <row r="17" spans="1:10" ht="15.75" customHeight="1">
      <c r="A17" s="14" t="s">
        <v>16</v>
      </c>
      <c r="B17" s="14"/>
      <c r="C17" s="14"/>
      <c r="D17" s="14"/>
      <c r="E17" s="14"/>
      <c r="F17" s="14"/>
      <c r="G17" s="14"/>
      <c r="H17" s="1"/>
      <c r="I17" s="1"/>
      <c r="J17" s="1"/>
    </row>
    <row r="18" spans="1:10" ht="15.75" customHeight="1">
      <c r="A18" s="12" t="s">
        <v>18</v>
      </c>
      <c r="B18" s="12"/>
      <c r="C18" s="12"/>
      <c r="D18" s="12"/>
      <c r="E18" s="12"/>
      <c r="F18" s="12"/>
      <c r="G18" s="12"/>
      <c r="H18" s="1"/>
      <c r="I18" s="1"/>
      <c r="J18" s="1"/>
    </row>
    <row r="19" spans="1:10" ht="15.75">
      <c r="A19" s="6"/>
      <c r="B19" s="1"/>
      <c r="C19" s="1"/>
      <c r="D19" s="7"/>
      <c r="E19" s="7"/>
      <c r="F19" s="7"/>
      <c r="G19" s="1"/>
      <c r="H19" s="1"/>
      <c r="I19" s="1"/>
      <c r="J19" s="1"/>
    </row>
    <row r="20" spans="1:10" ht="15.75">
      <c r="A20" s="6"/>
      <c r="B20" s="1"/>
      <c r="C20" s="1"/>
      <c r="D20" s="8"/>
      <c r="E20" s="8"/>
      <c r="F20" s="8"/>
      <c r="G20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scheduled indian airlines</vt:lpstr>
      <vt:lpstr>'scheduled indian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2018-10-29T04:00:18Z</dcterms:created>
  <dcterms:modified xsi:type="dcterms:W3CDTF">2023-11-09T09:24:55Z</dcterms:modified>
</cp:coreProperties>
</file>