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ti\Desktop\annual table 22 23\ALL SCHEDULED INDIAN AIRLINES\"/>
    </mc:Choice>
  </mc:AlternateContent>
  <bookViews>
    <workbookView xWindow="0" yWindow="0" windowWidth="24000" windowHeight="1072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B18" i="1" l="1"/>
  <c r="P18" i="1" l="1"/>
  <c r="N18" i="1"/>
  <c r="M18" i="1"/>
  <c r="L18" i="1"/>
  <c r="K18" i="1"/>
  <c r="J18" i="1"/>
  <c r="I18" i="1"/>
  <c r="G18" i="1"/>
  <c r="F18" i="1"/>
  <c r="E18" i="1"/>
  <c r="D18" i="1"/>
  <c r="C18" i="1"/>
  <c r="H18" i="1" l="1"/>
  <c r="O18" i="1"/>
  <c r="Q18" i="1" s="1"/>
</calcChain>
</file>

<file path=xl/sharedStrings.xml><?xml version="1.0" encoding="utf-8"?>
<sst xmlns="http://schemas.openxmlformats.org/spreadsheetml/2006/main" count="26" uniqueCount="24">
  <si>
    <t>Table 1.01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</si>
  <si>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</si>
  <si>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</si>
  <si>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</si>
  <si>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</si>
  <si>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</si>
  <si>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</si>
  <si>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</si>
  <si>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</si>
  <si>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</si>
  <si>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</si>
  <si>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</si>
  <si>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</si>
  <si>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</si>
  <si>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</si>
  <si>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</si>
  <si>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</si>
  <si>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</si>
  <si>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</si>
  <si>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</si>
  <si>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</si>
  <si>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1.01 (सभी अनुसूचित भारतीय एयरलाइन्स) </t>
  </si>
  <si>
    <t>2022-23</t>
  </si>
  <si>
    <t>MONTHLY TRAFFIC AND OPERATING STATISTICS OF ALL SCHEDULED INDIAN AIRLINES ON SCHEDULED DOMESTIC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</si>
</sst>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0" fillId="0" borderId="2" xfId="0" applyNumberFormat="1" applyFont="1" applyBorder="1"/>
    <xf numFmtId="0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3" fontId="0" fillId="0" borderId="0" xfId="0" applyNumberFormat="1" applyFont="1"/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3" fillId="4" borderId="1" xfId="3" quotePrefix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4"/>
  <sheetViews>
    <sheetView tabSelected="1" view="pageBreakPreview" topLeftCell="A15" zoomScaleNormal="100" zoomScaleSheetLayoutView="100" workbookViewId="0">
      <selection activeCell="A18" sqref="A18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85546875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1" customHeight="1" x14ac:dyDescent="0.25">
      <c r="A4" s="21" t="s">
        <v>1</v>
      </c>
      <c r="B4" s="21" t="s">
        <v>2</v>
      </c>
      <c r="C4" s="21"/>
      <c r="D4" s="21"/>
      <c r="E4" s="21" t="s">
        <v>3</v>
      </c>
      <c r="F4" s="22"/>
      <c r="G4" s="15" t="s">
        <v>4</v>
      </c>
      <c r="H4" s="15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5" t="s">
        <v>8</v>
      </c>
      <c r="Q4" s="15" t="s">
        <v>9</v>
      </c>
    </row>
    <row r="5" spans="1:17" ht="115.5" customHeight="1" x14ac:dyDescent="0.25">
      <c r="A5" s="21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6"/>
      <c r="H5" s="16"/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16</v>
      </c>
      <c r="O5" s="12" t="s">
        <v>17</v>
      </c>
      <c r="P5" s="16"/>
      <c r="Q5" s="16"/>
    </row>
    <row r="6" spans="1:17" ht="30" customHeight="1" x14ac:dyDescent="0.25">
      <c r="A6" s="9">
        <v>44652</v>
      </c>
      <c r="B6" s="3">
        <v>82056</v>
      </c>
      <c r="C6" s="3">
        <v>140805.15533333336</v>
      </c>
      <c r="D6" s="3">
        <v>75866.246999999988</v>
      </c>
      <c r="E6" s="3">
        <v>10549088</v>
      </c>
      <c r="F6" s="3">
        <v>10358.205732</v>
      </c>
      <c r="G6" s="3">
        <v>12866.084865999997</v>
      </c>
      <c r="H6" s="6">
        <f t="shared" ref="H6:H17" si="0">F6/G6*100</f>
        <v>80.507830003303212</v>
      </c>
      <c r="I6" s="6">
        <v>53054.651519999985</v>
      </c>
      <c r="J6" s="6">
        <v>2685.0609638008286</v>
      </c>
      <c r="K6" s="6">
        <v>55739.712483800824</v>
      </c>
      <c r="L6" s="6">
        <v>909.25033713899904</v>
      </c>
      <c r="M6" s="6">
        <v>65.095926159429993</v>
      </c>
      <c r="N6" s="6">
        <v>2.9801320213650433</v>
      </c>
      <c r="O6" s="6">
        <v>977.32639531979419</v>
      </c>
      <c r="P6" s="6">
        <v>1435.6867204380001</v>
      </c>
      <c r="Q6" s="6">
        <f t="shared" ref="Q6:Q17" si="1">O6/P6*100</f>
        <v>68.07379224219828</v>
      </c>
    </row>
    <row r="7" spans="1:17" ht="30" customHeight="1" x14ac:dyDescent="0.25">
      <c r="A7" s="9">
        <v>44682</v>
      </c>
      <c r="B7" s="4">
        <v>86460</v>
      </c>
      <c r="C7" s="4">
        <v>150271.38866666667</v>
      </c>
      <c r="D7" s="4">
        <v>80310.685000000012</v>
      </c>
      <c r="E7" s="4">
        <v>11470422</v>
      </c>
      <c r="F7" s="4">
        <v>11296.421489</v>
      </c>
      <c r="G7" s="4">
        <v>13625.641242999998</v>
      </c>
      <c r="H7" s="7">
        <f t="shared" si="0"/>
        <v>82.905613670133832</v>
      </c>
      <c r="I7" s="7">
        <v>59913.835950000001</v>
      </c>
      <c r="J7" s="7">
        <v>2431.4742999999999</v>
      </c>
      <c r="K7" s="7">
        <v>62345.310250000002</v>
      </c>
      <c r="L7" s="7">
        <v>989.46606351100104</v>
      </c>
      <c r="M7" s="7">
        <v>74.307834023109947</v>
      </c>
      <c r="N7" s="7">
        <v>2.7737493082700002</v>
      </c>
      <c r="O7" s="7">
        <v>1066.547646842381</v>
      </c>
      <c r="P7" s="7">
        <v>1493.7942253940007</v>
      </c>
      <c r="Q7" s="7">
        <f t="shared" si="1"/>
        <v>71.398565392169061</v>
      </c>
    </row>
    <row r="8" spans="1:17" ht="30" customHeight="1" x14ac:dyDescent="0.25">
      <c r="A8" s="9">
        <v>44713</v>
      </c>
      <c r="B8" s="3">
        <v>83227</v>
      </c>
      <c r="C8" s="3">
        <v>144081.00000000003</v>
      </c>
      <c r="D8" s="3">
        <v>77051.097999999984</v>
      </c>
      <c r="E8" s="3">
        <v>10514030</v>
      </c>
      <c r="F8" s="3">
        <v>10336.220355999998</v>
      </c>
      <c r="G8" s="3">
        <v>13072.889805999997</v>
      </c>
      <c r="H8" s="6">
        <f t="shared" si="0"/>
        <v>79.06607115479575</v>
      </c>
      <c r="I8" s="6">
        <v>59239.114440000005</v>
      </c>
      <c r="J8" s="6">
        <v>2432.2840299999993</v>
      </c>
      <c r="K8" s="6">
        <v>61671.398470000015</v>
      </c>
      <c r="L8" s="6">
        <v>906.9539251309991</v>
      </c>
      <c r="M8" s="6">
        <v>72.95040467761001</v>
      </c>
      <c r="N8" s="6">
        <v>2.7248862547600012</v>
      </c>
      <c r="O8" s="6">
        <v>982.62921606336886</v>
      </c>
      <c r="P8" s="6">
        <v>1435.9200503279994</v>
      </c>
      <c r="Q8" s="6">
        <f t="shared" si="1"/>
        <v>68.432028359720448</v>
      </c>
    </row>
    <row r="9" spans="1:17" ht="30" customHeight="1" x14ac:dyDescent="0.25">
      <c r="A9" s="9">
        <v>44743</v>
      </c>
      <c r="B9" s="4">
        <v>77875</v>
      </c>
      <c r="C9" s="4">
        <v>134506.1933333333</v>
      </c>
      <c r="D9" s="4">
        <v>71378.84</v>
      </c>
      <c r="E9" s="4">
        <v>9704934</v>
      </c>
      <c r="F9" s="4">
        <v>9490.9471699999995</v>
      </c>
      <c r="G9" s="4">
        <v>12171.655027999997</v>
      </c>
      <c r="H9" s="7">
        <f t="shared" si="0"/>
        <v>77.9758146954278</v>
      </c>
      <c r="I9" s="7">
        <v>59216.507899999997</v>
      </c>
      <c r="J9" s="7">
        <v>2724.7526999999986</v>
      </c>
      <c r="K9" s="7">
        <v>61941.260599999994</v>
      </c>
      <c r="L9" s="7">
        <v>836.3761508289997</v>
      </c>
      <c r="M9" s="7">
        <v>72.574735060700007</v>
      </c>
      <c r="N9" s="7">
        <v>2.9421562988400014</v>
      </c>
      <c r="O9" s="7">
        <v>911.89304218853977</v>
      </c>
      <c r="P9" s="7">
        <v>1340.8444587499989</v>
      </c>
      <c r="Q9" s="7">
        <f t="shared" si="1"/>
        <v>68.008860851664423</v>
      </c>
    </row>
    <row r="10" spans="1:17" ht="30" customHeight="1" x14ac:dyDescent="0.25">
      <c r="A10" s="9">
        <v>44774</v>
      </c>
      <c r="B10" s="3">
        <v>79675</v>
      </c>
      <c r="C10" s="3">
        <v>137319.61333333334</v>
      </c>
      <c r="D10" s="3">
        <v>73004.346000000005</v>
      </c>
      <c r="E10" s="3">
        <v>10115739</v>
      </c>
      <c r="F10" s="3">
        <v>9793.0709339999994</v>
      </c>
      <c r="G10" s="3">
        <v>12423.133663999999</v>
      </c>
      <c r="H10" s="6">
        <f t="shared" si="0"/>
        <v>78.829313109449615</v>
      </c>
      <c r="I10" s="6">
        <v>54290.640559999993</v>
      </c>
      <c r="J10" s="6">
        <v>2745.4173999999998</v>
      </c>
      <c r="K10" s="6">
        <v>57036.057959999991</v>
      </c>
      <c r="L10" s="6">
        <v>860.98241281168396</v>
      </c>
      <c r="M10" s="6">
        <v>66.983845075089988</v>
      </c>
      <c r="N10" s="6">
        <v>2.9009816549799998</v>
      </c>
      <c r="O10" s="6">
        <v>930.8672395417542</v>
      </c>
      <c r="P10" s="6">
        <v>1366.4991475449999</v>
      </c>
      <c r="Q10" s="6">
        <f t="shared" si="1"/>
        <v>68.120586918339072</v>
      </c>
    </row>
    <row r="11" spans="1:17" ht="30" customHeight="1" x14ac:dyDescent="0.25">
      <c r="A11" s="9">
        <v>44805</v>
      </c>
      <c r="B11" s="4">
        <v>78018</v>
      </c>
      <c r="C11" s="4">
        <v>130687.72899999998</v>
      </c>
      <c r="D11" s="4">
        <v>75411.922666666665</v>
      </c>
      <c r="E11" s="4">
        <v>10346833</v>
      </c>
      <c r="F11" s="4">
        <v>9948.4014699999989</v>
      </c>
      <c r="G11" s="4">
        <v>12176.891893</v>
      </c>
      <c r="H11" s="7">
        <f t="shared" si="0"/>
        <v>81.699021042626896</v>
      </c>
      <c r="I11" s="7">
        <v>55749.785769999988</v>
      </c>
      <c r="J11" s="7">
        <v>2828.3692000000005</v>
      </c>
      <c r="K11" s="7">
        <v>58578.154970000003</v>
      </c>
      <c r="L11" s="7">
        <v>875.201501775</v>
      </c>
      <c r="M11" s="7">
        <v>67.888059797289955</v>
      </c>
      <c r="N11" s="7">
        <v>2.9612078971899995</v>
      </c>
      <c r="O11" s="7">
        <v>946.05076946947997</v>
      </c>
      <c r="P11" s="7">
        <v>1338.8059958500003</v>
      </c>
      <c r="Q11" s="7">
        <f t="shared" si="1"/>
        <v>70.663768492375013</v>
      </c>
    </row>
    <row r="12" spans="1:17" ht="30" customHeight="1" x14ac:dyDescent="0.25">
      <c r="A12" s="9">
        <v>44835</v>
      </c>
      <c r="B12" s="3">
        <v>84411</v>
      </c>
      <c r="C12" s="3">
        <v>146089.04323333336</v>
      </c>
      <c r="D12" s="3">
        <v>78323.664000000004</v>
      </c>
      <c r="E12" s="3">
        <v>11400977</v>
      </c>
      <c r="F12" s="3">
        <v>11114.186865</v>
      </c>
      <c r="G12" s="3">
        <v>13357.565319000001</v>
      </c>
      <c r="H12" s="6">
        <f t="shared" si="0"/>
        <v>83.205184474681289</v>
      </c>
      <c r="I12" s="6">
        <v>54819.401620000033</v>
      </c>
      <c r="J12" s="6">
        <v>2454.0774199999987</v>
      </c>
      <c r="K12" s="6">
        <v>57273.479040000027</v>
      </c>
      <c r="L12" s="6">
        <v>971.83460486700051</v>
      </c>
      <c r="M12" s="6">
        <v>67.266291433619969</v>
      </c>
      <c r="N12" s="6">
        <v>2.540816313939998</v>
      </c>
      <c r="O12" s="6">
        <v>1041.6417126145604</v>
      </c>
      <c r="P12" s="6">
        <v>1467.331479845001</v>
      </c>
      <c r="Q12" s="6">
        <f t="shared" si="1"/>
        <v>70.988847913532965</v>
      </c>
    </row>
    <row r="13" spans="1:17" ht="30" customHeight="1" x14ac:dyDescent="0.25">
      <c r="A13" s="9">
        <v>44866</v>
      </c>
      <c r="B13" s="4">
        <v>81994</v>
      </c>
      <c r="C13" s="4">
        <v>141711.75999999998</v>
      </c>
      <c r="D13" s="4">
        <v>74161.81</v>
      </c>
      <c r="E13" s="4">
        <v>11678582</v>
      </c>
      <c r="F13" s="4">
        <v>11309.408438999999</v>
      </c>
      <c r="G13" s="4">
        <v>12896.110379</v>
      </c>
      <c r="H13" s="7">
        <f t="shared" si="0"/>
        <v>87.696275129718316</v>
      </c>
      <c r="I13" s="7">
        <v>52882.422270000003</v>
      </c>
      <c r="J13" s="7">
        <v>2671.22514</v>
      </c>
      <c r="K13" s="7">
        <v>55553.647409999998</v>
      </c>
      <c r="L13" s="7">
        <v>990.67191515699949</v>
      </c>
      <c r="M13" s="7">
        <v>61.211752063069973</v>
      </c>
      <c r="N13" s="7">
        <v>2.5648167030999995</v>
      </c>
      <c r="O13" s="7">
        <v>1054.4484839231695</v>
      </c>
      <c r="P13" s="7">
        <v>1417.8388795859987</v>
      </c>
      <c r="Q13" s="7">
        <f t="shared" si="1"/>
        <v>74.370120547904762</v>
      </c>
    </row>
    <row r="14" spans="1:17" ht="30" customHeight="1" x14ac:dyDescent="0.25">
      <c r="A14" s="9">
        <v>44896</v>
      </c>
      <c r="B14" s="3">
        <v>88128</v>
      </c>
      <c r="C14" s="3">
        <v>148924.76566666667</v>
      </c>
      <c r="D14" s="3">
        <v>83787.993000000002</v>
      </c>
      <c r="E14" s="3">
        <v>12735454</v>
      </c>
      <c r="F14" s="3">
        <v>12338.508320999998</v>
      </c>
      <c r="G14" s="3">
        <v>13888.987928999999</v>
      </c>
      <c r="H14" s="6">
        <f t="shared" si="0"/>
        <v>88.836626427166649</v>
      </c>
      <c r="I14" s="6">
        <v>54378.998859999985</v>
      </c>
      <c r="J14" s="6">
        <v>2783.9212700000007</v>
      </c>
      <c r="K14" s="6">
        <v>57162.920129999977</v>
      </c>
      <c r="L14" s="6">
        <v>1080.3938559990006</v>
      </c>
      <c r="M14" s="6">
        <v>62.935060183630029</v>
      </c>
      <c r="N14" s="6">
        <v>2.6130754079600043</v>
      </c>
      <c r="O14" s="6">
        <v>1145.9419915905905</v>
      </c>
      <c r="P14" s="6">
        <v>1527.6857005750014</v>
      </c>
      <c r="Q14" s="6">
        <f t="shared" si="1"/>
        <v>75.011633031537343</v>
      </c>
    </row>
    <row r="15" spans="1:17" ht="30" customHeight="1" x14ac:dyDescent="0.25">
      <c r="A15" s="9">
        <v>44927</v>
      </c>
      <c r="B15" s="4">
        <v>90255</v>
      </c>
      <c r="C15" s="4">
        <v>156603.90666666668</v>
      </c>
      <c r="D15" s="4">
        <v>81543.713000000003</v>
      </c>
      <c r="E15" s="4">
        <v>12551028</v>
      </c>
      <c r="F15" s="4">
        <v>12076.436156000002</v>
      </c>
      <c r="G15" s="4">
        <v>14230.895680000003</v>
      </c>
      <c r="H15" s="7">
        <f t="shared" si="0"/>
        <v>84.860689218403422</v>
      </c>
      <c r="I15" s="7">
        <v>51419.405329999972</v>
      </c>
      <c r="J15" s="7">
        <v>2994.6400837009996</v>
      </c>
      <c r="K15" s="7">
        <v>54414.045413700966</v>
      </c>
      <c r="L15" s="7">
        <v>1057.8947403719997</v>
      </c>
      <c r="M15" s="7">
        <v>60.425881752130053</v>
      </c>
      <c r="N15" s="7">
        <v>2.5261171411799985</v>
      </c>
      <c r="O15" s="7">
        <v>1120.8467392653099</v>
      </c>
      <c r="P15" s="7">
        <v>1566.5876420259995</v>
      </c>
      <c r="Q15" s="7">
        <f t="shared" si="1"/>
        <v>71.54701781100276</v>
      </c>
    </row>
    <row r="16" spans="1:17" ht="30" customHeight="1" x14ac:dyDescent="0.25">
      <c r="A16" s="9">
        <v>44958</v>
      </c>
      <c r="B16" s="3">
        <v>83384</v>
      </c>
      <c r="C16" s="3">
        <v>143901.50333333336</v>
      </c>
      <c r="D16" s="3">
        <v>75024.996999999988</v>
      </c>
      <c r="E16" s="3">
        <v>12068372</v>
      </c>
      <c r="F16" s="3">
        <v>11604.14811</v>
      </c>
      <c r="G16" s="3">
        <v>13133.152953999999</v>
      </c>
      <c r="H16" s="6">
        <f t="shared" si="0"/>
        <v>88.357671235875571</v>
      </c>
      <c r="I16" s="6">
        <v>51923.775844000011</v>
      </c>
      <c r="J16" s="6">
        <v>3151.2850148510338</v>
      </c>
      <c r="K16" s="6">
        <v>55075.060858851059</v>
      </c>
      <c r="L16" s="6">
        <v>1017.5140764950002</v>
      </c>
      <c r="M16" s="6">
        <v>95.55738193852099</v>
      </c>
      <c r="N16" s="6">
        <v>3.1147816928179308</v>
      </c>
      <c r="O16" s="6">
        <v>1116.1862401263388</v>
      </c>
      <c r="P16" s="6">
        <v>1538.554562284</v>
      </c>
      <c r="Q16" s="6">
        <f t="shared" si="1"/>
        <v>72.547718975227554</v>
      </c>
    </row>
    <row r="17" spans="1:17" ht="30" customHeight="1" x14ac:dyDescent="0.25">
      <c r="A17" s="9">
        <v>44986</v>
      </c>
      <c r="B17" s="4">
        <v>92238</v>
      </c>
      <c r="C17" s="4">
        <v>159301.83066666668</v>
      </c>
      <c r="D17" s="4">
        <v>82967.701407999994</v>
      </c>
      <c r="E17" s="4">
        <v>12893197</v>
      </c>
      <c r="F17" s="4">
        <v>12426.170421000001</v>
      </c>
      <c r="G17" s="4">
        <v>14506.243725799999</v>
      </c>
      <c r="H17" s="7">
        <f t="shared" si="0"/>
        <v>85.660841330685116</v>
      </c>
      <c r="I17" s="7">
        <v>57843.455650000011</v>
      </c>
      <c r="J17" s="7">
        <v>3455.2526839323809</v>
      </c>
      <c r="K17" s="7">
        <v>61298.708333932394</v>
      </c>
      <c r="L17" s="7">
        <v>1089.3315042250001</v>
      </c>
      <c r="M17" s="7">
        <v>111.57647771242947</v>
      </c>
      <c r="N17" s="7">
        <v>3.1745350378877624</v>
      </c>
      <c r="O17" s="7">
        <v>1204.0825169753173</v>
      </c>
      <c r="P17" s="7">
        <v>1715.193457754001</v>
      </c>
      <c r="Q17" s="7">
        <f t="shared" si="1"/>
        <v>70.200974212671639</v>
      </c>
    </row>
    <row r="18" spans="1:17" ht="30" customHeight="1" x14ac:dyDescent="0.25">
      <c r="A18" s="2" t="s">
        <v>22</v>
      </c>
      <c r="B18" s="5">
        <f>SUM(B6:B17)</f>
        <v>1007721</v>
      </c>
      <c r="C18" s="5">
        <f t="shared" ref="C18:G18" si="2">SUM(C6:C17)</f>
        <v>1734203.8892333333</v>
      </c>
      <c r="D18" s="5">
        <f t="shared" si="2"/>
        <v>928833.01707466668</v>
      </c>
      <c r="E18" s="5">
        <f t="shared" si="2"/>
        <v>136028656</v>
      </c>
      <c r="F18" s="5">
        <f t="shared" si="2"/>
        <v>132092.12546299997</v>
      </c>
      <c r="G18" s="5">
        <f t="shared" si="2"/>
        <v>158349.25248680002</v>
      </c>
      <c r="H18" s="8">
        <f t="shared" ref="H18" si="3">F18/G18*100</f>
        <v>83.418218519226144</v>
      </c>
      <c r="I18" s="8">
        <f>SUM(I6:I17)</f>
        <v>664731.99571399996</v>
      </c>
      <c r="J18" s="8">
        <f t="shared" ref="J18:P18" si="4">SUM(J6:J17)</f>
        <v>33357.760206285246</v>
      </c>
      <c r="K18" s="8">
        <f t="shared" si="4"/>
        <v>698089.75592028524</v>
      </c>
      <c r="L18" s="8">
        <f t="shared" si="4"/>
        <v>11585.871088311684</v>
      </c>
      <c r="M18" s="8">
        <f t="shared" si="4"/>
        <v>878.77364987663043</v>
      </c>
      <c r="N18" s="8">
        <f t="shared" si="4"/>
        <v>33.817255732290739</v>
      </c>
      <c r="O18" s="8">
        <f t="shared" si="4"/>
        <v>12498.461993920604</v>
      </c>
      <c r="P18" s="8">
        <f t="shared" si="4"/>
        <v>17644.742320375</v>
      </c>
      <c r="Q18" s="8">
        <f>O18/P18*100</f>
        <v>70.833916228338424</v>
      </c>
    </row>
    <row r="19" spans="1:17" ht="19.5" customHeight="1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1" spans="1:17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7" x14ac:dyDescent="0.25">
      <c r="M22" s="10"/>
      <c r="O22" s="10"/>
    </row>
    <row r="23" spans="1:17" x14ac:dyDescent="0.25">
      <c r="M23" s="11"/>
      <c r="O23" s="11"/>
    </row>
    <row r="24" spans="1:17" x14ac:dyDescent="0.25">
      <c r="M24" s="10"/>
      <c r="O24" s="10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2020-05-06T11:10:52Z</cp:lastPrinted>
  <dcterms:created xsi:type="dcterms:W3CDTF">2018-10-29T04:00:07Z</dcterms:created>
  <dcterms:modified xsi:type="dcterms:W3CDTF">2023-11-09T09:20:34Z</dcterms:modified>
</cp:coreProperties>
</file>