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'1.11'!$A$1:$O$11</definedName>
    <definedName name="Print_Area_MI" localSheetId="3">'1.11'!$A$10:$O$17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3" l="1"/>
  <c r="K10" i="3"/>
  <c r="L10" i="3"/>
  <c r="M10" i="3"/>
  <c r="N10" i="3"/>
  <c r="I10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<sst xmlns="http://schemas.openxmlformats.org/spreadsheetml/2006/main" count="889" uniqueCount="195">
  <si>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</si>
  <si>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</si>
  <si>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</si>
  <si>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</si>
  <si>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</si>
  <si>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</si>
  <si>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</si>
  <si>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</si>
  <si>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</si>
  <si>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</si>
  <si>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</si>
  <si>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</si>
  <si>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</si>
  <si>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</si>
  <si>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</si>
  <si>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</si>
  <si>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</si>
  <si>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</si>
  <si>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</si>
  <si>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</si>
  <si>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</si>
  <si>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</si>
  <si>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</si>
  <si>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</si>
  <si>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</si>
  <si>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</si>
  <si>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</si>
  <si>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</si>
  <si>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</si>
  <si>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</si>
  <si>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</si>
  <si>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</si>
  <si>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</si>
  <si>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</si>
  <si>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</si>
  <si>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</si>
  <si>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</si>
  <si>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</si>
  <si>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</si>
  <si>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</si>
  <si>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</si>
  <si>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</si>
  <si>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</si>
  <si>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</si>
  <si>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</si>
  <si>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</si>
  <si>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</si>
  <si>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</si>
  <si>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</si>
  <si>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</si>
  <si>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</si>
  <si>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</si>
  <si>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</si>
  <si>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</si>
  <si>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</si>
  <si>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</si>
  <si>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</si>
  <si>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</si>
  <si>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</si>
  <si>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</si>
  <si>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</si>
  <si>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</si>
  <si>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</si>
  <si>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</si>
  <si>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</si>
  <si>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</si>
  <si>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</si>
  <si>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</si>
  <si>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</si>
  <si>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</si>
  <si>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</si>
  <si>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</si>
  <si>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</si>
  <si>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</si>
  <si>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</si>
  <si>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</si>
  <si>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</si>
  <si>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</si>
  <si>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</si>
  <si>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</si>
  <si>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</si>
  <si>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</si>
  <si>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</si>
  <si>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</si>
  <si>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</si>
  <si>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</si>
  <si>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</si>
  <si>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</si>
  <si>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</si>
  <si>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</si>
  <si>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</si>
  <si>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</si>
  <si>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</si>
  <si>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</si>
  <si>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</si>
  <si>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</si>
  <si>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</si>
  <si>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</si>
  <si>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</si>
  <si>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</si>
  <si>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</si>
  <si>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</si>
  <si>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</si>
  <si>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</si>
  <si>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</si>
  <si>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</si>
  <si>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</si>
  <si>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</si>
  <si>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</si>
  <si>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</si>
  <si>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</si>
  <si>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</si>
  <si>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</si>
  <si>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</si>
  <si>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</si>
  <si>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</si>
  <si>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</si>
  <si>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</si>
  <si>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</si>
  <si>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</si>
  <si>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</si>
  <si>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</si>
  <si>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</si>
  <si>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</si>
  <si>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</si>
  <si>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</si>
  <si>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</si>
  <si>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</si>
  <si>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</si>
  <si>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</si>
  <si>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</si>
  <si>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</si>
  <si>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</si>
  <si>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</si>
  <si>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</si>
  <si>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</si>
  <si>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</si>
  <si>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</si>
  <si>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</si>
  <si>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</si>
  <si>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</si>
  <si>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</si>
  <si>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</si>
  <si>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</si>
  <si>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</si>
  <si>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</si>
  <si>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</si>
  <si>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</si>
  <si>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</si>
  <si>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</si>
  <si>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</si>
  <si>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</si>
  <si>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</si>
  <si>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</si>
  <si>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</si>
  <si>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</si>
  <si>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</si>
  <si>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</si>
  <si>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</si>
  <si>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</si>
  <si>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</si>
  <si>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</si>
  <si>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</si>
  <si>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</si>
  <si>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</si>
  <si>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</si>
  <si>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</si>
  <si>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</si>
  <si>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</si>
  <si>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</si>
  <si>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</si>
  <si>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</si>
  <si>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</si>
  <si>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</si>
  <si>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</si>
  <si>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</si>
  <si>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</si>
  <si>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</si>
  <si>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</si>
  <si>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</si>
  <si>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</si>
  <si>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</si>
  <si>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</si>
  <si>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</si>
  <si>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</si>
  <si>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</si>
  <si>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</si>
  <si>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</si>
  <si>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</si>
  <si>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 xml:space="preserve">*  AVERAGES  HAVE BEEN CALCULATED BY ASSUMING AIRCRAFTS ARE  AVAILABLE 365 DAYS </t>
  </si>
  <si>
    <t>TABLE - 1.11 (FLYBIG)</t>
  </si>
  <si>
    <t xml:space="preserve">तालिका 1.11 (फ्लाई बिग) </t>
  </si>
  <si>
    <t>ATR 72-212A</t>
  </si>
  <si>
    <t>DHC-8-4317</t>
  </si>
  <si>
    <t>TYPE OF AIRCRAFT WISE FLEET STATISTICS OF FLYBIG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</si>
</sst>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3" xfId="7" applyNumberFormat="1" applyFont="1" applyFill="1" applyBorder="1" applyAlignment="1" applyProtection="1">
      <alignment horizontal="left" vertical="center"/>
    </xf>
    <xf numFmtId="168" fontId="9" fillId="5" borderId="13" xfId="7" applyNumberFormat="1" applyFont="1" applyFill="1" applyBorder="1" applyAlignment="1" applyProtection="1">
      <alignment vertical="center"/>
    </xf>
    <xf numFmtId="168" fontId="10" fillId="5" borderId="12" xfId="7" applyNumberFormat="1" applyFont="1" applyFill="1" applyBorder="1" applyAlignment="1" applyProtection="1">
      <alignment vertical="center"/>
    </xf>
    <xf numFmtId="168" fontId="9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/>
    <xf numFmtId="43" fontId="5" fillId="2" borderId="0" xfId="2" applyNumberFormat="1" applyFont="1" applyFill="1"/>
    <xf numFmtId="164" fontId="16" fillId="3" borderId="1" xfId="0" applyNumberFormat="1" applyFont="1" applyFill="1" applyBorder="1" applyAlignment="1" applyProtection="1">
      <alignment horizontal="center" vertical="center"/>
    </xf>
    <xf numFmtId="3" fontId="16" fillId="3" borderId="1" xfId="0" applyNumberFormat="1" applyFont="1" applyFill="1" applyBorder="1" applyAlignment="1" applyProtection="1">
      <alignment horizontal="center" vertical="center"/>
    </xf>
    <xf numFmtId="166" fontId="16" fillId="3" borderId="1" xfId="0" applyNumberFormat="1" applyFont="1" applyFill="1" applyBorder="1" applyAlignment="1" applyProtection="1">
      <alignment horizontal="center" vertical="center"/>
    </xf>
    <xf numFmtId="164" fontId="19" fillId="3" borderId="1" xfId="0" applyNumberFormat="1" applyFont="1" applyFill="1" applyBorder="1" applyAlignment="1" applyProtection="1">
      <alignment horizontal="center" vertical="center"/>
    </xf>
    <xf numFmtId="3" fontId="19" fillId="3" borderId="1" xfId="0" applyNumberFormat="1" applyFont="1" applyFill="1" applyBorder="1" applyAlignment="1" applyProtection="1">
      <alignment horizontal="center" vertical="center"/>
    </xf>
    <xf numFmtId="166" fontId="19" fillId="3" borderId="1" xfId="0" applyNumberFormat="1" applyFont="1" applyFill="1" applyBorder="1" applyAlignment="1" applyProtection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7"/>
  <sheetViews>
    <sheetView showGridLines="0" tabSelected="1" view="pageBreakPreview" zoomScaleNormal="100" zoomScaleSheetLayoutView="100" workbookViewId="0">
      <selection activeCell="I13" sqref="I13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.28515625" style="1" bestFit="1" customWidth="1"/>
    <col min="17" max="17" width="17.85546875" style="1" customWidth="1"/>
    <col min="18" max="16384" width="11" style="1"/>
  </cols>
  <sheetData>
    <row r="1" spans="1:19" ht="24.95" customHeight="1">
      <c r="A1" s="35" t="s">
        <v>191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7"/>
    </row>
    <row r="2" spans="1:19" ht="24.95" customHeight="1">
      <c r="A2" s="38" t="s">
        <v>190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40"/>
    </row>
    <row r="3" spans="1:19" ht="32.25" customHeight="1">
      <c r="A3" s="41" t="s">
        <v>194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</row>
    <row r="4" spans="1:19" ht="35.1" customHeight="1">
      <c r="A4" s="43" t="s">
        <v>21</v>
      </c>
      <c r="B4" s="42" t="s">
        <v>6</v>
      </c>
      <c r="C4" s="42"/>
      <c r="D4" s="42"/>
      <c r="E4" s="42"/>
      <c r="F4" s="42" t="s">
        <v>5</v>
      </c>
      <c r="G4" s="42"/>
      <c r="H4" s="42"/>
      <c r="I4" s="42" t="s">
        <v>4</v>
      </c>
      <c r="J4" s="42"/>
      <c r="K4" s="42"/>
      <c r="L4" s="42"/>
      <c r="M4" s="42"/>
      <c r="N4" s="42"/>
      <c r="O4" s="43" t="s">
        <v>184</v>
      </c>
    </row>
    <row r="5" spans="1:19" ht="35.1" customHeight="1">
      <c r="A5" s="43"/>
      <c r="B5" s="43" t="s">
        <v>20</v>
      </c>
      <c r="C5" s="43" t="s">
        <v>19</v>
      </c>
      <c r="D5" s="43" t="s">
        <v>18</v>
      </c>
      <c r="E5" s="43" t="s">
        <v>17</v>
      </c>
      <c r="F5" s="43" t="s">
        <v>3</v>
      </c>
      <c r="G5" s="43" t="s">
        <v>26</v>
      </c>
      <c r="H5" s="43" t="s">
        <v>13</v>
      </c>
      <c r="I5" s="42" t="s">
        <v>2</v>
      </c>
      <c r="J5" s="42"/>
      <c r="K5" s="42"/>
      <c r="L5" s="42" t="s">
        <v>1</v>
      </c>
      <c r="M5" s="42"/>
      <c r="N5" s="42"/>
      <c r="O5" s="43"/>
    </row>
    <row r="6" spans="1:19" ht="95.25" customHeight="1">
      <c r="A6" s="43"/>
      <c r="B6" s="43"/>
      <c r="C6" s="43"/>
      <c r="D6" s="43"/>
      <c r="E6" s="43"/>
      <c r="F6" s="43"/>
      <c r="G6" s="43"/>
      <c r="H6" s="43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43"/>
    </row>
    <row r="7" spans="1:19" ht="27" customHeight="1">
      <c r="A7" s="22" t="s">
        <v>192</v>
      </c>
      <c r="B7" s="30">
        <v>1</v>
      </c>
      <c r="C7" s="30">
        <v>0</v>
      </c>
      <c r="D7" s="30">
        <v>0</v>
      </c>
      <c r="E7" s="30">
        <v>1</v>
      </c>
      <c r="F7" s="30">
        <v>72</v>
      </c>
      <c r="G7" s="31">
        <v>7</v>
      </c>
      <c r="H7" s="29">
        <v>23</v>
      </c>
      <c r="I7" s="30">
        <v>1831</v>
      </c>
      <c r="J7" s="30">
        <v>0</v>
      </c>
      <c r="K7" s="30">
        <v>1831</v>
      </c>
      <c r="L7" s="30">
        <v>1967</v>
      </c>
      <c r="M7" s="30">
        <v>0</v>
      </c>
      <c r="N7" s="30">
        <v>1967</v>
      </c>
      <c r="O7" s="31">
        <v>5.3890410958904109</v>
      </c>
      <c r="P7" s="28"/>
    </row>
    <row r="8" spans="1:19" ht="27" customHeight="1">
      <c r="A8" s="22" t="s">
        <v>192</v>
      </c>
      <c r="B8" s="30">
        <v>1</v>
      </c>
      <c r="C8" s="30">
        <v>1</v>
      </c>
      <c r="D8" s="30">
        <v>0</v>
      </c>
      <c r="E8" s="30">
        <v>2</v>
      </c>
      <c r="F8" s="30">
        <v>70</v>
      </c>
      <c r="G8" s="31">
        <v>5.9</v>
      </c>
      <c r="H8" s="29">
        <v>23</v>
      </c>
      <c r="I8" s="30">
        <v>4298</v>
      </c>
      <c r="J8" s="30">
        <v>0</v>
      </c>
      <c r="K8" s="30">
        <v>4298</v>
      </c>
      <c r="L8" s="30">
        <v>5146</v>
      </c>
      <c r="M8" s="30">
        <v>0</v>
      </c>
      <c r="N8" s="30">
        <v>5146</v>
      </c>
      <c r="O8" s="31">
        <v>7.0493150684931507</v>
      </c>
      <c r="P8" s="28"/>
    </row>
    <row r="9" spans="1:19" ht="27" customHeight="1">
      <c r="A9" s="22" t="s">
        <v>193</v>
      </c>
      <c r="B9" s="30">
        <v>0</v>
      </c>
      <c r="C9" s="30">
        <v>1</v>
      </c>
      <c r="D9" s="30">
        <v>1</v>
      </c>
      <c r="E9" s="30">
        <v>0</v>
      </c>
      <c r="F9" s="30">
        <v>78</v>
      </c>
      <c r="G9" s="31">
        <v>8.4</v>
      </c>
      <c r="H9" s="29">
        <v>30</v>
      </c>
      <c r="I9" s="30">
        <v>272</v>
      </c>
      <c r="J9" s="30">
        <v>0</v>
      </c>
      <c r="K9" s="30">
        <v>272</v>
      </c>
      <c r="L9" s="30">
        <v>203</v>
      </c>
      <c r="M9" s="30">
        <v>0</v>
      </c>
      <c r="N9" s="30">
        <v>203</v>
      </c>
      <c r="O9" s="31">
        <v>0</v>
      </c>
      <c r="P9" s="28"/>
    </row>
    <row r="10" spans="1:19" ht="22.5" customHeight="1">
      <c r="A10" s="27" t="s">
        <v>53</v>
      </c>
      <c r="B10" s="33">
        <v>1</v>
      </c>
      <c r="C10" s="33">
        <v>2</v>
      </c>
      <c r="D10" s="33">
        <v>1</v>
      </c>
      <c r="E10" s="33">
        <v>3</v>
      </c>
      <c r="F10" s="33"/>
      <c r="G10" s="33"/>
      <c r="H10" s="32"/>
      <c r="I10" s="33">
        <f>SUM(I7:I9)</f>
        <v>6401</v>
      </c>
      <c r="J10" s="33">
        <f t="shared" ref="J10:N10" si="0">SUM(J7:J9)</f>
        <v>0</v>
      </c>
      <c r="K10" s="33">
        <f t="shared" si="0"/>
        <v>6401</v>
      </c>
      <c r="L10" s="33">
        <f t="shared" si="0"/>
        <v>7316</v>
      </c>
      <c r="M10" s="33">
        <f t="shared" si="0"/>
        <v>0</v>
      </c>
      <c r="N10" s="33">
        <f t="shared" si="0"/>
        <v>7316</v>
      </c>
      <c r="O10" s="34">
        <v>6.6812785388127853</v>
      </c>
      <c r="P10" s="28"/>
    </row>
    <row r="11" spans="1:19" ht="20.100000000000001" customHeight="1">
      <c r="A11" s="44" t="s">
        <v>189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6"/>
      <c r="S11" s="1" t="s">
        <v>0</v>
      </c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5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  <row r="27" spans="1:15" ht="35.1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</row>
  </sheetData>
  <mergeCells count="18">
    <mergeCell ref="A11:O11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2024-03-13T12:11:05Z</cp:lastPrinted>
  <dcterms:created xsi:type="dcterms:W3CDTF">2002-12-26T09:18:20Z</dcterms:created>
  <dcterms:modified xsi:type="dcterms:W3CDTF">2024-03-13T12:11:16Z</dcterms:modified>
</cp:coreProperties>
</file>