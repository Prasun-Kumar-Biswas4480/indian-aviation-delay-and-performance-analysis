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esktop\annual table 22 23\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P18" i="1" l="1"/>
  <c r="O18" i="1"/>
  <c r="Q18" i="1" s="1"/>
  <c r="N18" i="1"/>
  <c r="M18" i="1"/>
  <c r="L18" i="1"/>
  <c r="G18" i="1"/>
  <c r="F18" i="1"/>
  <c r="E18" i="1"/>
  <c r="D18" i="1"/>
  <c r="C18" i="1"/>
  <c r="B18" i="1"/>
  <c r="H18" i="1" l="1"/>
</calcChain>
</file>

<file path=xl/sharedStrings.xml><?xml version="1.0" encoding="utf-8"?>
<sst xmlns="http://schemas.openxmlformats.org/spreadsheetml/2006/main" count="26" uniqueCount="24">
  <si>
    <t xml:space="preserve">तालिका 1.03 (स्टार एयर) </t>
  </si>
  <si>
    <t>Table 1.03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</si>
  <si>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</si>
  <si>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</si>
  <si>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</si>
  <si>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</si>
  <si>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</si>
  <si>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</si>
  <si>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</si>
  <si>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</si>
  <si>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</si>
  <si>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</si>
  <si>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</si>
  <si>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</si>
  <si>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</si>
  <si>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</si>
  <si>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</si>
  <si>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</si>
  <si>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</si>
  <si>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</si>
  <si>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</si>
  <si>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</si>
  <si>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2021-22</t>
  </si>
  <si>
    <t>MONTHLY TRAFFIC AND OPERATING STATISTICS OF STAR AIR ON SCHEDULED (DOMESTIC + INTERNATIONAL)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</si>
</sst>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60" zoomScaleNormal="100" workbookViewId="0">
      <selection activeCell="K5" sqref="K5"/>
    </sheetView>
  </sheetViews>
  <sheetFormatPr defaultRowHeight="18.600000000000001" customHeight="1" x14ac:dyDescent="0.25"/>
  <cols>
    <col min="1" max="1" width="11.7109375" customWidth="1"/>
    <col min="2" max="4" width="8.140625" customWidth="1"/>
    <col min="5" max="5" width="10.85546875" customWidth="1"/>
    <col min="6" max="6" width="11.28515625" customWidth="1"/>
    <col min="7" max="7" width="10.5703125" customWidth="1"/>
    <col min="8" max="11" width="8.140625" customWidth="1"/>
    <col min="12" max="12" width="9.28515625" customWidth="1"/>
    <col min="13" max="14" width="8.140625" customWidth="1"/>
    <col min="15" max="15" width="8.5703125" customWidth="1"/>
    <col min="16" max="16" width="9" customWidth="1"/>
    <col min="17" max="17" width="8.140625" customWidth="1"/>
  </cols>
  <sheetData>
    <row r="1" spans="1:17" ht="18.600000000000001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600000000000001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5.5" customHeight="1" x14ac:dyDescent="0.25">
      <c r="A3" s="17" t="s">
        <v>23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36.75" customHeight="1" x14ac:dyDescent="0.25">
      <c r="A4" s="17" t="s">
        <v>2</v>
      </c>
      <c r="B4" s="17" t="s">
        <v>3</v>
      </c>
      <c r="C4" s="17"/>
      <c r="D4" s="17"/>
      <c r="E4" s="17" t="s">
        <v>4</v>
      </c>
      <c r="F4" s="18"/>
      <c r="G4" s="9" t="s">
        <v>5</v>
      </c>
      <c r="H4" s="9" t="s">
        <v>6</v>
      </c>
      <c r="I4" s="17" t="s">
        <v>7</v>
      </c>
      <c r="J4" s="17"/>
      <c r="K4" s="17"/>
      <c r="L4" s="17" t="s">
        <v>8</v>
      </c>
      <c r="M4" s="17"/>
      <c r="N4" s="17"/>
      <c r="O4" s="17"/>
      <c r="P4" s="9" t="s">
        <v>9</v>
      </c>
      <c r="Q4" s="9" t="s">
        <v>10</v>
      </c>
    </row>
    <row r="5" spans="1:17" ht="100.9" customHeight="1" x14ac:dyDescent="0.25">
      <c r="A5" s="17"/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10"/>
      <c r="H5" s="10"/>
      <c r="I5" s="8" t="s">
        <v>16</v>
      </c>
      <c r="J5" s="8" t="s">
        <v>17</v>
      </c>
      <c r="K5" s="8" t="s">
        <v>18</v>
      </c>
      <c r="L5" s="8" t="s">
        <v>19</v>
      </c>
      <c r="M5" s="8" t="s">
        <v>20</v>
      </c>
      <c r="N5" s="8" t="s">
        <v>17</v>
      </c>
      <c r="O5" s="8" t="s">
        <v>18</v>
      </c>
      <c r="P5" s="10"/>
      <c r="Q5" s="10"/>
    </row>
    <row r="6" spans="1:17" ht="18.600000000000001" customHeight="1" x14ac:dyDescent="0.25">
      <c r="A6" s="1">
        <v>44652</v>
      </c>
      <c r="B6" s="2">
        <v>519</v>
      </c>
      <c r="C6" s="2">
        <v>753.96</v>
      </c>
      <c r="D6" s="2">
        <v>403.03500000000003</v>
      </c>
      <c r="E6" s="2">
        <v>20599</v>
      </c>
      <c r="F6" s="2">
        <v>1651.2860000000001</v>
      </c>
      <c r="G6" s="2">
        <v>2015.175</v>
      </c>
      <c r="H6" s="2">
        <f t="shared" ref="H6:H14" si="0">F6/G6*100</f>
        <v>81.942560819779914</v>
      </c>
      <c r="I6" s="2"/>
      <c r="J6" s="2"/>
      <c r="K6" s="2"/>
      <c r="L6" s="2">
        <v>1.4861574</v>
      </c>
      <c r="M6" s="2">
        <v>0</v>
      </c>
      <c r="N6" s="2">
        <v>0</v>
      </c>
      <c r="O6" s="2">
        <v>1.4861574</v>
      </c>
      <c r="P6" s="2">
        <v>9.6178500000000007</v>
      </c>
      <c r="Q6" s="2">
        <f t="shared" ref="Q6" si="1">O6/P6*100</f>
        <v>15.452075047957702</v>
      </c>
    </row>
    <row r="7" spans="1:17" ht="18.600000000000001" customHeight="1" x14ac:dyDescent="0.25">
      <c r="A7" s="1">
        <v>44682</v>
      </c>
      <c r="B7" s="3">
        <v>527</v>
      </c>
      <c r="C7" s="3">
        <v>759</v>
      </c>
      <c r="D7" s="3">
        <v>406</v>
      </c>
      <c r="E7" s="3">
        <v>21355</v>
      </c>
      <c r="F7" s="3">
        <v>1692.0000000000002</v>
      </c>
      <c r="G7" s="3">
        <v>2028.5</v>
      </c>
      <c r="H7" s="3">
        <f t="shared" si="0"/>
        <v>83.411387724919905</v>
      </c>
      <c r="I7" s="3"/>
      <c r="J7" s="3"/>
      <c r="K7" s="3">
        <v>0</v>
      </c>
      <c r="L7" s="3">
        <v>1.5229999999999999</v>
      </c>
      <c r="M7" s="3">
        <v>0</v>
      </c>
      <c r="N7" s="3">
        <v>0</v>
      </c>
      <c r="O7" s="3">
        <v>1.5229999999999999</v>
      </c>
      <c r="P7" s="3">
        <v>9.4269999999999996</v>
      </c>
      <c r="Q7" s="3">
        <f>O7/P7*100</f>
        <v>16.155722923517558</v>
      </c>
    </row>
    <row r="8" spans="1:17" ht="18.600000000000001" customHeight="1" x14ac:dyDescent="0.25">
      <c r="A8" s="1">
        <v>44713</v>
      </c>
      <c r="B8" s="2">
        <v>534</v>
      </c>
      <c r="C8" s="2">
        <v>761.28</v>
      </c>
      <c r="D8" s="2">
        <v>399.02300000000002</v>
      </c>
      <c r="E8" s="2">
        <v>21087</v>
      </c>
      <c r="F8" s="2">
        <v>1632.7237999999998</v>
      </c>
      <c r="G8" s="2">
        <v>1995.1150000000002</v>
      </c>
      <c r="H8" s="2">
        <f t="shared" si="0"/>
        <v>81.836074612240367</v>
      </c>
      <c r="I8" s="2"/>
      <c r="J8" s="2"/>
      <c r="K8" s="2">
        <v>0</v>
      </c>
      <c r="L8" s="2">
        <v>1.4694514200000002</v>
      </c>
      <c r="M8" s="2">
        <v>0</v>
      </c>
      <c r="N8" s="2">
        <v>0</v>
      </c>
      <c r="O8" s="2">
        <v>1.4694514200000002</v>
      </c>
      <c r="P8" s="2">
        <v>8.7785060000000001</v>
      </c>
      <c r="Q8" s="2">
        <f t="shared" ref="Q8:Q14" si="2">O8/P8*100</f>
        <v>16.739197079776446</v>
      </c>
    </row>
    <row r="9" spans="1:17" ht="18.600000000000001" customHeight="1" x14ac:dyDescent="0.25">
      <c r="A9" s="1">
        <v>44743</v>
      </c>
      <c r="B9" s="3">
        <v>529</v>
      </c>
      <c r="C9" s="3">
        <v>744.24</v>
      </c>
      <c r="D9" s="3">
        <v>387.72</v>
      </c>
      <c r="E9" s="3">
        <v>19610</v>
      </c>
      <c r="F9" s="3">
        <v>1509.0376000000001</v>
      </c>
      <c r="G9" s="3">
        <v>1938.6</v>
      </c>
      <c r="H9" s="3">
        <f t="shared" si="0"/>
        <v>77.84161766223049</v>
      </c>
      <c r="I9" s="3"/>
      <c r="J9" s="3"/>
      <c r="K9" s="3">
        <v>0</v>
      </c>
      <c r="L9" s="3">
        <v>1.35813384</v>
      </c>
      <c r="M9" s="3">
        <v>0</v>
      </c>
      <c r="N9" s="3">
        <v>0</v>
      </c>
      <c r="O9" s="3">
        <v>1.35813384</v>
      </c>
      <c r="P9" s="3">
        <v>8.5298400000000001</v>
      </c>
      <c r="Q9" s="3">
        <f t="shared" si="2"/>
        <v>15.922149067274416</v>
      </c>
    </row>
    <row r="10" spans="1:17" ht="18.600000000000001" customHeight="1" x14ac:dyDescent="0.25">
      <c r="A10" s="1">
        <v>44774</v>
      </c>
      <c r="B10" s="2">
        <v>510</v>
      </c>
      <c r="C10" s="2">
        <v>713.4</v>
      </c>
      <c r="D10" s="2">
        <v>372.17099999999999</v>
      </c>
      <c r="E10" s="2">
        <v>19438</v>
      </c>
      <c r="F10" s="2">
        <v>1475.4313</v>
      </c>
      <c r="G10" s="2">
        <v>1860.855</v>
      </c>
      <c r="H10" s="2">
        <f t="shared" si="0"/>
        <v>79.287816621929167</v>
      </c>
      <c r="I10" s="2"/>
      <c r="J10" s="2"/>
      <c r="K10" s="2">
        <v>0</v>
      </c>
      <c r="L10" s="2">
        <v>1.32788817</v>
      </c>
      <c r="M10" s="2">
        <v>0</v>
      </c>
      <c r="N10" s="2">
        <v>0</v>
      </c>
      <c r="O10" s="2">
        <v>1.32788817</v>
      </c>
      <c r="P10" s="2">
        <v>8.1877619999999993</v>
      </c>
      <c r="Q10" s="2">
        <f t="shared" si="2"/>
        <v>16.21796249084915</v>
      </c>
    </row>
    <row r="11" spans="1:17" ht="18.600000000000001" customHeight="1" x14ac:dyDescent="0.25">
      <c r="A11" s="1">
        <v>44805</v>
      </c>
      <c r="B11" s="3">
        <v>463</v>
      </c>
      <c r="C11" s="3">
        <v>650.94000000000005</v>
      </c>
      <c r="D11" s="3">
        <v>339.22300000000001</v>
      </c>
      <c r="E11" s="3">
        <v>17649</v>
      </c>
      <c r="F11" s="3">
        <v>1342.9017999999999</v>
      </c>
      <c r="G11" s="3">
        <v>1696.115</v>
      </c>
      <c r="H11" s="3">
        <f t="shared" si="0"/>
        <v>79.175162061534735</v>
      </c>
      <c r="I11" s="3"/>
      <c r="J11" s="3"/>
      <c r="K11" s="3">
        <v>0</v>
      </c>
      <c r="L11" s="3">
        <v>1.2086116199999999</v>
      </c>
      <c r="M11" s="3">
        <v>0</v>
      </c>
      <c r="N11" s="3">
        <v>0</v>
      </c>
      <c r="O11" s="3">
        <v>1.2086116199999999</v>
      </c>
      <c r="P11" s="3">
        <v>7.4629060000000003</v>
      </c>
      <c r="Q11" s="3">
        <f t="shared" si="2"/>
        <v>16.194919512586651</v>
      </c>
    </row>
    <row r="12" spans="1:17" ht="18.600000000000001" customHeight="1" x14ac:dyDescent="0.25">
      <c r="A12" s="1">
        <v>44835</v>
      </c>
      <c r="B12" s="2">
        <v>459</v>
      </c>
      <c r="C12" s="2">
        <v>646.4</v>
      </c>
      <c r="D12" s="2">
        <v>334.68</v>
      </c>
      <c r="E12" s="2">
        <v>17439</v>
      </c>
      <c r="F12" s="2">
        <v>1329.3098</v>
      </c>
      <c r="G12" s="2">
        <v>1673.4</v>
      </c>
      <c r="H12" s="2">
        <f t="shared" si="0"/>
        <v>79.437659854189064</v>
      </c>
      <c r="I12" s="2"/>
      <c r="J12" s="2"/>
      <c r="K12" s="2">
        <v>0</v>
      </c>
      <c r="L12" s="2">
        <v>1.1963788199999998</v>
      </c>
      <c r="M12" s="2">
        <v>0</v>
      </c>
      <c r="N12" s="2">
        <v>0</v>
      </c>
      <c r="O12" s="2">
        <v>1.1963788199999998</v>
      </c>
      <c r="P12" s="2">
        <v>7.3629600000000002</v>
      </c>
      <c r="Q12" s="2">
        <f t="shared" si="2"/>
        <v>16.248612242902308</v>
      </c>
    </row>
    <row r="13" spans="1:17" ht="18.600000000000001" customHeight="1" x14ac:dyDescent="0.25">
      <c r="A13" s="1">
        <v>44866</v>
      </c>
      <c r="B13" s="3">
        <v>496</v>
      </c>
      <c r="C13" s="3">
        <v>697.52</v>
      </c>
      <c r="D13" s="3">
        <v>360.93</v>
      </c>
      <c r="E13" s="3">
        <v>19802</v>
      </c>
      <c r="F13" s="3">
        <v>1468.6961000000001</v>
      </c>
      <c r="G13" s="3">
        <v>1804.65</v>
      </c>
      <c r="H13" s="3">
        <f t="shared" si="0"/>
        <v>81.383985814423852</v>
      </c>
      <c r="I13" s="3"/>
      <c r="J13" s="3"/>
      <c r="K13" s="3">
        <v>0</v>
      </c>
      <c r="L13" s="3">
        <v>1.3218264899999999</v>
      </c>
      <c r="M13" s="3">
        <v>0</v>
      </c>
      <c r="N13" s="3">
        <v>0</v>
      </c>
      <c r="O13" s="3">
        <v>1.3218264899999999</v>
      </c>
      <c r="P13" s="3">
        <v>7.9404599999999999</v>
      </c>
      <c r="Q13" s="3">
        <f t="shared" si="2"/>
        <v>16.646724371132148</v>
      </c>
    </row>
    <row r="14" spans="1:17" ht="18.600000000000001" customHeight="1" x14ac:dyDescent="0.25">
      <c r="A14" s="1">
        <v>44896</v>
      </c>
      <c r="B14" s="2">
        <v>500</v>
      </c>
      <c r="C14" s="2">
        <v>691.02</v>
      </c>
      <c r="D14" s="2">
        <v>351.07600000000002</v>
      </c>
      <c r="E14" s="2">
        <v>20171</v>
      </c>
      <c r="F14" s="2">
        <v>1454.0154000000002</v>
      </c>
      <c r="G14" s="2">
        <v>1755.3799999999999</v>
      </c>
      <c r="H14" s="2">
        <f t="shared" si="0"/>
        <v>82.83194521983846</v>
      </c>
      <c r="I14" s="2"/>
      <c r="J14" s="2"/>
      <c r="K14" s="2">
        <v>0</v>
      </c>
      <c r="L14" s="2">
        <v>1.3384613700000001</v>
      </c>
      <c r="M14" s="2">
        <v>0</v>
      </c>
      <c r="N14" s="2">
        <v>0</v>
      </c>
      <c r="O14" s="2">
        <v>1.3384613700000001</v>
      </c>
      <c r="P14" s="2">
        <v>7.7236719999999996</v>
      </c>
      <c r="Q14" s="2">
        <f t="shared" si="2"/>
        <v>17.329339852857554</v>
      </c>
    </row>
    <row r="15" spans="1:17" ht="18.600000000000001" customHeight="1" x14ac:dyDescent="0.25">
      <c r="A15" s="1">
        <v>44927</v>
      </c>
      <c r="B15" s="3">
        <v>421</v>
      </c>
      <c r="C15" s="3">
        <v>570.91999999999996</v>
      </c>
      <c r="D15" s="3">
        <v>288.464</v>
      </c>
      <c r="E15" s="3">
        <v>16278</v>
      </c>
      <c r="F15" s="3">
        <v>1142.5174999999999</v>
      </c>
      <c r="G15" s="3">
        <v>1442.3200000000002</v>
      </c>
      <c r="H15" s="3">
        <f>F15/G15*100</f>
        <v>79.213870708303276</v>
      </c>
      <c r="I15" s="3"/>
      <c r="J15" s="3"/>
      <c r="K15" s="3">
        <v>0</v>
      </c>
      <c r="L15" s="3">
        <v>1.0282657500000001</v>
      </c>
      <c r="M15" s="3">
        <v>0</v>
      </c>
      <c r="N15" s="3">
        <v>0</v>
      </c>
      <c r="O15" s="3">
        <v>1.0282657500000001</v>
      </c>
      <c r="P15" s="3">
        <v>6.3462079999999998</v>
      </c>
      <c r="Q15" s="3">
        <f>O15/P15*100</f>
        <v>16.202837190334765</v>
      </c>
    </row>
    <row r="16" spans="1:17" ht="18.600000000000001" customHeight="1" x14ac:dyDescent="0.25">
      <c r="A16" s="1">
        <v>44958</v>
      </c>
      <c r="B16" s="2">
        <v>390</v>
      </c>
      <c r="C16" s="2">
        <v>516.22</v>
      </c>
      <c r="D16" s="2">
        <v>256.55</v>
      </c>
      <c r="E16" s="2">
        <v>14948</v>
      </c>
      <c r="F16" s="2">
        <v>1006.7511</v>
      </c>
      <c r="G16" s="2">
        <v>1282.75</v>
      </c>
      <c r="H16" s="2">
        <f t="shared" ref="H16:H17" si="3">F16/G16*100</f>
        <v>78.483812122393289</v>
      </c>
      <c r="I16" s="2"/>
      <c r="J16" s="2"/>
      <c r="K16" s="2">
        <v>0</v>
      </c>
      <c r="L16" s="2">
        <v>0.90607599000000005</v>
      </c>
      <c r="M16" s="2">
        <v>0</v>
      </c>
      <c r="N16" s="2">
        <v>0</v>
      </c>
      <c r="O16" s="2">
        <v>0.90607599000000005</v>
      </c>
      <c r="P16" s="2">
        <v>5.6441000000000008</v>
      </c>
      <c r="Q16" s="2">
        <f t="shared" ref="Q16:Q17" si="4">O16/P16*100</f>
        <v>16.053507025034992</v>
      </c>
    </row>
    <row r="17" spans="1:17" ht="18.600000000000001" customHeight="1" x14ac:dyDescent="0.25">
      <c r="A17" s="1">
        <v>44986</v>
      </c>
      <c r="B17" s="3">
        <v>502</v>
      </c>
      <c r="C17" s="3">
        <v>667.83</v>
      </c>
      <c r="D17" s="3">
        <v>334.22899999999998</v>
      </c>
      <c r="E17" s="3">
        <v>18252</v>
      </c>
      <c r="F17" s="3">
        <v>1238.5662</v>
      </c>
      <c r="G17" s="3">
        <v>1671.145</v>
      </c>
      <c r="H17" s="3">
        <f t="shared" si="3"/>
        <v>74.114825463978292</v>
      </c>
      <c r="I17" s="3"/>
      <c r="J17" s="3"/>
      <c r="K17" s="3">
        <v>0</v>
      </c>
      <c r="L17" s="3">
        <v>1.11470958</v>
      </c>
      <c r="M17" s="3">
        <v>0</v>
      </c>
      <c r="N17" s="3">
        <v>0</v>
      </c>
      <c r="O17" s="3">
        <v>1.11470958</v>
      </c>
      <c r="P17" s="3">
        <v>7.3530379999999997</v>
      </c>
      <c r="Q17" s="3">
        <f t="shared" si="4"/>
        <v>15.159850663086468</v>
      </c>
    </row>
    <row r="18" spans="1:17" ht="18.600000000000001" customHeight="1" x14ac:dyDescent="0.25">
      <c r="A18" s="4" t="s">
        <v>22</v>
      </c>
      <c r="B18" s="5">
        <f>SUM(B6:B17)</f>
        <v>5850</v>
      </c>
      <c r="C18" s="5">
        <f t="shared" ref="C18:G18" si="5">SUM(C6:C17)</f>
        <v>8172.7300000000005</v>
      </c>
      <c r="D18" s="5">
        <f t="shared" si="5"/>
        <v>4233.1009999999997</v>
      </c>
      <c r="E18" s="5">
        <f t="shared" si="5"/>
        <v>226628</v>
      </c>
      <c r="F18" s="7">
        <f t="shared" si="5"/>
        <v>16943.2366</v>
      </c>
      <c r="G18" s="7">
        <f t="shared" si="5"/>
        <v>21164.005000000001</v>
      </c>
      <c r="H18" s="2">
        <f t="shared" ref="H18" si="6">F18/G18*100</f>
        <v>80.056854078422305</v>
      </c>
      <c r="I18" s="5">
        <v>0</v>
      </c>
      <c r="J18" s="5">
        <v>0</v>
      </c>
      <c r="K18" s="5">
        <v>0</v>
      </c>
      <c r="L18" s="6">
        <f t="shared" ref="L18:P18" si="7">SUM(L6:L17)</f>
        <v>15.278960449999998</v>
      </c>
      <c r="M18" s="5">
        <f t="shared" si="7"/>
        <v>0</v>
      </c>
      <c r="N18" s="5">
        <f t="shared" si="7"/>
        <v>0</v>
      </c>
      <c r="O18" s="6">
        <f t="shared" si="7"/>
        <v>15.278960449999998</v>
      </c>
      <c r="P18" s="6">
        <f t="shared" si="7"/>
        <v>94.374301999999986</v>
      </c>
      <c r="Q18" s="2">
        <f t="shared" ref="Q18" si="8">O18/P18*100</f>
        <v>16.189746706682929</v>
      </c>
    </row>
    <row r="19" spans="1:17" ht="18.600000000000001" customHeight="1" x14ac:dyDescent="0.25">
      <c r="A19" s="11" t="s">
        <v>21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2023-11-09T11:01:36Z</cp:lastPrinted>
  <dcterms:created xsi:type="dcterms:W3CDTF">2020-06-03T10:41:53Z</dcterms:created>
  <dcterms:modified xsi:type="dcterms:W3CDTF">2023-11-09T11:03:00Z</dcterms:modified>
</cp:coreProperties>
</file>