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Q7" i="1"/>
  <c r="H8" i="1"/>
  <c r="Q8" i="1"/>
  <c r="H11" i="1"/>
  <c r="H13" i="1"/>
  <c r="H15" i="1"/>
  <c r="Q15" i="1"/>
  <c r="H17" i="1"/>
  <c r="Q17" i="1"/>
  <c r="B18" i="1"/>
  <c r="D18" i="1" l="1"/>
  <c r="Q9" i="1"/>
  <c r="H9" i="1"/>
  <c r="I18" i="1"/>
  <c r="N18" i="1"/>
  <c r="E18" i="1"/>
  <c r="Q16" i="1"/>
  <c r="F18" i="1"/>
  <c r="Q12" i="1"/>
  <c r="H12" i="1"/>
  <c r="P18" i="1"/>
  <c r="M18" i="1"/>
  <c r="H16" i="1"/>
  <c r="Q11" i="1"/>
  <c r="H14" i="1"/>
  <c r="L18" i="1"/>
  <c r="G18" i="1"/>
  <c r="Q14" i="1"/>
  <c r="Q6" i="1"/>
  <c r="Q10" i="1"/>
  <c r="H10" i="1"/>
  <c r="K18" i="1"/>
  <c r="Q13" i="1"/>
  <c r="C18" i="1"/>
  <c r="J18" i="1"/>
  <c r="O18" i="1"/>
  <c r="H6" i="1"/>
  <c r="Q18" i="1" l="1"/>
  <c r="H18" i="1"/>
</calcChain>
</file>

<file path=xl/sharedStrings.xml><?xml version="1.0" encoding="utf-8"?>
<sst xmlns="http://schemas.openxmlformats.org/spreadsheetml/2006/main" count="26" uniqueCount="24">
  <si>
    <t>Table 1.03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</si>
  <si>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</si>
  <si>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</si>
  <si>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</si>
  <si>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</si>
  <si>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</si>
  <si>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</si>
  <si>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</si>
  <si>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</si>
  <si>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</si>
  <si>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</si>
  <si>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</si>
  <si>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</si>
  <si>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</si>
  <si>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</si>
  <si>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</si>
  <si>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</si>
  <si>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</si>
  <si>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</si>
  <si>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</si>
  <si>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</si>
  <si>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 तालिका- 1.03 (सभी अनुसूचित भारतीय एयरलाइन्स) </t>
  </si>
  <si>
    <t xml:space="preserve"> MONTHLY TRAFFIC AND OPERATING STATISTICS OF ALL SCHEDULED INDIAN AIRLINES ON TOTAL SCHEDULED (INTERNATIONAL+DOMESTIC) SERVICES DURING 2022-23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</si>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</sst>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17" fontId="2" fillId="4" borderId="1" xfId="2" applyNumberForma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wrapText="1"/>
    </xf>
    <xf numFmtId="3" fontId="2" fillId="4" borderId="1" xfId="2" applyNumberFormat="1" applyBorder="1" applyAlignment="1" applyProtection="1">
      <alignment horizontal="right" vertical="center" wrapText="1"/>
    </xf>
    <xf numFmtId="164" fontId="2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17" fontId="2" fillId="5" borderId="1" xfId="2" applyNumberFormat="1" applyFill="1" applyBorder="1" applyAlignment="1" applyProtection="1">
      <alignment horizontal="center" vertical="center" wrapText="1"/>
    </xf>
    <xf numFmtId="3" fontId="2" fillId="5" borderId="1" xfId="2" applyNumberFormat="1" applyFill="1" applyBorder="1" applyAlignment="1" applyProtection="1">
      <alignment horizontal="right" vertical="center" wrapText="1"/>
    </xf>
    <xf numFmtId="164" fontId="2" fillId="5" borderId="1" xfId="2" applyNumberFormat="1" applyFill="1" applyBorder="1" applyAlignment="1" applyProtection="1">
      <alignment horizontal="right" vertical="center" wrapText="1"/>
    </xf>
    <xf numFmtId="3" fontId="3" fillId="4" borderId="1" xfId="2" applyNumberFormat="1" applyFont="1" applyBorder="1" applyAlignment="1" applyProtection="1">
      <alignment horizontal="center" vertical="center" wrapText="1"/>
    </xf>
    <xf numFmtId="165" fontId="3" fillId="4" borderId="1" xfId="2" applyNumberFormat="1" applyFont="1" applyBorder="1" applyAlignment="1" applyProtection="1">
      <alignment horizontal="center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0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  <xf numFmtId="0" fontId="2" fillId="3" borderId="1" xfId="1" applyFont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view="pageBreakPreview" topLeftCell="J13" zoomScaleNormal="95" zoomScaleSheetLayoutView="100" workbookViewId="0">
      <selection activeCell="Y6" sqref="Y6"/>
    </sheetView>
  </sheetViews>
  <sheetFormatPr defaultColWidth="9.140625" defaultRowHeight="15" x14ac:dyDescent="0.25"/>
  <cols>
    <col min="1" max="1" width="8.85546875" style="1" customWidth="1"/>
    <col min="2" max="2" width="10.28515625" style="1" customWidth="1"/>
    <col min="3" max="3" width="10.42578125" style="1" customWidth="1"/>
    <col min="4" max="4" width="10.28515625" style="1" customWidth="1"/>
    <col min="5" max="5" width="12.140625" style="1" customWidth="1"/>
    <col min="6" max="6" width="8.7109375" style="1" customWidth="1"/>
    <col min="7" max="7" width="9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8" style="1" customWidth="1"/>
    <col min="14" max="14" width="6" style="1" customWidth="1"/>
    <col min="15" max="15" width="9.5703125" style="1" customWidth="1"/>
    <col min="16" max="16" width="9.140625" style="1" customWidth="1"/>
    <col min="17" max="17" width="6.7109375" style="1" customWidth="1"/>
    <col min="18" max="16384" width="9.140625" style="1"/>
  </cols>
  <sheetData>
    <row r="1" spans="1:17" ht="18.75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28.5" customHeight="1" x14ac:dyDescent="0.25">
      <c r="A4" s="20" t="s">
        <v>1</v>
      </c>
      <c r="B4" s="20" t="s">
        <v>2</v>
      </c>
      <c r="C4" s="20"/>
      <c r="D4" s="20"/>
      <c r="E4" s="20" t="s">
        <v>3</v>
      </c>
      <c r="F4" s="19"/>
      <c r="G4" s="12" t="s">
        <v>4</v>
      </c>
      <c r="H4" s="12" t="s">
        <v>5</v>
      </c>
      <c r="I4" s="20" t="s">
        <v>6</v>
      </c>
      <c r="J4" s="20"/>
      <c r="K4" s="20"/>
      <c r="L4" s="20" t="s">
        <v>7</v>
      </c>
      <c r="M4" s="20"/>
      <c r="N4" s="20"/>
      <c r="O4" s="20"/>
      <c r="P4" s="12" t="s">
        <v>8</v>
      </c>
      <c r="Q4" s="12" t="s">
        <v>9</v>
      </c>
    </row>
    <row r="5" spans="1:17" ht="115.5" customHeight="1" x14ac:dyDescent="0.25">
      <c r="A5" s="20"/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13"/>
      <c r="H5" s="13"/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16</v>
      </c>
      <c r="O5" s="6" t="s">
        <v>17</v>
      </c>
      <c r="P5" s="13"/>
      <c r="Q5" s="13"/>
    </row>
    <row r="6" spans="1:17" ht="30" customHeight="1" x14ac:dyDescent="0.25">
      <c r="A6" s="2">
        <v>44652</v>
      </c>
      <c r="B6" s="4">
        <v>92201</v>
      </c>
      <c r="C6" s="4">
        <v>184931.91966666665</v>
      </c>
      <c r="D6" s="4">
        <v>107909.50500000002</v>
      </c>
      <c r="E6" s="4">
        <v>12007265</v>
      </c>
      <c r="F6" s="4">
        <v>15644.536996000003</v>
      </c>
      <c r="G6" s="4">
        <v>19738.060869999998</v>
      </c>
      <c r="H6" s="5">
        <f>F6/G6*100</f>
        <v>79.260759701973726</v>
      </c>
      <c r="I6" s="4">
        <v>70011.840139999986</v>
      </c>
      <c r="J6" s="4">
        <v>2690.6985531818295</v>
      </c>
      <c r="K6" s="4">
        <v>72702.538693181807</v>
      </c>
      <c r="L6" s="4">
        <v>1408.950253796999</v>
      </c>
      <c r="M6" s="4">
        <v>143.95647022590998</v>
      </c>
      <c r="N6" s="4">
        <v>2.9940550660639924</v>
      </c>
      <c r="O6" s="4">
        <v>1555.9007790889732</v>
      </c>
      <c r="P6" s="4">
        <v>2280.6096538139996</v>
      </c>
      <c r="Q6" s="5">
        <f>O6/P6*100</f>
        <v>68.22301994937834</v>
      </c>
    </row>
    <row r="7" spans="1:17" ht="30" customHeight="1" x14ac:dyDescent="0.25">
      <c r="A7" s="7">
        <v>44682</v>
      </c>
      <c r="B7" s="8">
        <v>98308</v>
      </c>
      <c r="C7" s="8">
        <v>200916.18</v>
      </c>
      <c r="D7" s="8">
        <v>117132.56500000003</v>
      </c>
      <c r="E7" s="8">
        <v>13201377</v>
      </c>
      <c r="F7" s="8">
        <v>17310.417027</v>
      </c>
      <c r="G7" s="8">
        <v>21463.04105</v>
      </c>
      <c r="H7" s="9">
        <f t="shared" ref="H7:H17" si="0">F7/G7*100</f>
        <v>80.652210405197906</v>
      </c>
      <c r="I7" s="8">
        <v>75613.10944</v>
      </c>
      <c r="J7" s="8">
        <v>2435.5272999999997</v>
      </c>
      <c r="K7" s="8">
        <v>78048.636739999987</v>
      </c>
      <c r="L7" s="8">
        <v>1552.8531614420006</v>
      </c>
      <c r="M7" s="8">
        <v>149.34451743058992</v>
      </c>
      <c r="N7" s="8">
        <v>2.7857306102700008</v>
      </c>
      <c r="O7" s="8">
        <v>1704.9834094828609</v>
      </c>
      <c r="P7" s="8">
        <v>2443.5282370070008</v>
      </c>
      <c r="Q7" s="9">
        <f t="shared" ref="Q7:Q17" si="1">O7/P7*100</f>
        <v>69.775473991298753</v>
      </c>
    </row>
    <row r="8" spans="1:17" ht="30" customHeight="1" x14ac:dyDescent="0.25">
      <c r="A8" s="2">
        <v>44713</v>
      </c>
      <c r="B8" s="4">
        <v>95193</v>
      </c>
      <c r="C8" s="4">
        <v>194905.10333333333</v>
      </c>
      <c r="D8" s="4">
        <v>114196.02700000003</v>
      </c>
      <c r="E8" s="4">
        <v>12350787</v>
      </c>
      <c r="F8" s="4">
        <v>16695.511813999998</v>
      </c>
      <c r="G8" s="4">
        <v>20928.751021999997</v>
      </c>
      <c r="H8" s="5">
        <f t="shared" si="0"/>
        <v>79.773092032343058</v>
      </c>
      <c r="I8" s="4">
        <v>74170.519220000002</v>
      </c>
      <c r="J8" s="4">
        <v>2434.9640299999992</v>
      </c>
      <c r="K8" s="4">
        <v>76605.483250000005</v>
      </c>
      <c r="L8" s="4">
        <v>1471.7986083469993</v>
      </c>
      <c r="M8" s="4">
        <v>141.56209090241003</v>
      </c>
      <c r="N8" s="4">
        <v>2.7329484117600007</v>
      </c>
      <c r="O8" s="4">
        <v>1616.0936476611691</v>
      </c>
      <c r="P8" s="4">
        <v>2347.0263248769988</v>
      </c>
      <c r="Q8" s="5">
        <f t="shared" si="1"/>
        <v>68.857073758892085</v>
      </c>
    </row>
    <row r="9" spans="1:17" ht="30" customHeight="1" x14ac:dyDescent="0.25">
      <c r="A9" s="7">
        <v>44743</v>
      </c>
      <c r="B9" s="8">
        <v>90759</v>
      </c>
      <c r="C9" s="8">
        <v>189626.73666666666</v>
      </c>
      <c r="D9" s="8">
        <v>111406.61899999999</v>
      </c>
      <c r="E9" s="8">
        <v>11669894</v>
      </c>
      <c r="F9" s="8">
        <v>16330.912905999998</v>
      </c>
      <c r="G9" s="8">
        <v>20623.742700999999</v>
      </c>
      <c r="H9" s="9">
        <f t="shared" si="0"/>
        <v>79.185010901091914</v>
      </c>
      <c r="I9" s="8">
        <v>76089.926239999986</v>
      </c>
      <c r="J9" s="8">
        <v>2727.9586999999988</v>
      </c>
      <c r="K9" s="8">
        <v>78817.884939999974</v>
      </c>
      <c r="L9" s="8">
        <v>1491.3316935919995</v>
      </c>
      <c r="M9" s="8">
        <v>148.53239834997999</v>
      </c>
      <c r="N9" s="8">
        <v>2.9507668108400011</v>
      </c>
      <c r="O9" s="8">
        <v>1642.8148587528199</v>
      </c>
      <c r="P9" s="8">
        <v>2382.220592368999</v>
      </c>
      <c r="Q9" s="9">
        <f t="shared" si="1"/>
        <v>68.961491812104725</v>
      </c>
    </row>
    <row r="10" spans="1:17" ht="30" customHeight="1" x14ac:dyDescent="0.25">
      <c r="A10" s="2">
        <v>44774</v>
      </c>
      <c r="B10" s="4">
        <v>92490</v>
      </c>
      <c r="C10" s="4">
        <v>191856.53666666662</v>
      </c>
      <c r="D10" s="4">
        <v>112999.235</v>
      </c>
      <c r="E10" s="4">
        <v>12041277</v>
      </c>
      <c r="F10" s="4">
        <v>16582.951430000001</v>
      </c>
      <c r="G10" s="4">
        <v>20892.53789</v>
      </c>
      <c r="H10" s="5">
        <f t="shared" si="0"/>
        <v>79.372604311213252</v>
      </c>
      <c r="I10" s="4">
        <v>70725.868730000002</v>
      </c>
      <c r="J10" s="4">
        <v>2747.2623999999996</v>
      </c>
      <c r="K10" s="4">
        <v>73473.131129999994</v>
      </c>
      <c r="L10" s="4">
        <v>1510.7431573656843</v>
      </c>
      <c r="M10" s="4">
        <v>140.79245794515992</v>
      </c>
      <c r="N10" s="4">
        <v>2.9062283399799997</v>
      </c>
      <c r="O10" s="4">
        <v>1654.4418436508238</v>
      </c>
      <c r="P10" s="4">
        <v>2410.5338217550002</v>
      </c>
      <c r="Q10" s="5">
        <f t="shared" si="1"/>
        <v>68.633836568461831</v>
      </c>
    </row>
    <row r="11" spans="1:17" ht="30" customHeight="1" x14ac:dyDescent="0.25">
      <c r="A11" s="7">
        <v>44805</v>
      </c>
      <c r="B11" s="8">
        <v>90337</v>
      </c>
      <c r="C11" s="8">
        <v>183509.465</v>
      </c>
      <c r="D11" s="8">
        <v>114181.85166666667</v>
      </c>
      <c r="E11" s="8">
        <v>12221797</v>
      </c>
      <c r="F11" s="8">
        <v>16550.724578000001</v>
      </c>
      <c r="G11" s="8">
        <v>20406.265608000002</v>
      </c>
      <c r="H11" s="9">
        <f t="shared" si="0"/>
        <v>81.106092099043892</v>
      </c>
      <c r="I11" s="8">
        <v>72561.274099999981</v>
      </c>
      <c r="J11" s="8">
        <v>2853.6492000000007</v>
      </c>
      <c r="K11" s="8">
        <v>75414.923299999995</v>
      </c>
      <c r="L11" s="8">
        <v>1510.071487339</v>
      </c>
      <c r="M11" s="8">
        <v>144.08375771813994</v>
      </c>
      <c r="N11" s="8">
        <v>3.0921986921899993</v>
      </c>
      <c r="O11" s="8">
        <v>1657.2474437493297</v>
      </c>
      <c r="P11" s="8">
        <v>2374.3876167350004</v>
      </c>
      <c r="Q11" s="9">
        <f t="shared" si="1"/>
        <v>69.796836542981808</v>
      </c>
    </row>
    <row r="12" spans="1:17" ht="30" customHeight="1" x14ac:dyDescent="0.25">
      <c r="A12" s="2">
        <v>44835</v>
      </c>
      <c r="B12" s="4">
        <v>97019</v>
      </c>
      <c r="C12" s="4">
        <v>200193.66989999998</v>
      </c>
      <c r="D12" s="4">
        <v>117931.67699999998</v>
      </c>
      <c r="E12" s="4">
        <v>13373798</v>
      </c>
      <c r="F12" s="4">
        <v>17959.632806999998</v>
      </c>
      <c r="G12" s="4">
        <v>21812.790722999998</v>
      </c>
      <c r="H12" s="5">
        <f t="shared" si="0"/>
        <v>82.335328088316885</v>
      </c>
      <c r="I12" s="4">
        <v>70937.311130000016</v>
      </c>
      <c r="J12" s="4">
        <v>2525.3199199999985</v>
      </c>
      <c r="K12" s="4">
        <v>73462.631050000025</v>
      </c>
      <c r="L12" s="4">
        <v>1628.3128902720011</v>
      </c>
      <c r="M12" s="4">
        <v>141.77278977573999</v>
      </c>
      <c r="N12" s="4">
        <v>2.8373356757399981</v>
      </c>
      <c r="O12" s="4">
        <v>1772.9230157234808</v>
      </c>
      <c r="P12" s="4">
        <v>2523.1123191650008</v>
      </c>
      <c r="Q12" s="5">
        <f t="shared" si="1"/>
        <v>70.267304481720899</v>
      </c>
    </row>
    <row r="13" spans="1:17" ht="30" customHeight="1" x14ac:dyDescent="0.25">
      <c r="A13" s="7">
        <v>44866</v>
      </c>
      <c r="B13" s="8">
        <v>95098</v>
      </c>
      <c r="C13" s="8">
        <v>198377.76333333328</v>
      </c>
      <c r="D13" s="8">
        <v>114928.087</v>
      </c>
      <c r="E13" s="8">
        <v>13733171</v>
      </c>
      <c r="F13" s="8">
        <v>18356.858370999998</v>
      </c>
      <c r="G13" s="8">
        <v>21615.954125000004</v>
      </c>
      <c r="H13" s="9">
        <f t="shared" si="0"/>
        <v>84.922730057838677</v>
      </c>
      <c r="I13" s="8">
        <v>68312.809479999996</v>
      </c>
      <c r="J13" s="8">
        <v>2722.2472400000001</v>
      </c>
      <c r="K13" s="8">
        <v>71035.056719999993</v>
      </c>
      <c r="L13" s="8">
        <v>1669.7423448139994</v>
      </c>
      <c r="M13" s="8">
        <v>131.61552192347079</v>
      </c>
      <c r="N13" s="8">
        <v>3.6145704132000001</v>
      </c>
      <c r="O13" s="8">
        <v>1804.97243715067</v>
      </c>
      <c r="P13" s="8">
        <v>2504.1584173319984</v>
      </c>
      <c r="Q13" s="9">
        <f t="shared" si="1"/>
        <v>72.079003654798285</v>
      </c>
    </row>
    <row r="14" spans="1:17" ht="30" customHeight="1" x14ac:dyDescent="0.25">
      <c r="A14" s="2">
        <v>44896</v>
      </c>
      <c r="B14" s="4">
        <v>102082</v>
      </c>
      <c r="C14" s="4">
        <v>209495.64233333335</v>
      </c>
      <c r="D14" s="4">
        <v>127154.795</v>
      </c>
      <c r="E14" s="4">
        <v>15014415</v>
      </c>
      <c r="F14" s="4">
        <v>20150.417745999999</v>
      </c>
      <c r="G14" s="4">
        <v>23181.615043000002</v>
      </c>
      <c r="H14" s="5">
        <f t="shared" si="0"/>
        <v>86.924132372238176</v>
      </c>
      <c r="I14" s="4">
        <v>70203.737669999988</v>
      </c>
      <c r="J14" s="4">
        <v>2821.9284699999998</v>
      </c>
      <c r="K14" s="4">
        <v>73025.666139999972</v>
      </c>
      <c r="L14" s="4">
        <v>1837.7041769629998</v>
      </c>
      <c r="M14" s="4">
        <v>135.29478190015644</v>
      </c>
      <c r="N14" s="4">
        <v>2.8241778442600043</v>
      </c>
      <c r="O14" s="4">
        <v>1975.8231367074166</v>
      </c>
      <c r="P14" s="4">
        <v>2686.176301322002</v>
      </c>
      <c r="Q14" s="5">
        <f t="shared" si="1"/>
        <v>73.555229257849348</v>
      </c>
    </row>
    <row r="15" spans="1:17" ht="30" customHeight="1" x14ac:dyDescent="0.25">
      <c r="A15" s="7">
        <v>44927</v>
      </c>
      <c r="B15" s="8">
        <v>104321</v>
      </c>
      <c r="C15" s="8">
        <v>220372.75516666664</v>
      </c>
      <c r="D15" s="8">
        <v>125558.05999999998</v>
      </c>
      <c r="E15" s="8">
        <v>14865481</v>
      </c>
      <c r="F15" s="8">
        <v>20114.501533999999</v>
      </c>
      <c r="G15" s="8">
        <v>23708.660642999999</v>
      </c>
      <c r="H15" s="9">
        <f t="shared" si="0"/>
        <v>84.840311466260843</v>
      </c>
      <c r="I15" s="8">
        <v>66132.212849999982</v>
      </c>
      <c r="J15" s="8">
        <v>3444.4801750703496</v>
      </c>
      <c r="K15" s="8">
        <v>69576.69302507033</v>
      </c>
      <c r="L15" s="8">
        <v>1838.162725834</v>
      </c>
      <c r="M15" s="8">
        <v>130.70833721554629</v>
      </c>
      <c r="N15" s="8">
        <v>2.6707753179799982</v>
      </c>
      <c r="O15" s="8">
        <v>1971.541838367526</v>
      </c>
      <c r="P15" s="8">
        <v>2756.3731802999996</v>
      </c>
      <c r="Q15" s="9">
        <f t="shared" si="1"/>
        <v>71.526665999302253</v>
      </c>
    </row>
    <row r="16" spans="1:17" ht="30" customHeight="1" x14ac:dyDescent="0.25">
      <c r="A16" s="2">
        <v>44958</v>
      </c>
      <c r="B16" s="4">
        <v>96127</v>
      </c>
      <c r="C16" s="4">
        <v>200808.47226666674</v>
      </c>
      <c r="D16" s="4">
        <v>115147.88799999998</v>
      </c>
      <c r="E16" s="4">
        <v>14201277</v>
      </c>
      <c r="F16" s="4">
        <v>19040.652431999995</v>
      </c>
      <c r="G16" s="4">
        <v>21853.022271999998</v>
      </c>
      <c r="H16" s="5">
        <f t="shared" si="0"/>
        <v>87.130522245412905</v>
      </c>
      <c r="I16" s="4">
        <v>67705.634064000013</v>
      </c>
      <c r="J16" s="4">
        <v>3601.9129517450738</v>
      </c>
      <c r="K16" s="4">
        <v>71307.547015745076</v>
      </c>
      <c r="L16" s="4">
        <v>1736.4078073189989</v>
      </c>
      <c r="M16" s="4">
        <v>171.68179764163722</v>
      </c>
      <c r="N16" s="4">
        <v>6.5991264537516416</v>
      </c>
      <c r="O16" s="4">
        <v>1914.6887314143876</v>
      </c>
      <c r="P16" s="4">
        <v>2616.2247065539996</v>
      </c>
      <c r="Q16" s="5">
        <f t="shared" si="1"/>
        <v>73.185178880767822</v>
      </c>
    </row>
    <row r="17" spans="1:17" ht="30" customHeight="1" x14ac:dyDescent="0.25">
      <c r="A17" s="7">
        <v>44986</v>
      </c>
      <c r="B17" s="8">
        <v>106592</v>
      </c>
      <c r="C17" s="8">
        <v>224066.21733333333</v>
      </c>
      <c r="D17" s="8">
        <v>127766.718408</v>
      </c>
      <c r="E17" s="8">
        <v>15224335</v>
      </c>
      <c r="F17" s="8">
        <v>20429.470935000001</v>
      </c>
      <c r="G17" s="8">
        <v>24263.453997799996</v>
      </c>
      <c r="H17" s="9">
        <f t="shared" si="0"/>
        <v>84.198527286561813</v>
      </c>
      <c r="I17" s="8">
        <v>75731.959830000007</v>
      </c>
      <c r="J17" s="8">
        <v>3937.1287609485466</v>
      </c>
      <c r="K17" s="8">
        <v>79669.088590948551</v>
      </c>
      <c r="L17" s="8">
        <v>1874.50313839</v>
      </c>
      <c r="M17" s="8">
        <v>201.39744730385272</v>
      </c>
      <c r="N17" s="8">
        <v>6.6871283410998643</v>
      </c>
      <c r="O17" s="8">
        <v>2082.5877140349521</v>
      </c>
      <c r="P17" s="8">
        <v>2952.3033557110016</v>
      </c>
      <c r="Q17" s="9">
        <f t="shared" si="1"/>
        <v>70.541115295836647</v>
      </c>
    </row>
    <row r="18" spans="1:17" ht="30" customHeight="1" x14ac:dyDescent="0.25">
      <c r="A18" s="3" t="s">
        <v>23</v>
      </c>
      <c r="B18" s="10">
        <f>SUM(B6:B17)</f>
        <v>1160527</v>
      </c>
      <c r="C18" s="10">
        <f t="shared" ref="C18:G18" si="2">SUM(C6:C17)</f>
        <v>2399060.461666666</v>
      </c>
      <c r="D18" s="10">
        <f t="shared" si="2"/>
        <v>1406313.0280746669</v>
      </c>
      <c r="E18" s="10">
        <f t="shared" si="2"/>
        <v>159904874</v>
      </c>
      <c r="F18" s="10">
        <f t="shared" si="2"/>
        <v>215166.58857599998</v>
      </c>
      <c r="G18" s="10">
        <f t="shared" si="2"/>
        <v>260487.8959448</v>
      </c>
      <c r="H18" s="3">
        <f>F18/G18*100</f>
        <v>82.601376849232153</v>
      </c>
      <c r="I18" s="10">
        <f>SUM(I6:I17)</f>
        <v>858196.20289399987</v>
      </c>
      <c r="J18" s="10">
        <f t="shared" ref="J18:P18" si="3">SUM(J6:J17)</f>
        <v>34943.077700945796</v>
      </c>
      <c r="K18" s="10">
        <f t="shared" si="3"/>
        <v>893139.28059494565</v>
      </c>
      <c r="L18" s="10">
        <f t="shared" si="3"/>
        <v>19530.58144547468</v>
      </c>
      <c r="M18" s="10">
        <f t="shared" si="3"/>
        <v>1780.7423683325935</v>
      </c>
      <c r="N18" s="10">
        <f t="shared" si="3"/>
        <v>42.695041977135496</v>
      </c>
      <c r="O18" s="10">
        <f t="shared" si="3"/>
        <v>21354.018855784409</v>
      </c>
      <c r="P18" s="10">
        <f t="shared" si="3"/>
        <v>30276.654526941002</v>
      </c>
      <c r="Q18" s="11">
        <f>O18/P18*100</f>
        <v>70.529651275648746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2020-06-11T07:28:47Z</cp:lastPrinted>
  <dcterms:created xsi:type="dcterms:W3CDTF">2018-10-29T04:00:10Z</dcterms:created>
  <dcterms:modified xsi:type="dcterms:W3CDTF">2023-11-09T09:21:06Z</dcterms:modified>
</cp:coreProperties>
</file>