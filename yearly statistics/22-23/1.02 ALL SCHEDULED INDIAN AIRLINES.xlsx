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J18" i="1" l="1"/>
  <c r="K18" i="1"/>
  <c r="L18" i="1"/>
  <c r="M18" i="1"/>
  <c r="N18" i="1"/>
  <c r="O18" i="1"/>
  <c r="P18" i="1"/>
  <c r="I18" i="1"/>
  <c r="C18" i="1"/>
  <c r="D18" i="1"/>
  <c r="E18" i="1"/>
  <c r="F18" i="1"/>
  <c r="G18" i="1"/>
  <c r="B18" i="1"/>
  <c r="H18" i="1" l="1"/>
  <c r="Q18" i="1"/>
</calcChain>
</file>

<file path=xl/sharedStrings.xml><?xml version="1.0" encoding="utf-8"?>
<sst xmlns="http://schemas.openxmlformats.org/spreadsheetml/2006/main" count="26" uniqueCount="24">
  <si>
    <t>Table 1.02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</si>
  <si>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</si>
  <si>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</si>
  <si>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</si>
  <si>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</si>
  <si>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</si>
  <si>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</si>
  <si>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</si>
  <si>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</si>
  <si>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</si>
  <si>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</si>
  <si>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</si>
  <si>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</si>
  <si>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</si>
  <si>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</si>
  <si>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</si>
  <si>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</si>
  <si>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</si>
  <si>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</si>
  <si>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</si>
  <si>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</si>
  <si>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- 1.02 (सभी अनुसूचित भारतीय एयरलाइन्स) </t>
  </si>
  <si>
    <t>2022-23</t>
  </si>
  <si>
    <t>MONTHLY TRAFFIC AND OPERATING STATISTICS OF ALL SCHEDULED INDIAN AIRLINES ON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</si>
</sst>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0" xfId="0" applyFont="1" applyBorder="1" applyAlignment="1">
      <alignment horizontal="left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20"/>
  <sheetViews>
    <sheetView tabSelected="1" view="pageBreakPreview" zoomScaleNormal="95" zoomScaleSheetLayoutView="100" workbookViewId="0">
      <selection activeCell="C7" sqref="C7"/>
    </sheetView>
  </sheetViews>
  <sheetFormatPr defaultColWidth="9.140625" defaultRowHeight="15" x14ac:dyDescent="0.25"/>
  <cols>
    <col min="1" max="1" width="10.140625" style="1" customWidth="1"/>
    <col min="2" max="2" width="10.42578125" style="1" bestFit="1" customWidth="1"/>
    <col min="3" max="3" width="10.28515625" style="1" customWidth="1"/>
    <col min="4" max="4" width="9.28515625" style="1" customWidth="1"/>
    <col min="5" max="5" width="12.7109375" style="1" bestFit="1" customWidth="1"/>
    <col min="6" max="6" width="8.85546875" style="1" bestFit="1" customWidth="1"/>
    <col min="7" max="7" width="9.42578125" style="1" customWidth="1"/>
    <col min="8" max="8" width="7.5703125" style="1" customWidth="1"/>
    <col min="9" max="9" width="11.42578125" style="1" customWidth="1"/>
    <col min="10" max="10" width="9.5703125" style="1" bestFit="1" customWidth="1"/>
    <col min="11" max="11" width="11.2851562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2.8554687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1</v>
      </c>
      <c r="B4" s="18" t="s">
        <v>2</v>
      </c>
      <c r="C4" s="18"/>
      <c r="D4" s="18"/>
      <c r="E4" s="18" t="s">
        <v>3</v>
      </c>
      <c r="F4" s="19"/>
      <c r="G4" s="12" t="s">
        <v>4</v>
      </c>
      <c r="H4" s="12" t="s">
        <v>5</v>
      </c>
      <c r="I4" s="18" t="s">
        <v>6</v>
      </c>
      <c r="J4" s="18"/>
      <c r="K4" s="18"/>
      <c r="L4" s="18" t="s">
        <v>7</v>
      </c>
      <c r="M4" s="18"/>
      <c r="N4" s="18"/>
      <c r="O4" s="18"/>
      <c r="P4" s="12" t="s">
        <v>8</v>
      </c>
      <c r="Q4" s="12" t="s">
        <v>9</v>
      </c>
    </row>
    <row r="5" spans="1:17" ht="128.25" customHeight="1" x14ac:dyDescent="0.25">
      <c r="A5" s="18"/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3"/>
      <c r="H5" s="13"/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0" t="s">
        <v>16</v>
      </c>
      <c r="O5" s="10" t="s">
        <v>17</v>
      </c>
      <c r="P5" s="13"/>
      <c r="Q5" s="13"/>
    </row>
    <row r="6" spans="1:17" ht="30" customHeight="1" x14ac:dyDescent="0.25">
      <c r="A6" s="4">
        <v>44652</v>
      </c>
      <c r="B6" s="5">
        <v>10145</v>
      </c>
      <c r="C6" s="5">
        <v>44126.764333333325</v>
      </c>
      <c r="D6" s="5">
        <v>32043.258000000002</v>
      </c>
      <c r="E6" s="5">
        <v>1458177</v>
      </c>
      <c r="F6" s="5">
        <v>5286.3312640000004</v>
      </c>
      <c r="G6" s="5">
        <v>6871.9760040000001</v>
      </c>
      <c r="H6" s="6">
        <f t="shared" ref="H6:H18" si="0">F6/G6*100</f>
        <v>76.925927286750763</v>
      </c>
      <c r="I6" s="6">
        <v>16957.188619999997</v>
      </c>
      <c r="J6" s="6">
        <v>5.6375893810006046</v>
      </c>
      <c r="K6" s="6">
        <v>16962.826209380997</v>
      </c>
      <c r="L6" s="6">
        <v>499.69991665800001</v>
      </c>
      <c r="M6" s="6">
        <v>78.860544066480003</v>
      </c>
      <c r="N6" s="6">
        <v>1.3923044698949252E-2</v>
      </c>
      <c r="O6" s="6">
        <v>578.57438376917889</v>
      </c>
      <c r="P6" s="6">
        <v>844.92293337599995</v>
      </c>
      <c r="Q6" s="6">
        <f t="shared" ref="Q6:Q18" si="1">O6/P6*100</f>
        <v>68.476586551794654</v>
      </c>
    </row>
    <row r="7" spans="1:17" ht="30" customHeight="1" x14ac:dyDescent="0.25">
      <c r="A7" s="4">
        <v>44682</v>
      </c>
      <c r="B7" s="2">
        <v>11848</v>
      </c>
      <c r="C7" s="2">
        <v>50644.791333333334</v>
      </c>
      <c r="D7" s="2">
        <v>36821.880000000005</v>
      </c>
      <c r="E7" s="2">
        <v>1730955</v>
      </c>
      <c r="F7" s="2">
        <v>6013.9955379999992</v>
      </c>
      <c r="G7" s="2">
        <v>7837.3998069999998</v>
      </c>
      <c r="H7" s="3">
        <f t="shared" si="0"/>
        <v>76.734576340339032</v>
      </c>
      <c r="I7" s="3">
        <v>15699.27349</v>
      </c>
      <c r="J7" s="3">
        <v>4.0529999999999999</v>
      </c>
      <c r="K7" s="3">
        <v>15703.326489999999</v>
      </c>
      <c r="L7" s="3">
        <v>563.38709793099986</v>
      </c>
      <c r="M7" s="3">
        <v>75.036683407479998</v>
      </c>
      <c r="N7" s="3">
        <v>1.1981301999999999E-2</v>
      </c>
      <c r="O7" s="3">
        <v>638.43576264047988</v>
      </c>
      <c r="P7" s="3">
        <v>949.73401161300001</v>
      </c>
      <c r="Q7" s="3">
        <f t="shared" si="1"/>
        <v>67.222585990805953</v>
      </c>
    </row>
    <row r="8" spans="1:17" ht="30" customHeight="1" x14ac:dyDescent="0.25">
      <c r="A8" s="4">
        <v>44713</v>
      </c>
      <c r="B8" s="5">
        <v>11966</v>
      </c>
      <c r="C8" s="5">
        <v>50824.103333333333</v>
      </c>
      <c r="D8" s="5">
        <v>37144.929000000004</v>
      </c>
      <c r="E8" s="5">
        <v>1836757</v>
      </c>
      <c r="F8" s="5">
        <v>6359.2914580000006</v>
      </c>
      <c r="G8" s="5">
        <v>7855.8612159999993</v>
      </c>
      <c r="H8" s="6">
        <f t="shared" si="0"/>
        <v>80.9496410787917</v>
      </c>
      <c r="I8" s="6">
        <v>14931.404780000001</v>
      </c>
      <c r="J8" s="6">
        <v>2.68</v>
      </c>
      <c r="K8" s="6">
        <v>14934.084780000001</v>
      </c>
      <c r="L8" s="6">
        <v>564.84468321600025</v>
      </c>
      <c r="M8" s="6">
        <v>68.611686224800025</v>
      </c>
      <c r="N8" s="6">
        <v>8.0621570000000004E-3</v>
      </c>
      <c r="O8" s="6">
        <v>633.46443159780029</v>
      </c>
      <c r="P8" s="6">
        <v>911.10627454899998</v>
      </c>
      <c r="Q8" s="6">
        <f t="shared" si="1"/>
        <v>69.526953034251335</v>
      </c>
    </row>
    <row r="9" spans="1:17" ht="30" customHeight="1" x14ac:dyDescent="0.25">
      <c r="A9" s="4">
        <v>44743</v>
      </c>
      <c r="B9" s="2">
        <v>12884</v>
      </c>
      <c r="C9" s="2">
        <v>55120.543333333335</v>
      </c>
      <c r="D9" s="2">
        <v>40027.778999999995</v>
      </c>
      <c r="E9" s="2">
        <v>1964960</v>
      </c>
      <c r="F9" s="2">
        <v>6839.9657360000001</v>
      </c>
      <c r="G9" s="2">
        <v>8452.087673</v>
      </c>
      <c r="H9" s="3">
        <f t="shared" si="0"/>
        <v>80.926346254666925</v>
      </c>
      <c r="I9" s="3">
        <v>16873.418339999997</v>
      </c>
      <c r="J9" s="3">
        <v>3.2060000000000004</v>
      </c>
      <c r="K9" s="3">
        <v>16876.624339999998</v>
      </c>
      <c r="L9" s="3">
        <v>654.95554276299993</v>
      </c>
      <c r="M9" s="3">
        <v>75.957663289279992</v>
      </c>
      <c r="N9" s="3">
        <v>8.6105120000000007E-3</v>
      </c>
      <c r="O9" s="3">
        <v>730.92181656427988</v>
      </c>
      <c r="P9" s="3">
        <v>1041.376133619</v>
      </c>
      <c r="Q9" s="3">
        <f t="shared" si="1"/>
        <v>70.188070666088109</v>
      </c>
    </row>
    <row r="10" spans="1:17" ht="30" customHeight="1" x14ac:dyDescent="0.25">
      <c r="A10" s="4">
        <v>44774</v>
      </c>
      <c r="B10" s="5">
        <v>12815</v>
      </c>
      <c r="C10" s="5">
        <v>54536.92333333331</v>
      </c>
      <c r="D10" s="5">
        <v>39994.889000000003</v>
      </c>
      <c r="E10" s="5">
        <v>1925538</v>
      </c>
      <c r="F10" s="5">
        <v>6789.8804959999998</v>
      </c>
      <c r="G10" s="5">
        <v>8469.4042260000006</v>
      </c>
      <c r="H10" s="6">
        <f t="shared" si="0"/>
        <v>80.169517416064821</v>
      </c>
      <c r="I10" s="6">
        <v>16435.228170000002</v>
      </c>
      <c r="J10" s="6">
        <v>1.8450000000000002</v>
      </c>
      <c r="K10" s="6">
        <v>16437.07317</v>
      </c>
      <c r="L10" s="6">
        <v>649.7607445540001</v>
      </c>
      <c r="M10" s="6">
        <v>73.808612870069979</v>
      </c>
      <c r="N10" s="6">
        <v>5.2466850000000001E-3</v>
      </c>
      <c r="O10" s="6">
        <v>723.57460410907015</v>
      </c>
      <c r="P10" s="6">
        <v>1044.0346742100005</v>
      </c>
      <c r="Q10" s="6">
        <f t="shared" si="1"/>
        <v>69.305610434498661</v>
      </c>
    </row>
    <row r="11" spans="1:17" ht="30" customHeight="1" x14ac:dyDescent="0.25">
      <c r="A11" s="4">
        <v>44805</v>
      </c>
      <c r="B11" s="2">
        <v>12319</v>
      </c>
      <c r="C11" s="2">
        <v>52821.73599999999</v>
      </c>
      <c r="D11" s="2">
        <v>38769.929000000004</v>
      </c>
      <c r="E11" s="2">
        <v>1874964</v>
      </c>
      <c r="F11" s="2">
        <v>6602.3231080000005</v>
      </c>
      <c r="G11" s="2">
        <v>8229.3737149999997</v>
      </c>
      <c r="H11" s="3">
        <f t="shared" si="0"/>
        <v>80.228743239181</v>
      </c>
      <c r="I11" s="3">
        <v>16811.488329999993</v>
      </c>
      <c r="J11" s="3">
        <v>25.279999999999998</v>
      </c>
      <c r="K11" s="3">
        <v>16836.768329999995</v>
      </c>
      <c r="L11" s="3">
        <v>634.86998556399999</v>
      </c>
      <c r="M11" s="3">
        <v>76.195697920849994</v>
      </c>
      <c r="N11" s="3">
        <v>0.13099079499999999</v>
      </c>
      <c r="O11" s="3">
        <v>711.19667427984996</v>
      </c>
      <c r="P11" s="3">
        <v>1035.5816208849999</v>
      </c>
      <c r="Q11" s="3">
        <f t="shared" si="1"/>
        <v>68.676061832003825</v>
      </c>
    </row>
    <row r="12" spans="1:17" ht="30" customHeight="1" x14ac:dyDescent="0.25">
      <c r="A12" s="4">
        <v>44835</v>
      </c>
      <c r="B12" s="5">
        <v>12608</v>
      </c>
      <c r="C12" s="5">
        <v>54104.62666666662</v>
      </c>
      <c r="D12" s="5">
        <v>39608.012999999999</v>
      </c>
      <c r="E12" s="5">
        <v>1972821</v>
      </c>
      <c r="F12" s="5">
        <v>6845.4459420000003</v>
      </c>
      <c r="G12" s="5">
        <v>8455.2254039999989</v>
      </c>
      <c r="H12" s="6">
        <f t="shared" si="0"/>
        <v>80.96112894591262</v>
      </c>
      <c r="I12" s="6">
        <v>16117.909509999998</v>
      </c>
      <c r="J12" s="6">
        <v>71.242500000000007</v>
      </c>
      <c r="K12" s="6">
        <v>16189.152009999998</v>
      </c>
      <c r="L12" s="6">
        <v>656.47828540500041</v>
      </c>
      <c r="M12" s="6">
        <v>74.506498342120011</v>
      </c>
      <c r="N12" s="6">
        <v>0.29651936179999999</v>
      </c>
      <c r="O12" s="6">
        <v>731.28130310892038</v>
      </c>
      <c r="P12" s="6">
        <v>1055.7808393199994</v>
      </c>
      <c r="Q12" s="6">
        <f t="shared" si="1"/>
        <v>69.264498452152196</v>
      </c>
    </row>
    <row r="13" spans="1:17" ht="30" customHeight="1" x14ac:dyDescent="0.25">
      <c r="A13" s="4">
        <v>44866</v>
      </c>
      <c r="B13" s="2">
        <v>13104</v>
      </c>
      <c r="C13" s="2">
        <v>56666.003333333319</v>
      </c>
      <c r="D13" s="2">
        <v>40766.277000000002</v>
      </c>
      <c r="E13" s="2">
        <v>2054589</v>
      </c>
      <c r="F13" s="2">
        <v>7047.4499319999995</v>
      </c>
      <c r="G13" s="2">
        <v>8719.8437460000005</v>
      </c>
      <c r="H13" s="3">
        <f t="shared" si="0"/>
        <v>80.820828185514586</v>
      </c>
      <c r="I13" s="3">
        <v>15430.387210000001</v>
      </c>
      <c r="J13" s="3">
        <v>51.022099999999995</v>
      </c>
      <c r="K13" s="3">
        <v>15481.409310000001</v>
      </c>
      <c r="L13" s="3">
        <v>679.07042965699975</v>
      </c>
      <c r="M13" s="3">
        <v>70.403769860400843</v>
      </c>
      <c r="N13" s="3">
        <v>1.0497537101000001</v>
      </c>
      <c r="O13" s="3">
        <v>750.52395322750056</v>
      </c>
      <c r="P13" s="3">
        <v>1086.3195377460002</v>
      </c>
      <c r="Q13" s="3">
        <f t="shared" si="1"/>
        <v>69.08869141622543</v>
      </c>
    </row>
    <row r="14" spans="1:17" ht="30" customHeight="1" x14ac:dyDescent="0.25">
      <c r="A14" s="4">
        <v>44896</v>
      </c>
      <c r="B14" s="5">
        <v>13954</v>
      </c>
      <c r="C14" s="5">
        <v>60570.876666666663</v>
      </c>
      <c r="D14" s="5">
        <v>43366.802000000003</v>
      </c>
      <c r="E14" s="5">
        <v>2278961</v>
      </c>
      <c r="F14" s="5">
        <v>7811.9094249999998</v>
      </c>
      <c r="G14" s="5">
        <v>9292.6271140000008</v>
      </c>
      <c r="H14" s="6">
        <f t="shared" si="0"/>
        <v>84.065671947933922</v>
      </c>
      <c r="I14" s="6">
        <v>15824.738809999995</v>
      </c>
      <c r="J14" s="6">
        <v>38.007200000000005</v>
      </c>
      <c r="K14" s="6">
        <v>15862.746009999995</v>
      </c>
      <c r="L14" s="6">
        <v>757.31032096399986</v>
      </c>
      <c r="M14" s="6">
        <v>72.359721716526423</v>
      </c>
      <c r="N14" s="6">
        <v>0.21110243629999989</v>
      </c>
      <c r="O14" s="6">
        <v>829.88114511682625</v>
      </c>
      <c r="P14" s="6">
        <v>1158.4906007470008</v>
      </c>
      <c r="Q14" s="6">
        <f t="shared" si="1"/>
        <v>71.634689533235274</v>
      </c>
    </row>
    <row r="15" spans="1:17" ht="30" customHeight="1" x14ac:dyDescent="0.25">
      <c r="A15" s="4">
        <v>44927</v>
      </c>
      <c r="B15" s="2">
        <v>14066</v>
      </c>
      <c r="C15" s="2">
        <v>63768.848499999993</v>
      </c>
      <c r="D15" s="2">
        <v>44014.346999999994</v>
      </c>
      <c r="E15" s="2">
        <v>2314453</v>
      </c>
      <c r="F15" s="2">
        <v>8038.0653779999993</v>
      </c>
      <c r="G15" s="2">
        <v>9477.7649629999996</v>
      </c>
      <c r="H15" s="3">
        <f t="shared" si="0"/>
        <v>84.809714203502551</v>
      </c>
      <c r="I15" s="3">
        <v>14712.807519999997</v>
      </c>
      <c r="J15" s="3">
        <v>449.84009136934992</v>
      </c>
      <c r="K15" s="3">
        <v>15162.647611369346</v>
      </c>
      <c r="L15" s="3">
        <v>780.26798546200007</v>
      </c>
      <c r="M15" s="3">
        <v>70.282455463416227</v>
      </c>
      <c r="N15" s="3">
        <v>0.14465817679999998</v>
      </c>
      <c r="O15" s="3">
        <v>850.69509910221632</v>
      </c>
      <c r="P15" s="3">
        <v>1189.7855382739999</v>
      </c>
      <c r="Q15" s="3">
        <f t="shared" si="1"/>
        <v>71.499868819745799</v>
      </c>
    </row>
    <row r="16" spans="1:17" ht="30" customHeight="1" x14ac:dyDescent="0.25">
      <c r="A16" s="4">
        <v>44958</v>
      </c>
      <c r="B16" s="5">
        <v>12743</v>
      </c>
      <c r="C16" s="5">
        <v>56906.968933333359</v>
      </c>
      <c r="D16" s="5">
        <v>40122.891000000003</v>
      </c>
      <c r="E16" s="5">
        <v>2132905</v>
      </c>
      <c r="F16" s="5">
        <v>7436.5043220000007</v>
      </c>
      <c r="G16" s="5">
        <v>8719.8693180000009</v>
      </c>
      <c r="H16" s="6">
        <f t="shared" si="0"/>
        <v>85.282290947287336</v>
      </c>
      <c r="I16" s="6">
        <v>15781.85822</v>
      </c>
      <c r="J16" s="6">
        <v>450.62793689404003</v>
      </c>
      <c r="K16" s="6">
        <v>16232.48615689404</v>
      </c>
      <c r="L16" s="6">
        <v>718.89373082399902</v>
      </c>
      <c r="M16" s="6">
        <v>76.124415703116256</v>
      </c>
      <c r="N16" s="6">
        <v>3.4843447609337104</v>
      </c>
      <c r="O16" s="6">
        <v>798.50249128804899</v>
      </c>
      <c r="P16" s="6">
        <v>1077.67014427</v>
      </c>
      <c r="Q16" s="6">
        <f t="shared" si="1"/>
        <v>74.095259624079532</v>
      </c>
    </row>
    <row r="17" spans="1:17" ht="30" customHeight="1" x14ac:dyDescent="0.25">
      <c r="A17" s="4">
        <v>44986</v>
      </c>
      <c r="B17" s="2">
        <v>14354</v>
      </c>
      <c r="C17" s="2">
        <v>64764.386666666658</v>
      </c>
      <c r="D17" s="2">
        <v>44799.017000000007</v>
      </c>
      <c r="E17" s="2">
        <v>2331138</v>
      </c>
      <c r="F17" s="2">
        <v>8003.3005139999996</v>
      </c>
      <c r="G17" s="2">
        <v>9757.2102720000003</v>
      </c>
      <c r="H17" s="3">
        <f t="shared" si="0"/>
        <v>82.024475140879687</v>
      </c>
      <c r="I17" s="3">
        <v>17888.504179999996</v>
      </c>
      <c r="J17" s="3">
        <v>481.87607701616599</v>
      </c>
      <c r="K17" s="3">
        <v>18370.380257016164</v>
      </c>
      <c r="L17" s="3">
        <v>785.17163416499989</v>
      </c>
      <c r="M17" s="3">
        <v>89.82096959142325</v>
      </c>
      <c r="N17" s="3">
        <v>3.5125933032121019</v>
      </c>
      <c r="O17" s="3">
        <v>878.50519705963541</v>
      </c>
      <c r="P17" s="3">
        <v>1237.1098979570002</v>
      </c>
      <c r="Q17" s="3">
        <f t="shared" si="1"/>
        <v>71.012704571390529</v>
      </c>
    </row>
    <row r="18" spans="1:17" ht="30" customHeight="1" x14ac:dyDescent="0.25">
      <c r="A18" s="7" t="s">
        <v>22</v>
      </c>
      <c r="B18" s="8">
        <f>SUM(B6:B17)</f>
        <v>152806</v>
      </c>
      <c r="C18" s="8">
        <f t="shared" ref="C18:G18" si="2">SUM(C6:C17)</f>
        <v>664856.57243333338</v>
      </c>
      <c r="D18" s="8">
        <f t="shared" si="2"/>
        <v>477480.01100000006</v>
      </c>
      <c r="E18" s="8">
        <f t="shared" si="2"/>
        <v>23876218</v>
      </c>
      <c r="F18" s="8">
        <f t="shared" si="2"/>
        <v>83074.463112999976</v>
      </c>
      <c r="G18" s="8">
        <f t="shared" si="2"/>
        <v>102138.64345799998</v>
      </c>
      <c r="H18" s="9">
        <f t="shared" si="0"/>
        <v>81.334997509694446</v>
      </c>
      <c r="I18" s="9">
        <f>SUM(I6:I17)</f>
        <v>193464.20717999997</v>
      </c>
      <c r="J18" s="9">
        <f t="shared" ref="J18:P18" si="3">SUM(J6:J17)</f>
        <v>1585.3174946605566</v>
      </c>
      <c r="K18" s="9">
        <f t="shared" si="3"/>
        <v>195049.52467466053</v>
      </c>
      <c r="L18" s="9">
        <f t="shared" si="3"/>
        <v>7944.7103571629996</v>
      </c>
      <c r="M18" s="9">
        <f t="shared" si="3"/>
        <v>901.96871845596309</v>
      </c>
      <c r="N18" s="9">
        <f t="shared" si="3"/>
        <v>8.8777862448447618</v>
      </c>
      <c r="O18" s="9">
        <f t="shared" si="3"/>
        <v>8855.5568618638081</v>
      </c>
      <c r="P18" s="9">
        <f t="shared" si="3"/>
        <v>12631.912206566001</v>
      </c>
      <c r="Q18" s="9">
        <f t="shared" si="1"/>
        <v>70.104642250923305</v>
      </c>
    </row>
    <row r="19" spans="1:17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2020-06-11T07:16:07Z</cp:lastPrinted>
  <dcterms:created xsi:type="dcterms:W3CDTF">2018-10-29T04:00:09Z</dcterms:created>
  <dcterms:modified xsi:type="dcterms:W3CDTF">2023-11-09T09:20:55Z</dcterms:modified>
</cp:coreProperties>
</file>