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'1.11'!$A$1:$O$9</definedName>
    <definedName name="Print_Area_MI" localSheetId="3">'1.11'!$A$8:$O$15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7" i="3" l="1"/>
  <c r="K7" i="3"/>
  <c r="J8" i="3" l="1"/>
  <c r="K8" i="3"/>
  <c r="L8" i="3"/>
  <c r="M8" i="3"/>
  <c r="N8" i="3"/>
  <c r="I8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<sst xmlns="http://schemas.openxmlformats.org/spreadsheetml/2006/main" count="888" uniqueCount="195">
  <si>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</si>
  <si>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</si>
  <si>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</si>
  <si>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</si>
  <si>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</si>
  <si>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</si>
  <si>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</si>
  <si>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</si>
  <si>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</si>
  <si>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</si>
  <si>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</si>
  <si>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</si>
  <si>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</si>
  <si>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</si>
  <si>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</si>
  <si>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</si>
  <si>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</si>
  <si>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</si>
  <si>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</si>
  <si>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</si>
  <si>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</si>
  <si>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</si>
  <si>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</si>
  <si>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</si>
  <si>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</si>
  <si>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</si>
  <si>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</si>
  <si>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</si>
  <si>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</si>
  <si>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</si>
  <si>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</si>
  <si>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</si>
  <si>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</si>
  <si>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</si>
  <si>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</si>
  <si>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</si>
  <si>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</si>
  <si>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</si>
  <si>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</si>
  <si>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</si>
  <si>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</si>
  <si>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</si>
  <si>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</si>
  <si>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</si>
  <si>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</si>
  <si>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</si>
  <si>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</si>
  <si>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</si>
  <si>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</si>
  <si>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</si>
  <si>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</si>
  <si>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</si>
  <si>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</si>
  <si>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</si>
  <si>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</si>
  <si>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</si>
  <si>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</si>
  <si>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</si>
  <si>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</si>
  <si>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</si>
  <si>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</si>
  <si>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</si>
  <si>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</si>
  <si>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</si>
  <si>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</si>
  <si>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</si>
  <si>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</si>
  <si>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</si>
  <si>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</si>
  <si>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</si>
  <si>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</si>
  <si>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</si>
  <si>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</si>
  <si>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</si>
  <si>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</si>
  <si>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</si>
  <si>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</si>
  <si>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</si>
  <si>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</si>
  <si>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</si>
  <si>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</si>
  <si>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</si>
  <si>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</si>
  <si>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</si>
  <si>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</si>
  <si>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</si>
  <si>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</si>
  <si>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</si>
  <si>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</si>
  <si>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</si>
  <si>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</si>
  <si>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</si>
  <si>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</si>
  <si>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</si>
  <si>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</si>
  <si>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</si>
  <si>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</si>
  <si>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</si>
  <si>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</si>
  <si>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</si>
  <si>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</si>
  <si>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</si>
  <si>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</si>
  <si>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</si>
  <si>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</si>
  <si>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</si>
  <si>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</si>
  <si>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</si>
  <si>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</si>
  <si>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</si>
  <si>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</si>
  <si>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</si>
  <si>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</si>
  <si>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</si>
  <si>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</si>
  <si>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</si>
  <si>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</si>
  <si>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</si>
  <si>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</si>
  <si>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</si>
  <si>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</si>
  <si>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</si>
  <si>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</si>
  <si>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</si>
  <si>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</si>
  <si>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</si>
  <si>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</si>
  <si>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</si>
  <si>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</si>
  <si>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</si>
  <si>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</si>
  <si>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</si>
  <si>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</si>
  <si>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</si>
  <si>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</si>
  <si>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</si>
  <si>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</si>
  <si>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</si>
  <si>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</si>
  <si>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</si>
  <si>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</si>
  <si>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</si>
  <si>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</si>
  <si>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</si>
  <si>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</si>
  <si>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</si>
  <si>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</si>
  <si>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</si>
  <si>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</si>
  <si>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</si>
  <si>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</si>
  <si>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</si>
  <si>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</si>
  <si>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</si>
  <si>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</si>
  <si>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</si>
  <si>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</si>
  <si>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</si>
  <si>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</si>
  <si>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</si>
  <si>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</si>
  <si>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</si>
  <si>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</si>
  <si>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</si>
  <si>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</si>
  <si>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</si>
  <si>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</si>
  <si>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</si>
  <si>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</si>
  <si>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</si>
  <si>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</si>
  <si>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</si>
  <si>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</si>
  <si>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</si>
  <si>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</si>
  <si>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</si>
  <si>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</si>
  <si>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</si>
  <si>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</si>
  <si>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</si>
  <si>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</si>
  <si>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</si>
  <si>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</si>
  <si>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</si>
  <si>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</si>
  <si>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</si>
  <si>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</si>
  <si>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</si>
  <si>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</si>
  <si>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 xml:space="preserve">*  AVERAGES  HAVE BEEN CALCULATED BY ASSUMING AIRCRAFTS ARE  AVAILABLE 365 DAYS </t>
  </si>
  <si>
    <t xml:space="preserve">तालिका 1.11 (अकासा एयर) </t>
  </si>
  <si>
    <t>TABLE - 1.11 (AKASA AIR)</t>
  </si>
  <si>
    <t>TYPE OF AIRCRAFT WISE FLEET STATISTICS OF AKASA AIR DURING 2022-23</t>
  </si>
  <si>
    <t>BOEING 737 MAX 8</t>
  </si>
  <si>
    <t>174/189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</si>
</sst>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47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13" xfId="7" applyNumberFormat="1" applyFont="1" applyFill="1" applyBorder="1" applyAlignment="1" applyProtection="1">
      <alignment horizontal="left" vertical="center"/>
    </xf>
    <xf numFmtId="168" fontId="9" fillId="5" borderId="13" xfId="7" applyNumberFormat="1" applyFont="1" applyFill="1" applyBorder="1" applyAlignment="1" applyProtection="1">
      <alignment vertical="center"/>
    </xf>
    <xf numFmtId="168" fontId="10" fillId="5" borderId="12" xfId="7" applyNumberFormat="1" applyFont="1" applyFill="1" applyBorder="1" applyAlignment="1" applyProtection="1">
      <alignment vertical="center"/>
    </xf>
    <xf numFmtId="168" fontId="9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/>
    <xf numFmtId="43" fontId="5" fillId="2" borderId="0" xfId="2" applyNumberFormat="1" applyFont="1" applyFill="1"/>
    <xf numFmtId="3" fontId="16" fillId="3" borderId="1" xfId="0" applyNumberFormat="1" applyFont="1" applyFill="1" applyBorder="1" applyAlignment="1" applyProtection="1">
      <alignment horizontal="center" vertical="center"/>
    </xf>
    <xf numFmtId="166" fontId="16" fillId="3" borderId="1" xfId="0" applyNumberFormat="1" applyFont="1" applyFill="1" applyBorder="1" applyAlignment="1" applyProtection="1">
      <alignment horizontal="center" vertical="center"/>
    </xf>
    <xf numFmtId="164" fontId="19" fillId="3" borderId="1" xfId="0" applyNumberFormat="1" applyFont="1" applyFill="1" applyBorder="1" applyAlignment="1" applyProtection="1">
      <alignment horizontal="center" vertical="center"/>
    </xf>
    <xf numFmtId="3" fontId="19" fillId="3" borderId="1" xfId="0" applyNumberFormat="1" applyFont="1" applyFill="1" applyBorder="1" applyAlignment="1" applyProtection="1">
      <alignment horizontal="center" vertical="center"/>
    </xf>
    <xf numFmtId="166" fontId="19" fillId="3" borderId="1" xfId="0" applyNumberFormat="1" applyFont="1" applyFill="1" applyBorder="1" applyAlignment="1" applyProtection="1">
      <alignment horizontal="center" vertical="center"/>
    </xf>
    <xf numFmtId="3" fontId="16" fillId="3" borderId="1" xfId="0" quotePrefix="1" applyNumberFormat="1" applyFont="1" applyFill="1" applyBorder="1" applyAlignment="1" applyProtection="1">
      <alignment horizontal="center" vertical="center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18" fillId="2" borderId="8" xfId="2" applyFont="1" applyFill="1" applyBorder="1" applyAlignment="1">
      <alignment horizontal="center" vertical="center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5"/>
  <sheetViews>
    <sheetView showGridLines="0" tabSelected="1" view="pageBreakPreview" zoomScaleNormal="100" zoomScaleSheetLayoutView="100" workbookViewId="0">
      <selection activeCell="U7" sqref="U7"/>
    </sheetView>
  </sheetViews>
  <sheetFormatPr defaultColWidth="11" defaultRowHeight="35.1" customHeight="1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.28515625" style="1" bestFit="1" customWidth="1"/>
    <col min="17" max="17" width="17.85546875" style="1" customWidth="1"/>
    <col min="18" max="16384" width="11" style="1"/>
  </cols>
  <sheetData>
    <row r="1" spans="1:19" ht="24.95" customHeight="1">
      <c r="A1" s="40" t="s">
        <v>190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2"/>
    </row>
    <row r="2" spans="1:19" ht="24.95" customHeight="1">
      <c r="A2" s="43" t="s">
        <v>191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5"/>
    </row>
    <row r="3" spans="1:19" ht="32.25" customHeight="1">
      <c r="A3" s="46" t="s">
        <v>192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</row>
    <row r="4" spans="1:19" ht="35.1" customHeight="1">
      <c r="A4" s="38" t="s">
        <v>21</v>
      </c>
      <c r="B4" s="39" t="s">
        <v>6</v>
      </c>
      <c r="C4" s="39"/>
      <c r="D4" s="39"/>
      <c r="E4" s="39"/>
      <c r="F4" s="39" t="s">
        <v>5</v>
      </c>
      <c r="G4" s="39"/>
      <c r="H4" s="39"/>
      <c r="I4" s="39" t="s">
        <v>4</v>
      </c>
      <c r="J4" s="39"/>
      <c r="K4" s="39"/>
      <c r="L4" s="39"/>
      <c r="M4" s="39"/>
      <c r="N4" s="39"/>
      <c r="O4" s="38" t="s">
        <v>184</v>
      </c>
    </row>
    <row r="5" spans="1:19" ht="35.1" customHeight="1">
      <c r="A5" s="38"/>
      <c r="B5" s="38" t="s">
        <v>20</v>
      </c>
      <c r="C5" s="38" t="s">
        <v>19</v>
      </c>
      <c r="D5" s="38" t="s">
        <v>18</v>
      </c>
      <c r="E5" s="38" t="s">
        <v>17</v>
      </c>
      <c r="F5" s="38" t="s">
        <v>3</v>
      </c>
      <c r="G5" s="38" t="s">
        <v>26</v>
      </c>
      <c r="H5" s="38" t="s">
        <v>13</v>
      </c>
      <c r="I5" s="39" t="s">
        <v>2</v>
      </c>
      <c r="J5" s="39"/>
      <c r="K5" s="39"/>
      <c r="L5" s="39" t="s">
        <v>1</v>
      </c>
      <c r="M5" s="39"/>
      <c r="N5" s="39"/>
      <c r="O5" s="38"/>
    </row>
    <row r="6" spans="1:19" ht="95.25" customHeight="1">
      <c r="A6" s="38"/>
      <c r="B6" s="38"/>
      <c r="C6" s="38"/>
      <c r="D6" s="38"/>
      <c r="E6" s="38"/>
      <c r="F6" s="38"/>
      <c r="G6" s="38"/>
      <c r="H6" s="38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38"/>
    </row>
    <row r="7" spans="1:19" ht="27" customHeight="1">
      <c r="A7" s="22" t="s">
        <v>193</v>
      </c>
      <c r="B7" s="29">
        <v>0</v>
      </c>
      <c r="C7" s="29">
        <v>19</v>
      </c>
      <c r="D7" s="29">
        <v>0</v>
      </c>
      <c r="E7" s="29">
        <v>19</v>
      </c>
      <c r="F7" s="34" t="s">
        <v>194</v>
      </c>
      <c r="G7" s="30">
        <v>20.506</v>
      </c>
      <c r="H7" s="30">
        <v>75.203999999999994</v>
      </c>
      <c r="I7" s="29">
        <v>13600</v>
      </c>
      <c r="J7" s="29">
        <v>4</v>
      </c>
      <c r="K7" s="29">
        <f>I7+J7</f>
        <v>13604</v>
      </c>
      <c r="L7" s="29">
        <v>22439.94</v>
      </c>
      <c r="M7" s="29">
        <v>6.18</v>
      </c>
      <c r="N7" s="29">
        <f>L7+M7</f>
        <v>22446.12</v>
      </c>
      <c r="O7" s="30">
        <v>3.2366431146359047</v>
      </c>
      <c r="P7" s="28"/>
    </row>
    <row r="8" spans="1:19" ht="22.5" customHeight="1">
      <c r="A8" s="27" t="s">
        <v>53</v>
      </c>
      <c r="B8" s="32">
        <v>0</v>
      </c>
      <c r="C8" s="32">
        <v>19</v>
      </c>
      <c r="D8" s="32">
        <v>0</v>
      </c>
      <c r="E8" s="32">
        <v>19</v>
      </c>
      <c r="F8" s="32"/>
      <c r="G8" s="32"/>
      <c r="H8" s="31"/>
      <c r="I8" s="32">
        <f t="shared" ref="I8:N8" si="0">SUM(I7:I7)</f>
        <v>13600</v>
      </c>
      <c r="J8" s="32">
        <f t="shared" si="0"/>
        <v>4</v>
      </c>
      <c r="K8" s="32">
        <f t="shared" si="0"/>
        <v>13604</v>
      </c>
      <c r="L8" s="32">
        <f t="shared" si="0"/>
        <v>22439.94</v>
      </c>
      <c r="M8" s="32">
        <f t="shared" si="0"/>
        <v>6.18</v>
      </c>
      <c r="N8" s="32">
        <f t="shared" si="0"/>
        <v>22446.12</v>
      </c>
      <c r="O8" s="33">
        <v>3.2366431146359047</v>
      </c>
      <c r="P8" s="28"/>
    </row>
    <row r="9" spans="1:19" ht="20.100000000000001" customHeight="1">
      <c r="A9" s="35" t="s">
        <v>189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7"/>
      <c r="S9" s="1" t="s">
        <v>0</v>
      </c>
    </row>
    <row r="10" spans="1:19" ht="35.1" customHeight="1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</row>
    <row r="11" spans="1:19" ht="35.1" customHeight="1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9:O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2024-03-13T11:10:45Z</cp:lastPrinted>
  <dcterms:created xsi:type="dcterms:W3CDTF">2002-12-26T09:18:20Z</dcterms:created>
  <dcterms:modified xsi:type="dcterms:W3CDTF">2024-03-13T11:10:52Z</dcterms:modified>
</cp:coreProperties>
</file>