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FFICE\Yearly publication\2022-23\Annual tables 22_23\SPICEJET\"/>
    </mc:Choice>
  </mc:AlternateContent>
  <bookViews>
    <workbookView xWindow="0" yWindow="0" windowWidth="24000" windowHeight="10725"/>
  </bookViews>
  <sheets>
    <sheet name="SPICE JET" sheetId="15" r:id="rId1"/>
  </sheets>
  <definedNames>
    <definedName name="_xlnm._FilterDatabase" localSheetId="0" hidden="1">'SPICE JET'!$A$6:$Q$40</definedName>
    <definedName name="_xlnm.Print_Titles" localSheetId="0">'SPICE JET'!$1:$5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6" i="15" l="1"/>
  <c r="Q36" i="15"/>
  <c r="G38" i="15"/>
  <c r="G35" i="15"/>
  <c r="G29" i="15"/>
  <c r="G26" i="15"/>
  <c r="G23" i="15"/>
  <c r="G20" i="15"/>
  <c r="G17" i="15"/>
  <c r="G14" i="15"/>
  <c r="G11" i="15"/>
  <c r="P30" i="15" l="1"/>
  <c r="O30" i="15"/>
  <c r="M30" i="15"/>
  <c r="L30" i="15"/>
  <c r="G30" i="15"/>
  <c r="G32" i="15" s="1"/>
  <c r="F30" i="15"/>
  <c r="Q24" i="15"/>
  <c r="H24" i="15"/>
  <c r="Q21" i="15"/>
  <c r="H21" i="15"/>
  <c r="Q18" i="15"/>
  <c r="H18" i="15"/>
  <c r="Q15" i="15"/>
  <c r="H15" i="15"/>
  <c r="Q12" i="15"/>
  <c r="H12" i="15"/>
  <c r="Q9" i="15"/>
  <c r="H9" i="15"/>
  <c r="Q6" i="15"/>
  <c r="H6" i="15"/>
  <c r="C38" i="15" l="1"/>
  <c r="D38" i="15"/>
  <c r="E38" i="15"/>
  <c r="F38" i="15"/>
  <c r="H38" i="15"/>
  <c r="I38" i="15"/>
  <c r="K38" i="15"/>
  <c r="L38" i="15"/>
  <c r="M38" i="15"/>
  <c r="O38" i="15"/>
  <c r="P38" i="15"/>
  <c r="Q38" i="15"/>
  <c r="B38" i="15" l="1"/>
  <c r="P11" i="15"/>
  <c r="O11" i="15"/>
  <c r="M11" i="15"/>
  <c r="L11" i="15"/>
  <c r="K11" i="15"/>
  <c r="I11" i="15"/>
  <c r="F11" i="15"/>
  <c r="E11" i="15"/>
  <c r="D11" i="15"/>
  <c r="C11" i="15"/>
  <c r="B11" i="15"/>
  <c r="P14" i="15"/>
  <c r="O14" i="15"/>
  <c r="M14" i="15"/>
  <c r="L14" i="15"/>
  <c r="K14" i="15"/>
  <c r="I14" i="15"/>
  <c r="F14" i="15"/>
  <c r="E14" i="15"/>
  <c r="D14" i="15"/>
  <c r="C14" i="15"/>
  <c r="B14" i="15"/>
  <c r="P17" i="15"/>
  <c r="O17" i="15"/>
  <c r="M17" i="15"/>
  <c r="L17" i="15"/>
  <c r="K17" i="15"/>
  <c r="I17" i="15"/>
  <c r="F17" i="15"/>
  <c r="E17" i="15"/>
  <c r="D17" i="15"/>
  <c r="C17" i="15"/>
  <c r="B17" i="15"/>
  <c r="P20" i="15"/>
  <c r="O20" i="15"/>
  <c r="M20" i="15"/>
  <c r="L20" i="15"/>
  <c r="K20" i="15"/>
  <c r="I20" i="15"/>
  <c r="F20" i="15"/>
  <c r="E20" i="15"/>
  <c r="D20" i="15"/>
  <c r="C20" i="15"/>
  <c r="B20" i="15"/>
  <c r="P23" i="15"/>
  <c r="O23" i="15"/>
  <c r="M23" i="15"/>
  <c r="L23" i="15"/>
  <c r="K23" i="15"/>
  <c r="I23" i="15"/>
  <c r="F23" i="15"/>
  <c r="E23" i="15"/>
  <c r="D23" i="15"/>
  <c r="C23" i="15"/>
  <c r="B23" i="15"/>
  <c r="P26" i="15"/>
  <c r="O26" i="15"/>
  <c r="M26" i="15"/>
  <c r="L26" i="15"/>
  <c r="K26" i="15"/>
  <c r="I26" i="15"/>
  <c r="F26" i="15"/>
  <c r="E26" i="15"/>
  <c r="D26" i="15"/>
  <c r="C26" i="15"/>
  <c r="B26" i="15"/>
  <c r="P29" i="15"/>
  <c r="O29" i="15"/>
  <c r="M29" i="15"/>
  <c r="L29" i="15"/>
  <c r="K29" i="15"/>
  <c r="I29" i="15"/>
  <c r="F29" i="15"/>
  <c r="E29" i="15"/>
  <c r="D29" i="15"/>
  <c r="C29" i="15"/>
  <c r="B29" i="15"/>
  <c r="P32" i="15"/>
  <c r="O32" i="15"/>
  <c r="M32" i="15"/>
  <c r="L32" i="15"/>
  <c r="K32" i="15"/>
  <c r="I32" i="15"/>
  <c r="F32" i="15"/>
  <c r="E32" i="15"/>
  <c r="D32" i="15"/>
  <c r="C32" i="15"/>
  <c r="B32" i="15"/>
  <c r="K35" i="15"/>
  <c r="I35" i="15"/>
  <c r="E35" i="15"/>
  <c r="D35" i="15"/>
  <c r="C35" i="15"/>
  <c r="B35" i="15"/>
  <c r="Q37" i="15" l="1"/>
  <c r="K37" i="15"/>
  <c r="I37" i="15"/>
  <c r="H37" i="15"/>
  <c r="E37" i="15"/>
  <c r="D37" i="15"/>
  <c r="C37" i="15"/>
  <c r="B37" i="15"/>
  <c r="Q29" i="15" l="1"/>
  <c r="H29" i="15"/>
  <c r="Q20" i="15"/>
  <c r="Q17" i="15"/>
  <c r="H17" i="15"/>
  <c r="G37" i="15" l="1"/>
  <c r="L35" i="15"/>
  <c r="L37" i="15"/>
  <c r="F35" i="15"/>
  <c r="F37" i="15"/>
  <c r="H23" i="15"/>
  <c r="Q23" i="15"/>
  <c r="M35" i="15"/>
  <c r="M37" i="15"/>
  <c r="H32" i="15"/>
  <c r="H35" i="15"/>
  <c r="Q35" i="15"/>
  <c r="Q32" i="15"/>
  <c r="H11" i="15"/>
  <c r="H14" i="15"/>
  <c r="H26" i="15"/>
  <c r="O35" i="15"/>
  <c r="O37" i="15"/>
  <c r="H20" i="15"/>
  <c r="Q11" i="15"/>
  <c r="Q14" i="15"/>
  <c r="Q26" i="15"/>
  <c r="P35" i="15"/>
  <c r="P37" i="15"/>
  <c r="P34" i="15"/>
  <c r="O34" i="15"/>
  <c r="M34" i="15"/>
  <c r="L34" i="15"/>
  <c r="K34" i="15"/>
  <c r="I34" i="15"/>
  <c r="G34" i="15"/>
  <c r="F34" i="15"/>
  <c r="E34" i="15"/>
  <c r="D34" i="15"/>
  <c r="C34" i="15"/>
  <c r="B34" i="15"/>
  <c r="P31" i="15"/>
  <c r="O31" i="15"/>
  <c r="M31" i="15"/>
  <c r="L31" i="15"/>
  <c r="K31" i="15"/>
  <c r="I31" i="15"/>
  <c r="G31" i="15"/>
  <c r="F31" i="15"/>
  <c r="E31" i="15"/>
  <c r="D31" i="15"/>
  <c r="C31" i="15"/>
  <c r="B31" i="15"/>
  <c r="P28" i="15"/>
  <c r="O28" i="15"/>
  <c r="M28" i="15"/>
  <c r="L28" i="15"/>
  <c r="K28" i="15"/>
  <c r="I28" i="15"/>
  <c r="G28" i="15"/>
  <c r="F28" i="15"/>
  <c r="E28" i="15"/>
  <c r="D28" i="15"/>
  <c r="C28" i="15"/>
  <c r="B28" i="15"/>
  <c r="P25" i="15"/>
  <c r="O25" i="15"/>
  <c r="M25" i="15"/>
  <c r="L25" i="15"/>
  <c r="K25" i="15"/>
  <c r="I25" i="15"/>
  <c r="G25" i="15"/>
  <c r="F25" i="15"/>
  <c r="E25" i="15"/>
  <c r="D25" i="15"/>
  <c r="C25" i="15"/>
  <c r="B25" i="15"/>
  <c r="P22" i="15"/>
  <c r="O22" i="15"/>
  <c r="M22" i="15"/>
  <c r="L22" i="15"/>
  <c r="K22" i="15"/>
  <c r="I22" i="15"/>
  <c r="G22" i="15"/>
  <c r="F22" i="15"/>
  <c r="E22" i="15"/>
  <c r="D22" i="15"/>
  <c r="C22" i="15"/>
  <c r="B22" i="15"/>
  <c r="P19" i="15"/>
  <c r="O19" i="15"/>
  <c r="M19" i="15"/>
  <c r="L19" i="15"/>
  <c r="K19" i="15"/>
  <c r="I19" i="15"/>
  <c r="G19" i="15"/>
  <c r="F19" i="15"/>
  <c r="E19" i="15"/>
  <c r="D19" i="15"/>
  <c r="C19" i="15"/>
  <c r="B19" i="15"/>
  <c r="P16" i="15"/>
  <c r="O16" i="15"/>
  <c r="M16" i="15"/>
  <c r="L16" i="15"/>
  <c r="K16" i="15"/>
  <c r="I16" i="15"/>
  <c r="G16" i="15"/>
  <c r="F16" i="15"/>
  <c r="E16" i="15"/>
  <c r="D16" i="15"/>
  <c r="C16" i="15"/>
  <c r="B16" i="15"/>
  <c r="P13" i="15"/>
  <c r="O13" i="15"/>
  <c r="M13" i="15"/>
  <c r="L13" i="15"/>
  <c r="K13" i="15"/>
  <c r="I13" i="15"/>
  <c r="G13" i="15"/>
  <c r="F13" i="15"/>
  <c r="E13" i="15"/>
  <c r="D13" i="15"/>
  <c r="C13" i="15"/>
  <c r="B13" i="15"/>
  <c r="P10" i="15"/>
  <c r="O10" i="15"/>
  <c r="M10" i="15"/>
  <c r="L10" i="15"/>
  <c r="K10" i="15"/>
  <c r="I10" i="15"/>
  <c r="G10" i="15"/>
  <c r="F10" i="15"/>
  <c r="E10" i="15"/>
  <c r="D10" i="15"/>
  <c r="C10" i="15"/>
  <c r="B10" i="15"/>
  <c r="H16" i="15" l="1"/>
  <c r="H25" i="15"/>
  <c r="Q10" i="15"/>
  <c r="H19" i="15"/>
  <c r="H28" i="15"/>
  <c r="Q13" i="15"/>
  <c r="Q19" i="15"/>
  <c r="H31" i="15"/>
  <c r="H34" i="15"/>
  <c r="Q25" i="15"/>
  <c r="H22" i="15"/>
  <c r="Q28" i="15"/>
  <c r="Q16" i="15"/>
  <c r="Q22" i="15"/>
  <c r="H10" i="15"/>
  <c r="H13" i="15"/>
  <c r="Q31" i="15"/>
  <c r="Q34" i="15"/>
</calcChain>
</file>

<file path=xl/sharedStrings.xml><?xml version="1.0" encoding="utf-8"?>
<sst xmlns="http://schemas.openxmlformats.org/spreadsheetml/2006/main" count="97" uniqueCount="39">
  <si>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</si>
  <si>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</si>
  <si>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</si>
  <si>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</si>
  <si>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</si>
  <si>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</si>
  <si>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</si>
  <si>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</si>
  <si>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</si>
  <si>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</si>
  <si>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</si>
  <si>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</si>
  <si>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</si>
  <si>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</si>
  <si>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</si>
  <si>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</si>
  <si>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</si>
  <si>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</si>
  <si>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</si>
  <si>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2012-13</t>
  </si>
  <si>
    <t>2013-14</t>
  </si>
  <si>
    <t>2014-15</t>
  </si>
  <si>
    <t>2015-16</t>
  </si>
  <si>
    <t>2016-17</t>
  </si>
  <si>
    <t>2017-18</t>
  </si>
  <si>
    <t>growth</t>
  </si>
  <si>
    <t>CAGR</t>
  </si>
  <si>
    <t>-</t>
  </si>
  <si>
    <t>Growth</t>
  </si>
  <si>
    <t>2018-19</t>
  </si>
  <si>
    <t xml:space="preserve">तालिका - 1.04 (स्पाइसजेट) </t>
  </si>
  <si>
    <t>TABLE - 1.04 (SPICEJET)</t>
  </si>
  <si>
    <t>SOURCE: ICAO ATR FORM 'A' FURNISHED BY SPICEJET</t>
  </si>
  <si>
    <t>2019-20</t>
  </si>
  <si>
    <t xml:space="preserve">YEAR ON YEAR GROWTH AND CAGR FOR LAST TEN YEARS OF SPICEJET ON SCHEDULED DOMESTIC SERVICES (ALL AIR TRAFFIC AND OPERATING STATISTICS) </t>
  </si>
  <si>
    <t>2020-21</t>
  </si>
  <si>
    <t>2021-22</t>
  </si>
  <si>
    <t>2022-23</t>
  </si>
  <si>
    <t>Note: Growth has been calculated with respect to preceeding year while Compound Annual Growth Rate (CAGR) has been calculating taking 2012-13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</si>
</sst>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%"/>
    <numFmt numFmtId="166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color rgb="FF3F3F76"/>
      <name val="Calibri"/>
      <family val="2"/>
      <scheme val="minor"/>
    </font>
    <font>
      <b/>
      <sz val="10.5"/>
      <name val="Calibri"/>
      <family val="2"/>
      <scheme val="minor"/>
    </font>
    <font>
      <b/>
      <sz val="10.5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2" fillId="3" borderId="2" applyNumberFormat="0" applyAlignment="0" applyProtection="0"/>
    <xf numFmtId="0" fontId="3" fillId="4" borderId="0" applyNumberFormat="0" applyBorder="0" applyAlignment="0" applyProtection="0"/>
    <xf numFmtId="0" fontId="1" fillId="5" borderId="0" applyNumberFormat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5" fillId="0" borderId="0" xfId="0" applyFont="1"/>
    <xf numFmtId="0" fontId="4" fillId="4" borderId="1" xfId="2" applyFont="1" applyBorder="1" applyAlignment="1" applyProtection="1">
      <alignment horizontal="center" vertical="center" textRotation="90" wrapText="1"/>
    </xf>
    <xf numFmtId="0" fontId="6" fillId="3" borderId="1" xfId="1" applyFont="1" applyBorder="1" applyAlignment="1" applyProtection="1">
      <alignment horizontal="center" vertical="center" wrapText="1"/>
    </xf>
    <xf numFmtId="3" fontId="6" fillId="3" borderId="1" xfId="1" applyNumberFormat="1" applyFont="1" applyBorder="1" applyAlignment="1" applyProtection="1">
      <alignment horizontal="center" vertical="center" wrapText="1"/>
    </xf>
    <xf numFmtId="166" fontId="6" fillId="3" borderId="1" xfId="4" applyNumberFormat="1" applyFont="1" applyFill="1" applyBorder="1" applyAlignment="1" applyProtection="1">
      <alignment horizontal="center" vertical="center" wrapText="1"/>
    </xf>
    <xf numFmtId="164" fontId="6" fillId="3" borderId="1" xfId="1" applyNumberFormat="1" applyFont="1" applyBorder="1" applyAlignment="1" applyProtection="1">
      <alignment horizontal="center" vertical="center" wrapText="1"/>
    </xf>
    <xf numFmtId="0" fontId="5" fillId="5" borderId="1" xfId="3" applyFont="1" applyBorder="1" applyAlignment="1" applyProtection="1">
      <alignment horizontal="center" vertical="center" wrapText="1"/>
    </xf>
    <xf numFmtId="165" fontId="5" fillId="5" borderId="1" xfId="4" applyNumberFormat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165" fontId="4" fillId="2" borderId="1" xfId="4" applyNumberFormat="1" applyFont="1" applyFill="1" applyBorder="1" applyAlignment="1" applyProtection="1">
      <alignment horizontal="center" vertical="center" wrapText="1"/>
    </xf>
    <xf numFmtId="166" fontId="6" fillId="3" borderId="1" xfId="1" applyNumberFormat="1" applyFont="1" applyBorder="1" applyAlignment="1">
      <alignment horizontal="center" vertical="center"/>
    </xf>
    <xf numFmtId="0" fontId="7" fillId="2" borderId="1" xfId="0" applyFont="1" applyFill="1" applyBorder="1" applyAlignment="1" applyProtection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7" fillId="2" borderId="1" xfId="0" applyFont="1" applyFill="1" applyBorder="1" applyAlignment="1" applyProtection="1">
      <alignment horizontal="left" vertical="center"/>
    </xf>
    <xf numFmtId="0" fontId="8" fillId="0" borderId="1" xfId="0" applyFont="1" applyBorder="1" applyAlignment="1">
      <alignment vertical="center"/>
    </xf>
    <xf numFmtId="0" fontId="4" fillId="3" borderId="1" xfId="1" applyFont="1" applyBorder="1" applyAlignment="1">
      <alignment horizontal="center" vertical="center" wrapText="1"/>
    </xf>
    <xf numFmtId="0" fontId="4" fillId="3" borderId="1" xfId="1" quotePrefix="1" applyFont="1" applyBorder="1" applyAlignment="1" applyProtection="1">
      <alignment horizontal="center" vertical="center" wrapText="1"/>
    </xf>
    <xf numFmtId="0" fontId="4" fillId="3" borderId="1" xfId="1" applyFont="1" applyBorder="1"/>
    <xf numFmtId="0" fontId="4" fillId="4" borderId="1" xfId="2" applyFont="1" applyBorder="1" applyAlignment="1" applyProtection="1">
      <alignment horizontal="center" vertical="center" wrapText="1"/>
    </xf>
    <xf numFmtId="0" fontId="4" fillId="4" borderId="1" xfId="2" applyFont="1" applyBorder="1"/>
    <xf numFmtId="0" fontId="4" fillId="4" borderId="1" xfId="2" applyFont="1" applyBorder="1" applyAlignment="1" applyProtection="1">
      <alignment horizontal="center" vertical="center" textRotation="90" wrapText="1"/>
    </xf>
    <xf numFmtId="0" fontId="4" fillId="4" borderId="1" xfId="2" applyFont="1" applyBorder="1" applyAlignment="1">
      <alignment textRotation="90"/>
    </xf>
    <xf numFmtId="165" fontId="6" fillId="3" borderId="1" xfId="4" applyNumberFormat="1" applyFont="1" applyFill="1" applyBorder="1" applyAlignment="1" applyProtection="1">
      <alignment horizontal="center" vertical="center" wrapText="1"/>
    </xf>
  </cellXfs>
  <cellStyles count="5">
    <cellStyle name="20% - Accent2" xfId="3" builtinId="34"/>
    <cellStyle name="Accent2" xfId="2" builtinId="3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view="pageBreakPreview" topLeftCell="A16" zoomScaleNormal="115" zoomScaleSheetLayoutView="100" workbookViewId="0">
      <selection activeCell="O35" sqref="O35"/>
    </sheetView>
  </sheetViews>
  <sheetFormatPr defaultRowHeight="14.25" x14ac:dyDescent="0.25"/>
  <cols>
    <col min="1" max="1" width="7.7109375" style="1" customWidth="1"/>
    <col min="2" max="2" width="8.28515625" style="1" customWidth="1"/>
    <col min="3" max="3" width="9" style="1" customWidth="1"/>
    <col min="4" max="4" width="8.42578125" style="1" customWidth="1"/>
    <col min="5" max="5" width="11.140625" style="1" customWidth="1"/>
    <col min="6" max="7" width="9.28515625" style="1" customWidth="1"/>
    <col min="8" max="8" width="7.28515625" style="1" customWidth="1"/>
    <col min="9" max="9" width="8.7109375" style="1" customWidth="1"/>
    <col min="10" max="10" width="5.28515625" style="1" customWidth="1"/>
    <col min="11" max="11" width="9.42578125" style="1" customWidth="1"/>
    <col min="12" max="12" width="7.7109375" style="1" customWidth="1"/>
    <col min="13" max="13" width="7.28515625" style="1" customWidth="1"/>
    <col min="14" max="14" width="4.5703125" style="1" customWidth="1"/>
    <col min="15" max="15" width="7.42578125" style="1" customWidth="1"/>
    <col min="16" max="16" width="8" style="1" customWidth="1"/>
    <col min="17" max="17" width="6.7109375" style="1" customWidth="1"/>
    <col min="18" max="16384" width="9.140625" style="1"/>
  </cols>
  <sheetData>
    <row r="1" spans="1:17" x14ac:dyDescent="0.25">
      <c r="A1" s="16" t="s">
        <v>30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x14ac:dyDescent="0.25">
      <c r="A2" s="17" t="s">
        <v>31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7" ht="28.5" customHeight="1" x14ac:dyDescent="0.25">
      <c r="A3" s="19" t="s">
        <v>34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spans="1:17" ht="34.9" customHeight="1" x14ac:dyDescent="0.25">
      <c r="A4" s="19" t="s">
        <v>0</v>
      </c>
      <c r="B4" s="19" t="s">
        <v>1</v>
      </c>
      <c r="C4" s="19"/>
      <c r="D4" s="19"/>
      <c r="E4" s="19" t="s">
        <v>2</v>
      </c>
      <c r="F4" s="20"/>
      <c r="G4" s="21" t="s">
        <v>3</v>
      </c>
      <c r="H4" s="21" t="s">
        <v>4</v>
      </c>
      <c r="I4" s="19" t="s">
        <v>5</v>
      </c>
      <c r="J4" s="19"/>
      <c r="K4" s="19"/>
      <c r="L4" s="19" t="s">
        <v>6</v>
      </c>
      <c r="M4" s="19"/>
      <c r="N4" s="19"/>
      <c r="O4" s="19"/>
      <c r="P4" s="21" t="s">
        <v>7</v>
      </c>
      <c r="Q4" s="21" t="s">
        <v>8</v>
      </c>
    </row>
    <row r="5" spans="1:17" ht="113.25" customHeight="1" x14ac:dyDescent="0.25">
      <c r="A5" s="19"/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2"/>
      <c r="H5" s="22"/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15</v>
      </c>
      <c r="O5" s="2" t="s">
        <v>16</v>
      </c>
      <c r="P5" s="22"/>
      <c r="Q5" s="22"/>
    </row>
    <row r="6" spans="1:17" ht="17.100000000000001" customHeight="1" x14ac:dyDescent="0.25">
      <c r="A6" s="3" t="s">
        <v>19</v>
      </c>
      <c r="B6" s="4">
        <v>104735</v>
      </c>
      <c r="C6" s="4">
        <v>141788</v>
      </c>
      <c r="D6" s="4">
        <v>89468.712</v>
      </c>
      <c r="E6" s="4">
        <v>11105152</v>
      </c>
      <c r="F6" s="4">
        <v>11186.471603</v>
      </c>
      <c r="G6" s="4">
        <v>15030.876635999999</v>
      </c>
      <c r="H6" s="5">
        <f t="shared" ref="H6" si="0">F6/G6*100</f>
        <v>74.423281315526339</v>
      </c>
      <c r="I6" s="6">
        <v>65689.259999999995</v>
      </c>
      <c r="J6" s="6">
        <v>0</v>
      </c>
      <c r="K6" s="6">
        <v>65689.259999999995</v>
      </c>
      <c r="L6" s="6">
        <v>839.00021800000002</v>
      </c>
      <c r="M6" s="6">
        <v>79.512844999999999</v>
      </c>
      <c r="N6" s="6">
        <v>0</v>
      </c>
      <c r="O6" s="6">
        <v>918.51306299999999</v>
      </c>
      <c r="P6" s="6">
        <v>1300.2403660000002</v>
      </c>
      <c r="Q6" s="5">
        <f t="shared" ref="Q6" si="1">O6/P6*100</f>
        <v>70.641789550471458</v>
      </c>
    </row>
    <row r="7" spans="1:17" ht="17.100000000000001" customHeight="1" x14ac:dyDescent="0.25">
      <c r="A7" s="7" t="s">
        <v>28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</row>
    <row r="8" spans="1:17" ht="17.100000000000001" customHeight="1" x14ac:dyDescent="0.25">
      <c r="A8" s="9" t="s">
        <v>26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</row>
    <row r="9" spans="1:17" ht="17.100000000000001" customHeight="1" x14ac:dyDescent="0.25">
      <c r="A9" s="3" t="s">
        <v>20</v>
      </c>
      <c r="B9" s="4">
        <v>112426</v>
      </c>
      <c r="C9" s="4">
        <v>150116</v>
      </c>
      <c r="D9" s="4">
        <v>92282.463000000018</v>
      </c>
      <c r="E9" s="4">
        <v>11473350</v>
      </c>
      <c r="F9" s="4">
        <v>11188.453740000001</v>
      </c>
      <c r="G9" s="4">
        <v>15503.596772999999</v>
      </c>
      <c r="H9" s="5">
        <f t="shared" ref="H9" si="2">F9/G9*100</f>
        <v>72.166826213418062</v>
      </c>
      <c r="I9" s="6">
        <v>77067</v>
      </c>
      <c r="J9" s="6">
        <v>0</v>
      </c>
      <c r="K9" s="6">
        <v>77067</v>
      </c>
      <c r="L9" s="6">
        <v>838.98345900000004</v>
      </c>
      <c r="M9" s="6">
        <v>98.427074999999988</v>
      </c>
      <c r="N9" s="6">
        <v>0</v>
      </c>
      <c r="O9" s="6">
        <v>937.41053399999998</v>
      </c>
      <c r="P9" s="6">
        <v>1330.3648260000002</v>
      </c>
      <c r="Q9" s="5">
        <f t="shared" ref="Q9" si="3">O9/P9*100</f>
        <v>70.462666757246311</v>
      </c>
    </row>
    <row r="10" spans="1:17" ht="17.100000000000001" customHeight="1" x14ac:dyDescent="0.25">
      <c r="A10" s="7" t="s">
        <v>28</v>
      </c>
      <c r="B10" s="8">
        <f>(B9-B6)/B6</f>
        <v>7.3432949825750701E-2</v>
      </c>
      <c r="C10" s="8">
        <f t="shared" ref="C10:Q10" si="4">(C9-C6)/C6</f>
        <v>5.8735577058707363E-2</v>
      </c>
      <c r="D10" s="8">
        <f t="shared" si="4"/>
        <v>3.1449553001277344E-2</v>
      </c>
      <c r="E10" s="8">
        <f t="shared" si="4"/>
        <v>3.3155602012471329E-2</v>
      </c>
      <c r="F10" s="8">
        <f t="shared" si="4"/>
        <v>1.7719054500342217E-4</v>
      </c>
      <c r="G10" s="8">
        <f t="shared" si="4"/>
        <v>3.1449937914319818E-2</v>
      </c>
      <c r="H10" s="8">
        <f t="shared" si="4"/>
        <v>-3.0319210094241437E-2</v>
      </c>
      <c r="I10" s="8">
        <f t="shared" si="4"/>
        <v>0.17320548290542481</v>
      </c>
      <c r="J10" s="8" t="s">
        <v>27</v>
      </c>
      <c r="K10" s="8">
        <f t="shared" si="4"/>
        <v>0.17320548290542481</v>
      </c>
      <c r="L10" s="8">
        <f t="shared" si="4"/>
        <v>-1.997496501243948E-5</v>
      </c>
      <c r="M10" s="8">
        <f t="shared" si="4"/>
        <v>0.23787640852242162</v>
      </c>
      <c r="N10" s="8" t="s">
        <v>27</v>
      </c>
      <c r="O10" s="8">
        <f t="shared" si="4"/>
        <v>2.0573981755118487E-2</v>
      </c>
      <c r="P10" s="8">
        <f t="shared" si="4"/>
        <v>2.3168377776697939E-2</v>
      </c>
      <c r="Q10" s="8">
        <f t="shared" si="4"/>
        <v>-2.5356491442953813E-3</v>
      </c>
    </row>
    <row r="11" spans="1:17" ht="17.100000000000001" customHeight="1" x14ac:dyDescent="0.25">
      <c r="A11" s="9" t="s">
        <v>26</v>
      </c>
      <c r="B11" s="10">
        <f t="shared" ref="B11:Q11" si="5">(((B9/B6)^(1/1))-1)</f>
        <v>7.343294982575066E-2</v>
      </c>
      <c r="C11" s="10">
        <f t="shared" si="5"/>
        <v>5.8735577058707467E-2</v>
      </c>
      <c r="D11" s="10">
        <f t="shared" si="5"/>
        <v>3.1449553001277275E-2</v>
      </c>
      <c r="E11" s="10">
        <f t="shared" si="5"/>
        <v>3.3155602012471252E-2</v>
      </c>
      <c r="F11" s="10">
        <f t="shared" si="5"/>
        <v>1.7719054500342502E-4</v>
      </c>
      <c r="G11" s="10">
        <f>(((G9/G6)^(1/1))-1)</f>
        <v>3.1449937914319825E-2</v>
      </c>
      <c r="H11" s="10">
        <f t="shared" si="5"/>
        <v>-3.0319210094241433E-2</v>
      </c>
      <c r="I11" s="10">
        <f t="shared" si="5"/>
        <v>0.17320548290542481</v>
      </c>
      <c r="J11" s="10" t="s">
        <v>27</v>
      </c>
      <c r="K11" s="10">
        <f t="shared" si="5"/>
        <v>0.17320548290542481</v>
      </c>
      <c r="L11" s="10">
        <f t="shared" si="5"/>
        <v>-1.9974965012492518E-5</v>
      </c>
      <c r="M11" s="10">
        <f t="shared" si="5"/>
        <v>0.23787640852242165</v>
      </c>
      <c r="N11" s="10" t="s">
        <v>27</v>
      </c>
      <c r="O11" s="10">
        <f t="shared" si="5"/>
        <v>2.0573981755118487E-2</v>
      </c>
      <c r="P11" s="10">
        <f t="shared" si="5"/>
        <v>2.3168377776698001E-2</v>
      </c>
      <c r="Q11" s="10">
        <f t="shared" si="5"/>
        <v>-2.5356491442953821E-3</v>
      </c>
    </row>
    <row r="12" spans="1:17" ht="17.100000000000001" customHeight="1" x14ac:dyDescent="0.25">
      <c r="A12" s="3" t="s">
        <v>21</v>
      </c>
      <c r="B12" s="4">
        <v>94754</v>
      </c>
      <c r="C12" s="4">
        <v>122055</v>
      </c>
      <c r="D12" s="4">
        <v>75051.286999999997</v>
      </c>
      <c r="E12" s="4">
        <v>10716089</v>
      </c>
      <c r="F12" s="4">
        <v>10191.412585</v>
      </c>
      <c r="G12" s="4">
        <v>12464.116246</v>
      </c>
      <c r="H12" s="5">
        <f t="shared" ref="H12" si="6">F12/G12*100</f>
        <v>81.766026438261449</v>
      </c>
      <c r="I12" s="6">
        <v>68571</v>
      </c>
      <c r="J12" s="6">
        <v>0</v>
      </c>
      <c r="K12" s="6">
        <v>68571</v>
      </c>
      <c r="L12" s="6">
        <v>763.89556300000004</v>
      </c>
      <c r="M12" s="6">
        <v>84.743220000000008</v>
      </c>
      <c r="N12" s="6">
        <v>0</v>
      </c>
      <c r="O12" s="6">
        <v>848.6387830000001</v>
      </c>
      <c r="P12" s="6">
        <v>1086.1130660000001</v>
      </c>
      <c r="Q12" s="5">
        <f t="shared" ref="Q12" si="7">O12/P12*100</f>
        <v>78.135399487036466</v>
      </c>
    </row>
    <row r="13" spans="1:17" ht="17.100000000000001" customHeight="1" x14ac:dyDescent="0.25">
      <c r="A13" s="7" t="s">
        <v>28</v>
      </c>
      <c r="B13" s="8">
        <f>(B12-B9)/B9</f>
        <v>-0.1571878391119492</v>
      </c>
      <c r="C13" s="8">
        <f t="shared" ref="C13:Q13" si="8">(C12-C9)/C9</f>
        <v>-0.18692877508060432</v>
      </c>
      <c r="D13" s="8">
        <f t="shared" si="8"/>
        <v>-0.18672210775301931</v>
      </c>
      <c r="E13" s="8">
        <f t="shared" si="8"/>
        <v>-6.6001734454191677E-2</v>
      </c>
      <c r="F13" s="8">
        <f t="shared" si="8"/>
        <v>-8.9113400132805193E-2</v>
      </c>
      <c r="G13" s="8">
        <f t="shared" si="8"/>
        <v>-0.19605002448808204</v>
      </c>
      <c r="H13" s="8">
        <f t="shared" si="8"/>
        <v>0.13301402775363558</v>
      </c>
      <c r="I13" s="8">
        <f t="shared" si="8"/>
        <v>-0.11024173770874693</v>
      </c>
      <c r="J13" s="8" t="s">
        <v>27</v>
      </c>
      <c r="K13" s="8">
        <f t="shared" si="8"/>
        <v>-0.11024173770874693</v>
      </c>
      <c r="L13" s="8">
        <f t="shared" si="8"/>
        <v>-8.9498660783489892E-2</v>
      </c>
      <c r="M13" s="8">
        <f t="shared" si="8"/>
        <v>-0.13902531391895961</v>
      </c>
      <c r="N13" s="8" t="s">
        <v>27</v>
      </c>
      <c r="O13" s="8">
        <f t="shared" si="8"/>
        <v>-9.4698904887706201E-2</v>
      </c>
      <c r="P13" s="8">
        <f t="shared" si="8"/>
        <v>-0.18359757806765711</v>
      </c>
      <c r="Q13" s="8">
        <f t="shared" si="8"/>
        <v>0.10889075141342276</v>
      </c>
    </row>
    <row r="14" spans="1:17" ht="17.100000000000001" customHeight="1" x14ac:dyDescent="0.25">
      <c r="A14" s="9" t="s">
        <v>26</v>
      </c>
      <c r="B14" s="10">
        <f t="shared" ref="B14:Q14" si="9">(((B12/B6)^(1/2))-1)</f>
        <v>-4.8841577858306784E-2</v>
      </c>
      <c r="C14" s="10">
        <f t="shared" si="9"/>
        <v>-7.2192135997508178E-2</v>
      </c>
      <c r="D14" s="10">
        <f t="shared" si="9"/>
        <v>-8.4109658079107641E-2</v>
      </c>
      <c r="E14" s="10">
        <f t="shared" si="9"/>
        <v>-1.767340445319121E-2</v>
      </c>
      <c r="F14" s="10">
        <f t="shared" si="9"/>
        <v>-4.5511655199362067E-2</v>
      </c>
      <c r="G14" s="10">
        <f>(((G12/G6)^(1/2))-1)</f>
        <v>-8.9377052601908868E-2</v>
      </c>
      <c r="H14" s="10">
        <f t="shared" si="9"/>
        <v>4.8170757752023174E-2</v>
      </c>
      <c r="I14" s="10">
        <f t="shared" si="9"/>
        <v>2.1699208074715592E-2</v>
      </c>
      <c r="J14" s="10" t="s">
        <v>27</v>
      </c>
      <c r="K14" s="10">
        <f t="shared" si="9"/>
        <v>2.1699208074715592E-2</v>
      </c>
      <c r="L14" s="10">
        <f t="shared" si="9"/>
        <v>-4.5807591738377229E-2</v>
      </c>
      <c r="M14" s="10">
        <f t="shared" si="9"/>
        <v>3.2366336256039352E-2</v>
      </c>
      <c r="N14" s="10" t="s">
        <v>27</v>
      </c>
      <c r="O14" s="10">
        <f t="shared" si="9"/>
        <v>-3.8788918433613317E-2</v>
      </c>
      <c r="P14" s="10">
        <f t="shared" si="9"/>
        <v>-8.6043140152948783E-2</v>
      </c>
      <c r="Q14" s="10">
        <f t="shared" si="9"/>
        <v>5.1702901740070528E-2</v>
      </c>
    </row>
    <row r="15" spans="1:17" ht="17.100000000000001" customHeight="1" x14ac:dyDescent="0.25">
      <c r="A15" s="3" t="s">
        <v>22</v>
      </c>
      <c r="B15" s="4">
        <v>86707</v>
      </c>
      <c r="C15" s="4">
        <v>111610</v>
      </c>
      <c r="D15" s="4">
        <v>64126.817999999999</v>
      </c>
      <c r="E15" s="4">
        <v>10670866</v>
      </c>
      <c r="F15" s="4">
        <v>9327.0007880000012</v>
      </c>
      <c r="G15" s="4">
        <v>10139.353436000003</v>
      </c>
      <c r="H15" s="5">
        <f t="shared" ref="H15" si="10">F15/G15*100</f>
        <v>91.988121795658827</v>
      </c>
      <c r="I15" s="6">
        <v>58952</v>
      </c>
      <c r="J15" s="6">
        <v>0</v>
      </c>
      <c r="K15" s="6">
        <v>58952</v>
      </c>
      <c r="L15" s="6">
        <v>699.59894000000008</v>
      </c>
      <c r="M15" s="6">
        <v>64.847374000000002</v>
      </c>
      <c r="N15" s="6">
        <v>0</v>
      </c>
      <c r="O15" s="6">
        <v>764.44631400000003</v>
      </c>
      <c r="P15" s="6">
        <v>888.47056399999997</v>
      </c>
      <c r="Q15" s="5">
        <f t="shared" ref="Q15" si="11">O15/P15*100</f>
        <v>86.040702413186537</v>
      </c>
    </row>
    <row r="16" spans="1:17" ht="17.100000000000001" customHeight="1" x14ac:dyDescent="0.25">
      <c r="A16" s="7" t="s">
        <v>28</v>
      </c>
      <c r="B16" s="8">
        <f>(B15-B12)/B12</f>
        <v>-8.4925174662811062E-2</v>
      </c>
      <c r="C16" s="8">
        <f t="shared" ref="C16:Q16" si="12">(C15-C12)/C12</f>
        <v>-8.557617467535128E-2</v>
      </c>
      <c r="D16" s="8">
        <f t="shared" si="12"/>
        <v>-0.14556004882367971</v>
      </c>
      <c r="E16" s="8">
        <f t="shared" si="12"/>
        <v>-4.220103061854003E-3</v>
      </c>
      <c r="F16" s="8">
        <f t="shared" si="12"/>
        <v>-8.4817662889270506E-2</v>
      </c>
      <c r="G16" s="8">
        <f t="shared" si="12"/>
        <v>-0.18651645765467426</v>
      </c>
      <c r="H16" s="8">
        <f t="shared" si="12"/>
        <v>0.12501641332804292</v>
      </c>
      <c r="I16" s="8">
        <f t="shared" si="12"/>
        <v>-0.14027796007058377</v>
      </c>
      <c r="J16" s="8" t="s">
        <v>27</v>
      </c>
      <c r="K16" s="8">
        <f t="shared" si="12"/>
        <v>-0.14027796007058377</v>
      </c>
      <c r="L16" s="8">
        <f t="shared" si="12"/>
        <v>-8.4169389265061026E-2</v>
      </c>
      <c r="M16" s="8">
        <f t="shared" si="12"/>
        <v>-0.23477802707992457</v>
      </c>
      <c r="N16" s="8" t="s">
        <v>27</v>
      </c>
      <c r="O16" s="8">
        <f t="shared" si="12"/>
        <v>-9.9208839716673741E-2</v>
      </c>
      <c r="P16" s="8">
        <f t="shared" si="12"/>
        <v>-0.18197230858099273</v>
      </c>
      <c r="Q16" s="8">
        <f t="shared" si="12"/>
        <v>0.1011744097815952</v>
      </c>
    </row>
    <row r="17" spans="1:17" ht="17.100000000000001" customHeight="1" x14ac:dyDescent="0.25">
      <c r="A17" s="9" t="s">
        <v>26</v>
      </c>
      <c r="B17" s="10">
        <f t="shared" ref="B17:Q17" si="13">(((B15/B6)^(1/3))-1)</f>
        <v>-6.1024830722631207E-2</v>
      </c>
      <c r="C17" s="10">
        <f t="shared" si="13"/>
        <v>-7.6675108113417711E-2</v>
      </c>
      <c r="D17" s="10">
        <f t="shared" si="13"/>
        <v>-0.10506910370722</v>
      </c>
      <c r="E17" s="10">
        <f t="shared" si="13"/>
        <v>-1.3209288258332674E-2</v>
      </c>
      <c r="F17" s="10">
        <f t="shared" si="13"/>
        <v>-5.8797736412571688E-2</v>
      </c>
      <c r="G17" s="10">
        <f>(((G15/G6)^(1/3))-1)</f>
        <v>-0.1229817101381917</v>
      </c>
      <c r="H17" s="10">
        <f t="shared" si="13"/>
        <v>7.3184304669100309E-2</v>
      </c>
      <c r="I17" s="10">
        <f t="shared" si="13"/>
        <v>-3.542783612215783E-2</v>
      </c>
      <c r="J17" s="10" t="s">
        <v>27</v>
      </c>
      <c r="K17" s="10">
        <f t="shared" si="13"/>
        <v>-3.542783612215783E-2</v>
      </c>
      <c r="L17" s="10">
        <f t="shared" si="13"/>
        <v>-5.8770154677726505E-2</v>
      </c>
      <c r="M17" s="10">
        <f t="shared" si="13"/>
        <v>-6.5702829333319612E-2</v>
      </c>
      <c r="N17" s="10" t="s">
        <v>27</v>
      </c>
      <c r="O17" s="10">
        <f t="shared" si="13"/>
        <v>-5.9366262899174016E-2</v>
      </c>
      <c r="P17" s="10">
        <f t="shared" si="13"/>
        <v>-0.11920846312874001</v>
      </c>
      <c r="Q17" s="10">
        <f t="shared" si="13"/>
        <v>6.7941388767354338E-2</v>
      </c>
    </row>
    <row r="18" spans="1:17" ht="17.100000000000001" customHeight="1" x14ac:dyDescent="0.25">
      <c r="A18" s="3" t="s">
        <v>23</v>
      </c>
      <c r="B18" s="4">
        <v>103769</v>
      </c>
      <c r="C18" s="4">
        <v>133842</v>
      </c>
      <c r="D18" s="4">
        <v>77943.888000000006</v>
      </c>
      <c r="E18" s="4">
        <v>13236143</v>
      </c>
      <c r="F18" s="4">
        <v>11687.869246</v>
      </c>
      <c r="G18" s="4">
        <v>12575.172293999998</v>
      </c>
      <c r="H18" s="5">
        <f t="shared" ref="H18" si="14">F18/G18*100</f>
        <v>92.944008819478697</v>
      </c>
      <c r="I18" s="6">
        <v>53975</v>
      </c>
      <c r="J18" s="6">
        <v>0</v>
      </c>
      <c r="K18" s="6">
        <v>53975</v>
      </c>
      <c r="L18" s="6">
        <v>872.65429999999992</v>
      </c>
      <c r="M18" s="6">
        <v>58.85808500000001</v>
      </c>
      <c r="N18" s="6">
        <v>0</v>
      </c>
      <c r="O18" s="6">
        <v>931.51238499999988</v>
      </c>
      <c r="P18" s="6">
        <v>1103.6345900000001</v>
      </c>
      <c r="Q18" s="5">
        <f t="shared" ref="Q18" si="15">O18/P18*100</f>
        <v>84.404058502733207</v>
      </c>
    </row>
    <row r="19" spans="1:17" ht="17.100000000000001" customHeight="1" x14ac:dyDescent="0.25">
      <c r="A19" s="7" t="s">
        <v>28</v>
      </c>
      <c r="B19" s="8">
        <f>(B18-B15)/B15</f>
        <v>0.19677765347665124</v>
      </c>
      <c r="C19" s="8">
        <f t="shared" ref="C19:Q19" si="16">(C18-C15)/C15</f>
        <v>0.19919362064331153</v>
      </c>
      <c r="D19" s="8">
        <f t="shared" si="16"/>
        <v>0.21546476857778921</v>
      </c>
      <c r="E19" s="8">
        <f t="shared" si="16"/>
        <v>0.2404000762449833</v>
      </c>
      <c r="F19" s="8">
        <f t="shared" si="16"/>
        <v>0.25312193186875914</v>
      </c>
      <c r="G19" s="8">
        <f t="shared" si="16"/>
        <v>0.24023414050757569</v>
      </c>
      <c r="H19" s="8">
        <f t="shared" si="16"/>
        <v>1.0391417991371363E-2</v>
      </c>
      <c r="I19" s="8">
        <f t="shared" si="16"/>
        <v>-8.4424616637264221E-2</v>
      </c>
      <c r="J19" s="8" t="s">
        <v>27</v>
      </c>
      <c r="K19" s="8">
        <f t="shared" si="16"/>
        <v>-8.4424616637264221E-2</v>
      </c>
      <c r="L19" s="8">
        <f t="shared" si="16"/>
        <v>0.24736366810389937</v>
      </c>
      <c r="M19" s="8">
        <f t="shared" si="16"/>
        <v>-9.235977697416077E-2</v>
      </c>
      <c r="N19" s="8" t="s">
        <v>27</v>
      </c>
      <c r="O19" s="8">
        <f t="shared" si="16"/>
        <v>0.21854519793001428</v>
      </c>
      <c r="P19" s="8">
        <f t="shared" si="16"/>
        <v>0.2421734998527201</v>
      </c>
      <c r="Q19" s="8">
        <f t="shared" si="16"/>
        <v>-1.9021740461785199E-2</v>
      </c>
    </row>
    <row r="20" spans="1:17" ht="17.100000000000001" customHeight="1" x14ac:dyDescent="0.25">
      <c r="A20" s="9" t="s">
        <v>26</v>
      </c>
      <c r="B20" s="10">
        <f t="shared" ref="B20:Q20" si="17">(((B18/B6)^(1/4))-1)</f>
        <v>-2.3138378366226453E-3</v>
      </c>
      <c r="C20" s="10">
        <f t="shared" si="17"/>
        <v>-1.4314800977035302E-2</v>
      </c>
      <c r="D20" s="10">
        <f t="shared" si="17"/>
        <v>-3.3887458139146287E-2</v>
      </c>
      <c r="E20" s="10">
        <f t="shared" si="17"/>
        <v>4.4862724081193406E-2</v>
      </c>
      <c r="F20" s="10">
        <f t="shared" si="17"/>
        <v>1.1021881204013928E-2</v>
      </c>
      <c r="G20" s="10">
        <f>(((G18/G6)^(1/4))-1)</f>
        <v>-4.3615765410720542E-2</v>
      </c>
      <c r="H20" s="10">
        <f t="shared" si="17"/>
        <v>5.7129388627154443E-2</v>
      </c>
      <c r="I20" s="10">
        <f t="shared" si="17"/>
        <v>-4.7917526725140602E-2</v>
      </c>
      <c r="J20" s="10" t="s">
        <v>27</v>
      </c>
      <c r="K20" s="10">
        <f t="shared" si="17"/>
        <v>-4.7917526725140602E-2</v>
      </c>
      <c r="L20" s="10">
        <f t="shared" si="17"/>
        <v>9.8806242637925479E-3</v>
      </c>
      <c r="M20" s="10">
        <f t="shared" si="17"/>
        <v>-7.2439579635432794E-2</v>
      </c>
      <c r="N20" s="10" t="s">
        <v>27</v>
      </c>
      <c r="O20" s="10">
        <f t="shared" si="17"/>
        <v>3.5195187767249614E-3</v>
      </c>
      <c r="P20" s="10">
        <f t="shared" si="17"/>
        <v>-4.0156529750313474E-2</v>
      </c>
      <c r="Q20" s="10">
        <f t="shared" si="17"/>
        <v>4.5503303278894958E-2</v>
      </c>
    </row>
    <row r="21" spans="1:17" ht="17.100000000000001" customHeight="1" x14ac:dyDescent="0.25">
      <c r="A21" s="3" t="s">
        <v>24</v>
      </c>
      <c r="B21" s="4">
        <v>124380</v>
      </c>
      <c r="C21" s="4">
        <v>164328</v>
      </c>
      <c r="D21" s="4">
        <v>95149</v>
      </c>
      <c r="E21" s="4">
        <v>16130815</v>
      </c>
      <c r="F21" s="4">
        <v>14447.7345</v>
      </c>
      <c r="G21" s="4">
        <v>15254.328599999999</v>
      </c>
      <c r="H21" s="5">
        <f t="shared" ref="H21" si="18">F21/G21*100</f>
        <v>94.712359218484394</v>
      </c>
      <c r="I21" s="6">
        <v>66133.97</v>
      </c>
      <c r="J21" s="6">
        <v>0</v>
      </c>
      <c r="K21" s="6">
        <v>66133.97</v>
      </c>
      <c r="L21" s="6">
        <v>1083.5771000000002</v>
      </c>
      <c r="M21" s="6">
        <v>68.503299999999996</v>
      </c>
      <c r="N21" s="6">
        <v>0</v>
      </c>
      <c r="O21" s="6">
        <v>1152.0803999999998</v>
      </c>
      <c r="P21" s="6">
        <v>1329.2952</v>
      </c>
      <c r="Q21" s="5">
        <f t="shared" ref="Q21" si="19">O21/P21*100</f>
        <v>86.668514262294778</v>
      </c>
    </row>
    <row r="22" spans="1:17" ht="17.100000000000001" customHeight="1" x14ac:dyDescent="0.25">
      <c r="A22" s="7" t="s">
        <v>28</v>
      </c>
      <c r="B22" s="8">
        <f>(B21-B18)/B18</f>
        <v>0.19862386647264596</v>
      </c>
      <c r="C22" s="8">
        <f t="shared" ref="C22:Q22" si="20">(C21-C18)/C18</f>
        <v>0.22777603442865468</v>
      </c>
      <c r="D22" s="8">
        <f t="shared" si="20"/>
        <v>0.2207371538869089</v>
      </c>
      <c r="E22" s="8">
        <f t="shared" si="20"/>
        <v>0.21869452453029556</v>
      </c>
      <c r="F22" s="8">
        <f t="shared" si="20"/>
        <v>0.23613074341540252</v>
      </c>
      <c r="G22" s="8">
        <f t="shared" si="20"/>
        <v>0.21305126032176186</v>
      </c>
      <c r="H22" s="8">
        <f t="shared" si="20"/>
        <v>1.9025975116269103E-2</v>
      </c>
      <c r="I22" s="8">
        <f t="shared" si="20"/>
        <v>0.22527040296433537</v>
      </c>
      <c r="J22" s="8" t="s">
        <v>27</v>
      </c>
      <c r="K22" s="8">
        <f t="shared" si="20"/>
        <v>0.22527040296433537</v>
      </c>
      <c r="L22" s="8">
        <f t="shared" si="20"/>
        <v>0.24170258486092408</v>
      </c>
      <c r="M22" s="8">
        <f t="shared" si="20"/>
        <v>0.16387238898445278</v>
      </c>
      <c r="N22" s="8" t="s">
        <v>27</v>
      </c>
      <c r="O22" s="8">
        <f t="shared" si="20"/>
        <v>0.23678484425088989</v>
      </c>
      <c r="P22" s="8">
        <f t="shared" si="20"/>
        <v>0.20447040355993182</v>
      </c>
      <c r="Q22" s="8">
        <f t="shared" si="20"/>
        <v>2.6828754442989756E-2</v>
      </c>
    </row>
    <row r="23" spans="1:17" ht="17.100000000000001" customHeight="1" x14ac:dyDescent="0.25">
      <c r="A23" s="9" t="s">
        <v>26</v>
      </c>
      <c r="B23" s="10">
        <f t="shared" ref="B23:Q23" si="21">(((B21/B6)^(1/5))-1)</f>
        <v>3.4979488910931611E-2</v>
      </c>
      <c r="C23" s="10">
        <f t="shared" si="21"/>
        <v>2.994591302937577E-2</v>
      </c>
      <c r="D23" s="10">
        <f t="shared" si="21"/>
        <v>1.2387113840189201E-2</v>
      </c>
      <c r="E23" s="10">
        <f t="shared" si="21"/>
        <v>7.7522532499543439E-2</v>
      </c>
      <c r="F23" s="10">
        <f t="shared" si="21"/>
        <v>5.2498112188521073E-2</v>
      </c>
      <c r="G23" s="10">
        <f>(((G21/G6)^(1/5))-1)</f>
        <v>2.9557150551229316E-3</v>
      </c>
      <c r="H23" s="10">
        <f t="shared" si="21"/>
        <v>4.9396395463657372E-2</v>
      </c>
      <c r="I23" s="10">
        <f t="shared" si="21"/>
        <v>1.3503291433532016E-3</v>
      </c>
      <c r="J23" s="10" t="s">
        <v>27</v>
      </c>
      <c r="K23" s="10">
        <f t="shared" si="21"/>
        <v>1.3503291433532016E-3</v>
      </c>
      <c r="L23" s="10">
        <f t="shared" si="21"/>
        <v>5.2493806593722603E-2</v>
      </c>
      <c r="M23" s="10">
        <f t="shared" si="21"/>
        <v>-2.9367474957808115E-2</v>
      </c>
      <c r="N23" s="10" t="s">
        <v>27</v>
      </c>
      <c r="O23" s="10">
        <f t="shared" si="21"/>
        <v>4.6356051124247122E-2</v>
      </c>
      <c r="P23" s="10">
        <f t="shared" si="21"/>
        <v>4.429728903406982E-3</v>
      </c>
      <c r="Q23" s="10">
        <f t="shared" si="21"/>
        <v>4.1741419050403294E-2</v>
      </c>
    </row>
    <row r="24" spans="1:17" ht="17.100000000000001" customHeight="1" x14ac:dyDescent="0.25">
      <c r="A24" s="3" t="s">
        <v>29</v>
      </c>
      <c r="B24" s="4">
        <v>141316</v>
      </c>
      <c r="C24" s="4">
        <v>193973</v>
      </c>
      <c r="D24" s="4">
        <v>109732.59099999999</v>
      </c>
      <c r="E24" s="4">
        <v>17655832</v>
      </c>
      <c r="F24" s="4">
        <v>16034.203518</v>
      </c>
      <c r="G24" s="4">
        <v>17241.165756999999</v>
      </c>
      <c r="H24" s="5">
        <f t="shared" ref="H24" si="22">F24/G24*100</f>
        <v>92.999532305349092</v>
      </c>
      <c r="I24" s="6">
        <v>88974.290040000007</v>
      </c>
      <c r="J24" s="6">
        <v>0</v>
      </c>
      <c r="K24" s="6">
        <v>88974.290040000007</v>
      </c>
      <c r="L24" s="6">
        <v>1202.5638465</v>
      </c>
      <c r="M24" s="6">
        <v>90.092035199999998</v>
      </c>
      <c r="N24" s="6">
        <v>0</v>
      </c>
      <c r="O24" s="6">
        <v>1292.6558817000002</v>
      </c>
      <c r="P24" s="6">
        <v>1504.885256</v>
      </c>
      <c r="Q24" s="5">
        <f t="shared" ref="Q24" si="23">O24/P24*100</f>
        <v>85.897305229495871</v>
      </c>
    </row>
    <row r="25" spans="1:17" ht="17.100000000000001" customHeight="1" x14ac:dyDescent="0.25">
      <c r="A25" s="7" t="s">
        <v>28</v>
      </c>
      <c r="B25" s="8">
        <f>(B24-B21)/B21</f>
        <v>0.1361633703167712</v>
      </c>
      <c r="C25" s="8">
        <f t="shared" ref="C25:Q25" si="24">(C24-C21)/C21</f>
        <v>0.18040139233727667</v>
      </c>
      <c r="D25" s="8">
        <f t="shared" si="24"/>
        <v>0.15327109060526106</v>
      </c>
      <c r="E25" s="8">
        <f t="shared" si="24"/>
        <v>9.4540604426992678E-2</v>
      </c>
      <c r="F25" s="8">
        <f t="shared" si="24"/>
        <v>0.10980745929405054</v>
      </c>
      <c r="G25" s="8">
        <f t="shared" si="24"/>
        <v>0.13024743396441585</v>
      </c>
      <c r="H25" s="8">
        <f t="shared" si="24"/>
        <v>-1.8084513227931726E-2</v>
      </c>
      <c r="I25" s="8">
        <f t="shared" si="24"/>
        <v>0.34536441771150295</v>
      </c>
      <c r="J25" s="8" t="s">
        <v>27</v>
      </c>
      <c r="K25" s="8">
        <f t="shared" si="24"/>
        <v>0.34536441771150295</v>
      </c>
      <c r="L25" s="8">
        <f t="shared" si="24"/>
        <v>0.10980921108428715</v>
      </c>
      <c r="M25" s="8">
        <f t="shared" si="24"/>
        <v>0.31514883516560521</v>
      </c>
      <c r="N25" s="8" t="s">
        <v>27</v>
      </c>
      <c r="O25" s="8">
        <f t="shared" si="24"/>
        <v>0.12201881196833175</v>
      </c>
      <c r="P25" s="8">
        <f t="shared" si="24"/>
        <v>0.1320925976412162</v>
      </c>
      <c r="Q25" s="8">
        <f t="shared" si="24"/>
        <v>-8.898376063825323E-3</v>
      </c>
    </row>
    <row r="26" spans="1:17" ht="17.100000000000001" customHeight="1" x14ac:dyDescent="0.25">
      <c r="A26" s="9" t="s">
        <v>26</v>
      </c>
      <c r="B26" s="10">
        <f t="shared" ref="B26:Q26" si="25">(((B24/B6)^(1/6))-1)</f>
        <v>5.1194911255844744E-2</v>
      </c>
      <c r="C26" s="10">
        <f t="shared" si="25"/>
        <v>5.3619098631973339E-2</v>
      </c>
      <c r="D26" s="10">
        <f t="shared" si="25"/>
        <v>3.4611754180595478E-2</v>
      </c>
      <c r="E26" s="10">
        <f t="shared" si="25"/>
        <v>8.0340390814216178E-2</v>
      </c>
      <c r="F26" s="10">
        <f t="shared" si="25"/>
        <v>6.1839909886313826E-2</v>
      </c>
      <c r="G26" s="10">
        <f>(((G24/G6)^(1/6))-1)</f>
        <v>2.3128979894576851E-2</v>
      </c>
      <c r="H26" s="10">
        <f t="shared" si="25"/>
        <v>3.7835825934405376E-2</v>
      </c>
      <c r="I26" s="10">
        <f t="shared" si="25"/>
        <v>5.1869091013868163E-2</v>
      </c>
      <c r="J26" s="10" t="s">
        <v>27</v>
      </c>
      <c r="K26" s="10">
        <f t="shared" si="25"/>
        <v>5.1869091013868163E-2</v>
      </c>
      <c r="L26" s="10">
        <f t="shared" si="25"/>
        <v>6.1836569387698326E-2</v>
      </c>
      <c r="M26" s="10">
        <f t="shared" si="25"/>
        <v>2.1037087668116738E-2</v>
      </c>
      <c r="N26" s="10" t="s">
        <v>27</v>
      </c>
      <c r="O26" s="10">
        <f t="shared" si="25"/>
        <v>5.8602539690573829E-2</v>
      </c>
      <c r="P26" s="10">
        <f t="shared" si="25"/>
        <v>2.4660411171725016E-2</v>
      </c>
      <c r="Q26" s="10">
        <f t="shared" si="25"/>
        <v>3.3125246324326341E-2</v>
      </c>
    </row>
    <row r="27" spans="1:17" ht="17.100000000000001" customHeight="1" x14ac:dyDescent="0.25">
      <c r="A27" s="3" t="s">
        <v>33</v>
      </c>
      <c r="B27" s="4">
        <v>176599</v>
      </c>
      <c r="C27" s="4">
        <v>257936.91666666669</v>
      </c>
      <c r="D27" s="4">
        <v>152262.07299999997</v>
      </c>
      <c r="E27" s="4">
        <v>21989717</v>
      </c>
      <c r="F27" s="4">
        <v>21697.095179000004</v>
      </c>
      <c r="G27" s="4">
        <v>23580.343010999997</v>
      </c>
      <c r="H27" s="5">
        <v>92.013484150245489</v>
      </c>
      <c r="I27" s="11">
        <v>131029.344396053</v>
      </c>
      <c r="J27" s="6">
        <v>0</v>
      </c>
      <c r="K27" s="6">
        <v>131029.344396053</v>
      </c>
      <c r="L27" s="6">
        <v>1627.2819672449996</v>
      </c>
      <c r="M27" s="6">
        <v>132.91885040999992</v>
      </c>
      <c r="N27" s="6">
        <v>0</v>
      </c>
      <c r="O27" s="6">
        <v>1760.2008176549998</v>
      </c>
      <c r="P27" s="6">
        <v>2104.6010529999999</v>
      </c>
      <c r="Q27" s="5">
        <v>83.635842296378442</v>
      </c>
    </row>
    <row r="28" spans="1:17" ht="17.100000000000001" customHeight="1" x14ac:dyDescent="0.25">
      <c r="A28" s="7" t="s">
        <v>28</v>
      </c>
      <c r="B28" s="8">
        <f>(B27-B24)/B24</f>
        <v>0.24967448838065046</v>
      </c>
      <c r="C28" s="8">
        <f t="shared" ref="C28:Q28" si="26">(C27-C24)/C24</f>
        <v>0.32975680464119589</v>
      </c>
      <c r="D28" s="8">
        <f t="shared" si="26"/>
        <v>0.38757384303447273</v>
      </c>
      <c r="E28" s="8">
        <f t="shared" si="26"/>
        <v>0.24546478466718533</v>
      </c>
      <c r="F28" s="8">
        <f t="shared" si="26"/>
        <v>0.35317573801797136</v>
      </c>
      <c r="G28" s="8">
        <f t="shared" si="26"/>
        <v>0.36767683481183755</v>
      </c>
      <c r="H28" s="8">
        <f t="shared" si="26"/>
        <v>-1.0602721655266736E-2</v>
      </c>
      <c r="I28" s="8">
        <f t="shared" si="26"/>
        <v>0.47266524225308659</v>
      </c>
      <c r="J28" s="8" t="s">
        <v>27</v>
      </c>
      <c r="K28" s="8">
        <f t="shared" si="26"/>
        <v>0.47266524225308659</v>
      </c>
      <c r="L28" s="8">
        <f t="shared" si="26"/>
        <v>0.35317719053430702</v>
      </c>
      <c r="M28" s="8">
        <f t="shared" si="26"/>
        <v>0.47536738530688583</v>
      </c>
      <c r="N28" s="8" t="s">
        <v>27</v>
      </c>
      <c r="O28" s="8">
        <f t="shared" si="26"/>
        <v>0.36169327241223775</v>
      </c>
      <c r="P28" s="8">
        <f t="shared" si="26"/>
        <v>0.39851264048798668</v>
      </c>
      <c r="Q28" s="8">
        <f t="shared" si="26"/>
        <v>-2.632751897251458E-2</v>
      </c>
    </row>
    <row r="29" spans="1:17" ht="17.100000000000001" customHeight="1" x14ac:dyDescent="0.25">
      <c r="A29" s="9" t="s">
        <v>26</v>
      </c>
      <c r="B29" s="10">
        <f t="shared" ref="B29:Q29" si="27">(((B27/B6)^(1/7))-1)</f>
        <v>7.7491299101270172E-2</v>
      </c>
      <c r="C29" s="10">
        <f t="shared" si="27"/>
        <v>8.9243209261605783E-2</v>
      </c>
      <c r="D29" s="10">
        <f t="shared" si="27"/>
        <v>7.8918526114270415E-2</v>
      </c>
      <c r="E29" s="10">
        <f t="shared" si="27"/>
        <v>0.10251630008605384</v>
      </c>
      <c r="F29" s="10">
        <f t="shared" si="27"/>
        <v>9.9261986553385029E-2</v>
      </c>
      <c r="G29" s="10">
        <f>(((G27/G6)^(1/7))-1)</f>
        <v>6.6443797140923966E-2</v>
      </c>
      <c r="H29" s="10">
        <f t="shared" si="27"/>
        <v>3.077348239114408E-2</v>
      </c>
      <c r="I29" s="10">
        <f t="shared" si="27"/>
        <v>0.10366983104945349</v>
      </c>
      <c r="J29" s="10" t="s">
        <v>27</v>
      </c>
      <c r="K29" s="10">
        <f t="shared" si="27"/>
        <v>0.10366983104945349</v>
      </c>
      <c r="L29" s="10">
        <f t="shared" si="27"/>
        <v>9.9259190923863594E-2</v>
      </c>
      <c r="M29" s="10">
        <f t="shared" si="27"/>
        <v>7.6164022814837251E-2</v>
      </c>
      <c r="N29" s="10" t="s">
        <v>27</v>
      </c>
      <c r="O29" s="10">
        <f t="shared" si="27"/>
        <v>9.7371912611669886E-2</v>
      </c>
      <c r="P29" s="10">
        <f t="shared" si="27"/>
        <v>7.1218390151276179E-2</v>
      </c>
      <c r="Q29" s="10">
        <f t="shared" si="27"/>
        <v>2.4414743716918874E-2</v>
      </c>
    </row>
    <row r="30" spans="1:17" ht="17.100000000000001" customHeight="1" x14ac:dyDescent="0.25">
      <c r="A30" s="3" t="s">
        <v>35</v>
      </c>
      <c r="B30" s="4">
        <v>67777</v>
      </c>
      <c r="C30" s="4">
        <v>102358.01333333334</v>
      </c>
      <c r="D30" s="4">
        <v>61586.309000000008</v>
      </c>
      <c r="E30" s="4">
        <v>7086585</v>
      </c>
      <c r="F30" s="4">
        <f>7396950.147/1000</f>
        <v>7396.9501469999996</v>
      </c>
      <c r="G30" s="4">
        <f>9777403.177/1000</f>
        <v>9777.4031769999983</v>
      </c>
      <c r="H30" s="5">
        <v>75.653524899129749</v>
      </c>
      <c r="I30" s="11">
        <v>54420.325577869422</v>
      </c>
      <c r="J30" s="6">
        <v>0</v>
      </c>
      <c r="K30" s="6">
        <v>54420.325577869422</v>
      </c>
      <c r="L30" s="6">
        <f>554914.46098/1000</f>
        <v>554.91446097999994</v>
      </c>
      <c r="M30" s="6">
        <f>55652.05035396/1000</f>
        <v>55.65205035396</v>
      </c>
      <c r="N30" s="6">
        <v>0</v>
      </c>
      <c r="O30" s="6">
        <f>610566.51133396/1000</f>
        <v>610.56651133395997</v>
      </c>
      <c r="P30" s="6">
        <f>850405.734/1000</f>
        <v>850.40573400000005</v>
      </c>
      <c r="Q30" s="5">
        <v>71.797083077283233</v>
      </c>
    </row>
    <row r="31" spans="1:17" ht="17.100000000000001" customHeight="1" x14ac:dyDescent="0.25">
      <c r="A31" s="7" t="s">
        <v>28</v>
      </c>
      <c r="B31" s="8">
        <f>(B30-B27)/B27</f>
        <v>-0.61620960481089926</v>
      </c>
      <c r="C31" s="8">
        <f t="shared" ref="C31:Q31" si="28">(C30-C27)/C27</f>
        <v>-0.60316648482849333</v>
      </c>
      <c r="D31" s="8">
        <f t="shared" si="28"/>
        <v>-0.59552429711107358</v>
      </c>
      <c r="E31" s="8">
        <f t="shared" si="28"/>
        <v>-0.67773186894583504</v>
      </c>
      <c r="F31" s="8">
        <f t="shared" si="28"/>
        <v>-0.6590810850035218</v>
      </c>
      <c r="G31" s="8">
        <f t="shared" si="28"/>
        <v>-0.58535789015287287</v>
      </c>
      <c r="H31" s="8">
        <f t="shared" si="28"/>
        <v>-0.17779958450874606</v>
      </c>
      <c r="I31" s="8">
        <f t="shared" si="28"/>
        <v>-0.58467070236284613</v>
      </c>
      <c r="J31" s="8" t="s">
        <v>27</v>
      </c>
      <c r="K31" s="8">
        <f t="shared" si="28"/>
        <v>-0.58467070236284613</v>
      </c>
      <c r="L31" s="8">
        <f t="shared" si="28"/>
        <v>-0.65899304966829175</v>
      </c>
      <c r="M31" s="8">
        <f t="shared" si="28"/>
        <v>-0.58130806742387298</v>
      </c>
      <c r="N31" s="8" t="s">
        <v>27</v>
      </c>
      <c r="O31" s="8">
        <f t="shared" si="28"/>
        <v>-0.65312678802900581</v>
      </c>
      <c r="P31" s="8">
        <f t="shared" si="28"/>
        <v>-0.59593019646750123</v>
      </c>
      <c r="Q31" s="8">
        <f t="shared" si="28"/>
        <v>-0.14155126431491497</v>
      </c>
    </row>
    <row r="32" spans="1:17" ht="17.100000000000001" customHeight="1" x14ac:dyDescent="0.25">
      <c r="A32" s="9" t="s">
        <v>26</v>
      </c>
      <c r="B32" s="10">
        <f>(((B30/B6)^(1/8))-1)</f>
        <v>-5.2948027182366686E-2</v>
      </c>
      <c r="C32" s="10">
        <f t="shared" ref="C32:Q32" si="29">(((C30/C6)^(1/8))-1)</f>
        <v>-3.9913647193371982E-2</v>
      </c>
      <c r="D32" s="10">
        <f t="shared" si="29"/>
        <v>-4.560836559407544E-2</v>
      </c>
      <c r="E32" s="10">
        <f t="shared" si="29"/>
        <v>-5.4603344300055867E-2</v>
      </c>
      <c r="F32" s="10">
        <f t="shared" si="29"/>
        <v>-5.0390729148736213E-2</v>
      </c>
      <c r="G32" s="10">
        <f>(((G30/G6)^(1/8))-1)</f>
        <v>-5.2334867942460006E-2</v>
      </c>
      <c r="H32" s="10">
        <f t="shared" si="29"/>
        <v>2.0515039837993854E-3</v>
      </c>
      <c r="I32" s="10">
        <f t="shared" si="29"/>
        <v>-2.3250166707714071E-2</v>
      </c>
      <c r="J32" s="10" t="s">
        <v>27</v>
      </c>
      <c r="K32" s="10">
        <f t="shared" si="29"/>
        <v>-2.3250166707714071E-2</v>
      </c>
      <c r="L32" s="10">
        <f t="shared" si="29"/>
        <v>-5.0362193689043933E-2</v>
      </c>
      <c r="M32" s="10">
        <f t="shared" si="29"/>
        <v>-4.3620002056689477E-2</v>
      </c>
      <c r="N32" s="10" t="s">
        <v>27</v>
      </c>
      <c r="O32" s="10">
        <f t="shared" si="29"/>
        <v>-4.9765147394330245E-2</v>
      </c>
      <c r="P32" s="10">
        <f t="shared" si="29"/>
        <v>-5.1690029145310845E-2</v>
      </c>
      <c r="Q32" s="10">
        <f t="shared" si="29"/>
        <v>2.029802290537841E-3</v>
      </c>
    </row>
    <row r="33" spans="1:17" x14ac:dyDescent="0.25">
      <c r="A33" s="3" t="s">
        <v>36</v>
      </c>
      <c r="B33" s="4">
        <v>78019</v>
      </c>
      <c r="C33" s="4">
        <v>119420.24999999999</v>
      </c>
      <c r="D33" s="4">
        <v>69635.927999999985</v>
      </c>
      <c r="E33" s="4">
        <v>8386574</v>
      </c>
      <c r="F33" s="4">
        <v>8400.646342</v>
      </c>
      <c r="G33" s="4">
        <v>10442.520477</v>
      </c>
      <c r="H33" s="5">
        <v>80.446539324511775</v>
      </c>
      <c r="I33" s="11">
        <v>40691.670199999993</v>
      </c>
      <c r="J33" s="6"/>
      <c r="K33" s="6">
        <v>40691.670199999993</v>
      </c>
      <c r="L33" s="6">
        <v>630.0473654000001</v>
      </c>
      <c r="M33" s="6">
        <v>47.627665745659982</v>
      </c>
      <c r="N33" s="6"/>
      <c r="O33" s="6">
        <v>677.67503114566</v>
      </c>
      <c r="P33" s="6">
        <v>933.5523465</v>
      </c>
      <c r="Q33" s="5">
        <v>72.591005066437376</v>
      </c>
    </row>
    <row r="34" spans="1:17" ht="30.75" customHeight="1" x14ac:dyDescent="0.25">
      <c r="A34" s="7" t="s">
        <v>28</v>
      </c>
      <c r="B34" s="8">
        <f>(B33-B30)/B30</f>
        <v>0.15111320949584667</v>
      </c>
      <c r="C34" s="8">
        <f t="shared" ref="C34:Q34" si="30">(C33-C30)/C30</f>
        <v>0.16669175290753965</v>
      </c>
      <c r="D34" s="8">
        <f t="shared" si="30"/>
        <v>0.13070468308142927</v>
      </c>
      <c r="E34" s="8">
        <f t="shared" si="30"/>
        <v>0.18344364739857069</v>
      </c>
      <c r="F34" s="8">
        <f t="shared" si="30"/>
        <v>0.13569054475878442</v>
      </c>
      <c r="G34" s="8">
        <f t="shared" si="30"/>
        <v>6.8025966400219545E-2</v>
      </c>
      <c r="H34" s="8">
        <f t="shared" si="30"/>
        <v>6.3354806425379925E-2</v>
      </c>
      <c r="I34" s="8">
        <f t="shared" si="30"/>
        <v>-0.25227073215916823</v>
      </c>
      <c r="J34" s="8" t="s">
        <v>27</v>
      </c>
      <c r="K34" s="8">
        <f t="shared" si="30"/>
        <v>-0.25227073215916823</v>
      </c>
      <c r="L34" s="8">
        <f t="shared" si="30"/>
        <v>0.13539547029881435</v>
      </c>
      <c r="M34" s="8">
        <f t="shared" si="30"/>
        <v>-0.14418848105798551</v>
      </c>
      <c r="N34" s="8" t="s">
        <v>27</v>
      </c>
      <c r="O34" s="8">
        <f t="shared" si="30"/>
        <v>0.10991189095039289</v>
      </c>
      <c r="P34" s="8">
        <f t="shared" si="30"/>
        <v>9.7772873789207002E-2</v>
      </c>
      <c r="Q34" s="8">
        <f t="shared" si="30"/>
        <v>1.1057858552548098E-2</v>
      </c>
    </row>
    <row r="35" spans="1:17" x14ac:dyDescent="0.25">
      <c r="A35" s="9" t="s">
        <v>26</v>
      </c>
      <c r="B35" s="10">
        <f>(((B33/B6)^(1/9))-1)</f>
        <v>-3.2190595312796E-2</v>
      </c>
      <c r="C35" s="10">
        <f t="shared" ref="C35:Q35" si="31">(((C33/C6)^(1/9))-1)</f>
        <v>-1.8895226326361869E-2</v>
      </c>
      <c r="D35" s="10">
        <f t="shared" si="31"/>
        <v>-2.746126186454001E-2</v>
      </c>
      <c r="E35" s="10">
        <f t="shared" si="31"/>
        <v>-3.0715831082534173E-2</v>
      </c>
      <c r="F35" s="10">
        <f t="shared" si="31"/>
        <v>-3.132084773968391E-2</v>
      </c>
      <c r="G35" s="10">
        <f>(((G33/G6)^(1/9))-1)</f>
        <v>-3.966101737236305E-2</v>
      </c>
      <c r="H35" s="10">
        <f t="shared" si="31"/>
        <v>8.6846101049227187E-3</v>
      </c>
      <c r="I35" s="10">
        <f t="shared" si="31"/>
        <v>-5.1821447732700365E-2</v>
      </c>
      <c r="J35" s="10" t="s">
        <v>27</v>
      </c>
      <c r="K35" s="10">
        <f t="shared" si="31"/>
        <v>-5.1821447732700365E-2</v>
      </c>
      <c r="L35" s="10">
        <f t="shared" si="31"/>
        <v>-3.132294216274456E-2</v>
      </c>
      <c r="M35" s="10">
        <f t="shared" si="31"/>
        <v>-5.5353952956075037E-2</v>
      </c>
      <c r="N35" s="10" t="s">
        <v>27</v>
      </c>
      <c r="O35" s="10">
        <f t="shared" si="31"/>
        <v>-3.3223158593549296E-2</v>
      </c>
      <c r="P35" s="10">
        <f t="shared" si="31"/>
        <v>-3.614261078729275E-2</v>
      </c>
      <c r="Q35" s="10">
        <f t="shared" si="31"/>
        <v>3.028925468038457E-3</v>
      </c>
    </row>
    <row r="36" spans="1:17" x14ac:dyDescent="0.25">
      <c r="A36" s="3" t="s">
        <v>37</v>
      </c>
      <c r="B36" s="4">
        <v>84805</v>
      </c>
      <c r="C36" s="4">
        <v>124714.85066666667</v>
      </c>
      <c r="D36" s="4">
        <v>87276.191666666651</v>
      </c>
      <c r="E36" s="4">
        <v>10749350</v>
      </c>
      <c r="F36" s="4">
        <v>11097.522917</v>
      </c>
      <c r="G36" s="4">
        <v>12518.877962999999</v>
      </c>
      <c r="H36" s="5">
        <f>F36/G36*100</f>
        <v>88.64630640061462</v>
      </c>
      <c r="I36" s="11">
        <v>44905.180169999992</v>
      </c>
      <c r="J36" s="6"/>
      <c r="K36" s="6">
        <v>44905.180169999992</v>
      </c>
      <c r="L36" s="6">
        <v>832.31421877499986</v>
      </c>
      <c r="M36" s="6">
        <v>54.911437208649993</v>
      </c>
      <c r="N36" s="6"/>
      <c r="O36" s="6">
        <v>887.22565598364997</v>
      </c>
      <c r="P36" s="6">
        <v>1163.0691715</v>
      </c>
      <c r="Q36" s="23">
        <f>O36/P36</f>
        <v>0.76283137557450942</v>
      </c>
    </row>
    <row r="37" spans="1:17" x14ac:dyDescent="0.25">
      <c r="A37" s="7" t="s">
        <v>25</v>
      </c>
      <c r="B37" s="8">
        <f>(B36-B33)/B33</f>
        <v>8.6978812853279325E-2</v>
      </c>
      <c r="C37" s="8">
        <f t="shared" ref="C37:I37" si="32">(C36-C33)/C33</f>
        <v>4.4335869893646018E-2</v>
      </c>
      <c r="D37" s="8">
        <f t="shared" si="32"/>
        <v>0.25332129797518704</v>
      </c>
      <c r="E37" s="8">
        <f t="shared" si="32"/>
        <v>0.28173316064462078</v>
      </c>
      <c r="F37" s="8">
        <f t="shared" si="32"/>
        <v>0.32103203315638401</v>
      </c>
      <c r="G37" s="8">
        <f t="shared" si="32"/>
        <v>0.19883681248921137</v>
      </c>
      <c r="H37" s="8">
        <f t="shared" si="32"/>
        <v>0.10192815185033577</v>
      </c>
      <c r="I37" s="8">
        <f t="shared" si="32"/>
        <v>0.10354723581731969</v>
      </c>
      <c r="J37" s="8" t="s">
        <v>27</v>
      </c>
      <c r="K37" s="8">
        <f t="shared" ref="K37:M37" si="33">(K36-K33)/K33</f>
        <v>0.10354723581731969</v>
      </c>
      <c r="L37" s="8">
        <f t="shared" si="33"/>
        <v>0.32103436103821492</v>
      </c>
      <c r="M37" s="8">
        <f t="shared" si="33"/>
        <v>0.1529315230749837</v>
      </c>
      <c r="N37" s="8" t="s">
        <v>27</v>
      </c>
      <c r="O37" s="8">
        <f t="shared" ref="O37:Q37" si="34">(O36-O33)/O33</f>
        <v>0.30921992873742016</v>
      </c>
      <c r="P37" s="8">
        <f t="shared" si="34"/>
        <v>0.24585319276469736</v>
      </c>
      <c r="Q37" s="8">
        <f t="shared" si="34"/>
        <v>-0.98949137878892379</v>
      </c>
    </row>
    <row r="38" spans="1:17" x14ac:dyDescent="0.25">
      <c r="A38" s="9" t="s">
        <v>26</v>
      </c>
      <c r="B38" s="10">
        <f>(((B36/B6)^(1/10))-1)</f>
        <v>-2.0886672489467295E-2</v>
      </c>
      <c r="C38" s="10">
        <f t="shared" ref="C38:Q38" si="35">(((C36/C6)^(1/10))-1)</f>
        <v>-1.2748347281085759E-2</v>
      </c>
      <c r="D38" s="10">
        <f t="shared" si="35"/>
        <v>-2.4780515996122299E-3</v>
      </c>
      <c r="E38" s="10">
        <f t="shared" si="35"/>
        <v>-3.2510894416553082E-3</v>
      </c>
      <c r="F38" s="10">
        <f t="shared" si="35"/>
        <v>-7.9800470853996774E-4</v>
      </c>
      <c r="G38" s="10">
        <f>(((G36/G6)^(1/10))-1)</f>
        <v>-1.8120688184932732E-2</v>
      </c>
      <c r="H38" s="10">
        <f t="shared" si="35"/>
        <v>1.7642375460962256E-2</v>
      </c>
      <c r="I38" s="10">
        <f t="shared" si="35"/>
        <v>-3.7323861231068234E-2</v>
      </c>
      <c r="J38" s="10"/>
      <c r="K38" s="10">
        <f t="shared" si="35"/>
        <v>-3.7323861231068234E-2</v>
      </c>
      <c r="L38" s="10">
        <f t="shared" si="35"/>
        <v>-7.9977300898104176E-4</v>
      </c>
      <c r="M38" s="10">
        <f t="shared" si="35"/>
        <v>-3.6342841761553002E-2</v>
      </c>
      <c r="N38" s="10"/>
      <c r="O38" s="10">
        <f t="shared" si="35"/>
        <v>-3.4596787832016362E-3</v>
      </c>
      <c r="P38" s="10">
        <f t="shared" si="35"/>
        <v>-1.1086763354901108E-2</v>
      </c>
      <c r="Q38" s="10">
        <f t="shared" si="35"/>
        <v>-0.36417633879033173</v>
      </c>
    </row>
    <row r="39" spans="1:17" x14ac:dyDescent="0.25">
      <c r="A39" s="14" t="s">
        <v>32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spans="1:17" ht="28.5" customHeight="1" x14ac:dyDescent="0.25">
      <c r="A40" s="12" t="s">
        <v>38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</row>
  </sheetData>
  <mergeCells count="14">
    <mergeCell ref="A40:Q40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P4:P5"/>
    <mergeCell ref="Q4:Q5"/>
  </mergeCells>
  <pageMargins left="0.70866141732283472" right="0.70866141732283472" top="0.74803149606299213" bottom="0.74803149606299213" header="0.31496062992125984" footer="0.31496062992125984"/>
  <pageSetup paperSize="9"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SPICE JET</vt:lpstr>
      <vt:lpstr>'SPICE JET'!Print_Titles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2022-04-26T05:58:11Z</cp:lastPrinted>
  <dcterms:created xsi:type="dcterms:W3CDTF">2018-10-29T04:00:14Z</dcterms:created>
  <dcterms:modified xsi:type="dcterms:W3CDTF">2023-09-20T06:49:22Z</dcterms:modified>
</cp:coreProperties>
</file>