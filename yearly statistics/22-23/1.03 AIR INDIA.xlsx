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Yearly publication\2022-23\FINALupdated 26-09-2023\Annual tables 22_23\AIR INDIA\"/>
    </mc:Choice>
  </mc:AlternateContent>
  <bookViews>
    <workbookView xWindow="0" yWindow="0" windowWidth="17070" windowHeight="9660"/>
  </bookViews>
  <sheets>
    <sheet name="AIR INDIA" sheetId="1" r:id="rId1"/>
  </sheets>
  <definedNames>
    <definedName name="_xlnm.Print_Area" localSheetId="0">'AIR INDIA'!$A$1:$Q$19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7" i="1" l="1"/>
  <c r="Q16" i="1"/>
  <c r="Q15" i="1"/>
  <c r="Q14" i="1"/>
  <c r="Q13" i="1"/>
  <c r="Q12" i="1"/>
  <c r="Q11" i="1"/>
  <c r="Q10" i="1"/>
  <c r="Q9" i="1"/>
  <c r="Q8" i="1"/>
  <c r="Q7" i="1"/>
  <c r="Q6" i="1"/>
  <c r="H17" i="1"/>
  <c r="H16" i="1"/>
  <c r="H15" i="1"/>
  <c r="H14" i="1"/>
  <c r="H13" i="1"/>
  <c r="H12" i="1"/>
  <c r="H11" i="1"/>
  <c r="H10" i="1"/>
  <c r="H9" i="1"/>
  <c r="H8" i="1"/>
  <c r="H7" i="1"/>
  <c r="H6" i="1"/>
  <c r="P18" i="1" l="1"/>
  <c r="O18" i="1"/>
  <c r="Q18" i="1" s="1"/>
  <c r="N18" i="1"/>
  <c r="M18" i="1"/>
  <c r="L18" i="1"/>
  <c r="K18" i="1"/>
  <c r="J18" i="1"/>
  <c r="I18" i="1"/>
  <c r="G18" i="1"/>
  <c r="F18" i="1"/>
  <c r="H18" i="1" s="1"/>
  <c r="E18" i="1"/>
  <c r="D18" i="1"/>
  <c r="C18" i="1"/>
  <c r="B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<sst xmlns="http://schemas.openxmlformats.org/spreadsheetml/2006/main" count="26" uniqueCount="24">
  <si>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</si>
  <si>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</si>
  <si>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</si>
  <si>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</si>
  <si>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</si>
  <si>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</si>
  <si>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</si>
  <si>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</si>
  <si>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</si>
  <si>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</si>
  <si>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</si>
  <si>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</si>
  <si>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</si>
  <si>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</si>
  <si>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</si>
  <si>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</si>
  <si>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</si>
  <si>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</si>
  <si>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</si>
  <si>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AIR INDIA</t>
  </si>
  <si>
    <t>तालिका 1.03 एयर इंडिया (राष्ट्रीय)</t>
  </si>
  <si>
    <t>MONTHLY TRAFFIC AND OPERATING STATISTICS OF AIR INDIA ON SCHEDULED (DOMESTIC + INTERNATIONAL) SERVICES DURING 2022-23</t>
  </si>
  <si>
    <t>2022-23</t>
  </si>
  <si>
    <t>Table 1.03 AIR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</si>
</sst>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68" formatCode="[$-1010409]mm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2">
    <xf numFmtId="0" fontId="0" fillId="0" borderId="0" xfId="0"/>
    <xf numFmtId="0" fontId="0" fillId="0" borderId="0" xfId="0" applyFont="1"/>
    <xf numFmtId="165" fontId="1" fillId="3" borderId="1" xfId="3" applyNumberFormat="1" applyBorder="1" applyAlignment="1">
      <alignment horizontal="right" vertical="center"/>
    </xf>
    <xf numFmtId="166" fontId="1" fillId="3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0" fontId="2" fillId="3" borderId="1" xfId="3" applyFont="1" applyBorder="1" applyAlignment="1" applyProtection="1">
      <alignment horizontal="center" vertical="center" wrapText="1"/>
    </xf>
    <xf numFmtId="3" fontId="2" fillId="3" borderId="1" xfId="3" applyNumberFormat="1" applyFont="1" applyBorder="1" applyAlignment="1" applyProtection="1">
      <alignment horizontal="right" vertical="center" wrapText="1"/>
    </xf>
    <xf numFmtId="167" fontId="2" fillId="3" borderId="1" xfId="3" applyNumberFormat="1" applyFont="1" applyBorder="1" applyAlignment="1" applyProtection="1">
      <alignment horizontal="right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6" fontId="1" fillId="5" borderId="1" xfId="3" applyNumberFormat="1" applyFill="1" applyBorder="1" applyAlignment="1">
      <alignment horizontal="right" vertical="center"/>
    </xf>
    <xf numFmtId="167" fontId="2" fillId="5" borderId="1" xfId="3" applyNumberFormat="1" applyFont="1" applyFill="1" applyBorder="1" applyAlignment="1" applyProtection="1">
      <alignment horizontal="right" vertical="center" wrapText="1"/>
    </xf>
    <xf numFmtId="168" fontId="1" fillId="3" borderId="1" xfId="3" applyNumberFormat="1" applyBorder="1" applyAlignment="1" applyProtection="1">
      <alignment horizontal="center" vertical="center" wrapText="1"/>
    </xf>
    <xf numFmtId="168" fontId="4" fillId="4" borderId="1" xfId="0" applyNumberFormat="1" applyFont="1" applyFill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Q19"/>
  <sheetViews>
    <sheetView tabSelected="1" topLeftCell="A16" zoomScale="98" zoomScaleNormal="98" zoomScaleSheetLayoutView="98" workbookViewId="0">
      <selection activeCell="K5" sqref="K5"/>
    </sheetView>
  </sheetViews>
  <sheetFormatPr defaultColWidth="9.140625" defaultRowHeight="15" x14ac:dyDescent="0.25"/>
  <cols>
    <col min="1" max="1" width="14.85546875" style="1" customWidth="1"/>
    <col min="2" max="2" width="9.5703125" style="1" customWidth="1"/>
    <col min="3" max="3" width="9.28515625" style="1" customWidth="1"/>
    <col min="4" max="4" width="9.85546875" style="1" customWidth="1"/>
    <col min="5" max="5" width="11.5703125" style="1" customWidth="1"/>
    <col min="6" max="7" width="8.28515625" style="1" customWidth="1"/>
    <col min="8" max="8" width="7.28515625" style="1" customWidth="1"/>
    <col min="9" max="9" width="9.85546875" style="1" customWidth="1"/>
    <col min="10" max="10" width="9" style="1" customWidth="1"/>
    <col min="11" max="11" width="9.7109375" style="1" customWidth="1"/>
    <col min="12" max="12" width="8.7109375" style="1" customWidth="1"/>
    <col min="13" max="13" width="7.28515625" style="1" customWidth="1"/>
    <col min="14" max="14" width="7.140625" style="1" customWidth="1"/>
    <col min="15" max="15" width="8.5703125" style="1" customWidth="1"/>
    <col min="16" max="16" width="8.7109375" style="1" customWidth="1"/>
    <col min="17" max="17" width="7" style="1" customWidth="1"/>
    <col min="18" max="16384" width="9.140625" style="1"/>
  </cols>
  <sheetData>
    <row r="1" spans="1:17" ht="18.75" customHeight="1" x14ac:dyDescent="0.25">
      <c r="A1" s="17" t="s">
        <v>20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18.75" customHeight="1" x14ac:dyDescent="0.25">
      <c r="A2" s="18" t="s">
        <v>23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18.75" customHeight="1" x14ac:dyDescent="0.25">
      <c r="A3" s="20" t="s">
        <v>21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ht="27" customHeight="1" x14ac:dyDescent="0.25">
      <c r="A4" s="20" t="s">
        <v>0</v>
      </c>
      <c r="B4" s="20" t="s">
        <v>1</v>
      </c>
      <c r="C4" s="20"/>
      <c r="D4" s="20"/>
      <c r="E4" s="20" t="s">
        <v>2</v>
      </c>
      <c r="F4" s="21"/>
      <c r="G4" s="14" t="s">
        <v>3</v>
      </c>
      <c r="H4" s="14" t="s">
        <v>4</v>
      </c>
      <c r="I4" s="20" t="s">
        <v>5</v>
      </c>
      <c r="J4" s="20"/>
      <c r="K4" s="20"/>
      <c r="L4" s="20" t="s">
        <v>6</v>
      </c>
      <c r="M4" s="20"/>
      <c r="N4" s="20"/>
      <c r="O4" s="20"/>
      <c r="P4" s="14" t="s">
        <v>7</v>
      </c>
      <c r="Q4" s="14" t="s">
        <v>8</v>
      </c>
    </row>
    <row r="5" spans="1:17" ht="139.5" customHeight="1" x14ac:dyDescent="0.25">
      <c r="A5" s="20"/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15"/>
      <c r="H5" s="15"/>
      <c r="I5" s="9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15</v>
      </c>
      <c r="O5" s="9" t="s">
        <v>16</v>
      </c>
      <c r="P5" s="15"/>
      <c r="Q5" s="15"/>
    </row>
    <row r="6" spans="1:17" ht="21" customHeight="1" x14ac:dyDescent="0.25">
      <c r="A6" s="12">
        <v>44652</v>
      </c>
      <c r="B6" s="2">
        <v>9522</v>
      </c>
      <c r="C6" s="2">
        <v>31019.182999999975</v>
      </c>
      <c r="D6" s="2">
        <v>21442.093000000001</v>
      </c>
      <c r="E6" s="2">
        <v>1287161</v>
      </c>
      <c r="F6" s="2">
        <v>3587.3494140000003</v>
      </c>
      <c r="G6" s="2">
        <v>4492.8755819999997</v>
      </c>
      <c r="H6" s="3">
        <f t="shared" ref="H6:H18" si="0">F6/G6*100</f>
        <v>79.845287244813818</v>
      </c>
      <c r="I6" s="3">
        <v>14108.435999999994</v>
      </c>
      <c r="J6" s="3">
        <v>3.3307031818272561</v>
      </c>
      <c r="K6" s="3">
        <v>14111.766703181824</v>
      </c>
      <c r="L6" s="3">
        <v>367.51709199999999</v>
      </c>
      <c r="M6" s="3">
        <v>62.089098999999997</v>
      </c>
      <c r="N6" s="3">
        <v>6.3087484399213564E-4</v>
      </c>
      <c r="O6" s="3">
        <v>429.60682187484394</v>
      </c>
      <c r="P6" s="3">
        <v>609.03691300000003</v>
      </c>
      <c r="Q6" s="8">
        <f t="shared" ref="Q6:Q18" si="1">O6/P6*100</f>
        <v>70.538716571165196</v>
      </c>
    </row>
    <row r="7" spans="1:17" ht="21" customHeight="1" x14ac:dyDescent="0.25">
      <c r="A7" s="13">
        <v>44682</v>
      </c>
      <c r="B7" s="4">
        <v>9616</v>
      </c>
      <c r="C7" s="4">
        <v>31965.801000000007</v>
      </c>
      <c r="D7" s="4">
        <v>22111.09</v>
      </c>
      <c r="E7" s="4">
        <v>1292631</v>
      </c>
      <c r="F7" s="4">
        <v>3615.8726459999998</v>
      </c>
      <c r="G7" s="4">
        <v>4637.8051480000004</v>
      </c>
      <c r="H7" s="5">
        <f t="shared" si="0"/>
        <v>77.96516952764398</v>
      </c>
      <c r="I7" s="5">
        <v>13267.844999999999</v>
      </c>
      <c r="J7" s="5"/>
      <c r="K7" s="5">
        <v>13267.844999999999</v>
      </c>
      <c r="L7" s="10">
        <v>370.38851900000003</v>
      </c>
      <c r="M7" s="10">
        <v>57.836577999999996</v>
      </c>
      <c r="N7" s="10">
        <v>0</v>
      </c>
      <c r="O7" s="10">
        <v>428.22509700000006</v>
      </c>
      <c r="P7" s="5">
        <v>629.67778799999996</v>
      </c>
      <c r="Q7" s="11">
        <f t="shared" si="1"/>
        <v>68.007019647324782</v>
      </c>
    </row>
    <row r="8" spans="1:17" ht="21" customHeight="1" x14ac:dyDescent="0.25">
      <c r="A8" s="12">
        <v>44713</v>
      </c>
      <c r="B8" s="2">
        <v>9668</v>
      </c>
      <c r="C8" s="2">
        <v>31702.599999999991</v>
      </c>
      <c r="D8" s="2">
        <v>21817.664000000001</v>
      </c>
      <c r="E8" s="2">
        <v>1266792</v>
      </c>
      <c r="F8" s="2">
        <v>3648.1226140000003</v>
      </c>
      <c r="G8" s="2">
        <v>4542.7484640000002</v>
      </c>
      <c r="H8" s="3">
        <f t="shared" si="0"/>
        <v>80.306507016849878</v>
      </c>
      <c r="I8" s="3">
        <v>13535.951000000005</v>
      </c>
      <c r="J8" s="3"/>
      <c r="K8" s="3">
        <v>13535.951000000005</v>
      </c>
      <c r="L8" s="3">
        <v>372.35647136900025</v>
      </c>
      <c r="M8" s="3">
        <v>53.889699435000026</v>
      </c>
      <c r="N8" s="3">
        <v>0</v>
      </c>
      <c r="O8" s="3">
        <v>426.24617080400026</v>
      </c>
      <c r="P8" s="3">
        <v>611.27982073599981</v>
      </c>
      <c r="Q8" s="8">
        <f t="shared" si="1"/>
        <v>69.730122988648091</v>
      </c>
    </row>
    <row r="9" spans="1:17" ht="21" customHeight="1" x14ac:dyDescent="0.25">
      <c r="A9" s="13">
        <v>44743</v>
      </c>
      <c r="B9" s="4">
        <v>10559</v>
      </c>
      <c r="C9" s="4">
        <v>33939.366666666647</v>
      </c>
      <c r="D9" s="4">
        <v>23313.72</v>
      </c>
      <c r="E9" s="4">
        <v>1349798</v>
      </c>
      <c r="F9" s="4">
        <v>3927.0257360000005</v>
      </c>
      <c r="G9" s="4">
        <v>4857.7129839999998</v>
      </c>
      <c r="H9" s="5">
        <f t="shared" si="0"/>
        <v>80.841040813538541</v>
      </c>
      <c r="I9" s="5">
        <v>14462.463399999997</v>
      </c>
      <c r="J9" s="5"/>
      <c r="K9" s="5">
        <v>14462.463399999997</v>
      </c>
      <c r="L9" s="10">
        <v>400.71868723799992</v>
      </c>
      <c r="M9" s="10">
        <v>57.752956595199983</v>
      </c>
      <c r="N9" s="10">
        <v>0</v>
      </c>
      <c r="O9" s="10">
        <v>458.47164383319983</v>
      </c>
      <c r="P9" s="5">
        <v>653.89490843599992</v>
      </c>
      <c r="Q9" s="11">
        <f t="shared" si="1"/>
        <v>70.113964479366004</v>
      </c>
    </row>
    <row r="10" spans="1:17" ht="21" customHeight="1" x14ac:dyDescent="0.25">
      <c r="A10" s="12">
        <v>44774</v>
      </c>
      <c r="B10" s="2">
        <v>10683</v>
      </c>
      <c r="C10" s="2">
        <v>34092.299999999967</v>
      </c>
      <c r="D10" s="2">
        <v>23413.008999999998</v>
      </c>
      <c r="E10" s="2">
        <v>1399891</v>
      </c>
      <c r="F10" s="2">
        <v>3960.613906</v>
      </c>
      <c r="G10" s="2">
        <v>4883.9138160000002</v>
      </c>
      <c r="H10" s="3">
        <f t="shared" si="0"/>
        <v>81.095081838356492</v>
      </c>
      <c r="I10" s="3">
        <v>14389.977500000005</v>
      </c>
      <c r="J10" s="3"/>
      <c r="K10" s="3">
        <v>14389.977500000005</v>
      </c>
      <c r="L10" s="3">
        <v>403.68765846900004</v>
      </c>
      <c r="M10" s="3">
        <v>57.028598679799977</v>
      </c>
      <c r="N10" s="3">
        <v>0</v>
      </c>
      <c r="O10" s="3">
        <v>460.71625714880008</v>
      </c>
      <c r="P10" s="3">
        <v>657.96267997600035</v>
      </c>
      <c r="Q10" s="8">
        <f t="shared" si="1"/>
        <v>70.021639702362009</v>
      </c>
    </row>
    <row r="11" spans="1:17" ht="21" customHeight="1" x14ac:dyDescent="0.25">
      <c r="A11" s="13">
        <v>44805</v>
      </c>
      <c r="B11" s="4">
        <v>10691</v>
      </c>
      <c r="C11" s="4">
        <v>33958.280000000006</v>
      </c>
      <c r="D11" s="4">
        <v>23206.451999999997</v>
      </c>
      <c r="E11" s="4">
        <v>1482965</v>
      </c>
      <c r="F11" s="4">
        <v>4055.2995780000001</v>
      </c>
      <c r="G11" s="4">
        <v>4886.741008</v>
      </c>
      <c r="H11" s="5">
        <f t="shared" si="0"/>
        <v>82.985768457160674</v>
      </c>
      <c r="I11" s="5">
        <v>15094.213999999991</v>
      </c>
      <c r="J11" s="5"/>
      <c r="K11" s="5">
        <v>15094.213999999991</v>
      </c>
      <c r="L11" s="10">
        <v>414.40751299999999</v>
      </c>
      <c r="M11" s="10">
        <v>59.268571000000009</v>
      </c>
      <c r="N11" s="10">
        <v>0</v>
      </c>
      <c r="O11" s="10">
        <v>473.67608400000006</v>
      </c>
      <c r="P11" s="5">
        <v>660.99665000000005</v>
      </c>
      <c r="Q11" s="11">
        <f t="shared" si="1"/>
        <v>71.660890263210874</v>
      </c>
    </row>
    <row r="12" spans="1:17" ht="21" customHeight="1" x14ac:dyDescent="0.25">
      <c r="A12" s="12">
        <v>44835</v>
      </c>
      <c r="B12" s="2">
        <v>11128</v>
      </c>
      <c r="C12" s="2">
        <v>35571.983333333301</v>
      </c>
      <c r="D12" s="2">
        <v>24221.806</v>
      </c>
      <c r="E12" s="2">
        <v>1606234</v>
      </c>
      <c r="F12" s="2">
        <v>4254.2159140000003</v>
      </c>
      <c r="G12" s="2">
        <v>5112.5084459999998</v>
      </c>
      <c r="H12" s="3">
        <f t="shared" si="0"/>
        <v>83.211909749087582</v>
      </c>
      <c r="I12" s="3">
        <v>14812.927799999998</v>
      </c>
      <c r="J12" s="3"/>
      <c r="K12" s="3">
        <v>14812.927799999998</v>
      </c>
      <c r="L12" s="3">
        <v>431.56500934500059</v>
      </c>
      <c r="M12" s="3">
        <v>58.427030616099998</v>
      </c>
      <c r="N12" s="3">
        <v>0</v>
      </c>
      <c r="O12" s="3">
        <v>489.99203996110055</v>
      </c>
      <c r="P12" s="3">
        <v>690.90070761999959</v>
      </c>
      <c r="Q12" s="8">
        <f t="shared" si="1"/>
        <v>70.920761052483925</v>
      </c>
    </row>
    <row r="13" spans="1:17" ht="21" customHeight="1" x14ac:dyDescent="0.25">
      <c r="A13" s="13">
        <v>44866</v>
      </c>
      <c r="B13" s="4">
        <v>11175</v>
      </c>
      <c r="C13" s="4">
        <v>36546.049999999981</v>
      </c>
      <c r="D13" s="4">
        <v>24684.806</v>
      </c>
      <c r="E13" s="4">
        <v>1662265</v>
      </c>
      <c r="F13" s="4">
        <v>4351.4407300000003</v>
      </c>
      <c r="G13" s="4">
        <v>5238.7561879999994</v>
      </c>
      <c r="H13" s="5">
        <f t="shared" si="0"/>
        <v>83.062478455620777</v>
      </c>
      <c r="I13" s="5">
        <v>14236.134</v>
      </c>
      <c r="J13" s="5">
        <v>0</v>
      </c>
      <c r="K13" s="5">
        <v>14236.134</v>
      </c>
      <c r="L13" s="10">
        <v>438.33274370299989</v>
      </c>
      <c r="M13" s="10">
        <v>57.305474060699964</v>
      </c>
      <c r="N13" s="10">
        <v>0</v>
      </c>
      <c r="O13" s="10">
        <v>495.6382177636998</v>
      </c>
      <c r="P13" s="5">
        <v>706.60751343199991</v>
      </c>
      <c r="Q13" s="11">
        <f t="shared" si="1"/>
        <v>70.143355164224047</v>
      </c>
    </row>
    <row r="14" spans="1:17" ht="21" customHeight="1" x14ac:dyDescent="0.25">
      <c r="A14" s="12">
        <v>44896</v>
      </c>
      <c r="B14" s="2">
        <v>11735</v>
      </c>
      <c r="C14" s="2">
        <v>38236.516666666663</v>
      </c>
      <c r="D14" s="2">
        <v>25723.682999999997</v>
      </c>
      <c r="E14" s="2">
        <v>1813097</v>
      </c>
      <c r="F14" s="2">
        <v>4748.2785290000002</v>
      </c>
      <c r="G14" s="2">
        <v>5490.668278000001</v>
      </c>
      <c r="H14" s="3">
        <f t="shared" si="0"/>
        <v>86.479063906034781</v>
      </c>
      <c r="I14" s="3">
        <v>14962.262499999992</v>
      </c>
      <c r="J14" s="3"/>
      <c r="K14" s="3">
        <v>14962.262499999992</v>
      </c>
      <c r="L14" s="3">
        <v>479.23676418099984</v>
      </c>
      <c r="M14" s="3">
        <v>59.982773344999991</v>
      </c>
      <c r="N14" s="3">
        <v>0</v>
      </c>
      <c r="O14" s="3">
        <v>539.21953752599984</v>
      </c>
      <c r="P14" s="3">
        <v>741.94262105600046</v>
      </c>
      <c r="Q14" s="8">
        <f t="shared" si="1"/>
        <v>72.67671680035491</v>
      </c>
    </row>
    <row r="15" spans="1:17" ht="21" customHeight="1" x14ac:dyDescent="0.25">
      <c r="A15" s="13">
        <v>44927</v>
      </c>
      <c r="B15" s="4">
        <v>11798</v>
      </c>
      <c r="C15" s="4">
        <v>39335.76666666667</v>
      </c>
      <c r="D15" s="4">
        <v>26321.686000000002</v>
      </c>
      <c r="E15" s="4">
        <v>1804175</v>
      </c>
      <c r="F15" s="4">
        <v>4879.9095159999997</v>
      </c>
      <c r="G15" s="4">
        <v>5637.423632</v>
      </c>
      <c r="H15" s="5">
        <f t="shared" si="0"/>
        <v>86.562760483351227</v>
      </c>
      <c r="I15" s="5">
        <v>13443.52819999999</v>
      </c>
      <c r="J15" s="5">
        <v>752.46008507034992</v>
      </c>
      <c r="K15" s="5">
        <v>14195.98828507034</v>
      </c>
      <c r="L15" s="10">
        <v>494.63513738199987</v>
      </c>
      <c r="M15" s="10">
        <v>54.748755362999972</v>
      </c>
      <c r="N15" s="10">
        <v>0</v>
      </c>
      <c r="O15" s="10">
        <v>549.38389274499991</v>
      </c>
      <c r="P15" s="5">
        <v>762.3468597279998</v>
      </c>
      <c r="Q15" s="11">
        <f t="shared" si="1"/>
        <v>72.064820066421788</v>
      </c>
    </row>
    <row r="16" spans="1:17" ht="21" customHeight="1" x14ac:dyDescent="0.25">
      <c r="A16" s="12">
        <v>44958</v>
      </c>
      <c r="B16" s="2">
        <v>10844</v>
      </c>
      <c r="C16" s="2">
        <v>36143.150000000009</v>
      </c>
      <c r="D16" s="2">
        <v>24254.438000000002</v>
      </c>
      <c r="E16" s="2">
        <v>1676213</v>
      </c>
      <c r="F16" s="2">
        <v>4533.0228500000003</v>
      </c>
      <c r="G16" s="2">
        <v>5229.2920480000002</v>
      </c>
      <c r="H16" s="3">
        <f t="shared" si="0"/>
        <v>86.685211083854156</v>
      </c>
      <c r="I16" s="3">
        <v>14038.7029</v>
      </c>
      <c r="J16" s="3">
        <v>871.87894174507392</v>
      </c>
      <c r="K16" s="3">
        <v>14910.581841745072</v>
      </c>
      <c r="L16" s="3">
        <v>460.09723048099897</v>
      </c>
      <c r="M16" s="3">
        <v>60.420483231999995</v>
      </c>
      <c r="N16" s="3">
        <v>3.8591495236616415</v>
      </c>
      <c r="O16" s="3">
        <v>524.3768632366606</v>
      </c>
      <c r="P16" s="3">
        <v>706.67798045599989</v>
      </c>
      <c r="Q16" s="8">
        <f t="shared" si="1"/>
        <v>74.203085102254732</v>
      </c>
    </row>
    <row r="17" spans="1:17" ht="21" customHeight="1" x14ac:dyDescent="0.25">
      <c r="A17" s="13">
        <v>44986</v>
      </c>
      <c r="B17" s="4">
        <v>12061</v>
      </c>
      <c r="C17" s="4">
        <v>40576.439999999988</v>
      </c>
      <c r="D17" s="4">
        <v>27190.438999999998</v>
      </c>
      <c r="E17" s="4">
        <v>1802084</v>
      </c>
      <c r="F17" s="4">
        <v>4891.2329689999997</v>
      </c>
      <c r="G17" s="4">
        <v>5879.1386559999992</v>
      </c>
      <c r="H17" s="5">
        <f t="shared" si="0"/>
        <v>83.19642136706905</v>
      </c>
      <c r="I17" s="5">
        <v>16430.374999999996</v>
      </c>
      <c r="J17" s="5">
        <v>801.65446094854804</v>
      </c>
      <c r="K17" s="5">
        <v>17232.029460948546</v>
      </c>
      <c r="L17" s="10">
        <v>496.16722100000004</v>
      </c>
      <c r="M17" s="10">
        <v>73.719834000000006</v>
      </c>
      <c r="N17" s="10">
        <v>3.8326272778398645</v>
      </c>
      <c r="O17" s="10">
        <v>573.71968227783987</v>
      </c>
      <c r="P17" s="5">
        <v>795.1374800000001</v>
      </c>
      <c r="Q17" s="11">
        <f t="shared" si="1"/>
        <v>72.153520203555217</v>
      </c>
    </row>
    <row r="18" spans="1:17" ht="21" customHeight="1" x14ac:dyDescent="0.25">
      <c r="A18" s="6" t="s">
        <v>22</v>
      </c>
      <c r="B18" s="7">
        <f>SUM(B6:B17)</f>
        <v>129480</v>
      </c>
      <c r="C18" s="7">
        <f t="shared" ref="C18:G18" si="2">SUM(C6:C17)</f>
        <v>423087.43733333319</v>
      </c>
      <c r="D18" s="7">
        <f t="shared" si="2"/>
        <v>287700.886</v>
      </c>
      <c r="E18" s="7">
        <f t="shared" si="2"/>
        <v>18443306</v>
      </c>
      <c r="F18" s="7">
        <f t="shared" si="2"/>
        <v>50452.384402000003</v>
      </c>
      <c r="G18" s="7">
        <f t="shared" si="2"/>
        <v>60889.58425</v>
      </c>
      <c r="H18" s="8">
        <f t="shared" si="0"/>
        <v>82.858809143535922</v>
      </c>
      <c r="I18" s="8">
        <f t="shared" ref="I18:P18" si="3">SUM(I6:I17)</f>
        <v>172782.8173</v>
      </c>
      <c r="J18" s="8">
        <f t="shared" si="3"/>
        <v>2429.3241909457993</v>
      </c>
      <c r="K18" s="8">
        <f t="shared" si="3"/>
        <v>175212.14149094577</v>
      </c>
      <c r="L18" s="8">
        <f t="shared" si="3"/>
        <v>5129.1100471679993</v>
      </c>
      <c r="M18" s="8">
        <f t="shared" si="3"/>
        <v>712.46985332679992</v>
      </c>
      <c r="N18" s="8">
        <f t="shared" si="3"/>
        <v>7.692407676345498</v>
      </c>
      <c r="O18" s="8">
        <f>SUM(O6:O17)</f>
        <v>5849.2723081711447</v>
      </c>
      <c r="P18" s="8">
        <f t="shared" si="3"/>
        <v>8226.4619224399994</v>
      </c>
      <c r="Q18" s="8">
        <f t="shared" si="1"/>
        <v>71.10313477797304</v>
      </c>
    </row>
    <row r="19" spans="1:17" ht="21" customHeight="1" x14ac:dyDescent="0.25">
      <c r="A19" s="16" t="s">
        <v>19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</vt:lpstr>
      <vt:lpstr>'AIR INDIA'!Print_Area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Lenovo</cp:lastModifiedBy>
  <cp:lastPrinted>2022-12-09T06:42:27Z</cp:lastPrinted>
  <dcterms:created xsi:type="dcterms:W3CDTF">2020-06-03T10:30:17Z</dcterms:created>
  <dcterms:modified xsi:type="dcterms:W3CDTF">2023-10-04T06:02:51Z</dcterms:modified>
</cp:coreProperties>
</file>