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ALL SCHEDULED INDIAN AIRLINES\"/>
    </mc:Choice>
  </mc:AlternateContent>
  <bookViews>
    <workbookView showHorizontalScroll="0" showVerticalScroll="0" xWindow="0" yWindow="0" windowWidth="13140" windowHeight="10635"/>
  </bookViews>
  <sheets>
    <sheet name="2022-23" sheetId="1" r:id="rId1"/>
  </sheets>
  <definedNames>
    <definedName name="_xlnm.Print_Area" localSheetId="0">'2022-23'!$A$1:$Q$41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1" l="1"/>
  <c r="B38" i="1"/>
  <c r="B29" i="1" l="1"/>
  <c r="B32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6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B23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B20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7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B14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B11" i="1"/>
  <c r="Q22" i="1" l="1"/>
  <c r="Q19" i="1"/>
  <c r="H10" i="1"/>
  <c r="H16" i="1" l="1"/>
  <c r="H25" i="1"/>
  <c r="Q28" i="1"/>
  <c r="H34" i="1"/>
  <c r="H31" i="1"/>
  <c r="Q31" i="1"/>
  <c r="Q16" i="1"/>
  <c r="Q25" i="1"/>
  <c r="Q10" i="1"/>
  <c r="Q34" i="1"/>
  <c r="Q13" i="1"/>
  <c r="H19" i="1"/>
  <c r="H28" i="1"/>
  <c r="H13" i="1"/>
  <c r="H22" i="1"/>
  <c r="I31" i="1"/>
  <c r="J31" i="1"/>
  <c r="K31" i="1"/>
  <c r="L31" i="1"/>
  <c r="M31" i="1"/>
  <c r="N31" i="1"/>
  <c r="O31" i="1"/>
  <c r="P31" i="1"/>
  <c r="I28" i="1"/>
  <c r="J28" i="1"/>
  <c r="K28" i="1"/>
  <c r="L28" i="1"/>
  <c r="M28" i="1"/>
  <c r="N28" i="1"/>
  <c r="O28" i="1"/>
  <c r="P28" i="1"/>
  <c r="I25" i="1"/>
  <c r="J25" i="1"/>
  <c r="K25" i="1"/>
  <c r="L25" i="1"/>
  <c r="M25" i="1"/>
  <c r="N25" i="1"/>
  <c r="O25" i="1"/>
  <c r="P25" i="1"/>
  <c r="I22" i="1"/>
  <c r="J22" i="1"/>
  <c r="K22" i="1"/>
  <c r="L22" i="1"/>
  <c r="M22" i="1"/>
  <c r="N22" i="1"/>
  <c r="O22" i="1"/>
  <c r="P22" i="1"/>
  <c r="I19" i="1"/>
  <c r="J19" i="1"/>
  <c r="K19" i="1"/>
  <c r="L19" i="1"/>
  <c r="M19" i="1"/>
  <c r="N19" i="1"/>
  <c r="O19" i="1"/>
  <c r="P19" i="1"/>
  <c r="I16" i="1"/>
  <c r="J16" i="1"/>
  <c r="K16" i="1"/>
  <c r="L16" i="1"/>
  <c r="M16" i="1"/>
  <c r="N16" i="1"/>
  <c r="O16" i="1"/>
  <c r="P16" i="1"/>
  <c r="I13" i="1"/>
  <c r="J13" i="1"/>
  <c r="K13" i="1"/>
  <c r="L13" i="1"/>
  <c r="M13" i="1"/>
  <c r="N13" i="1"/>
  <c r="O13" i="1"/>
  <c r="P13" i="1"/>
  <c r="I10" i="1"/>
  <c r="J10" i="1"/>
  <c r="K10" i="1"/>
  <c r="L10" i="1"/>
  <c r="M10" i="1"/>
  <c r="N10" i="1"/>
  <c r="O10" i="1"/>
  <c r="P10" i="1"/>
  <c r="C34" i="1" l="1"/>
  <c r="D34" i="1"/>
  <c r="E34" i="1"/>
  <c r="F34" i="1"/>
  <c r="G34" i="1"/>
  <c r="I34" i="1"/>
  <c r="J34" i="1"/>
  <c r="K34" i="1"/>
  <c r="L34" i="1"/>
  <c r="M34" i="1"/>
  <c r="N34" i="1"/>
  <c r="O34" i="1"/>
  <c r="P34" i="1"/>
  <c r="C31" i="1"/>
  <c r="D31" i="1"/>
  <c r="E31" i="1"/>
  <c r="F31" i="1"/>
  <c r="G31" i="1"/>
  <c r="C28" i="1"/>
  <c r="D28" i="1"/>
  <c r="E28" i="1"/>
  <c r="F28" i="1"/>
  <c r="G28" i="1"/>
  <c r="C25" i="1"/>
  <c r="D25" i="1"/>
  <c r="E25" i="1"/>
  <c r="F25" i="1"/>
  <c r="G25" i="1"/>
  <c r="C22" i="1"/>
  <c r="D22" i="1"/>
  <c r="E22" i="1"/>
  <c r="F22" i="1"/>
  <c r="G22" i="1"/>
  <c r="C19" i="1"/>
  <c r="D19" i="1"/>
  <c r="E19" i="1"/>
  <c r="F19" i="1"/>
  <c r="G19" i="1"/>
  <c r="C16" i="1"/>
  <c r="D16" i="1"/>
  <c r="E16" i="1"/>
  <c r="F16" i="1"/>
  <c r="G16" i="1"/>
  <c r="C13" i="1"/>
  <c r="D13" i="1"/>
  <c r="E13" i="1"/>
  <c r="F13" i="1"/>
  <c r="G13" i="1"/>
  <c r="C10" i="1"/>
  <c r="D10" i="1"/>
  <c r="E10" i="1"/>
  <c r="F10" i="1"/>
  <c r="G10" i="1"/>
  <c r="B34" i="1"/>
  <c r="B31" i="1"/>
  <c r="B28" i="1"/>
  <c r="B25" i="1"/>
  <c r="B22" i="1"/>
  <c r="B19" i="1"/>
  <c r="B16" i="1"/>
  <c r="B13" i="1"/>
  <c r="B10" i="1"/>
</calcChain>
</file>

<file path=xl/sharedStrings.xml><?xml version="1.0" encoding="utf-8"?>
<sst xmlns="http://schemas.openxmlformats.org/spreadsheetml/2006/main" count="60" uniqueCount="38">
  <si>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</si>
  <si>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</si>
  <si>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</si>
  <si>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</si>
  <si>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</si>
  <si>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</si>
  <si>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</si>
  <si>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</si>
  <si>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</si>
  <si>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</si>
  <si>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</si>
  <si>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</si>
  <si>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</si>
  <si>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</si>
  <si>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</si>
  <si>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</si>
  <si>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</si>
  <si>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</si>
  <si>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</si>
  <si>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</si>
  <si>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</si>
  <si>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</si>
  <si>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</si>
  <si>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</si>
  <si>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</si>
  <si>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</si>
  <si>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</si>
  <si>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CAGR</t>
  </si>
  <si>
    <t xml:space="preserve"> तालिका- 1.06 (सभी अनुसूचित भारतीय एयरलाइन्स) </t>
  </si>
  <si>
    <t>TABLE - 1.06 (ALL SCHEDULED INDIAN AIRLINES)</t>
  </si>
  <si>
    <t>2018-19</t>
  </si>
  <si>
    <t>2019-20</t>
  </si>
  <si>
    <t>YEAR ON YEAR GROWTH AND CAGR FOR LAST TEN YEARS OF ALL SCHEDULED INDIAN AIRLINES ON TOTAL (DOMESTIC + INTERNATIONAL) SCHEDULED SERVICES (ALL AIR TRAFFIC AND OPERATING STATISTICS).</t>
  </si>
  <si>
    <t>* DENOTES that THE INTERNATIONAL OPERATIONS BY SCHEDULED INDIAN OPERATORS WERE CARRIED AS PER DGCA’S CIRCULAR DATED 26.03.2020 UNDER COVID-19 RESTRICTION.</t>
  </si>
  <si>
    <t>2020-21*</t>
  </si>
  <si>
    <t>Note: Growth has been calculated with respect to preceeding year while Compound Annual Growth Rate (CAGR) has been calculating taking 2012-13 as a Base Year</t>
  </si>
  <si>
    <t>2022-23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</si>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</sst>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 tint="-4.9989318521683403E-2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7" fillId="7" borderId="1" xfId="1" applyNumberFormat="1" applyFont="1" applyFill="1" applyBorder="1" applyAlignment="1" applyProtection="1">
      <alignment horizontal="center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8" fillId="2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1" fillId="0" borderId="2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topLeftCell="A25" zoomScaleNormal="100" zoomScaleSheetLayoutView="100" workbookViewId="0">
      <selection activeCell="A33" sqref="A33"/>
    </sheetView>
  </sheetViews>
  <sheetFormatPr defaultColWidth="9.140625" defaultRowHeight="15" x14ac:dyDescent="0.25"/>
  <cols>
    <col min="1" max="1" width="9" style="1" customWidth="1"/>
    <col min="2" max="2" width="10.7109375" style="1" customWidth="1"/>
    <col min="3" max="3" width="9.7109375" style="1" customWidth="1"/>
    <col min="4" max="4" width="10.7109375" style="1" customWidth="1"/>
    <col min="5" max="5" width="12.42578125" style="1" customWidth="1"/>
    <col min="6" max="6" width="8.85546875" style="1" customWidth="1"/>
    <col min="7" max="7" width="8.7109375" style="1" customWidth="1"/>
    <col min="8" max="8" width="6.85546875" style="1" customWidth="1"/>
    <col min="9" max="9" width="11.5703125" style="1" customWidth="1"/>
    <col min="10" max="10" width="8.7109375" style="1" customWidth="1"/>
    <col min="11" max="11" width="11.28515625" style="1" customWidth="1"/>
    <col min="12" max="12" width="8.85546875" style="1" customWidth="1"/>
    <col min="13" max="13" width="8.28515625" style="1" customWidth="1"/>
    <col min="14" max="14" width="7.7109375" style="1" customWidth="1"/>
    <col min="15" max="15" width="9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22" t="s">
        <v>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1" customHeight="1" x14ac:dyDescent="0.25">
      <c r="A2" s="23" t="s">
        <v>29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33" customHeight="1" x14ac:dyDescent="0.25">
      <c r="A3" s="25" t="s">
        <v>32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15" customHeight="1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6" t="s">
        <v>3</v>
      </c>
      <c r="H4" s="16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6" t="s">
        <v>7</v>
      </c>
      <c r="Q4" s="16" t="s">
        <v>8</v>
      </c>
    </row>
    <row r="5" spans="1:17" ht="132" customHeight="1" x14ac:dyDescent="0.25">
      <c r="A5" s="25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7"/>
      <c r="H5" s="17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17"/>
      <c r="Q5" s="17"/>
    </row>
    <row r="6" spans="1:17" ht="24.95" customHeight="1" x14ac:dyDescent="0.25">
      <c r="A6" s="4" t="s">
        <v>19</v>
      </c>
      <c r="B6" s="10">
        <v>653181</v>
      </c>
      <c r="C6" s="10">
        <v>1312388.1299999999</v>
      </c>
      <c r="D6" s="10">
        <v>757191.91099999985</v>
      </c>
      <c r="E6" s="10">
        <v>71594505</v>
      </c>
      <c r="F6" s="10">
        <v>105208.08073100002</v>
      </c>
      <c r="G6" s="10">
        <v>137936.72376700002</v>
      </c>
      <c r="H6" s="11">
        <v>76.272712485701362</v>
      </c>
      <c r="I6" s="9">
        <v>593329.35899999994</v>
      </c>
      <c r="J6" s="9">
        <v>6987.58</v>
      </c>
      <c r="K6" s="9">
        <v>600316.9389999999</v>
      </c>
      <c r="L6" s="9">
        <v>9323.8382245552457</v>
      </c>
      <c r="M6" s="9">
        <v>1558.6663264019996</v>
      </c>
      <c r="N6" s="9">
        <v>48.459999999999994</v>
      </c>
      <c r="O6" s="9">
        <v>10930.964550957244</v>
      </c>
      <c r="P6" s="9">
        <v>16534.707429641181</v>
      </c>
      <c r="Q6" s="11">
        <v>66.109210564933818</v>
      </c>
    </row>
    <row r="7" spans="1:17" ht="24.95" customHeight="1" x14ac:dyDescent="0.25">
      <c r="A7" s="3" t="s">
        <v>26</v>
      </c>
      <c r="B7" s="7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12"/>
    </row>
    <row r="8" spans="1:17" ht="24.95" customHeight="1" x14ac:dyDescent="0.25">
      <c r="A8" s="5" t="s">
        <v>27</v>
      </c>
      <c r="B8" s="6"/>
      <c r="C8" s="6"/>
      <c r="D8" s="6"/>
      <c r="E8" s="6"/>
      <c r="F8" s="6"/>
      <c r="G8" s="6"/>
      <c r="H8" s="13"/>
      <c r="I8" s="6"/>
      <c r="J8" s="6"/>
      <c r="K8" s="6"/>
      <c r="L8" s="6"/>
      <c r="M8" s="6"/>
      <c r="N8" s="6"/>
      <c r="O8" s="6"/>
      <c r="P8" s="6"/>
      <c r="Q8" s="13"/>
    </row>
    <row r="9" spans="1:17" ht="24.95" customHeight="1" x14ac:dyDescent="0.25">
      <c r="A9" s="4" t="s">
        <v>20</v>
      </c>
      <c r="B9" s="10">
        <v>700076</v>
      </c>
      <c r="C9" s="10">
        <v>1433015.5</v>
      </c>
      <c r="D9" s="10">
        <v>819621.00899999996</v>
      </c>
      <c r="E9" s="10">
        <v>76433474</v>
      </c>
      <c r="F9" s="10">
        <v>114036.09724400003</v>
      </c>
      <c r="G9" s="10">
        <v>150899.08637199999</v>
      </c>
      <c r="H9" s="11">
        <v>75.571098530626983</v>
      </c>
      <c r="I9" s="9">
        <v>747925.52059999993</v>
      </c>
      <c r="J9" s="9">
        <v>7193.3989000000001</v>
      </c>
      <c r="K9" s="9">
        <v>755118.91949999996</v>
      </c>
      <c r="L9" s="9">
        <v>10156.423807467247</v>
      </c>
      <c r="M9" s="9">
        <v>1749.0226564949999</v>
      </c>
      <c r="N9" s="9">
        <v>42.793000000000006</v>
      </c>
      <c r="O9" s="9">
        <v>11948.239463962245</v>
      </c>
      <c r="P9" s="9">
        <v>17724.245024960812</v>
      </c>
      <c r="Q9" s="11">
        <v>67.411838682751807</v>
      </c>
    </row>
    <row r="10" spans="1:17" ht="24.95" customHeight="1" x14ac:dyDescent="0.25">
      <c r="A10" s="3" t="s">
        <v>26</v>
      </c>
      <c r="B10" s="7">
        <f>(B9-B6)/B6</f>
        <v>7.179480113475438E-2</v>
      </c>
      <c r="C10" s="7">
        <f t="shared" ref="C10:P10" si="0">(C9-C6)/C6</f>
        <v>9.1914401877438587E-2</v>
      </c>
      <c r="D10" s="7">
        <f t="shared" si="0"/>
        <v>8.2448183998098903E-2</v>
      </c>
      <c r="E10" s="7">
        <f t="shared" si="0"/>
        <v>6.75885530600428E-2</v>
      </c>
      <c r="F10" s="7">
        <f t="shared" si="0"/>
        <v>8.3910061391309035E-2</v>
      </c>
      <c r="G10" s="7">
        <f t="shared" si="0"/>
        <v>9.3973252742291749E-2</v>
      </c>
      <c r="H10" s="12">
        <f t="shared" si="0"/>
        <v>-9.198754472065071E-3</v>
      </c>
      <c r="I10" s="7">
        <f t="shared" si="0"/>
        <v>0.26055707383257942</v>
      </c>
      <c r="J10" s="7">
        <f t="shared" si="0"/>
        <v>2.9454961517435253E-2</v>
      </c>
      <c r="K10" s="7">
        <f t="shared" si="0"/>
        <v>0.25786708727204527</v>
      </c>
      <c r="L10" s="7">
        <f t="shared" si="0"/>
        <v>8.9296442394217537E-2</v>
      </c>
      <c r="M10" s="7">
        <f t="shared" si="0"/>
        <v>0.12212769780714755</v>
      </c>
      <c r="N10" s="7">
        <f t="shared" si="0"/>
        <v>-0.11694180767643393</v>
      </c>
      <c r="O10" s="7">
        <f t="shared" si="0"/>
        <v>9.3063600038472083E-2</v>
      </c>
      <c r="P10" s="7">
        <f t="shared" si="0"/>
        <v>7.194185929091125E-2</v>
      </c>
      <c r="Q10" s="12">
        <f t="shared" ref="Q10" si="1">(Q9-Q6)/Q6</f>
        <v>1.970418503997292E-2</v>
      </c>
    </row>
    <row r="11" spans="1:17" ht="24.95" customHeight="1" x14ac:dyDescent="0.25">
      <c r="A11" s="5" t="s">
        <v>27</v>
      </c>
      <c r="B11" s="6">
        <f>(((B9/B6)^(1/1))-1)</f>
        <v>7.1794801134754449E-2</v>
      </c>
      <c r="C11" s="6">
        <f t="shared" ref="C11:Q11" si="2">(((C9/C6)^(1/1))-1)</f>
        <v>9.191440187743849E-2</v>
      </c>
      <c r="D11" s="6">
        <f t="shared" si="2"/>
        <v>8.2448183998098834E-2</v>
      </c>
      <c r="E11" s="6">
        <f t="shared" si="2"/>
        <v>6.7588553060042855E-2</v>
      </c>
      <c r="F11" s="6">
        <f t="shared" si="2"/>
        <v>8.3910061391309076E-2</v>
      </c>
      <c r="G11" s="6">
        <f t="shared" si="2"/>
        <v>9.3973252742291846E-2</v>
      </c>
      <c r="H11" s="6">
        <f t="shared" si="2"/>
        <v>-9.1987544720650849E-3</v>
      </c>
      <c r="I11" s="6">
        <f t="shared" si="2"/>
        <v>0.26055707383257931</v>
      </c>
      <c r="J11" s="6">
        <f t="shared" si="2"/>
        <v>2.9454961517435319E-2</v>
      </c>
      <c r="K11" s="6">
        <f t="shared" si="2"/>
        <v>0.25786708727204521</v>
      </c>
      <c r="L11" s="6">
        <f t="shared" si="2"/>
        <v>8.9296442394217523E-2</v>
      </c>
      <c r="M11" s="6">
        <f t="shared" si="2"/>
        <v>0.1221276978071475</v>
      </c>
      <c r="N11" s="6">
        <f t="shared" si="2"/>
        <v>-0.11694180767643392</v>
      </c>
      <c r="O11" s="6">
        <f t="shared" si="2"/>
        <v>9.3063600038472138E-2</v>
      </c>
      <c r="P11" s="6">
        <f t="shared" si="2"/>
        <v>7.1941859290911347E-2</v>
      </c>
      <c r="Q11" s="6">
        <f t="shared" si="2"/>
        <v>1.9704185039972844E-2</v>
      </c>
    </row>
    <row r="12" spans="1:17" ht="24.95" customHeight="1" x14ac:dyDescent="0.25">
      <c r="A12" s="4" t="s">
        <v>21</v>
      </c>
      <c r="B12" s="10">
        <v>734736</v>
      </c>
      <c r="C12" s="10">
        <v>1500004.6099999999</v>
      </c>
      <c r="D12" s="10">
        <v>897883.96900000004</v>
      </c>
      <c r="E12" s="10">
        <v>87412197</v>
      </c>
      <c r="F12" s="10">
        <v>126903.03977500004</v>
      </c>
      <c r="G12" s="10">
        <v>160953.15840099999</v>
      </c>
      <c r="H12" s="11">
        <v>78.844703040143386</v>
      </c>
      <c r="I12" s="9">
        <v>815210.56822000002</v>
      </c>
      <c r="J12" s="9">
        <v>31816.010000000002</v>
      </c>
      <c r="K12" s="9">
        <v>847026.57822000002</v>
      </c>
      <c r="L12" s="9">
        <v>11205.620582000003</v>
      </c>
      <c r="M12" s="9">
        <v>1874.1585833867703</v>
      </c>
      <c r="N12" s="9">
        <v>57.143620000000013</v>
      </c>
      <c r="O12" s="9">
        <v>13136.922785386774</v>
      </c>
      <c r="P12" s="9">
        <v>18685.587016000005</v>
      </c>
      <c r="Q12" s="11">
        <v>70.305111496566596</v>
      </c>
    </row>
    <row r="13" spans="1:17" ht="24.95" customHeight="1" x14ac:dyDescent="0.25">
      <c r="A13" s="3" t="s">
        <v>26</v>
      </c>
      <c r="B13" s="7">
        <f>(B12-B9)/B9</f>
        <v>4.9508910461149934E-2</v>
      </c>
      <c r="C13" s="7">
        <f t="shared" ref="C13:P13" si="3">(C12-C9)/C9</f>
        <v>4.674695423741046E-2</v>
      </c>
      <c r="D13" s="7">
        <f t="shared" si="3"/>
        <v>9.5486766616056915E-2</v>
      </c>
      <c r="E13" s="7">
        <f t="shared" si="3"/>
        <v>0.14363762924082191</v>
      </c>
      <c r="F13" s="7">
        <f t="shared" si="3"/>
        <v>0.11283218947303107</v>
      </c>
      <c r="G13" s="7">
        <f t="shared" si="3"/>
        <v>6.6627785964286534E-2</v>
      </c>
      <c r="H13" s="12">
        <f t="shared" si="3"/>
        <v>4.3318207266627162E-2</v>
      </c>
      <c r="I13" s="7">
        <f t="shared" si="3"/>
        <v>8.9962229883562145E-2</v>
      </c>
      <c r="J13" s="7">
        <f t="shared" si="3"/>
        <v>3.4229453200489135</v>
      </c>
      <c r="K13" s="7">
        <f t="shared" si="3"/>
        <v>0.12171282740585614</v>
      </c>
      <c r="L13" s="7">
        <f t="shared" si="3"/>
        <v>0.10330376069590183</v>
      </c>
      <c r="M13" s="7">
        <f t="shared" si="3"/>
        <v>7.1546201203899693E-2</v>
      </c>
      <c r="N13" s="7">
        <f t="shared" si="3"/>
        <v>0.33534970672773595</v>
      </c>
      <c r="O13" s="7">
        <f t="shared" si="3"/>
        <v>9.9486064454079898E-2</v>
      </c>
      <c r="P13" s="7">
        <f t="shared" si="3"/>
        <v>5.4238811847012292E-2</v>
      </c>
      <c r="Q13" s="12">
        <f t="shared" ref="Q13" si="4">(Q12-Q9)/Q9</f>
        <v>4.2919357643260228E-2</v>
      </c>
    </row>
    <row r="14" spans="1:17" s="2" customFormat="1" ht="24.95" customHeight="1" x14ac:dyDescent="0.25">
      <c r="A14" s="5" t="s">
        <v>27</v>
      </c>
      <c r="B14" s="6">
        <f>(((B12/B6)^(1/2))-1)</f>
        <v>6.0593321672761213E-2</v>
      </c>
      <c r="C14" s="6">
        <f t="shared" ref="C14:Q14" si="5">(((C12/C6)^(1/2))-1)</f>
        <v>6.9092173038963312E-2</v>
      </c>
      <c r="D14" s="6">
        <f t="shared" si="5"/>
        <v>8.8947960702209006E-2</v>
      </c>
      <c r="E14" s="6">
        <f t="shared" si="5"/>
        <v>0.10495902269098956</v>
      </c>
      <c r="F14" s="6">
        <f t="shared" si="5"/>
        <v>9.8275924715614416E-2</v>
      </c>
      <c r="G14" s="6">
        <f t="shared" si="5"/>
        <v>8.021399198337531E-2</v>
      </c>
      <c r="H14" s="6">
        <f t="shared" si="5"/>
        <v>1.6720698737734185E-2</v>
      </c>
      <c r="I14" s="6">
        <f t="shared" si="5"/>
        <v>0.17216022756705773</v>
      </c>
      <c r="J14" s="6">
        <f t="shared" si="5"/>
        <v>1.1338282508779085</v>
      </c>
      <c r="K14" s="6">
        <f t="shared" si="5"/>
        <v>0.18784074983336674</v>
      </c>
      <c r="L14" s="6">
        <f t="shared" si="5"/>
        <v>9.6277730051197885E-2</v>
      </c>
      <c r="M14" s="6">
        <f t="shared" si="5"/>
        <v>9.654533506413987E-2</v>
      </c>
      <c r="N14" s="6">
        <f t="shared" si="5"/>
        <v>8.5905842208613636E-2</v>
      </c>
      <c r="O14" s="6">
        <f t="shared" si="5"/>
        <v>9.6270129030390006E-2</v>
      </c>
      <c r="P14" s="6">
        <f t="shared" si="5"/>
        <v>6.305348506456987E-2</v>
      </c>
      <c r="Q14" s="6">
        <f t="shared" si="5"/>
        <v>3.1246446611105982E-2</v>
      </c>
    </row>
    <row r="15" spans="1:17" ht="24.95" customHeight="1" x14ac:dyDescent="0.25">
      <c r="A15" s="4" t="s">
        <v>22</v>
      </c>
      <c r="B15" s="10">
        <v>823732</v>
      </c>
      <c r="C15" s="10">
        <v>1685787.4160000002</v>
      </c>
      <c r="D15" s="10">
        <v>1077172.6250000002</v>
      </c>
      <c r="E15" s="10">
        <v>103822908</v>
      </c>
      <c r="F15" s="10">
        <v>145787.25543000002</v>
      </c>
      <c r="G15" s="10">
        <v>179448.71800300002</v>
      </c>
      <c r="H15" s="11">
        <v>81.241736944346826</v>
      </c>
      <c r="I15" s="9">
        <v>839234.69550999999</v>
      </c>
      <c r="J15" s="9">
        <v>36399.646725000006</v>
      </c>
      <c r="K15" s="9">
        <v>875634.34223499999</v>
      </c>
      <c r="L15" s="9">
        <v>12930.720884154998</v>
      </c>
      <c r="M15" s="9">
        <v>1797.5325222250008</v>
      </c>
      <c r="N15" s="9">
        <v>58.969729999999984</v>
      </c>
      <c r="O15" s="9">
        <v>14787.22313638</v>
      </c>
      <c r="P15" s="9">
        <v>21040.456198585005</v>
      </c>
      <c r="Q15" s="11">
        <v>70.279954944011422</v>
      </c>
    </row>
    <row r="16" spans="1:17" ht="24.95" customHeight="1" x14ac:dyDescent="0.25">
      <c r="A16" s="3" t="s">
        <v>26</v>
      </c>
      <c r="B16" s="8">
        <f>(B15-B12)/B12</f>
        <v>0.12112649985845256</v>
      </c>
      <c r="C16" s="8">
        <f t="shared" ref="C16:P16" si="6">(C15-C12)/C12</f>
        <v>0.12385482335284313</v>
      </c>
      <c r="D16" s="8">
        <f t="shared" si="6"/>
        <v>0.1996790923883843</v>
      </c>
      <c r="E16" s="8">
        <f t="shared" si="6"/>
        <v>0.18773937234411348</v>
      </c>
      <c r="F16" s="8">
        <f t="shared" si="6"/>
        <v>0.14880822152473117</v>
      </c>
      <c r="G16" s="8">
        <f t="shared" si="6"/>
        <v>0.11491268506778871</v>
      </c>
      <c r="H16" s="12">
        <f t="shared" si="6"/>
        <v>3.0401965024625711E-2</v>
      </c>
      <c r="I16" s="8">
        <f t="shared" si="6"/>
        <v>2.9469842794673646E-2</v>
      </c>
      <c r="J16" s="8">
        <f t="shared" si="6"/>
        <v>0.14406698781525412</v>
      </c>
      <c r="K16" s="8">
        <f t="shared" si="6"/>
        <v>3.3774340440554169E-2</v>
      </c>
      <c r="L16" s="8">
        <f t="shared" si="6"/>
        <v>0.15394955500510935</v>
      </c>
      <c r="M16" s="8">
        <f t="shared" si="6"/>
        <v>-4.0885580249724343E-2</v>
      </c>
      <c r="N16" s="8">
        <f t="shared" si="6"/>
        <v>3.1956498380746108E-2</v>
      </c>
      <c r="O16" s="8">
        <f t="shared" si="6"/>
        <v>0.12562305327918832</v>
      </c>
      <c r="P16" s="8">
        <f t="shared" si="6"/>
        <v>0.12602596753147674</v>
      </c>
      <c r="Q16" s="12">
        <f t="shared" ref="Q16" si="7">(Q15-Q12)/Q12</f>
        <v>-3.5781968081229136E-4</v>
      </c>
    </row>
    <row r="17" spans="1:17" ht="24.95" customHeight="1" x14ac:dyDescent="0.25">
      <c r="A17" s="5" t="s">
        <v>27</v>
      </c>
      <c r="B17" s="6">
        <f>(((B15/B6)^(1/3))-1)</f>
        <v>8.0398895246477586E-2</v>
      </c>
      <c r="C17" s="6">
        <f t="shared" ref="C17:Q17" si="8">(((C15/C6)^(1/3))-1)</f>
        <v>8.704328587783583E-2</v>
      </c>
      <c r="D17" s="6">
        <f t="shared" si="8"/>
        <v>0.12467346141335023</v>
      </c>
      <c r="E17" s="6">
        <f t="shared" si="8"/>
        <v>0.13189072028568116</v>
      </c>
      <c r="F17" s="6">
        <f t="shared" si="8"/>
        <v>0.1148680956147865</v>
      </c>
      <c r="G17" s="6">
        <f t="shared" si="8"/>
        <v>9.1658543132378645E-2</v>
      </c>
      <c r="H17" s="6">
        <f t="shared" si="8"/>
        <v>2.12608169728703E-2</v>
      </c>
      <c r="I17" s="6">
        <f t="shared" si="8"/>
        <v>0.12252459110025749</v>
      </c>
      <c r="J17" s="6">
        <f t="shared" si="8"/>
        <v>0.73349845335919306</v>
      </c>
      <c r="K17" s="6">
        <f t="shared" si="8"/>
        <v>0.13408967380886816</v>
      </c>
      <c r="L17" s="6">
        <f t="shared" si="8"/>
        <v>0.11517408692019226</v>
      </c>
      <c r="M17" s="6">
        <f t="shared" si="8"/>
        <v>4.8675691859671133E-2</v>
      </c>
      <c r="N17" s="6">
        <f t="shared" si="8"/>
        <v>6.7616416387065392E-2</v>
      </c>
      <c r="O17" s="6">
        <f t="shared" si="8"/>
        <v>0.10596838753966087</v>
      </c>
      <c r="P17" s="6">
        <f t="shared" si="8"/>
        <v>8.3642956242563349E-2</v>
      </c>
      <c r="Q17" s="6">
        <f t="shared" si="8"/>
        <v>2.0602202199983877E-2</v>
      </c>
    </row>
    <row r="18" spans="1:17" ht="24.95" customHeight="1" x14ac:dyDescent="0.25">
      <c r="A18" s="4" t="s">
        <v>23</v>
      </c>
      <c r="B18" s="10">
        <v>946379</v>
      </c>
      <c r="C18" s="10">
        <v>1946015.264</v>
      </c>
      <c r="D18" s="10">
        <v>1214418.9890000003</v>
      </c>
      <c r="E18" s="10">
        <v>124562836</v>
      </c>
      <c r="F18" s="10">
        <v>170085.25055600004</v>
      </c>
      <c r="G18" s="10">
        <v>208190.41587000003</v>
      </c>
      <c r="H18" s="11">
        <v>81.696964697071394</v>
      </c>
      <c r="I18" s="9">
        <v>891126.84184000001</v>
      </c>
      <c r="J18" s="9">
        <v>39954.805</v>
      </c>
      <c r="K18" s="9">
        <v>931081.64684000006</v>
      </c>
      <c r="L18" s="9">
        <v>15080.519955989999</v>
      </c>
      <c r="M18" s="9">
        <v>1999.5806925300001</v>
      </c>
      <c r="N18" s="9">
        <v>61.322286999999996</v>
      </c>
      <c r="O18" s="9">
        <v>17141.422935519997</v>
      </c>
      <c r="P18" s="9">
        <v>24312.008027229989</v>
      </c>
      <c r="Q18" s="11">
        <v>70.505994059895102</v>
      </c>
    </row>
    <row r="19" spans="1:17" ht="24.95" customHeight="1" x14ac:dyDescent="0.25">
      <c r="A19" s="3" t="s">
        <v>26</v>
      </c>
      <c r="B19" s="8">
        <f>(B18-B15)/B15</f>
        <v>0.14889187259934056</v>
      </c>
      <c r="C19" s="8">
        <f t="shared" ref="C19:P19" si="9">(C18-C15)/C15</f>
        <v>0.15436575545062661</v>
      </c>
      <c r="D19" s="8">
        <f t="shared" si="9"/>
        <v>0.12741352761355221</v>
      </c>
      <c r="E19" s="8">
        <f t="shared" si="9"/>
        <v>0.19976254180821057</v>
      </c>
      <c r="F19" s="8">
        <f t="shared" si="9"/>
        <v>0.16666748444048146</v>
      </c>
      <c r="G19" s="8">
        <f t="shared" si="9"/>
        <v>0.16016663806157427</v>
      </c>
      <c r="H19" s="12">
        <f t="shared" si="9"/>
        <v>5.6033729687046613E-3</v>
      </c>
      <c r="I19" s="8">
        <f t="shared" si="9"/>
        <v>6.183269901450552E-2</v>
      </c>
      <c r="J19" s="8">
        <f t="shared" si="9"/>
        <v>9.7670131302627194E-2</v>
      </c>
      <c r="K19" s="8">
        <f t="shared" si="9"/>
        <v>6.332244172090648E-2</v>
      </c>
      <c r="L19" s="8">
        <f t="shared" si="9"/>
        <v>0.16625516017976341</v>
      </c>
      <c r="M19" s="8">
        <f t="shared" si="9"/>
        <v>0.11240306798727757</v>
      </c>
      <c r="N19" s="8">
        <f t="shared" si="9"/>
        <v>3.989431526988528E-2</v>
      </c>
      <c r="O19" s="8">
        <f t="shared" si="9"/>
        <v>0.15920499592300863</v>
      </c>
      <c r="P19" s="8">
        <f t="shared" si="9"/>
        <v>0.15548863569151128</v>
      </c>
      <c r="Q19" s="12">
        <f t="shared" ref="Q19" si="10">(Q18-Q15)/Q15</f>
        <v>3.2162672281698798E-3</v>
      </c>
    </row>
    <row r="20" spans="1:17" ht="24.95" customHeight="1" x14ac:dyDescent="0.25">
      <c r="A20" s="5" t="s">
        <v>27</v>
      </c>
      <c r="B20" s="6">
        <f>(((B18/B6)^(1/4))-1)</f>
        <v>9.7129487865897479E-2</v>
      </c>
      <c r="C20" s="6">
        <f t="shared" ref="C20:Q20" si="11">(((C18/C6)^(1/4))-1)</f>
        <v>0.10349656897313886</v>
      </c>
      <c r="D20" s="6">
        <f t="shared" si="11"/>
        <v>0.12535785300613633</v>
      </c>
      <c r="E20" s="6">
        <f t="shared" si="11"/>
        <v>0.14848994998300769</v>
      </c>
      <c r="F20" s="6">
        <f t="shared" si="11"/>
        <v>0.12759823919642477</v>
      </c>
      <c r="G20" s="6">
        <f t="shared" si="11"/>
        <v>0.10839665519567721</v>
      </c>
      <c r="H20" s="6">
        <f t="shared" si="11"/>
        <v>1.7323747695140446E-2</v>
      </c>
      <c r="I20" s="6">
        <f t="shared" si="11"/>
        <v>0.10703390381091138</v>
      </c>
      <c r="J20" s="6">
        <f t="shared" si="11"/>
        <v>0.54635981625273056</v>
      </c>
      <c r="K20" s="6">
        <f t="shared" si="11"/>
        <v>0.115968129777273</v>
      </c>
      <c r="L20" s="6">
        <f t="shared" si="11"/>
        <v>0.12773068237490381</v>
      </c>
      <c r="M20" s="6">
        <f t="shared" si="11"/>
        <v>6.425682859666737E-2</v>
      </c>
      <c r="N20" s="6">
        <f t="shared" si="11"/>
        <v>6.0617365130527512E-2</v>
      </c>
      <c r="O20" s="6">
        <f t="shared" si="11"/>
        <v>0.11904382774912992</v>
      </c>
      <c r="P20" s="6">
        <f t="shared" si="11"/>
        <v>0.10117433032833745</v>
      </c>
      <c r="Q20" s="6">
        <f t="shared" si="11"/>
        <v>1.622767342884246E-2</v>
      </c>
    </row>
    <row r="21" spans="1:17" ht="24.95" customHeight="1" x14ac:dyDescent="0.25">
      <c r="A21" s="4" t="s">
        <v>24</v>
      </c>
      <c r="B21" s="10">
        <v>1073127</v>
      </c>
      <c r="C21" s="10">
        <v>2215495.6658300003</v>
      </c>
      <c r="D21" s="10">
        <v>1366674.9050000003</v>
      </c>
      <c r="E21" s="10">
        <v>147120152</v>
      </c>
      <c r="F21" s="10">
        <v>199408.671974</v>
      </c>
      <c r="G21" s="10">
        <v>236210.76280200004</v>
      </c>
      <c r="H21" s="11">
        <v>84.419807805773516</v>
      </c>
      <c r="I21" s="9">
        <v>1024286.0248199997</v>
      </c>
      <c r="J21" s="9">
        <v>42863.362219999995</v>
      </c>
      <c r="K21" s="9">
        <v>1067149.3870399997</v>
      </c>
      <c r="L21" s="9">
        <v>17690.940125500001</v>
      </c>
      <c r="M21" s="9">
        <v>2490.5569689999998</v>
      </c>
      <c r="N21" s="9">
        <v>77.276630100000006</v>
      </c>
      <c r="O21" s="9">
        <v>20258.773724600003</v>
      </c>
      <c r="P21" s="9">
        <v>27865.255075000001</v>
      </c>
      <c r="Q21" s="11">
        <v>72.702631539072698</v>
      </c>
    </row>
    <row r="22" spans="1:17" ht="24.95" customHeight="1" x14ac:dyDescent="0.25">
      <c r="A22" s="3" t="s">
        <v>26</v>
      </c>
      <c r="B22" s="8">
        <f>(B21-B18)/B18</f>
        <v>0.13392942996410528</v>
      </c>
      <c r="C22" s="8">
        <f t="shared" ref="C22:P22" si="12">(C21-C18)/C18</f>
        <v>0.13847805143937469</v>
      </c>
      <c r="D22" s="8">
        <f t="shared" si="12"/>
        <v>0.12537346449545672</v>
      </c>
      <c r="E22" s="8">
        <f t="shared" si="12"/>
        <v>0.18109186274467931</v>
      </c>
      <c r="F22" s="8">
        <f t="shared" si="12"/>
        <v>0.17240425799499473</v>
      </c>
      <c r="G22" s="8">
        <f t="shared" si="12"/>
        <v>0.134589994524516</v>
      </c>
      <c r="H22" s="12">
        <f t="shared" si="12"/>
        <v>3.3328571248617371E-2</v>
      </c>
      <c r="I22" s="8">
        <f t="shared" si="12"/>
        <v>0.14942786675020631</v>
      </c>
      <c r="J22" s="8">
        <f t="shared" si="12"/>
        <v>7.2796181085103412E-2</v>
      </c>
      <c r="K22" s="8">
        <f t="shared" si="12"/>
        <v>0.14613942897682522</v>
      </c>
      <c r="L22" s="8">
        <f t="shared" si="12"/>
        <v>0.17309881735696653</v>
      </c>
      <c r="M22" s="8">
        <f t="shared" si="12"/>
        <v>0.24553961653269638</v>
      </c>
      <c r="N22" s="8">
        <f t="shared" si="12"/>
        <v>0.26017201706779153</v>
      </c>
      <c r="O22" s="8">
        <f t="shared" si="12"/>
        <v>0.18186067754155438</v>
      </c>
      <c r="P22" s="8">
        <f t="shared" si="12"/>
        <v>0.14615193626911838</v>
      </c>
      <c r="Q22" s="12">
        <f t="shared" ref="Q22" si="13">(Q21-Q18)/Q18</f>
        <v>3.1155329535692305E-2</v>
      </c>
    </row>
    <row r="23" spans="1:17" ht="24.95" customHeight="1" x14ac:dyDescent="0.25">
      <c r="A23" s="5" t="s">
        <v>27</v>
      </c>
      <c r="B23" s="6">
        <f>(((B21/B6)^(1/5))-1)</f>
        <v>0.10439267053945023</v>
      </c>
      <c r="C23" s="6">
        <f t="shared" ref="C23:Q23" si="14">(((C21/C6)^(1/5))-1)</f>
        <v>0.11040580162061953</v>
      </c>
      <c r="D23" s="6">
        <f t="shared" si="14"/>
        <v>0.12536097528667489</v>
      </c>
      <c r="E23" s="6">
        <f t="shared" si="14"/>
        <v>0.1549375319864017</v>
      </c>
      <c r="F23" s="6">
        <f t="shared" si="14"/>
        <v>0.13642031481972539</v>
      </c>
      <c r="G23" s="6">
        <f t="shared" si="14"/>
        <v>0.11358649426024225</v>
      </c>
      <c r="H23" s="6">
        <f t="shared" si="14"/>
        <v>2.0504757086382996E-2</v>
      </c>
      <c r="I23" s="6">
        <f t="shared" si="14"/>
        <v>0.11538572443527073</v>
      </c>
      <c r="J23" s="6">
        <f t="shared" si="14"/>
        <v>0.43731476926241353</v>
      </c>
      <c r="K23" s="6">
        <f t="shared" si="14"/>
        <v>0.12193817168989907</v>
      </c>
      <c r="L23" s="6">
        <f t="shared" si="14"/>
        <v>0.13666172615436301</v>
      </c>
      <c r="M23" s="6">
        <f t="shared" si="14"/>
        <v>9.8268848720820978E-2</v>
      </c>
      <c r="N23" s="6">
        <f t="shared" si="14"/>
        <v>9.7824586940137293E-2</v>
      </c>
      <c r="O23" s="6">
        <f t="shared" si="14"/>
        <v>0.13133424587287035</v>
      </c>
      <c r="P23" s="6">
        <f t="shared" si="14"/>
        <v>0.11002638413486809</v>
      </c>
      <c r="Q23" s="6">
        <f t="shared" si="14"/>
        <v>1.9195815561275253E-2</v>
      </c>
    </row>
    <row r="24" spans="1:17" ht="24.95" customHeight="1" x14ac:dyDescent="0.25">
      <c r="A24" s="4" t="s">
        <v>30</v>
      </c>
      <c r="B24" s="10">
        <v>1218108</v>
      </c>
      <c r="C24" s="10">
        <v>2565278.2113900012</v>
      </c>
      <c r="D24" s="10">
        <v>1549746.6299999997</v>
      </c>
      <c r="E24" s="10">
        <v>166233287</v>
      </c>
      <c r="F24" s="10">
        <v>225340.61556900005</v>
      </c>
      <c r="G24" s="10">
        <v>268503.79648400011</v>
      </c>
      <c r="H24" s="11">
        <v>83.924554706409111</v>
      </c>
      <c r="I24" s="9">
        <v>1099186.3980700003</v>
      </c>
      <c r="J24" s="9">
        <v>45933.591179999981</v>
      </c>
      <c r="K24" s="9">
        <v>1145119.9892500003</v>
      </c>
      <c r="L24" s="9">
        <v>20024.797594036787</v>
      </c>
      <c r="M24" s="9">
        <v>2677.7250096553994</v>
      </c>
      <c r="N24" s="9">
        <v>77.778576074900016</v>
      </c>
      <c r="O24" s="9">
        <v>22780.305138497195</v>
      </c>
      <c r="P24" s="9">
        <v>31666.313940435997</v>
      </c>
      <c r="Q24" s="11">
        <v>71.938607004739197</v>
      </c>
    </row>
    <row r="25" spans="1:17" ht="24.95" customHeight="1" x14ac:dyDescent="0.25">
      <c r="A25" s="3" t="s">
        <v>26</v>
      </c>
      <c r="B25" s="8">
        <f>(B24-B21)/B21</f>
        <v>0.13510143720174778</v>
      </c>
      <c r="C25" s="8">
        <f t="shared" ref="C25:P25" si="15">(C24-C21)/C21</f>
        <v>0.15788004055018562</v>
      </c>
      <c r="D25" s="8">
        <f t="shared" si="15"/>
        <v>0.13395411324977782</v>
      </c>
      <c r="E25" s="8">
        <f t="shared" si="15"/>
        <v>0.12991513902187921</v>
      </c>
      <c r="F25" s="8">
        <f t="shared" si="15"/>
        <v>0.13004421191060939</v>
      </c>
      <c r="G25" s="8">
        <f t="shared" si="15"/>
        <v>0.13671279538210201</v>
      </c>
      <c r="H25" s="12">
        <f t="shared" si="15"/>
        <v>-5.8665508988582889E-3</v>
      </c>
      <c r="I25" s="8">
        <f t="shared" si="15"/>
        <v>7.3124470543433476E-2</v>
      </c>
      <c r="J25" s="8">
        <f t="shared" si="15"/>
        <v>7.1628281147002981E-2</v>
      </c>
      <c r="K25" s="8">
        <f t="shared" si="15"/>
        <v>7.3064374263730025E-2</v>
      </c>
      <c r="L25" s="8">
        <f t="shared" si="15"/>
        <v>0.13192388035798769</v>
      </c>
      <c r="M25" s="8">
        <f t="shared" si="15"/>
        <v>7.5151077845270378E-2</v>
      </c>
      <c r="N25" s="8">
        <f t="shared" si="15"/>
        <v>6.4954433733777758E-3</v>
      </c>
      <c r="O25" s="8">
        <f t="shared" si="15"/>
        <v>0.12446614233295494</v>
      </c>
      <c r="P25" s="8">
        <f t="shared" si="15"/>
        <v>0.13640854372965025</v>
      </c>
      <c r="Q25" s="12">
        <f t="shared" ref="Q25" si="16">(Q24-Q21)/Q21</f>
        <v>-1.0508897933397226E-2</v>
      </c>
    </row>
    <row r="26" spans="1:17" ht="24.95" customHeight="1" x14ac:dyDescent="0.25">
      <c r="A26" s="5" t="s">
        <v>27</v>
      </c>
      <c r="B26" s="6">
        <f>(((B24/B6)^(1/6))-1)</f>
        <v>0.10945248868470325</v>
      </c>
      <c r="C26" s="6">
        <f t="shared" ref="C26:Q26" si="17">(((C24/C6)^(1/6))-1)</f>
        <v>0.11818079731492248</v>
      </c>
      <c r="D26" s="6">
        <f t="shared" si="17"/>
        <v>0.12678862940879276</v>
      </c>
      <c r="E26" s="6">
        <f t="shared" si="17"/>
        <v>0.15072897937586793</v>
      </c>
      <c r="F26" s="6">
        <f t="shared" si="17"/>
        <v>0.13535513812011901</v>
      </c>
      <c r="G26" s="6">
        <f t="shared" si="17"/>
        <v>0.11740794262308785</v>
      </c>
      <c r="H26" s="6">
        <f t="shared" si="17"/>
        <v>1.6061453308538809E-2</v>
      </c>
      <c r="I26" s="6">
        <f t="shared" si="17"/>
        <v>0.10822833814699129</v>
      </c>
      <c r="J26" s="6">
        <f t="shared" si="17"/>
        <v>0.36867584050280655</v>
      </c>
      <c r="K26" s="6">
        <f t="shared" si="17"/>
        <v>0.11364062739267711</v>
      </c>
      <c r="L26" s="6">
        <f t="shared" si="17"/>
        <v>0.1358707102721024</v>
      </c>
      <c r="M26" s="6">
        <f t="shared" si="17"/>
        <v>9.4381653098629892E-2</v>
      </c>
      <c r="N26" s="6">
        <f t="shared" si="17"/>
        <v>8.2046927996117125E-2</v>
      </c>
      <c r="O26" s="6">
        <f t="shared" si="17"/>
        <v>0.13018665568329824</v>
      </c>
      <c r="P26" s="6">
        <f t="shared" si="17"/>
        <v>0.11438048906494824</v>
      </c>
      <c r="Q26" s="6">
        <f t="shared" si="17"/>
        <v>1.4183814929865202E-2</v>
      </c>
    </row>
    <row r="27" spans="1:17" ht="24.95" customHeight="1" x14ac:dyDescent="0.25">
      <c r="A27" s="4" t="s">
        <v>31</v>
      </c>
      <c r="B27" s="10">
        <v>1202222</v>
      </c>
      <c r="C27" s="10">
        <v>2426253.8846666673</v>
      </c>
      <c r="D27" s="10">
        <v>1485265.2478999998</v>
      </c>
      <c r="E27" s="10">
        <v>163925024</v>
      </c>
      <c r="F27" s="10">
        <v>211485.26667399998</v>
      </c>
      <c r="G27" s="10">
        <v>250931.84819100003</v>
      </c>
      <c r="H27" s="11">
        <v>84.279962148537336</v>
      </c>
      <c r="I27" s="9">
        <v>919417.57864360779</v>
      </c>
      <c r="J27" s="9">
        <v>32136.309299999997</v>
      </c>
      <c r="K27" s="9">
        <v>951553.88943360792</v>
      </c>
      <c r="L27" s="9">
        <v>19163.191235107573</v>
      </c>
      <c r="M27" s="9">
        <v>1722.8163127006196</v>
      </c>
      <c r="N27" s="9">
        <v>59.629076190800014</v>
      </c>
      <c r="O27" s="9">
        <v>20945.636623998995</v>
      </c>
      <c r="P27" s="9">
        <v>30429.219200413405</v>
      </c>
      <c r="Q27" s="11">
        <v>68.833960168502884</v>
      </c>
    </row>
    <row r="28" spans="1:17" ht="24.95" customHeight="1" x14ac:dyDescent="0.25">
      <c r="A28" s="3" t="s">
        <v>26</v>
      </c>
      <c r="B28" s="8">
        <f>(B27-B24)/B24</f>
        <v>-1.3041536546841495E-2</v>
      </c>
      <c r="C28" s="8">
        <f t="shared" ref="C28:P28" si="18">(C27-C24)/C24</f>
        <v>-5.4194639047748079E-2</v>
      </c>
      <c r="D28" s="8">
        <f t="shared" si="18"/>
        <v>-4.160769305883235E-2</v>
      </c>
      <c r="E28" s="8">
        <f t="shared" si="18"/>
        <v>-1.388568464028507E-2</v>
      </c>
      <c r="F28" s="8">
        <f t="shared" si="18"/>
        <v>-6.1486247652312406E-2</v>
      </c>
      <c r="G28" s="8">
        <f t="shared" si="18"/>
        <v>-6.5443947248050097E-2</v>
      </c>
      <c r="H28" s="12">
        <f t="shared" si="18"/>
        <v>4.2348445383063029E-3</v>
      </c>
      <c r="I28" s="8">
        <f t="shared" si="18"/>
        <v>-0.16354716519603821</v>
      </c>
      <c r="J28" s="8">
        <f t="shared" si="18"/>
        <v>-0.3003745521645057</v>
      </c>
      <c r="K28" s="8">
        <f t="shared" si="18"/>
        <v>-0.16903564834561058</v>
      </c>
      <c r="L28" s="8">
        <f t="shared" si="18"/>
        <v>-4.302696968012263E-2</v>
      </c>
      <c r="M28" s="8">
        <f t="shared" si="18"/>
        <v>-0.35661193494908894</v>
      </c>
      <c r="N28" s="8">
        <f t="shared" si="18"/>
        <v>-0.23334831775040737</v>
      </c>
      <c r="O28" s="8">
        <f t="shared" si="18"/>
        <v>-8.0537486365699851E-2</v>
      </c>
      <c r="P28" s="8">
        <f t="shared" si="18"/>
        <v>-3.9066584836793899E-2</v>
      </c>
      <c r="Q28" s="12">
        <f t="shared" ref="Q28" si="19">(Q27-Q24)/Q24</f>
        <v>-4.3156893989228673E-2</v>
      </c>
    </row>
    <row r="29" spans="1:17" ht="24.95" customHeight="1" x14ac:dyDescent="0.25">
      <c r="A29" s="5" t="s">
        <v>27</v>
      </c>
      <c r="B29" s="6">
        <f>(((B27/B6)^(1/7))-1)</f>
        <v>9.1063836146654475E-2</v>
      </c>
      <c r="C29" s="6">
        <f t="shared" ref="C29:Q29" si="20">(((C27/C6)^(1/7))-1)</f>
        <v>9.1754146372822198E-2</v>
      </c>
      <c r="D29" s="6">
        <f t="shared" si="20"/>
        <v>0.10103144386360019</v>
      </c>
      <c r="E29" s="6">
        <f t="shared" si="20"/>
        <v>0.1256285004917681</v>
      </c>
      <c r="F29" s="6">
        <f t="shared" si="20"/>
        <v>0.1048891708648958</v>
      </c>
      <c r="G29" s="6">
        <f t="shared" si="20"/>
        <v>8.9243872585808015E-2</v>
      </c>
      <c r="H29" s="6">
        <f t="shared" si="20"/>
        <v>1.4363448510338328E-2</v>
      </c>
      <c r="I29" s="6">
        <f t="shared" si="20"/>
        <v>6.4569089681802083E-2</v>
      </c>
      <c r="J29" s="6">
        <f t="shared" si="20"/>
        <v>0.2435608165368468</v>
      </c>
      <c r="K29" s="6">
        <f t="shared" si="20"/>
        <v>6.8018978565652199E-2</v>
      </c>
      <c r="L29" s="6">
        <f t="shared" si="20"/>
        <v>0.10839908275085453</v>
      </c>
      <c r="M29" s="6">
        <f t="shared" si="20"/>
        <v>1.4407053484586596E-2</v>
      </c>
      <c r="N29" s="6">
        <f t="shared" si="20"/>
        <v>3.0072540978201223E-2</v>
      </c>
      <c r="O29" s="6">
        <f t="shared" si="20"/>
        <v>9.7356823356162803E-2</v>
      </c>
      <c r="P29" s="6">
        <f t="shared" si="20"/>
        <v>9.1043438947839173E-2</v>
      </c>
      <c r="Q29" s="6">
        <f t="shared" si="20"/>
        <v>5.7865564128334324E-3</v>
      </c>
    </row>
    <row r="30" spans="1:17" ht="24.95" customHeight="1" x14ac:dyDescent="0.25">
      <c r="A30" s="4" t="s">
        <v>34</v>
      </c>
      <c r="B30" s="10">
        <v>537753</v>
      </c>
      <c r="C30" s="10">
        <v>1067111.0842633336</v>
      </c>
      <c r="D30" s="10">
        <v>630225.9971634408</v>
      </c>
      <c r="E30" s="10">
        <v>58757505</v>
      </c>
      <c r="F30" s="10">
        <v>74190.294611999983</v>
      </c>
      <c r="G30" s="10">
        <v>108206.043019</v>
      </c>
      <c r="H30" s="11">
        <v>68.563910611695547</v>
      </c>
      <c r="I30" s="9">
        <v>564415.2767578694</v>
      </c>
      <c r="J30" s="9">
        <v>24565.987599999989</v>
      </c>
      <c r="K30" s="9">
        <v>588981.26435786963</v>
      </c>
      <c r="L30" s="9">
        <v>6457.4615675556606</v>
      </c>
      <c r="M30" s="9">
        <v>949.74304040226991</v>
      </c>
      <c r="N30" s="9">
        <v>23.644945314886137</v>
      </c>
      <c r="O30" s="9">
        <v>7430.8495532728157</v>
      </c>
      <c r="P30" s="9">
        <v>12355.534018377099</v>
      </c>
      <c r="Q30" s="11">
        <v>60.141872801454667</v>
      </c>
    </row>
    <row r="31" spans="1:17" ht="24.95" customHeight="1" x14ac:dyDescent="0.25">
      <c r="A31" s="3" t="s">
        <v>26</v>
      </c>
      <c r="B31" s="8">
        <f>(B30-B27)/B27</f>
        <v>-0.55270074911289258</v>
      </c>
      <c r="C31" s="8">
        <f t="shared" ref="C31:P31" si="21">(C30-C27)/C27</f>
        <v>-0.5601816071239637</v>
      </c>
      <c r="D31" s="8">
        <f t="shared" si="21"/>
        <v>-0.57568118014306846</v>
      </c>
      <c r="E31" s="8">
        <f t="shared" si="21"/>
        <v>-0.64155866159885389</v>
      </c>
      <c r="F31" s="8">
        <f t="shared" si="21"/>
        <v>-0.64919402765601297</v>
      </c>
      <c r="G31" s="8">
        <f t="shared" si="21"/>
        <v>-0.56878314251829221</v>
      </c>
      <c r="H31" s="12">
        <f t="shared" si="21"/>
        <v>-0.18647435447518812</v>
      </c>
      <c r="I31" s="8">
        <f t="shared" si="21"/>
        <v>-0.38611650476540138</v>
      </c>
      <c r="J31" s="8">
        <f t="shared" si="21"/>
        <v>-0.23556910749548979</v>
      </c>
      <c r="K31" s="8">
        <f t="shared" si="21"/>
        <v>-0.38103215078186681</v>
      </c>
      <c r="L31" s="8">
        <f t="shared" si="21"/>
        <v>-0.6630278595912884</v>
      </c>
      <c r="M31" s="8">
        <f t="shared" si="21"/>
        <v>-0.44872646410371531</v>
      </c>
      <c r="N31" s="8">
        <f t="shared" si="21"/>
        <v>-0.60346618084057724</v>
      </c>
      <c r="O31" s="8">
        <f t="shared" si="21"/>
        <v>-0.64523162094969555</v>
      </c>
      <c r="P31" s="8">
        <f t="shared" si="21"/>
        <v>-0.59395823017998317</v>
      </c>
      <c r="Q31" s="12">
        <f t="shared" ref="Q31" si="22">(Q30-Q27)/Q27</f>
        <v>-0.12627614836877496</v>
      </c>
    </row>
    <row r="32" spans="1:17" ht="24.95" customHeight="1" x14ac:dyDescent="0.25">
      <c r="A32" s="5" t="s">
        <v>27</v>
      </c>
      <c r="B32" s="6">
        <f>(((B30/B6)^(1/8))-1)</f>
        <v>-2.4013832947510472E-2</v>
      </c>
      <c r="C32" s="6">
        <f t="shared" ref="C32:Q32" si="23">(((C30/C6)^(1/8))-1)</f>
        <v>-2.5530126375475803E-2</v>
      </c>
      <c r="D32" s="6">
        <f t="shared" si="23"/>
        <v>-2.2681108936489447E-2</v>
      </c>
      <c r="E32" s="6">
        <f t="shared" si="23"/>
        <v>-2.439738228388455E-2</v>
      </c>
      <c r="F32" s="6">
        <f t="shared" si="23"/>
        <v>-4.2723826051663694E-2</v>
      </c>
      <c r="G32" s="6">
        <f t="shared" si="23"/>
        <v>-2.9888950637623091E-2</v>
      </c>
      <c r="H32" s="6">
        <f t="shared" si="23"/>
        <v>-1.3230315665898718E-2</v>
      </c>
      <c r="I32" s="6">
        <f t="shared" si="23"/>
        <v>-6.2254621843362834E-3</v>
      </c>
      <c r="J32" s="6">
        <f t="shared" si="23"/>
        <v>0.17017530698483285</v>
      </c>
      <c r="K32" s="6">
        <f t="shared" si="23"/>
        <v>-2.3800847848736151E-3</v>
      </c>
      <c r="L32" s="6">
        <f t="shared" si="23"/>
        <v>-4.4879013916535926E-2</v>
      </c>
      <c r="M32" s="6">
        <f t="shared" si="23"/>
        <v>-6.0045955670944617E-2</v>
      </c>
      <c r="N32" s="6">
        <f t="shared" si="23"/>
        <v>-8.5793377439813412E-2</v>
      </c>
      <c r="O32" s="6">
        <f t="shared" si="23"/>
        <v>-4.7099625052205552E-2</v>
      </c>
      <c r="P32" s="6">
        <f t="shared" si="23"/>
        <v>-3.5764480004704446E-2</v>
      </c>
      <c r="Q32" s="6">
        <f t="shared" si="23"/>
        <v>-1.1755577151478902E-2</v>
      </c>
    </row>
    <row r="33" spans="1:17" ht="24.95" customHeight="1" x14ac:dyDescent="0.25">
      <c r="A33" s="4" t="s">
        <v>37</v>
      </c>
      <c r="B33" s="10">
        <v>730526</v>
      </c>
      <c r="C33" s="10">
        <v>1238803.8863333333</v>
      </c>
      <c r="D33" s="10">
        <v>690185.03689999995</v>
      </c>
      <c r="E33" s="10">
        <v>84298830</v>
      </c>
      <c r="F33" s="10">
        <v>82064.735052000004</v>
      </c>
      <c r="G33" s="10">
        <v>111804.23415</v>
      </c>
      <c r="H33" s="11">
        <v>73.400382083830053</v>
      </c>
      <c r="I33" s="9">
        <v>581619.26256000006</v>
      </c>
      <c r="J33" s="9">
        <v>24549.987406980134</v>
      </c>
      <c r="K33" s="9">
        <v>606169.24996698007</v>
      </c>
      <c r="L33" s="9">
        <v>7161.9104496669988</v>
      </c>
      <c r="M33" s="9">
        <v>695.44608754670003</v>
      </c>
      <c r="N33" s="9">
        <v>25.935009247016367</v>
      </c>
      <c r="O33" s="9">
        <v>7883.291546460714</v>
      </c>
      <c r="P33" s="9">
        <v>12476.913367588</v>
      </c>
      <c r="Q33" s="11">
        <v>63.183027037276673</v>
      </c>
    </row>
    <row r="34" spans="1:17" ht="24.95" customHeight="1" x14ac:dyDescent="0.25">
      <c r="A34" s="3" t="s">
        <v>26</v>
      </c>
      <c r="B34" s="8">
        <f>(B33-B30)/B30</f>
        <v>0.35847870676686139</v>
      </c>
      <c r="C34" s="8">
        <f t="shared" ref="C34:P34" si="24">(C33-C30)/C30</f>
        <v>0.16089496642097542</v>
      </c>
      <c r="D34" s="8">
        <f t="shared" si="24"/>
        <v>9.5138950164586053E-2</v>
      </c>
      <c r="E34" s="8">
        <f t="shared" si="24"/>
        <v>0.43469042805680735</v>
      </c>
      <c r="F34" s="8">
        <f t="shared" si="24"/>
        <v>0.10613841717682519</v>
      </c>
      <c r="G34" s="8">
        <f t="shared" si="24"/>
        <v>3.3253144007568874E-2</v>
      </c>
      <c r="H34" s="12">
        <f t="shared" si="24"/>
        <v>7.0539609380295562E-2</v>
      </c>
      <c r="I34" s="8">
        <f t="shared" si="24"/>
        <v>3.0481077516105324E-2</v>
      </c>
      <c r="J34" s="8">
        <f t="shared" si="24"/>
        <v>-6.5131486998942995E-4</v>
      </c>
      <c r="K34" s="8">
        <f t="shared" si="24"/>
        <v>2.9182567679549971E-2</v>
      </c>
      <c r="L34" s="8">
        <f t="shared" si="24"/>
        <v>0.10909068133687598</v>
      </c>
      <c r="M34" s="8">
        <f t="shared" si="24"/>
        <v>-0.26775342596652324</v>
      </c>
      <c r="N34" s="8">
        <f t="shared" si="24"/>
        <v>9.6852155994984535E-2</v>
      </c>
      <c r="O34" s="8">
        <f t="shared" si="24"/>
        <v>6.0886980680240857E-2</v>
      </c>
      <c r="P34" s="8">
        <f t="shared" si="24"/>
        <v>9.8238853157109306E-3</v>
      </c>
      <c r="Q34" s="12">
        <f t="shared" ref="Q34" si="25">(Q33-Q30)/Q30</f>
        <v>5.0566337464443722E-2</v>
      </c>
    </row>
    <row r="35" spans="1:17" ht="24.95" customHeight="1" x14ac:dyDescent="0.25">
      <c r="A35" s="5" t="s">
        <v>27</v>
      </c>
      <c r="B35" s="6">
        <f>(((B33/B6)^(1/9))-1)</f>
        <v>1.2512135394424417E-2</v>
      </c>
      <c r="C35" s="6">
        <f t="shared" ref="C35:Q35" si="26">(((C33/C6)^(1/9))-1)</f>
        <v>-6.3908434978645623E-3</v>
      </c>
      <c r="D35" s="6">
        <f t="shared" si="26"/>
        <v>-1.024240842076285E-2</v>
      </c>
      <c r="E35" s="6">
        <f t="shared" si="26"/>
        <v>1.8315673900261231E-2</v>
      </c>
      <c r="F35" s="6">
        <f t="shared" si="26"/>
        <v>-2.7226028838580718E-2</v>
      </c>
      <c r="G35" s="6">
        <f t="shared" si="26"/>
        <v>-2.3068168510728015E-2</v>
      </c>
      <c r="H35" s="6">
        <f t="shared" si="26"/>
        <v>-4.2560393610210356E-3</v>
      </c>
      <c r="I35" s="6">
        <f t="shared" si="26"/>
        <v>-2.2123946687131468E-3</v>
      </c>
      <c r="J35" s="6">
        <f t="shared" si="26"/>
        <v>0.14983640145449817</v>
      </c>
      <c r="K35" s="6">
        <f t="shared" si="26"/>
        <v>1.0785245266182741E-3</v>
      </c>
      <c r="L35" s="6">
        <f t="shared" si="26"/>
        <v>-2.8885448301869565E-2</v>
      </c>
      <c r="M35" s="6">
        <f t="shared" si="26"/>
        <v>-8.5767403679624987E-2</v>
      </c>
      <c r="N35" s="6">
        <f t="shared" si="26"/>
        <v>-6.7103064664988721E-2</v>
      </c>
      <c r="O35" s="6">
        <f t="shared" si="26"/>
        <v>-3.5665558396456354E-2</v>
      </c>
      <c r="P35" s="6">
        <f t="shared" si="26"/>
        <v>-3.0802480705053981E-2</v>
      </c>
      <c r="Q35" s="6">
        <f t="shared" si="26"/>
        <v>-5.0176332425408976E-3</v>
      </c>
    </row>
    <row r="36" spans="1:17" ht="24.95" customHeight="1" x14ac:dyDescent="0.25">
      <c r="A36" s="4" t="s">
        <v>36</v>
      </c>
      <c r="B36" s="10">
        <v>1160527</v>
      </c>
      <c r="C36" s="10">
        <v>2399060.461666666</v>
      </c>
      <c r="D36" s="10">
        <v>1406313.0280746669</v>
      </c>
      <c r="E36" s="10">
        <v>159904874</v>
      </c>
      <c r="F36" s="10">
        <v>215166.58857599998</v>
      </c>
      <c r="G36" s="10">
        <v>260487.8959448</v>
      </c>
      <c r="H36" s="11">
        <v>82.601376849232153</v>
      </c>
      <c r="I36" s="9">
        <v>858196.20289399987</v>
      </c>
      <c r="J36" s="9">
        <v>34943.077700945796</v>
      </c>
      <c r="K36" s="9">
        <v>893139.28059494565</v>
      </c>
      <c r="L36" s="9">
        <v>19530.58144547468</v>
      </c>
      <c r="M36" s="9">
        <v>1780.7423683325935</v>
      </c>
      <c r="N36" s="9">
        <v>42.695041977135496</v>
      </c>
      <c r="O36" s="9">
        <v>21354.018855784409</v>
      </c>
      <c r="P36" s="9">
        <v>30276.654526941002</v>
      </c>
      <c r="Q36" s="11">
        <v>70.529651275648746</v>
      </c>
    </row>
    <row r="37" spans="1:17" ht="24.95" customHeight="1" x14ac:dyDescent="0.25">
      <c r="A37" s="3" t="s">
        <v>26</v>
      </c>
      <c r="B37" s="8">
        <f>(B36-B33)/B33</f>
        <v>0.58861833801945451</v>
      </c>
      <c r="C37" s="8">
        <f t="shared" ref="C37:Q37" si="27">(C36-C33)/C33</f>
        <v>0.93659423265736719</v>
      </c>
      <c r="D37" s="8">
        <f t="shared" si="27"/>
        <v>1.0375884043954227</v>
      </c>
      <c r="E37" s="8">
        <f t="shared" si="27"/>
        <v>0.89688129716628329</v>
      </c>
      <c r="F37" s="8">
        <f t="shared" si="27"/>
        <v>1.621912913502499</v>
      </c>
      <c r="G37" s="8">
        <f t="shared" si="27"/>
        <v>1.3298571644014967</v>
      </c>
      <c r="H37" s="12">
        <f t="shared" si="27"/>
        <v>0.12535349958933062</v>
      </c>
      <c r="I37" s="8">
        <f t="shared" si="27"/>
        <v>0.47552919605283539</v>
      </c>
      <c r="J37" s="8">
        <f t="shared" si="27"/>
        <v>0.4233440173175268</v>
      </c>
      <c r="K37" s="8">
        <f t="shared" si="27"/>
        <v>0.47341568488272495</v>
      </c>
      <c r="L37" s="8">
        <f t="shared" si="27"/>
        <v>1.7270072116557638</v>
      </c>
      <c r="M37" s="8">
        <f t="shared" si="27"/>
        <v>1.560575722863657</v>
      </c>
      <c r="N37" s="8">
        <f t="shared" si="27"/>
        <v>0.64623199361485661</v>
      </c>
      <c r="O37" s="8">
        <f t="shared" si="27"/>
        <v>1.7087693928269745</v>
      </c>
      <c r="P37" s="8">
        <f t="shared" si="27"/>
        <v>1.4266141500663472</v>
      </c>
      <c r="Q37" s="12">
        <f t="shared" si="27"/>
        <v>0.1162752812402881</v>
      </c>
    </row>
    <row r="38" spans="1:17" ht="24.95" customHeight="1" x14ac:dyDescent="0.25">
      <c r="A38" s="5" t="s">
        <v>27</v>
      </c>
      <c r="B38" s="6">
        <f>(((B36/B6)^(1/10))-1)</f>
        <v>5.9161462362308015E-2</v>
      </c>
      <c r="C38" s="6">
        <f t="shared" ref="C38:Q38" si="28">(((C36/C6)^(1/10))-1)</f>
        <v>6.2179438001342069E-2</v>
      </c>
      <c r="D38" s="6">
        <f t="shared" si="28"/>
        <v>6.3867650804887877E-2</v>
      </c>
      <c r="E38" s="6">
        <f t="shared" si="28"/>
        <v>8.3672870587047532E-2</v>
      </c>
      <c r="F38" s="6">
        <f t="shared" si="28"/>
        <v>7.4168898429679331E-2</v>
      </c>
      <c r="G38" s="6">
        <f t="shared" si="28"/>
        <v>6.5640614071485359E-2</v>
      </c>
      <c r="H38" s="6">
        <f t="shared" si="28"/>
        <v>8.0029648322148539E-3</v>
      </c>
      <c r="I38" s="6">
        <f t="shared" si="28"/>
        <v>3.7597878272612739E-2</v>
      </c>
      <c r="J38" s="6">
        <f t="shared" si="28"/>
        <v>0.17463634945778139</v>
      </c>
      <c r="K38" s="6">
        <f t="shared" si="28"/>
        <v>4.0528210636170181E-2</v>
      </c>
      <c r="L38" s="6">
        <f t="shared" si="28"/>
        <v>7.6742968441581239E-2</v>
      </c>
      <c r="M38" s="6">
        <f t="shared" si="28"/>
        <v>1.3409086285039562E-2</v>
      </c>
      <c r="N38" s="6">
        <f t="shared" si="28"/>
        <v>-1.2585720440760895E-2</v>
      </c>
      <c r="O38" s="6">
        <f t="shared" si="28"/>
        <v>6.9257028330862003E-2</v>
      </c>
      <c r="P38" s="6">
        <f t="shared" si="28"/>
        <v>6.2358597826476014E-2</v>
      </c>
      <c r="Q38" s="6">
        <f t="shared" si="28"/>
        <v>6.4935046588785461E-3</v>
      </c>
    </row>
    <row r="39" spans="1:17" x14ac:dyDescent="0.25">
      <c r="A39" s="18" t="s">
        <v>25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x14ac:dyDescent="0.25">
      <c r="A40" s="20" t="s">
        <v>35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 x14ac:dyDescent="0.25">
      <c r="A41" s="15" t="s">
        <v>33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P4:P5"/>
    <mergeCell ref="Q4:Q5"/>
    <mergeCell ref="A39:Q39"/>
    <mergeCell ref="A40:Q40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2022-23</vt:lpstr>
      <vt:lpstr>'2022-23'!Print_Area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2021-08-27T22:41:52Z</cp:lastPrinted>
  <dcterms:created xsi:type="dcterms:W3CDTF">2018-10-29T04:00:16Z</dcterms:created>
  <dcterms:modified xsi:type="dcterms:W3CDTF">2023-11-09T09:23:03Z</dcterms:modified>
</cp:coreProperties>
</file>