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SPICEJET\"/>
    </mc:Choice>
  </mc:AlternateContent>
  <bookViews>
    <workbookView xWindow="0" yWindow="0" windowWidth="24000" windowHeight="9735"/>
  </bookViews>
  <sheets>
    <sheet name="spicej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H6" i="1" l="1"/>
  <c r="P18" i="1" l="1"/>
  <c r="O18" i="1"/>
  <c r="M18" i="1"/>
  <c r="L18" i="1"/>
  <c r="K18" i="1"/>
  <c r="I18" i="1"/>
  <c r="G18" i="1"/>
  <c r="F18" i="1"/>
  <c r="E18" i="1"/>
  <c r="D18" i="1"/>
  <c r="C18" i="1"/>
  <c r="B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18" i="1" l="1"/>
  <c r="H18" i="1"/>
</calcChain>
</file>

<file path=xl/sharedStrings.xml><?xml version="1.0" encoding="utf-8"?>
<sst xmlns="http://schemas.openxmlformats.org/spreadsheetml/2006/main" count="26" uniqueCount="24">
  <si>
    <t xml:space="preserve">तालिका 1.03 (स्पाइसजेट) </t>
  </si>
  <si>
    <t>Table 1.03 (SPICEJET)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</si>
  <si>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</si>
  <si>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</si>
  <si>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</si>
  <si>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</si>
  <si>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</si>
  <si>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</si>
  <si>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</si>
  <si>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</si>
  <si>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</si>
  <si>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</si>
  <si>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</si>
  <si>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</si>
  <si>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</si>
  <si>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</si>
  <si>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</si>
  <si>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</si>
  <si>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</si>
  <si>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</si>
  <si>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</si>
  <si>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SPICEJET</t>
  </si>
  <si>
    <t>2022-23</t>
  </si>
  <si>
    <t>MONTHLY TRAFFIC AND OPERATING STATISTICS OF SPICEJET ON SCHEDULED (DOMESTIC + INTERNATIONAL)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</si>
</sst>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0" fontId="3" fillId="2" borderId="1" xfId="2" applyBorder="1" applyAlignment="1" applyProtection="1">
      <alignment horizontal="center" vertical="center" textRotation="90" wrapText="1"/>
    </xf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7" fontId="2" fillId="3" borderId="1" xfId="3" applyNumberFormat="1" applyFont="1" applyBorder="1" applyAlignment="1" applyProtection="1">
      <alignment horizontal="right" vertical="center" wrapText="1"/>
    </xf>
    <xf numFmtId="165" fontId="1" fillId="5" borderId="1" xfId="3" applyNumberFormat="1" applyFill="1" applyBorder="1" applyAlignment="1">
      <alignment horizontal="right" vertical="center"/>
    </xf>
    <xf numFmtId="166" fontId="0" fillId="5" borderId="1" xfId="1" applyNumberFormat="1" applyFont="1" applyFill="1" applyBorder="1" applyAlignment="1">
      <alignment horizontal="right" vertical="center"/>
    </xf>
    <xf numFmtId="166" fontId="1" fillId="5" borderId="1" xfId="3" applyNumberFormat="1" applyFill="1" applyBorder="1" applyAlignment="1">
      <alignment horizontal="right" vertical="center"/>
    </xf>
    <xf numFmtId="0" fontId="0" fillId="5" borderId="0" xfId="0" applyFill="1"/>
    <xf numFmtId="168" fontId="1" fillId="3" borderId="1" xfId="3" applyNumberFormat="1" applyBorder="1" applyAlignment="1" applyProtection="1">
      <alignment horizontal="center" vertical="center" wrapText="1"/>
    </xf>
    <xf numFmtId="168" fontId="1" fillId="5" borderId="1" xfId="3" applyNumberFormat="1" applyFill="1" applyBorder="1" applyAlignment="1" applyProtection="1">
      <alignment horizontal="center" vertical="center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0" fontId="4" fillId="4" borderId="2" xfId="0" applyFont="1" applyFill="1" applyBorder="1" applyAlignment="1" applyProtection="1">
      <alignment horizontal="left" vertical="center" wrapText="1"/>
    </xf>
    <xf numFmtId="0" fontId="4" fillId="4" borderId="3" xfId="0" applyFont="1" applyFill="1" applyBorder="1" applyAlignment="1" applyProtection="1">
      <alignment horizontal="left" vertical="center" wrapText="1"/>
    </xf>
    <xf numFmtId="0" fontId="4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17" zoomScaleNormal="100" zoomScaleSheetLayoutView="100" workbookViewId="0">
      <selection activeCell="G35" sqref="G34:G35"/>
    </sheetView>
  </sheetViews>
  <sheetFormatPr defaultRowHeight="15" x14ac:dyDescent="0.25"/>
  <cols>
    <col min="1" max="1" width="13.5703125" customWidth="1"/>
    <col min="2" max="2" width="9.5703125" customWidth="1"/>
    <col min="3" max="3" width="9.28515625" customWidth="1"/>
    <col min="4" max="4" width="9.85546875" customWidth="1"/>
    <col min="5" max="5" width="11.5703125" customWidth="1"/>
    <col min="6" max="6" width="10.7109375" customWidth="1"/>
    <col min="7" max="7" width="11.85546875" customWidth="1"/>
    <col min="8" max="8" width="7.28515625" customWidth="1"/>
    <col min="9" max="9" width="9.42578125" customWidth="1"/>
    <col min="10" max="10" width="8.140625" bestFit="1" customWidth="1"/>
    <col min="11" max="11" width="9.85546875" customWidth="1"/>
    <col min="12" max="12" width="10.5703125" customWidth="1"/>
    <col min="13" max="13" width="9.7109375" customWidth="1"/>
    <col min="14" max="14" width="7.140625" customWidth="1"/>
    <col min="15" max="15" width="11.140625" customWidth="1"/>
    <col min="16" max="16" width="10.42578125" customWidth="1"/>
    <col min="17" max="17" width="7" customWidth="1"/>
  </cols>
  <sheetData>
    <row r="1" spans="1:17" ht="18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8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8" customHeight="1" x14ac:dyDescent="0.25">
      <c r="A3" s="22" t="s">
        <v>23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18" customHeight="1" x14ac:dyDescent="0.25">
      <c r="A4" s="22" t="s">
        <v>2</v>
      </c>
      <c r="B4" s="22" t="s">
        <v>3</v>
      </c>
      <c r="C4" s="22"/>
      <c r="D4" s="22"/>
      <c r="E4" s="22" t="s">
        <v>4</v>
      </c>
      <c r="F4" s="23"/>
      <c r="G4" s="13" t="s">
        <v>5</v>
      </c>
      <c r="H4" s="13" t="s">
        <v>6</v>
      </c>
      <c r="I4" s="22" t="s">
        <v>7</v>
      </c>
      <c r="J4" s="22"/>
      <c r="K4" s="22"/>
      <c r="L4" s="22" t="s">
        <v>8</v>
      </c>
      <c r="M4" s="22"/>
      <c r="N4" s="22"/>
      <c r="O4" s="22"/>
      <c r="P4" s="13" t="s">
        <v>9</v>
      </c>
      <c r="Q4" s="13" t="s">
        <v>10</v>
      </c>
    </row>
    <row r="5" spans="1:17" ht="120.75" customHeight="1" x14ac:dyDescent="0.25">
      <c r="A5" s="22"/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4"/>
      <c r="H5" s="14"/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17</v>
      </c>
      <c r="O5" s="1" t="s">
        <v>18</v>
      </c>
      <c r="P5" s="14"/>
      <c r="Q5" s="14"/>
    </row>
    <row r="6" spans="1:17" ht="22.15" customHeight="1" x14ac:dyDescent="0.25">
      <c r="A6" s="11">
        <v>44652</v>
      </c>
      <c r="B6" s="2">
        <v>9461</v>
      </c>
      <c r="C6" s="2">
        <v>15377.033333333333</v>
      </c>
      <c r="D6" s="2">
        <v>9275.73</v>
      </c>
      <c r="E6" s="2">
        <v>1115884</v>
      </c>
      <c r="F6" s="2">
        <v>1243.8523909999999</v>
      </c>
      <c r="G6" s="2">
        <v>1453.5918009999998</v>
      </c>
      <c r="H6" s="3">
        <f t="shared" ref="H6:H18" si="0">F6/G6*100</f>
        <v>85.570955349658036</v>
      </c>
      <c r="I6" s="3">
        <v>5087.2968399999872</v>
      </c>
      <c r="J6" s="3"/>
      <c r="K6" s="3">
        <v>5087.2968399999872</v>
      </c>
      <c r="L6" s="3">
        <v>93.288929325000026</v>
      </c>
      <c r="M6" s="3">
        <v>6.4888692734800033</v>
      </c>
      <c r="N6" s="3">
        <v>0</v>
      </c>
      <c r="O6" s="3">
        <v>99.777798598480032</v>
      </c>
      <c r="P6" s="3">
        <v>134.857505</v>
      </c>
      <c r="Q6" s="3">
        <f t="shared" ref="Q6:Q18" si="1">O6/P6*100</f>
        <v>73.987575699609764</v>
      </c>
    </row>
    <row r="7" spans="1:17" s="10" customFormat="1" ht="22.15" customHeight="1" x14ac:dyDescent="0.25">
      <c r="A7" s="12">
        <v>44682</v>
      </c>
      <c r="B7" s="7">
        <v>10751</v>
      </c>
      <c r="C7" s="7">
        <v>18007.25</v>
      </c>
      <c r="D7" s="7">
        <v>10943.617</v>
      </c>
      <c r="E7" s="7">
        <v>1303314</v>
      </c>
      <c r="F7" s="7">
        <v>1510.4487629999999</v>
      </c>
      <c r="G7" s="7">
        <v>1741.256116</v>
      </c>
      <c r="H7" s="8">
        <f t="shared" si="0"/>
        <v>86.744778618196094</v>
      </c>
      <c r="I7" s="9">
        <v>5069.1001099999976</v>
      </c>
      <c r="J7" s="9"/>
      <c r="K7" s="9">
        <v>5069.1001099999976</v>
      </c>
      <c r="L7" s="9">
        <v>113.28365722500003</v>
      </c>
      <c r="M7" s="9">
        <v>6.7663033391000029</v>
      </c>
      <c r="N7" s="9">
        <v>0</v>
      </c>
      <c r="O7" s="9">
        <v>120.04996056410002</v>
      </c>
      <c r="P7" s="9">
        <v>161.24571750000001</v>
      </c>
      <c r="Q7" s="8">
        <f t="shared" si="1"/>
        <v>74.451565241786966</v>
      </c>
    </row>
    <row r="8" spans="1:17" ht="22.15" customHeight="1" x14ac:dyDescent="0.25">
      <c r="A8" s="11">
        <v>44713</v>
      </c>
      <c r="B8" s="2">
        <v>9936</v>
      </c>
      <c r="C8" s="2">
        <v>16615.416666666668</v>
      </c>
      <c r="D8" s="2">
        <v>10045.498</v>
      </c>
      <c r="E8" s="2">
        <v>1153551</v>
      </c>
      <c r="F8" s="2">
        <v>1337.2517359999999</v>
      </c>
      <c r="G8" s="2">
        <v>1589.837622</v>
      </c>
      <c r="H8" s="3">
        <f t="shared" si="0"/>
        <v>84.112472713895798</v>
      </c>
      <c r="I8" s="3">
        <v>4919.7898400000004</v>
      </c>
      <c r="J8" s="3"/>
      <c r="K8" s="3">
        <v>4919.7898400000004</v>
      </c>
      <c r="L8" s="3">
        <v>100.2938802</v>
      </c>
      <c r="M8" s="3">
        <v>6.5065818234000012</v>
      </c>
      <c r="N8" s="3">
        <v>0</v>
      </c>
      <c r="O8" s="3">
        <v>106.8004620234</v>
      </c>
      <c r="P8" s="3">
        <v>148.35895049999999</v>
      </c>
      <c r="Q8" s="3">
        <f t="shared" si="1"/>
        <v>71.987879169716834</v>
      </c>
    </row>
    <row r="9" spans="1:17" s="10" customFormat="1" ht="22.15" customHeight="1" x14ac:dyDescent="0.25">
      <c r="A9" s="12">
        <v>44743</v>
      </c>
      <c r="B9" s="7">
        <v>7678</v>
      </c>
      <c r="C9" s="7">
        <v>13564.583333333332</v>
      </c>
      <c r="D9" s="7">
        <v>8402.39</v>
      </c>
      <c r="E9" s="7">
        <v>934490</v>
      </c>
      <c r="F9" s="7">
        <v>1155.3026420000001</v>
      </c>
      <c r="G9" s="7">
        <v>1365.1707819999999</v>
      </c>
      <c r="H9" s="8">
        <f t="shared" si="0"/>
        <v>84.626968085814198</v>
      </c>
      <c r="I9" s="9">
        <v>4847.3807400000005</v>
      </c>
      <c r="J9" s="9"/>
      <c r="K9" s="9">
        <v>4847.3807400000005</v>
      </c>
      <c r="L9" s="9">
        <v>86.647698149999911</v>
      </c>
      <c r="M9" s="9">
        <v>6.6861576990499971</v>
      </c>
      <c r="N9" s="9">
        <v>0</v>
      </c>
      <c r="O9" s="9">
        <v>93.333855849049911</v>
      </c>
      <c r="P9" s="9">
        <v>128.150093</v>
      </c>
      <c r="Q9" s="8">
        <f t="shared" si="1"/>
        <v>72.831672349274001</v>
      </c>
    </row>
    <row r="10" spans="1:17" ht="22.15" customHeight="1" x14ac:dyDescent="0.25">
      <c r="A10" s="11">
        <v>44774</v>
      </c>
      <c r="B10" s="2">
        <v>7917</v>
      </c>
      <c r="C10" s="2">
        <v>13872.483333333334</v>
      </c>
      <c r="D10" s="2">
        <v>8615.732</v>
      </c>
      <c r="E10" s="2">
        <v>954226</v>
      </c>
      <c r="F10" s="2">
        <v>1181.081109</v>
      </c>
      <c r="G10" s="2">
        <v>1398.6406889999998</v>
      </c>
      <c r="H10" s="3">
        <f t="shared" si="0"/>
        <v>84.444927012987819</v>
      </c>
      <c r="I10" s="3">
        <v>4525.34375</v>
      </c>
      <c r="J10" s="3"/>
      <c r="K10" s="3">
        <v>4525.34375</v>
      </c>
      <c r="L10" s="3">
        <v>88.581083174999947</v>
      </c>
      <c r="M10" s="3">
        <v>6.3055528641699965</v>
      </c>
      <c r="N10" s="3">
        <v>0</v>
      </c>
      <c r="O10" s="3">
        <v>94.886636039169957</v>
      </c>
      <c r="P10" s="3">
        <v>131.888802</v>
      </c>
      <c r="Q10" s="3">
        <f t="shared" si="1"/>
        <v>71.944421816167505</v>
      </c>
    </row>
    <row r="11" spans="1:17" s="10" customFormat="1" ht="22.15" customHeight="1" x14ac:dyDescent="0.25">
      <c r="A11" s="12">
        <v>44805</v>
      </c>
      <c r="B11" s="7">
        <v>7301</v>
      </c>
      <c r="C11" s="7">
        <v>9071.4549999999999</v>
      </c>
      <c r="D11" s="7">
        <v>12135.508666666667</v>
      </c>
      <c r="E11" s="7">
        <v>910283</v>
      </c>
      <c r="F11" s="7">
        <v>1152.063314</v>
      </c>
      <c r="G11" s="7">
        <v>1349.414387</v>
      </c>
      <c r="H11" s="8">
        <f t="shared" si="0"/>
        <v>85.375057884276131</v>
      </c>
      <c r="I11" s="9">
        <v>4352.0406700000049</v>
      </c>
      <c r="J11" s="9"/>
      <c r="K11" s="9">
        <v>4352.0406700000049</v>
      </c>
      <c r="L11" s="9">
        <v>86.404748550000022</v>
      </c>
      <c r="M11" s="9">
        <v>6.073890551469999</v>
      </c>
      <c r="N11" s="9">
        <v>0</v>
      </c>
      <c r="O11" s="9">
        <v>92.478639101470023</v>
      </c>
      <c r="P11" s="9">
        <v>126.90219149999999</v>
      </c>
      <c r="Q11" s="8">
        <f t="shared" si="1"/>
        <v>72.87394962085429</v>
      </c>
    </row>
    <row r="12" spans="1:17" ht="22.15" customHeight="1" x14ac:dyDescent="0.25">
      <c r="A12" s="11">
        <v>44835</v>
      </c>
      <c r="B12" s="2">
        <v>7562</v>
      </c>
      <c r="C12" s="2">
        <v>13731.116666666665</v>
      </c>
      <c r="D12" s="2">
        <v>8778.9130000000005</v>
      </c>
      <c r="E12" s="2">
        <v>986323</v>
      </c>
      <c r="F12" s="2">
        <v>1265.102754</v>
      </c>
      <c r="G12" s="2">
        <v>1448.0504409999999</v>
      </c>
      <c r="H12" s="3">
        <f t="shared" si="0"/>
        <v>87.365931336365648</v>
      </c>
      <c r="I12" s="3">
        <v>3802.7977700000083</v>
      </c>
      <c r="J12" s="3"/>
      <c r="K12" s="3">
        <v>3802.7977700000083</v>
      </c>
      <c r="L12" s="3">
        <v>94.882706549999995</v>
      </c>
      <c r="M12" s="3">
        <v>5.3399358278999998</v>
      </c>
      <c r="N12" s="3">
        <v>0</v>
      </c>
      <c r="O12" s="3">
        <v>100.2226423779</v>
      </c>
      <c r="P12" s="3">
        <v>136.65979399999998</v>
      </c>
      <c r="Q12" s="3">
        <f t="shared" si="1"/>
        <v>73.337328737594916</v>
      </c>
    </row>
    <row r="13" spans="1:17" s="10" customFormat="1" ht="22.15" customHeight="1" x14ac:dyDescent="0.25">
      <c r="A13" s="12">
        <v>44866</v>
      </c>
      <c r="B13" s="7">
        <v>7362</v>
      </c>
      <c r="C13" s="7">
        <v>13424.833333333334</v>
      </c>
      <c r="D13" s="7">
        <v>8668.3379999999997</v>
      </c>
      <c r="E13" s="7">
        <v>1039526</v>
      </c>
      <c r="F13" s="7">
        <v>1327.3062399999999</v>
      </c>
      <c r="G13" s="7">
        <v>1484.0040730000001</v>
      </c>
      <c r="H13" s="8">
        <f t="shared" si="0"/>
        <v>89.440875813553106</v>
      </c>
      <c r="I13" s="9">
        <v>3873.2736899999986</v>
      </c>
      <c r="J13" s="9"/>
      <c r="K13" s="9">
        <v>3873.2736899999986</v>
      </c>
      <c r="L13" s="9">
        <v>99.547967999999983</v>
      </c>
      <c r="M13" s="9">
        <v>5.528471213249996</v>
      </c>
      <c r="N13" s="9">
        <v>0</v>
      </c>
      <c r="O13" s="9">
        <v>105.07643921324998</v>
      </c>
      <c r="P13" s="9">
        <v>142.490871</v>
      </c>
      <c r="Q13" s="8">
        <f t="shared" si="1"/>
        <v>73.7425762617803</v>
      </c>
    </row>
    <row r="14" spans="1:17" ht="22.15" customHeight="1" x14ac:dyDescent="0.25">
      <c r="A14" s="11">
        <v>44896</v>
      </c>
      <c r="B14" s="2">
        <v>7955</v>
      </c>
      <c r="C14" s="2">
        <v>10319.195666666667</v>
      </c>
      <c r="D14" s="2">
        <v>13373.201999999999</v>
      </c>
      <c r="E14" s="2">
        <v>1149390</v>
      </c>
      <c r="F14" s="2">
        <v>1465.14663</v>
      </c>
      <c r="G14" s="2">
        <v>1605.0049650000001</v>
      </c>
      <c r="H14" s="3">
        <f t="shared" si="0"/>
        <v>91.286112002775013</v>
      </c>
      <c r="I14" s="3">
        <v>4231.6567399999913</v>
      </c>
      <c r="J14" s="3"/>
      <c r="K14" s="3">
        <v>4231.6567399999913</v>
      </c>
      <c r="L14" s="3">
        <v>109.88599725000003</v>
      </c>
      <c r="M14" s="3">
        <v>6.0016046514399966</v>
      </c>
      <c r="N14" s="3">
        <v>0</v>
      </c>
      <c r="O14" s="3">
        <v>115.88760190144002</v>
      </c>
      <c r="P14" s="3">
        <v>153.66141150000001</v>
      </c>
      <c r="Q14" s="3">
        <f t="shared" si="1"/>
        <v>75.417504479607118</v>
      </c>
    </row>
    <row r="15" spans="1:17" s="10" customFormat="1" ht="22.15" customHeight="1" x14ac:dyDescent="0.25">
      <c r="A15" s="12">
        <v>44927</v>
      </c>
      <c r="B15" s="7">
        <v>7633</v>
      </c>
      <c r="C15" s="7">
        <v>14182</v>
      </c>
      <c r="D15" s="7">
        <v>9055.2649999999994</v>
      </c>
      <c r="E15" s="7">
        <v>1090280</v>
      </c>
      <c r="F15" s="7">
        <v>1396.5902249999999</v>
      </c>
      <c r="G15" s="7">
        <v>1566.5058210000002</v>
      </c>
      <c r="H15" s="8">
        <f t="shared" si="0"/>
        <v>89.153210047343947</v>
      </c>
      <c r="I15" s="9">
        <v>3968.2453500000024</v>
      </c>
      <c r="J15" s="9"/>
      <c r="K15" s="9">
        <v>3968.2453500000024</v>
      </c>
      <c r="L15" s="9">
        <v>104.74426687499997</v>
      </c>
      <c r="M15" s="9">
        <v>5.5642008180300007</v>
      </c>
      <c r="N15" s="9">
        <v>0</v>
      </c>
      <c r="O15" s="9">
        <v>110.30846769302997</v>
      </c>
      <c r="P15" s="9">
        <v>149.8611975</v>
      </c>
      <c r="Q15" s="8">
        <f t="shared" si="1"/>
        <v>73.607090783476465</v>
      </c>
    </row>
    <row r="16" spans="1:17" ht="22.15" customHeight="1" x14ac:dyDescent="0.25">
      <c r="A16" s="11">
        <v>44958</v>
      </c>
      <c r="B16" s="2">
        <v>6708</v>
      </c>
      <c r="C16" s="2">
        <v>12587.533333333333</v>
      </c>
      <c r="D16" s="2">
        <v>8127.6629999999996</v>
      </c>
      <c r="E16" s="2">
        <v>1019304</v>
      </c>
      <c r="F16" s="2">
        <v>1317.618579</v>
      </c>
      <c r="G16" s="2">
        <v>1429.2906809999999</v>
      </c>
      <c r="H16" s="3">
        <f t="shared" si="0"/>
        <v>92.186886580561151</v>
      </c>
      <c r="I16" s="3">
        <v>3857.513420000002</v>
      </c>
      <c r="J16" s="3"/>
      <c r="K16" s="3">
        <v>3857.513420000002</v>
      </c>
      <c r="L16" s="3">
        <v>98.821393425000039</v>
      </c>
      <c r="M16" s="3">
        <v>5.43332691174</v>
      </c>
      <c r="N16" s="3">
        <v>0</v>
      </c>
      <c r="O16" s="3">
        <v>104.25472033674004</v>
      </c>
      <c r="P16" s="3">
        <v>137.349412</v>
      </c>
      <c r="Q16" s="3">
        <f t="shared" si="1"/>
        <v>75.904744562532272</v>
      </c>
    </row>
    <row r="17" spans="1:17" s="10" customFormat="1" ht="22.15" customHeight="1" x14ac:dyDescent="0.25">
      <c r="A17" s="12">
        <v>44986</v>
      </c>
      <c r="B17" s="7">
        <v>6895</v>
      </c>
      <c r="C17" s="7">
        <v>13258.533333333333</v>
      </c>
      <c r="D17" s="7">
        <v>8557.0499999999993</v>
      </c>
      <c r="E17" s="7">
        <v>1003953</v>
      </c>
      <c r="F17" s="7">
        <v>1332.3434239999999</v>
      </c>
      <c r="G17" s="7">
        <v>1488.75623</v>
      </c>
      <c r="H17" s="8">
        <f t="shared" si="0"/>
        <v>89.493726182425448</v>
      </c>
      <c r="I17" s="9">
        <v>3655.2303999999986</v>
      </c>
      <c r="J17" s="9"/>
      <c r="K17" s="9">
        <v>3655.2303999999986</v>
      </c>
      <c r="L17" s="9">
        <v>99.925756799999988</v>
      </c>
      <c r="M17" s="9">
        <v>5.2124115986700028</v>
      </c>
      <c r="N17" s="9">
        <v>0</v>
      </c>
      <c r="O17" s="9">
        <v>105.13816839866998</v>
      </c>
      <c r="P17" s="9">
        <v>143.68299500000001</v>
      </c>
      <c r="Q17" s="8">
        <f t="shared" si="1"/>
        <v>73.173703261593332</v>
      </c>
    </row>
    <row r="18" spans="1:17" ht="22.15" customHeight="1" x14ac:dyDescent="0.25">
      <c r="A18" s="4" t="s">
        <v>22</v>
      </c>
      <c r="B18" s="5">
        <f>SUM(B6:B17)</f>
        <v>97159</v>
      </c>
      <c r="C18" s="5">
        <f t="shared" ref="C18:P18" si="2">SUM(C6:C17)</f>
        <v>164011.43399999998</v>
      </c>
      <c r="D18" s="5">
        <f t="shared" si="2"/>
        <v>115978.90666666668</v>
      </c>
      <c r="E18" s="5">
        <f t="shared" si="2"/>
        <v>12660524</v>
      </c>
      <c r="F18" s="5">
        <f t="shared" si="2"/>
        <v>15684.107806999999</v>
      </c>
      <c r="G18" s="5">
        <f t="shared" si="2"/>
        <v>17919.523608</v>
      </c>
      <c r="H18" s="6">
        <f t="shared" si="0"/>
        <v>87.525249834197481</v>
      </c>
      <c r="I18" s="6">
        <f t="shared" si="2"/>
        <v>52189.669320000001</v>
      </c>
      <c r="J18" s="3">
        <v>0</v>
      </c>
      <c r="K18" s="6">
        <f t="shared" si="2"/>
        <v>52189.669320000001</v>
      </c>
      <c r="L18" s="6">
        <f t="shared" si="2"/>
        <v>1176.308085525</v>
      </c>
      <c r="M18" s="6">
        <f t="shared" si="2"/>
        <v>71.907306571700005</v>
      </c>
      <c r="N18" s="3">
        <v>0</v>
      </c>
      <c r="O18" s="6">
        <f t="shared" si="2"/>
        <v>1248.2153920966998</v>
      </c>
      <c r="P18" s="6">
        <f t="shared" si="2"/>
        <v>1695.1089405000002</v>
      </c>
      <c r="Q18" s="6">
        <f t="shared" si="1"/>
        <v>73.636293354014057</v>
      </c>
    </row>
    <row r="19" spans="1:17" ht="22.15" customHeight="1" x14ac:dyDescent="0.25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2022-04-26T05:57:24Z</cp:lastPrinted>
  <dcterms:created xsi:type="dcterms:W3CDTF">2020-06-03T10:37:13Z</dcterms:created>
  <dcterms:modified xsi:type="dcterms:W3CDTF">2023-09-20T06:46:26Z</dcterms:modified>
</cp:coreProperties>
</file>