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VISTARA\"/>
    </mc:Choice>
  </mc:AlternateContent>
  <bookViews>
    <workbookView xWindow="0" yWindow="0" windowWidth="24000" windowHeight="94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6" i="1"/>
  <c r="H6" i="1"/>
  <c r="H18" i="1" l="1"/>
  <c r="Q17" i="1"/>
  <c r="Q16" i="1"/>
  <c r="Q15" i="1"/>
  <c r="Q14" i="1"/>
  <c r="Q13" i="1"/>
  <c r="Q12" i="1"/>
  <c r="Q11" i="1"/>
  <c r="Q10" i="1"/>
  <c r="Q9" i="1"/>
  <c r="Q8" i="1"/>
  <c r="Q7" i="1"/>
  <c r="H17" i="1"/>
  <c r="H16" i="1"/>
  <c r="H15" i="1"/>
  <c r="H14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<sst xmlns="http://schemas.openxmlformats.org/spreadsheetml/2006/main" count="26" uniqueCount="24">
  <si>
    <t xml:space="preserve">तालिका 1.03 (विस्तारा) </t>
  </si>
  <si>
    <t>Table 1.03 (VISTARA)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</si>
  <si>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</si>
  <si>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</si>
  <si>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</si>
  <si>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</si>
  <si>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</si>
  <si>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</si>
  <si>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</si>
  <si>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</si>
  <si>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</si>
  <si>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</si>
  <si>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</si>
  <si>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</si>
  <si>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</si>
  <si>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</si>
  <si>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</si>
  <si>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</si>
  <si>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</si>
  <si>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</si>
  <si>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</si>
  <si>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VISTARA</t>
  </si>
  <si>
    <t>2022-23</t>
  </si>
  <si>
    <t>MONTHLY TRAFFIC AND OPERATING STATISTICS OF VISTARA ON SCHEDULED (DOMESTIC + INTERNATIONAL)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</si>
</sst>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  <numFmt numFmtId="168" formatCode="[$-409]m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</cellStyleXfs>
  <cellXfs count="26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7" fontId="1" fillId="3" borderId="1" xfId="3" applyNumberFormat="1" applyBorder="1" applyAlignment="1">
      <alignment horizontal="center" vertical="center"/>
    </xf>
    <xf numFmtId="166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165" fontId="0" fillId="3" borderId="1" xfId="3" applyNumberFormat="1" applyFont="1" applyBorder="1" applyAlignment="1">
      <alignment horizontal="center" vertical="center"/>
    </xf>
    <xf numFmtId="165" fontId="1" fillId="5" borderId="1" xfId="3" applyNumberForma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168" fontId="1" fillId="7" borderId="1" xfId="4" applyNumberFormat="1" applyFill="1" applyBorder="1" applyAlignment="1" applyProtection="1">
      <alignment horizontal="center" vertical="center" wrapText="1"/>
    </xf>
    <xf numFmtId="168" fontId="2" fillId="7" borderId="1" xfId="4" applyNumberFormat="1" applyFont="1" applyFill="1" applyBorder="1" applyAlignment="1" applyProtection="1">
      <alignment horizontal="center" vertical="center" wrapText="1"/>
    </xf>
    <xf numFmtId="165" fontId="4" fillId="5" borderId="1" xfId="3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5">
    <cellStyle name="40% - Accent1" xfId="3" builtinId="31"/>
    <cellStyle name="40% - Accent6" xfId="4" builtinId="5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2" zoomScale="93" zoomScaleNormal="93" workbookViewId="0">
      <selection activeCell="U8" sqref="U8"/>
    </sheetView>
  </sheetViews>
  <sheetFormatPr defaultRowHeight="18" customHeight="1" x14ac:dyDescent="0.25"/>
  <cols>
    <col min="1" max="1" width="13.140625" customWidth="1"/>
    <col min="2" max="2" width="10" bestFit="1" customWidth="1"/>
    <col min="3" max="3" width="10.140625" customWidth="1"/>
    <col min="4" max="4" width="10" bestFit="1" customWidth="1"/>
    <col min="5" max="5" width="12.7109375" customWidth="1"/>
    <col min="6" max="6" width="12.140625" customWidth="1"/>
    <col min="7" max="7" width="11.42578125" customWidth="1"/>
    <col min="8" max="8" width="8.140625" customWidth="1"/>
    <col min="9" max="9" width="8.7109375" customWidth="1"/>
    <col min="10" max="10" width="10.140625" customWidth="1"/>
    <col min="11" max="11" width="8.5703125" customWidth="1"/>
    <col min="12" max="12" width="10.140625" customWidth="1"/>
    <col min="13" max="13" width="9.42578125" customWidth="1"/>
    <col min="14" max="14" width="8.140625" customWidth="1"/>
    <col min="15" max="15" width="9.7109375" customWidth="1"/>
    <col min="16" max="16" width="11.5703125" customWidth="1"/>
    <col min="17" max="17" width="8.140625" customWidth="1"/>
  </cols>
  <sheetData>
    <row r="1" spans="1:17" ht="18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8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8" customHeight="1" x14ac:dyDescent="0.25">
      <c r="A3" s="24" t="s">
        <v>23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0.75" customHeight="1" x14ac:dyDescent="0.25">
      <c r="A4" s="24" t="s">
        <v>2</v>
      </c>
      <c r="B4" s="24" t="s">
        <v>3</v>
      </c>
      <c r="C4" s="24"/>
      <c r="D4" s="24"/>
      <c r="E4" s="24" t="s">
        <v>4</v>
      </c>
      <c r="F4" s="25"/>
      <c r="G4" s="16" t="s">
        <v>5</v>
      </c>
      <c r="H4" s="16" t="s">
        <v>6</v>
      </c>
      <c r="I4" s="24" t="s">
        <v>7</v>
      </c>
      <c r="J4" s="24"/>
      <c r="K4" s="24"/>
      <c r="L4" s="24" t="s">
        <v>8</v>
      </c>
      <c r="M4" s="24"/>
      <c r="N4" s="24"/>
      <c r="O4" s="24"/>
      <c r="P4" s="16" t="s">
        <v>9</v>
      </c>
      <c r="Q4" s="16" t="s">
        <v>10</v>
      </c>
    </row>
    <row r="5" spans="1:17" ht="100.9" customHeight="1" x14ac:dyDescent="0.25">
      <c r="A5" s="24"/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17"/>
      <c r="H5" s="17"/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17</v>
      </c>
      <c r="O5" s="7" t="s">
        <v>18</v>
      </c>
      <c r="P5" s="17"/>
      <c r="Q5" s="17"/>
    </row>
    <row r="6" spans="1:17" ht="18" customHeight="1" x14ac:dyDescent="0.25">
      <c r="A6" s="11">
        <v>44652</v>
      </c>
      <c r="B6" s="1">
        <v>6888</v>
      </c>
      <c r="C6" s="4">
        <v>12417.66</v>
      </c>
      <c r="D6" s="4">
        <v>8601.9570000000003</v>
      </c>
      <c r="E6" s="4">
        <v>958846</v>
      </c>
      <c r="F6" s="1">
        <v>1247.6016239999999</v>
      </c>
      <c r="G6" s="1">
        <v>1536.9964</v>
      </c>
      <c r="H6" s="8">
        <f t="shared" ref="H6:H18" si="0">F6/G6*100</f>
        <v>81.171408339017574</v>
      </c>
      <c r="I6" s="1">
        <v>5670.3909999999996</v>
      </c>
      <c r="J6" s="1">
        <v>404.00295</v>
      </c>
      <c r="K6" s="1">
        <v>6074.3939499999997</v>
      </c>
      <c r="L6" s="1">
        <v>115.69363747500006</v>
      </c>
      <c r="M6" s="1">
        <v>12.067522584000001</v>
      </c>
      <c r="N6" s="1">
        <v>0.50284881702000039</v>
      </c>
      <c r="O6" s="1">
        <v>128.26400887602006</v>
      </c>
      <c r="P6" s="1">
        <v>175.23293310000005</v>
      </c>
      <c r="Q6" s="8">
        <f t="shared" ref="Q6" si="1">O6/P6*100</f>
        <v>73.196291705523038</v>
      </c>
    </row>
    <row r="7" spans="1:17" ht="18" customHeight="1" x14ac:dyDescent="0.25">
      <c r="A7" s="11">
        <v>44682</v>
      </c>
      <c r="B7" s="9">
        <v>7357</v>
      </c>
      <c r="C7" s="9">
        <v>13599.17</v>
      </c>
      <c r="D7" s="9">
        <v>9312.1620000000003</v>
      </c>
      <c r="E7" s="9">
        <v>1050837</v>
      </c>
      <c r="F7" s="9">
        <v>1381.4449890000001</v>
      </c>
      <c r="G7" s="9">
        <v>1668.3819900000001</v>
      </c>
      <c r="H7" s="10">
        <f t="shared" si="0"/>
        <v>82.801480553023708</v>
      </c>
      <c r="I7" s="9">
        <v>6532.7909999999993</v>
      </c>
      <c r="J7" s="9">
        <v>383.95</v>
      </c>
      <c r="K7" s="9">
        <v>6916.741</v>
      </c>
      <c r="L7" s="9">
        <v>128.46979693500006</v>
      </c>
      <c r="M7" s="9">
        <v>14.380465519999998</v>
      </c>
      <c r="N7" s="9">
        <v>0.46559882746999903</v>
      </c>
      <c r="O7" s="9">
        <v>143.31586128247005</v>
      </c>
      <c r="P7" s="9">
        <v>190.09907710000007</v>
      </c>
      <c r="Q7" s="10">
        <f t="shared" ref="Q7:Q17" si="2">O7/P7*100</f>
        <v>75.39008787879591</v>
      </c>
    </row>
    <row r="8" spans="1:17" ht="18" customHeight="1" x14ac:dyDescent="0.25">
      <c r="A8" s="11">
        <v>44713</v>
      </c>
      <c r="B8" s="1">
        <v>7667</v>
      </c>
      <c r="C8" s="1">
        <v>13777.810000000001</v>
      </c>
      <c r="D8" s="1">
        <v>9434.3230000000003</v>
      </c>
      <c r="E8" s="1">
        <v>1068620</v>
      </c>
      <c r="F8" s="1">
        <v>1405.442548</v>
      </c>
      <c r="G8" s="1">
        <v>1683.1720700000001</v>
      </c>
      <c r="H8" s="1">
        <f t="shared" si="0"/>
        <v>83.499635779959206</v>
      </c>
      <c r="I8" s="1">
        <v>6982.3930000000028</v>
      </c>
      <c r="J8" s="1">
        <v>404.85043000000013</v>
      </c>
      <c r="K8" s="1">
        <v>7387.2434300000032</v>
      </c>
      <c r="L8" s="1">
        <v>131.05410499500005</v>
      </c>
      <c r="M8" s="1">
        <v>14.592470279000006</v>
      </c>
      <c r="N8" s="1">
        <v>0.48489278826000093</v>
      </c>
      <c r="O8" s="1">
        <v>146.13146806226004</v>
      </c>
      <c r="P8" s="1">
        <v>191.00993580000008</v>
      </c>
      <c r="Q8" s="1">
        <f t="shared" si="2"/>
        <v>76.5046422586463</v>
      </c>
    </row>
    <row r="9" spans="1:17" ht="18" customHeight="1" x14ac:dyDescent="0.25">
      <c r="A9" s="11">
        <v>44743</v>
      </c>
      <c r="B9" s="9">
        <v>7801</v>
      </c>
      <c r="C9" s="9">
        <v>14144.61</v>
      </c>
      <c r="D9" s="9">
        <v>9645.77</v>
      </c>
      <c r="E9" s="9">
        <v>1098320</v>
      </c>
      <c r="F9" s="9">
        <v>1452.5740580000002</v>
      </c>
      <c r="G9" s="9">
        <v>1723.06321</v>
      </c>
      <c r="H9" s="10">
        <f t="shared" si="0"/>
        <v>84.30184392364805</v>
      </c>
      <c r="I9" s="9">
        <v>7573.4050000000007</v>
      </c>
      <c r="J9" s="9">
        <v>423.23</v>
      </c>
      <c r="K9" s="9">
        <v>7996.6350000000011</v>
      </c>
      <c r="L9" s="9">
        <v>135.65007502499998</v>
      </c>
      <c r="M9" s="9">
        <v>15.625954221000004</v>
      </c>
      <c r="N9" s="9">
        <v>0.50092288184000111</v>
      </c>
      <c r="O9" s="9">
        <v>151.77695212783999</v>
      </c>
      <c r="P9" s="9">
        <v>182.01347939999994</v>
      </c>
      <c r="Q9" s="10">
        <f t="shared" si="2"/>
        <v>83.387753823599525</v>
      </c>
    </row>
    <row r="10" spans="1:17" ht="18" customHeight="1" x14ac:dyDescent="0.25">
      <c r="A10" s="11">
        <v>44774</v>
      </c>
      <c r="B10" s="1">
        <v>7565</v>
      </c>
      <c r="C10" s="1">
        <v>13953.480000000001</v>
      </c>
      <c r="D10" s="1">
        <v>9598.2039999999997</v>
      </c>
      <c r="E10" s="1">
        <v>1073748</v>
      </c>
      <c r="F10" s="1">
        <v>1439.180018</v>
      </c>
      <c r="G10" s="1">
        <v>1718.168314</v>
      </c>
      <c r="H10" s="1">
        <f t="shared" si="0"/>
        <v>83.762458326885422</v>
      </c>
      <c r="I10" s="1">
        <v>6447.1639999999998</v>
      </c>
      <c r="J10" s="1">
        <v>297.87</v>
      </c>
      <c r="K10" s="1">
        <v>6745.0339999999997</v>
      </c>
      <c r="L10" s="1">
        <v>134.73434119500001</v>
      </c>
      <c r="M10" s="1">
        <v>13.685613914000001</v>
      </c>
      <c r="N10" s="1">
        <v>0.36491416617999944</v>
      </c>
      <c r="O10" s="15">
        <v>148.78486927518</v>
      </c>
      <c r="P10" s="1">
        <v>185.25283620000005</v>
      </c>
      <c r="Q10" s="1">
        <f t="shared" si="2"/>
        <v>80.314489282394035</v>
      </c>
    </row>
    <row r="11" spans="1:17" ht="18" customHeight="1" x14ac:dyDescent="0.25">
      <c r="A11" s="11">
        <v>44805</v>
      </c>
      <c r="B11" s="9">
        <v>7554</v>
      </c>
      <c r="C11" s="9">
        <v>13919.2</v>
      </c>
      <c r="D11" s="9">
        <v>9564.02</v>
      </c>
      <c r="E11" s="9">
        <v>1088995</v>
      </c>
      <c r="F11" s="9">
        <v>1442.9645390000001</v>
      </c>
      <c r="G11" s="9">
        <v>1708.382216</v>
      </c>
      <c r="H11" s="10">
        <f t="shared" si="0"/>
        <v>84.463800049297632</v>
      </c>
      <c r="I11" s="9">
        <v>5334.8519999999999</v>
      </c>
      <c r="J11" s="9">
        <v>462.55</v>
      </c>
      <c r="K11" s="9">
        <v>5797.402</v>
      </c>
      <c r="L11" s="9">
        <v>134.92924160999993</v>
      </c>
      <c r="M11" s="9">
        <v>12.918005084000002</v>
      </c>
      <c r="N11" s="9">
        <v>0.65446533869000079</v>
      </c>
      <c r="O11" s="9">
        <v>148.50171203268994</v>
      </c>
      <c r="P11" s="9">
        <v>193.63432280000004</v>
      </c>
      <c r="Q11" s="10">
        <f t="shared" si="2"/>
        <v>76.691833289325245</v>
      </c>
    </row>
    <row r="12" spans="1:17" ht="18" customHeight="1" x14ac:dyDescent="0.25">
      <c r="A12" s="11">
        <v>44835</v>
      </c>
      <c r="B12" s="1">
        <v>7978</v>
      </c>
      <c r="C12" s="1">
        <v>14729.759999999998</v>
      </c>
      <c r="D12" s="1">
        <v>10193.167000000001</v>
      </c>
      <c r="E12" s="1">
        <v>1156679</v>
      </c>
      <c r="F12" s="1">
        <v>1531.770278</v>
      </c>
      <c r="G12" s="1">
        <v>1820.490826</v>
      </c>
      <c r="H12" s="1">
        <f t="shared" si="0"/>
        <v>84.140510686649293</v>
      </c>
      <c r="I12" s="1">
        <v>7010.4009999999998</v>
      </c>
      <c r="J12" s="1">
        <v>421.56621999999999</v>
      </c>
      <c r="K12" s="1">
        <v>7431.9672200000005</v>
      </c>
      <c r="L12" s="1">
        <v>143.49984733500003</v>
      </c>
      <c r="M12" s="1">
        <v>15.010283266</v>
      </c>
      <c r="N12" s="1">
        <v>0.64892362053999908</v>
      </c>
      <c r="O12" s="15">
        <v>159.15905422154</v>
      </c>
      <c r="P12" s="1">
        <v>198.50613709999999</v>
      </c>
      <c r="Q12" s="15">
        <f t="shared" si="2"/>
        <v>80.178404832572809</v>
      </c>
    </row>
    <row r="13" spans="1:17" ht="18" customHeight="1" x14ac:dyDescent="0.25">
      <c r="A13" s="11">
        <v>44866</v>
      </c>
      <c r="B13" s="9">
        <v>7798</v>
      </c>
      <c r="C13" s="9">
        <v>14596.58</v>
      </c>
      <c r="D13" s="9">
        <v>10047.73</v>
      </c>
      <c r="E13" s="9">
        <v>1203062</v>
      </c>
      <c r="F13" s="9">
        <v>1604.837751</v>
      </c>
      <c r="G13" s="9">
        <v>1821.8059880000001</v>
      </c>
      <c r="H13" s="10">
        <f>F13/G13*100</f>
        <v>88.090486120413388</v>
      </c>
      <c r="I13" s="9">
        <v>5893.4974499999998</v>
      </c>
      <c r="J13" s="9">
        <v>443.07080999999999</v>
      </c>
      <c r="K13" s="9">
        <v>6336.56826</v>
      </c>
      <c r="L13" s="9">
        <v>150.71215279499998</v>
      </c>
      <c r="M13" s="9">
        <v>11.286947017210883</v>
      </c>
      <c r="N13" s="9">
        <v>1.5062747591300003</v>
      </c>
      <c r="O13" s="9">
        <v>163.50537457134087</v>
      </c>
      <c r="P13" s="9">
        <v>199.00477251200007</v>
      </c>
      <c r="Q13" s="14">
        <f t="shared" si="2"/>
        <v>82.161534372991696</v>
      </c>
    </row>
    <row r="14" spans="1:17" ht="18" customHeight="1" x14ac:dyDescent="0.25">
      <c r="A14" s="11">
        <v>44896</v>
      </c>
      <c r="B14" s="1">
        <v>8495</v>
      </c>
      <c r="C14" s="1">
        <v>16219.5</v>
      </c>
      <c r="D14" s="1">
        <v>11124.492999999999</v>
      </c>
      <c r="E14" s="1">
        <v>1317752</v>
      </c>
      <c r="F14" s="1">
        <v>1800.8596490000002</v>
      </c>
      <c r="G14" s="1">
        <v>2018.5435759999998</v>
      </c>
      <c r="H14" s="1">
        <f t="shared" si="0"/>
        <v>89.215792535360166</v>
      </c>
      <c r="I14" s="1">
        <v>5781.9818499999992</v>
      </c>
      <c r="J14" s="1">
        <v>462.06131999999997</v>
      </c>
      <c r="K14" s="1">
        <v>6244.0431699999999</v>
      </c>
      <c r="L14" s="1">
        <v>169.982262375</v>
      </c>
      <c r="M14" s="1">
        <v>11.011868090206431</v>
      </c>
      <c r="N14" s="1">
        <v>0.68429122636999995</v>
      </c>
      <c r="O14" s="15">
        <v>181.67842169157643</v>
      </c>
      <c r="P14" s="1">
        <v>216.63631120000008</v>
      </c>
      <c r="Q14" s="15">
        <f t="shared" si="2"/>
        <v>83.863328675242116</v>
      </c>
    </row>
    <row r="15" spans="1:17" ht="18" customHeight="1" x14ac:dyDescent="0.25">
      <c r="A15" s="11">
        <v>44927</v>
      </c>
      <c r="B15" s="9">
        <v>8312</v>
      </c>
      <c r="C15" s="9">
        <v>15995.933333333332</v>
      </c>
      <c r="D15" s="9">
        <v>10829.103999999999</v>
      </c>
      <c r="E15" s="9">
        <v>1250221</v>
      </c>
      <c r="F15" s="9">
        <v>1712.9721370000002</v>
      </c>
      <c r="G15" s="9">
        <v>1964.9256229999999</v>
      </c>
      <c r="H15" s="10">
        <f t="shared" si="0"/>
        <v>87.177454298991563</v>
      </c>
      <c r="I15" s="9">
        <v>6436.2558100000006</v>
      </c>
      <c r="J15" s="9">
        <v>417.42628999999999</v>
      </c>
      <c r="K15" s="9">
        <v>6853.6821</v>
      </c>
      <c r="L15" s="9">
        <v>162.01864492500002</v>
      </c>
      <c r="M15" s="9">
        <v>15.364771974446256</v>
      </c>
      <c r="N15" s="9">
        <v>0.59967841634999997</v>
      </c>
      <c r="O15" s="9">
        <v>177.98309531579628</v>
      </c>
      <c r="P15" s="9">
        <v>224.27570147800009</v>
      </c>
      <c r="Q15" s="14">
        <f t="shared" si="2"/>
        <v>79.359063038425134</v>
      </c>
    </row>
    <row r="16" spans="1:17" ht="18" customHeight="1" x14ac:dyDescent="0.25">
      <c r="A16" s="11">
        <v>44958</v>
      </c>
      <c r="B16" s="1">
        <v>7598</v>
      </c>
      <c r="C16" s="1">
        <v>14475.633333333333</v>
      </c>
      <c r="D16" s="1">
        <v>9839.1130000000012</v>
      </c>
      <c r="E16" s="1">
        <v>1191627</v>
      </c>
      <c r="F16" s="1">
        <v>1626.0752380000001</v>
      </c>
      <c r="G16" s="1">
        <v>1787.562698</v>
      </c>
      <c r="H16" s="1">
        <f t="shared" si="0"/>
        <v>90.96605337643939</v>
      </c>
      <c r="I16" s="1">
        <v>6899.0516539999999</v>
      </c>
      <c r="J16" s="1">
        <v>387.39814999999999</v>
      </c>
      <c r="K16" s="1">
        <v>7286.4498039999999</v>
      </c>
      <c r="L16" s="1">
        <v>153.81554643000001</v>
      </c>
      <c r="M16" s="1">
        <v>15.381783297467258</v>
      </c>
      <c r="N16" s="1">
        <v>0.58464326125999999</v>
      </c>
      <c r="O16" s="15">
        <v>169.78197298872726</v>
      </c>
      <c r="P16" s="1">
        <v>195.16407197800007</v>
      </c>
      <c r="Q16" s="15">
        <f t="shared" si="2"/>
        <v>86.994481754749415</v>
      </c>
    </row>
    <row r="17" spans="1:17" ht="18" customHeight="1" x14ac:dyDescent="0.25">
      <c r="A17" s="11">
        <v>44986</v>
      </c>
      <c r="B17" s="9">
        <v>8513</v>
      </c>
      <c r="C17" s="9">
        <v>16424.883333333331</v>
      </c>
      <c r="D17" s="9">
        <v>11153.841</v>
      </c>
      <c r="E17" s="9">
        <v>1316530</v>
      </c>
      <c r="F17" s="13">
        <v>1797.9745980000002</v>
      </c>
      <c r="G17" s="9">
        <v>2024.825928</v>
      </c>
      <c r="H17" s="14">
        <f t="shared" si="0"/>
        <v>88.796502115909306</v>
      </c>
      <c r="I17" s="13">
        <v>7143.0530200000003</v>
      </c>
      <c r="J17" s="13">
        <v>530.40093000000002</v>
      </c>
      <c r="K17" s="13">
        <v>7673.453950000001</v>
      </c>
      <c r="L17" s="13">
        <v>170.27985666000004</v>
      </c>
      <c r="M17" s="13">
        <v>13.981786839214756</v>
      </c>
      <c r="N17" s="9">
        <v>0.50639390666000006</v>
      </c>
      <c r="O17" s="13">
        <v>184.76803740587479</v>
      </c>
      <c r="P17" s="9">
        <v>230.54551566400008</v>
      </c>
      <c r="Q17" s="14">
        <f t="shared" si="2"/>
        <v>80.14384355892571</v>
      </c>
    </row>
    <row r="18" spans="1:17" ht="18" customHeight="1" x14ac:dyDescent="0.25">
      <c r="A18" s="12" t="s">
        <v>22</v>
      </c>
      <c r="B18" s="6">
        <f>SUM(B6:B17)</f>
        <v>93526</v>
      </c>
      <c r="C18" s="5">
        <f t="shared" ref="C18:G18" si="3">SUM(C6:C17)</f>
        <v>174254.21999999997</v>
      </c>
      <c r="D18" s="2">
        <f t="shared" si="3"/>
        <v>119343.88399999999</v>
      </c>
      <c r="E18" s="2">
        <f t="shared" si="3"/>
        <v>13775237</v>
      </c>
      <c r="F18" s="2">
        <f t="shared" si="3"/>
        <v>18443.697426999999</v>
      </c>
      <c r="G18" s="3">
        <f t="shared" si="3"/>
        <v>21476.318839</v>
      </c>
      <c r="H18" s="1">
        <f t="shared" si="0"/>
        <v>85.879230818212193</v>
      </c>
      <c r="I18" s="5">
        <f t="shared" ref="I18:P18" si="4">SUM(I6:I17)</f>
        <v>77705.236784000008</v>
      </c>
      <c r="J18" s="5">
        <f t="shared" si="4"/>
        <v>5038.3771000000006</v>
      </c>
      <c r="K18" s="5">
        <f t="shared" si="4"/>
        <v>82743.613884000006</v>
      </c>
      <c r="L18" s="3">
        <f t="shared" si="4"/>
        <v>1730.8395077550001</v>
      </c>
      <c r="M18" s="3">
        <f t="shared" si="4"/>
        <v>165.30747208654557</v>
      </c>
      <c r="N18" s="3">
        <f t="shared" si="4"/>
        <v>7.5038480097700013</v>
      </c>
      <c r="O18" s="3">
        <f t="shared" si="4"/>
        <v>1903.6508278513159</v>
      </c>
      <c r="P18" s="2">
        <f t="shared" si="4"/>
        <v>2381.3750943320006</v>
      </c>
      <c r="Q18" s="6">
        <f>O18/P18*100</f>
        <v>79.939142404834328</v>
      </c>
    </row>
    <row r="19" spans="1:17" ht="18" customHeight="1" x14ac:dyDescent="0.25">
      <c r="A19" s="18" t="s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2020-06-15T06:18:00Z</cp:lastPrinted>
  <dcterms:created xsi:type="dcterms:W3CDTF">2020-06-03T10:43:05Z</dcterms:created>
  <dcterms:modified xsi:type="dcterms:W3CDTF">2023-10-04T06:55:57Z</dcterms:modified>
</cp:coreProperties>
</file>