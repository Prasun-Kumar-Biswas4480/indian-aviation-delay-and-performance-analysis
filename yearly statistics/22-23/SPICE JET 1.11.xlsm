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PICE JET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'1.11'!$A$1:$O$15</definedName>
    <definedName name="Print_Area_MI" localSheetId="3">'1.11'!$A$10:$O$16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14" i="3" l="1"/>
  <c r="D14" i="3"/>
  <c r="E14" i="3"/>
  <c r="I14" i="3"/>
  <c r="J14" i="3"/>
  <c r="K14" i="3"/>
  <c r="L14" i="3"/>
  <c r="M14" i="3"/>
  <c r="N14" i="3"/>
  <c r="B14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<sst xmlns="http://schemas.openxmlformats.org/spreadsheetml/2006/main" count="901" uniqueCount="207">
  <si>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</si>
  <si>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</si>
  <si>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</si>
  <si>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</si>
  <si>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</si>
  <si>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</si>
  <si>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</si>
  <si>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</si>
  <si>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</si>
  <si>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</si>
  <si>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</si>
  <si>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</si>
  <si>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</si>
  <si>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</si>
  <si>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</si>
  <si>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</si>
  <si>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</si>
  <si>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</si>
  <si>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</si>
  <si>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</si>
  <si>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</si>
  <si>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</si>
  <si>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</si>
  <si>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</si>
  <si>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</si>
  <si>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</si>
  <si>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</si>
  <si>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</si>
  <si>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</si>
  <si>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</si>
  <si>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</si>
  <si>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</si>
  <si>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</si>
  <si>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</si>
  <si>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</si>
  <si>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</si>
  <si>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</si>
  <si>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</si>
  <si>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</si>
  <si>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</si>
  <si>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</si>
  <si>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</si>
  <si>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</si>
  <si>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</si>
  <si>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</si>
  <si>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</si>
  <si>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</si>
  <si>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</si>
  <si>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</si>
  <si>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</si>
  <si>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</si>
  <si>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</si>
  <si>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</si>
  <si>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</si>
  <si>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</si>
  <si>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</si>
  <si>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</si>
  <si>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</si>
  <si>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</si>
  <si>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</si>
  <si>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</si>
  <si>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</si>
  <si>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</si>
  <si>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</si>
  <si>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</si>
  <si>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</si>
  <si>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</si>
  <si>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</si>
  <si>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</si>
  <si>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</si>
  <si>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</si>
  <si>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</si>
  <si>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</si>
  <si>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</si>
  <si>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</si>
  <si>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</si>
  <si>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</si>
  <si>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</si>
  <si>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</si>
  <si>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</si>
  <si>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</si>
  <si>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</si>
  <si>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</si>
  <si>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</si>
  <si>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</si>
  <si>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</si>
  <si>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</si>
  <si>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</si>
  <si>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</si>
  <si>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</si>
  <si>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</si>
  <si>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</si>
  <si>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</si>
  <si>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</si>
  <si>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</si>
  <si>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</si>
  <si>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</si>
  <si>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</si>
  <si>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</si>
  <si>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</si>
  <si>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</si>
  <si>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</si>
  <si>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</si>
  <si>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</si>
  <si>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</si>
  <si>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</si>
  <si>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</si>
  <si>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</si>
  <si>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</si>
  <si>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</si>
  <si>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</si>
  <si>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</si>
  <si>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</si>
  <si>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</si>
  <si>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</si>
  <si>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</si>
  <si>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</si>
  <si>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</si>
  <si>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</si>
  <si>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</si>
  <si>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</si>
  <si>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</si>
  <si>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</si>
  <si>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</si>
  <si>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</si>
  <si>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</si>
  <si>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</si>
  <si>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</si>
  <si>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</si>
  <si>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</si>
  <si>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</si>
  <si>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</si>
  <si>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</si>
  <si>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</si>
  <si>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</si>
  <si>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</si>
  <si>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</si>
  <si>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</si>
  <si>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</si>
  <si>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</si>
  <si>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</si>
  <si>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</si>
  <si>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</si>
  <si>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</si>
  <si>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</si>
  <si>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</si>
  <si>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</si>
  <si>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</si>
  <si>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</si>
  <si>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</si>
  <si>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</si>
  <si>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</si>
  <si>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</si>
  <si>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</si>
  <si>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</si>
  <si>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</si>
  <si>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</si>
  <si>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</si>
  <si>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</si>
  <si>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</si>
  <si>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</si>
  <si>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</si>
  <si>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</si>
  <si>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</si>
  <si>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</si>
  <si>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</si>
  <si>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</si>
  <si>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</si>
  <si>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</si>
  <si>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</si>
  <si>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</si>
  <si>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</si>
  <si>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</si>
  <si>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</si>
  <si>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</si>
  <si>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</si>
  <si>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</si>
  <si>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</si>
  <si>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</si>
  <si>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</si>
  <si>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</si>
  <si>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</si>
  <si>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</si>
  <si>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</si>
  <si>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</si>
  <si>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*  AVERAGES  HAVE BEEN CALCULATED BY ASSUMING AIRCRAFTS ARE  AVAILABLE 365 DAYS IN A YEAR</t>
  </si>
  <si>
    <t>NON OPERATING ITEMS ADJUSTED</t>
  </si>
  <si>
    <t>STAR AIR</t>
  </si>
  <si>
    <t>AIR HERITAGE</t>
  </si>
  <si>
    <t xml:space="preserve"> AIR HERITAGE</t>
  </si>
  <si>
    <t xml:space="preserve">तालिका 1.11 (स्पाइसजेट) </t>
  </si>
  <si>
    <t>TABLE - 1.11 (SPICEJET)</t>
  </si>
  <si>
    <t>Boeing/B737-8(MAX)</t>
  </si>
  <si>
    <t>Boeing/B737-800</t>
  </si>
  <si>
    <t>Boeing/B737-700</t>
  </si>
  <si>
    <t>Boeing/B737-900ER</t>
  </si>
  <si>
    <t>Boeing/B737-700F</t>
  </si>
  <si>
    <t>Boeing/B737-800F</t>
  </si>
  <si>
    <t>De Havilland/DHC-8-402</t>
  </si>
  <si>
    <t>189/186</t>
  </si>
  <si>
    <t>149/144</t>
  </si>
  <si>
    <t>78/90</t>
  </si>
  <si>
    <t>82.19/72.302</t>
  </si>
  <si>
    <t>70.987/79.015</t>
  </si>
  <si>
    <t>61.998/65.317</t>
  </si>
  <si>
    <t>29.25/29.574</t>
  </si>
  <si>
    <t>TYPE OF AIRCRAFT WISE FLEET STATISTICS OF SPICEJET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</si>
</sst>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0" fontId="18" fillId="0" borderId="0" applyFont="0" applyFill="0" applyBorder="0" applyAlignment="0" applyProtection="0"/>
    <xf numFmtId="0" fontId="4" fillId="0" borderId="0"/>
  </cellStyleXfs>
  <cellXfs count="57">
    <xf numFmtId="0" fontId="0" fillId="0" borderId="0" xfId="0"/>
    <xf numFmtId="0" fontId="5" fillId="2" borderId="0" xfId="2" applyFont="1" applyFill="1"/>
    <xf numFmtId="0" fontId="8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5" fillId="4" borderId="1" xfId="1" applyNumberFormat="1" applyFont="1" applyFill="1" applyBorder="1" applyAlignment="1" applyProtection="1">
      <alignment horizontal="left"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12" fillId="4" borderId="1" xfId="1" applyNumberFormat="1" applyFont="1" applyFill="1" applyBorder="1" applyAlignment="1" applyProtection="1">
      <alignment horizontal="left" wrapText="1"/>
    </xf>
    <xf numFmtId="168" fontId="11" fillId="4" borderId="1" xfId="1" applyNumberFormat="1" applyFont="1" applyFill="1" applyBorder="1" applyAlignment="1" applyProtection="1">
      <alignment horizontal="left" vertical="top" wrapText="1"/>
    </xf>
    <xf numFmtId="168" fontId="11" fillId="5" borderId="14" xfId="7" applyNumberFormat="1" applyFont="1" applyFill="1" applyBorder="1" applyAlignment="1" applyProtection="1">
      <alignment horizontal="left" vertical="center"/>
    </xf>
    <xf numFmtId="168" fontId="11" fillId="5" borderId="14" xfId="7" applyNumberFormat="1" applyFont="1" applyFill="1" applyBorder="1" applyAlignment="1" applyProtection="1">
      <alignment vertical="center"/>
    </xf>
    <xf numFmtId="168" fontId="12" fillId="5" borderId="13" xfId="7" applyNumberFormat="1" applyFont="1" applyFill="1" applyBorder="1" applyAlignment="1" applyProtection="1">
      <alignment vertical="center"/>
    </xf>
    <xf numFmtId="168" fontId="11" fillId="5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4" fontId="14" fillId="3" borderId="12" xfId="0" applyNumberFormat="1" applyFont="1" applyFill="1" applyBorder="1" applyAlignment="1" applyProtection="1">
      <alignment horizontal="right" vertical="top"/>
    </xf>
    <xf numFmtId="0" fontId="0" fillId="4" borderId="1" xfId="0" quotePrefix="1" applyFill="1" applyBorder="1"/>
    <xf numFmtId="0" fontId="0" fillId="4" borderId="1" xfId="0" applyFill="1" applyBorder="1"/>
    <xf numFmtId="3" fontId="14" fillId="3" borderId="12" xfId="0" applyNumberFormat="1" applyFont="1" applyFill="1" applyBorder="1" applyAlignment="1" applyProtection="1">
      <alignment horizontal="right" vertical="top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4" fontId="14" fillId="3" borderId="12" xfId="0" applyNumberFormat="1" applyFont="1" applyFill="1" applyBorder="1" applyAlignment="1" applyProtection="1">
      <alignment horizontal="left"/>
    </xf>
    <xf numFmtId="166" fontId="14" fillId="3" borderId="12" xfId="0" applyNumberFormat="1" applyFont="1" applyFill="1" applyBorder="1" applyAlignment="1" applyProtection="1">
      <alignment horizontal="right" vertical="top"/>
    </xf>
    <xf numFmtId="0" fontId="9" fillId="3" borderId="1" xfId="8" applyFont="1" applyFill="1" applyBorder="1" applyAlignment="1">
      <alignment wrapText="1"/>
    </xf>
    <xf numFmtId="3" fontId="5" fillId="3" borderId="1" xfId="3" applyNumberFormat="1" applyFont="1" applyFill="1" applyBorder="1" applyAlignment="1" applyProtection="1">
      <alignment horizontal="right"/>
    </xf>
    <xf numFmtId="165" fontId="5" fillId="3" borderId="1" xfId="1" applyNumberFormat="1" applyFont="1" applyFill="1" applyBorder="1" applyAlignment="1" applyProtection="1">
      <alignment horizontal="right"/>
    </xf>
    <xf numFmtId="3" fontId="9" fillId="3" borderId="1" xfId="8" applyNumberFormat="1" applyFont="1" applyFill="1" applyBorder="1" applyAlignment="1">
      <alignment horizontal="right"/>
    </xf>
    <xf numFmtId="3" fontId="19" fillId="3" borderId="1" xfId="3" applyNumberFormat="1" applyFont="1" applyFill="1" applyBorder="1" applyAlignment="1" applyProtection="1">
      <alignment horizontal="right"/>
    </xf>
    <xf numFmtId="0" fontId="9" fillId="3" borderId="1" xfId="8" applyFont="1" applyFill="1" applyBorder="1" applyAlignment="1">
      <alignment horizontal="right"/>
    </xf>
    <xf numFmtId="2" fontId="9" fillId="3" borderId="1" xfId="8" applyNumberFormat="1" applyFont="1" applyFill="1" applyBorder="1" applyAlignment="1">
      <alignment horizontal="right"/>
    </xf>
    <xf numFmtId="3" fontId="5" fillId="3" borderId="1" xfId="1" quotePrefix="1" applyNumberFormat="1" applyFont="1" applyFill="1" applyBorder="1" applyAlignment="1" applyProtection="1">
      <alignment horizontal="right"/>
    </xf>
    <xf numFmtId="3" fontId="9" fillId="3" borderId="1" xfId="8" quotePrefix="1" applyNumberFormat="1" applyFont="1" applyFill="1" applyBorder="1" applyAlignment="1">
      <alignment horizontal="right"/>
    </xf>
    <xf numFmtId="3" fontId="5" fillId="3" borderId="1" xfId="1" applyNumberFormat="1" applyFont="1" applyFill="1" applyBorder="1" applyAlignment="1" applyProtection="1">
      <alignment horizontal="right"/>
    </xf>
    <xf numFmtId="166" fontId="9" fillId="3" borderId="1" xfId="8" quotePrefix="1" applyNumberFormat="1" applyFont="1" applyFill="1" applyBorder="1" applyAlignment="1">
      <alignment horizontal="right"/>
    </xf>
    <xf numFmtId="166" fontId="9" fillId="3" borderId="1" xfId="8" applyNumberFormat="1" applyFont="1" applyFill="1" applyBorder="1" applyAlignment="1">
      <alignment horizontal="right"/>
    </xf>
    <xf numFmtId="166" fontId="7" fillId="3" borderId="1" xfId="2" applyNumberFormat="1" applyFont="1" applyFill="1" applyBorder="1" applyAlignment="1" applyProtection="1">
      <alignment horizontal="right" wrapText="1"/>
    </xf>
    <xf numFmtId="166" fontId="7" fillId="3" borderId="1" xfId="2" applyNumberFormat="1" applyFont="1" applyFill="1" applyBorder="1" applyAlignment="1">
      <alignment horizontal="right" wrapText="1"/>
    </xf>
    <xf numFmtId="166" fontId="5" fillId="3" borderId="1" xfId="2" applyNumberFormat="1" applyFont="1" applyFill="1" applyBorder="1" applyAlignment="1">
      <alignment horizontal="right"/>
    </xf>
    <xf numFmtId="0" fontId="0" fillId="3" borderId="4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8" fillId="2" borderId="1" xfId="2" applyFont="1" applyFill="1" applyBorder="1" applyAlignment="1" applyProtection="1">
      <alignment horizontal="center" vertical="center" textRotation="180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20" fillId="2" borderId="8" xfId="2" applyFont="1" applyFill="1" applyBorder="1" applyAlignment="1">
      <alignment horizontal="center" vertical="center"/>
    </xf>
    <xf numFmtId="0" fontId="20" fillId="2" borderId="9" xfId="2" applyFont="1" applyFill="1" applyBorder="1" applyAlignment="1">
      <alignment horizontal="center" vertical="center"/>
    </xf>
    <xf numFmtId="0" fontId="20" fillId="2" borderId="10" xfId="2" applyFont="1" applyFill="1" applyBorder="1" applyAlignment="1">
      <alignment horizontal="center" vertical="center"/>
    </xf>
    <xf numFmtId="0" fontId="8" fillId="2" borderId="6" xfId="2" quotePrefix="1" applyFont="1" applyFill="1" applyBorder="1" applyAlignment="1" applyProtection="1">
      <alignment horizontal="center" vertical="center" wrapText="1"/>
    </xf>
    <xf numFmtId="0" fontId="8" fillId="2" borderId="7" xfId="2" applyFont="1" applyFill="1" applyBorder="1" applyAlignment="1" applyProtection="1">
      <alignment horizontal="center" vertical="center" wrapText="1"/>
    </xf>
    <xf numFmtId="0" fontId="8" fillId="2" borderId="11" xfId="2" applyFont="1" applyFill="1" applyBorder="1" applyAlignment="1" applyProtection="1">
      <alignment horizontal="center" vertical="center" wrapText="1"/>
    </xf>
    <xf numFmtId="0" fontId="8" fillId="2" borderId="3" xfId="2" applyFont="1" applyFill="1" applyBorder="1" applyAlignment="1" applyProtection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7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1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2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2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5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2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5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2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2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2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2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2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2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2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2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2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2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2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187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2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188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2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2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2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2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2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2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2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2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2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2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2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2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2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2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2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2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2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2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2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2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2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2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2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2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2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2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2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2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2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2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2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2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2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2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2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187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189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187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187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187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187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187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187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187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187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189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189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189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189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189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189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187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188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186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P21"/>
  <sheetViews>
    <sheetView showGridLines="0" tabSelected="1" view="pageBreakPreview" zoomScaleNormal="100" zoomScaleSheetLayoutView="100" workbookViewId="0">
      <selection activeCell="T9" sqref="T9"/>
    </sheetView>
  </sheetViews>
  <sheetFormatPr defaultColWidth="11" defaultRowHeight="35.1" customHeight="1"/>
  <cols>
    <col min="1" max="1" width="22.85546875" style="1" customWidth="1"/>
    <col min="2" max="2" width="7.140625" style="1" customWidth="1"/>
    <col min="3" max="3" width="4.7109375" style="1" customWidth="1"/>
    <col min="4" max="4" width="4.85546875" style="1" customWidth="1"/>
    <col min="5" max="5" width="5.85546875" style="1" customWidth="1"/>
    <col min="6" max="6" width="9.5703125" style="1" customWidth="1"/>
    <col min="7" max="7" width="8.7109375" style="1" customWidth="1"/>
    <col min="8" max="8" width="16.42578125" style="1" customWidth="1"/>
    <col min="9" max="9" width="9.85546875" style="1" customWidth="1"/>
    <col min="10" max="10" width="9.7109375" style="1" customWidth="1"/>
    <col min="11" max="11" width="10" style="1" customWidth="1"/>
    <col min="12" max="12" width="11.28515625" style="1" customWidth="1"/>
    <col min="13" max="13" width="10" style="1" customWidth="1"/>
    <col min="14" max="14" width="11.7109375" style="1" customWidth="1"/>
    <col min="15" max="15" width="7.5703125" style="1" customWidth="1"/>
    <col min="16" max="16384" width="11" style="1"/>
  </cols>
  <sheetData>
    <row r="1" spans="1:16" ht="24.95" customHeight="1">
      <c r="A1" s="50" t="s">
        <v>190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2"/>
    </row>
    <row r="2" spans="1:16" ht="24.95" customHeight="1">
      <c r="A2" s="53" t="s">
        <v>191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5"/>
    </row>
    <row r="3" spans="1:16" ht="32.25" customHeight="1">
      <c r="A3" s="56" t="s">
        <v>206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</row>
    <row r="4" spans="1:16" ht="35.1" customHeight="1">
      <c r="A4" s="48" t="s">
        <v>21</v>
      </c>
      <c r="B4" s="49" t="s">
        <v>6</v>
      </c>
      <c r="C4" s="49"/>
      <c r="D4" s="49"/>
      <c r="E4" s="49"/>
      <c r="F4" s="49" t="s">
        <v>5</v>
      </c>
      <c r="G4" s="49"/>
      <c r="H4" s="49"/>
      <c r="I4" s="49" t="s">
        <v>4</v>
      </c>
      <c r="J4" s="49"/>
      <c r="K4" s="49"/>
      <c r="L4" s="49"/>
      <c r="M4" s="49"/>
      <c r="N4" s="49"/>
      <c r="O4" s="48" t="s">
        <v>184</v>
      </c>
    </row>
    <row r="5" spans="1:16" ht="35.1" customHeight="1">
      <c r="A5" s="48"/>
      <c r="B5" s="48" t="s">
        <v>20</v>
      </c>
      <c r="C5" s="48" t="s">
        <v>19</v>
      </c>
      <c r="D5" s="48" t="s">
        <v>18</v>
      </c>
      <c r="E5" s="48" t="s">
        <v>17</v>
      </c>
      <c r="F5" s="48" t="s">
        <v>3</v>
      </c>
      <c r="G5" s="48" t="s">
        <v>26</v>
      </c>
      <c r="H5" s="48" t="s">
        <v>13</v>
      </c>
      <c r="I5" s="49" t="s">
        <v>2</v>
      </c>
      <c r="J5" s="49"/>
      <c r="K5" s="49"/>
      <c r="L5" s="49" t="s">
        <v>1</v>
      </c>
      <c r="M5" s="49"/>
      <c r="N5" s="49"/>
      <c r="O5" s="48"/>
    </row>
    <row r="6" spans="1:16" ht="95.25" customHeight="1">
      <c r="A6" s="48"/>
      <c r="B6" s="48"/>
      <c r="C6" s="48"/>
      <c r="D6" s="48"/>
      <c r="E6" s="48"/>
      <c r="F6" s="48"/>
      <c r="G6" s="48"/>
      <c r="H6" s="48"/>
      <c r="I6" s="2" t="s">
        <v>14</v>
      </c>
      <c r="J6" s="2" t="s">
        <v>15</v>
      </c>
      <c r="K6" s="2" t="s">
        <v>16</v>
      </c>
      <c r="L6" s="2" t="s">
        <v>14</v>
      </c>
      <c r="M6" s="2" t="s">
        <v>15</v>
      </c>
      <c r="N6" s="2" t="s">
        <v>16</v>
      </c>
      <c r="O6" s="48"/>
    </row>
    <row r="7" spans="1:16" ht="20.25" customHeight="1">
      <c r="A7" s="30" t="s">
        <v>192</v>
      </c>
      <c r="B7" s="31">
        <v>13</v>
      </c>
      <c r="C7" s="31">
        <v>0</v>
      </c>
      <c r="D7" s="31">
        <v>3</v>
      </c>
      <c r="E7" s="31">
        <v>10</v>
      </c>
      <c r="F7" s="37">
        <v>189</v>
      </c>
      <c r="G7" s="32">
        <v>20</v>
      </c>
      <c r="H7" s="40" t="s">
        <v>202</v>
      </c>
      <c r="I7" s="39">
        <v>24177</v>
      </c>
      <c r="J7" s="33">
        <v>494</v>
      </c>
      <c r="K7" s="34">
        <v>24671</v>
      </c>
      <c r="L7" s="33">
        <v>54789</v>
      </c>
      <c r="M7" s="33">
        <v>1879</v>
      </c>
      <c r="N7" s="33">
        <v>56668</v>
      </c>
      <c r="O7" s="42">
        <v>15.525479452054794</v>
      </c>
    </row>
    <row r="8" spans="1:16" ht="18" customHeight="1">
      <c r="A8" s="30" t="s">
        <v>193</v>
      </c>
      <c r="B8" s="31">
        <v>35</v>
      </c>
      <c r="C8" s="31">
        <v>0</v>
      </c>
      <c r="D8" s="31">
        <v>21</v>
      </c>
      <c r="E8" s="31">
        <v>14</v>
      </c>
      <c r="F8" s="38" t="s">
        <v>199</v>
      </c>
      <c r="G8" s="35">
        <v>18</v>
      </c>
      <c r="H8" s="40" t="s">
        <v>203</v>
      </c>
      <c r="I8" s="34">
        <v>16491</v>
      </c>
      <c r="J8" s="34">
        <v>202</v>
      </c>
      <c r="K8" s="34">
        <v>16693</v>
      </c>
      <c r="L8" s="31">
        <v>33554</v>
      </c>
      <c r="M8" s="31">
        <v>704</v>
      </c>
      <c r="N8" s="33">
        <v>34258</v>
      </c>
      <c r="O8" s="43">
        <v>6.7041095890410958</v>
      </c>
    </row>
    <row r="9" spans="1:16" ht="18" customHeight="1">
      <c r="A9" s="30" t="s">
        <v>194</v>
      </c>
      <c r="B9" s="31">
        <v>5</v>
      </c>
      <c r="C9" s="31">
        <v>0</v>
      </c>
      <c r="D9" s="31">
        <v>0</v>
      </c>
      <c r="E9" s="31">
        <v>5</v>
      </c>
      <c r="F9" s="38" t="s">
        <v>200</v>
      </c>
      <c r="G9" s="35">
        <v>13.5</v>
      </c>
      <c r="H9" s="40" t="s">
        <v>204</v>
      </c>
      <c r="I9" s="34">
        <v>6375</v>
      </c>
      <c r="J9" s="34">
        <v>12</v>
      </c>
      <c r="K9" s="34">
        <v>6387</v>
      </c>
      <c r="L9" s="31">
        <v>9187</v>
      </c>
      <c r="M9" s="31">
        <v>15</v>
      </c>
      <c r="N9" s="33">
        <v>9202</v>
      </c>
      <c r="O9" s="43">
        <v>5.0421917808219181</v>
      </c>
    </row>
    <row r="10" spans="1:16" ht="18.75" customHeight="1">
      <c r="A10" s="30" t="s">
        <v>195</v>
      </c>
      <c r="B10" s="31">
        <v>3</v>
      </c>
      <c r="C10" s="31">
        <v>0</v>
      </c>
      <c r="D10" s="31">
        <v>0</v>
      </c>
      <c r="E10" s="31">
        <v>3</v>
      </c>
      <c r="F10" s="33">
        <v>212</v>
      </c>
      <c r="G10" s="35">
        <v>19</v>
      </c>
      <c r="H10" s="41">
        <v>75.748999999999995</v>
      </c>
      <c r="I10" s="34">
        <v>3047</v>
      </c>
      <c r="J10" s="34">
        <v>4</v>
      </c>
      <c r="K10" s="34">
        <v>3051</v>
      </c>
      <c r="L10" s="31">
        <v>5269</v>
      </c>
      <c r="M10" s="31">
        <v>240</v>
      </c>
      <c r="N10" s="33">
        <v>5509</v>
      </c>
      <c r="O10" s="44">
        <v>5.0310502283105025</v>
      </c>
      <c r="P10" s="1" t="s">
        <v>0</v>
      </c>
    </row>
    <row r="11" spans="1:16" ht="18" customHeight="1">
      <c r="A11" s="30" t="s">
        <v>196</v>
      </c>
      <c r="B11" s="31">
        <v>3</v>
      </c>
      <c r="C11" s="31">
        <v>0</v>
      </c>
      <c r="D11" s="31">
        <v>0</v>
      </c>
      <c r="E11" s="31">
        <v>3</v>
      </c>
      <c r="F11" s="38">
        <v>0</v>
      </c>
      <c r="G11" s="35">
        <v>18</v>
      </c>
      <c r="H11" s="41">
        <v>70.08</v>
      </c>
      <c r="I11" s="34">
        <v>0</v>
      </c>
      <c r="J11" s="34">
        <v>0</v>
      </c>
      <c r="K11" s="34">
        <v>0</v>
      </c>
      <c r="L11" s="31">
        <v>0</v>
      </c>
      <c r="M11" s="31">
        <v>0</v>
      </c>
      <c r="N11" s="33">
        <v>0</v>
      </c>
      <c r="O11" s="44">
        <v>0</v>
      </c>
    </row>
    <row r="12" spans="1:16" ht="18.75" customHeight="1">
      <c r="A12" s="30" t="s">
        <v>197</v>
      </c>
      <c r="B12" s="31">
        <v>2</v>
      </c>
      <c r="C12" s="31">
        <v>0</v>
      </c>
      <c r="D12" s="31">
        <v>2</v>
      </c>
      <c r="E12" s="31">
        <v>0</v>
      </c>
      <c r="F12" s="33">
        <v>0</v>
      </c>
      <c r="G12" s="36">
        <v>18</v>
      </c>
      <c r="H12" s="41">
        <v>0</v>
      </c>
      <c r="I12" s="34">
        <v>13709</v>
      </c>
      <c r="J12" s="34">
        <v>43</v>
      </c>
      <c r="K12" s="34">
        <v>13752</v>
      </c>
      <c r="L12" s="31">
        <v>24092</v>
      </c>
      <c r="M12" s="31">
        <v>60</v>
      </c>
      <c r="N12" s="33">
        <v>24151</v>
      </c>
      <c r="O12" s="44">
        <v>0</v>
      </c>
    </row>
    <row r="13" spans="1:16" ht="31.5" customHeight="1">
      <c r="A13" s="30" t="s">
        <v>198</v>
      </c>
      <c r="B13" s="31">
        <v>32</v>
      </c>
      <c r="C13" s="31">
        <v>0</v>
      </c>
      <c r="D13" s="31">
        <v>7</v>
      </c>
      <c r="E13" s="31">
        <v>25</v>
      </c>
      <c r="F13" s="38" t="s">
        <v>201</v>
      </c>
      <c r="G13" s="36">
        <v>7.5</v>
      </c>
      <c r="H13" s="40" t="s">
        <v>205</v>
      </c>
      <c r="I13" s="34">
        <v>35135</v>
      </c>
      <c r="J13" s="34">
        <v>136</v>
      </c>
      <c r="K13" s="34">
        <v>35271</v>
      </c>
      <c r="L13" s="31">
        <v>46349</v>
      </c>
      <c r="M13" s="31">
        <v>168</v>
      </c>
      <c r="N13" s="33">
        <v>46517</v>
      </c>
      <c r="O13" s="44">
        <v>5.097753424657534</v>
      </c>
    </row>
    <row r="14" spans="1:16" ht="22.5" customHeight="1">
      <c r="A14" s="28" t="s">
        <v>53</v>
      </c>
      <c r="B14" s="23">
        <f>SUM(B7:B13)</f>
        <v>93</v>
      </c>
      <c r="C14" s="23">
        <f t="shared" ref="C14:N14" si="0">SUM(C7:C13)</f>
        <v>0</v>
      </c>
      <c r="D14" s="23">
        <f t="shared" si="0"/>
        <v>33</v>
      </c>
      <c r="E14" s="23">
        <f t="shared" si="0"/>
        <v>60</v>
      </c>
      <c r="F14" s="23"/>
      <c r="G14" s="20"/>
      <c r="H14" s="29"/>
      <c r="I14" s="23">
        <f t="shared" si="0"/>
        <v>98934</v>
      </c>
      <c r="J14" s="23">
        <f t="shared" si="0"/>
        <v>891</v>
      </c>
      <c r="K14" s="23">
        <f t="shared" si="0"/>
        <v>99825</v>
      </c>
      <c r="L14" s="23">
        <f t="shared" si="0"/>
        <v>173240</v>
      </c>
      <c r="M14" s="23">
        <f t="shared" si="0"/>
        <v>3066</v>
      </c>
      <c r="N14" s="23">
        <f t="shared" si="0"/>
        <v>176305</v>
      </c>
      <c r="O14" s="29">
        <v>8.0504566210045656</v>
      </c>
    </row>
    <row r="15" spans="1:16" ht="20.100000000000001" customHeight="1">
      <c r="A15" s="45" t="s">
        <v>185</v>
      </c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7"/>
      <c r="P15" s="1" t="s">
        <v>0</v>
      </c>
    </row>
    <row r="16" spans="1:16" ht="35.1" customHeight="1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</row>
    <row r="17" spans="1:15" ht="35.1" customHeight="1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</row>
    <row r="18" spans="1:15" ht="35.1" customHeight="1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</row>
    <row r="19" spans="1:15" ht="35.1" customHeight="1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</row>
    <row r="20" spans="1:15" ht="35.1" customHeight="1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</row>
    <row r="21" spans="1:15" ht="35.1" customHeight="1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</row>
  </sheetData>
  <mergeCells count="18"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  <mergeCell ref="A15:O15"/>
    <mergeCell ref="B5:B6"/>
    <mergeCell ref="L5:N5"/>
    <mergeCell ref="A4:A6"/>
    <mergeCell ref="D5:D6"/>
    <mergeCell ref="I5:K5"/>
    <mergeCell ref="E5:E6"/>
  </mergeCells>
  <printOptions gridLines="1"/>
  <pageMargins left="0.43" right="0.5" top="0.48" bottom="0.5" header="0.5" footer="0.75"/>
  <pageSetup scale="77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2024-03-14T05:40:05Z</cp:lastPrinted>
  <dcterms:created xsi:type="dcterms:W3CDTF">2002-12-26T09:18:20Z</dcterms:created>
  <dcterms:modified xsi:type="dcterms:W3CDTF">2024-03-14T05:40:12Z</dcterms:modified>
</cp:coreProperties>
</file>