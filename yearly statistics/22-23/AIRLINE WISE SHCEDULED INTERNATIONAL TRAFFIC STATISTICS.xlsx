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LINE WISE DOMESTIC TRAFFIC STATISTICS\"/>
    </mc:Choice>
  </mc:AlternateContent>
  <bookViews>
    <workbookView xWindow="0" yWindow="0" windowWidth="24000" windowHeight="9435"/>
  </bookViews>
  <sheets>
    <sheet name="inter indian" sheetId="1" r:id="rId1"/>
  </sheets>
  <definedNames>
    <definedName name="_xlnm.Print_Area" localSheetId="0">'inter indian'!$A$1:$Q$14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" l="1"/>
  <c r="O13" i="1"/>
  <c r="N13" i="1"/>
  <c r="M13" i="1"/>
  <c r="L13" i="1"/>
  <c r="K13" i="1"/>
  <c r="J13" i="1"/>
  <c r="I13" i="1"/>
  <c r="G13" i="1"/>
  <c r="F13" i="1"/>
  <c r="E13" i="1"/>
  <c r="D13" i="1"/>
  <c r="C13" i="1"/>
  <c r="B13" i="1"/>
  <c r="Q12" i="1"/>
  <c r="Q11" i="1"/>
  <c r="Q10" i="1"/>
  <c r="Q9" i="1"/>
  <c r="Q8" i="1"/>
  <c r="Q7" i="1"/>
  <c r="Q6" i="1"/>
  <c r="H12" i="1"/>
  <c r="H11" i="1"/>
  <c r="H10" i="1"/>
  <c r="H9" i="1"/>
  <c r="H8" i="1"/>
  <c r="H7" i="1"/>
  <c r="H6" i="1"/>
  <c r="Q13" i="1" l="1"/>
  <c r="H13" i="1"/>
</calcChain>
</file>

<file path=xl/sharedStrings.xml><?xml version="1.0" encoding="utf-8"?>
<sst xmlns="http://schemas.openxmlformats.org/spreadsheetml/2006/main" count="33" uniqueCount="31">
  <si>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</si>
  <si>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</si>
  <si>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</si>
  <si>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</si>
  <si>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</si>
  <si>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</si>
  <si>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</si>
  <si>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</si>
  <si>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</si>
  <si>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</si>
  <si>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</si>
  <si>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</si>
  <si>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</si>
  <si>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</si>
  <si>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</si>
  <si>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</si>
  <si>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</si>
  <si>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</si>
  <si>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</si>
  <si>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GO AIR</t>
  </si>
  <si>
    <t>INDIGO</t>
  </si>
  <si>
    <t>SPICEJET</t>
  </si>
  <si>
    <t>YEAR TOTAL</t>
  </si>
  <si>
    <t>Table 1.02 ( SCHEDULED INDIAN AIRLINES)</t>
  </si>
  <si>
    <t xml:space="preserve">तालिका  1.02 ( अनुसूचित भारतीय एयरलाइन्स) </t>
  </si>
  <si>
    <t>VISTARA</t>
  </si>
  <si>
    <t xml:space="preserve">SOURCE:-  ICAO ATR FORM 'A' FURNISHED BY ALL SCHEDULED INDIAN AIRLINES </t>
  </si>
  <si>
    <t>AIR INDIA</t>
  </si>
  <si>
    <t>AIR INDIA EXPRESS</t>
  </si>
  <si>
    <t>ALLIANCE AIR</t>
  </si>
  <si>
    <t>AIRLINE-WISE TRAFFIC AND OPERATING STATISTICS OF SCHEDULED INDIAN AIRLINES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</si>
</sst>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30">
    <xf numFmtId="0" fontId="0" fillId="0" borderId="0" xfId="0"/>
    <xf numFmtId="0" fontId="0" fillId="0" borderId="0" xfId="0" applyFont="1"/>
    <xf numFmtId="166" fontId="2" fillId="4" borderId="1" xfId="3" applyNumberFormat="1" applyBorder="1" applyAlignment="1">
      <alignment horizontal="right"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2" fillId="0" borderId="1" xfId="3" applyFill="1" applyBorder="1" applyAlignment="1">
      <alignment horizontal="center" vertical="center"/>
    </xf>
    <xf numFmtId="165" fontId="2" fillId="0" borderId="1" xfId="3" applyNumberFormat="1" applyFill="1" applyBorder="1" applyAlignment="1">
      <alignment vertical="center"/>
    </xf>
    <xf numFmtId="166" fontId="2" fillId="0" borderId="1" xfId="3" applyNumberFormat="1" applyFill="1" applyBorder="1" applyAlignment="1">
      <alignment horizontal="right" vertical="center"/>
    </xf>
    <xf numFmtId="0" fontId="0" fillId="0" borderId="0" xfId="0" applyFont="1" applyFill="1"/>
    <xf numFmtId="0" fontId="0" fillId="5" borderId="1" xfId="0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vertical="center"/>
    </xf>
    <xf numFmtId="166" fontId="0" fillId="5" borderId="1" xfId="1" applyNumberFormat="1" applyFont="1" applyFill="1" applyBorder="1" applyAlignment="1">
      <alignment horizontal="right" vertical="center"/>
    </xf>
    <xf numFmtId="0" fontId="5" fillId="4" borderId="1" xfId="3" applyFont="1" applyBorder="1" applyAlignment="1">
      <alignment horizontal="center" vertical="center"/>
    </xf>
    <xf numFmtId="165" fontId="5" fillId="4" borderId="1" xfId="3" applyNumberFormat="1" applyFont="1" applyBorder="1" applyAlignment="1">
      <alignment vertical="center"/>
    </xf>
    <xf numFmtId="166" fontId="5" fillId="4" borderId="1" xfId="3" applyNumberFormat="1" applyFont="1" applyBorder="1" applyAlignment="1">
      <alignment horizontal="right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 applyProtection="1">
      <alignment horizontal="center" vertical="center" textRotation="90" wrapText="1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quotePrefix="1" applyFont="1" applyBorder="1" applyAlignment="1" applyProtection="1">
      <alignment horizontal="center" vertical="center" wrapText="1"/>
    </xf>
    <xf numFmtId="0" fontId="4" fillId="4" borderId="4" xfId="3" quotePrefix="1" applyFont="1" applyBorder="1" applyAlignment="1" applyProtection="1">
      <alignment horizontal="center" vertical="center" wrapText="1"/>
    </xf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14"/>
  <sheetViews>
    <sheetView tabSelected="1" topLeftCell="A4" zoomScale="95" zoomScaleNormal="95" zoomScaleSheetLayoutView="100" workbookViewId="0">
      <selection activeCell="G11" sqref="G11"/>
    </sheetView>
  </sheetViews>
  <sheetFormatPr defaultColWidth="9.140625" defaultRowHeight="15" x14ac:dyDescent="0.25"/>
  <cols>
    <col min="1" max="1" width="16.7109375" style="1" customWidth="1"/>
    <col min="2" max="3" width="9.5703125" style="1" customWidth="1"/>
    <col min="4" max="4" width="9.7109375" style="1" customWidth="1"/>
    <col min="5" max="5" width="12.7109375" style="1" customWidth="1"/>
    <col min="6" max="6" width="8.85546875" style="1" customWidth="1"/>
    <col min="7" max="7" width="9.5703125" style="1" customWidth="1"/>
    <col min="8" max="8" width="8" style="1" customWidth="1"/>
    <col min="9" max="9" width="11.42578125" style="1" customWidth="1"/>
    <col min="10" max="10" width="8.7109375" style="1" bestFit="1" customWidth="1"/>
    <col min="11" max="11" width="11.42578125" style="1" bestFit="1" customWidth="1"/>
    <col min="12" max="12" width="8.7109375" style="1" bestFit="1" customWidth="1"/>
    <col min="13" max="13" width="8" style="1" customWidth="1"/>
    <col min="14" max="14" width="6.85546875" style="1" customWidth="1"/>
    <col min="15" max="15" width="8.7109375" style="1" bestFit="1" customWidth="1"/>
    <col min="16" max="16" width="12.85546875" style="1" customWidth="1"/>
    <col min="17" max="17" width="6.28515625" style="1" customWidth="1"/>
    <col min="18" max="16384" width="9.140625" style="7"/>
  </cols>
  <sheetData>
    <row r="1" spans="1:17" ht="18.75" customHeight="1" x14ac:dyDescent="0.25">
      <c r="A1" s="19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 ht="18.75" customHeight="1" x14ac:dyDescent="0.25">
      <c r="A2" s="22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17" ht="18.75" customHeight="1" x14ac:dyDescent="0.25">
      <c r="A3" s="25" t="s">
        <v>30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</row>
    <row r="4" spans="1:17" ht="21" customHeight="1" x14ac:dyDescent="0.25">
      <c r="A4" s="28" t="s">
        <v>18</v>
      </c>
      <c r="B4" s="25" t="s">
        <v>0</v>
      </c>
      <c r="C4" s="26"/>
      <c r="D4" s="27"/>
      <c r="E4" s="25" t="s">
        <v>1</v>
      </c>
      <c r="F4" s="27"/>
      <c r="G4" s="17" t="s">
        <v>2</v>
      </c>
      <c r="H4" s="17" t="s">
        <v>3</v>
      </c>
      <c r="I4" s="25" t="s">
        <v>4</v>
      </c>
      <c r="J4" s="26"/>
      <c r="K4" s="27"/>
      <c r="L4" s="25" t="s">
        <v>5</v>
      </c>
      <c r="M4" s="26"/>
      <c r="N4" s="26"/>
      <c r="O4" s="27"/>
      <c r="P4" s="17" t="s">
        <v>6</v>
      </c>
      <c r="Q4" s="17" t="s">
        <v>7</v>
      </c>
    </row>
    <row r="5" spans="1:17" ht="139.5" customHeight="1" x14ac:dyDescent="0.25">
      <c r="A5" s="29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18"/>
      <c r="H5" s="18"/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14</v>
      </c>
      <c r="O5" s="3" t="s">
        <v>15</v>
      </c>
      <c r="P5" s="18"/>
      <c r="Q5" s="18"/>
    </row>
    <row r="6" spans="1:17" ht="30" customHeight="1" x14ac:dyDescent="0.25">
      <c r="A6" s="8" t="s">
        <v>27</v>
      </c>
      <c r="B6" s="9">
        <v>38203</v>
      </c>
      <c r="C6" s="9">
        <v>245878.50166666662</v>
      </c>
      <c r="D6" s="9">
        <v>185604.48099999997</v>
      </c>
      <c r="E6" s="9">
        <v>6746383</v>
      </c>
      <c r="F6" s="9">
        <v>38130.465632000007</v>
      </c>
      <c r="G6" s="9">
        <v>45832.484497999998</v>
      </c>
      <c r="H6" s="2">
        <f t="shared" ref="H6:H12" si="0">F6/G6*100</f>
        <v>83.195283977380527</v>
      </c>
      <c r="I6" s="10">
        <v>104441.22999999997</v>
      </c>
      <c r="J6" s="10">
        <v>1302.1260946605564</v>
      </c>
      <c r="K6" s="10">
        <v>105743.35609466053</v>
      </c>
      <c r="L6" s="10">
        <v>4002.0728130839998</v>
      </c>
      <c r="M6" s="10">
        <v>629.28091973079995</v>
      </c>
      <c r="N6" s="10">
        <v>6.7834883725447614</v>
      </c>
      <c r="O6" s="10">
        <v>4638.1372211873449</v>
      </c>
      <c r="P6" s="10">
        <v>6636.3834452560013</v>
      </c>
      <c r="Q6" s="2">
        <f t="shared" ref="Q6:Q12" si="1">O6/P6*100</f>
        <v>69.889530336028187</v>
      </c>
    </row>
    <row r="7" spans="1:17" ht="30" customHeight="1" x14ac:dyDescent="0.25">
      <c r="A7" s="4" t="s">
        <v>28</v>
      </c>
      <c r="B7" s="5">
        <v>30869</v>
      </c>
      <c r="C7" s="5">
        <v>119698.21743333331</v>
      </c>
      <c r="D7" s="5">
        <v>79503.274000000005</v>
      </c>
      <c r="E7" s="5">
        <v>4098086</v>
      </c>
      <c r="F7" s="5">
        <v>11092.851418999999</v>
      </c>
      <c r="G7" s="5">
        <v>14787.609364</v>
      </c>
      <c r="H7" s="6">
        <f t="shared" si="0"/>
        <v>75.014501302727268</v>
      </c>
      <c r="I7" s="6">
        <v>26245.760000000002</v>
      </c>
      <c r="J7" s="6">
        <v>76.319000000000003</v>
      </c>
      <c r="K7" s="6">
        <v>26322.078999999998</v>
      </c>
      <c r="L7" s="6">
        <v>901.62658398600013</v>
      </c>
      <c r="M7" s="6">
        <v>72.217513453400002</v>
      </c>
      <c r="N7" s="6">
        <v>0.206607553</v>
      </c>
      <c r="O7" s="6">
        <v>974.05070499240003</v>
      </c>
      <c r="P7" s="6">
        <v>1362.5202545409998</v>
      </c>
      <c r="Q7" s="6">
        <f t="shared" si="1"/>
        <v>71.48889726564353</v>
      </c>
    </row>
    <row r="8" spans="1:17" ht="30" customHeight="1" x14ac:dyDescent="0.25">
      <c r="A8" s="8" t="s">
        <v>29</v>
      </c>
      <c r="B8" s="9">
        <v>124</v>
      </c>
      <c r="C8" s="9">
        <v>167.33333333333334</v>
      </c>
      <c r="D8" s="9">
        <v>43.4</v>
      </c>
      <c r="E8" s="9">
        <v>6157</v>
      </c>
      <c r="F8" s="9">
        <v>2.1793559999999998</v>
      </c>
      <c r="G8" s="9">
        <v>2.8034480000000004</v>
      </c>
      <c r="H8" s="2">
        <f t="shared" si="0"/>
        <v>77.738413553595407</v>
      </c>
      <c r="I8" s="10"/>
      <c r="J8" s="10"/>
      <c r="K8" s="10"/>
      <c r="L8" s="10">
        <v>0.200787728</v>
      </c>
      <c r="M8" s="10"/>
      <c r="N8" s="10"/>
      <c r="O8" s="10">
        <v>0.200787728</v>
      </c>
      <c r="P8" s="10">
        <v>0.28829759999999999</v>
      </c>
      <c r="Q8" s="2">
        <f t="shared" si="1"/>
        <v>69.645993584407222</v>
      </c>
    </row>
    <row r="9" spans="1:17" ht="30" customHeight="1" x14ac:dyDescent="0.25">
      <c r="A9" s="4" t="s">
        <v>19</v>
      </c>
      <c r="B9" s="5">
        <v>8904</v>
      </c>
      <c r="C9" s="5">
        <v>21660.563333333332</v>
      </c>
      <c r="D9" s="5">
        <v>22402.790999999997</v>
      </c>
      <c r="E9" s="5">
        <v>1265786</v>
      </c>
      <c r="F9" s="5">
        <v>3203.2937949999996</v>
      </c>
      <c r="G9" s="5">
        <v>4166.7501619999994</v>
      </c>
      <c r="H9" s="6">
        <f t="shared" si="0"/>
        <v>76.877510540791576</v>
      </c>
      <c r="I9" s="6">
        <v>3588.0527200000001</v>
      </c>
      <c r="J9" s="6"/>
      <c r="K9" s="6">
        <v>3588.0527200000001</v>
      </c>
      <c r="L9" s="6">
        <v>288.29641154999996</v>
      </c>
      <c r="M9" s="6">
        <v>7.9985655374799984</v>
      </c>
      <c r="N9" s="6"/>
      <c r="O9" s="6">
        <v>296.29497708747999</v>
      </c>
      <c r="P9" s="6">
        <v>424.52483945</v>
      </c>
      <c r="Q9" s="6">
        <f t="shared" si="1"/>
        <v>69.794497177444242</v>
      </c>
    </row>
    <row r="10" spans="1:17" ht="30" customHeight="1" x14ac:dyDescent="0.25">
      <c r="A10" s="8" t="s">
        <v>20</v>
      </c>
      <c r="B10" s="9">
        <v>54192</v>
      </c>
      <c r="C10" s="9">
        <v>203630.36000000004</v>
      </c>
      <c r="D10" s="9">
        <v>135127.98199999999</v>
      </c>
      <c r="E10" s="9">
        <v>8556558</v>
      </c>
      <c r="F10" s="9">
        <v>21331.96</v>
      </c>
      <c r="G10" s="9">
        <v>26166.550999999999</v>
      </c>
      <c r="H10" s="2">
        <f t="shared" si="0"/>
        <v>81.523774378977194</v>
      </c>
      <c r="I10" s="10">
        <v>35949.387760000005</v>
      </c>
      <c r="J10" s="10"/>
      <c r="K10" s="10">
        <v>35949.387760000005</v>
      </c>
      <c r="L10" s="10">
        <v>1912.1714518599995</v>
      </c>
      <c r="M10" s="10">
        <v>88.475578759999991</v>
      </c>
      <c r="N10" s="10"/>
      <c r="O10" s="10">
        <v>2000.6470306199994</v>
      </c>
      <c r="P10" s="10">
        <v>2938.9781770550003</v>
      </c>
      <c r="Q10" s="2">
        <f t="shared" si="1"/>
        <v>68.072878058072064</v>
      </c>
    </row>
    <row r="11" spans="1:17" ht="30" customHeight="1" x14ac:dyDescent="0.25">
      <c r="A11" s="4" t="s">
        <v>21</v>
      </c>
      <c r="B11" s="5">
        <v>12354</v>
      </c>
      <c r="C11" s="5">
        <v>39296.583333333328</v>
      </c>
      <c r="D11" s="5">
        <v>28702.715</v>
      </c>
      <c r="E11" s="5">
        <v>1911174</v>
      </c>
      <c r="F11" s="5">
        <v>4586.5848900000001</v>
      </c>
      <c r="G11" s="5">
        <v>5400.6456450000005</v>
      </c>
      <c r="H11" s="6">
        <f t="shared" si="0"/>
        <v>84.926603067289363</v>
      </c>
      <c r="I11" s="6">
        <v>7284.4891500000022</v>
      </c>
      <c r="J11" s="6"/>
      <c r="K11" s="6">
        <v>7284.4891500000022</v>
      </c>
      <c r="L11" s="6">
        <v>343.99386674999994</v>
      </c>
      <c r="M11" s="6">
        <v>16.995869363049998</v>
      </c>
      <c r="N11" s="6"/>
      <c r="O11" s="6">
        <v>360.98973611305001</v>
      </c>
      <c r="P11" s="6">
        <v>532.03976899999998</v>
      </c>
      <c r="Q11" s="6">
        <f t="shared" si="1"/>
        <v>67.850141501931603</v>
      </c>
    </row>
    <row r="12" spans="1:17" ht="30" customHeight="1" x14ac:dyDescent="0.25">
      <c r="A12" s="8" t="s">
        <v>25</v>
      </c>
      <c r="B12" s="9">
        <v>8160</v>
      </c>
      <c r="C12" s="9">
        <v>34525.013333333336</v>
      </c>
      <c r="D12" s="9">
        <v>26095.367999999999</v>
      </c>
      <c r="E12" s="9">
        <v>1292074</v>
      </c>
      <c r="F12" s="9">
        <v>4727.1280209999995</v>
      </c>
      <c r="G12" s="9">
        <v>5781.7993410000008</v>
      </c>
      <c r="H12" s="2">
        <f t="shared" si="0"/>
        <v>81.758769929611759</v>
      </c>
      <c r="I12" s="10">
        <v>15955.287549999997</v>
      </c>
      <c r="J12" s="10">
        <v>206.8724</v>
      </c>
      <c r="K12" s="10">
        <v>16162.159949999999</v>
      </c>
      <c r="L12" s="10">
        <v>496.34844220500003</v>
      </c>
      <c r="M12" s="10">
        <v>87.000271611233103</v>
      </c>
      <c r="N12" s="10">
        <v>1.8876903192999999</v>
      </c>
      <c r="O12" s="10">
        <v>585.23640413553301</v>
      </c>
      <c r="P12" s="10">
        <v>737.177423664</v>
      </c>
      <c r="Q12" s="2">
        <f t="shared" si="1"/>
        <v>79.388812699489208</v>
      </c>
    </row>
    <row r="13" spans="1:17" ht="30" customHeight="1" x14ac:dyDescent="0.25">
      <c r="A13" s="11" t="s">
        <v>22</v>
      </c>
      <c r="B13" s="12">
        <f>SUM(B6:B12)</f>
        <v>152806</v>
      </c>
      <c r="C13" s="12">
        <f t="shared" ref="C13:G13" si="2">SUM(C6:C12)</f>
        <v>664856.57243333338</v>
      </c>
      <c r="D13" s="12">
        <f t="shared" si="2"/>
        <v>477480.011</v>
      </c>
      <c r="E13" s="12">
        <f t="shared" si="2"/>
        <v>23876218</v>
      </c>
      <c r="F13" s="12">
        <f t="shared" si="2"/>
        <v>83074.463112999991</v>
      </c>
      <c r="G13" s="12">
        <f t="shared" si="2"/>
        <v>102138.64345799999</v>
      </c>
      <c r="H13" s="13">
        <f t="shared" ref="H13" si="3">F13/G13*100</f>
        <v>81.334997509694446</v>
      </c>
      <c r="I13" s="13">
        <f t="shared" ref="I13:P13" si="4">SUM(I6:I12)</f>
        <v>193464.20718</v>
      </c>
      <c r="J13" s="13">
        <f t="shared" si="4"/>
        <v>1585.3174946605563</v>
      </c>
      <c r="K13" s="13">
        <f t="shared" si="4"/>
        <v>195049.52467466056</v>
      </c>
      <c r="L13" s="13">
        <f t="shared" si="4"/>
        <v>7944.7103571629987</v>
      </c>
      <c r="M13" s="13">
        <f t="shared" si="4"/>
        <v>901.96871845596297</v>
      </c>
      <c r="N13" s="13">
        <f t="shared" si="4"/>
        <v>8.87778624484476</v>
      </c>
      <c r="O13" s="13">
        <f t="shared" si="4"/>
        <v>8855.5568618638063</v>
      </c>
      <c r="P13" s="13">
        <f t="shared" si="4"/>
        <v>12631.912206565999</v>
      </c>
      <c r="Q13" s="13">
        <f t="shared" ref="Q13" si="5">O13/P13*100</f>
        <v>70.104642250923305</v>
      </c>
    </row>
    <row r="14" spans="1:17" ht="19.5" customHeight="1" x14ac:dyDescent="0.25">
      <c r="A14" s="14" t="s">
        <v>26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/>
    </row>
  </sheetData>
  <mergeCells count="13">
    <mergeCell ref="A14:Q14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2021-08-23T21:02:12Z</cp:lastPrinted>
  <dcterms:created xsi:type="dcterms:W3CDTF">2018-10-29T04:00:07Z</dcterms:created>
  <dcterms:modified xsi:type="dcterms:W3CDTF">2023-10-11T09:30:48Z</dcterms:modified>
</cp:coreProperties>
</file>