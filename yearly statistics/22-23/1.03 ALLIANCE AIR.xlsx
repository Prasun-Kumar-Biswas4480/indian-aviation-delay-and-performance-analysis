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LLIANCE AIR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H17" i="1"/>
  <c r="Q16" i="1" l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<sst xmlns="http://schemas.openxmlformats.org/spreadsheetml/2006/main" count="26" uniqueCount="24">
  <si>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(एलाइंस एयर) </t>
  </si>
  <si>
    <t>Table 1.03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</si>
  <si>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</si>
  <si>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</si>
  <si>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</si>
  <si>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</si>
  <si>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</si>
  <si>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</si>
  <si>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</si>
  <si>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</si>
  <si>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</si>
  <si>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</si>
  <si>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</si>
  <si>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</si>
  <si>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</si>
  <si>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</si>
  <si>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</si>
  <si>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</si>
  <si>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</si>
  <si>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</si>
  <si>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</si>
  <si>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</si>
  <si>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2022-23</t>
  </si>
  <si>
    <t>MONTHLY TRAFFIC AND OPERATING STATISTICS OF ALLIANCE AIR ON SCHEDULED (DOMESTIC + INTERNATIONAL)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</si>
</sst>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  <numFmt numFmtId="168" formatCode="B1mmmm/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7" fontId="1" fillId="3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right" vertical="center" wrapText="1"/>
    </xf>
    <xf numFmtId="4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5" borderId="1" xfId="3" applyNumberFormat="1" applyFill="1" applyBorder="1" applyAlignment="1">
      <alignment horizontal="center" vertical="center"/>
    </xf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10" zoomScaleNormal="98" zoomScaleSheetLayoutView="100" workbookViewId="0">
      <selection activeCell="E13" sqref="E13"/>
    </sheetView>
  </sheetViews>
  <sheetFormatPr defaultRowHeight="18.600000000000001" customHeight="1" x14ac:dyDescent="0.25"/>
  <cols>
    <col min="1" max="1" width="15.28515625" customWidth="1"/>
    <col min="2" max="4" width="8.42578125" customWidth="1"/>
    <col min="5" max="5" width="11.7109375" customWidth="1"/>
    <col min="6" max="17" width="8.140625" customWidth="1"/>
  </cols>
  <sheetData>
    <row r="1" spans="1:17" ht="18.600000000000001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2</v>
      </c>
      <c r="B4" s="23" t="s">
        <v>3</v>
      </c>
      <c r="C4" s="23"/>
      <c r="D4" s="23"/>
      <c r="E4" s="23" t="s">
        <v>4</v>
      </c>
      <c r="F4" s="24"/>
      <c r="G4" s="17" t="s">
        <v>5</v>
      </c>
      <c r="H4" s="17" t="s">
        <v>6</v>
      </c>
      <c r="I4" s="23" t="s">
        <v>7</v>
      </c>
      <c r="J4" s="23"/>
      <c r="K4" s="23"/>
      <c r="L4" s="23" t="s">
        <v>8</v>
      </c>
      <c r="M4" s="23"/>
      <c r="N4" s="23"/>
      <c r="O4" s="23"/>
      <c r="P4" s="17" t="s">
        <v>9</v>
      </c>
      <c r="Q4" s="17" t="s">
        <v>10</v>
      </c>
    </row>
    <row r="5" spans="1:17" ht="100.9" customHeight="1" x14ac:dyDescent="0.25">
      <c r="A5" s="23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8"/>
      <c r="H5" s="18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18"/>
      <c r="Q5" s="18"/>
    </row>
    <row r="6" spans="1:17" ht="18.600000000000001" customHeight="1" x14ac:dyDescent="0.25">
      <c r="A6" s="15">
        <v>44652</v>
      </c>
      <c r="B6" s="8">
        <v>2907</v>
      </c>
      <c r="C6" s="8">
        <v>3837.1833333333329</v>
      </c>
      <c r="D6" s="8">
        <v>2217.6950000000002</v>
      </c>
      <c r="E6" s="8">
        <v>120306</v>
      </c>
      <c r="F6" s="1">
        <v>48.693097000000002</v>
      </c>
      <c r="G6" s="1">
        <v>72.765280000000004</v>
      </c>
      <c r="H6" s="1">
        <f t="shared" ref="H6:H17" si="0">F6/G6*100</f>
        <v>66.918037008859159</v>
      </c>
      <c r="I6" s="1">
        <v>34.56</v>
      </c>
      <c r="J6" s="1"/>
      <c r="K6" s="1">
        <v>34.56</v>
      </c>
      <c r="L6" s="1">
        <v>4.9514040000000001</v>
      </c>
      <c r="M6" s="6">
        <v>1.7868649800000001E-2</v>
      </c>
      <c r="N6" s="1">
        <v>0</v>
      </c>
      <c r="O6" s="1">
        <v>4.9692726498000006</v>
      </c>
      <c r="P6" s="1">
        <v>7.3641904999999994</v>
      </c>
      <c r="Q6" s="1">
        <f t="shared" ref="Q6:Q18" si="1">O6/P6*100</f>
        <v>67.478871571831306</v>
      </c>
    </row>
    <row r="7" spans="1:17" ht="18.600000000000001" customHeight="1" x14ac:dyDescent="0.25">
      <c r="A7" s="16">
        <v>44682</v>
      </c>
      <c r="B7" s="9">
        <v>3085</v>
      </c>
      <c r="C7" s="9">
        <v>4174.7489999999971</v>
      </c>
      <c r="D7" s="9">
        <v>2263.4470000000001</v>
      </c>
      <c r="E7" s="9">
        <v>125358</v>
      </c>
      <c r="F7" s="2">
        <v>50.627438999999995</v>
      </c>
      <c r="G7" s="2">
        <v>77.281834000000003</v>
      </c>
      <c r="H7" s="2">
        <f t="shared" si="0"/>
        <v>65.510141749482798</v>
      </c>
      <c r="I7" s="2">
        <v>29.42</v>
      </c>
      <c r="J7" s="2"/>
      <c r="K7" s="2">
        <v>29.42</v>
      </c>
      <c r="L7" s="2">
        <v>5.1219620000000008</v>
      </c>
      <c r="M7" s="7">
        <v>1.5538E-2</v>
      </c>
      <c r="N7" s="2">
        <v>0</v>
      </c>
      <c r="O7" s="2">
        <v>5.1375000000000002</v>
      </c>
      <c r="P7" s="2">
        <v>7.7925559999999994</v>
      </c>
      <c r="Q7" s="2">
        <f t="shared" si="1"/>
        <v>65.928303883860451</v>
      </c>
    </row>
    <row r="8" spans="1:17" ht="18.600000000000001" customHeight="1" x14ac:dyDescent="0.25">
      <c r="A8" s="15">
        <v>44713</v>
      </c>
      <c r="B8" s="8">
        <v>2907</v>
      </c>
      <c r="C8" s="8">
        <v>3837.1833333333329</v>
      </c>
      <c r="D8" s="8">
        <v>2217.6950000000002</v>
      </c>
      <c r="E8" s="8">
        <v>120306</v>
      </c>
      <c r="F8" s="1">
        <v>48.693097000000002</v>
      </c>
      <c r="G8" s="1">
        <v>72.765280000000004</v>
      </c>
      <c r="H8" s="1">
        <f t="shared" si="0"/>
        <v>66.918037008859159</v>
      </c>
      <c r="I8" s="1">
        <v>34.56</v>
      </c>
      <c r="J8" s="1"/>
      <c r="K8" s="1">
        <v>34.56</v>
      </c>
      <c r="L8" s="1">
        <v>4.9514040000000001</v>
      </c>
      <c r="M8" s="6">
        <v>1.7868649800000001E-2</v>
      </c>
      <c r="N8" s="1">
        <v>0</v>
      </c>
      <c r="O8" s="1">
        <v>4.9692726498000006</v>
      </c>
      <c r="P8" s="1">
        <v>7.3641904999999994</v>
      </c>
      <c r="Q8" s="1">
        <f t="shared" si="1"/>
        <v>67.478871571831306</v>
      </c>
    </row>
    <row r="9" spans="1:17" ht="18.600000000000001" customHeight="1" x14ac:dyDescent="0.25">
      <c r="A9" s="16">
        <v>44743</v>
      </c>
      <c r="B9" s="9">
        <v>2620</v>
      </c>
      <c r="C9" s="9">
        <v>3302</v>
      </c>
      <c r="D9" s="9">
        <v>1819</v>
      </c>
      <c r="E9" s="9">
        <v>111715</v>
      </c>
      <c r="F9" s="2">
        <v>46.365000000000002</v>
      </c>
      <c r="G9" s="2">
        <v>64.486999999999995</v>
      </c>
      <c r="H9" s="2">
        <f t="shared" si="0"/>
        <v>71.898212042737313</v>
      </c>
      <c r="I9" s="2">
        <v>37.770000000000003</v>
      </c>
      <c r="J9" s="2"/>
      <c r="K9" s="2">
        <v>37.770000000000003</v>
      </c>
      <c r="L9" s="2">
        <v>4.2190000000000003</v>
      </c>
      <c r="M9" s="7">
        <v>1.7999999999999999E-2</v>
      </c>
      <c r="N9" s="2">
        <v>0</v>
      </c>
      <c r="O9" s="2">
        <v>4.2370000000000001</v>
      </c>
      <c r="P9" s="2">
        <v>5.9729999999999999</v>
      </c>
      <c r="Q9" s="2">
        <f t="shared" si="1"/>
        <v>70.935878118198559</v>
      </c>
    </row>
    <row r="10" spans="1:17" ht="18.600000000000001" customHeight="1" x14ac:dyDescent="0.25">
      <c r="A10" s="15">
        <v>44774</v>
      </c>
      <c r="B10" s="8">
        <v>3085</v>
      </c>
      <c r="C10" s="8">
        <v>3958</v>
      </c>
      <c r="D10" s="8">
        <v>2263</v>
      </c>
      <c r="E10" s="8">
        <v>125358</v>
      </c>
      <c r="F10" s="1">
        <v>56.283999999999999</v>
      </c>
      <c r="G10" s="1">
        <v>84.022000000000006</v>
      </c>
      <c r="H10" s="1">
        <f t="shared" si="0"/>
        <v>66.987217633476931</v>
      </c>
      <c r="I10" s="1">
        <v>29.42</v>
      </c>
      <c r="J10" s="1"/>
      <c r="K10" s="1">
        <v>29.42</v>
      </c>
      <c r="L10" s="1">
        <v>5.1219999999999999</v>
      </c>
      <c r="M10" s="6">
        <v>1.6E-2</v>
      </c>
      <c r="N10" s="1">
        <v>0</v>
      </c>
      <c r="O10" s="1">
        <v>5.1379999999999999</v>
      </c>
      <c r="P10" s="1">
        <v>7.7930000000000001</v>
      </c>
      <c r="Q10" s="1">
        <f t="shared" si="1"/>
        <v>65.930963685358662</v>
      </c>
    </row>
    <row r="11" spans="1:17" ht="18.600000000000001" customHeight="1" x14ac:dyDescent="0.25">
      <c r="A11" s="16">
        <v>44805</v>
      </c>
      <c r="B11" s="9">
        <v>2907</v>
      </c>
      <c r="C11" s="9">
        <v>3811</v>
      </c>
      <c r="D11" s="9">
        <v>2218</v>
      </c>
      <c r="E11" s="9">
        <v>120306</v>
      </c>
      <c r="F11" s="2">
        <v>54.41</v>
      </c>
      <c r="G11" s="2">
        <v>79.475999999999999</v>
      </c>
      <c r="H11" s="2">
        <f t="shared" si="0"/>
        <v>68.460919019578242</v>
      </c>
      <c r="I11" s="2">
        <v>34.56</v>
      </c>
      <c r="J11" s="2"/>
      <c r="K11" s="2">
        <v>34.56</v>
      </c>
      <c r="L11" s="2">
        <v>4.9509999999999996</v>
      </c>
      <c r="M11" s="7">
        <v>1.7999999999999999E-2</v>
      </c>
      <c r="N11" s="2">
        <v>0</v>
      </c>
      <c r="O11" s="2">
        <v>4.9690000000000003</v>
      </c>
      <c r="P11" s="2">
        <v>7.1239999999999997</v>
      </c>
      <c r="Q11" s="2">
        <f t="shared" si="1"/>
        <v>69.750140370578336</v>
      </c>
    </row>
    <row r="12" spans="1:17" ht="18.600000000000001" customHeight="1" x14ac:dyDescent="0.25">
      <c r="A12" s="15">
        <v>44835</v>
      </c>
      <c r="B12" s="8">
        <v>3619</v>
      </c>
      <c r="C12" s="8">
        <v>4733</v>
      </c>
      <c r="D12" s="8">
        <v>2714</v>
      </c>
      <c r="E12" s="8">
        <v>139768</v>
      </c>
      <c r="F12" s="1">
        <v>53.463000000000001</v>
      </c>
      <c r="G12" s="1">
        <v>86.224999999999994</v>
      </c>
      <c r="H12" s="1">
        <f t="shared" si="0"/>
        <v>62.004059147579014</v>
      </c>
      <c r="I12" s="1">
        <v>30.731000000000002</v>
      </c>
      <c r="J12" s="1"/>
      <c r="K12" s="1">
        <v>30.731000000000002</v>
      </c>
      <c r="L12" s="1">
        <v>2.7949999999999999</v>
      </c>
      <c r="M12" s="6">
        <v>0.02</v>
      </c>
      <c r="N12" s="1">
        <v>0</v>
      </c>
      <c r="O12" s="1">
        <v>2.8149999999999999</v>
      </c>
      <c r="P12" s="1">
        <v>7.1239999999999997</v>
      </c>
      <c r="Q12" s="1">
        <f t="shared" si="1"/>
        <v>39.514317798989332</v>
      </c>
    </row>
    <row r="13" spans="1:17" ht="18.600000000000001" customHeight="1" x14ac:dyDescent="0.25">
      <c r="A13" s="16">
        <v>44866</v>
      </c>
      <c r="B13" s="9">
        <v>3548</v>
      </c>
      <c r="C13" s="9">
        <v>4642</v>
      </c>
      <c r="D13" s="9">
        <v>1266</v>
      </c>
      <c r="E13" s="9">
        <v>144477</v>
      </c>
      <c r="F13" s="2">
        <v>56.621000000000002</v>
      </c>
      <c r="G13" s="2">
        <v>84.152000000000001</v>
      </c>
      <c r="H13" s="2">
        <f t="shared" si="0"/>
        <v>67.284200019013213</v>
      </c>
      <c r="I13" s="2">
        <v>17</v>
      </c>
      <c r="J13" s="2">
        <v>1.47543</v>
      </c>
      <c r="K13" s="2">
        <v>18.475429999999999</v>
      </c>
      <c r="L13" s="2">
        <v>5.0750000000000002</v>
      </c>
      <c r="M13" s="7">
        <v>0.02</v>
      </c>
      <c r="N13" s="2">
        <v>0</v>
      </c>
      <c r="O13" s="2">
        <v>5.0949999999999998</v>
      </c>
      <c r="P13" s="2">
        <v>6.3460000000000001</v>
      </c>
      <c r="Q13" s="2">
        <f t="shared" si="1"/>
        <v>80.286794831389855</v>
      </c>
    </row>
    <row r="14" spans="1:17" ht="18.600000000000001" customHeight="1" x14ac:dyDescent="0.25">
      <c r="A14" s="15">
        <v>44896</v>
      </c>
      <c r="B14" s="8">
        <v>4049</v>
      </c>
      <c r="C14" s="8">
        <v>5161</v>
      </c>
      <c r="D14" s="8">
        <v>1465</v>
      </c>
      <c r="E14" s="8">
        <v>169802</v>
      </c>
      <c r="F14" s="1">
        <v>66.532999999999987</v>
      </c>
      <c r="G14" s="1">
        <v>95.305999999999997</v>
      </c>
      <c r="H14" s="1">
        <f t="shared" si="0"/>
        <v>69.809875558726617</v>
      </c>
      <c r="I14" s="1">
        <v>39</v>
      </c>
      <c r="J14" s="1">
        <v>3.92</v>
      </c>
      <c r="K14" s="1">
        <v>42.92</v>
      </c>
      <c r="L14" s="1">
        <v>6.0096699999999998</v>
      </c>
      <c r="M14" s="6">
        <v>1.7000000000000001E-2</v>
      </c>
      <c r="N14" s="1">
        <v>3.9199999999999999E-3</v>
      </c>
      <c r="O14" s="1">
        <v>6.0305900000000001</v>
      </c>
      <c r="P14" s="1">
        <v>8.4609760000000005</v>
      </c>
      <c r="Q14" s="1">
        <f t="shared" si="1"/>
        <v>71.275346957608662</v>
      </c>
    </row>
    <row r="15" spans="1:17" ht="18.600000000000001" customHeight="1" x14ac:dyDescent="0.25">
      <c r="A15" s="16">
        <v>44927</v>
      </c>
      <c r="B15" s="9">
        <v>3765</v>
      </c>
      <c r="C15" s="9">
        <v>4907</v>
      </c>
      <c r="D15" s="9">
        <v>1365.134</v>
      </c>
      <c r="E15" s="9">
        <v>153092</v>
      </c>
      <c r="F15" s="2">
        <v>57.891080000000002</v>
      </c>
      <c r="G15" s="2">
        <v>87.604414000000006</v>
      </c>
      <c r="H15" s="2">
        <f t="shared" si="0"/>
        <v>66.082377995245764</v>
      </c>
      <c r="I15" s="2">
        <v>33.341999999999999</v>
      </c>
      <c r="J15" s="14">
        <v>18.718</v>
      </c>
      <c r="K15" s="2">
        <v>52.06</v>
      </c>
      <c r="L15" s="2">
        <v>5.2710831199999992</v>
      </c>
      <c r="M15" s="7">
        <v>1.4700658750099073E-2</v>
      </c>
      <c r="N15" s="2">
        <v>6.5776669999999997E-3</v>
      </c>
      <c r="O15" s="2">
        <v>5.2923614457500978</v>
      </c>
      <c r="P15" s="2">
        <v>9.0169451999999986</v>
      </c>
      <c r="Q15" s="2">
        <f t="shared" si="1"/>
        <v>58.693507927164724</v>
      </c>
    </row>
    <row r="16" spans="1:17" ht="18.600000000000001" customHeight="1" x14ac:dyDescent="0.25">
      <c r="A16" s="15">
        <v>44958</v>
      </c>
      <c r="B16" s="8">
        <v>3342</v>
      </c>
      <c r="C16" s="8">
        <v>4443</v>
      </c>
      <c r="D16" s="8">
        <v>1210.328</v>
      </c>
      <c r="E16" s="8">
        <v>135773</v>
      </c>
      <c r="F16" s="1">
        <v>52.643999999999998</v>
      </c>
      <c r="G16" s="1">
        <v>80.742999999999995</v>
      </c>
      <c r="H16" s="1">
        <f t="shared" si="0"/>
        <v>65.199460015109665</v>
      </c>
      <c r="I16" s="1">
        <v>41.34</v>
      </c>
      <c r="J16" s="1">
        <v>18.184999999999999</v>
      </c>
      <c r="K16" s="1">
        <v>59.525000000000006</v>
      </c>
      <c r="L16" s="1">
        <v>4.7379794399999984</v>
      </c>
      <c r="M16" s="6">
        <v>4.1338999999999994E-2</v>
      </c>
      <c r="N16" s="1">
        <v>1.8185E-2</v>
      </c>
      <c r="O16" s="1">
        <v>4.797503439999999</v>
      </c>
      <c r="P16" s="1">
        <v>7.8253913999999982</v>
      </c>
      <c r="Q16" s="1">
        <f t="shared" si="1"/>
        <v>61.306881595724406</v>
      </c>
    </row>
    <row r="17" spans="1:17" ht="18.600000000000001" customHeight="1" x14ac:dyDescent="0.25">
      <c r="A17" s="16">
        <v>44986</v>
      </c>
      <c r="B17" s="9">
        <v>3580</v>
      </c>
      <c r="C17" s="9">
        <v>4814.05</v>
      </c>
      <c r="D17" s="9">
        <v>1315.97</v>
      </c>
      <c r="E17" s="9">
        <v>135204</v>
      </c>
      <c r="F17" s="2">
        <v>52.918210000000002</v>
      </c>
      <c r="G17" s="2">
        <v>80.417680800000028</v>
      </c>
      <c r="H17" s="2">
        <f t="shared" si="0"/>
        <v>65.804198123554912</v>
      </c>
      <c r="I17" s="2">
        <v>38.152999999999999</v>
      </c>
      <c r="J17" s="14">
        <v>17.232000000000003</v>
      </c>
      <c r="K17" s="2">
        <v>55.385000000000005</v>
      </c>
      <c r="L17" s="2">
        <v>4.7626389000000016</v>
      </c>
      <c r="M17" s="7">
        <v>3.8152999999999999E-2</v>
      </c>
      <c r="N17" s="2">
        <v>1.7232000000000004E-2</v>
      </c>
      <c r="O17" s="2">
        <v>4.8180239000000018</v>
      </c>
      <c r="P17" s="2">
        <v>8.465817549999997</v>
      </c>
      <c r="Q17" s="2">
        <f t="shared" si="1"/>
        <v>56.91150171314527</v>
      </c>
    </row>
    <row r="18" spans="1:17" ht="18.600000000000001" customHeight="1" x14ac:dyDescent="0.25">
      <c r="A18" s="3" t="s">
        <v>22</v>
      </c>
      <c r="B18" s="4">
        <f>SUM(B6:B17)</f>
        <v>39414</v>
      </c>
      <c r="C18" s="4">
        <f t="shared" ref="C18:G18" si="2">SUM(C6:C17)</f>
        <v>51620.165666666668</v>
      </c>
      <c r="D18" s="4">
        <f t="shared" si="2"/>
        <v>22335.269</v>
      </c>
      <c r="E18" s="4">
        <f t="shared" si="2"/>
        <v>1601465</v>
      </c>
      <c r="F18" s="4">
        <f t="shared" si="2"/>
        <v>645.142923</v>
      </c>
      <c r="G18" s="4">
        <f t="shared" si="2"/>
        <v>965.24548879999998</v>
      </c>
      <c r="H18" s="5">
        <f>F18/G18*100</f>
        <v>66.837186030472537</v>
      </c>
      <c r="I18" s="5">
        <f t="shared" ref="I18" si="3">SUM(I6:I17)</f>
        <v>399.85599999999999</v>
      </c>
      <c r="J18" s="4">
        <f t="shared" ref="J18:P18" si="4">SUM(J6:J17)</f>
        <v>59.530429999999996</v>
      </c>
      <c r="K18" s="12">
        <f t="shared" si="4"/>
        <v>459.38643000000002</v>
      </c>
      <c r="L18" s="12">
        <f t="shared" si="4"/>
        <v>57.968141459999998</v>
      </c>
      <c r="M18" s="11">
        <f t="shared" si="4"/>
        <v>0.25446795835009911</v>
      </c>
      <c r="N18" s="10">
        <f t="shared" si="4"/>
        <v>4.5914667000000006E-2</v>
      </c>
      <c r="O18" s="12">
        <f t="shared" si="4"/>
        <v>58.268524085350087</v>
      </c>
      <c r="P18" s="12">
        <f t="shared" si="4"/>
        <v>90.650067149999998</v>
      </c>
      <c r="Q18" s="12">
        <f t="shared" si="1"/>
        <v>64.278522804547194</v>
      </c>
    </row>
    <row r="19" spans="1:17" ht="18.600000000000001" customHeight="1" x14ac:dyDescent="0.25">
      <c r="A19" s="19" t="s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2022-04-25T11:58:09Z</cp:lastPrinted>
  <dcterms:created xsi:type="dcterms:W3CDTF">2020-06-03T10:40:01Z</dcterms:created>
  <dcterms:modified xsi:type="dcterms:W3CDTF">2023-10-04T06:14:52Z</dcterms:modified>
</cp:coreProperties>
</file>