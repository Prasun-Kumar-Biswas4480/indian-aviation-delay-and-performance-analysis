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7" i="4"/>
  <c r="E8" i="4"/>
  <c r="E9" i="4"/>
  <c r="E10" i="4"/>
  <c r="E11" i="4"/>
  <c r="E12" i="4"/>
  <c r="E13" i="4"/>
  <c r="E7" i="4"/>
  <c r="C13" i="4"/>
  <c r="D13" i="4"/>
  <c r="F13" i="4"/>
  <c r="G13" i="4"/>
  <c r="H13" i="4"/>
  <c r="J13" i="4"/>
  <c r="B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<sst xmlns="http://schemas.openxmlformats.org/spreadsheetml/2006/main" count="885" uniqueCount="191">
  <si>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</si>
  <si>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</si>
  <si>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</si>
  <si>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</si>
  <si>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</si>
  <si>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</si>
  <si>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</si>
  <si>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</si>
  <si>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</si>
  <si>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</si>
  <si>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</si>
  <si>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</si>
  <si>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</si>
  <si>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</si>
  <si>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</si>
  <si>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</si>
  <si>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</si>
  <si>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</si>
  <si>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</si>
  <si>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</si>
  <si>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</si>
  <si>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</si>
  <si>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</si>
  <si>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</si>
  <si>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</si>
  <si>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</si>
  <si>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</si>
  <si>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</si>
  <si>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</si>
  <si>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</si>
  <si>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</si>
  <si>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</si>
  <si>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</si>
  <si>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</si>
  <si>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</si>
  <si>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</si>
  <si>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</si>
  <si>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</si>
  <si>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</si>
  <si>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</si>
  <si>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</si>
  <si>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</si>
  <si>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</si>
  <si>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</si>
  <si>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</si>
  <si>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</si>
  <si>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</si>
  <si>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</si>
  <si>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</si>
  <si>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</si>
  <si>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</si>
  <si>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</si>
  <si>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</si>
  <si>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</si>
  <si>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</si>
  <si>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</si>
  <si>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</si>
  <si>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</si>
  <si>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</si>
  <si>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</si>
  <si>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</si>
  <si>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</si>
  <si>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</si>
  <si>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</si>
  <si>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</si>
  <si>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</si>
  <si>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</si>
  <si>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</si>
  <si>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</si>
  <si>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</si>
  <si>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</si>
  <si>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</si>
  <si>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</si>
  <si>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</si>
  <si>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</si>
  <si>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</si>
  <si>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</si>
  <si>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</si>
  <si>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</si>
  <si>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</si>
  <si>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</si>
  <si>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</si>
  <si>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</si>
  <si>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</si>
  <si>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</si>
  <si>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</si>
  <si>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</si>
  <si>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</si>
  <si>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</si>
  <si>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</si>
  <si>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</si>
  <si>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</si>
  <si>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</si>
  <si>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</si>
  <si>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</si>
  <si>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</si>
  <si>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</si>
  <si>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</si>
  <si>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</si>
  <si>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</si>
  <si>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</si>
  <si>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</si>
  <si>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</si>
  <si>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</si>
  <si>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</si>
  <si>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</si>
  <si>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</si>
  <si>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</si>
  <si>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</si>
  <si>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</si>
  <si>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</si>
  <si>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</si>
  <si>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</si>
  <si>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</si>
  <si>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</si>
  <si>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</si>
  <si>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</si>
  <si>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</si>
  <si>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</si>
  <si>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</si>
  <si>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</si>
  <si>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</si>
  <si>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</si>
  <si>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</si>
  <si>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</si>
  <si>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</si>
  <si>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</si>
  <si>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</si>
  <si>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</si>
  <si>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</si>
  <si>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</si>
  <si>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</si>
  <si>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</si>
  <si>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</si>
  <si>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</si>
  <si>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</si>
  <si>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</si>
  <si>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</si>
  <si>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</si>
  <si>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</si>
  <si>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</si>
  <si>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</si>
  <si>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</si>
  <si>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</si>
  <si>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</si>
  <si>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</si>
  <si>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</si>
  <si>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</si>
  <si>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</si>
  <si>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</si>
  <si>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</si>
  <si>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</si>
  <si>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</si>
  <si>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</si>
  <si>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</si>
  <si>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</si>
  <si>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</si>
  <si>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</si>
  <si>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</si>
  <si>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</si>
  <si>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</si>
  <si>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</si>
  <si>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</si>
  <si>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</si>
  <si>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</si>
  <si>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</si>
  <si>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</si>
  <si>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</si>
  <si>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</si>
  <si>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</si>
  <si>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</si>
  <si>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</si>
  <si>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</si>
  <si>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</si>
  <si>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</si>
  <si>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</si>
  <si>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</si>
  <si>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</si>
  <si>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</si>
  <si>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</si>
  <si>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</si>
  <si>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</si>
  <si>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INDIGO</t>
  </si>
  <si>
    <t xml:space="preserve">तालिका 1.12 (इंडिगो) </t>
  </si>
  <si>
    <t>TABLE - 1.12 (INDIGO)</t>
  </si>
  <si>
    <t>OTHER FLIGHT CREW</t>
  </si>
  <si>
    <t>CABIN CREW</t>
  </si>
  <si>
    <t>PERSONNEL STATISTICS OF INDIGO DURING 2022-23</t>
  </si>
  <si>
    <t>MALE</t>
  </si>
  <si>
    <t>FEMALE</t>
  </si>
  <si>
    <t>TRANSGENDER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</si>
</sst>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sz val="12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4" xfId="7" applyNumberFormat="1" applyFont="1" applyFill="1" applyBorder="1" applyAlignment="1" applyProtection="1">
      <alignment horizontal="left" vertical="center"/>
    </xf>
    <xf numFmtId="166" fontId="11" fillId="4" borderId="14" xfId="7" applyNumberFormat="1" applyFont="1" applyFill="1" applyBorder="1" applyAlignment="1" applyProtection="1">
      <alignment vertical="center"/>
    </xf>
    <xf numFmtId="166" fontId="12" fillId="4" borderId="13" xfId="7" applyNumberFormat="1" applyFont="1" applyFill="1" applyBorder="1" applyAlignment="1" applyProtection="1">
      <alignment vertical="center"/>
    </xf>
    <xf numFmtId="166" fontId="11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3" fontId="19" fillId="2" borderId="1" xfId="2" applyNumberFormat="1" applyFont="1" applyFill="1" applyBorder="1" applyAlignment="1" applyProtection="1">
      <alignment horizontal="center" vertical="center" wrapText="1"/>
    </xf>
    <xf numFmtId="3" fontId="19" fillId="2" borderId="1" xfId="0" applyNumberFormat="1" applyFont="1" applyFill="1" applyBorder="1" applyAlignment="1">
      <alignment horizontal="center" vertical="center"/>
    </xf>
    <xf numFmtId="4" fontId="19" fillId="2" borderId="1" xfId="0" applyNumberFormat="1" applyFont="1" applyFill="1" applyBorder="1" applyAlignment="1">
      <alignment horizontal="center" vertical="center"/>
    </xf>
    <xf numFmtId="4" fontId="19" fillId="2" borderId="2" xfId="0" applyNumberFormat="1" applyFont="1" applyFill="1" applyBorder="1" applyAlignment="1">
      <alignment horizontal="center" vertical="center"/>
    </xf>
    <xf numFmtId="3" fontId="20" fillId="2" borderId="2" xfId="2" applyNumberFormat="1" applyFont="1" applyFill="1" applyBorder="1" applyAlignment="1" applyProtection="1">
      <alignment horizontal="center" vertical="center" wrapText="1"/>
    </xf>
    <xf numFmtId="3" fontId="20" fillId="2" borderId="1" xfId="0" applyNumberFormat="1" applyFont="1" applyFill="1" applyBorder="1" applyAlignment="1">
      <alignment horizontal="center" vertical="center"/>
    </xf>
    <xf numFmtId="4" fontId="20" fillId="2" borderId="2" xfId="2" applyNumberFormat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>
      <alignment horizontal="left" vertical="center" wrapText="1"/>
    </xf>
    <xf numFmtId="0" fontId="8" fillId="2" borderId="8" xfId="2" applyFont="1" applyFill="1" applyBorder="1" applyAlignment="1">
      <alignment horizontal="left" vertical="center" wrapText="1"/>
    </xf>
    <xf numFmtId="0" fontId="8" fillId="2" borderId="12" xfId="2" applyFont="1" applyFill="1" applyBorder="1" applyAlignment="1">
      <alignment horizontal="left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18" fillId="2" borderId="11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18" fillId="2" borderId="12" xfId="2" applyFont="1" applyFill="1" applyBorder="1" applyAlignment="1">
      <alignment horizontal="center" vertical="center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6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9" xfId="2" applyFont="1" applyFill="1" applyBorder="1" applyAlignment="1" applyProtection="1">
      <alignment horizontal="left" vertical="center" wrapText="1"/>
    </xf>
    <xf numFmtId="0" fontId="8" fillId="2" borderId="10" xfId="2" applyFont="1" applyFill="1" applyBorder="1" applyAlignment="1" applyProtection="1">
      <alignment horizontal="left" vertical="center" wrapText="1"/>
    </xf>
    <xf numFmtId="0" fontId="8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93" zoomScaleNormal="100" zoomScaleSheetLayoutView="93" workbookViewId="0">
      <selection activeCell="L13" sqref="L13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.5703125" style="2" customWidth="1"/>
    <col min="9" max="9" width="9.710937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8" t="s">
        <v>183</v>
      </c>
      <c r="B1" s="39"/>
      <c r="C1" s="39"/>
      <c r="D1" s="39"/>
      <c r="E1" s="39"/>
      <c r="F1" s="39"/>
      <c r="G1" s="39"/>
      <c r="H1" s="39"/>
      <c r="I1" s="39"/>
      <c r="J1" s="40"/>
    </row>
    <row r="2" spans="1:11" ht="24.95" customHeight="1">
      <c r="A2" s="41" t="s">
        <v>184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>
      <c r="A3" s="44" t="s">
        <v>187</v>
      </c>
      <c r="B3" s="44"/>
      <c r="C3" s="44"/>
      <c r="D3" s="44"/>
      <c r="E3" s="44"/>
      <c r="F3" s="44"/>
      <c r="G3" s="44"/>
      <c r="H3" s="44"/>
      <c r="I3" s="44"/>
      <c r="J3" s="44"/>
    </row>
    <row r="4" spans="1:11" ht="36" customHeight="1">
      <c r="A4" s="37" t="s">
        <v>8</v>
      </c>
      <c r="B4" s="45" t="s">
        <v>7</v>
      </c>
      <c r="C4" s="46"/>
      <c r="D4" s="46"/>
      <c r="E4" s="46"/>
      <c r="F4" s="46"/>
      <c r="G4" s="46"/>
      <c r="H4" s="46"/>
      <c r="I4" s="47"/>
      <c r="J4" s="37" t="s">
        <v>15</v>
      </c>
    </row>
    <row r="5" spans="1:11" ht="36" customHeight="1">
      <c r="A5" s="37"/>
      <c r="B5" s="45" t="s">
        <v>6</v>
      </c>
      <c r="C5" s="46"/>
      <c r="D5" s="46"/>
      <c r="E5" s="47"/>
      <c r="F5" s="45" t="s">
        <v>5</v>
      </c>
      <c r="G5" s="46"/>
      <c r="H5" s="46"/>
      <c r="I5" s="47"/>
      <c r="J5" s="37"/>
    </row>
    <row r="6" spans="1:11" ht="50.1" customHeight="1">
      <c r="A6" s="25"/>
      <c r="B6" s="25" t="s">
        <v>188</v>
      </c>
      <c r="C6" s="25" t="s">
        <v>189</v>
      </c>
      <c r="D6" s="25" t="s">
        <v>190</v>
      </c>
      <c r="E6" s="25" t="s">
        <v>0</v>
      </c>
      <c r="F6" s="25" t="s">
        <v>188</v>
      </c>
      <c r="G6" s="25" t="s">
        <v>189</v>
      </c>
      <c r="H6" s="25" t="s">
        <v>190</v>
      </c>
      <c r="I6" s="25" t="s">
        <v>0</v>
      </c>
      <c r="J6" s="25"/>
    </row>
    <row r="7" spans="1:11" ht="50.1" customHeight="1">
      <c r="A7" s="25" t="s">
        <v>4</v>
      </c>
      <c r="B7" s="27">
        <v>3407</v>
      </c>
      <c r="C7" s="27">
        <v>588</v>
      </c>
      <c r="D7" s="27">
        <v>0</v>
      </c>
      <c r="E7" s="28">
        <f>B7+C7</f>
        <v>3995</v>
      </c>
      <c r="F7" s="28">
        <v>3764</v>
      </c>
      <c r="G7" s="28">
        <v>643</v>
      </c>
      <c r="H7" s="28">
        <v>0</v>
      </c>
      <c r="I7" s="28">
        <f>F7+G7</f>
        <v>4407</v>
      </c>
      <c r="J7" s="29">
        <v>23032.884439000001</v>
      </c>
      <c r="K7" s="1"/>
    </row>
    <row r="8" spans="1:11" ht="50.1" customHeight="1">
      <c r="A8" s="25" t="s">
        <v>185</v>
      </c>
      <c r="B8" s="27">
        <v>197</v>
      </c>
      <c r="C8" s="27">
        <v>42</v>
      </c>
      <c r="D8" s="27">
        <v>0</v>
      </c>
      <c r="E8" s="28">
        <f t="shared" ref="E8:E13" si="0">B8+C8</f>
        <v>239</v>
      </c>
      <c r="F8" s="28">
        <v>201</v>
      </c>
      <c r="G8" s="28">
        <v>52</v>
      </c>
      <c r="H8" s="28">
        <v>0</v>
      </c>
      <c r="I8" s="28">
        <f t="shared" ref="I8:I13" si="1">F8+G8</f>
        <v>253</v>
      </c>
      <c r="J8" s="29">
        <v>349.26676500000002</v>
      </c>
      <c r="K8" s="1"/>
    </row>
    <row r="9" spans="1:11" ht="50.1" customHeight="1">
      <c r="A9" s="25" t="s">
        <v>186</v>
      </c>
      <c r="B9" s="27">
        <v>0</v>
      </c>
      <c r="C9" s="27">
        <v>7761</v>
      </c>
      <c r="D9" s="27">
        <v>0</v>
      </c>
      <c r="E9" s="28">
        <f t="shared" si="0"/>
        <v>7761</v>
      </c>
      <c r="F9" s="28">
        <v>0</v>
      </c>
      <c r="G9" s="28">
        <v>8567</v>
      </c>
      <c r="H9" s="28">
        <v>0</v>
      </c>
      <c r="I9" s="28">
        <f t="shared" si="1"/>
        <v>8567</v>
      </c>
      <c r="J9" s="29">
        <v>4494.2890969999999</v>
      </c>
      <c r="K9" s="1"/>
    </row>
    <row r="10" spans="1:11" ht="50.1" customHeight="1">
      <c r="A10" s="25" t="s">
        <v>3</v>
      </c>
      <c r="B10" s="27">
        <v>1887</v>
      </c>
      <c r="C10" s="27">
        <v>78</v>
      </c>
      <c r="D10" s="27">
        <v>0</v>
      </c>
      <c r="E10" s="28">
        <f t="shared" si="0"/>
        <v>1965</v>
      </c>
      <c r="F10" s="28">
        <v>2063</v>
      </c>
      <c r="G10" s="28">
        <v>105</v>
      </c>
      <c r="H10" s="28">
        <v>0</v>
      </c>
      <c r="I10" s="28">
        <f t="shared" si="1"/>
        <v>2168</v>
      </c>
      <c r="J10" s="29">
        <v>2597.2936279999999</v>
      </c>
      <c r="K10" s="1"/>
    </row>
    <row r="11" spans="1:11" ht="50.1" customHeight="1">
      <c r="A11" s="25" t="s">
        <v>2</v>
      </c>
      <c r="B11" s="27">
        <v>207</v>
      </c>
      <c r="C11" s="27">
        <v>96</v>
      </c>
      <c r="D11" s="27">
        <v>0</v>
      </c>
      <c r="E11" s="28">
        <f t="shared" si="0"/>
        <v>303</v>
      </c>
      <c r="F11" s="28">
        <v>187</v>
      </c>
      <c r="G11" s="28">
        <v>63</v>
      </c>
      <c r="H11" s="28">
        <v>0</v>
      </c>
      <c r="I11" s="28">
        <f t="shared" si="1"/>
        <v>250</v>
      </c>
      <c r="J11" s="30">
        <v>473.14660600000002</v>
      </c>
      <c r="K11" s="1"/>
    </row>
    <row r="12" spans="1:11" ht="50.1" customHeight="1">
      <c r="A12" s="25" t="s">
        <v>1</v>
      </c>
      <c r="B12" s="27">
        <v>10817</v>
      </c>
      <c r="C12" s="27">
        <v>4675</v>
      </c>
      <c r="D12" s="27">
        <v>0</v>
      </c>
      <c r="E12" s="28">
        <f t="shared" si="0"/>
        <v>15492</v>
      </c>
      <c r="F12" s="28">
        <v>11722</v>
      </c>
      <c r="G12" s="28">
        <v>5030</v>
      </c>
      <c r="H12" s="28">
        <v>0</v>
      </c>
      <c r="I12" s="28">
        <f t="shared" si="1"/>
        <v>16752</v>
      </c>
      <c r="J12" s="29">
        <v>8150.9908210000003</v>
      </c>
      <c r="K12" s="1"/>
    </row>
    <row r="13" spans="1:11" ht="32.25" customHeight="1">
      <c r="A13" s="26" t="s">
        <v>0</v>
      </c>
      <c r="B13" s="31">
        <f>SUM(B7:B12)</f>
        <v>16515</v>
      </c>
      <c r="C13" s="31">
        <f t="shared" ref="C13:J13" si="2">SUM(C7:C12)</f>
        <v>13240</v>
      </c>
      <c r="D13" s="31">
        <f t="shared" si="2"/>
        <v>0</v>
      </c>
      <c r="E13" s="32">
        <f t="shared" si="0"/>
        <v>29755</v>
      </c>
      <c r="F13" s="31">
        <f t="shared" si="2"/>
        <v>17937</v>
      </c>
      <c r="G13" s="31">
        <f t="shared" si="2"/>
        <v>14460</v>
      </c>
      <c r="H13" s="31">
        <f t="shared" si="2"/>
        <v>0</v>
      </c>
      <c r="I13" s="32">
        <f t="shared" si="1"/>
        <v>32397</v>
      </c>
      <c r="J13" s="33">
        <f t="shared" si="2"/>
        <v>39097.871356000003</v>
      </c>
    </row>
    <row r="14" spans="1:11" ht="20.100000000000001" customHeight="1">
      <c r="A14" s="48" t="s">
        <v>182</v>
      </c>
      <c r="B14" s="49"/>
      <c r="C14" s="49"/>
      <c r="D14" s="49"/>
      <c r="E14" s="49"/>
      <c r="F14" s="49"/>
      <c r="G14" s="49"/>
      <c r="H14" s="49"/>
      <c r="I14" s="49"/>
      <c r="J14" s="50"/>
    </row>
    <row r="15" spans="1:11" ht="15.75">
      <c r="A15" s="34" t="s">
        <v>16</v>
      </c>
      <c r="B15" s="35"/>
      <c r="C15" s="35"/>
      <c r="D15" s="35"/>
      <c r="E15" s="35"/>
      <c r="F15" s="35"/>
      <c r="G15" s="35"/>
      <c r="H15" s="35"/>
      <c r="I15" s="35"/>
      <c r="J15" s="36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2024-03-13T12:21:39Z</cp:lastPrinted>
  <dcterms:created xsi:type="dcterms:W3CDTF">2002-12-26T09:18:20Z</dcterms:created>
  <dcterms:modified xsi:type="dcterms:W3CDTF">2024-03-13T12:21:49Z</dcterms:modified>
</cp:coreProperties>
</file>