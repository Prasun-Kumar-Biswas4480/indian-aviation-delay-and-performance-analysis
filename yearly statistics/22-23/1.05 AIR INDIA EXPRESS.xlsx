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" l="1"/>
  <c r="B38" i="1"/>
  <c r="B29" i="1"/>
  <c r="B26" i="1"/>
  <c r="B23" i="1"/>
  <c r="B19" i="1"/>
  <c r="B20" i="1"/>
  <c r="B16" i="1"/>
  <c r="B17" i="1"/>
  <c r="B13" i="1"/>
  <c r="B14" i="1"/>
  <c r="B11" i="1"/>
  <c r="Q38" i="1" l="1"/>
  <c r="P38" i="1"/>
  <c r="O38" i="1"/>
  <c r="L38" i="1"/>
  <c r="H38" i="1"/>
  <c r="G38" i="1"/>
  <c r="F38" i="1"/>
  <c r="E38" i="1"/>
  <c r="D38" i="1"/>
  <c r="C38" i="1"/>
  <c r="G31" i="1" l="1"/>
  <c r="E28" i="1"/>
  <c r="B28" i="1"/>
  <c r="B25" i="1"/>
  <c r="N25" i="1"/>
  <c r="O25" i="1"/>
  <c r="P25" i="1"/>
  <c r="Q25" i="1"/>
  <c r="Q22" i="1"/>
  <c r="P22" i="1"/>
  <c r="O22" i="1"/>
  <c r="N22" i="1"/>
  <c r="M22" i="1"/>
  <c r="L22" i="1"/>
  <c r="H22" i="1"/>
  <c r="G22" i="1"/>
  <c r="F22" i="1"/>
  <c r="E22" i="1"/>
  <c r="C25" i="1"/>
  <c r="C20" i="1"/>
  <c r="E20" i="1"/>
  <c r="F20" i="1"/>
  <c r="G20" i="1"/>
  <c r="H20" i="1"/>
  <c r="L20" i="1"/>
  <c r="O20" i="1"/>
  <c r="P20" i="1"/>
  <c r="Q20" i="1"/>
  <c r="Q19" i="1"/>
  <c r="P19" i="1"/>
  <c r="O19" i="1"/>
  <c r="M19" i="1"/>
  <c r="H19" i="1"/>
  <c r="G19" i="1"/>
  <c r="F19" i="1"/>
  <c r="E19" i="1"/>
  <c r="D19" i="1"/>
  <c r="C19" i="1"/>
  <c r="C17" i="1"/>
  <c r="D17" i="1"/>
  <c r="E17" i="1"/>
  <c r="F17" i="1"/>
  <c r="G17" i="1"/>
  <c r="H17" i="1"/>
  <c r="L17" i="1"/>
  <c r="O17" i="1"/>
  <c r="P17" i="1"/>
  <c r="Q17" i="1"/>
  <c r="Q16" i="1"/>
  <c r="P16" i="1"/>
  <c r="O16" i="1"/>
  <c r="L16" i="1"/>
  <c r="H16" i="1"/>
  <c r="G16" i="1"/>
  <c r="F16" i="1"/>
  <c r="E16" i="1"/>
  <c r="D16" i="1"/>
  <c r="C16" i="1"/>
  <c r="C14" i="1"/>
  <c r="D14" i="1"/>
  <c r="E14" i="1"/>
  <c r="F14" i="1"/>
  <c r="G14" i="1"/>
  <c r="H14" i="1"/>
  <c r="L14" i="1"/>
  <c r="O14" i="1"/>
  <c r="P14" i="1"/>
  <c r="Q14" i="1"/>
  <c r="Q13" i="1"/>
  <c r="P13" i="1"/>
  <c r="O13" i="1"/>
  <c r="L13" i="1"/>
  <c r="H13" i="1"/>
  <c r="G13" i="1"/>
  <c r="F13" i="1"/>
  <c r="E13" i="1"/>
  <c r="D13" i="1"/>
  <c r="C13" i="1"/>
  <c r="Q10" i="1"/>
  <c r="B10" i="1"/>
  <c r="C32" i="1" l="1"/>
  <c r="D32" i="1"/>
  <c r="E32" i="1"/>
  <c r="F32" i="1"/>
  <c r="G32" i="1"/>
  <c r="H32" i="1"/>
  <c r="L32" i="1"/>
  <c r="O32" i="1"/>
  <c r="P32" i="1"/>
  <c r="Q32" i="1"/>
  <c r="C29" i="1"/>
  <c r="D29" i="1"/>
  <c r="E29" i="1"/>
  <c r="F29" i="1"/>
  <c r="G29" i="1"/>
  <c r="H29" i="1"/>
  <c r="L29" i="1"/>
  <c r="O29" i="1"/>
  <c r="P29" i="1"/>
  <c r="Q29" i="1"/>
  <c r="C26" i="1"/>
  <c r="D26" i="1"/>
  <c r="E26" i="1"/>
  <c r="F26" i="1"/>
  <c r="G26" i="1"/>
  <c r="H26" i="1"/>
  <c r="L26" i="1"/>
  <c r="O26" i="1"/>
  <c r="P26" i="1"/>
  <c r="Q26" i="1"/>
  <c r="C23" i="1"/>
  <c r="D23" i="1"/>
  <c r="E23" i="1"/>
  <c r="F23" i="1"/>
  <c r="G23" i="1"/>
  <c r="H23" i="1"/>
  <c r="L23" i="1"/>
  <c r="O23" i="1"/>
  <c r="P23" i="1"/>
  <c r="Q23" i="1"/>
  <c r="D20" i="1"/>
  <c r="C11" i="1"/>
  <c r="D11" i="1"/>
  <c r="E11" i="1"/>
  <c r="F11" i="1"/>
  <c r="G11" i="1"/>
  <c r="H11" i="1"/>
  <c r="L11" i="1"/>
  <c r="O11" i="1"/>
  <c r="P11" i="1"/>
  <c r="Q11" i="1"/>
  <c r="Q31" i="1" l="1"/>
  <c r="P31" i="1"/>
  <c r="O31" i="1"/>
  <c r="N31" i="1"/>
  <c r="M31" i="1"/>
  <c r="L31" i="1"/>
  <c r="K31" i="1"/>
  <c r="J31" i="1"/>
  <c r="I31" i="1"/>
  <c r="H31" i="1"/>
  <c r="F31" i="1"/>
  <c r="E31" i="1"/>
  <c r="D31" i="1"/>
  <c r="C31" i="1"/>
  <c r="B31" i="1"/>
  <c r="M25" i="1"/>
  <c r="M28" i="1"/>
  <c r="Q28" i="1"/>
  <c r="P28" i="1"/>
  <c r="O28" i="1"/>
  <c r="N28" i="1"/>
  <c r="L28" i="1"/>
  <c r="K28" i="1"/>
  <c r="J28" i="1"/>
  <c r="I28" i="1"/>
  <c r="H28" i="1"/>
  <c r="G28" i="1"/>
  <c r="F28" i="1"/>
  <c r="D28" i="1"/>
  <c r="C28" i="1"/>
  <c r="L25" i="1"/>
  <c r="K25" i="1"/>
  <c r="J25" i="1"/>
  <c r="I25" i="1"/>
  <c r="H25" i="1"/>
  <c r="G25" i="1"/>
  <c r="F25" i="1"/>
  <c r="E25" i="1"/>
  <c r="D25" i="1"/>
  <c r="D22" i="1"/>
  <c r="C22" i="1"/>
  <c r="B22" i="1"/>
  <c r="L19" i="1"/>
  <c r="P10" i="1"/>
  <c r="O10" i="1"/>
  <c r="L10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<sst xmlns="http://schemas.openxmlformats.org/spreadsheetml/2006/main" count="82" uniqueCount="39">
  <si>
    <t xml:space="preserve">तालिका - 1.05 (एयर इंडिया एक्सप्रेस) </t>
  </si>
  <si>
    <t>TABLE - 1.05 (AIR INDIA EXPRESS)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</si>
  <si>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</si>
  <si>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</si>
  <si>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</si>
  <si>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</si>
  <si>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</si>
  <si>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</si>
  <si>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</si>
  <si>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</si>
  <si>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</si>
  <si>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</si>
  <si>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</si>
  <si>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</si>
  <si>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</si>
  <si>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</si>
  <si>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</si>
  <si>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</si>
  <si>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</si>
  <si>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</si>
  <si>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</si>
  <si>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Growth </t>
  </si>
  <si>
    <t>-</t>
  </si>
  <si>
    <t xml:space="preserve">CAGR </t>
  </si>
  <si>
    <t>2012-13</t>
  </si>
  <si>
    <t>2013-14</t>
  </si>
  <si>
    <t>2014-15</t>
  </si>
  <si>
    <t>2015-16</t>
  </si>
  <si>
    <t>2016-17</t>
  </si>
  <si>
    <t>2017-18</t>
  </si>
  <si>
    <t>2018-19</t>
  </si>
  <si>
    <t>SOURCE: ICAO ATR FORM 'A' FURNISHED BY AIR INDIA EXPRESS</t>
  </si>
  <si>
    <t>2019-20</t>
  </si>
  <si>
    <t>YEAR ON YEAR GROWTH AND CAGR FOR LAST TEN YEARS OFAIR INDIA EXPRESS ON SCHEDULED INTERNATIONAL SERVICES (ALL AIR TRAFFIC AND OPERATING STATISTICS)</t>
  </si>
  <si>
    <t>2020-21*</t>
  </si>
  <si>
    <t>2021-22</t>
  </si>
  <si>
    <t>* denotes that THE INTERNATIONAL OPERATIONS BY SCHEDULED INDIAN OPERATORS WERE CARRIED AS PER DGCA’S CIRCULAR DATED 26.03.2020 UNDER COVID-19 RESTRICTION.</t>
  </si>
  <si>
    <t>2022-23</t>
  </si>
  <si>
    <t>Note 1: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</si>
</sst>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7">
    <xf numFmtId="0" fontId="0" fillId="0" borderId="0" xfId="0"/>
    <xf numFmtId="0" fontId="1" fillId="4" borderId="1" xfId="4" applyBorder="1" applyAlignment="1" applyProtection="1">
      <alignment horizontal="center" vertical="center" wrapText="1"/>
    </xf>
    <xf numFmtId="3" fontId="1" fillId="4" borderId="1" xfId="4" applyNumberFormat="1" applyBorder="1" applyAlignment="1" applyProtection="1">
      <alignment horizontal="center" vertical="center" wrapText="1"/>
    </xf>
    <xf numFmtId="164" fontId="0" fillId="4" borderId="1" xfId="1" applyNumberFormat="1" applyFont="1" applyFill="1" applyBorder="1" applyAlignment="1" applyProtection="1">
      <alignment horizontal="center" vertical="center" wrapText="1"/>
    </xf>
    <xf numFmtId="165" fontId="1" fillId="4" borderId="1" xfId="4" applyNumberFormat="1" applyBorder="1" applyAlignment="1" applyProtection="1">
      <alignment horizontal="center" vertical="center" wrapText="1"/>
    </xf>
    <xf numFmtId="0" fontId="0" fillId="3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4" fillId="5" borderId="1" xfId="1" applyNumberFormat="1" applyFont="1" applyFill="1" applyBorder="1" applyAlignment="1" applyProtection="1">
      <alignment horizontal="center" vertical="center" wrapText="1"/>
    </xf>
    <xf numFmtId="166" fontId="5" fillId="6" borderId="1" xfId="1" applyNumberFormat="1" applyFont="1" applyFill="1" applyBorder="1" applyAlignment="1" applyProtection="1">
      <alignment horizontal="center" vertical="center" wrapText="1"/>
    </xf>
    <xf numFmtId="4" fontId="1" fillId="4" borderId="1" xfId="4" applyNumberFormat="1" applyBorder="1" applyAlignment="1" applyProtection="1">
      <alignment horizontal="center" vertical="center" wrapText="1"/>
    </xf>
    <xf numFmtId="0" fontId="0" fillId="4" borderId="1" xfId="4" applyFont="1" applyBorder="1" applyAlignment="1" applyProtection="1">
      <alignment horizontal="center" vertical="center" wrapText="1"/>
    </xf>
    <xf numFmtId="165" fontId="0" fillId="0" borderId="0" xfId="0" applyNumberFormat="1"/>
    <xf numFmtId="0" fontId="7" fillId="2" borderId="1" xfId="2" applyFont="1" applyBorder="1" applyAlignment="1" applyProtection="1">
      <alignment horizontal="center" vertical="center" textRotation="90" wrapText="1"/>
    </xf>
    <xf numFmtId="166" fontId="0" fillId="5" borderId="1" xfId="3" applyNumberFormat="1" applyFont="1" applyFill="1" applyBorder="1" applyAlignment="1" applyProtection="1">
      <alignment horizontal="center" vertical="center" wrapText="1"/>
    </xf>
    <xf numFmtId="3" fontId="0" fillId="0" borderId="0" xfId="0" applyNumberFormat="1"/>
    <xf numFmtId="0" fontId="7" fillId="4" borderId="1" xfId="4" applyFont="1" applyBorder="1" applyAlignment="1">
      <alignment horizontal="center" vertical="center" wrapText="1"/>
    </xf>
    <xf numFmtId="0" fontId="7" fillId="4" borderId="1" xfId="4" quotePrefix="1" applyFont="1" applyBorder="1" applyAlignment="1" applyProtection="1">
      <alignment horizontal="center" vertical="center" wrapText="1"/>
    </xf>
    <xf numFmtId="0" fontId="7" fillId="4" borderId="1" xfId="4" applyFont="1" applyBorder="1"/>
    <xf numFmtId="0" fontId="7" fillId="2" borderId="1" xfId="2" applyFont="1" applyBorder="1" applyAlignment="1" applyProtection="1">
      <alignment horizontal="center" vertical="center" wrapText="1"/>
    </xf>
    <xf numFmtId="0" fontId="7" fillId="2" borderId="1" xfId="2" applyFont="1" applyBorder="1"/>
    <xf numFmtId="0" fontId="7" fillId="2" borderId="1" xfId="2" applyFont="1" applyBorder="1" applyAlignment="1" applyProtection="1">
      <alignment horizontal="center" vertical="center" textRotation="90" wrapText="1"/>
    </xf>
    <xf numFmtId="0" fontId="7" fillId="2" borderId="1" xfId="2" applyFont="1" applyBorder="1" applyAlignment="1">
      <alignment textRotation="90"/>
    </xf>
    <xf numFmtId="0" fontId="2" fillId="0" borderId="1" xfId="0" applyFont="1" applyBorder="1" applyAlignment="1">
      <alignment horizontal="left" wrapText="1"/>
    </xf>
    <xf numFmtId="0" fontId="6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2"/>
  <sheetViews>
    <sheetView tabSelected="1" view="pageBreakPreview" topLeftCell="N22" zoomScale="115" zoomScaleNormal="100" zoomScaleSheetLayoutView="115" workbookViewId="0">
      <selection activeCell="AD31" sqref="AD31"/>
    </sheetView>
  </sheetViews>
  <sheetFormatPr defaultRowHeight="15" x14ac:dyDescent="0.25"/>
  <cols>
    <col min="1" max="1" width="10.140625" customWidth="1"/>
    <col min="2" max="2" width="7.7109375" customWidth="1"/>
    <col min="3" max="4" width="9.28515625" customWidth="1"/>
    <col min="5" max="5" width="11.42578125" customWidth="1"/>
    <col min="6" max="6" width="9.7109375" customWidth="1"/>
    <col min="7" max="7" width="7.5703125" customWidth="1"/>
    <col min="8" max="8" width="6.42578125" customWidth="1"/>
    <col min="9" max="9" width="10.7109375" customWidth="1"/>
    <col min="10" max="10" width="9.140625" customWidth="1"/>
    <col min="11" max="11" width="11.5703125" customWidth="1"/>
    <col min="12" max="12" width="9.7109375" customWidth="1"/>
    <col min="13" max="13" width="9.5703125" customWidth="1"/>
    <col min="14" max="14" width="9.42578125" customWidth="1"/>
    <col min="15" max="15" width="8.28515625" customWidth="1"/>
    <col min="16" max="16" width="8.5703125" customWidth="1"/>
    <col min="17" max="17" width="7.85546875" customWidth="1"/>
  </cols>
  <sheetData>
    <row r="1" spans="1:17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33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2</v>
      </c>
      <c r="B4" s="18" t="s">
        <v>3</v>
      </c>
      <c r="C4" s="18"/>
      <c r="D4" s="18"/>
      <c r="E4" s="18" t="s">
        <v>4</v>
      </c>
      <c r="F4" s="19"/>
      <c r="G4" s="20" t="s">
        <v>5</v>
      </c>
      <c r="H4" s="20" t="s">
        <v>6</v>
      </c>
      <c r="I4" s="18" t="s">
        <v>7</v>
      </c>
      <c r="J4" s="18"/>
      <c r="K4" s="18"/>
      <c r="L4" s="18" t="s">
        <v>8</v>
      </c>
      <c r="M4" s="18"/>
      <c r="N4" s="18"/>
      <c r="O4" s="18"/>
      <c r="P4" s="20" t="s">
        <v>9</v>
      </c>
      <c r="Q4" s="20" t="s">
        <v>10</v>
      </c>
    </row>
    <row r="5" spans="1:17" ht="117" customHeight="1" x14ac:dyDescent="0.25">
      <c r="A5" s="18"/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21"/>
      <c r="H5" s="21"/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17</v>
      </c>
      <c r="O5" s="12" t="s">
        <v>18</v>
      </c>
      <c r="P5" s="21"/>
      <c r="Q5" s="21"/>
    </row>
    <row r="6" spans="1:17" ht="17.100000000000001" customHeight="1" x14ac:dyDescent="0.25">
      <c r="A6" s="1" t="s">
        <v>24</v>
      </c>
      <c r="B6" s="2">
        <v>16657</v>
      </c>
      <c r="C6" s="2">
        <v>55091</v>
      </c>
      <c r="D6" s="2">
        <v>35715</v>
      </c>
      <c r="E6" s="2">
        <v>1944351</v>
      </c>
      <c r="F6" s="2">
        <v>5050.45</v>
      </c>
      <c r="G6" s="2">
        <v>6643.0190000000002</v>
      </c>
      <c r="H6" s="3">
        <v>76.026427141033309</v>
      </c>
      <c r="I6" s="4">
        <v>0</v>
      </c>
      <c r="J6" s="4">
        <v>0</v>
      </c>
      <c r="K6" s="4">
        <v>0</v>
      </c>
      <c r="L6" s="4">
        <v>489.89679170033196</v>
      </c>
      <c r="M6" s="4">
        <v>0</v>
      </c>
      <c r="N6" s="4">
        <v>0</v>
      </c>
      <c r="O6" s="4">
        <v>489.89679170033196</v>
      </c>
      <c r="P6" s="4">
        <v>688.60878273669709</v>
      </c>
      <c r="Q6" s="3">
        <v>71.142977548640047</v>
      </c>
    </row>
    <row r="7" spans="1:17" ht="17.100000000000001" customHeight="1" x14ac:dyDescent="0.25">
      <c r="A7" s="5" t="s">
        <v>21</v>
      </c>
      <c r="B7" s="1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7.100000000000001" customHeight="1" x14ac:dyDescent="0.25">
      <c r="A8" s="6" t="s">
        <v>23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7.100000000000001" customHeight="1" x14ac:dyDescent="0.25">
      <c r="A9" s="1" t="s">
        <v>25</v>
      </c>
      <c r="B9" s="2">
        <v>18351</v>
      </c>
      <c r="C9" s="2">
        <v>62969</v>
      </c>
      <c r="D9" s="2">
        <v>41546.472000000002</v>
      </c>
      <c r="E9" s="2">
        <v>2313553</v>
      </c>
      <c r="F9" s="2">
        <v>6104.0542660000001</v>
      </c>
      <c r="G9" s="2">
        <v>7727.6587679999993</v>
      </c>
      <c r="H9" s="3">
        <v>78.989697258330082</v>
      </c>
      <c r="I9" s="4">
        <v>0</v>
      </c>
      <c r="J9" s="4">
        <v>0</v>
      </c>
      <c r="K9" s="4">
        <v>0</v>
      </c>
      <c r="L9" s="4">
        <v>592.09699046139201</v>
      </c>
      <c r="M9" s="4">
        <v>0</v>
      </c>
      <c r="N9" s="4">
        <v>0</v>
      </c>
      <c r="O9" s="4">
        <v>592.09699046139201</v>
      </c>
      <c r="P9" s="4">
        <v>802.65461942018783</v>
      </c>
      <c r="Q9" s="3">
        <v>73.767343529288354</v>
      </c>
    </row>
    <row r="10" spans="1:17" ht="17.100000000000001" customHeight="1" x14ac:dyDescent="0.25">
      <c r="A10" s="5" t="s">
        <v>21</v>
      </c>
      <c r="B10" s="7">
        <f>(B9-B6)/B6</f>
        <v>0.1016989854115387</v>
      </c>
      <c r="C10" s="7">
        <f t="shared" ref="C10:P10" si="0">(C9-C6)/C6</f>
        <v>0.14299976402679204</v>
      </c>
      <c r="D10" s="7">
        <f t="shared" si="0"/>
        <v>0.16327795044099122</v>
      </c>
      <c r="E10" s="7">
        <f t="shared" si="0"/>
        <v>0.18988443958935397</v>
      </c>
      <c r="F10" s="7">
        <f t="shared" si="0"/>
        <v>0.2086159185815126</v>
      </c>
      <c r="G10" s="7">
        <f t="shared" si="0"/>
        <v>0.16327512656519561</v>
      </c>
      <c r="H10" s="7">
        <f t="shared" si="0"/>
        <v>3.8976843036431785E-2</v>
      </c>
      <c r="I10" s="7" t="s">
        <v>22</v>
      </c>
      <c r="J10" s="7" t="s">
        <v>22</v>
      </c>
      <c r="K10" s="7" t="s">
        <v>22</v>
      </c>
      <c r="L10" s="7">
        <f t="shared" si="0"/>
        <v>0.20861577477644624</v>
      </c>
      <c r="M10" s="7" t="s">
        <v>22</v>
      </c>
      <c r="N10" s="7" t="s">
        <v>22</v>
      </c>
      <c r="O10" s="7">
        <f t="shared" si="0"/>
        <v>0.20861577477644624</v>
      </c>
      <c r="P10" s="7">
        <f t="shared" si="0"/>
        <v>0.16561774921058242</v>
      </c>
      <c r="Q10" s="7">
        <f>(Q9-Q6)/Q6</f>
        <v>3.6888616010681344E-2</v>
      </c>
    </row>
    <row r="11" spans="1:17" ht="17.100000000000001" customHeight="1" x14ac:dyDescent="0.25">
      <c r="A11" s="6" t="s">
        <v>23</v>
      </c>
      <c r="B11" s="8">
        <f>(((B9/B6)^(1/1))-1)</f>
        <v>0.10169898541153866</v>
      </c>
      <c r="C11" s="8">
        <f t="shared" ref="C11:Q11" si="1">(((C9/C6)^(1/1))-1)</f>
        <v>0.14299976402679193</v>
      </c>
      <c r="D11" s="8">
        <f t="shared" si="1"/>
        <v>0.16327795044099114</v>
      </c>
      <c r="E11" s="8">
        <f t="shared" si="1"/>
        <v>0.18988443958935397</v>
      </c>
      <c r="F11" s="8">
        <f t="shared" si="1"/>
        <v>0.20861591858151263</v>
      </c>
      <c r="G11" s="8">
        <f t="shared" si="1"/>
        <v>0.16327512656519549</v>
      </c>
      <c r="H11" s="8">
        <f t="shared" si="1"/>
        <v>3.8976843036431896E-2</v>
      </c>
      <c r="I11" s="8"/>
      <c r="J11" s="8"/>
      <c r="K11" s="8"/>
      <c r="L11" s="8">
        <f t="shared" si="1"/>
        <v>0.20861577477644633</v>
      </c>
      <c r="M11" s="8"/>
      <c r="N11" s="8"/>
      <c r="O11" s="8">
        <f t="shared" si="1"/>
        <v>0.20861577477644633</v>
      </c>
      <c r="P11" s="8">
        <f t="shared" si="1"/>
        <v>0.16561774921058237</v>
      </c>
      <c r="Q11" s="8">
        <f t="shared" si="1"/>
        <v>3.6888616010681385E-2</v>
      </c>
    </row>
    <row r="12" spans="1:17" ht="17.100000000000001" customHeight="1" x14ac:dyDescent="0.25">
      <c r="A12" s="1" t="s">
        <v>26</v>
      </c>
      <c r="B12" s="2">
        <v>18307</v>
      </c>
      <c r="C12" s="2">
        <v>64931</v>
      </c>
      <c r="D12" s="2">
        <v>43033</v>
      </c>
      <c r="E12" s="2">
        <v>2392160</v>
      </c>
      <c r="F12" s="2">
        <v>6525.4009999999998</v>
      </c>
      <c r="G12" s="2">
        <v>8005.9049999999997</v>
      </c>
      <c r="H12" s="3">
        <v>81.507349887364384</v>
      </c>
      <c r="I12" s="4">
        <v>0</v>
      </c>
      <c r="J12" s="4">
        <v>0</v>
      </c>
      <c r="K12" s="4">
        <v>0</v>
      </c>
      <c r="L12" s="4">
        <v>515.32898999999998</v>
      </c>
      <c r="M12" s="4">
        <v>11.435270000000001</v>
      </c>
      <c r="N12" s="4">
        <v>2.4619999999999996E-2</v>
      </c>
      <c r="O12" s="4">
        <v>526.78888000000018</v>
      </c>
      <c r="P12" s="4">
        <v>635.13477999999998</v>
      </c>
      <c r="Q12" s="3">
        <v>82.941274291418935</v>
      </c>
    </row>
    <row r="13" spans="1:17" ht="17.100000000000001" customHeight="1" x14ac:dyDescent="0.25">
      <c r="A13" s="5" t="s">
        <v>21</v>
      </c>
      <c r="B13" s="7">
        <f>(B12-B9)/B9</f>
        <v>-2.3976894992098524E-3</v>
      </c>
      <c r="C13" s="7">
        <f t="shared" ref="C13:H13" si="2">(C12-C9)/C9</f>
        <v>3.1158188950118314E-2</v>
      </c>
      <c r="D13" s="7">
        <f t="shared" si="2"/>
        <v>3.5779885233095082E-2</v>
      </c>
      <c r="E13" s="7">
        <f t="shared" si="2"/>
        <v>3.3976744859529909E-2</v>
      </c>
      <c r="F13" s="7">
        <f t="shared" si="2"/>
        <v>6.9027357169304651E-2</v>
      </c>
      <c r="G13" s="7">
        <f t="shared" si="2"/>
        <v>3.6006537083677868E-2</v>
      </c>
      <c r="H13" s="7">
        <f t="shared" si="2"/>
        <v>3.1873177343628774E-2</v>
      </c>
      <c r="I13" s="7" t="s">
        <v>22</v>
      </c>
      <c r="J13" s="7" t="s">
        <v>22</v>
      </c>
      <c r="K13" s="7" t="s">
        <v>22</v>
      </c>
      <c r="L13" s="7">
        <f>(L12-L9)/L9</f>
        <v>-0.12965443448981309</v>
      </c>
      <c r="M13" s="7" t="s">
        <v>22</v>
      </c>
      <c r="N13" s="7" t="s">
        <v>22</v>
      </c>
      <c r="O13" s="7">
        <f>(O12-O9)/O9</f>
        <v>-0.11029968318281848</v>
      </c>
      <c r="P13" s="7">
        <f>(P12-P9)/P9</f>
        <v>-0.20870725137195231</v>
      </c>
      <c r="Q13" s="7">
        <f>(Q12-Q9)/Q9</f>
        <v>0.12436303550077268</v>
      </c>
    </row>
    <row r="14" spans="1:17" ht="17.100000000000001" customHeight="1" x14ac:dyDescent="0.25">
      <c r="A14" s="6" t="s">
        <v>23</v>
      </c>
      <c r="B14" s="8">
        <f>(((B12/B6)^(1/2))-1)</f>
        <v>4.8359410375529155E-2</v>
      </c>
      <c r="C14" s="8">
        <f t="shared" ref="C14:H14" si="3">(((C12/C6)^(1/2))-1)</f>
        <v>8.5639703881669638E-2</v>
      </c>
      <c r="D14" s="8">
        <f t="shared" si="3"/>
        <v>9.7679325669368655E-2</v>
      </c>
      <c r="E14" s="8">
        <f t="shared" si="3"/>
        <v>0.10919468066052596</v>
      </c>
      <c r="F14" s="8">
        <f t="shared" si="3"/>
        <v>0.13668090565204172</v>
      </c>
      <c r="G14" s="8">
        <f t="shared" si="3"/>
        <v>9.7798085054071171E-2</v>
      </c>
      <c r="H14" s="8">
        <f t="shared" si="3"/>
        <v>3.5418918221246098E-2</v>
      </c>
      <c r="I14" s="8"/>
      <c r="J14" s="8"/>
      <c r="K14" s="8"/>
      <c r="L14" s="8">
        <f>(((L12/L6)^(1/2))-1)</f>
        <v>2.562828548277607E-2</v>
      </c>
      <c r="M14" s="8"/>
      <c r="N14" s="8"/>
      <c r="O14" s="8">
        <f>(((O12/O6)^(1/2))-1)</f>
        <v>3.6969545227268252E-2</v>
      </c>
      <c r="P14" s="8">
        <f>(((P12/P6)^(1/2))-1)</f>
        <v>-3.9612123867403204E-2</v>
      </c>
      <c r="Q14" s="8">
        <f>(((Q12/Q6)^(1/2))-1)</f>
        <v>7.9740353869375724E-2</v>
      </c>
    </row>
    <row r="15" spans="1:17" ht="17.100000000000001" customHeight="1" x14ac:dyDescent="0.25">
      <c r="A15" s="1" t="s">
        <v>27</v>
      </c>
      <c r="B15" s="2">
        <v>19167</v>
      </c>
      <c r="C15" s="2">
        <v>69039.75</v>
      </c>
      <c r="D15" s="2">
        <v>46353</v>
      </c>
      <c r="E15" s="2">
        <v>2634791</v>
      </c>
      <c r="F15" s="2">
        <v>7106.5690000000004</v>
      </c>
      <c r="G15" s="2">
        <v>8621.16</v>
      </c>
      <c r="H15" s="3">
        <v>82.431702926288352</v>
      </c>
      <c r="I15" s="4">
        <v>3793.7699999999995</v>
      </c>
      <c r="J15" s="4">
        <v>2.2960000000000003</v>
      </c>
      <c r="K15" s="4">
        <v>3796.0659999999993</v>
      </c>
      <c r="L15" s="4">
        <v>649.40377999999998</v>
      </c>
      <c r="M15" s="4">
        <v>13.848400000000002</v>
      </c>
      <c r="N15" s="4">
        <v>2.462E-2</v>
      </c>
      <c r="O15" s="4">
        <v>663.27679999999998</v>
      </c>
      <c r="P15" s="4">
        <v>803.52521000000002</v>
      </c>
      <c r="Q15" s="3">
        <v>82.545860633296115</v>
      </c>
    </row>
    <row r="16" spans="1:17" ht="17.100000000000001" customHeight="1" x14ac:dyDescent="0.25">
      <c r="A16" s="5" t="s">
        <v>21</v>
      </c>
      <c r="B16" s="7">
        <f>(B15-B12)/B12</f>
        <v>4.6976566340743979E-2</v>
      </c>
      <c r="C16" s="7">
        <f t="shared" ref="C16:H16" si="4">(C15-C12)/C12</f>
        <v>6.3278711247324079E-2</v>
      </c>
      <c r="D16" s="7">
        <f t="shared" si="4"/>
        <v>7.7150094113819623E-2</v>
      </c>
      <c r="E16" s="7">
        <f t="shared" si="4"/>
        <v>0.10142758009497692</v>
      </c>
      <c r="F16" s="7">
        <f t="shared" si="4"/>
        <v>8.9062419305725518E-2</v>
      </c>
      <c r="G16" s="7">
        <f t="shared" si="4"/>
        <v>7.6850149983043778E-2</v>
      </c>
      <c r="H16" s="7">
        <f t="shared" si="4"/>
        <v>1.1340732341332878E-2</v>
      </c>
      <c r="I16" s="7" t="s">
        <v>22</v>
      </c>
      <c r="J16" s="7" t="s">
        <v>22</v>
      </c>
      <c r="K16" s="7" t="s">
        <v>22</v>
      </c>
      <c r="L16" s="7">
        <f>(L15-L12)/L12</f>
        <v>0.26017319537951866</v>
      </c>
      <c r="M16" s="7" t="s">
        <v>22</v>
      </c>
      <c r="N16" s="7" t="s">
        <v>22</v>
      </c>
      <c r="O16" s="7">
        <f>(O15-O12)/O12</f>
        <v>0.25909415551824055</v>
      </c>
      <c r="P16" s="7">
        <f>(P15-P12)/P12</f>
        <v>0.26512550611698521</v>
      </c>
      <c r="Q16" s="7">
        <f>(Q15-Q12)/Q12</f>
        <v>-4.7673930922921583E-3</v>
      </c>
    </row>
    <row r="17" spans="1:17" ht="17.100000000000001" customHeight="1" x14ac:dyDescent="0.25">
      <c r="A17" s="6" t="s">
        <v>23</v>
      </c>
      <c r="B17" s="8">
        <f>(((B15/B6)^(1/3))-1)</f>
        <v>4.7898259543311283E-2</v>
      </c>
      <c r="C17" s="8">
        <f t="shared" ref="C17:H17" si="5">(((C15/C6)^(1/3))-1)</f>
        <v>7.8134271387313436E-2</v>
      </c>
      <c r="D17" s="8">
        <f t="shared" si="5"/>
        <v>9.0793138984682997E-2</v>
      </c>
      <c r="E17" s="8">
        <f t="shared" si="5"/>
        <v>0.10659958031033723</v>
      </c>
      <c r="F17" s="8">
        <f t="shared" si="5"/>
        <v>0.12058111838354013</v>
      </c>
      <c r="G17" s="8">
        <f t="shared" si="5"/>
        <v>9.0770549374603826E-2</v>
      </c>
      <c r="H17" s="8">
        <f t="shared" si="5"/>
        <v>2.7329825714517364E-2</v>
      </c>
      <c r="I17" s="8"/>
      <c r="J17" s="8"/>
      <c r="K17" s="8"/>
      <c r="L17" s="8">
        <f>(((L15/L6)^(1/3))-1)</f>
        <v>9.8508459268221715E-2</v>
      </c>
      <c r="M17" s="8"/>
      <c r="N17" s="8"/>
      <c r="O17" s="8">
        <f>(((O15/O6)^(1/3))-1)</f>
        <v>0.10627577870262361</v>
      </c>
      <c r="P17" s="8">
        <f>(((P15/P6)^(1/3))-1)</f>
        <v>5.2791370530771209E-2</v>
      </c>
      <c r="Q17" s="8">
        <f>(((Q15/Q6)^(1/3))-1)</f>
        <v>5.0802475845606487E-2</v>
      </c>
    </row>
    <row r="18" spans="1:17" ht="17.100000000000001" customHeight="1" x14ac:dyDescent="0.25">
      <c r="A18" s="1" t="s">
        <v>28</v>
      </c>
      <c r="B18" s="2">
        <v>23958</v>
      </c>
      <c r="C18" s="2">
        <v>92216</v>
      </c>
      <c r="D18" s="2">
        <v>61671.490000000005</v>
      </c>
      <c r="E18" s="2">
        <v>3309882</v>
      </c>
      <c r="F18" s="2">
        <v>8725.2091900000014</v>
      </c>
      <c r="G18" s="2">
        <v>11470.829589999999</v>
      </c>
      <c r="H18" s="3">
        <v>76.064325788663396</v>
      </c>
      <c r="I18" s="4">
        <v>9988.67</v>
      </c>
      <c r="J18" s="4">
        <v>9.625</v>
      </c>
      <c r="K18" s="4">
        <v>9998.2949999999983</v>
      </c>
      <c r="L18" s="4">
        <v>804.18450199000006</v>
      </c>
      <c r="M18" s="4">
        <v>26.825370000000003</v>
      </c>
      <c r="N18" s="9">
        <v>2.2540000000000001E-2</v>
      </c>
      <c r="O18" s="4">
        <v>831.0324119899999</v>
      </c>
      <c r="P18" s="4">
        <v>1070.15211045</v>
      </c>
      <c r="Q18" s="3">
        <v>77.655541102521397</v>
      </c>
    </row>
    <row r="19" spans="1:17" ht="17.100000000000001" customHeight="1" x14ac:dyDescent="0.25">
      <c r="A19" s="5" t="s">
        <v>21</v>
      </c>
      <c r="B19" s="7">
        <f>(B18-B15)/B15</f>
        <v>0.24996087024573485</v>
      </c>
      <c r="C19" s="7">
        <f t="shared" ref="C19:H19" si="6">(C18-C15)/C15</f>
        <v>0.33569429205638779</v>
      </c>
      <c r="D19" s="7">
        <f t="shared" si="6"/>
        <v>0.33047461868703226</v>
      </c>
      <c r="E19" s="7">
        <f t="shared" si="6"/>
        <v>0.25622184074562271</v>
      </c>
      <c r="F19" s="7">
        <f t="shared" si="6"/>
        <v>0.22776675917731903</v>
      </c>
      <c r="G19" s="7">
        <f t="shared" si="6"/>
        <v>0.33054363797911179</v>
      </c>
      <c r="H19" s="7">
        <f t="shared" si="6"/>
        <v>-7.7244275097880233E-2</v>
      </c>
      <c r="I19" s="7" t="s">
        <v>22</v>
      </c>
      <c r="J19" s="7" t="s">
        <v>22</v>
      </c>
      <c r="K19" s="7" t="s">
        <v>22</v>
      </c>
      <c r="L19" s="7">
        <f t="shared" ref="L19" si="7">(L18-L15)/L15</f>
        <v>0.23834281036984428</v>
      </c>
      <c r="M19" s="7">
        <f>(M18-M15)/M15</f>
        <v>0.93707359694982817</v>
      </c>
      <c r="N19" s="7" t="s">
        <v>22</v>
      </c>
      <c r="O19" s="7">
        <f>(O18-O15)/O15</f>
        <v>0.25291946286980027</v>
      </c>
      <c r="P19" s="7">
        <f>(P18-P15)/P15</f>
        <v>0.33182145019445003</v>
      </c>
      <c r="Q19" s="7">
        <f>(Q18-Q15)/Q15</f>
        <v>-5.9243667620107583E-2</v>
      </c>
    </row>
    <row r="20" spans="1:17" ht="17.100000000000001" customHeight="1" x14ac:dyDescent="0.25">
      <c r="A20" s="6" t="s">
        <v>23</v>
      </c>
      <c r="B20" s="8">
        <f>(((B18/B6)^(1/4))-1)</f>
        <v>9.5124370521401547E-2</v>
      </c>
      <c r="C20" s="8">
        <f>(((C18/C6)^(1/4))-1)</f>
        <v>0.13744761947104811</v>
      </c>
      <c r="D20" s="8">
        <f t="shared" ref="D20" si="8">(((D18/D6)^(1/4))-1)</f>
        <v>0.14632680206982429</v>
      </c>
      <c r="E20" s="8">
        <f>(((E18/E6)^(1/4))-1)</f>
        <v>0.14224551326968693</v>
      </c>
      <c r="F20" s="8">
        <f>(((F18/F6)^(1/4))-1)</f>
        <v>0.14646669530101897</v>
      </c>
      <c r="G20" s="8">
        <f>(((G18/G6)^(1/4))-1)</f>
        <v>0.14632386337092962</v>
      </c>
      <c r="H20" s="8">
        <f>(((H18/H6)^(1/4))-1)</f>
        <v>1.2459997968572445E-4</v>
      </c>
      <c r="I20" s="8"/>
      <c r="J20" s="8"/>
      <c r="K20" s="8"/>
      <c r="L20" s="8">
        <f>(((L18/L6)^(1/4))-1)</f>
        <v>0.13191229153248751</v>
      </c>
      <c r="M20" s="8"/>
      <c r="N20" s="8"/>
      <c r="O20" s="8">
        <f>(((O18/O6)^(1/4))-1)</f>
        <v>0.14124356515091718</v>
      </c>
      <c r="P20" s="8">
        <f>(((P18/P6)^(1/4))-1)</f>
        <v>0.11652445221882091</v>
      </c>
      <c r="Q20" s="8">
        <f>(((Q18/Q6)^(1/4))-1)</f>
        <v>2.2139338626192329E-2</v>
      </c>
    </row>
    <row r="21" spans="1:17" ht="17.100000000000001" customHeight="1" x14ac:dyDescent="0.25">
      <c r="A21" s="1" t="s">
        <v>29</v>
      </c>
      <c r="B21" s="2">
        <v>26610</v>
      </c>
      <c r="C21" s="2">
        <v>102793.3</v>
      </c>
      <c r="D21" s="2">
        <v>69679.31</v>
      </c>
      <c r="E21" s="2">
        <v>3758856</v>
      </c>
      <c r="F21" s="2">
        <v>9911.4933829999991</v>
      </c>
      <c r="G21" s="2">
        <v>12960.353590000002</v>
      </c>
      <c r="H21" s="3">
        <v>76.475485905319331</v>
      </c>
      <c r="I21" s="4">
        <v>13988.957999999999</v>
      </c>
      <c r="J21" s="4">
        <v>8.4489999999999998</v>
      </c>
      <c r="K21" s="4">
        <v>13997.407000000001</v>
      </c>
      <c r="L21" s="4">
        <v>947.22081999999978</v>
      </c>
      <c r="M21" s="4">
        <v>38.218789999999998</v>
      </c>
      <c r="N21" s="9">
        <v>2.0570000000000001E-2</v>
      </c>
      <c r="O21" s="4">
        <v>985.46018000000004</v>
      </c>
      <c r="P21" s="4">
        <v>1251.0795600000001</v>
      </c>
      <c r="Q21" s="3">
        <v>78.768785895598839</v>
      </c>
    </row>
    <row r="22" spans="1:17" ht="17.100000000000001" customHeight="1" x14ac:dyDescent="0.25">
      <c r="A22" s="5" t="s">
        <v>21</v>
      </c>
      <c r="B22" s="7">
        <f t="shared" ref="B22:D22" si="9">(B21-B18)/B18</f>
        <v>0.11069371399949912</v>
      </c>
      <c r="C22" s="7">
        <f t="shared" si="9"/>
        <v>0.11470135334432206</v>
      </c>
      <c r="D22" s="7">
        <f t="shared" si="9"/>
        <v>0.12984638444765956</v>
      </c>
      <c r="E22" s="7">
        <f>(E21-E18)/E18</f>
        <v>0.13564652758013729</v>
      </c>
      <c r="F22" s="7">
        <f>(F21-F18)/F18</f>
        <v>0.13596054457463358</v>
      </c>
      <c r="G22" s="7">
        <f>(G21-G18)/G18</f>
        <v>0.12985320619692017</v>
      </c>
      <c r="H22" s="7">
        <f>(H21-H18)/H18</f>
        <v>5.4054264255006977E-3</v>
      </c>
      <c r="I22" s="7" t="s">
        <v>22</v>
      </c>
      <c r="J22" s="7" t="s">
        <v>22</v>
      </c>
      <c r="K22" s="7" t="s">
        <v>22</v>
      </c>
      <c r="L22" s="7">
        <f t="shared" ref="L22:Q22" si="10">(L21-L18)/L18</f>
        <v>0.17786505168409519</v>
      </c>
      <c r="M22" s="7">
        <f t="shared" si="10"/>
        <v>0.42472554898590381</v>
      </c>
      <c r="N22" s="7">
        <f t="shared" si="10"/>
        <v>-8.7400177462289244E-2</v>
      </c>
      <c r="O22" s="7">
        <f t="shared" si="10"/>
        <v>0.18582640794984831</v>
      </c>
      <c r="P22" s="7">
        <f t="shared" si="10"/>
        <v>0.16906703989390812</v>
      </c>
      <c r="Q22" s="7">
        <f t="shared" si="10"/>
        <v>1.4335677496699535E-2</v>
      </c>
    </row>
    <row r="23" spans="1:17" ht="17.100000000000001" customHeight="1" x14ac:dyDescent="0.25">
      <c r="A23" s="6" t="s">
        <v>23</v>
      </c>
      <c r="B23" s="8">
        <f>(((B21/B6)^(1/5))-1)</f>
        <v>9.8220680878058575E-2</v>
      </c>
      <c r="C23" s="8">
        <f t="shared" ref="C23:Q23" si="11">(((C21/C6)^(1/5))-1)</f>
        <v>0.13286153368580389</v>
      </c>
      <c r="D23" s="8">
        <f t="shared" si="11"/>
        <v>0.14301159863166424</v>
      </c>
      <c r="E23" s="8">
        <f t="shared" si="11"/>
        <v>0.14092265562183548</v>
      </c>
      <c r="F23" s="8">
        <f t="shared" si="11"/>
        <v>0.14435772031472971</v>
      </c>
      <c r="G23" s="8">
        <f t="shared" si="11"/>
        <v>0.14301063471236253</v>
      </c>
      <c r="H23" s="8">
        <f t="shared" si="11"/>
        <v>1.178541617599338E-3</v>
      </c>
      <c r="I23" s="8"/>
      <c r="J23" s="8"/>
      <c r="K23" s="8"/>
      <c r="L23" s="8">
        <f t="shared" si="11"/>
        <v>0.14095713350977368</v>
      </c>
      <c r="M23" s="8"/>
      <c r="N23" s="8"/>
      <c r="O23" s="8">
        <f t="shared" si="11"/>
        <v>0.15002398195424083</v>
      </c>
      <c r="P23" s="8">
        <f t="shared" si="11"/>
        <v>0.12684056894696871</v>
      </c>
      <c r="Q23" s="8">
        <f t="shared" si="11"/>
        <v>2.0573818201218064E-2</v>
      </c>
    </row>
    <row r="24" spans="1:17" ht="17.100000000000001" customHeight="1" x14ac:dyDescent="0.25">
      <c r="A24" s="1" t="s">
        <v>30</v>
      </c>
      <c r="B24" s="2">
        <v>27759</v>
      </c>
      <c r="C24" s="2">
        <v>110513.03</v>
      </c>
      <c r="D24" s="2">
        <v>73950.574999999997</v>
      </c>
      <c r="E24" s="2">
        <v>4148427</v>
      </c>
      <c r="F24" s="2">
        <v>11026.258781</v>
      </c>
      <c r="G24" s="2">
        <v>13754.803464000002</v>
      </c>
      <c r="H24" s="3">
        <v>80.162968593907337</v>
      </c>
      <c r="I24" s="4">
        <v>16193.879999999997</v>
      </c>
      <c r="J24" s="4">
        <v>11.837</v>
      </c>
      <c r="K24" s="4">
        <v>16205.716999999997</v>
      </c>
      <c r="L24" s="4">
        <v>965.83051083700002</v>
      </c>
      <c r="M24" s="4">
        <v>44.302828012999996</v>
      </c>
      <c r="N24" s="9">
        <v>2.0812008900000002E-2</v>
      </c>
      <c r="O24" s="4">
        <v>1010.1585201890001</v>
      </c>
      <c r="P24" s="4">
        <v>1260.0275541240001</v>
      </c>
      <c r="Q24" s="3">
        <v>80.16955794996764</v>
      </c>
    </row>
    <row r="25" spans="1:17" ht="17.100000000000001" customHeight="1" x14ac:dyDescent="0.25">
      <c r="A25" s="5" t="s">
        <v>21</v>
      </c>
      <c r="B25" s="7">
        <f>(B24-B21)/B21</f>
        <v>4.3179255918827507E-2</v>
      </c>
      <c r="C25" s="7">
        <f>(C24-C21)/C21</f>
        <v>7.5099544425560771E-2</v>
      </c>
      <c r="D25" s="7">
        <f t="shared" ref="D25:M25" si="12">(D24-D21)/D21</f>
        <v>6.1298899199776803E-2</v>
      </c>
      <c r="E25" s="7">
        <f t="shared" si="12"/>
        <v>0.10364084178803339</v>
      </c>
      <c r="F25" s="7">
        <f t="shared" si="12"/>
        <v>0.11247199134613008</v>
      </c>
      <c r="G25" s="7">
        <f t="shared" si="12"/>
        <v>6.1298472181575699E-2</v>
      </c>
      <c r="H25" s="7">
        <f t="shared" si="12"/>
        <v>4.8217839284516645E-2</v>
      </c>
      <c r="I25" s="7">
        <f t="shared" si="12"/>
        <v>0.15761874472709109</v>
      </c>
      <c r="J25" s="7">
        <f t="shared" si="12"/>
        <v>0.40099420049710022</v>
      </c>
      <c r="K25" s="7">
        <f t="shared" si="12"/>
        <v>0.15776564902342238</v>
      </c>
      <c r="L25" s="7">
        <f t="shared" si="12"/>
        <v>1.9646623515940292E-2</v>
      </c>
      <c r="M25" s="7">
        <f t="shared" si="12"/>
        <v>0.1591897078112624</v>
      </c>
      <c r="N25" s="7">
        <f>(N24-N21)/N21</f>
        <v>1.1765138551288284E-2</v>
      </c>
      <c r="O25" s="7">
        <f>(O24-O21)/O21</f>
        <v>2.5062748034121559E-2</v>
      </c>
      <c r="P25" s="7">
        <f>(P24-P21)/P21</f>
        <v>7.1522183001694415E-3</v>
      </c>
      <c r="Q25" s="7">
        <f>(Q24-Q21)/Q21</f>
        <v>1.7783339408397155E-2</v>
      </c>
    </row>
    <row r="26" spans="1:17" ht="17.100000000000001" customHeight="1" x14ac:dyDescent="0.25">
      <c r="A26" s="6" t="s">
        <v>23</v>
      </c>
      <c r="B26" s="8">
        <f>(((B24/B6)^(1/6))-1)</f>
        <v>8.8849456108508695E-2</v>
      </c>
      <c r="C26" s="8">
        <f t="shared" ref="C26:Q26" si="13">(((C24/C6)^(1/6))-1)</f>
        <v>0.1230233988070295</v>
      </c>
      <c r="D26" s="8">
        <f t="shared" si="13"/>
        <v>0.12896847970808922</v>
      </c>
      <c r="E26" s="8">
        <f t="shared" si="13"/>
        <v>0.1346226894826632</v>
      </c>
      <c r="F26" s="8">
        <f t="shared" si="13"/>
        <v>0.13898066278108501</v>
      </c>
      <c r="G26" s="8">
        <f t="shared" si="13"/>
        <v>0.12896761060341322</v>
      </c>
      <c r="H26" s="8">
        <f t="shared" si="13"/>
        <v>8.8692112011254931E-3</v>
      </c>
      <c r="I26" s="8"/>
      <c r="J26" s="8"/>
      <c r="K26" s="8"/>
      <c r="L26" s="8">
        <f t="shared" si="13"/>
        <v>0.11978003729175435</v>
      </c>
      <c r="M26" s="8"/>
      <c r="N26" s="8"/>
      <c r="O26" s="8">
        <f t="shared" si="13"/>
        <v>0.12818630270535558</v>
      </c>
      <c r="P26" s="8">
        <f t="shared" si="13"/>
        <v>0.10594767714309294</v>
      </c>
      <c r="Q26" s="8">
        <f t="shared" si="13"/>
        <v>2.0108207668295908E-2</v>
      </c>
    </row>
    <row r="27" spans="1:17" ht="17.100000000000001" customHeight="1" x14ac:dyDescent="0.25">
      <c r="A27" s="10" t="s">
        <v>32</v>
      </c>
      <c r="B27" s="2">
        <v>29531</v>
      </c>
      <c r="C27" s="2">
        <v>116981.49000000005</v>
      </c>
      <c r="D27" s="2">
        <v>78209.034</v>
      </c>
      <c r="E27" s="2">
        <v>4648162</v>
      </c>
      <c r="F27" s="2">
        <v>12242.024616999999</v>
      </c>
      <c r="G27" s="2">
        <v>14546.879764000001</v>
      </c>
      <c r="H27" s="3">
        <v>84.155673351312359</v>
      </c>
      <c r="I27" s="4">
        <v>22552.885999999999</v>
      </c>
      <c r="J27" s="4">
        <v>11.107000000000001</v>
      </c>
      <c r="K27" s="4">
        <v>22563.993000000002</v>
      </c>
      <c r="L27" s="4">
        <v>1107.9605328940002</v>
      </c>
      <c r="M27" s="4">
        <v>62.308979075000003</v>
      </c>
      <c r="N27" s="9">
        <v>2.4473668000000001E-2</v>
      </c>
      <c r="O27" s="4">
        <v>1170.2939856370001</v>
      </c>
      <c r="P27" s="4">
        <v>1341.9517089800001</v>
      </c>
      <c r="Q27" s="3">
        <v>87.208353162464036</v>
      </c>
    </row>
    <row r="28" spans="1:17" ht="17.100000000000001" customHeight="1" x14ac:dyDescent="0.25">
      <c r="A28" s="5" t="s">
        <v>21</v>
      </c>
      <c r="B28" s="7">
        <f>(B27-B24)/B24</f>
        <v>6.3835152563132672E-2</v>
      </c>
      <c r="C28" s="7">
        <f t="shared" ref="C28:Q28" si="14">(C27-C24)/C24</f>
        <v>5.8531197633437886E-2</v>
      </c>
      <c r="D28" s="7">
        <f t="shared" si="14"/>
        <v>5.7585204712742297E-2</v>
      </c>
      <c r="E28" s="7">
        <f>(E27-E24)/E24</f>
        <v>0.12046373239784622</v>
      </c>
      <c r="F28" s="7">
        <f t="shared" si="14"/>
        <v>0.11026095615449882</v>
      </c>
      <c r="G28" s="7">
        <f t="shared" si="14"/>
        <v>5.7585432032749448E-2</v>
      </c>
      <c r="H28" s="7">
        <f t="shared" si="14"/>
        <v>4.9807346552139559E-2</v>
      </c>
      <c r="I28" s="7">
        <f t="shared" si="14"/>
        <v>0.39267958018708315</v>
      </c>
      <c r="J28" s="7">
        <f t="shared" si="14"/>
        <v>-6.1671031511362565E-2</v>
      </c>
      <c r="K28" s="7">
        <f t="shared" si="14"/>
        <v>0.39234771284726289</v>
      </c>
      <c r="L28" s="7">
        <f t="shared" si="14"/>
        <v>0.14715834762129082</v>
      </c>
      <c r="M28" s="7">
        <f t="shared" si="14"/>
        <v>0.4064334461158185</v>
      </c>
      <c r="N28" s="7">
        <f t="shared" si="14"/>
        <v>0.1759397239158397</v>
      </c>
      <c r="O28" s="7">
        <f t="shared" si="14"/>
        <v>0.15852508516983921</v>
      </c>
      <c r="P28" s="7">
        <f t="shared" si="14"/>
        <v>6.5017748689595631E-2</v>
      </c>
      <c r="Q28" s="7">
        <f t="shared" si="14"/>
        <v>8.7798852737708488E-2</v>
      </c>
    </row>
    <row r="29" spans="1:17" ht="17.100000000000001" customHeight="1" x14ac:dyDescent="0.25">
      <c r="A29" s="6" t="s">
        <v>23</v>
      </c>
      <c r="B29" s="8">
        <f>(((B27/B6)^(1/7))-1)</f>
        <v>8.5240292353765179E-2</v>
      </c>
      <c r="C29" s="8">
        <f t="shared" ref="C29:Q29" si="15">(((C27/C6)^(1/7))-1)</f>
        <v>0.11357506829167052</v>
      </c>
      <c r="D29" s="8">
        <f t="shared" si="15"/>
        <v>0.11848320392035827</v>
      </c>
      <c r="E29" s="8">
        <f t="shared" si="15"/>
        <v>0.13258907927495223</v>
      </c>
      <c r="F29" s="8">
        <f t="shared" si="15"/>
        <v>0.13483280549871846</v>
      </c>
      <c r="G29" s="8">
        <f t="shared" si="15"/>
        <v>0.11848250023633322</v>
      </c>
      <c r="H29" s="8">
        <f t="shared" si="15"/>
        <v>1.4618293320575182E-2</v>
      </c>
      <c r="I29" s="8"/>
      <c r="J29" s="8"/>
      <c r="K29" s="8"/>
      <c r="L29" s="8">
        <f t="shared" si="15"/>
        <v>0.12365085096386519</v>
      </c>
      <c r="M29" s="8"/>
      <c r="N29" s="8"/>
      <c r="O29" s="8">
        <f t="shared" si="15"/>
        <v>0.13247127978276141</v>
      </c>
      <c r="P29" s="8">
        <f t="shared" si="15"/>
        <v>0.10000562079147368</v>
      </c>
      <c r="Q29" s="8">
        <f t="shared" si="15"/>
        <v>2.9514084635247739E-2</v>
      </c>
    </row>
    <row r="30" spans="1:17" ht="17.100000000000001" customHeight="1" x14ac:dyDescent="0.25">
      <c r="A30" s="10" t="s">
        <v>34</v>
      </c>
      <c r="B30" s="2">
        <v>12879</v>
      </c>
      <c r="C30" s="2">
        <v>47970.670000000006</v>
      </c>
      <c r="D30" s="2">
        <v>32257.052580645162</v>
      </c>
      <c r="E30" s="2">
        <v>1444283</v>
      </c>
      <c r="F30" s="2">
        <v>3954.3915439999996</v>
      </c>
      <c r="G30" s="2">
        <v>5985.2288760000001</v>
      </c>
      <c r="H30" s="3">
        <v>66.069178404465077</v>
      </c>
      <c r="I30" s="4">
        <v>12171.398999999999</v>
      </c>
      <c r="J30" s="4">
        <v>51.954999999999998</v>
      </c>
      <c r="K30" s="4">
        <v>12223.353999999999</v>
      </c>
      <c r="L30" s="4">
        <v>272.82293911099998</v>
      </c>
      <c r="M30" s="4">
        <v>34.25210011299999</v>
      </c>
      <c r="N30" s="9">
        <v>0.151426854</v>
      </c>
      <c r="O30" s="4">
        <v>307.22646607799999</v>
      </c>
      <c r="P30" s="4">
        <v>385.08555359799999</v>
      </c>
      <c r="Q30" s="3">
        <v>79.781353314209497</v>
      </c>
    </row>
    <row r="31" spans="1:17" ht="17.100000000000001" customHeight="1" x14ac:dyDescent="0.25">
      <c r="A31" s="5" t="s">
        <v>21</v>
      </c>
      <c r="B31" s="7">
        <f>(B30-B27)/B27</f>
        <v>-0.56388202228167006</v>
      </c>
      <c r="C31" s="7">
        <f t="shared" ref="C31:Q31" si="16">(C30-C27)/C27</f>
        <v>-0.58992939823214774</v>
      </c>
      <c r="D31" s="7">
        <f t="shared" si="16"/>
        <v>-0.58755336908207867</v>
      </c>
      <c r="E31" s="7">
        <f t="shared" si="16"/>
        <v>-0.68927868693044692</v>
      </c>
      <c r="F31" s="7">
        <f t="shared" si="16"/>
        <v>-0.67698222575792744</v>
      </c>
      <c r="G31" s="7">
        <f>(G30-G27)/G27</f>
        <v>-0.58855582962801478</v>
      </c>
      <c r="H31" s="7">
        <f t="shared" si="16"/>
        <v>-0.21491711998244303</v>
      </c>
      <c r="I31" s="7">
        <f t="shared" si="16"/>
        <v>-0.46031745116789041</v>
      </c>
      <c r="J31" s="7">
        <f t="shared" si="16"/>
        <v>3.677680741874493</v>
      </c>
      <c r="K31" s="7">
        <f t="shared" si="16"/>
        <v>-0.45828054458268985</v>
      </c>
      <c r="L31" s="7">
        <f t="shared" si="16"/>
        <v>-0.75376113948898105</v>
      </c>
      <c r="M31" s="7">
        <f t="shared" si="16"/>
        <v>-0.45028628904717793</v>
      </c>
      <c r="N31" s="7">
        <f t="shared" si="16"/>
        <v>5.1873379176345775</v>
      </c>
      <c r="O31" s="7">
        <f t="shared" si="16"/>
        <v>-0.73747924038866686</v>
      </c>
      <c r="P31" s="7">
        <f t="shared" si="16"/>
        <v>-0.71304067723070419</v>
      </c>
      <c r="Q31" s="7">
        <f t="shared" si="16"/>
        <v>-8.5163858494363198E-2</v>
      </c>
    </row>
    <row r="32" spans="1:17" ht="17.100000000000001" customHeight="1" x14ac:dyDescent="0.25">
      <c r="A32" s="6" t="s">
        <v>23</v>
      </c>
      <c r="B32" s="8">
        <f>(((B30/B6)^(1/8))-1)</f>
        <v>-3.1642613412222298E-2</v>
      </c>
      <c r="C32" s="8">
        <f t="shared" ref="C32:Q32" si="17">(((C30/C6)^(1/8))-1)</f>
        <v>-1.715079418287202E-2</v>
      </c>
      <c r="D32" s="8">
        <f t="shared" si="17"/>
        <v>-1.2648583740620167E-2</v>
      </c>
      <c r="E32" s="8">
        <f t="shared" si="17"/>
        <v>-3.6482284881099059E-2</v>
      </c>
      <c r="F32" s="8">
        <f t="shared" si="17"/>
        <v>-3.0118447193602016E-2</v>
      </c>
      <c r="G32" s="8">
        <f t="shared" si="17"/>
        <v>-1.2949418971134219E-2</v>
      </c>
      <c r="H32" s="8">
        <f t="shared" si="17"/>
        <v>-1.7394273963722617E-2</v>
      </c>
      <c r="I32" s="8"/>
      <c r="J32" s="8"/>
      <c r="K32" s="8"/>
      <c r="L32" s="8">
        <f t="shared" si="17"/>
        <v>-7.0558551437410189E-2</v>
      </c>
      <c r="M32" s="8"/>
      <c r="N32" s="8"/>
      <c r="O32" s="8">
        <f t="shared" si="17"/>
        <v>-5.6657819747121363E-2</v>
      </c>
      <c r="P32" s="8">
        <f t="shared" si="17"/>
        <v>-7.0074656925241285E-2</v>
      </c>
      <c r="Q32" s="8">
        <f t="shared" si="17"/>
        <v>1.4427864858223671E-2</v>
      </c>
    </row>
    <row r="33" spans="1:35" ht="17.100000000000001" customHeight="1" x14ac:dyDescent="0.25">
      <c r="A33" s="10" t="s">
        <v>35</v>
      </c>
      <c r="B33" s="2"/>
      <c r="C33" s="2"/>
      <c r="D33" s="2"/>
      <c r="E33" s="2"/>
      <c r="F33" s="2"/>
      <c r="G33" s="2"/>
      <c r="H33" s="3"/>
      <c r="I33" s="4"/>
      <c r="J33" s="4"/>
      <c r="K33" s="4"/>
      <c r="L33" s="4"/>
      <c r="M33" s="4"/>
      <c r="N33" s="9"/>
      <c r="O33" s="4"/>
      <c r="P33" s="4"/>
      <c r="Q33" s="3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spans="1:35" ht="17.100000000000001" customHeight="1" x14ac:dyDescent="0.25">
      <c r="A34" s="5" t="s">
        <v>21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35" ht="17.100000000000001" customHeight="1" x14ac:dyDescent="0.25">
      <c r="A35" s="6" t="s">
        <v>23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35" ht="17.100000000000001" customHeight="1" x14ac:dyDescent="0.25">
      <c r="A36" s="10" t="s">
        <v>37</v>
      </c>
      <c r="B36" s="2">
        <v>30869</v>
      </c>
      <c r="C36" s="2">
        <v>119698.21743333331</v>
      </c>
      <c r="D36" s="2">
        <v>79503.27399999999</v>
      </c>
      <c r="E36" s="2">
        <v>4098086</v>
      </c>
      <c r="F36" s="2">
        <v>11092.851418999999</v>
      </c>
      <c r="G36" s="2">
        <v>14787.609364</v>
      </c>
      <c r="H36" s="2">
        <v>75.014501302727268</v>
      </c>
      <c r="I36" s="2">
        <v>26245.760000000002</v>
      </c>
      <c r="J36" s="4">
        <v>76.319000000000003</v>
      </c>
      <c r="K36" s="4">
        <v>26322.079000000002</v>
      </c>
      <c r="L36" s="4">
        <v>901.6265839859999</v>
      </c>
      <c r="M36" s="4">
        <v>72.217513453400002</v>
      </c>
      <c r="N36" s="2">
        <v>0.20660755300000003</v>
      </c>
      <c r="O36" s="4">
        <v>974.05070499240003</v>
      </c>
      <c r="P36" s="4">
        <v>1362.5202545410002</v>
      </c>
      <c r="Q36" s="4">
        <v>71.488897265643502</v>
      </c>
    </row>
    <row r="37" spans="1:35" ht="17.100000000000001" customHeight="1" x14ac:dyDescent="0.25">
      <c r="A37" s="5" t="s">
        <v>21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35" ht="17.100000000000001" customHeight="1" x14ac:dyDescent="0.25">
      <c r="A38" s="6" t="s">
        <v>23</v>
      </c>
      <c r="B38" s="8">
        <f>(((B36/B6)^(1/10))-1)</f>
        <v>6.363489640749731E-2</v>
      </c>
      <c r="C38" s="8">
        <f t="shared" ref="C38:Q38" si="18">(((C36/C6)^(1/10))-1)</f>
        <v>8.0688929776188578E-2</v>
      </c>
      <c r="D38" s="8">
        <f t="shared" si="18"/>
        <v>8.3311705650718659E-2</v>
      </c>
      <c r="E38" s="8">
        <f t="shared" si="18"/>
        <v>7.7409101644799305E-2</v>
      </c>
      <c r="F38" s="8">
        <f t="shared" si="18"/>
        <v>8.1860618388567508E-2</v>
      </c>
      <c r="G38" s="8">
        <f t="shared" si="18"/>
        <v>8.3311235662007821E-2</v>
      </c>
      <c r="H38" s="8">
        <f t="shared" si="18"/>
        <v>-1.3390586432473484E-3</v>
      </c>
      <c r="I38" s="8"/>
      <c r="J38" s="8"/>
      <c r="K38" s="8"/>
      <c r="L38" s="8">
        <f t="shared" si="18"/>
        <v>6.2899520879278192E-2</v>
      </c>
      <c r="M38" s="8"/>
      <c r="N38" s="8"/>
      <c r="O38" s="8">
        <f t="shared" si="18"/>
        <v>7.1143599282406766E-2</v>
      </c>
      <c r="P38" s="8">
        <f t="shared" si="18"/>
        <v>7.0624163400777151E-2</v>
      </c>
      <c r="Q38" s="8">
        <f t="shared" si="18"/>
        <v>4.8517107999845877E-4</v>
      </c>
    </row>
    <row r="39" spans="1:35" x14ac:dyDescent="0.25">
      <c r="A39" s="23" t="s">
        <v>31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35" x14ac:dyDescent="0.25">
      <c r="A40" s="25" t="s">
        <v>38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1:35" ht="29.25" customHeight="1" x14ac:dyDescent="0.25">
      <c r="A41" s="22" t="s">
        <v>36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35" x14ac:dyDescent="0.25">
      <c r="J42" s="11"/>
      <c r="K42" s="11"/>
      <c r="L42" s="11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84" orientation="landscape" r:id="rId1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2022-04-25T07:00:51Z</cp:lastPrinted>
  <dcterms:created xsi:type="dcterms:W3CDTF">2020-06-05T08:00:46Z</dcterms:created>
  <dcterms:modified xsi:type="dcterms:W3CDTF">2023-10-04T06:05:02Z</dcterms:modified>
</cp:coreProperties>
</file>