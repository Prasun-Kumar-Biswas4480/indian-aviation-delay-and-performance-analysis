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VISTARA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E15" i="5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<sst xmlns="http://schemas.openxmlformats.org/spreadsheetml/2006/main" count="883" uniqueCount="194">
  <si>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</si>
  <si>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</si>
  <si>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</si>
  <si>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</si>
  <si>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</si>
  <si>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</si>
  <si>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</si>
  <si>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</si>
  <si>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</si>
  <si>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</si>
  <si>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</si>
  <si>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</si>
  <si>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</si>
  <si>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</si>
  <si>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</si>
  <si>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</si>
  <si>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</si>
  <si>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</si>
  <si>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</si>
  <si>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</si>
  <si>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</si>
  <si>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</si>
  <si>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</si>
  <si>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</si>
  <si>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</si>
  <si>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</si>
  <si>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</si>
  <si>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</si>
  <si>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</si>
  <si>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</si>
  <si>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</si>
  <si>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</si>
  <si>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</si>
  <si>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</si>
  <si>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</si>
  <si>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</si>
  <si>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</si>
  <si>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</si>
  <si>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</si>
  <si>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</si>
  <si>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</si>
  <si>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</si>
  <si>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</si>
  <si>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</si>
  <si>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</si>
  <si>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</si>
  <si>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</si>
  <si>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</si>
  <si>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</si>
  <si>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</si>
  <si>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</si>
  <si>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</si>
  <si>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</si>
  <si>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</si>
  <si>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</si>
  <si>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</si>
  <si>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</si>
  <si>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</si>
  <si>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</si>
  <si>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</si>
  <si>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</si>
  <si>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</si>
  <si>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</si>
  <si>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</si>
  <si>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</si>
  <si>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</si>
  <si>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</si>
  <si>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</si>
  <si>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</si>
  <si>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</si>
  <si>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</si>
  <si>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</si>
  <si>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</si>
  <si>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</si>
  <si>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</si>
  <si>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</si>
  <si>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</si>
  <si>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</si>
  <si>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</si>
  <si>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</si>
  <si>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</si>
  <si>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</si>
  <si>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</si>
  <si>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</si>
  <si>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</si>
  <si>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</si>
  <si>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</si>
  <si>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</si>
  <si>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</si>
  <si>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</si>
  <si>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</si>
  <si>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</si>
  <si>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</si>
  <si>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</si>
  <si>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</si>
  <si>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</si>
  <si>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</si>
  <si>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</si>
  <si>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</si>
  <si>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</si>
  <si>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</si>
  <si>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</si>
  <si>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</si>
  <si>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</si>
  <si>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</si>
  <si>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</si>
  <si>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</si>
  <si>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</si>
  <si>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</si>
  <si>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</si>
  <si>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</si>
  <si>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</si>
  <si>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</si>
  <si>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</si>
  <si>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</si>
  <si>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</si>
  <si>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</si>
  <si>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</si>
  <si>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</si>
  <si>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</si>
  <si>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</si>
  <si>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</si>
  <si>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</si>
  <si>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</si>
  <si>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</si>
  <si>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</si>
  <si>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</si>
  <si>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</si>
  <si>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</si>
  <si>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</si>
  <si>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</si>
  <si>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</si>
  <si>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</si>
  <si>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</si>
  <si>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</si>
  <si>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</si>
  <si>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</si>
  <si>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</si>
  <si>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</si>
  <si>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</si>
  <si>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</si>
  <si>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</si>
  <si>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</si>
  <si>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</si>
  <si>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</si>
  <si>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</si>
  <si>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</si>
  <si>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</si>
  <si>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</si>
  <si>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</si>
  <si>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</si>
  <si>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</si>
  <si>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</si>
  <si>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</si>
  <si>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</si>
  <si>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</si>
  <si>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</si>
  <si>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</si>
  <si>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</si>
  <si>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</si>
  <si>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</si>
  <si>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</si>
  <si>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</si>
  <si>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</si>
  <si>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</si>
  <si>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</si>
  <si>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</si>
  <si>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</si>
  <si>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</si>
  <si>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</si>
  <si>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</si>
  <si>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</si>
  <si>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</si>
  <si>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</si>
  <si>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</si>
  <si>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</si>
  <si>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</si>
  <si>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</si>
  <si>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</si>
  <si>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</si>
  <si>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</si>
  <si>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</si>
  <si>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</si>
  <si>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</si>
  <si>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VISTARA</t>
  </si>
  <si>
    <t>TIME SERIES DATA OF STAFF STRENGTH OF VISTARA (AS ON 31ST MARCH)</t>
  </si>
  <si>
    <t>2019-20</t>
  </si>
  <si>
    <t xml:space="preserve">तालिका 1.13 (विस्तारा) </t>
  </si>
  <si>
    <t>TABLE - 1.13 (VISTARA)</t>
  </si>
  <si>
    <t>OTHER FLIGHT CREW</t>
  </si>
  <si>
    <t>CABIN CREW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</si>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</sst>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3" xfId="7" applyNumberFormat="1" applyFont="1" applyFill="1" applyBorder="1" applyAlignment="1" applyProtection="1">
      <alignment horizontal="left" vertical="center"/>
    </xf>
    <xf numFmtId="166" fontId="10" fillId="4" borderId="13" xfId="7" applyNumberFormat="1" applyFont="1" applyFill="1" applyBorder="1" applyAlignment="1" applyProtection="1">
      <alignment vertical="center"/>
    </xf>
    <xf numFmtId="166" fontId="11" fillId="4" borderId="12" xfId="7" applyNumberFormat="1" applyFont="1" applyFill="1" applyBorder="1" applyAlignment="1" applyProtection="1">
      <alignment vertical="center"/>
    </xf>
    <xf numFmtId="166" fontId="10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4" xfId="2" applyFont="1" applyFill="1" applyBorder="1" applyAlignment="1" applyProtection="1">
      <alignment horizontal="left" vertical="center" wrapText="1"/>
    </xf>
    <xf numFmtId="0" fontId="8" fillId="2" borderId="5" xfId="2" applyFont="1" applyFill="1" applyBorder="1" applyAlignment="1" applyProtection="1">
      <alignment horizontal="left" vertical="center" wrapText="1"/>
    </xf>
    <xf numFmtId="0" fontId="8" fillId="2" borderId="2" xfId="2" applyFont="1" applyFill="1" applyBorder="1" applyAlignment="1" applyProtection="1">
      <alignment horizontal="left" vertical="center" wrapText="1"/>
    </xf>
    <xf numFmtId="37" fontId="8" fillId="2" borderId="6" xfId="3" quotePrefix="1" applyFont="1" applyFill="1" applyBorder="1" applyAlignment="1" applyProtection="1">
      <alignment horizontal="center" vertical="center" wrapText="1"/>
    </xf>
    <xf numFmtId="37" fontId="8" fillId="2" borderId="7" xfId="3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3" xfId="3" applyFont="1" applyFill="1" applyBorder="1" applyAlignment="1" applyProtection="1">
      <alignment horizontal="center" vertical="center" wrapText="1"/>
    </xf>
    <xf numFmtId="37" fontId="17" fillId="2" borderId="8" xfId="3" applyFont="1" applyFill="1" applyBorder="1" applyAlignment="1">
      <alignment horizontal="center" vertical="center"/>
    </xf>
    <xf numFmtId="37" fontId="17" fillId="2" borderId="9" xfId="3" applyFont="1" applyFill="1" applyBorder="1" applyAlignment="1">
      <alignment horizontal="center" vertical="center"/>
    </xf>
    <xf numFmtId="37" fontId="17" fillId="2" borderId="10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AppData/Roaming/Microsoft/Excel/VISTARA%20(version%201).xlsb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61052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648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12112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M8" sqref="M8"/>
    </sheetView>
  </sheetViews>
  <sheetFormatPr defaultColWidth="11" defaultRowHeight="15.75"/>
  <cols>
    <col min="1" max="1" width="14.5703125" style="2" customWidth="1"/>
    <col min="2" max="2" width="14" style="2" customWidth="1"/>
    <col min="3" max="3" width="15.28515625" style="2" customWidth="1"/>
    <col min="4" max="4" width="13.140625" style="2" customWidth="1"/>
    <col min="5" max="5" width="19" style="2" customWidth="1"/>
    <col min="6" max="6" width="16" style="2" customWidth="1"/>
    <col min="7" max="7" width="14.5703125" style="2" customWidth="1"/>
    <col min="8" max="8" width="14.42578125" style="2" customWidth="1"/>
    <col min="9" max="16384" width="11" style="2"/>
  </cols>
  <sheetData>
    <row r="1" spans="1:8" ht="24.95" customHeight="1">
      <c r="A1" s="38" t="s">
        <v>187</v>
      </c>
      <c r="B1" s="39"/>
      <c r="C1" s="39"/>
      <c r="D1" s="39"/>
      <c r="E1" s="39"/>
      <c r="F1" s="39"/>
      <c r="G1" s="39"/>
      <c r="H1" s="40"/>
    </row>
    <row r="2" spans="1:8" ht="19.5" customHeight="1">
      <c r="A2" s="34" t="s">
        <v>188</v>
      </c>
      <c r="B2" s="35"/>
      <c r="C2" s="35"/>
      <c r="D2" s="35"/>
      <c r="E2" s="35"/>
      <c r="F2" s="35"/>
      <c r="G2" s="35"/>
      <c r="H2" s="36"/>
    </row>
    <row r="3" spans="1:8" ht="31.5" customHeight="1">
      <c r="A3" s="37" t="s">
        <v>185</v>
      </c>
      <c r="B3" s="37"/>
      <c r="C3" s="37"/>
      <c r="D3" s="37"/>
      <c r="E3" s="37"/>
      <c r="F3" s="37"/>
      <c r="G3" s="37"/>
      <c r="H3" s="37"/>
    </row>
    <row r="4" spans="1:8" ht="21" customHeight="1">
      <c r="A4" s="41" t="s">
        <v>6</v>
      </c>
      <c r="B4" s="41" t="s">
        <v>5</v>
      </c>
      <c r="C4" s="41"/>
      <c r="D4" s="41"/>
      <c r="E4" s="41"/>
      <c r="F4" s="41"/>
      <c r="G4" s="41"/>
      <c r="H4" s="41"/>
    </row>
    <row r="5" spans="1:8" ht="62.25" customHeight="1">
      <c r="A5" s="41"/>
      <c r="B5" s="3" t="s">
        <v>4</v>
      </c>
      <c r="C5" s="30" t="s">
        <v>189</v>
      </c>
      <c r="D5" s="3" t="s">
        <v>190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/>
      <c r="C6" s="6"/>
      <c r="D6" s="6"/>
      <c r="E6" s="6"/>
      <c r="F6" s="6"/>
      <c r="G6" s="6"/>
      <c r="H6" s="5"/>
    </row>
    <row r="7" spans="1:8" ht="24" customHeight="1">
      <c r="A7" s="4" t="s">
        <v>7</v>
      </c>
      <c r="B7" s="6">
        <v>62</v>
      </c>
      <c r="C7" s="6">
        <v>5</v>
      </c>
      <c r="D7" s="6">
        <v>205</v>
      </c>
      <c r="E7" s="6">
        <v>17</v>
      </c>
      <c r="F7" s="6">
        <v>35</v>
      </c>
      <c r="G7" s="6">
        <v>348</v>
      </c>
      <c r="H7" s="5">
        <v>672</v>
      </c>
    </row>
    <row r="8" spans="1:8" ht="24" customHeight="1">
      <c r="A8" s="4" t="s">
        <v>19</v>
      </c>
      <c r="B8" s="6">
        <v>114</v>
      </c>
      <c r="C8" s="6">
        <v>0</v>
      </c>
      <c r="D8" s="6">
        <v>274</v>
      </c>
      <c r="E8" s="6">
        <v>17</v>
      </c>
      <c r="F8" s="6">
        <v>46</v>
      </c>
      <c r="G8" s="6">
        <v>497</v>
      </c>
      <c r="H8" s="6">
        <v>948</v>
      </c>
    </row>
    <row r="9" spans="1:8" ht="22.5" customHeight="1">
      <c r="A9" s="4" t="s">
        <v>61</v>
      </c>
      <c r="B9" s="6">
        <v>168</v>
      </c>
      <c r="C9" s="6">
        <v>0</v>
      </c>
      <c r="D9" s="6">
        <v>435</v>
      </c>
      <c r="E9" s="6">
        <v>79</v>
      </c>
      <c r="F9" s="6">
        <v>55</v>
      </c>
      <c r="G9" s="6">
        <v>749</v>
      </c>
      <c r="H9" s="6">
        <v>1486</v>
      </c>
    </row>
    <row r="10" spans="1:8" ht="21" customHeight="1">
      <c r="A10" s="4" t="s">
        <v>176</v>
      </c>
      <c r="B10" s="6">
        <v>249</v>
      </c>
      <c r="C10" s="6">
        <v>0</v>
      </c>
      <c r="D10" s="6">
        <v>511</v>
      </c>
      <c r="E10" s="6">
        <v>135</v>
      </c>
      <c r="F10" s="6">
        <v>55</v>
      </c>
      <c r="G10" s="6">
        <v>971</v>
      </c>
      <c r="H10" s="6">
        <v>1921</v>
      </c>
    </row>
    <row r="11" spans="1:8" ht="21" customHeight="1">
      <c r="A11" s="4" t="s">
        <v>183</v>
      </c>
      <c r="B11" s="6">
        <v>385</v>
      </c>
      <c r="C11" s="6">
        <v>0</v>
      </c>
      <c r="D11" s="6">
        <v>722</v>
      </c>
      <c r="E11" s="6">
        <v>203</v>
      </c>
      <c r="F11" s="6">
        <v>37</v>
      </c>
      <c r="G11" s="6">
        <v>1171</v>
      </c>
      <c r="H11" s="6">
        <v>2518</v>
      </c>
    </row>
    <row r="12" spans="1:8" ht="21" customHeight="1">
      <c r="A12" s="4" t="s">
        <v>186</v>
      </c>
      <c r="B12" s="6">
        <v>578</v>
      </c>
      <c r="C12" s="6">
        <v>0</v>
      </c>
      <c r="D12" s="6">
        <v>1415</v>
      </c>
      <c r="E12" s="6">
        <v>424</v>
      </c>
      <c r="F12" s="6">
        <v>48</v>
      </c>
      <c r="G12" s="6">
        <v>1545</v>
      </c>
      <c r="H12" s="6">
        <v>4010</v>
      </c>
    </row>
    <row r="13" spans="1:8" ht="21" customHeight="1">
      <c r="A13" s="4" t="s">
        <v>191</v>
      </c>
      <c r="B13" s="6">
        <v>579</v>
      </c>
      <c r="C13" s="6">
        <v>120</v>
      </c>
      <c r="D13" s="6">
        <v>1282</v>
      </c>
      <c r="E13" s="6">
        <v>446</v>
      </c>
      <c r="F13" s="6">
        <v>48</v>
      </c>
      <c r="G13" s="6">
        <v>1315</v>
      </c>
      <c r="H13" s="6">
        <v>3790</v>
      </c>
    </row>
    <row r="14" spans="1:8" ht="21" customHeight="1">
      <c r="A14" s="4" t="s">
        <v>192</v>
      </c>
      <c r="B14" s="6">
        <v>691</v>
      </c>
      <c r="C14" s="6"/>
      <c r="D14" s="6">
        <v>1477</v>
      </c>
      <c r="E14" s="6">
        <v>493</v>
      </c>
      <c r="F14" s="6"/>
      <c r="G14" s="6">
        <v>1545</v>
      </c>
      <c r="H14" s="6">
        <v>4206</v>
      </c>
    </row>
    <row r="15" spans="1:8" ht="21" customHeight="1">
      <c r="A15" s="4" t="s">
        <v>193</v>
      </c>
      <c r="B15" s="6">
        <v>815</v>
      </c>
      <c r="C15" s="6">
        <v>194</v>
      </c>
      <c r="D15" s="6">
        <v>1911</v>
      </c>
      <c r="E15" s="6">
        <f>283+372</f>
        <v>655</v>
      </c>
      <c r="F15" s="6">
        <v>65</v>
      </c>
      <c r="G15" s="6">
        <v>1640</v>
      </c>
      <c r="H15" s="6">
        <v>5280</v>
      </c>
    </row>
    <row r="16" spans="1:8" ht="29.25" customHeight="1">
      <c r="A16" s="31" t="s">
        <v>184</v>
      </c>
      <c r="B16" s="32"/>
      <c r="C16" s="32"/>
      <c r="D16" s="32"/>
      <c r="E16" s="32"/>
      <c r="F16" s="32"/>
      <c r="G16" s="32"/>
      <c r="H16" s="33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2024-03-14T06:09:46Z</cp:lastPrinted>
  <dcterms:created xsi:type="dcterms:W3CDTF">2002-12-26T09:18:20Z</dcterms:created>
  <dcterms:modified xsi:type="dcterms:W3CDTF">2024-03-14T06:09:53Z</dcterms:modified>
</cp:coreProperties>
</file>