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INDIGO\"/>
    </mc:Choice>
  </mc:AlternateContent>
  <bookViews>
    <workbookView xWindow="0" yWindow="0" windowWidth="10875" windowHeight="9495"/>
  </bookViews>
  <sheets>
    <sheet name="INDIGO" sheetId="1" r:id="rId1"/>
  </sheets>
  <definedNames>
    <definedName name="_xlnm.Print_Area" localSheetId="0">INDIGO!$A$1:$Q$19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J18" i="1"/>
  <c r="I18" i="1"/>
  <c r="G18" i="1"/>
  <c r="F18" i="1"/>
  <c r="H18" i="1" s="1"/>
  <c r="E18" i="1"/>
  <c r="D18" i="1"/>
  <c r="C18" i="1"/>
  <c r="B18" i="1"/>
  <c r="H8" i="1" l="1"/>
  <c r="H9" i="1"/>
  <c r="Q9" i="1"/>
  <c r="H10" i="1"/>
  <c r="Q11" i="1"/>
  <c r="H17" i="1"/>
  <c r="Q17" i="1"/>
  <c r="Q14" i="1" l="1"/>
  <c r="H6" i="1"/>
  <c r="Q12" i="1"/>
  <c r="Q10" i="1"/>
  <c r="Q7" i="1"/>
  <c r="H12" i="1"/>
  <c r="H13" i="1"/>
  <c r="Q16" i="1"/>
  <c r="H16" i="1"/>
  <c r="Q8" i="1"/>
  <c r="Q15" i="1"/>
  <c r="H7" i="1"/>
  <c r="Q13" i="1"/>
  <c r="H14" i="1"/>
  <c r="H11" i="1"/>
  <c r="Q6" i="1"/>
  <c r="H15" i="1"/>
</calcChain>
</file>

<file path=xl/sharedStrings.xml><?xml version="1.0" encoding="utf-8"?>
<sst xmlns="http://schemas.openxmlformats.org/spreadsheetml/2006/main" count="26" uniqueCount="24">
  <si>
    <t xml:space="preserve">तालिका 1.03(इंडिगो) </t>
  </si>
  <si>
    <t>Table 1.03 (INDIGO)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</si>
  <si>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</si>
  <si>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</si>
  <si>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</si>
  <si>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</si>
  <si>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</si>
  <si>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</si>
  <si>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</si>
  <si>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</si>
  <si>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</si>
  <si>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</si>
  <si>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</si>
  <si>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</si>
  <si>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</si>
  <si>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</si>
  <si>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</si>
  <si>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</si>
  <si>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</si>
  <si>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</si>
  <si>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</si>
  <si>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INDIGO</t>
  </si>
  <si>
    <t>MONTHLY TRAFFIC AND OPERATING STATISTICS OF INDIGO ON SCHEDULED (DOMESTIC + INTERNATIONAL*)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</si>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</sst>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_(* #,##0.0_);_(* \(#,##0.0\);_(* &quot;-&quot;??_);_(@_)"/>
    <numFmt numFmtId="166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0">
    <xf numFmtId="0" fontId="0" fillId="0" borderId="0" xfId="0"/>
    <xf numFmtId="164" fontId="1" fillId="3" borderId="1" xfId="2" applyNumberFormat="1" applyBorder="1" applyAlignment="1">
      <alignment horizontal="right" vertical="center"/>
    </xf>
    <xf numFmtId="165" fontId="1" fillId="3" borderId="1" xfId="2" applyNumberForma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wrapText="1"/>
    </xf>
    <xf numFmtId="164" fontId="1" fillId="5" borderId="1" xfId="2" applyNumberFormat="1" applyFill="1" applyBorder="1" applyAlignment="1">
      <alignment horizontal="right" vertical="center"/>
    </xf>
    <xf numFmtId="165" fontId="1" fillId="5" borderId="1" xfId="2" applyNumberFormat="1" applyFill="1" applyBorder="1" applyAlignment="1">
      <alignment horizontal="right" vertical="center"/>
    </xf>
    <xf numFmtId="0" fontId="4" fillId="2" borderId="1" xfId="1" applyFont="1" applyBorder="1" applyAlignment="1" applyProtection="1">
      <alignment horizontal="center" vertical="center" textRotation="90" wrapText="1"/>
    </xf>
    <xf numFmtId="0" fontId="0" fillId="5" borderId="0" xfId="0" applyFill="1"/>
    <xf numFmtId="164" fontId="2" fillId="3" borderId="1" xfId="2" applyNumberFormat="1" applyFont="1" applyBorder="1" applyAlignment="1">
      <alignment horizontal="right" vertical="center"/>
    </xf>
    <xf numFmtId="165" fontId="2" fillId="3" borderId="1" xfId="2" applyNumberFormat="1" applyFont="1" applyBorder="1" applyAlignment="1">
      <alignment horizontal="right" vertical="center"/>
    </xf>
    <xf numFmtId="166" fontId="1" fillId="3" borderId="1" xfId="2" applyNumberFormat="1" applyBorder="1" applyAlignment="1" applyProtection="1">
      <alignment horizontal="center" vertical="center" wrapText="1"/>
    </xf>
    <xf numFmtId="166" fontId="1" fillId="5" borderId="1" xfId="2" applyNumberFormat="1" applyFill="1" applyBorder="1" applyAlignment="1" applyProtection="1">
      <alignment horizontal="center" vertical="center" wrapText="1"/>
    </xf>
    <xf numFmtId="0" fontId="4" fillId="2" borderId="1" xfId="1" applyFont="1" applyBorder="1" applyAlignment="1" applyProtection="1">
      <alignment horizontal="center" vertical="center" textRotation="90" wrapText="1"/>
    </xf>
    <xf numFmtId="0" fontId="4" fillId="2" borderId="1" xfId="1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2" applyFont="1" applyBorder="1" applyAlignment="1">
      <alignment horizontal="center" vertical="center" wrapText="1"/>
    </xf>
    <xf numFmtId="0" fontId="4" fillId="3" borderId="1" xfId="2" quotePrefix="1" applyFont="1" applyBorder="1" applyAlignment="1" applyProtection="1">
      <alignment horizontal="center" vertical="center" wrapText="1"/>
    </xf>
    <xf numFmtId="0" fontId="4" fillId="3" borderId="1" xfId="2" applyFont="1" applyBorder="1"/>
    <xf numFmtId="0" fontId="4" fillId="2" borderId="1" xfId="1" applyFont="1" applyBorder="1" applyAlignment="1" applyProtection="1">
      <alignment horizontal="center" vertical="center" wrapText="1"/>
    </xf>
    <xf numFmtId="0" fontId="4" fillId="2" borderId="1" xfId="1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96" zoomScaleSheetLayoutView="100" workbookViewId="0">
      <selection activeCell="I13" sqref="I13"/>
    </sheetView>
  </sheetViews>
  <sheetFormatPr defaultRowHeight="15" x14ac:dyDescent="0.25"/>
  <cols>
    <col min="1" max="1" width="13.7109375" customWidth="1"/>
    <col min="2" max="2" width="9.5703125" customWidth="1"/>
    <col min="3" max="3" width="11.7109375" customWidth="1"/>
    <col min="4" max="4" width="9.85546875" customWidth="1"/>
    <col min="5" max="5" width="13.140625" customWidth="1"/>
    <col min="6" max="6" width="10.85546875" customWidth="1"/>
    <col min="7" max="7" width="11.28515625" customWidth="1"/>
    <col min="8" max="8" width="9.140625" customWidth="1"/>
    <col min="9" max="9" width="11.140625" customWidth="1"/>
    <col min="10" max="10" width="10.7109375" customWidth="1"/>
    <col min="11" max="11" width="11.85546875" customWidth="1"/>
    <col min="12" max="12" width="10.85546875" customWidth="1"/>
    <col min="13" max="13" width="9.42578125" customWidth="1"/>
    <col min="14" max="14" width="8.7109375" customWidth="1"/>
    <col min="15" max="15" width="10.5703125" customWidth="1"/>
    <col min="16" max="16" width="13.28515625" customWidth="1"/>
    <col min="17" max="17" width="8.42578125" customWidth="1"/>
  </cols>
  <sheetData>
    <row r="1" spans="1:17" ht="19.899999999999999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9.899999999999999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9.899999999999999" customHeight="1" x14ac:dyDescent="0.25">
      <c r="A3" s="18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19.899999999999999" customHeight="1" x14ac:dyDescent="0.25">
      <c r="A4" s="18" t="s">
        <v>2</v>
      </c>
      <c r="B4" s="18" t="s">
        <v>3</v>
      </c>
      <c r="C4" s="18"/>
      <c r="D4" s="18"/>
      <c r="E4" s="18" t="s">
        <v>4</v>
      </c>
      <c r="F4" s="19"/>
      <c r="G4" s="12" t="s">
        <v>5</v>
      </c>
      <c r="H4" s="12" t="s">
        <v>6</v>
      </c>
      <c r="I4" s="18" t="s">
        <v>7</v>
      </c>
      <c r="J4" s="18"/>
      <c r="K4" s="18"/>
      <c r="L4" s="18" t="s">
        <v>8</v>
      </c>
      <c r="M4" s="18"/>
      <c r="N4" s="18"/>
      <c r="O4" s="18"/>
      <c r="P4" s="12" t="s">
        <v>9</v>
      </c>
      <c r="Q4" s="12" t="s">
        <v>10</v>
      </c>
    </row>
    <row r="5" spans="1:17" ht="116.25" customHeight="1" x14ac:dyDescent="0.25">
      <c r="A5" s="18"/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13"/>
      <c r="H5" s="13"/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17</v>
      </c>
      <c r="O5" s="6" t="s">
        <v>18</v>
      </c>
      <c r="P5" s="13"/>
      <c r="Q5" s="13"/>
    </row>
    <row r="6" spans="1:17" ht="24" customHeight="1" x14ac:dyDescent="0.25">
      <c r="A6" s="10">
        <v>45383</v>
      </c>
      <c r="B6" s="1">
        <v>59519</v>
      </c>
      <c r="C6" s="1">
        <v>116707.75</v>
      </c>
      <c r="D6" s="1">
        <v>61466.260999999999</v>
      </c>
      <c r="E6" s="1">
        <v>9010767</v>
      </c>
      <c r="F6" s="1">
        <v>10206.348</v>
      </c>
      <c r="G6" s="1">
        <v>11913.918</v>
      </c>
      <c r="H6" s="2">
        <f>F6/G6*100</f>
        <v>85.667435347465045</v>
      </c>
      <c r="I6" s="2">
        <v>24936.777999999998</v>
      </c>
      <c r="J6" s="2">
        <v>2272.2830000000004</v>
      </c>
      <c r="K6" s="2">
        <v>27209.061000000002</v>
      </c>
      <c r="L6" s="2">
        <v>918.45277899999996</v>
      </c>
      <c r="M6" s="2">
        <v>40.042422999999999</v>
      </c>
      <c r="N6" s="2">
        <v>2.3945099999999999</v>
      </c>
      <c r="O6" s="2">
        <v>960.88971200000003</v>
      </c>
      <c r="P6" s="2">
        <v>1301.8274369999999</v>
      </c>
      <c r="Q6" s="2">
        <f>O6/P6*100</f>
        <v>73.810835805882618</v>
      </c>
    </row>
    <row r="7" spans="1:17" s="7" customFormat="1" ht="24" customHeight="1" x14ac:dyDescent="0.25">
      <c r="A7" s="11">
        <v>45413</v>
      </c>
      <c r="B7" s="4">
        <v>61814</v>
      </c>
      <c r="C7" s="4">
        <v>121163.03333333333</v>
      </c>
      <c r="D7" s="4">
        <v>63767.074000000008</v>
      </c>
      <c r="E7" s="4">
        <v>9625939</v>
      </c>
      <c r="F7" s="4">
        <v>10877.557999999999</v>
      </c>
      <c r="G7" s="4">
        <v>12333.758000000002</v>
      </c>
      <c r="H7" s="5">
        <f t="shared" ref="H7:H18" si="0">F7/G7*100</f>
        <v>88.193379503635455</v>
      </c>
      <c r="I7" s="5">
        <v>30300.320329999999</v>
      </c>
      <c r="J7" s="5">
        <v>2264.1755000000003</v>
      </c>
      <c r="K7" s="5">
        <v>32564.49583</v>
      </c>
      <c r="L7" s="5">
        <v>978.87055599999985</v>
      </c>
      <c r="M7" s="5">
        <v>41.612393067509998</v>
      </c>
      <c r="N7" s="5">
        <v>2.0352502081000003</v>
      </c>
      <c r="O7" s="5">
        <v>1022.51819927561</v>
      </c>
      <c r="P7" s="5">
        <v>1348.5727200000001</v>
      </c>
      <c r="Q7" s="5">
        <f>O7/P7*100</f>
        <v>75.822251489382779</v>
      </c>
    </row>
    <row r="8" spans="1:17" ht="24" customHeight="1" x14ac:dyDescent="0.25">
      <c r="A8" s="10">
        <v>45444</v>
      </c>
      <c r="B8" s="1">
        <v>59855</v>
      </c>
      <c r="C8" s="1">
        <v>118237.45</v>
      </c>
      <c r="D8" s="1">
        <v>62250.054000000004</v>
      </c>
      <c r="E8" s="1">
        <v>9123222</v>
      </c>
      <c r="F8" s="1">
        <v>10382.129999999999</v>
      </c>
      <c r="G8" s="1">
        <v>12039.669</v>
      </c>
      <c r="H8" s="2">
        <f t="shared" si="0"/>
        <v>86.232686297272792</v>
      </c>
      <c r="I8" s="2">
        <v>28408.892</v>
      </c>
      <c r="J8" s="2">
        <v>2375.8019999999997</v>
      </c>
      <c r="K8" s="2">
        <v>30784.694</v>
      </c>
      <c r="L8" s="2">
        <v>934.36169999999993</v>
      </c>
      <c r="M8" s="2">
        <v>38.761800000000001</v>
      </c>
      <c r="N8" s="2">
        <v>2.0643509999999998</v>
      </c>
      <c r="O8" s="2">
        <v>975.18785099999991</v>
      </c>
      <c r="P8" s="2">
        <v>1316.6714870000001</v>
      </c>
      <c r="Q8" s="2">
        <f t="shared" ref="Q8:Q18" si="1">O8/P8*100</f>
        <v>74.064628924405341</v>
      </c>
    </row>
    <row r="9" spans="1:17" s="7" customFormat="1" ht="24" customHeight="1" x14ac:dyDescent="0.25">
      <c r="A9" s="11">
        <v>45474</v>
      </c>
      <c r="B9" s="4">
        <v>61638</v>
      </c>
      <c r="C9" s="4">
        <v>123309.03333333333</v>
      </c>
      <c r="D9" s="4">
        <v>64374.087</v>
      </c>
      <c r="E9" s="4">
        <v>9166579</v>
      </c>
      <c r="F9" s="4">
        <v>10470.65</v>
      </c>
      <c r="G9" s="4">
        <v>12475.377</v>
      </c>
      <c r="H9" s="5">
        <f t="shared" si="0"/>
        <v>83.930529714653105</v>
      </c>
      <c r="I9" s="5">
        <v>27994.745999999999</v>
      </c>
      <c r="J9" s="5">
        <v>2590.5769999999998</v>
      </c>
      <c r="K9" s="5">
        <v>30585.322999999997</v>
      </c>
      <c r="L9" s="5">
        <v>942.24838</v>
      </c>
      <c r="M9" s="5">
        <v>38.63841</v>
      </c>
      <c r="N9" s="5">
        <v>2.2660740000000001</v>
      </c>
      <c r="O9" s="5">
        <v>983.15286399999991</v>
      </c>
      <c r="P9" s="5">
        <v>1362.5023959999999</v>
      </c>
      <c r="Q9" s="5">
        <f t="shared" si="1"/>
        <v>72.157881475020915</v>
      </c>
    </row>
    <row r="10" spans="1:17" ht="24" customHeight="1" x14ac:dyDescent="0.25">
      <c r="A10" s="10">
        <v>45505</v>
      </c>
      <c r="B10" s="1">
        <v>63602</v>
      </c>
      <c r="C10" s="1">
        <v>127044.76666666666</v>
      </c>
      <c r="D10" s="1">
        <v>66567.092999999993</v>
      </c>
      <c r="E10" s="1">
        <v>9329121</v>
      </c>
      <c r="F10" s="1">
        <v>10603.21</v>
      </c>
      <c r="G10" s="1">
        <v>12910.119000000001</v>
      </c>
      <c r="H10" s="2">
        <f t="shared" si="0"/>
        <v>82.131001271173403</v>
      </c>
      <c r="I10" s="2">
        <v>27690.879999999997</v>
      </c>
      <c r="J10" s="2">
        <v>2569.527</v>
      </c>
      <c r="K10" s="2">
        <v>30260.406999999999</v>
      </c>
      <c r="L10" s="2">
        <v>954.17021499999998</v>
      </c>
      <c r="M10" s="2">
        <v>38.012957</v>
      </c>
      <c r="N10" s="2">
        <v>2.3290110000000004</v>
      </c>
      <c r="O10" s="2">
        <v>994.51218300000005</v>
      </c>
      <c r="P10" s="2">
        <v>1393.2877469999999</v>
      </c>
      <c r="Q10" s="2">
        <f t="shared" si="1"/>
        <v>71.378807797697519</v>
      </c>
    </row>
    <row r="11" spans="1:17" s="7" customFormat="1" ht="24" customHeight="1" x14ac:dyDescent="0.25">
      <c r="A11" s="11">
        <v>45536</v>
      </c>
      <c r="B11" s="4">
        <v>63137</v>
      </c>
      <c r="C11" s="4">
        <v>125740.95000000001</v>
      </c>
      <c r="D11" s="4">
        <v>66067.225999999995</v>
      </c>
      <c r="E11" s="4">
        <v>9321508</v>
      </c>
      <c r="F11" s="4">
        <v>10496.562</v>
      </c>
      <c r="G11" s="4">
        <v>12825.334000000001</v>
      </c>
      <c r="H11" s="5">
        <f t="shared" si="0"/>
        <v>81.842406599313506</v>
      </c>
      <c r="I11" s="5">
        <v>28963.045999999998</v>
      </c>
      <c r="J11" s="5">
        <v>2314.152</v>
      </c>
      <c r="K11" s="5">
        <v>31277.198</v>
      </c>
      <c r="L11" s="5">
        <v>944.60219699999993</v>
      </c>
      <c r="M11" s="5">
        <v>40.306038000000001</v>
      </c>
      <c r="N11" s="5">
        <v>2.1015059999999997</v>
      </c>
      <c r="O11" s="5">
        <v>987.00974099999985</v>
      </c>
      <c r="P11" s="5">
        <v>1377.1800179999998</v>
      </c>
      <c r="Q11" s="5">
        <f t="shared" si="1"/>
        <v>71.668897900027474</v>
      </c>
    </row>
    <row r="12" spans="1:17" ht="24" customHeight="1" x14ac:dyDescent="0.25">
      <c r="A12" s="10">
        <v>45566</v>
      </c>
      <c r="B12" s="1">
        <v>66413</v>
      </c>
      <c r="C12" s="1">
        <v>132149.51666666666</v>
      </c>
      <c r="D12" s="1">
        <v>69883.986000000004</v>
      </c>
      <c r="E12" s="1">
        <v>9813869</v>
      </c>
      <c r="F12" s="1">
        <v>11173.666999999999</v>
      </c>
      <c r="G12" s="1">
        <v>13646.136</v>
      </c>
      <c r="H12" s="2">
        <f t="shared" si="0"/>
        <v>81.881545076203253</v>
      </c>
      <c r="I12" s="2">
        <v>31317.368000000002</v>
      </c>
      <c r="J12" s="2">
        <v>2535.8620000000001</v>
      </c>
      <c r="K12" s="2">
        <v>33853.230000000003</v>
      </c>
      <c r="L12" s="2">
        <v>1005.584719</v>
      </c>
      <c r="M12" s="2">
        <v>43.776116999999999</v>
      </c>
      <c r="N12" s="2">
        <v>2.2788980000000003</v>
      </c>
      <c r="O12" s="2">
        <v>1051.6397339999999</v>
      </c>
      <c r="P12" s="2">
        <v>1460.4810009999999</v>
      </c>
      <c r="Q12" s="2">
        <f t="shared" si="1"/>
        <v>72.006396062662645</v>
      </c>
    </row>
    <row r="13" spans="1:17" s="7" customFormat="1" ht="24" customHeight="1" x14ac:dyDescent="0.25">
      <c r="A13" s="11">
        <v>45597</v>
      </c>
      <c r="B13" s="4">
        <v>63851</v>
      </c>
      <c r="C13" s="4">
        <v>127743.6</v>
      </c>
      <c r="D13" s="4">
        <v>67514.451000000001</v>
      </c>
      <c r="E13" s="4">
        <v>10267883</v>
      </c>
      <c r="F13" s="4">
        <v>11708.415000000001</v>
      </c>
      <c r="G13" s="4">
        <v>13085.847</v>
      </c>
      <c r="H13" s="5">
        <f t="shared" si="0"/>
        <v>89.473879680849095</v>
      </c>
      <c r="I13" s="5">
        <v>26419.675999999999</v>
      </c>
      <c r="J13" s="5">
        <v>2486.5640000000003</v>
      </c>
      <c r="K13" s="5">
        <v>28906.239999999998</v>
      </c>
      <c r="L13" s="5">
        <v>1053.6728309999999</v>
      </c>
      <c r="M13" s="5">
        <v>35.307010999999996</v>
      </c>
      <c r="N13" s="5">
        <v>2.2167179999999997</v>
      </c>
      <c r="O13" s="5">
        <v>1091.1965599999999</v>
      </c>
      <c r="P13" s="5">
        <v>1414.334705</v>
      </c>
      <c r="Q13" s="5">
        <f t="shared" si="1"/>
        <v>77.152639763584091</v>
      </c>
    </row>
    <row r="14" spans="1:17" ht="24" customHeight="1" x14ac:dyDescent="0.25">
      <c r="A14" s="10">
        <v>45627</v>
      </c>
      <c r="B14" s="1">
        <v>67420</v>
      </c>
      <c r="C14" s="1">
        <v>135977.4</v>
      </c>
      <c r="D14" s="1">
        <v>71917.247000000003</v>
      </c>
      <c r="E14" s="1">
        <v>10950808</v>
      </c>
      <c r="F14" s="1">
        <v>12610.736000000001</v>
      </c>
      <c r="G14" s="1">
        <v>14087.539999999999</v>
      </c>
      <c r="H14" s="2">
        <f t="shared" si="0"/>
        <v>89.516949020197998</v>
      </c>
      <c r="I14" s="2">
        <v>28732.346999999998</v>
      </c>
      <c r="J14" s="2">
        <v>2986.962</v>
      </c>
      <c r="K14" s="2">
        <v>31719.308999999997</v>
      </c>
      <c r="L14" s="2">
        <v>1134.880858</v>
      </c>
      <c r="M14" s="2">
        <v>38.572735000000002</v>
      </c>
      <c r="N14" s="2">
        <v>2.6470889999999998</v>
      </c>
      <c r="O14" s="2">
        <v>1176.100682</v>
      </c>
      <c r="P14" s="2">
        <v>1498.270573</v>
      </c>
      <c r="Q14" s="2">
        <f t="shared" si="1"/>
        <v>78.497215602725447</v>
      </c>
    </row>
    <row r="15" spans="1:17" s="7" customFormat="1" ht="24" customHeight="1" x14ac:dyDescent="0.25">
      <c r="A15" s="11">
        <v>45658</v>
      </c>
      <c r="B15" s="4">
        <v>68202</v>
      </c>
      <c r="C15" s="4">
        <v>138259.54999999999</v>
      </c>
      <c r="D15" s="4">
        <v>72920.763999999996</v>
      </c>
      <c r="E15" s="4">
        <v>11003817</v>
      </c>
      <c r="F15" s="4">
        <v>12771.34</v>
      </c>
      <c r="G15" s="4">
        <v>14314.156999999999</v>
      </c>
      <c r="H15" s="5">
        <f t="shared" si="0"/>
        <v>89.221740407066946</v>
      </c>
      <c r="I15" s="5">
        <v>27738.857</v>
      </c>
      <c r="J15" s="5">
        <v>3120.6819999999998</v>
      </c>
      <c r="K15" s="5">
        <v>30859.539000000004</v>
      </c>
      <c r="L15" s="5">
        <v>1149.3815989999998</v>
      </c>
      <c r="M15" s="5">
        <v>37.347341999999998</v>
      </c>
      <c r="N15" s="5">
        <v>2.7403200000000001</v>
      </c>
      <c r="O15" s="5">
        <v>1189.469261</v>
      </c>
      <c r="P15" s="5">
        <v>1506.492297</v>
      </c>
      <c r="Q15" s="5">
        <f t="shared" si="1"/>
        <v>78.956212611819282</v>
      </c>
    </row>
    <row r="16" spans="1:17" ht="24" customHeight="1" x14ac:dyDescent="0.25">
      <c r="A16" s="10">
        <v>45689</v>
      </c>
      <c r="B16" s="1">
        <v>62737</v>
      </c>
      <c r="C16" s="1">
        <v>126797.66666666667</v>
      </c>
      <c r="D16" s="1">
        <v>66862.804000000004</v>
      </c>
      <c r="E16" s="1">
        <v>10266958</v>
      </c>
      <c r="F16" s="1">
        <v>11820.543999999998</v>
      </c>
      <c r="G16" s="1">
        <v>13091.423999999999</v>
      </c>
      <c r="H16" s="2">
        <f t="shared" si="0"/>
        <v>90.292270726240318</v>
      </c>
      <c r="I16" s="2">
        <v>27021.730000000003</v>
      </c>
      <c r="J16" s="2">
        <v>2704.8719999999998</v>
      </c>
      <c r="K16" s="2">
        <v>29726.601999999999</v>
      </c>
      <c r="L16" s="2">
        <v>1063.717664</v>
      </c>
      <c r="M16" s="2">
        <v>37.016570999999999</v>
      </c>
      <c r="N16" s="2">
        <v>2.3997220000000001</v>
      </c>
      <c r="O16" s="2">
        <v>1103.133957</v>
      </c>
      <c r="P16" s="2">
        <v>1378.7624780000001</v>
      </c>
      <c r="Q16" s="2">
        <f t="shared" si="1"/>
        <v>80.008991730046191</v>
      </c>
    </row>
    <row r="17" spans="1:17" s="7" customFormat="1" ht="24" customHeight="1" x14ac:dyDescent="0.25">
      <c r="A17" s="11">
        <v>45717</v>
      </c>
      <c r="B17" s="4">
        <v>70188</v>
      </c>
      <c r="C17" s="4">
        <v>141976.33333333334</v>
      </c>
      <c r="D17" s="4">
        <v>74977.868000000002</v>
      </c>
      <c r="E17" s="4">
        <v>10598042</v>
      </c>
      <c r="F17" s="4">
        <v>12188.423000000001</v>
      </c>
      <c r="G17" s="4">
        <v>14663.940999999999</v>
      </c>
      <c r="H17" s="5">
        <f t="shared" si="0"/>
        <v>83.118330877081419</v>
      </c>
      <c r="I17" s="5">
        <v>31752.66</v>
      </c>
      <c r="J17" s="5">
        <v>2579.1079999999993</v>
      </c>
      <c r="K17" s="5">
        <v>34331.767999999996</v>
      </c>
      <c r="L17" s="5">
        <v>1096.8621539999999</v>
      </c>
      <c r="M17" s="5">
        <v>44.557217999999999</v>
      </c>
      <c r="N17" s="5">
        <v>2.2179410000000002</v>
      </c>
      <c r="O17" s="5">
        <v>1143.6373129999999</v>
      </c>
      <c r="P17" s="5">
        <v>1544.1361469999997</v>
      </c>
      <c r="Q17" s="5">
        <f t="shared" si="1"/>
        <v>74.063243401295765</v>
      </c>
    </row>
    <row r="18" spans="1:17" ht="24" customHeight="1" x14ac:dyDescent="0.25">
      <c r="A18" s="3" t="s">
        <v>23</v>
      </c>
      <c r="B18" s="8">
        <f>SUM(B6:B17)</f>
        <v>768376</v>
      </c>
      <c r="C18" s="8">
        <f>SUM(C6:C17)</f>
        <v>1535107.05</v>
      </c>
      <c r="D18" s="8">
        <f t="shared" ref="D18:F18" si="2">SUM(D6:D17)</f>
        <v>808568.91500000004</v>
      </c>
      <c r="E18" s="8">
        <f t="shared" si="2"/>
        <v>118478513</v>
      </c>
      <c r="F18" s="8">
        <f t="shared" si="2"/>
        <v>135309.58300000001</v>
      </c>
      <c r="G18" s="8">
        <f>SUM(G6:G17)</f>
        <v>157387.21999999997</v>
      </c>
      <c r="H18" s="9">
        <f t="shared" si="0"/>
        <v>85.972408051937151</v>
      </c>
      <c r="I18" s="9">
        <f t="shared" ref="I18:O18" si="3">SUM(I6:I17)</f>
        <v>341277.30032999994</v>
      </c>
      <c r="J18" s="9">
        <f t="shared" si="3"/>
        <v>30800.566499999997</v>
      </c>
      <c r="K18" s="9">
        <v>372077.86682999996</v>
      </c>
      <c r="L18" s="9">
        <f t="shared" si="3"/>
        <v>12176.805652000001</v>
      </c>
      <c r="M18" s="9">
        <f t="shared" si="3"/>
        <v>473.95101506751001</v>
      </c>
      <c r="N18" s="9">
        <f t="shared" si="3"/>
        <v>27.6913902081</v>
      </c>
      <c r="O18" s="9">
        <f t="shared" si="3"/>
        <v>12678.448057275609</v>
      </c>
      <c r="P18" s="9">
        <f>SUM(P6:P17)</f>
        <v>16902.519005999999</v>
      </c>
      <c r="Q18" s="9">
        <f t="shared" si="1"/>
        <v>75.00922231044413</v>
      </c>
    </row>
    <row r="19" spans="1:17" ht="24" customHeight="1" x14ac:dyDescent="0.25">
      <c r="A19" s="14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2023-11-09T10:17:37Z</cp:lastPrinted>
  <dcterms:created xsi:type="dcterms:W3CDTF">2020-06-03T10:36:30Z</dcterms:created>
  <dcterms:modified xsi:type="dcterms:W3CDTF">2025-11-19T08:36:03Z</dcterms:modified>
</cp:coreProperties>
</file>