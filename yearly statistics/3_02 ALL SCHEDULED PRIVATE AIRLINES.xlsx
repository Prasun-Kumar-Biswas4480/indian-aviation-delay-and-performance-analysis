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showHorizontalScroll="0" showVerticalScroll="0" showSheetTabs="0" xWindow="0" yWindow="0" windowWidth="24000" windowHeight="1072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P18" i="1" l="1"/>
  <c r="Q17" i="1" l="1"/>
  <c r="H17" i="1"/>
  <c r="J18" i="1" l="1"/>
  <c r="K18" i="1"/>
  <c r="L18" i="1"/>
  <c r="M18" i="1"/>
  <c r="N18" i="1"/>
  <c r="O18" i="1"/>
  <c r="I18" i="1"/>
  <c r="C18" i="1"/>
  <c r="D18" i="1"/>
  <c r="E18" i="1"/>
  <c r="F18" i="1"/>
  <c r="G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<sst xmlns="http://schemas.openxmlformats.org/spreadsheetml/2006/main" count="26" uniqueCount="24">
  <si>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</si>
  <si>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</si>
  <si>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</si>
  <si>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</si>
  <si>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</si>
  <si>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</si>
  <si>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</si>
  <si>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</si>
  <si>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</si>
  <si>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</si>
  <si>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</si>
  <si>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</si>
  <si>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</si>
  <si>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</si>
  <si>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</si>
  <si>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</si>
  <si>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</si>
  <si>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</si>
  <si>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</si>
  <si>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</si>
  <si>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>2023-24</t>
  </si>
  <si>
    <t>MONTHLY TRAFFIC AND OPERATING STATISTICS OF ALL SCHEDULED PRIVATE AIRLINES ON SCHEDULED INTERNATIONAL SERVICES DURING 2023-24</t>
  </si>
  <si>
    <t xml:space="preserve">तालिका - 3.02 (सभी अनुसूचित निजी एयरलाइन्स) </t>
  </si>
  <si>
    <t>Table 3.02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</si>
</sst>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/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43" fontId="6" fillId="4" borderId="1" xfId="3" applyNumberFormat="1" applyFont="1" applyBorder="1" applyAlignment="1" applyProtection="1">
      <alignment horizontal="right" vertical="center" wrapText="1"/>
    </xf>
    <xf numFmtId="43" fontId="3" fillId="4" borderId="1" xfId="3" applyNumberForma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5" fontId="3" fillId="5" borderId="1" xfId="3" applyNumberFormat="1" applyFill="1" applyBorder="1" applyAlignment="1">
      <alignment horizontal="right" vertic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/>
    <xf numFmtId="165" fontId="5" fillId="0" borderId="1" xfId="1" applyNumberFormat="1" applyFont="1" applyFill="1" applyBorder="1" applyAlignment="1">
      <alignment horizontal="right"/>
    </xf>
    <xf numFmtId="166" fontId="0" fillId="0" borderId="0" xfId="0" applyNumberFormat="1" applyFont="1" applyAlignment="1"/>
    <xf numFmtId="167" fontId="3" fillId="4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="80" zoomScaleNormal="85" zoomScaleSheetLayoutView="80" workbookViewId="0">
      <selection activeCell="G7" sqref="G7"/>
    </sheetView>
  </sheetViews>
  <sheetFormatPr defaultColWidth="9.140625" defaultRowHeight="15" x14ac:dyDescent="0.25"/>
  <cols>
    <col min="1" max="1" width="15.42578125" style="13" customWidth="1"/>
    <col min="2" max="2" width="9.85546875" style="1" customWidth="1"/>
    <col min="3" max="4" width="9.85546875" style="1" bestFit="1" customWidth="1"/>
    <col min="5" max="5" width="12.140625" style="1" customWidth="1"/>
    <col min="6" max="6" width="10.5703125" style="1" customWidth="1"/>
    <col min="7" max="7" width="10.85546875" style="1" customWidth="1"/>
    <col min="8" max="8" width="7.5703125" style="1" customWidth="1"/>
    <col min="9" max="9" width="11.140625" style="1" customWidth="1"/>
    <col min="10" max="10" width="8.42578125" style="1" customWidth="1"/>
    <col min="11" max="11" width="11.42578125" style="1" bestFit="1" customWidth="1"/>
    <col min="12" max="12" width="11.5703125" style="1" customWidth="1"/>
    <col min="13" max="13" width="10.140625" style="1" customWidth="1"/>
    <col min="14" max="15" width="10.5703125" style="1" customWidth="1"/>
    <col min="16" max="16" width="11" style="1" customWidth="1"/>
    <col min="17" max="17" width="8.42578125" style="1" customWidth="1"/>
    <col min="18" max="16384" width="9.140625" style="1"/>
  </cols>
  <sheetData>
    <row r="1" spans="1:17" ht="18.75" customHeight="1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8.75" customHeight="1" x14ac:dyDescent="0.25">
      <c r="A2" s="23" t="s">
        <v>23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8.75" customHeight="1" x14ac:dyDescent="0.25">
      <c r="A3" s="25" t="s">
        <v>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9" t="s">
        <v>3</v>
      </c>
      <c r="H4" s="19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9" t="s">
        <v>7</v>
      </c>
      <c r="Q4" s="19" t="s">
        <v>8</v>
      </c>
    </row>
    <row r="5" spans="1:17" ht="128.25" customHeight="1" x14ac:dyDescent="0.25">
      <c r="A5" s="25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0"/>
      <c r="H5" s="20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0"/>
      <c r="Q5" s="20"/>
    </row>
    <row r="6" spans="1:17" ht="30" customHeight="1" x14ac:dyDescent="0.25">
      <c r="A6" s="17">
        <v>45017</v>
      </c>
      <c r="B6" s="4">
        <v>14063</v>
      </c>
      <c r="C6" s="4">
        <v>63186.8</v>
      </c>
      <c r="D6" s="4">
        <v>44497.70203</v>
      </c>
      <c r="E6" s="4">
        <v>2182383</v>
      </c>
      <c r="F6" s="4">
        <v>7247.1680852</v>
      </c>
      <c r="G6" s="4">
        <v>9142.8401210000011</v>
      </c>
      <c r="H6" s="5">
        <f t="shared" ref="H6:H16" si="0">F6/G6*100</f>
        <v>79.266048506679326</v>
      </c>
      <c r="I6" s="5">
        <v>15683.754349999999</v>
      </c>
      <c r="J6" s="5">
        <v>477.84648036857806</v>
      </c>
      <c r="K6" s="5">
        <v>16161.600830368578</v>
      </c>
      <c r="L6" s="5">
        <v>727.22265312100012</v>
      </c>
      <c r="M6" s="5">
        <v>76.175481158498513</v>
      </c>
      <c r="N6" s="10">
        <v>3.7466870711495908</v>
      </c>
      <c r="O6" s="5">
        <v>807.14482135064827</v>
      </c>
      <c r="P6" s="5">
        <v>1162.1862291899997</v>
      </c>
      <c r="Q6" s="5">
        <f t="shared" ref="Q6:Q16" si="1">O6/P6*100</f>
        <v>69.45055801540498</v>
      </c>
    </row>
    <row r="7" spans="1:17" ht="30" customHeight="1" x14ac:dyDescent="0.25">
      <c r="A7" s="18">
        <v>45047</v>
      </c>
      <c r="B7" s="2">
        <v>13915</v>
      </c>
      <c r="C7" s="2">
        <v>62473.896666666646</v>
      </c>
      <c r="D7" s="2">
        <v>44297.1584</v>
      </c>
      <c r="E7" s="2">
        <v>2356470</v>
      </c>
      <c r="F7" s="2">
        <v>8178.6302580000001</v>
      </c>
      <c r="G7" s="2">
        <v>9696.9461730000003</v>
      </c>
      <c r="H7" s="3">
        <f t="shared" si="0"/>
        <v>84.342329142471968</v>
      </c>
      <c r="I7" s="3">
        <v>16287.723060000018</v>
      </c>
      <c r="J7" s="3">
        <v>497.20350000000002</v>
      </c>
      <c r="K7" s="12">
        <v>16784.926560000022</v>
      </c>
      <c r="L7" s="3">
        <v>794.35149562699985</v>
      </c>
      <c r="M7" s="3">
        <v>68.073621240152178</v>
      </c>
      <c r="N7" s="3">
        <v>3.8146253564000046</v>
      </c>
      <c r="O7" s="12">
        <v>866.23974222355196</v>
      </c>
      <c r="P7" s="3">
        <v>1202.3274341660006</v>
      </c>
      <c r="Q7" s="3">
        <f t="shared" si="1"/>
        <v>72.046908155632565</v>
      </c>
    </row>
    <row r="8" spans="1:17" ht="30" customHeight="1" x14ac:dyDescent="0.25">
      <c r="A8" s="17">
        <v>45078</v>
      </c>
      <c r="B8" s="4">
        <v>13512</v>
      </c>
      <c r="C8" s="4">
        <v>61326.831899999997</v>
      </c>
      <c r="D8" s="4">
        <v>43713.01008</v>
      </c>
      <c r="E8" s="4">
        <v>2311027</v>
      </c>
      <c r="F8" s="4">
        <v>8309.1863300000005</v>
      </c>
      <c r="G8" s="4">
        <v>9686.5787510000009</v>
      </c>
      <c r="H8" s="5">
        <f t="shared" si="0"/>
        <v>85.780403417896082</v>
      </c>
      <c r="I8" s="5">
        <v>17470.202140000001</v>
      </c>
      <c r="J8" s="5">
        <v>475.18471105138991</v>
      </c>
      <c r="K8" s="5">
        <v>17945.386851051393</v>
      </c>
      <c r="L8" s="5">
        <v>814.45260998999993</v>
      </c>
      <c r="M8" s="5">
        <v>76.311966142202195</v>
      </c>
      <c r="N8" s="5">
        <v>0.623230685787172</v>
      </c>
      <c r="O8" s="5">
        <v>891.38780681798926</v>
      </c>
      <c r="P8" s="5">
        <v>1202.054504532</v>
      </c>
      <c r="Q8" s="5">
        <f t="shared" si="1"/>
        <v>74.15535680431033</v>
      </c>
    </row>
    <row r="9" spans="1:17" ht="30" customHeight="1" x14ac:dyDescent="0.25">
      <c r="A9" s="18">
        <v>45108</v>
      </c>
      <c r="B9" s="2">
        <v>14220</v>
      </c>
      <c r="C9" s="2">
        <v>64643.571266666724</v>
      </c>
      <c r="D9" s="2">
        <v>46047.309429999994</v>
      </c>
      <c r="E9" s="2">
        <v>2401843</v>
      </c>
      <c r="F9" s="2">
        <v>8604.0625490000002</v>
      </c>
      <c r="G9" s="2">
        <v>10237.052041999999</v>
      </c>
      <c r="H9" s="3">
        <f t="shared" si="0"/>
        <v>84.0482446870421</v>
      </c>
      <c r="I9" s="3">
        <v>16533.441610000002</v>
      </c>
      <c r="J9" s="3">
        <v>474.90709283606299</v>
      </c>
      <c r="K9" s="12">
        <v>17008.348702836061</v>
      </c>
      <c r="L9" s="3">
        <v>839.63902304999999</v>
      </c>
      <c r="M9" s="3">
        <v>73.591643633942198</v>
      </c>
      <c r="N9" s="3">
        <v>3.5002639997779665</v>
      </c>
      <c r="O9" s="12">
        <v>916.73093068372009</v>
      </c>
      <c r="P9" s="3">
        <v>1244.52393235</v>
      </c>
      <c r="Q9" s="3">
        <f t="shared" si="1"/>
        <v>73.661173309273579</v>
      </c>
    </row>
    <row r="10" spans="1:17" ht="30" customHeight="1" x14ac:dyDescent="0.25">
      <c r="A10" s="17">
        <v>45139</v>
      </c>
      <c r="B10" s="4">
        <v>14729</v>
      </c>
      <c r="C10" s="4">
        <v>66908.839999999982</v>
      </c>
      <c r="D10" s="4">
        <v>47730.966379999998</v>
      </c>
      <c r="E10" s="4">
        <v>2400435</v>
      </c>
      <c r="F10" s="4">
        <v>8661.4805099999994</v>
      </c>
      <c r="G10" s="4">
        <v>10521.957644999999</v>
      </c>
      <c r="H10" s="5">
        <f t="shared" si="0"/>
        <v>82.318146510653449</v>
      </c>
      <c r="I10" s="5">
        <v>18335.637129999996</v>
      </c>
      <c r="J10" s="5">
        <v>427.42548803220018</v>
      </c>
      <c r="K10" s="5">
        <v>18763.0626180322</v>
      </c>
      <c r="L10" s="5">
        <v>846.33166205900011</v>
      </c>
      <c r="M10" s="5">
        <v>83.839214894016308</v>
      </c>
      <c r="N10" s="5">
        <v>3.4408313530192842</v>
      </c>
      <c r="O10" s="5">
        <v>933.61170830603567</v>
      </c>
      <c r="P10" s="5">
        <v>1292.1715364359993</v>
      </c>
      <c r="Q10" s="5">
        <f t="shared" si="1"/>
        <v>72.251375454459804</v>
      </c>
    </row>
    <row r="11" spans="1:17" ht="30" customHeight="1" x14ac:dyDescent="0.25">
      <c r="A11" s="18">
        <v>45170</v>
      </c>
      <c r="B11" s="2">
        <v>14273</v>
      </c>
      <c r="C11" s="2">
        <v>64868.496666666615</v>
      </c>
      <c r="D11" s="2">
        <v>45972.198000000004</v>
      </c>
      <c r="E11" s="2">
        <v>2266830</v>
      </c>
      <c r="F11" s="2">
        <v>8167.3989280000005</v>
      </c>
      <c r="G11" s="2">
        <v>10133.023068</v>
      </c>
      <c r="H11" s="3">
        <f t="shared" si="0"/>
        <v>80.601799415542402</v>
      </c>
      <c r="I11" s="3">
        <v>18746.264070000012</v>
      </c>
      <c r="J11" s="3">
        <v>365.95313368978668</v>
      </c>
      <c r="K11" s="12">
        <v>19112.217203689797</v>
      </c>
      <c r="L11" s="3">
        <v>798.62951107699917</v>
      </c>
      <c r="M11" s="3">
        <v>89.539603981186332</v>
      </c>
      <c r="N11" s="3">
        <v>2.8979351247706027</v>
      </c>
      <c r="O11" s="12">
        <v>891.06705018295611</v>
      </c>
      <c r="P11" s="3">
        <v>1234.0129223499996</v>
      </c>
      <c r="Q11" s="3">
        <f t="shared" si="1"/>
        <v>72.208891336895192</v>
      </c>
    </row>
    <row r="12" spans="1:17" ht="30" customHeight="1" x14ac:dyDescent="0.25">
      <c r="A12" s="17">
        <v>45200</v>
      </c>
      <c r="B12" s="4">
        <v>14784</v>
      </c>
      <c r="C12" s="4">
        <v>138886.40666666668</v>
      </c>
      <c r="D12" s="4">
        <v>47495.710229999997</v>
      </c>
      <c r="E12" s="4">
        <v>2394528</v>
      </c>
      <c r="F12" s="4">
        <v>8517.5865640000011</v>
      </c>
      <c r="G12" s="4">
        <v>10489.459134000001</v>
      </c>
      <c r="H12" s="5">
        <f t="shared" si="0"/>
        <v>81.201389463366397</v>
      </c>
      <c r="I12" s="5">
        <v>20869.776420000006</v>
      </c>
      <c r="J12" s="5">
        <v>348.63572063680664</v>
      </c>
      <c r="K12" s="5">
        <v>21218.412140636814</v>
      </c>
      <c r="L12" s="5">
        <v>828.64932032699994</v>
      </c>
      <c r="M12" s="5">
        <v>102.83002062622221</v>
      </c>
      <c r="N12" s="5">
        <v>3.0265126499847907</v>
      </c>
      <c r="O12" s="5">
        <v>934.50585360320702</v>
      </c>
      <c r="P12" s="5">
        <v>1282.8299200819993</v>
      </c>
      <c r="Q12" s="5">
        <f t="shared" si="1"/>
        <v>72.847213724440792</v>
      </c>
    </row>
    <row r="13" spans="1:17" ht="30" customHeight="1" x14ac:dyDescent="0.25">
      <c r="A13" s="18">
        <v>45231</v>
      </c>
      <c r="B13" s="2">
        <v>15095</v>
      </c>
      <c r="C13" s="2">
        <v>68554.289999999964</v>
      </c>
      <c r="D13" s="2">
        <v>48118.640769999998</v>
      </c>
      <c r="E13" s="2">
        <v>2525830</v>
      </c>
      <c r="F13" s="2">
        <v>8867.3525059999993</v>
      </c>
      <c r="G13" s="2">
        <v>10597.039858</v>
      </c>
      <c r="H13" s="3">
        <f t="shared" si="0"/>
        <v>83.677636630816181</v>
      </c>
      <c r="I13" s="3">
        <v>19478.424440000021</v>
      </c>
      <c r="J13" s="3">
        <v>365.92386632661527</v>
      </c>
      <c r="K13" s="12">
        <v>19844.348306326636</v>
      </c>
      <c r="L13" s="3">
        <v>856.66933221500017</v>
      </c>
      <c r="M13" s="3">
        <v>96.365007077438847</v>
      </c>
      <c r="N13" s="3">
        <v>3.1287196578158309</v>
      </c>
      <c r="O13" s="12">
        <v>956.16305895025482</v>
      </c>
      <c r="P13" s="3">
        <v>1290.607588954</v>
      </c>
      <c r="Q13" s="3">
        <f t="shared" si="1"/>
        <v>74.086272786075682</v>
      </c>
    </row>
    <row r="14" spans="1:17" ht="30" customHeight="1" x14ac:dyDescent="0.25">
      <c r="A14" s="17">
        <v>45261</v>
      </c>
      <c r="B14" s="4">
        <v>16040</v>
      </c>
      <c r="C14" s="4">
        <v>73425.416666666657</v>
      </c>
      <c r="D14" s="4">
        <v>51815.233340000006</v>
      </c>
      <c r="E14" s="4">
        <v>2778954</v>
      </c>
      <c r="F14" s="4">
        <v>9936.109758999999</v>
      </c>
      <c r="G14" s="4">
        <v>11379.936275</v>
      </c>
      <c r="H14" s="5">
        <f t="shared" si="0"/>
        <v>87.312525473698216</v>
      </c>
      <c r="I14" s="5">
        <v>19884.068379999997</v>
      </c>
      <c r="J14" s="5">
        <v>336.04007052227598</v>
      </c>
      <c r="K14" s="5">
        <v>20220.108450522272</v>
      </c>
      <c r="L14" s="5">
        <v>917.44295917700038</v>
      </c>
      <c r="M14" s="5">
        <v>95.735629031518883</v>
      </c>
      <c r="N14" s="5">
        <v>2.6978821887957922</v>
      </c>
      <c r="O14" s="5">
        <v>1015.8764703973151</v>
      </c>
      <c r="P14" s="5">
        <v>1292.4090826559996</v>
      </c>
      <c r="Q14" s="5">
        <f t="shared" si="1"/>
        <v>78.603321814298241</v>
      </c>
    </row>
    <row r="15" spans="1:17" ht="30" customHeight="1" x14ac:dyDescent="0.25">
      <c r="A15" s="18">
        <v>45292</v>
      </c>
      <c r="B15" s="2">
        <v>15754</v>
      </c>
      <c r="C15" s="2">
        <v>73925.133333333331</v>
      </c>
      <c r="D15" s="2">
        <v>51255.833000000006</v>
      </c>
      <c r="E15" s="2">
        <v>2726463</v>
      </c>
      <c r="F15" s="2">
        <v>9829.2766449999999</v>
      </c>
      <c r="G15" s="2">
        <v>11311.106346</v>
      </c>
      <c r="H15" s="3">
        <f t="shared" si="0"/>
        <v>86.899338971169456</v>
      </c>
      <c r="I15" s="3">
        <v>18742.322029999999</v>
      </c>
      <c r="J15" s="3">
        <v>321.81533439056375</v>
      </c>
      <c r="K15" s="12">
        <v>19064.137364390561</v>
      </c>
      <c r="L15" s="3">
        <v>931.35992724300013</v>
      </c>
      <c r="M15" s="3">
        <v>87.475719260188811</v>
      </c>
      <c r="N15" s="3">
        <v>2.4811134841466855</v>
      </c>
      <c r="O15" s="12">
        <v>1021.3167599873357</v>
      </c>
      <c r="P15" s="3">
        <v>1402.0016066459996</v>
      </c>
      <c r="Q15" s="3">
        <f t="shared" si="1"/>
        <v>72.847046333322396</v>
      </c>
    </row>
    <row r="16" spans="1:17" ht="30" customHeight="1" x14ac:dyDescent="0.25">
      <c r="A16" s="17">
        <v>45323</v>
      </c>
      <c r="B16" s="4">
        <v>14764</v>
      </c>
      <c r="C16" s="4">
        <v>64512.583333333343</v>
      </c>
      <c r="D16" s="4">
        <v>48120.703000000001</v>
      </c>
      <c r="E16" s="4">
        <v>2541627</v>
      </c>
      <c r="F16" s="4">
        <v>9179.7688540000017</v>
      </c>
      <c r="G16" s="4">
        <v>10618.392619</v>
      </c>
      <c r="H16" s="5">
        <f t="shared" si="0"/>
        <v>86.451586255853826</v>
      </c>
      <c r="I16" s="5">
        <v>22049.071170000003</v>
      </c>
      <c r="J16" s="5">
        <v>286.57831074465673</v>
      </c>
      <c r="K16" s="5">
        <v>22335.649480744662</v>
      </c>
      <c r="L16" s="5">
        <v>871.34113943699981</v>
      </c>
      <c r="M16" s="5">
        <v>99.353785299298877</v>
      </c>
      <c r="N16" s="5">
        <v>2.1397898784279827</v>
      </c>
      <c r="O16" s="5">
        <v>972.83471461472664</v>
      </c>
      <c r="P16" s="5">
        <v>1322.6430437559991</v>
      </c>
      <c r="Q16" s="5">
        <f t="shared" si="1"/>
        <v>73.552325338823238</v>
      </c>
    </row>
    <row r="17" spans="1:17" ht="30" customHeight="1" x14ac:dyDescent="0.25">
      <c r="A17" s="18">
        <v>45352</v>
      </c>
      <c r="B17" s="14">
        <v>16071</v>
      </c>
      <c r="C17" s="14">
        <v>75119.133333333302</v>
      </c>
      <c r="D17" s="14">
        <v>52333.65</v>
      </c>
      <c r="E17" s="14">
        <v>2672476</v>
      </c>
      <c r="F17" s="14">
        <v>9762.7588719999985</v>
      </c>
      <c r="G17" s="14">
        <v>11586.299211999998</v>
      </c>
      <c r="H17" s="15">
        <f t="shared" ref="H17:H18" si="2">F17/G17*100</f>
        <v>84.261235562505163</v>
      </c>
      <c r="I17" s="16">
        <v>23852.886549999996</v>
      </c>
      <c r="J17" s="16">
        <v>274.14824851176286</v>
      </c>
      <c r="K17" s="16">
        <v>24127.034798511762</v>
      </c>
      <c r="L17" s="16">
        <v>925.95795319800038</v>
      </c>
      <c r="M17" s="16">
        <v>111.63184859536878</v>
      </c>
      <c r="N17" s="16">
        <v>2.3491199539387448</v>
      </c>
      <c r="O17" s="16">
        <v>1039.9389217473081</v>
      </c>
      <c r="P17" s="16">
        <v>1442.4397477089956</v>
      </c>
      <c r="Q17" s="15">
        <f t="shared" ref="Q17:Q18" si="3">O17/P17*100</f>
        <v>72.095830928052749</v>
      </c>
    </row>
    <row r="18" spans="1:17" ht="30" customHeight="1" x14ac:dyDescent="0.25">
      <c r="A18" s="6" t="s">
        <v>20</v>
      </c>
      <c r="B18" s="7">
        <f>SUM(B6:B17)</f>
        <v>177220</v>
      </c>
      <c r="C18" s="7">
        <f t="shared" ref="C18:G18" si="4">SUM(C6:C17)</f>
        <v>877831.39983333321</v>
      </c>
      <c r="D18" s="7">
        <f t="shared" si="4"/>
        <v>571398.11465999996</v>
      </c>
      <c r="E18" s="7">
        <f t="shared" si="4"/>
        <v>29558866</v>
      </c>
      <c r="F18" s="7">
        <f t="shared" si="4"/>
        <v>105260.77986020001</v>
      </c>
      <c r="G18" s="7">
        <f t="shared" si="4"/>
        <v>125400.631244</v>
      </c>
      <c r="H18" s="8">
        <f t="shared" si="2"/>
        <v>83.939593298687157</v>
      </c>
      <c r="I18" s="8">
        <f>SUM(I6:I17)</f>
        <v>227933.57135000007</v>
      </c>
      <c r="J18" s="8">
        <f t="shared" ref="J18:P18" si="5">SUM(J6:J17)</f>
        <v>4651.6619571106985</v>
      </c>
      <c r="K18" s="8">
        <f t="shared" si="5"/>
        <v>232585.23330711079</v>
      </c>
      <c r="L18" s="8">
        <f t="shared" si="5"/>
        <v>10152.047586520999</v>
      </c>
      <c r="M18" s="8">
        <f t="shared" si="5"/>
        <v>1060.9235409400342</v>
      </c>
      <c r="N18" s="9">
        <f t="shared" si="5"/>
        <v>33.846711404014449</v>
      </c>
      <c r="O18" s="8">
        <f t="shared" si="5"/>
        <v>11246.817838865049</v>
      </c>
      <c r="P18" s="8">
        <f t="shared" si="5"/>
        <v>15370.207548826991</v>
      </c>
      <c r="Q18" s="8">
        <f t="shared" si="3"/>
        <v>73.172843002522583</v>
      </c>
    </row>
    <row r="19" spans="1:17" x14ac:dyDescent="0.25">
      <c r="A19" s="21" t="s">
        <v>19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2021-09-14T21:13:44Z</cp:lastPrinted>
  <dcterms:created xsi:type="dcterms:W3CDTF">2018-10-29T04:00:09Z</dcterms:created>
  <dcterms:modified xsi:type="dcterms:W3CDTF">2025-01-28T07:42:32Z</dcterms:modified>
</cp:coreProperties>
</file>