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raft Annual Report 2024-25\01 Airline Wise Air Transport Operating and Traffic Statistics\AKASA AIR\"/>
    </mc:Choice>
  </mc:AlternateContent>
  <bookViews>
    <workbookView xWindow="0" yWindow="0" windowWidth="24000" windowHeight="10725"/>
  </bookViews>
  <sheets>
    <sheet name="AKASA AIR" sheetId="1" r:id="rId1"/>
  </sheets>
  <definedNames>
    <definedName name="_xlnm._FilterDatabase" localSheetId="0" hidden="1">'AKASA AIR'!$A$6:$Q$20</definedName>
    <definedName name="_xlnm.Print_Area" localSheetId="0">'AKASA AIR'!$A$1:$Q$21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1" l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B18" i="1"/>
  <c r="B17" i="1"/>
</calcChain>
</file>

<file path=xl/sharedStrings.xml><?xml version="1.0" encoding="utf-8"?>
<sst xmlns="http://schemas.openxmlformats.org/spreadsheetml/2006/main" count="40" uniqueCount="38">
  <si>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</si>
  <si>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</si>
  <si>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</si>
  <si>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</si>
  <si>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</si>
  <si>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</si>
  <si>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</si>
  <si>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</si>
  <si>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</si>
  <si>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</si>
  <si>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</si>
  <si>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</si>
  <si>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</si>
  <si>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</si>
  <si>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</si>
  <si>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</si>
  <si>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</si>
  <si>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</si>
  <si>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</si>
  <si>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2014-15</t>
  </si>
  <si>
    <t>2015-16</t>
  </si>
  <si>
    <t>2016-17</t>
  </si>
  <si>
    <t>2017-18</t>
  </si>
  <si>
    <t>2018-19</t>
  </si>
  <si>
    <t>2019-20</t>
  </si>
  <si>
    <t>* DENOTES that THE INTERNATIONAL OPERATIONS BY SCHEDULED INDIAN OPERATORS WERE CARRIED AS PER DGCA’S CIRCULAR DATED 26.03.2020 UNDER COVID-19 RESTRICTION.</t>
  </si>
  <si>
    <t>2022-23</t>
  </si>
  <si>
    <t xml:space="preserve"> तालिका- 1.06 (अकासा एयर) </t>
  </si>
  <si>
    <t>TABLE - 1.06 (AKASA AIR)</t>
  </si>
  <si>
    <t>SOURCE: ICAO ATR FORM 'A' FURNISHED BY AKASA AIR</t>
  </si>
  <si>
    <t xml:space="preserve">YEAR ON YEAR GROWTH AND CAGR FOR LAST TEN YEARS OF AKASA AIR ON TOTAL (DOMESTIC + INTERNATIONAL) SCHEDULED SERVICES (ALL AIR TRAFFIC AND OPERATING STATISTICS) </t>
  </si>
  <si>
    <t>2021-22*</t>
  </si>
  <si>
    <t>2020-21*</t>
  </si>
  <si>
    <t>2023-24</t>
  </si>
  <si>
    <t>YOY growth</t>
  </si>
  <si>
    <t>CAGR last 10 years</t>
  </si>
  <si>
    <t>2024-25</t>
  </si>
  <si>
    <t>Note: Growth has been calculated with respect to preceeding year while Compound Annual Growth Rate (CAGR) has been calculating taking 2014-15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</si>
</sst>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 * #,##0.00_ ;_ * \-#,##0.00_ ;_ * &quot;-&quot;??_ ;_ @_ "/>
    <numFmt numFmtId="164" formatCode="0.0%"/>
    <numFmt numFmtId="165" formatCode="#,##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4" fillId="0" borderId="0" applyFont="0" applyFill="0" applyBorder="0" applyAlignment="0" applyProtection="0"/>
    <xf numFmtId="0" fontId="5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43" fontId="4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5">
    <xf numFmtId="0" fontId="0" fillId="0" borderId="0" xfId="0"/>
    <xf numFmtId="0" fontId="0" fillId="0" borderId="0" xfId="0" applyFont="1"/>
    <xf numFmtId="0" fontId="4" fillId="4" borderId="1" xfId="3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164" fontId="3" fillId="2" borderId="1" xfId="1" applyNumberFormat="1" applyFont="1" applyFill="1" applyBorder="1" applyAlignment="1" applyProtection="1">
      <alignment horizontal="right" vertical="center" wrapText="1"/>
    </xf>
    <xf numFmtId="0" fontId="3" fillId="3" borderId="1" xfId="2" applyFont="1" applyBorder="1" applyAlignment="1" applyProtection="1">
      <alignment horizontal="center" vertical="center" textRotation="90" wrapText="1"/>
    </xf>
    <xf numFmtId="0" fontId="4" fillId="6" borderId="1" xfId="3" applyFill="1" applyBorder="1" applyAlignment="1" applyProtection="1">
      <alignment horizontal="center" vertical="center" wrapText="1"/>
    </xf>
    <xf numFmtId="3" fontId="0" fillId="7" borderId="1" xfId="6" applyNumberFormat="1" applyFont="1" applyFill="1" applyBorder="1" applyAlignment="1" applyProtection="1">
      <alignment horizontal="center" vertical="center" wrapText="1"/>
    </xf>
    <xf numFmtId="165" fontId="0" fillId="7" borderId="1" xfId="6" applyNumberFormat="1" applyFont="1" applyFill="1" applyBorder="1" applyAlignment="1" applyProtection="1">
      <alignment horizontal="center" vertical="center" wrapText="1"/>
    </xf>
    <xf numFmtId="165" fontId="4" fillId="6" borderId="1" xfId="3" applyNumberFormat="1" applyFill="1" applyBorder="1" applyAlignment="1" applyProtection="1">
      <alignment horizontal="center" vertical="center" wrapText="1"/>
    </xf>
    <xf numFmtId="3" fontId="4" fillId="6" borderId="1" xfId="3" applyNumberFormat="1" applyFill="1" applyBorder="1" applyAlignment="1" applyProtection="1">
      <alignment horizontal="center" vertical="center" wrapText="1"/>
    </xf>
    <xf numFmtId="164" fontId="6" fillId="4" borderId="1" xfId="3" applyNumberFormat="1" applyFont="1" applyBorder="1" applyAlignment="1" applyProtection="1">
      <alignment horizontal="center" vertical="center"/>
    </xf>
    <xf numFmtId="0" fontId="0" fillId="6" borderId="1" xfId="3" applyFont="1" applyFill="1" applyBorder="1" applyAlignment="1" applyProtection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3" fillId="3" borderId="1" xfId="2" applyFont="1" applyBorder="1" applyAlignment="1" applyProtection="1">
      <alignment horizontal="center" vertical="center" textRotation="90" wrapText="1"/>
    </xf>
    <xf numFmtId="0" fontId="3" fillId="3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3" fillId="5" borderId="1" xfId="4" applyFont="1" applyBorder="1" applyAlignment="1">
      <alignment horizontal="center" vertical="center" wrapText="1"/>
    </xf>
    <xf numFmtId="0" fontId="3" fillId="5" borderId="1" xfId="4" quotePrefix="1" applyFont="1" applyBorder="1" applyAlignment="1" applyProtection="1">
      <alignment horizontal="center" vertical="center" wrapText="1"/>
    </xf>
    <xf numFmtId="0" fontId="3" fillId="5" borderId="1" xfId="4" applyFont="1" applyBorder="1"/>
    <xf numFmtId="0" fontId="3" fillId="3" borderId="1" xfId="2" applyFont="1" applyBorder="1" applyAlignment="1" applyProtection="1">
      <alignment horizontal="center" vertical="center" wrapText="1"/>
    </xf>
    <xf numFmtId="0" fontId="3" fillId="3" borderId="1" xfId="2" applyFont="1" applyBorder="1"/>
  </cellXfs>
  <cellStyles count="7">
    <cellStyle name="20% - Accent1" xfId="3" builtinId="30"/>
    <cellStyle name="20% - Accent6" xfId="6" builtinId="50"/>
    <cellStyle name="40% - Accent1" xfId="4" builtinId="31"/>
    <cellStyle name="Accent1" xfId="2" builtinId="29"/>
    <cellStyle name="Comma 2" xfId="5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Q21"/>
  <sheetViews>
    <sheetView tabSelected="1" view="pageBreakPreview" topLeftCell="G1" zoomScale="115" zoomScaleNormal="100" zoomScaleSheetLayoutView="115" workbookViewId="0">
      <selection activeCell="B18" sqref="B18:Q18"/>
    </sheetView>
  </sheetViews>
  <sheetFormatPr defaultColWidth="9.140625" defaultRowHeight="15" x14ac:dyDescent="0.25"/>
  <cols>
    <col min="1" max="1" width="10.28515625" style="1" customWidth="1"/>
    <col min="2" max="2" width="9.42578125" style="1" customWidth="1"/>
    <col min="3" max="3" width="9.7109375" style="1" customWidth="1"/>
    <col min="4" max="4" width="12.7109375" style="1" bestFit="1" customWidth="1"/>
    <col min="5" max="5" width="12.28515625" style="1" customWidth="1"/>
    <col min="6" max="6" width="10" style="1" customWidth="1"/>
    <col min="7" max="7" width="9.7109375" style="1" customWidth="1"/>
    <col min="8" max="8" width="8.140625" style="1" customWidth="1"/>
    <col min="9" max="9" width="10.5703125" style="1" customWidth="1"/>
    <col min="10" max="10" width="8.7109375" style="1" customWidth="1"/>
    <col min="11" max="11" width="10.85546875" style="1" customWidth="1"/>
    <col min="12" max="12" width="10" style="1" customWidth="1"/>
    <col min="13" max="13" width="9.5703125" style="1" customWidth="1"/>
    <col min="14" max="14" width="7.140625" style="1" customWidth="1"/>
    <col min="15" max="15" width="10.140625" style="1" customWidth="1"/>
    <col min="16" max="16" width="10" style="1" customWidth="1"/>
    <col min="17" max="17" width="7.42578125" style="1" customWidth="1"/>
    <col min="18" max="16384" width="9.140625" style="1"/>
  </cols>
  <sheetData>
    <row r="1" spans="1:17" x14ac:dyDescent="0.25">
      <c r="A1" s="20" t="s">
        <v>27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x14ac:dyDescent="0.25">
      <c r="A2" s="21" t="s">
        <v>28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x14ac:dyDescent="0.25">
      <c r="A3" s="23" t="s">
        <v>30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7" x14ac:dyDescent="0.25">
      <c r="A4" s="23" t="s">
        <v>0</v>
      </c>
      <c r="B4" s="23" t="s">
        <v>1</v>
      </c>
      <c r="C4" s="23"/>
      <c r="D4" s="23"/>
      <c r="E4" s="23" t="s">
        <v>2</v>
      </c>
      <c r="F4" s="24"/>
      <c r="G4" s="14" t="s">
        <v>3</v>
      </c>
      <c r="H4" s="14" t="s">
        <v>4</v>
      </c>
      <c r="I4" s="23" t="s">
        <v>5</v>
      </c>
      <c r="J4" s="23"/>
      <c r="K4" s="23"/>
      <c r="L4" s="23" t="s">
        <v>6</v>
      </c>
      <c r="M4" s="23"/>
      <c r="N4" s="23"/>
      <c r="O4" s="23"/>
      <c r="P4" s="14" t="s">
        <v>7</v>
      </c>
      <c r="Q4" s="14" t="s">
        <v>8</v>
      </c>
    </row>
    <row r="5" spans="1:17" ht="88.5" x14ac:dyDescent="0.25">
      <c r="A5" s="23"/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15"/>
      <c r="H5" s="15"/>
      <c r="I5" s="5" t="s">
        <v>14</v>
      </c>
      <c r="J5" s="5" t="s">
        <v>15</v>
      </c>
      <c r="K5" s="5" t="s">
        <v>16</v>
      </c>
      <c r="L5" s="5" t="s">
        <v>17</v>
      </c>
      <c r="M5" s="5" t="s">
        <v>18</v>
      </c>
      <c r="N5" s="5" t="s">
        <v>15</v>
      </c>
      <c r="O5" s="5" t="s">
        <v>16</v>
      </c>
      <c r="P5" s="15"/>
      <c r="Q5" s="15"/>
    </row>
    <row r="6" spans="1:17" x14ac:dyDescent="0.25">
      <c r="A6" s="6" t="s">
        <v>19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 x14ac:dyDescent="0.25">
      <c r="A7" s="7" t="s">
        <v>20</v>
      </c>
      <c r="B7" s="8"/>
      <c r="C7" s="8"/>
      <c r="D7" s="7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7"/>
    </row>
    <row r="8" spans="1:17" x14ac:dyDescent="0.25">
      <c r="A8" s="6" t="s">
        <v>21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17" x14ac:dyDescent="0.25">
      <c r="A9" s="7" t="s">
        <v>22</v>
      </c>
      <c r="B9" s="8"/>
      <c r="C9" s="8"/>
      <c r="D9" s="7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7"/>
    </row>
    <row r="10" spans="1:17" x14ac:dyDescent="0.25">
      <c r="A10" s="6" t="s">
        <v>23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spans="1:17" x14ac:dyDescent="0.25">
      <c r="A11" s="7" t="s">
        <v>24</v>
      </c>
      <c r="B11" s="8"/>
      <c r="C11" s="8"/>
      <c r="D11" s="7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7"/>
    </row>
    <row r="12" spans="1:17" x14ac:dyDescent="0.25">
      <c r="A12" s="6" t="s">
        <v>32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spans="1:17" x14ac:dyDescent="0.25">
      <c r="A13" s="7" t="s">
        <v>31</v>
      </c>
      <c r="B13" s="8"/>
      <c r="C13" s="8"/>
      <c r="D13" s="7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7"/>
    </row>
    <row r="14" spans="1:17" x14ac:dyDescent="0.25">
      <c r="A14" s="6" t="s">
        <v>26</v>
      </c>
      <c r="B14" s="6">
        <v>13600</v>
      </c>
      <c r="C14" s="6">
        <v>22439.944</v>
      </c>
      <c r="D14" s="6">
        <v>10125.377</v>
      </c>
      <c r="E14" s="6">
        <v>1913714</v>
      </c>
      <c r="F14" s="6">
        <v>1483.6780309999999</v>
      </c>
      <c r="G14" s="6">
        <v>1864.2063580000004</v>
      </c>
      <c r="H14" s="6">
        <v>79.587649974102263</v>
      </c>
      <c r="I14" s="6">
        <v>10956.209070000001</v>
      </c>
      <c r="J14" s="6">
        <v>0</v>
      </c>
      <c r="K14" s="6">
        <v>10956.209070000001</v>
      </c>
      <c r="L14" s="6">
        <v>120.45305503168318</v>
      </c>
      <c r="M14" s="6">
        <v>10.762023974</v>
      </c>
      <c r="N14" s="6">
        <v>0</v>
      </c>
      <c r="O14" s="6">
        <v>131.21507900568318</v>
      </c>
      <c r="P14" s="6">
        <v>207.63113928000001</v>
      </c>
      <c r="Q14" s="6">
        <v>63.196242847145243</v>
      </c>
    </row>
    <row r="15" spans="1:17" ht="15.75" customHeight="1" x14ac:dyDescent="0.25">
      <c r="A15" s="7" t="s">
        <v>33</v>
      </c>
      <c r="B15" s="7">
        <v>42247</v>
      </c>
      <c r="C15" s="7">
        <v>83034.25</v>
      </c>
      <c r="D15" s="7">
        <v>41210.19</v>
      </c>
      <c r="E15" s="7">
        <v>6845523</v>
      </c>
      <c r="F15" s="7">
        <v>6726.0850270000001</v>
      </c>
      <c r="G15" s="7">
        <v>7524.21666</v>
      </c>
      <c r="H15" s="8">
        <v>89.392495337846896</v>
      </c>
      <c r="I15" s="8">
        <v>43039.593000000001</v>
      </c>
      <c r="J15" s="8">
        <v>1250.5517200000002</v>
      </c>
      <c r="K15" s="8">
        <v>44290.144720000004</v>
      </c>
      <c r="L15" s="8">
        <v>552.85683275999997</v>
      </c>
      <c r="M15" s="8">
        <v>46.665391040000003</v>
      </c>
      <c r="N15" s="8">
        <v>1.4056039699999998</v>
      </c>
      <c r="O15" s="8">
        <v>600.92782777000002</v>
      </c>
      <c r="P15" s="8">
        <v>845.03989753999986</v>
      </c>
      <c r="Q15" s="8">
        <v>71.112361619772528</v>
      </c>
    </row>
    <row r="16" spans="1:17" x14ac:dyDescent="0.25">
      <c r="A16" s="12" t="s">
        <v>36</v>
      </c>
      <c r="B16" s="10">
        <v>48629</v>
      </c>
      <c r="C16" s="10">
        <v>112651.38599</v>
      </c>
      <c r="D16" s="10">
        <v>59503.827999999994</v>
      </c>
      <c r="E16" s="10">
        <v>8074900</v>
      </c>
      <c r="F16" s="10">
        <v>9828.5574320000014</v>
      </c>
      <c r="G16" s="10">
        <v>11143.905802000001</v>
      </c>
      <c r="H16" s="9">
        <v>88.196702364767532</v>
      </c>
      <c r="I16" s="9">
        <v>53422.740040000004</v>
      </c>
      <c r="J16" s="9">
        <v>2601.0933700000005</v>
      </c>
      <c r="K16" s="9">
        <v>56023.833410000007</v>
      </c>
      <c r="L16" s="9">
        <v>825.49198519999993</v>
      </c>
      <c r="M16" s="9">
        <v>62.375759930000008</v>
      </c>
      <c r="N16" s="9">
        <v>3.18401494</v>
      </c>
      <c r="O16" s="9">
        <v>891.05176007</v>
      </c>
      <c r="P16" s="9">
        <v>1220.18549689</v>
      </c>
      <c r="Q16" s="9">
        <v>73.025926167874175</v>
      </c>
    </row>
    <row r="17" spans="1:17" ht="30" x14ac:dyDescent="0.25">
      <c r="A17" s="2" t="s">
        <v>34</v>
      </c>
      <c r="B17" s="11">
        <f>IFERROR(((B16-B15)/B15),"-")</f>
        <v>0.15106398087438161</v>
      </c>
      <c r="C17" s="11">
        <f t="shared" ref="C17:Q17" si="0">IFERROR(((C16-C15)/C15),"-")</f>
        <v>0.35668577713413435</v>
      </c>
      <c r="D17" s="11">
        <f t="shared" si="0"/>
        <v>0.4439105473670466</v>
      </c>
      <c r="E17" s="11">
        <f t="shared" si="0"/>
        <v>0.17958846971955247</v>
      </c>
      <c r="F17" s="11">
        <f t="shared" si="0"/>
        <v>0.46125976590334311</v>
      </c>
      <c r="G17" s="11">
        <f t="shared" si="0"/>
        <v>0.48107189167516623</v>
      </c>
      <c r="H17" s="11">
        <f t="shared" si="0"/>
        <v>-1.3376883244617182E-2</v>
      </c>
      <c r="I17" s="11">
        <f t="shared" si="0"/>
        <v>0.24124640397970315</v>
      </c>
      <c r="J17" s="11">
        <f t="shared" si="0"/>
        <v>1.0799566530523026</v>
      </c>
      <c r="K17" s="11">
        <f t="shared" si="0"/>
        <v>0.26492775682219538</v>
      </c>
      <c r="L17" s="11">
        <f t="shared" si="0"/>
        <v>0.4931387952264909</v>
      </c>
      <c r="M17" s="11">
        <f t="shared" si="0"/>
        <v>0.33665996448060631</v>
      </c>
      <c r="N17" s="11">
        <f t="shared" si="0"/>
        <v>1.265229045987968</v>
      </c>
      <c r="O17" s="11">
        <f t="shared" si="0"/>
        <v>0.48279330544007099</v>
      </c>
      <c r="P17" s="11">
        <f t="shared" si="0"/>
        <v>0.44393832816898759</v>
      </c>
      <c r="Q17" s="11">
        <f t="shared" si="0"/>
        <v>2.6909028254935456E-2</v>
      </c>
    </row>
    <row r="18" spans="1:17" ht="30" x14ac:dyDescent="0.25">
      <c r="A18" s="3" t="s">
        <v>35</v>
      </c>
      <c r="B18" s="4" t="str">
        <f>IFERROR((((B16/B6)^(1/10))-1),"-")</f>
        <v>-</v>
      </c>
      <c r="C18" s="4" t="str">
        <f t="shared" ref="C18:Q18" si="1">IFERROR((((C16/C6)^(1/10))-1),"-")</f>
        <v>-</v>
      </c>
      <c r="D18" s="4" t="str">
        <f t="shared" si="1"/>
        <v>-</v>
      </c>
      <c r="E18" s="4" t="str">
        <f t="shared" si="1"/>
        <v>-</v>
      </c>
      <c r="F18" s="4" t="str">
        <f t="shared" si="1"/>
        <v>-</v>
      </c>
      <c r="G18" s="4" t="str">
        <f t="shared" si="1"/>
        <v>-</v>
      </c>
      <c r="H18" s="4" t="str">
        <f t="shared" si="1"/>
        <v>-</v>
      </c>
      <c r="I18" s="4" t="str">
        <f t="shared" si="1"/>
        <v>-</v>
      </c>
      <c r="J18" s="4" t="str">
        <f t="shared" si="1"/>
        <v>-</v>
      </c>
      <c r="K18" s="4" t="str">
        <f t="shared" si="1"/>
        <v>-</v>
      </c>
      <c r="L18" s="4" t="str">
        <f t="shared" si="1"/>
        <v>-</v>
      </c>
      <c r="M18" s="4" t="str">
        <f t="shared" si="1"/>
        <v>-</v>
      </c>
      <c r="N18" s="4" t="str">
        <f t="shared" si="1"/>
        <v>-</v>
      </c>
      <c r="O18" s="4" t="str">
        <f t="shared" si="1"/>
        <v>-</v>
      </c>
      <c r="P18" s="4" t="str">
        <f t="shared" si="1"/>
        <v>-</v>
      </c>
      <c r="Q18" s="4" t="str">
        <f t="shared" si="1"/>
        <v>-</v>
      </c>
    </row>
    <row r="19" spans="1:17" x14ac:dyDescent="0.25">
      <c r="A19" s="16" t="s">
        <v>29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</row>
    <row r="20" spans="1:17" x14ac:dyDescent="0.25">
      <c r="A20" s="18" t="s">
        <v>37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</row>
    <row r="21" spans="1:17" x14ac:dyDescent="0.25">
      <c r="A21" s="13" t="s">
        <v>25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</row>
  </sheetData>
  <mergeCells count="15"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  <mergeCell ref="A21:Q21"/>
    <mergeCell ref="P4:P5"/>
    <mergeCell ref="Q4:Q5"/>
    <mergeCell ref="A19:Q19"/>
    <mergeCell ref="A20:Q20"/>
  </mergeCells>
  <printOptions horizontalCentered="1"/>
  <pageMargins left="0.25" right="0.25" top="0.75" bottom="0.75" header="0.3" footer="0.3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AKASA AIR</vt:lpstr>
      <vt:lpstr>'AKASA AIR'!Print_Area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2020-05-11T09:32:17Z</cp:lastPrinted>
  <dcterms:created xsi:type="dcterms:W3CDTF">2018-10-29T04:00:16Z</dcterms:created>
  <dcterms:modified xsi:type="dcterms:W3CDTF">2025-11-19T12:04:55Z</dcterms:modified>
</cp:coreProperties>
</file>