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Draft Annual Report 2024-25\02 All Scheduled Indian Airlines Air Transport Operating and Traffic Statistics\"/>
    </mc:Choice>
  </mc:AlternateContent>
  <bookViews>
    <workbookView showHorizontalScroll="0" showVerticalScroll="0" xWindow="0" yWindow="0" windowWidth="13140" windowHeight="10635"/>
  </bookViews>
  <sheets>
    <sheet name="2.06" sheetId="1" r:id="rId1"/>
  </sheets>
  <definedNames>
    <definedName name="_xlnm.Print_Area" localSheetId="0">'2.06'!$A$1:$Q$21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7" i="1" l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C17" i="1"/>
  <c r="C18" i="1"/>
  <c r="B18" i="1"/>
  <c r="B17" i="1"/>
</calcChain>
</file>

<file path=xl/sharedStrings.xml><?xml version="1.0" encoding="utf-8"?>
<sst xmlns="http://schemas.openxmlformats.org/spreadsheetml/2006/main" count="40" uniqueCount="38">
  <si>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</si>
  <si>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</si>
  <si>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</si>
  <si>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</si>
  <si>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</si>
  <si>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</si>
  <si>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</si>
  <si>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</si>
  <si>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</si>
  <si>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</si>
  <si>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</si>
  <si>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</si>
  <si>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</si>
  <si>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</si>
  <si>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</si>
  <si>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</si>
  <si>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</si>
  <si>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</si>
  <si>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</si>
  <si>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2014-15</t>
  </si>
  <si>
    <t>2015-16</t>
  </si>
  <si>
    <t>2016-17</t>
  </si>
  <si>
    <t>2017-18</t>
  </si>
  <si>
    <t xml:space="preserve">SOURCE: ICAO ATR FORM 'A' FURNISHED BY ALL SCHEDULED INDIAN AIRLINES </t>
  </si>
  <si>
    <t>2018-19</t>
  </si>
  <si>
    <t>2019-20</t>
  </si>
  <si>
    <t>YEAR ON YEAR GROWTH AND CAGR FOR LAST TEN YEARS OF ALL SCHEDULED INDIAN AIRLINES ON TOTAL (DOMESTIC + INTERNATIONAL) SCHEDULED SERVICES (ALL AIR TRAFFIC AND OPERATING STATISTICS).</t>
  </si>
  <si>
    <t>* DENOTES that THE INTERNATIONAL OPERATIONS BY SCHEDULED INDIAN OPERATORS WERE CARRIED AS PER DGCA’S CIRCULAR DATED 26.03.2020 UNDER COVID-19 RESTRICTION.</t>
  </si>
  <si>
    <t>2020-21*</t>
  </si>
  <si>
    <t>2022-23</t>
  </si>
  <si>
    <t>2021-22*</t>
  </si>
  <si>
    <t>2023-24</t>
  </si>
  <si>
    <t>YOY growth</t>
  </si>
  <si>
    <t>CAGR last 10 years</t>
  </si>
  <si>
    <t xml:space="preserve"> तालिका- 2.06 (सभी अनुसूचित भारतीय एयरलाइन्स) </t>
  </si>
  <si>
    <t>TABLE - 2.06 (ALL SCHEDULED INDIAN AIRLINES)</t>
  </si>
  <si>
    <t>2024-25</t>
  </si>
  <si>
    <t>Note: Growth has been calculated with respect to preceeding year while Compound Annual Growth Rate (CAGR) has been calculating taking 2014-15 as a Base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</si>
</sst>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#,##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4" fillId="0" borderId="0" applyFont="0" applyFill="0" applyBorder="0" applyAlignment="0" applyProtection="0"/>
    <xf numFmtId="0" fontId="5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</cellStyleXfs>
  <cellXfs count="26">
    <xf numFmtId="0" fontId="0" fillId="0" borderId="0" xfId="0"/>
    <xf numFmtId="0" fontId="0" fillId="0" borderId="0" xfId="0" applyFont="1"/>
    <xf numFmtId="0" fontId="4" fillId="4" borderId="1" xfId="3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164" fontId="3" fillId="2" borderId="1" xfId="1" applyNumberFormat="1" applyFont="1" applyFill="1" applyBorder="1" applyAlignment="1" applyProtection="1">
      <alignment horizontal="right" vertical="center" wrapText="1"/>
    </xf>
    <xf numFmtId="164" fontId="4" fillId="4" borderId="1" xfId="3" applyNumberFormat="1" applyBorder="1" applyAlignment="1" applyProtection="1">
      <alignment horizontal="right" vertical="center" wrapText="1"/>
    </xf>
    <xf numFmtId="0" fontId="3" fillId="3" borderId="1" xfId="2" applyFont="1" applyBorder="1" applyAlignment="1" applyProtection="1">
      <alignment horizontal="center" vertical="center" textRotation="90" wrapText="1"/>
    </xf>
    <xf numFmtId="17" fontId="4" fillId="5" borderId="1" xfId="4" applyNumberFormat="1" applyBorder="1" applyAlignment="1" applyProtection="1">
      <alignment horizontal="center" vertical="center" wrapText="1"/>
    </xf>
    <xf numFmtId="3" fontId="4" fillId="5" borderId="1" xfId="4" applyNumberFormat="1" applyBorder="1" applyAlignment="1" applyProtection="1">
      <alignment horizontal="right" vertical="center" wrapText="1"/>
    </xf>
    <xf numFmtId="165" fontId="4" fillId="5" borderId="1" xfId="4" applyNumberFormat="1" applyBorder="1" applyAlignment="1" applyProtection="1">
      <alignment horizontal="right" vertical="center" wrapText="1"/>
    </xf>
    <xf numFmtId="17" fontId="4" fillId="6" borderId="1" xfId="4" applyNumberFormat="1" applyFill="1" applyBorder="1" applyAlignment="1" applyProtection="1">
      <alignment horizontal="center" vertical="center" wrapText="1"/>
    </xf>
    <xf numFmtId="3" fontId="4" fillId="6" borderId="1" xfId="4" applyNumberFormat="1" applyFill="1" applyBorder="1" applyAlignment="1" applyProtection="1">
      <alignment horizontal="right" vertical="center" wrapText="1"/>
    </xf>
    <xf numFmtId="165" fontId="4" fillId="6" borderId="1" xfId="4" applyNumberFormat="1" applyFill="1" applyBorder="1" applyAlignment="1" applyProtection="1">
      <alignment horizontal="right" vertical="center" wrapText="1"/>
    </xf>
    <xf numFmtId="17" fontId="0" fillId="5" borderId="1" xfId="4" applyNumberFormat="1" applyFont="1" applyBorder="1" applyAlignment="1" applyProtection="1">
      <alignment horizontal="center" vertical="center" wrapText="1"/>
    </xf>
    <xf numFmtId="0" fontId="3" fillId="5" borderId="1" xfId="4" applyFont="1" applyBorder="1" applyAlignment="1">
      <alignment horizontal="center" vertical="center" wrapText="1"/>
    </xf>
    <xf numFmtId="0" fontId="3" fillId="5" borderId="1" xfId="4" quotePrefix="1" applyFont="1" applyBorder="1" applyAlignment="1" applyProtection="1">
      <alignment horizontal="center" vertical="center" wrapText="1"/>
    </xf>
    <xf numFmtId="0" fontId="3" fillId="5" borderId="1" xfId="4" applyFont="1" applyBorder="1"/>
    <xf numFmtId="0" fontId="3" fillId="3" borderId="1" xfId="2" applyFont="1" applyBorder="1" applyAlignment="1" applyProtection="1">
      <alignment horizontal="center" vertical="center" wrapText="1"/>
    </xf>
    <xf numFmtId="0" fontId="3" fillId="3" borderId="1" xfId="2" applyFont="1" applyBorder="1"/>
    <xf numFmtId="0" fontId="3" fillId="3" borderId="1" xfId="2" applyFont="1" applyBorder="1" applyAlignment="1" applyProtection="1">
      <alignment horizontal="center" vertical="center" textRotation="90" wrapText="1"/>
    </xf>
    <xf numFmtId="0" fontId="3" fillId="3" borderId="1" xfId="2" applyFont="1" applyBorder="1" applyAlignment="1">
      <alignment textRotation="90"/>
    </xf>
    <xf numFmtId="0" fontId="1" fillId="0" borderId="2" xfId="0" applyFont="1" applyBorder="1" applyAlignment="1">
      <alignment horizontal="left" wrapText="1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>
      <alignment vertical="center" wrapText="1"/>
    </xf>
  </cellXfs>
  <cellStyles count="5">
    <cellStyle name="20% - Accent1" xfId="3" builtinId="30"/>
    <cellStyle name="40% - Accent1" xfId="4" builtinId="31"/>
    <cellStyle name="Accent1" xfId="2" builtinId="29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Q21"/>
  <sheetViews>
    <sheetView tabSelected="1" view="pageBreakPreview" topLeftCell="A7" zoomScaleNormal="100" zoomScaleSheetLayoutView="100" workbookViewId="0">
      <selection activeCell="K18" sqref="K18"/>
    </sheetView>
  </sheetViews>
  <sheetFormatPr defaultColWidth="9.140625" defaultRowHeight="15" x14ac:dyDescent="0.25"/>
  <cols>
    <col min="1" max="1" width="12.28515625" style="1" customWidth="1"/>
    <col min="2" max="2" width="10.7109375" style="1" customWidth="1"/>
    <col min="3" max="3" width="9.7109375" style="1" customWidth="1"/>
    <col min="4" max="4" width="10.7109375" style="1" customWidth="1"/>
    <col min="5" max="5" width="12.42578125" style="1" customWidth="1"/>
    <col min="6" max="6" width="8.85546875" style="1" customWidth="1"/>
    <col min="7" max="7" width="8.7109375" style="1" customWidth="1"/>
    <col min="8" max="8" width="6.85546875" style="1" customWidth="1"/>
    <col min="9" max="9" width="11.5703125" style="1" customWidth="1"/>
    <col min="10" max="10" width="8.7109375" style="1" customWidth="1"/>
    <col min="11" max="11" width="11.28515625" style="1" customWidth="1"/>
    <col min="12" max="12" width="8.85546875" style="1" customWidth="1"/>
    <col min="13" max="13" width="8.28515625" style="1" customWidth="1"/>
    <col min="14" max="14" width="7.7109375" style="1" customWidth="1"/>
    <col min="15" max="15" width="9" style="1" customWidth="1"/>
    <col min="16" max="16" width="15.85546875" style="1" customWidth="1"/>
    <col min="17" max="17" width="7.42578125" style="1" customWidth="1"/>
    <col min="18" max="16384" width="9.140625" style="1"/>
  </cols>
  <sheetData>
    <row r="1" spans="1:17" ht="21" customHeight="1" x14ac:dyDescent="0.25">
      <c r="A1" s="14" t="s">
        <v>34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 ht="21" customHeight="1" x14ac:dyDescent="0.25">
      <c r="A2" s="15" t="s">
        <v>35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3" spans="1:17" ht="33" customHeight="1" x14ac:dyDescent="0.25">
      <c r="A3" s="17" t="s">
        <v>26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</row>
    <row r="4" spans="1:17" ht="15" customHeight="1" x14ac:dyDescent="0.25">
      <c r="A4" s="17" t="s">
        <v>0</v>
      </c>
      <c r="B4" s="17" t="s">
        <v>1</v>
      </c>
      <c r="C4" s="17"/>
      <c r="D4" s="17"/>
      <c r="E4" s="17" t="s">
        <v>2</v>
      </c>
      <c r="F4" s="18"/>
      <c r="G4" s="19" t="s">
        <v>3</v>
      </c>
      <c r="H4" s="19" t="s">
        <v>4</v>
      </c>
      <c r="I4" s="17" t="s">
        <v>5</v>
      </c>
      <c r="J4" s="17"/>
      <c r="K4" s="17"/>
      <c r="L4" s="17" t="s">
        <v>6</v>
      </c>
      <c r="M4" s="17"/>
      <c r="N4" s="17"/>
      <c r="O4" s="17"/>
      <c r="P4" s="19" t="s">
        <v>7</v>
      </c>
      <c r="Q4" s="19" t="s">
        <v>8</v>
      </c>
    </row>
    <row r="5" spans="1:17" ht="132" customHeight="1" x14ac:dyDescent="0.25">
      <c r="A5" s="17"/>
      <c r="B5" s="6" t="s">
        <v>9</v>
      </c>
      <c r="C5" s="6" t="s">
        <v>10</v>
      </c>
      <c r="D5" s="6" t="s">
        <v>11</v>
      </c>
      <c r="E5" s="6" t="s">
        <v>12</v>
      </c>
      <c r="F5" s="6" t="s">
        <v>13</v>
      </c>
      <c r="G5" s="20"/>
      <c r="H5" s="20"/>
      <c r="I5" s="6" t="s">
        <v>14</v>
      </c>
      <c r="J5" s="6" t="s">
        <v>15</v>
      </c>
      <c r="K5" s="6" t="s">
        <v>16</v>
      </c>
      <c r="L5" s="6" t="s">
        <v>17</v>
      </c>
      <c r="M5" s="6" t="s">
        <v>18</v>
      </c>
      <c r="N5" s="6" t="s">
        <v>15</v>
      </c>
      <c r="O5" s="6" t="s">
        <v>16</v>
      </c>
      <c r="P5" s="20"/>
      <c r="Q5" s="20"/>
    </row>
    <row r="6" spans="1:17" ht="24.95" customHeight="1" x14ac:dyDescent="0.25">
      <c r="A6" s="7" t="s">
        <v>19</v>
      </c>
      <c r="B6" s="8">
        <v>734736</v>
      </c>
      <c r="C6" s="8">
        <v>1500004.6099999999</v>
      </c>
      <c r="D6" s="8">
        <v>897883.96900000004</v>
      </c>
      <c r="E6" s="8">
        <v>87412197</v>
      </c>
      <c r="F6" s="8">
        <v>126903.03977500004</v>
      </c>
      <c r="G6" s="8">
        <v>160953.15840099999</v>
      </c>
      <c r="H6" s="9">
        <v>78.844703040143386</v>
      </c>
      <c r="I6" s="8">
        <v>815210.56822000002</v>
      </c>
      <c r="J6" s="8">
        <v>31816.010000000002</v>
      </c>
      <c r="K6" s="8">
        <v>847026.57822000002</v>
      </c>
      <c r="L6" s="8">
        <v>11205.620582000003</v>
      </c>
      <c r="M6" s="8">
        <v>1874.1585833867703</v>
      </c>
      <c r="N6" s="8">
        <v>57.143620000000013</v>
      </c>
      <c r="O6" s="8">
        <v>13136.922785386774</v>
      </c>
      <c r="P6" s="8">
        <v>18685.587016000005</v>
      </c>
      <c r="Q6" s="9">
        <v>70.305111496566596</v>
      </c>
    </row>
    <row r="7" spans="1:17" ht="24.95" customHeight="1" x14ac:dyDescent="0.25">
      <c r="A7" s="10" t="s">
        <v>20</v>
      </c>
      <c r="B7" s="11">
        <v>823732</v>
      </c>
      <c r="C7" s="11">
        <v>1685787.4160000002</v>
      </c>
      <c r="D7" s="11">
        <v>1077172.6250000002</v>
      </c>
      <c r="E7" s="11">
        <v>103822908</v>
      </c>
      <c r="F7" s="11">
        <v>145787.25543000002</v>
      </c>
      <c r="G7" s="11">
        <v>179448.71800300002</v>
      </c>
      <c r="H7" s="12">
        <v>81.241736944346826</v>
      </c>
      <c r="I7" s="11">
        <v>839234.69550999999</v>
      </c>
      <c r="J7" s="11">
        <v>36399.646725000006</v>
      </c>
      <c r="K7" s="11">
        <v>875634.34223499999</v>
      </c>
      <c r="L7" s="11">
        <v>12930.720884154998</v>
      </c>
      <c r="M7" s="11">
        <v>1797.5325222250008</v>
      </c>
      <c r="N7" s="11">
        <v>58.969729999999984</v>
      </c>
      <c r="O7" s="11">
        <v>14787.22313638</v>
      </c>
      <c r="P7" s="11">
        <v>21040.456198585005</v>
      </c>
      <c r="Q7" s="12">
        <v>70.279954944011422</v>
      </c>
    </row>
    <row r="8" spans="1:17" ht="24.95" customHeight="1" x14ac:dyDescent="0.25">
      <c r="A8" s="7" t="s">
        <v>21</v>
      </c>
      <c r="B8" s="8">
        <v>946379</v>
      </c>
      <c r="C8" s="8">
        <v>1946015.264</v>
      </c>
      <c r="D8" s="8">
        <v>1214418.9890000003</v>
      </c>
      <c r="E8" s="8">
        <v>124562836</v>
      </c>
      <c r="F8" s="8">
        <v>170085.25055600004</v>
      </c>
      <c r="G8" s="8">
        <v>208190.41587000003</v>
      </c>
      <c r="H8" s="9">
        <v>81.696964697071394</v>
      </c>
      <c r="I8" s="8">
        <v>891126.84184000001</v>
      </c>
      <c r="J8" s="8">
        <v>39954.805</v>
      </c>
      <c r="K8" s="8">
        <v>931081.64684000006</v>
      </c>
      <c r="L8" s="8">
        <v>15080.519955989999</v>
      </c>
      <c r="M8" s="8">
        <v>1999.5806925300001</v>
      </c>
      <c r="N8" s="8">
        <v>61.322286999999996</v>
      </c>
      <c r="O8" s="8">
        <v>17141.422935519997</v>
      </c>
      <c r="P8" s="8">
        <v>24312.008027229989</v>
      </c>
      <c r="Q8" s="9">
        <v>70.505994059895102</v>
      </c>
    </row>
    <row r="9" spans="1:17" ht="24.95" customHeight="1" x14ac:dyDescent="0.25">
      <c r="A9" s="10" t="s">
        <v>22</v>
      </c>
      <c r="B9" s="11">
        <v>1073127</v>
      </c>
      <c r="C9" s="11">
        <v>2215495.6658300003</v>
      </c>
      <c r="D9" s="11">
        <v>1366674.9050000003</v>
      </c>
      <c r="E9" s="11">
        <v>147120152</v>
      </c>
      <c r="F9" s="11">
        <v>199408.671974</v>
      </c>
      <c r="G9" s="11">
        <v>236210.76280200004</v>
      </c>
      <c r="H9" s="12">
        <v>84.419807805773516</v>
      </c>
      <c r="I9" s="11">
        <v>1024286.0248199997</v>
      </c>
      <c r="J9" s="11">
        <v>42863.362219999995</v>
      </c>
      <c r="K9" s="11">
        <v>1067149.3870399997</v>
      </c>
      <c r="L9" s="11">
        <v>17690.940125500001</v>
      </c>
      <c r="M9" s="11">
        <v>2490.5569689999998</v>
      </c>
      <c r="N9" s="11">
        <v>77.276630100000006</v>
      </c>
      <c r="O9" s="11">
        <v>20258.773724600003</v>
      </c>
      <c r="P9" s="11">
        <v>27865.255075000001</v>
      </c>
      <c r="Q9" s="12">
        <v>72.702631539072698</v>
      </c>
    </row>
    <row r="10" spans="1:17" ht="24.95" customHeight="1" x14ac:dyDescent="0.25">
      <c r="A10" s="7" t="s">
        <v>24</v>
      </c>
      <c r="B10" s="8">
        <v>1218108</v>
      </c>
      <c r="C10" s="8">
        <v>2565278.2113900012</v>
      </c>
      <c r="D10" s="8">
        <v>1549746.6299999997</v>
      </c>
      <c r="E10" s="8">
        <v>166233287</v>
      </c>
      <c r="F10" s="8">
        <v>225340.61556900005</v>
      </c>
      <c r="G10" s="8">
        <v>268503.79648400011</v>
      </c>
      <c r="H10" s="9">
        <v>83.924554706409111</v>
      </c>
      <c r="I10" s="8">
        <v>1099186.3980700003</v>
      </c>
      <c r="J10" s="8">
        <v>45933.591179999981</v>
      </c>
      <c r="K10" s="8">
        <v>1145119.9892500003</v>
      </c>
      <c r="L10" s="8">
        <v>20024.797594036787</v>
      </c>
      <c r="M10" s="8">
        <v>2677.7250096553994</v>
      </c>
      <c r="N10" s="8">
        <v>77.778576074900016</v>
      </c>
      <c r="O10" s="8">
        <v>22780.305138497195</v>
      </c>
      <c r="P10" s="8">
        <v>31666.313940435997</v>
      </c>
      <c r="Q10" s="9">
        <v>71.938607004739197</v>
      </c>
    </row>
    <row r="11" spans="1:17" ht="24.95" customHeight="1" x14ac:dyDescent="0.25">
      <c r="A11" s="10" t="s">
        <v>25</v>
      </c>
      <c r="B11" s="11">
        <v>1202222</v>
      </c>
      <c r="C11" s="11">
        <v>2426253.8846666673</v>
      </c>
      <c r="D11" s="11">
        <v>1485265.2478999998</v>
      </c>
      <c r="E11" s="11">
        <v>163925024</v>
      </c>
      <c r="F11" s="11">
        <v>211485.26667399998</v>
      </c>
      <c r="G11" s="11">
        <v>250931.84819100003</v>
      </c>
      <c r="H11" s="12">
        <v>84.279962148537336</v>
      </c>
      <c r="I11" s="11">
        <v>919417.57864360779</v>
      </c>
      <c r="J11" s="11">
        <v>32136.309299999997</v>
      </c>
      <c r="K11" s="11">
        <v>951553.88943360792</v>
      </c>
      <c r="L11" s="11">
        <v>19163.191235107573</v>
      </c>
      <c r="M11" s="11">
        <v>1722.8163127006196</v>
      </c>
      <c r="N11" s="11">
        <v>59.629076190800014</v>
      </c>
      <c r="O11" s="11">
        <v>20945.636623998995</v>
      </c>
      <c r="P11" s="11">
        <v>30429.219200413405</v>
      </c>
      <c r="Q11" s="12">
        <v>68.833960168502884</v>
      </c>
    </row>
    <row r="12" spans="1:17" ht="24.95" customHeight="1" x14ac:dyDescent="0.25">
      <c r="A12" s="7" t="s">
        <v>28</v>
      </c>
      <c r="B12" s="8">
        <v>537753</v>
      </c>
      <c r="C12" s="8">
        <v>1067111.0842633336</v>
      </c>
      <c r="D12" s="8">
        <v>630225.9971634408</v>
      </c>
      <c r="E12" s="8">
        <v>58757505</v>
      </c>
      <c r="F12" s="8">
        <v>74190.294611999983</v>
      </c>
      <c r="G12" s="8">
        <v>108206.043019</v>
      </c>
      <c r="H12" s="9">
        <v>68.563910611695547</v>
      </c>
      <c r="I12" s="8">
        <v>564415.2767578694</v>
      </c>
      <c r="J12" s="8">
        <v>24565.987599999989</v>
      </c>
      <c r="K12" s="8">
        <v>588981.26435786963</v>
      </c>
      <c r="L12" s="8">
        <v>6457.4615675556606</v>
      </c>
      <c r="M12" s="8">
        <v>949.74304040226991</v>
      </c>
      <c r="N12" s="8">
        <v>23.644945314886137</v>
      </c>
      <c r="O12" s="8">
        <v>7430.8495532728157</v>
      </c>
      <c r="P12" s="8">
        <v>12355.534018377099</v>
      </c>
      <c r="Q12" s="9">
        <v>60.141872801454667</v>
      </c>
    </row>
    <row r="13" spans="1:17" ht="24.95" customHeight="1" x14ac:dyDescent="0.25">
      <c r="A13" s="10" t="s">
        <v>30</v>
      </c>
      <c r="B13" s="11">
        <v>815729</v>
      </c>
      <c r="C13" s="11">
        <v>1600820.404388889</v>
      </c>
      <c r="D13" s="11">
        <v>960740.79489999986</v>
      </c>
      <c r="E13" s="11">
        <v>94386822</v>
      </c>
      <c r="F13" s="11">
        <v>118251.58627699999</v>
      </c>
      <c r="G13" s="11">
        <v>163799.42493900002</v>
      </c>
      <c r="H13" s="12">
        <v>72.192919066130827</v>
      </c>
      <c r="I13" s="11">
        <v>801447.2158100002</v>
      </c>
      <c r="J13" s="11">
        <v>24622.467415483698</v>
      </c>
      <c r="K13" s="11">
        <v>825921.1768254838</v>
      </c>
      <c r="L13" s="11">
        <v>10492.137107873199</v>
      </c>
      <c r="M13" s="11">
        <v>1574.7532523055997</v>
      </c>
      <c r="N13" s="11">
        <v>26.135012325475159</v>
      </c>
      <c r="O13" s="11">
        <v>12093.025372504271</v>
      </c>
      <c r="P13" s="11">
        <v>19177.833945177001</v>
      </c>
      <c r="Q13" s="12">
        <v>63.057305674218355</v>
      </c>
    </row>
    <row r="14" spans="1:17" ht="24.95" customHeight="1" x14ac:dyDescent="0.25">
      <c r="A14" s="7" t="s">
        <v>29</v>
      </c>
      <c r="B14" s="8">
        <v>1160527</v>
      </c>
      <c r="C14" s="8">
        <v>2399060.461666666</v>
      </c>
      <c r="D14" s="8">
        <v>1406313.0280746669</v>
      </c>
      <c r="E14" s="8">
        <v>159904874</v>
      </c>
      <c r="F14" s="8">
        <v>215166.58857599998</v>
      </c>
      <c r="G14" s="8">
        <v>260487.8959448</v>
      </c>
      <c r="H14" s="9">
        <v>82.601376849232153</v>
      </c>
      <c r="I14" s="8">
        <v>858196.20289399987</v>
      </c>
      <c r="J14" s="8">
        <v>34943.077700945796</v>
      </c>
      <c r="K14" s="8">
        <v>893139.28059494565</v>
      </c>
      <c r="L14" s="8">
        <v>19530.58144547468</v>
      </c>
      <c r="M14" s="8">
        <v>1780.7423683325935</v>
      </c>
      <c r="N14" s="8">
        <v>42.695041977135496</v>
      </c>
      <c r="O14" s="8">
        <v>21354.018855784409</v>
      </c>
      <c r="P14" s="8">
        <v>30276.654526941002</v>
      </c>
      <c r="Q14" s="9">
        <v>70.529651275648746</v>
      </c>
    </row>
    <row r="15" spans="1:17" ht="24.95" customHeight="1" x14ac:dyDescent="0.25">
      <c r="A15" s="10" t="s">
        <v>31</v>
      </c>
      <c r="B15" s="11">
        <v>1240942</v>
      </c>
      <c r="C15" s="11">
        <v>2650255.8138333322</v>
      </c>
      <c r="D15" s="11">
        <v>1529106.8945599999</v>
      </c>
      <c r="E15" s="11">
        <v>183265841</v>
      </c>
      <c r="F15" s="11">
        <v>253523.8334188</v>
      </c>
      <c r="G15" s="11">
        <v>294705.26447086665</v>
      </c>
      <c r="H15" s="12">
        <v>86.02623162297202</v>
      </c>
      <c r="I15" s="11">
        <v>942817.06562234391</v>
      </c>
      <c r="J15" s="11">
        <v>50163.241509654239</v>
      </c>
      <c r="K15" s="11">
        <v>992980.30713199836</v>
      </c>
      <c r="L15" s="11">
        <v>23155.044167473003</v>
      </c>
      <c r="M15" s="11">
        <v>2200.3740631429837</v>
      </c>
      <c r="N15" s="11">
        <v>85.656386193240536</v>
      </c>
      <c r="O15" s="11">
        <v>25441.074616809223</v>
      </c>
      <c r="P15" s="11">
        <v>34646.016788348999</v>
      </c>
      <c r="Q15" s="12">
        <v>73.431455912511339</v>
      </c>
    </row>
    <row r="16" spans="1:17" ht="24.95" customHeight="1" x14ac:dyDescent="0.25">
      <c r="A16" s="13" t="s">
        <v>36</v>
      </c>
      <c r="B16" s="8">
        <v>1347763</v>
      </c>
      <c r="C16" s="8">
        <v>2972439.7187166666</v>
      </c>
      <c r="D16" s="8">
        <v>1699928.5602189095</v>
      </c>
      <c r="E16" s="8">
        <v>199397649</v>
      </c>
      <c r="F16" s="8">
        <v>283123.33439916139</v>
      </c>
      <c r="G16" s="8">
        <v>334200.26890910266</v>
      </c>
      <c r="H16" s="9">
        <v>84.716668638039479</v>
      </c>
      <c r="I16" s="8">
        <v>1040303.0231767468</v>
      </c>
      <c r="J16" s="8">
        <v>45504.995686003378</v>
      </c>
      <c r="K16" s="8">
        <v>1085808.0188627506</v>
      </c>
      <c r="L16" s="8">
        <v>26123.950772693992</v>
      </c>
      <c r="M16" s="8">
        <v>2290.3510158661738</v>
      </c>
      <c r="N16" s="8">
        <v>58.887738695394361</v>
      </c>
      <c r="O16" s="8">
        <v>28473.189527255556</v>
      </c>
      <c r="P16" s="8">
        <v>37349.650900777538</v>
      </c>
      <c r="Q16" s="9">
        <v>76.234151700365175</v>
      </c>
    </row>
    <row r="17" spans="1:17" ht="24.95" customHeight="1" x14ac:dyDescent="0.25">
      <c r="A17" s="2" t="s">
        <v>32</v>
      </c>
      <c r="B17" s="5">
        <f>IFERROR(((B16-B15)/B15),"-")</f>
        <v>8.6080574273414867E-2</v>
      </c>
      <c r="C17" s="5">
        <f>IFERROR(((C16-C15)/C15),"-")</f>
        <v>0.12156709673143867</v>
      </c>
      <c r="D17" s="5">
        <f t="shared" ref="D17:Q17" si="0">IFERROR(((D16-D15)/D15),"-")</f>
        <v>0.1117133578212421</v>
      </c>
      <c r="E17" s="5">
        <f t="shared" si="0"/>
        <v>8.8024085186720641E-2</v>
      </c>
      <c r="F17" s="5">
        <f t="shared" si="0"/>
        <v>0.11675234072161379</v>
      </c>
      <c r="G17" s="5">
        <f t="shared" si="0"/>
        <v>0.13401526609695266</v>
      </c>
      <c r="H17" s="5">
        <f t="shared" si="0"/>
        <v>-1.5222833317539406E-2</v>
      </c>
      <c r="I17" s="5">
        <f t="shared" si="0"/>
        <v>0.10339859248310636</v>
      </c>
      <c r="J17" s="5">
        <f t="shared" si="0"/>
        <v>-9.2861738664841889E-2</v>
      </c>
      <c r="K17" s="5">
        <f t="shared" si="0"/>
        <v>9.3483940279605701E-2</v>
      </c>
      <c r="L17" s="5">
        <f t="shared" si="0"/>
        <v>0.12821856800392348</v>
      </c>
      <c r="M17" s="5">
        <f t="shared" si="0"/>
        <v>4.0891662117971128E-2</v>
      </c>
      <c r="N17" s="5">
        <f t="shared" si="0"/>
        <v>-0.31251198757622334</v>
      </c>
      <c r="O17" s="5">
        <f t="shared" si="0"/>
        <v>0.11918187246866445</v>
      </c>
      <c r="P17" s="5">
        <f t="shared" si="0"/>
        <v>7.8035929178956465E-2</v>
      </c>
      <c r="Q17" s="5">
        <f t="shared" si="0"/>
        <v>3.8167509455253885E-2</v>
      </c>
    </row>
    <row r="18" spans="1:17" ht="32.25" customHeight="1" x14ac:dyDescent="0.25">
      <c r="A18" s="3" t="s">
        <v>33</v>
      </c>
      <c r="B18" s="4">
        <f>IFERROR((((B16/B6)^(1/10))-1),"-")</f>
        <v>6.2547175070740479E-2</v>
      </c>
      <c r="C18" s="4">
        <f>IFERROR((((C16/C6)^(1/10))-1),"-")</f>
        <v>7.0784426573853976E-2</v>
      </c>
      <c r="D18" s="4">
        <f t="shared" ref="D18:Q18" si="1">IFERROR((((D16/D6)^(1/10))-1),"-")</f>
        <v>6.5911248410918999E-2</v>
      </c>
      <c r="E18" s="4">
        <f t="shared" si="1"/>
        <v>8.5962427794187279E-2</v>
      </c>
      <c r="F18" s="4">
        <f t="shared" si="1"/>
        <v>8.3553511575606754E-2</v>
      </c>
      <c r="G18" s="4">
        <f t="shared" si="1"/>
        <v>7.579799161044809E-2</v>
      </c>
      <c r="H18" s="4">
        <f t="shared" si="1"/>
        <v>7.2090857443867229E-3</v>
      </c>
      <c r="I18" s="4">
        <f t="shared" si="1"/>
        <v>2.4681760924035512E-2</v>
      </c>
      <c r="J18" s="4">
        <f t="shared" si="1"/>
        <v>3.6433247826148207E-2</v>
      </c>
      <c r="K18" s="4">
        <f t="shared" si="1"/>
        <v>2.5145714859644563E-2</v>
      </c>
      <c r="L18" s="4">
        <f t="shared" si="1"/>
        <v>8.8329232170605509E-2</v>
      </c>
      <c r="M18" s="4">
        <f t="shared" si="1"/>
        <v>2.0256971559908576E-2</v>
      </c>
      <c r="N18" s="4">
        <f t="shared" si="1"/>
        <v>3.0110390456503655E-3</v>
      </c>
      <c r="O18" s="4">
        <f t="shared" si="1"/>
        <v>8.0424060558801802E-2</v>
      </c>
      <c r="P18" s="4">
        <f t="shared" si="1"/>
        <v>7.1711720024533632E-2</v>
      </c>
      <c r="Q18" s="4">
        <f t="shared" si="1"/>
        <v>8.1293694670696581E-3</v>
      </c>
    </row>
    <row r="19" spans="1:17" x14ac:dyDescent="0.25">
      <c r="A19" s="22" t="s">
        <v>23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</row>
    <row r="20" spans="1:17" ht="15" customHeight="1" x14ac:dyDescent="0.25">
      <c r="A20" s="24" t="s">
        <v>37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</row>
    <row r="21" spans="1:17" x14ac:dyDescent="0.25">
      <c r="A21" s="21" t="s">
        <v>27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</row>
  </sheetData>
  <mergeCells count="15">
    <mergeCell ref="A21:Q21"/>
    <mergeCell ref="P4:P5"/>
    <mergeCell ref="Q4:Q5"/>
    <mergeCell ref="A19:Q19"/>
    <mergeCell ref="A20:Q20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4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2.06</vt:lpstr>
      <vt:lpstr>'2.06'!Print_Area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2021-08-27T22:41:52Z</cp:lastPrinted>
  <dcterms:created xsi:type="dcterms:W3CDTF">2018-10-29T04:00:16Z</dcterms:created>
  <dcterms:modified xsi:type="dcterms:W3CDTF">2025-11-20T07:25:29Z</dcterms:modified>
</cp:coreProperties>
</file>