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IX CONNECT\"/>
    </mc:Choice>
  </mc:AlternateContent>
  <bookViews>
    <workbookView xWindow="0" yWindow="0" windowWidth="24000" windowHeight="10725"/>
  </bookViews>
  <sheets>
    <sheet name="AIX CONNECT" sheetId="3" r:id="rId1"/>
  </sheets>
  <definedNames>
    <definedName name="_xlnm.Print_Area" localSheetId="0">'AIX CONNECT'!$A$1:$Q$21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8" i="3"/>
  <c r="B17" i="3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<sst xmlns="http://schemas.openxmlformats.org/spreadsheetml/2006/main" count="40" uniqueCount="38">
  <si>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</si>
  <si>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</si>
  <si>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</si>
  <si>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</si>
  <si>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</si>
  <si>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</si>
  <si>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</si>
  <si>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</si>
  <si>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</si>
  <si>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</si>
  <si>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</si>
  <si>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</si>
  <si>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</si>
  <si>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</si>
  <si>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</si>
  <si>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</si>
  <si>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</si>
  <si>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</si>
  <si>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</si>
  <si>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</si>
  <si>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</si>
  <si>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</si>
  <si>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</si>
  <si>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</si>
  <si>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</si>
  <si>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2022-23</t>
  </si>
  <si>
    <t>2023-24</t>
  </si>
  <si>
    <t>YOY growth</t>
  </si>
  <si>
    <t>CAGR last 10 years</t>
  </si>
  <si>
    <t>TABLE - 1.05 (AIX CONNECT)</t>
  </si>
  <si>
    <t>YEAR ON YEAR GROWTH AND CAGR FOR LAST TEN YEARS OF  AIX CONNECT ON SCHEDULED INTERNATIONAL SERVICES (ALL AIR TRAFFIC AND OPERATING STATISTICS)</t>
  </si>
  <si>
    <t>SOURCE: ICAO ATR FORM 'A' FURNISHED BY AIX CONNECT</t>
  </si>
  <si>
    <t xml:space="preserve">तालिका - 1.05 (ए आई एक्स कनेक्ट ) </t>
  </si>
  <si>
    <t>* DENOTES that THE INTERNATIONAL OPERATIONS BY SCHEDULED INDIAN OPERATORS WERE CARRIED AS PER DGCA’S CIRCULAR DATED 26.03.2020 UNDER COVID-19 RESTRICTION.</t>
  </si>
  <si>
    <t>2020-21*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</si>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</sst>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3" fillId="4" borderId="1" xfId="2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64" fontId="6" fillId="5" borderId="1" xfId="3" applyNumberFormat="1" applyFont="1" applyFill="1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165" fontId="0" fillId="4" borderId="1" xfId="2" applyNumberFormat="1" applyFont="1" applyBorder="1" applyAlignment="1" applyProtection="1">
      <alignment horizontal="center" vertical="center" wrapText="1"/>
    </xf>
    <xf numFmtId="0" fontId="5" fillId="4" borderId="1" xfId="2" applyFont="1" applyBorder="1" applyAlignment="1">
      <alignment horizontal="center" vertical="center" wrapText="1"/>
    </xf>
    <xf numFmtId="0" fontId="5" fillId="4" borderId="1" xfId="2" quotePrefix="1" applyFont="1" applyBorder="1" applyAlignment="1" applyProtection="1">
      <alignment horizontal="center" vertical="center" wrapText="1"/>
    </xf>
    <xf numFmtId="0" fontId="5" fillId="4" borderId="1" xfId="2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">
    <cellStyle name="40% - Accent6" xfId="2" builtinId="51"/>
    <cellStyle name="Accent6" xfId="1" builtinId="49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C1" zoomScaleNormal="70" zoomScaleSheetLayoutView="100" workbookViewId="0">
      <selection activeCell="R17" sqref="R17"/>
    </sheetView>
  </sheetViews>
  <sheetFormatPr defaultRowHeight="15" x14ac:dyDescent="0.25"/>
  <cols>
    <col min="1" max="1" width="12.140625" customWidth="1"/>
    <col min="2" max="3" width="7.7109375" customWidth="1"/>
    <col min="4" max="4" width="7.85546875" customWidth="1"/>
    <col min="5" max="5" width="11" customWidth="1"/>
    <col min="6" max="6" width="8" customWidth="1"/>
    <col min="7" max="7" width="8.8554687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7.140625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36" customHeight="1" x14ac:dyDescent="0.25">
      <c r="A3" s="12" t="s">
        <v>30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x14ac:dyDescent="0.25">
      <c r="A4" s="12" t="s">
        <v>0</v>
      </c>
      <c r="B4" s="12" t="s">
        <v>1</v>
      </c>
      <c r="C4" s="12"/>
      <c r="D4" s="12"/>
      <c r="E4" s="12" t="s">
        <v>2</v>
      </c>
      <c r="F4" s="13"/>
      <c r="G4" s="14" t="s">
        <v>3</v>
      </c>
      <c r="H4" s="14" t="s">
        <v>4</v>
      </c>
      <c r="I4" s="12" t="s">
        <v>5</v>
      </c>
      <c r="J4" s="12"/>
      <c r="K4" s="12"/>
      <c r="L4" s="12" t="s">
        <v>6</v>
      </c>
      <c r="M4" s="12"/>
      <c r="N4" s="12"/>
      <c r="O4" s="12"/>
      <c r="P4" s="14" t="s">
        <v>7</v>
      </c>
      <c r="Q4" s="14" t="s">
        <v>8</v>
      </c>
    </row>
    <row r="5" spans="1:17" ht="117" customHeight="1" x14ac:dyDescent="0.25">
      <c r="A5" s="12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7.100000000000001" customHeight="1" x14ac:dyDescent="0.25">
      <c r="A6" s="1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7.100000000000001" customHeight="1" x14ac:dyDescent="0.25">
      <c r="A7" s="6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7.100000000000001" customHeight="1" x14ac:dyDescent="0.25">
      <c r="A8" s="1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7.100000000000001" customHeight="1" x14ac:dyDescent="0.25">
      <c r="A9" s="6" t="s">
        <v>22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7.100000000000001" customHeight="1" x14ac:dyDescent="0.25">
      <c r="A10" s="1" t="s">
        <v>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7.100000000000001" customHeight="1" x14ac:dyDescent="0.25">
      <c r="A11" s="6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7.100000000000001" customHeight="1" x14ac:dyDescent="0.25">
      <c r="A12" s="1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7.100000000000001" customHeight="1" x14ac:dyDescent="0.25">
      <c r="A13" s="6" t="s">
        <v>35</v>
      </c>
      <c r="B13" s="3">
        <v>11</v>
      </c>
      <c r="C13" s="3">
        <v>55.15</v>
      </c>
      <c r="D13" s="3">
        <v>42.709000000000003</v>
      </c>
      <c r="E13" s="3">
        <v>500</v>
      </c>
      <c r="F13" s="3">
        <v>2.10669</v>
      </c>
      <c r="G13" s="3">
        <v>7.9105140000000009</v>
      </c>
      <c r="H13" s="3">
        <v>26.631518508152563</v>
      </c>
      <c r="I13" s="3">
        <v>13.807</v>
      </c>
      <c r="J13" s="3"/>
      <c r="K13" s="3">
        <v>13.807</v>
      </c>
      <c r="L13" s="3">
        <v>0.15800175000000002</v>
      </c>
      <c r="M13" s="3">
        <v>3.7999999999999999E-2</v>
      </c>
      <c r="N13" s="3">
        <v>0</v>
      </c>
      <c r="O13" s="3">
        <v>0.19600175000000003</v>
      </c>
      <c r="P13" s="3">
        <v>0.85419999999999996</v>
      </c>
      <c r="Q13" s="3">
        <v>22.945650901428241</v>
      </c>
    </row>
    <row r="14" spans="1:17" ht="17.100000000000001" customHeight="1" x14ac:dyDescent="0.25">
      <c r="A14" s="7" t="s">
        <v>25</v>
      </c>
      <c r="B14" s="3"/>
      <c r="C14" s="3"/>
      <c r="D14" s="3"/>
      <c r="E14" s="3"/>
      <c r="F14" s="3"/>
      <c r="G14" s="3"/>
      <c r="H14" s="8"/>
      <c r="I14" s="3"/>
      <c r="J14" s="3"/>
      <c r="K14" s="3"/>
      <c r="L14" s="8"/>
      <c r="M14" s="8"/>
      <c r="N14" s="8"/>
      <c r="O14" s="8"/>
      <c r="P14" s="3"/>
      <c r="Q14" s="8"/>
    </row>
    <row r="15" spans="1:17" ht="17.100000000000001" customHeight="1" x14ac:dyDescent="0.25">
      <c r="A15" s="6" t="s">
        <v>26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7.100000000000001" customHeight="1" x14ac:dyDescent="0.25">
      <c r="A16" s="7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7.100000000000001" customHeight="1" x14ac:dyDescent="0.25">
      <c r="A17" s="6" t="s">
        <v>27</v>
      </c>
      <c r="B17" s="6" t="str">
        <f>IFERROR(((B16-B15)/B15),"-")</f>
        <v>-</v>
      </c>
      <c r="C17" s="6" t="str">
        <f t="shared" ref="C17:Q17" si="0">IFERROR(((C16-C15)/C15),"-")</f>
        <v>-</v>
      </c>
      <c r="D17" s="6" t="str">
        <f t="shared" si="0"/>
        <v>-</v>
      </c>
      <c r="E17" s="6" t="str">
        <f t="shared" si="0"/>
        <v>-</v>
      </c>
      <c r="F17" s="6" t="str">
        <f t="shared" si="0"/>
        <v>-</v>
      </c>
      <c r="G17" s="6" t="str">
        <f t="shared" si="0"/>
        <v>-</v>
      </c>
      <c r="H17" s="6" t="str">
        <f t="shared" si="0"/>
        <v>-</v>
      </c>
      <c r="I17" s="6" t="str">
        <f t="shared" si="0"/>
        <v>-</v>
      </c>
      <c r="J17" s="6" t="str">
        <f t="shared" si="0"/>
        <v>-</v>
      </c>
      <c r="K17" s="6" t="str">
        <f t="shared" si="0"/>
        <v>-</v>
      </c>
      <c r="L17" s="6" t="str">
        <f t="shared" si="0"/>
        <v>-</v>
      </c>
      <c r="M17" s="6" t="str">
        <f t="shared" si="0"/>
        <v>-</v>
      </c>
      <c r="N17" s="6" t="str">
        <f t="shared" si="0"/>
        <v>-</v>
      </c>
      <c r="O17" s="6" t="str">
        <f t="shared" si="0"/>
        <v>-</v>
      </c>
      <c r="P17" s="6" t="str">
        <f t="shared" si="0"/>
        <v>-</v>
      </c>
      <c r="Q17" s="6" t="str">
        <f t="shared" si="0"/>
        <v>-</v>
      </c>
    </row>
    <row r="18" spans="1:17" ht="35.25" customHeight="1" x14ac:dyDescent="0.25">
      <c r="A18" s="5" t="s">
        <v>28</v>
      </c>
      <c r="B18" s="2" t="str">
        <f>IFERROR((((B16/B6)^(1/10))-1),"-")</f>
        <v>-</v>
      </c>
      <c r="C18" s="2" t="str">
        <f t="shared" ref="C18:Q18" si="1">IFERROR((((C16/C6)^(1/10))-1),"-")</f>
        <v>-</v>
      </c>
      <c r="D18" s="2" t="str">
        <f t="shared" si="1"/>
        <v>-</v>
      </c>
      <c r="E18" s="2" t="str">
        <f t="shared" si="1"/>
        <v>-</v>
      </c>
      <c r="F18" s="2" t="str">
        <f t="shared" si="1"/>
        <v>-</v>
      </c>
      <c r="G18" s="2" t="str">
        <f t="shared" si="1"/>
        <v>-</v>
      </c>
      <c r="H18" s="2" t="str">
        <f t="shared" si="1"/>
        <v>-</v>
      </c>
      <c r="I18" s="2" t="str">
        <f t="shared" si="1"/>
        <v>-</v>
      </c>
      <c r="J18" s="2" t="str">
        <f t="shared" si="1"/>
        <v>-</v>
      </c>
      <c r="K18" s="2" t="str">
        <f t="shared" si="1"/>
        <v>-</v>
      </c>
      <c r="L18" s="2" t="str">
        <f t="shared" si="1"/>
        <v>-</v>
      </c>
      <c r="M18" s="2" t="str">
        <f t="shared" si="1"/>
        <v>-</v>
      </c>
      <c r="N18" s="2" t="str">
        <f t="shared" si="1"/>
        <v>-</v>
      </c>
      <c r="O18" s="2" t="str">
        <f t="shared" si="1"/>
        <v>-</v>
      </c>
      <c r="P18" s="2" t="str">
        <f t="shared" si="1"/>
        <v>-</v>
      </c>
      <c r="Q18" s="2" t="str">
        <f t="shared" si="1"/>
        <v>-</v>
      </c>
    </row>
    <row r="19" spans="1:17" x14ac:dyDescent="0.25">
      <c r="A19" s="19" t="s">
        <v>31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31.9" customHeight="1" x14ac:dyDescent="0.25">
      <c r="A20" s="17" t="s">
        <v>37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x14ac:dyDescent="0.25">
      <c r="A21" s="16" t="s">
        <v>33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AIX CONNECT</vt:lpstr>
      <vt:lpstr>'AIX CONNECT'!Print_Area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2022-04-25T11:15:53Z</cp:lastPrinted>
  <dcterms:created xsi:type="dcterms:W3CDTF">2018-10-29T04:00:15Z</dcterms:created>
  <dcterms:modified xsi:type="dcterms:W3CDTF">2025-11-19T12:02:56Z</dcterms:modified>
</cp:coreProperties>
</file>