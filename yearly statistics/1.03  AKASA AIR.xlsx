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KASA AIR\"/>
    </mc:Choice>
  </mc:AlternateContent>
  <bookViews>
    <workbookView xWindow="0" yWindow="0" windowWidth="24000" windowHeight="11025"/>
  </bookViews>
  <sheets>
    <sheet name="AKASA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Q8" i="1"/>
  <c r="Q7" i="1"/>
  <c r="Q6" i="1"/>
  <c r="H9" i="1"/>
  <c r="H8" i="1"/>
  <c r="H7" i="1"/>
  <c r="H6" i="1"/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<sst xmlns="http://schemas.openxmlformats.org/spreadsheetml/2006/main" count="26" uniqueCount="24">
  <si>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</si>
  <si>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</si>
  <si>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</si>
  <si>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</si>
  <si>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</si>
  <si>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</si>
  <si>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</si>
  <si>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</si>
  <si>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</si>
  <si>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</si>
  <si>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</si>
  <si>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</si>
  <si>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</si>
  <si>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</si>
  <si>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</si>
  <si>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</si>
  <si>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</si>
  <si>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</si>
  <si>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</si>
  <si>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1.03 (AKASA AIR)</t>
  </si>
  <si>
    <t>SOURCE:-  ICAO ATR FORM 'A' FURNISHED BY AKASA AIR</t>
  </si>
  <si>
    <t xml:space="preserve">तालिका 1.03 (अकासा एयर) </t>
  </si>
  <si>
    <t>MONTHLY TRAFFIC AND OPERATING STATISTICS OF AKASA AIR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</si>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</sst>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2" fillId="3" borderId="1" xfId="3" applyNumberFormat="1" applyFont="1" applyBorder="1" applyAlignment="1">
      <alignment horizontal="center" vertical="center"/>
    </xf>
    <xf numFmtId="165" fontId="2" fillId="3" borderId="1" xfId="3" applyNumberFormat="1" applyFont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topLeftCell="A4" zoomScale="145" zoomScaleNormal="98" zoomScaleSheetLayoutView="145" workbookViewId="0">
      <selection activeCell="F8" sqref="F8"/>
    </sheetView>
  </sheetViews>
  <sheetFormatPr defaultRowHeight="18.600000000000001" customHeight="1" x14ac:dyDescent="0.25"/>
  <cols>
    <col min="1" max="1" width="13.7109375" customWidth="1"/>
    <col min="2" max="2" width="8.42578125" customWidth="1"/>
    <col min="3" max="3" width="9.5703125" customWidth="1"/>
    <col min="4" max="4" width="8.5703125" customWidth="1"/>
    <col min="5" max="5" width="12" customWidth="1"/>
    <col min="6" max="6" width="8.5703125" customWidth="1"/>
    <col min="7" max="7" width="9.85546875" customWidth="1"/>
    <col min="8" max="8" width="8.140625" customWidth="1"/>
    <col min="9" max="9" width="10.7109375" customWidth="1"/>
    <col min="10" max="10" width="9" customWidth="1"/>
    <col min="11" max="11" width="10.28515625" customWidth="1"/>
    <col min="12" max="15" width="8.140625" customWidth="1"/>
    <col min="16" max="16" width="9" customWidth="1"/>
    <col min="17" max="17" width="8.140625" customWidth="1"/>
  </cols>
  <sheetData>
    <row r="1" spans="1:17" ht="18.600000000000001" customHeight="1" x14ac:dyDescent="0.25">
      <c r="A1" s="14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25">
      <c r="A2" s="15" t="s">
        <v>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600000000000001" customHeight="1" x14ac:dyDescent="0.25">
      <c r="A3" s="17" t="s">
        <v>22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.600000000000001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1" t="s">
        <v>3</v>
      </c>
      <c r="H4" s="11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1" t="s">
        <v>7</v>
      </c>
      <c r="Q4" s="11" t="s">
        <v>8</v>
      </c>
    </row>
    <row r="5" spans="1:17" ht="100.9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2"/>
      <c r="H5" s="12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2"/>
      <c r="Q5" s="12"/>
    </row>
    <row r="6" spans="1:17" ht="18.600000000000001" customHeight="1" x14ac:dyDescent="0.25">
      <c r="A6" s="9">
        <v>45383</v>
      </c>
      <c r="B6" s="5">
        <v>3637</v>
      </c>
      <c r="C6" s="5">
        <v>7447.2999899999995</v>
      </c>
      <c r="D6" s="5">
        <v>3768.8160000000003</v>
      </c>
      <c r="E6" s="5">
        <v>583227</v>
      </c>
      <c r="F6" s="1">
        <v>610.62087000000008</v>
      </c>
      <c r="G6" s="1">
        <v>699.10416500000008</v>
      </c>
      <c r="H6" s="1">
        <f t="shared" ref="H6:H9" si="0">F6/G6*100</f>
        <v>87.343331733690931</v>
      </c>
      <c r="I6" s="1">
        <v>3352.6206400000001</v>
      </c>
      <c r="J6" s="1">
        <v>162.36268000000001</v>
      </c>
      <c r="K6" s="1">
        <v>3514.9833200000003</v>
      </c>
      <c r="L6" s="1">
        <v>50.235885140000001</v>
      </c>
      <c r="M6" s="1">
        <v>3.6399724400000002</v>
      </c>
      <c r="N6" s="1">
        <v>0.18973401999999998</v>
      </c>
      <c r="O6" s="1">
        <v>54.065591599999998</v>
      </c>
      <c r="P6" s="1">
        <v>77.283340920000001</v>
      </c>
      <c r="Q6" s="1">
        <f t="shared" ref="Q6:Q9" si="1">O6/P6*100</f>
        <v>69.95762729249256</v>
      </c>
    </row>
    <row r="7" spans="1:17" ht="18.600000000000001" customHeight="1" x14ac:dyDescent="0.25">
      <c r="A7" s="10">
        <v>45413</v>
      </c>
      <c r="B7" s="6">
        <v>3973</v>
      </c>
      <c r="C7" s="6">
        <v>8394.9666666666672</v>
      </c>
      <c r="D7" s="6">
        <v>4304.741</v>
      </c>
      <c r="E7" s="6">
        <v>668855</v>
      </c>
      <c r="F7" s="2">
        <v>719.64375700000005</v>
      </c>
      <c r="G7" s="2">
        <v>798.82738700000004</v>
      </c>
      <c r="H7" s="2">
        <f t="shared" si="0"/>
        <v>90.087516866769619</v>
      </c>
      <c r="I7" s="2">
        <v>4608.3334399999994</v>
      </c>
      <c r="J7" s="2">
        <v>179.47937999999999</v>
      </c>
      <c r="K7" s="2">
        <v>4787.8128199999992</v>
      </c>
      <c r="L7" s="2">
        <v>59.093361770000001</v>
      </c>
      <c r="M7" s="2">
        <v>5.1296674000000007</v>
      </c>
      <c r="N7" s="2">
        <v>0.21582051000000002</v>
      </c>
      <c r="O7" s="2">
        <v>64.438849680000004</v>
      </c>
      <c r="P7" s="2">
        <v>88.273018979999989</v>
      </c>
      <c r="Q7" s="2">
        <f t="shared" si="1"/>
        <v>72.999485487858877</v>
      </c>
    </row>
    <row r="8" spans="1:17" ht="18.600000000000001" customHeight="1" x14ac:dyDescent="0.25">
      <c r="A8" s="9">
        <v>45444</v>
      </c>
      <c r="B8" s="5">
        <v>3917</v>
      </c>
      <c r="C8" s="5">
        <v>8437.116</v>
      </c>
      <c r="D8" s="5">
        <v>4335.5679999999993</v>
      </c>
      <c r="E8" s="5">
        <v>644713</v>
      </c>
      <c r="F8" s="1">
        <v>718.566551</v>
      </c>
      <c r="G8" s="1">
        <v>806.96377299999995</v>
      </c>
      <c r="H8" s="1">
        <f t="shared" si="0"/>
        <v>89.045701311798538</v>
      </c>
      <c r="I8" s="1">
        <v>4591.0579800000005</v>
      </c>
      <c r="J8" s="1">
        <v>201.26604</v>
      </c>
      <c r="K8" s="1">
        <v>4792.3240200000009</v>
      </c>
      <c r="L8" s="1">
        <v>59.463667089999994</v>
      </c>
      <c r="M8" s="1">
        <v>5.1263886699999999</v>
      </c>
      <c r="N8" s="1">
        <v>0.23124650999999999</v>
      </c>
      <c r="O8" s="1">
        <v>64.82130226999999</v>
      </c>
      <c r="P8" s="1">
        <v>88.905157390000014</v>
      </c>
      <c r="Q8" s="1">
        <f t="shared" si="1"/>
        <v>72.910620905431344</v>
      </c>
    </row>
    <row r="9" spans="1:17" ht="18.600000000000001" customHeight="1" x14ac:dyDescent="0.25">
      <c r="A9" s="10">
        <v>45474</v>
      </c>
      <c r="B9" s="6">
        <v>4004</v>
      </c>
      <c r="C9" s="6">
        <v>9068.3666666666668</v>
      </c>
      <c r="D9" s="6">
        <v>4642.4459999999999</v>
      </c>
      <c r="E9" s="6">
        <v>630436</v>
      </c>
      <c r="F9" s="2">
        <v>731.59545800000001</v>
      </c>
      <c r="G9" s="2">
        <v>863.84814400000005</v>
      </c>
      <c r="H9" s="2">
        <f t="shared" si="0"/>
        <v>84.690285333298107</v>
      </c>
      <c r="I9" s="2">
        <v>4659.0077599999995</v>
      </c>
      <c r="J9" s="2">
        <v>231.84383</v>
      </c>
      <c r="K9" s="2">
        <v>4890.8515899999993</v>
      </c>
      <c r="L9" s="2">
        <v>60.956938229999999</v>
      </c>
      <c r="M9" s="2">
        <v>5.2457508500000003</v>
      </c>
      <c r="N9" s="2">
        <v>0.26823815000000001</v>
      </c>
      <c r="O9" s="2">
        <v>66.470927230000001</v>
      </c>
      <c r="P9" s="2">
        <v>95.197997659999999</v>
      </c>
      <c r="Q9" s="2">
        <f t="shared" si="1"/>
        <v>69.82387115682954</v>
      </c>
    </row>
    <row r="10" spans="1:17" ht="18.600000000000001" customHeight="1" x14ac:dyDescent="0.25">
      <c r="A10" s="9">
        <v>45505</v>
      </c>
      <c r="B10" s="5">
        <v>4020</v>
      </c>
      <c r="C10" s="5">
        <v>9443.99</v>
      </c>
      <c r="D10" s="5">
        <v>4960.0160000000005</v>
      </c>
      <c r="E10" s="5">
        <v>632763</v>
      </c>
      <c r="F10" s="1">
        <v>770.9210700000001</v>
      </c>
      <c r="G10" s="1">
        <v>921.29831100000001</v>
      </c>
      <c r="H10" s="1">
        <f t="shared" ref="H10:H17" si="2">F10/G10*100</f>
        <v>83.677681896889979</v>
      </c>
      <c r="I10" s="1">
        <v>4372.4792900000002</v>
      </c>
      <c r="J10" s="1">
        <v>200.01308</v>
      </c>
      <c r="K10" s="1">
        <v>4572.4923699999999</v>
      </c>
      <c r="L10" s="1">
        <v>64.667629809999994</v>
      </c>
      <c r="M10" s="1">
        <v>5.0563611600000007</v>
      </c>
      <c r="N10" s="1">
        <v>0.23840855</v>
      </c>
      <c r="O10" s="1">
        <v>69.962399520000005</v>
      </c>
      <c r="P10" s="1">
        <v>101.71008809</v>
      </c>
      <c r="Q10" s="1">
        <f t="shared" ref="Q10:Q17" si="3">O10/P10*100</f>
        <v>68.786096673215454</v>
      </c>
    </row>
    <row r="11" spans="1:17" ht="18.600000000000001" customHeight="1" x14ac:dyDescent="0.25">
      <c r="A11" s="10">
        <v>45536</v>
      </c>
      <c r="B11" s="6">
        <v>3885</v>
      </c>
      <c r="C11" s="2">
        <v>9187.1</v>
      </c>
      <c r="D11" s="6">
        <v>4859.8859999999995</v>
      </c>
      <c r="E11" s="6">
        <v>613096</v>
      </c>
      <c r="F11" s="2">
        <v>749.35283100000004</v>
      </c>
      <c r="G11" s="2">
        <v>909.10358899999994</v>
      </c>
      <c r="H11" s="2">
        <f t="shared" si="2"/>
        <v>82.427661717217148</v>
      </c>
      <c r="I11" s="2">
        <v>4951.4013599999998</v>
      </c>
      <c r="J11" s="2">
        <v>192.07354000000001</v>
      </c>
      <c r="K11" s="2">
        <v>5143.4749000000002</v>
      </c>
      <c r="L11" s="2">
        <v>62.735502240000002</v>
      </c>
      <c r="M11" s="2">
        <v>5.7925552300000005</v>
      </c>
      <c r="N11" s="2">
        <v>0.24049972999999999</v>
      </c>
      <c r="O11" s="2">
        <v>68.768557200000004</v>
      </c>
      <c r="P11" s="2">
        <v>99.656822309999995</v>
      </c>
      <c r="Q11" s="2">
        <f t="shared" si="3"/>
        <v>69.005368228663116</v>
      </c>
    </row>
    <row r="12" spans="1:17" ht="18.600000000000001" customHeight="1" x14ac:dyDescent="0.25">
      <c r="A12" s="9">
        <v>45566</v>
      </c>
      <c r="B12" s="5">
        <v>4136</v>
      </c>
      <c r="C12" s="1">
        <v>9801.8666666666668</v>
      </c>
      <c r="D12" s="5">
        <v>5234.1880000000001</v>
      </c>
      <c r="E12" s="5">
        <v>654885</v>
      </c>
      <c r="F12" s="1">
        <v>823.41641299999992</v>
      </c>
      <c r="G12" s="1">
        <v>984.81616000000008</v>
      </c>
      <c r="H12" s="1">
        <f t="shared" si="2"/>
        <v>83.611180080554306</v>
      </c>
      <c r="I12" s="1">
        <v>4943.0784100000001</v>
      </c>
      <c r="J12" s="1">
        <v>186.71485999999999</v>
      </c>
      <c r="K12" s="1">
        <v>5129.7932700000001</v>
      </c>
      <c r="L12" s="1">
        <v>69.146992980000007</v>
      </c>
      <c r="M12" s="1">
        <v>5.9335934899999998</v>
      </c>
      <c r="N12" s="1">
        <v>0.23045732000000002</v>
      </c>
      <c r="O12" s="1">
        <v>75.311043789999999</v>
      </c>
      <c r="P12" s="1">
        <v>107.33225912999998</v>
      </c>
      <c r="Q12" s="1">
        <f t="shared" si="3"/>
        <v>70.166270979896041</v>
      </c>
    </row>
    <row r="13" spans="1:17" ht="18.600000000000001" customHeight="1" x14ac:dyDescent="0.25">
      <c r="A13" s="10">
        <v>45597</v>
      </c>
      <c r="B13" s="6">
        <v>4177</v>
      </c>
      <c r="C13" s="2">
        <v>10062.75</v>
      </c>
      <c r="D13" s="6">
        <v>5445.4170000000004</v>
      </c>
      <c r="E13" s="6">
        <v>713432</v>
      </c>
      <c r="F13" s="2">
        <v>920.55264799999998</v>
      </c>
      <c r="G13" s="2">
        <v>1025.4259220000001</v>
      </c>
      <c r="H13" s="2">
        <f t="shared" si="2"/>
        <v>89.772710856045606</v>
      </c>
      <c r="I13" s="2">
        <v>4111.1536699999997</v>
      </c>
      <c r="J13" s="2">
        <v>190.39927</v>
      </c>
      <c r="K13" s="2">
        <v>4301.5529399999996</v>
      </c>
      <c r="L13" s="2">
        <v>78.063509199999999</v>
      </c>
      <c r="M13" s="2">
        <v>5.0432456999999999</v>
      </c>
      <c r="N13" s="2">
        <v>0.24386650000000001</v>
      </c>
      <c r="O13" s="2">
        <v>83.350621400000009</v>
      </c>
      <c r="P13" s="2">
        <v>111.66372099</v>
      </c>
      <c r="Q13" s="2">
        <f t="shared" si="3"/>
        <v>74.644316579298348</v>
      </c>
    </row>
    <row r="14" spans="1:17" ht="18.600000000000001" customHeight="1" x14ac:dyDescent="0.25">
      <c r="A14" s="9">
        <v>45627</v>
      </c>
      <c r="B14" s="5">
        <v>4219</v>
      </c>
      <c r="C14" s="1">
        <v>10194.73</v>
      </c>
      <c r="D14" s="5">
        <v>5467.299</v>
      </c>
      <c r="E14" s="5">
        <v>734798</v>
      </c>
      <c r="F14" s="1">
        <v>948.16604000000007</v>
      </c>
      <c r="G14" s="1">
        <v>1029.0461990000001</v>
      </c>
      <c r="H14" s="1">
        <f t="shared" si="2"/>
        <v>92.140279116856249</v>
      </c>
      <c r="I14" s="1">
        <v>4713.7705900000001</v>
      </c>
      <c r="J14" s="1">
        <v>269.43087000000003</v>
      </c>
      <c r="K14" s="1">
        <v>4983.2014600000002</v>
      </c>
      <c r="L14" s="1">
        <v>80.71784353999999</v>
      </c>
      <c r="M14" s="1">
        <v>5.6254254500000007</v>
      </c>
      <c r="N14" s="1">
        <v>0.34177729000000001</v>
      </c>
      <c r="O14" s="1">
        <v>86.685046279999995</v>
      </c>
      <c r="P14" s="1">
        <v>112.11243325000001</v>
      </c>
      <c r="Q14" s="1">
        <f t="shared" si="3"/>
        <v>77.319743909848626</v>
      </c>
    </row>
    <row r="15" spans="1:17" ht="18.600000000000001" customHeight="1" x14ac:dyDescent="0.25">
      <c r="A15" s="10">
        <v>45658</v>
      </c>
      <c r="B15" s="6">
        <v>4212</v>
      </c>
      <c r="C15" s="2">
        <v>10214.4</v>
      </c>
      <c r="D15" s="6">
        <v>5496.8859999999995</v>
      </c>
      <c r="E15" s="6">
        <v>733446</v>
      </c>
      <c r="F15" s="2">
        <v>952.20349900000008</v>
      </c>
      <c r="G15" s="2">
        <v>1034.7574979999999</v>
      </c>
      <c r="H15" s="2">
        <f t="shared" si="2"/>
        <v>92.021898931917676</v>
      </c>
      <c r="I15" s="2">
        <v>4345.4285899999995</v>
      </c>
      <c r="J15" s="2">
        <v>299.36882000000003</v>
      </c>
      <c r="K15" s="2">
        <v>4644.7974099999992</v>
      </c>
      <c r="L15" s="2">
        <v>81.055743069999991</v>
      </c>
      <c r="M15" s="2">
        <v>5.2615741099999997</v>
      </c>
      <c r="N15" s="2">
        <v>0.37279221000000001</v>
      </c>
      <c r="O15" s="2">
        <v>86.690109389999989</v>
      </c>
      <c r="P15" s="2">
        <v>112.71914425</v>
      </c>
      <c r="Q15" s="2">
        <f t="shared" si="3"/>
        <v>76.908062039337196</v>
      </c>
    </row>
    <row r="16" spans="1:17" ht="18.600000000000001" customHeight="1" x14ac:dyDescent="0.25">
      <c r="A16" s="9">
        <v>45689</v>
      </c>
      <c r="B16" s="5">
        <v>3951</v>
      </c>
      <c r="C16" s="1">
        <v>9567.9833333333336</v>
      </c>
      <c r="D16" s="5">
        <v>5146.67</v>
      </c>
      <c r="E16" s="5">
        <v>698808</v>
      </c>
      <c r="F16" s="1">
        <v>905.00335700000005</v>
      </c>
      <c r="G16" s="1">
        <v>969.71926399999995</v>
      </c>
      <c r="H16" s="1">
        <f t="shared" si="2"/>
        <v>93.326325525074864</v>
      </c>
      <c r="I16" s="1">
        <v>4019.1396599999998</v>
      </c>
      <c r="J16" s="1">
        <v>246.53446</v>
      </c>
      <c r="K16" s="1">
        <v>4265.6741200000006</v>
      </c>
      <c r="L16" s="1">
        <v>76.801473880000003</v>
      </c>
      <c r="M16" s="1">
        <v>4.8622052099999999</v>
      </c>
      <c r="N16" s="1">
        <v>0.31152238999999998</v>
      </c>
      <c r="O16" s="1">
        <v>81.97520148000001</v>
      </c>
      <c r="P16" s="1">
        <v>105.53761503999999</v>
      </c>
      <c r="Q16" s="1">
        <f t="shared" si="3"/>
        <v>77.673918866681277</v>
      </c>
    </row>
    <row r="17" spans="1:17" ht="18.600000000000001" customHeight="1" x14ac:dyDescent="0.25">
      <c r="A17" s="10">
        <v>45717</v>
      </c>
      <c r="B17" s="6">
        <v>4498</v>
      </c>
      <c r="C17" s="2">
        <v>10830.816666666668</v>
      </c>
      <c r="D17" s="6">
        <v>5841.8950000000004</v>
      </c>
      <c r="E17" s="6">
        <v>766441</v>
      </c>
      <c r="F17" s="2">
        <v>978.51493800000003</v>
      </c>
      <c r="G17" s="2">
        <v>1100.99539</v>
      </c>
      <c r="H17" s="2">
        <f t="shared" si="2"/>
        <v>88.875480032663901</v>
      </c>
      <c r="I17" s="2">
        <v>4755.26865</v>
      </c>
      <c r="J17" s="2">
        <v>241.60654</v>
      </c>
      <c r="K17" s="2">
        <v>4996.8751899999997</v>
      </c>
      <c r="L17" s="2">
        <v>82.553438249999999</v>
      </c>
      <c r="M17" s="2">
        <v>5.6590202200000004</v>
      </c>
      <c r="N17" s="2">
        <v>0.29965176000000004</v>
      </c>
      <c r="O17" s="2">
        <v>88.51211022999999</v>
      </c>
      <c r="P17" s="2">
        <v>119.79389888</v>
      </c>
      <c r="Q17" s="2">
        <f t="shared" si="3"/>
        <v>73.886993459211453</v>
      </c>
    </row>
    <row r="18" spans="1:17" ht="18.600000000000001" customHeight="1" x14ac:dyDescent="0.25">
      <c r="A18" s="3" t="s">
        <v>23</v>
      </c>
      <c r="B18" s="7">
        <f>SUM(B6:B17)</f>
        <v>48629</v>
      </c>
      <c r="C18" s="7">
        <f t="shared" ref="C18:G18" si="4">SUM(C6:C17)</f>
        <v>112651.38599</v>
      </c>
      <c r="D18" s="7">
        <f t="shared" si="4"/>
        <v>59503.827999999994</v>
      </c>
      <c r="E18" s="7">
        <f t="shared" si="4"/>
        <v>8074900</v>
      </c>
      <c r="F18" s="8">
        <f t="shared" si="4"/>
        <v>9828.5574320000014</v>
      </c>
      <c r="G18" s="8">
        <f t="shared" si="4"/>
        <v>11143.905802000001</v>
      </c>
      <c r="H18" s="8">
        <f t="shared" ref="H18" si="5">F18/G18*100</f>
        <v>88.196702364767532</v>
      </c>
      <c r="I18" s="8">
        <f>SUM(I6:I17)</f>
        <v>53422.740040000004</v>
      </c>
      <c r="J18" s="8">
        <f t="shared" ref="J18:P18" si="6">SUM(J6:J17)</f>
        <v>2601.0933700000005</v>
      </c>
      <c r="K18" s="8">
        <f t="shared" si="6"/>
        <v>56023.833410000007</v>
      </c>
      <c r="L18" s="8">
        <f t="shared" si="6"/>
        <v>825.49198519999993</v>
      </c>
      <c r="M18" s="8">
        <f t="shared" si="6"/>
        <v>62.375759930000008</v>
      </c>
      <c r="N18" s="8">
        <f t="shared" si="6"/>
        <v>3.18401494</v>
      </c>
      <c r="O18" s="8">
        <f t="shared" si="6"/>
        <v>891.05176007</v>
      </c>
      <c r="P18" s="8">
        <f t="shared" si="6"/>
        <v>1220.18549689</v>
      </c>
      <c r="Q18" s="8">
        <f t="shared" ref="Q18" si="7">O18/P18*100</f>
        <v>73.025926167874175</v>
      </c>
    </row>
    <row r="19" spans="1:17" ht="18.600000000000001" customHeight="1" x14ac:dyDescent="0.25">
      <c r="A19" s="13" t="s">
        <v>20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2025-11-10T07:40:13Z</cp:lastPrinted>
  <dcterms:created xsi:type="dcterms:W3CDTF">2020-06-03T10:38:16Z</dcterms:created>
  <dcterms:modified xsi:type="dcterms:W3CDTF">2025-11-10T07:40:20Z</dcterms:modified>
</cp:coreProperties>
</file>