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Sandeep Verma\Desktop\Nitin Soni, JSO\Annual Report 2023-24\03 All Scheduled Private Airlines Air Transport Operating and Traffic Statistics\"/>
    </mc:Choice>
  </mc:AlternateContent>
  <bookViews>
    <workbookView showHorizontalScroll="0" showVerticalScroll="0" showSheetTabs="0" xWindow="0" yWindow="0" windowWidth="11265" windowHeight="9495"/>
  </bookViews>
  <sheets>
    <sheet name="1.03" sheetId="1" r:id="rId1"/>
  </sheets>
  <definedNames>
    <definedName name="_xlnm.Print_Area" localSheetId="0">'1.03'!$A$1:$Q$19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9" i="1" l="1"/>
  <c r="Q6" i="1"/>
  <c r="Q8" i="1"/>
  <c r="Q14" i="1"/>
  <c r="Q15" i="1"/>
  <c r="Q16" i="1"/>
  <c r="H7" i="1"/>
  <c r="H9" i="1"/>
  <c r="H10" i="1"/>
  <c r="H16" i="1"/>
  <c r="Q13" i="1" l="1"/>
  <c r="H11" i="1"/>
  <c r="H15" i="1"/>
  <c r="Q7" i="1"/>
  <c r="H12" i="1"/>
  <c r="Q12" i="1"/>
  <c r="H14" i="1"/>
  <c r="Q17" i="1"/>
  <c r="Q10" i="1"/>
  <c r="H13" i="1"/>
  <c r="H8" i="1"/>
  <c r="Q11" i="1"/>
  <c r="H17" i="1"/>
  <c r="H6" i="1"/>
  <c r="P18" i="1"/>
  <c r="O18" i="1"/>
  <c r="N18" i="1"/>
  <c r="M18" i="1"/>
  <c r="L18" i="1"/>
  <c r="K18" i="1"/>
  <c r="J18" i="1"/>
  <c r="I18" i="1"/>
  <c r="G18" i="1"/>
  <c r="F18" i="1"/>
  <c r="E18" i="1"/>
  <c r="D18" i="1"/>
  <c r="C18" i="1"/>
  <c r="B18" i="1"/>
  <c r="Q18" i="1" l="1"/>
  <c r="H18" i="1"/>
</calcChain>
</file>

<file path=xl/sharedStrings.xml><?xml version="1.0" encoding="utf-8"?>
<sst xmlns="http://schemas.openxmlformats.org/spreadsheetml/2006/main" count="26" uniqueCount="24">
  <si>
    <t>MONTH</t>
  </si>
  <si>
    <t>AIRCRAFT FLOWN</t>
  </si>
  <si>
    <t xml:space="preserve">    PASSENGERS</t>
  </si>
  <si>
    <t>AVAILABLE SEAT KILOMETERS (MILLION)</t>
  </si>
  <si>
    <t xml:space="preserve"> PAX. LOAD FACTOR (%)</t>
  </si>
  <si>
    <t xml:space="preserve"> CARGO CARRIED (TON)</t>
  </si>
  <si>
    <t xml:space="preserve">    TON  KMS. PERFORMED (MILLION)</t>
  </si>
  <si>
    <t>AVAILABLE TONNE KILOMETERS (MILLION)</t>
  </si>
  <si>
    <t xml:space="preserve"> WEIGHT LOAD FACTOR (%)</t>
  </si>
  <si>
    <t>DEPARTURES (NOS.)</t>
  </si>
  <si>
    <t>HOURS (NOS.)</t>
  </si>
  <si>
    <t xml:space="preserve">  KMS. (THOUSANDS)</t>
  </si>
  <si>
    <t>CARRIED (NOS.)</t>
  </si>
  <si>
    <t>KMS.PERFORMED (MILLION)</t>
  </si>
  <si>
    <t xml:space="preserve"> FREIGHT </t>
  </si>
  <si>
    <t xml:space="preserve"> MAIL</t>
  </si>
  <si>
    <t xml:space="preserve"> TOTAL</t>
  </si>
  <si>
    <t xml:space="preserve"> PAX.</t>
  </si>
  <si>
    <t>FREIGHT</t>
  </si>
  <si>
    <t>SOURCE:-  ICAO ATR FORM 'A' FURNISHED BY ALL SCHEDULED PRIVATE AIRLINES</t>
  </si>
  <si>
    <t>2023-24</t>
  </si>
  <si>
    <t xml:space="preserve"> MONTHLY TRAFFIC AND OPERATING STATISTICS OF ALL SCHEDULED PRIVATE AIRLINES ON TOTAL SCHEDULED (INTERNATIONAL+DOMESTIC) SERVICES DURING 2023-24</t>
  </si>
  <si>
    <t xml:space="preserve"> तालिका- 3.03 (सभी अनुसूचित निजी एयरलाइन्स) </t>
  </si>
  <si>
    <t>Table 3.03 (ALL SCHEDULED PRIVATE AIRLINES)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</si>
</sst>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#,##0.0"/>
    <numFmt numFmtId="165" formatCode="[$-409]mmm/yy;@"/>
  </numFmts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4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theme="4" tint="0.79998168889431442"/>
      </patternFill>
    </fill>
    <fill>
      <patternFill patternType="solid">
        <fgColor theme="0"/>
      </patternFill>
    </fill>
    <fill>
      <patternFill patternType="solid">
        <fgColor theme="0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0" fontId="5" fillId="3" borderId="0" applyNumberFormat="0" applyBorder="0" applyAlignment="0" applyProtection="0"/>
    <xf numFmtId="0" fontId="3" fillId="4" borderId="0" applyNumberFormat="0" applyBorder="0" applyAlignment="0" applyProtection="0"/>
  </cellStyleXfs>
  <cellXfs count="24">
    <xf numFmtId="0" fontId="0" fillId="0" borderId="0" xfId="0"/>
    <xf numFmtId="0" fontId="0" fillId="0" borderId="0" xfId="0" applyFont="1"/>
    <xf numFmtId="0" fontId="4" fillId="4" borderId="1" xfId="2" applyFont="1" applyBorder="1" applyAlignment="1" applyProtection="1">
      <alignment horizontal="center" vertical="center" wrapText="1"/>
    </xf>
    <xf numFmtId="3" fontId="3" fillId="4" borderId="1" xfId="2" applyNumberFormat="1" applyBorder="1" applyAlignment="1" applyProtection="1">
      <alignment horizontal="right" vertical="center" wrapText="1"/>
    </xf>
    <xf numFmtId="164" fontId="3" fillId="4" borderId="1" xfId="2" applyNumberFormat="1" applyBorder="1" applyAlignment="1" applyProtection="1">
      <alignment horizontal="right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0" fillId="5" borderId="0" xfId="0" applyFont="1" applyFill="1"/>
    <xf numFmtId="3" fontId="4" fillId="6" borderId="1" xfId="0" applyNumberFormat="1" applyFont="1" applyFill="1" applyBorder="1" applyAlignment="1">
      <alignment horizontal="right" vertical="center"/>
    </xf>
    <xf numFmtId="164" fontId="4" fillId="6" borderId="1" xfId="0" applyNumberFormat="1" applyFont="1" applyFill="1" applyBorder="1" applyAlignment="1">
      <alignment horizontal="right" vertical="center"/>
    </xf>
    <xf numFmtId="3" fontId="3" fillId="7" borderId="1" xfId="2" applyNumberFormat="1" applyFill="1" applyBorder="1" applyAlignment="1" applyProtection="1">
      <alignment horizontal="right" vertical="center" wrapText="1"/>
    </xf>
    <xf numFmtId="164" fontId="3" fillId="7" borderId="1" xfId="2" applyNumberFormat="1" applyFill="1" applyBorder="1" applyAlignment="1" applyProtection="1">
      <alignment horizontal="right" vertical="center" wrapText="1"/>
    </xf>
    <xf numFmtId="164" fontId="0" fillId="6" borderId="1" xfId="0" applyNumberFormat="1" applyFont="1" applyFill="1" applyBorder="1" applyAlignment="1">
      <alignment horizontal="right" vertical="center"/>
    </xf>
    <xf numFmtId="164" fontId="0" fillId="8" borderId="1" xfId="0" applyNumberFormat="1" applyFont="1" applyFill="1" applyBorder="1" applyAlignment="1">
      <alignment horizontal="right" vertical="center"/>
    </xf>
    <xf numFmtId="165" fontId="0" fillId="4" borderId="1" xfId="2" applyNumberFormat="1" applyFont="1" applyBorder="1" applyAlignment="1" applyProtection="1">
      <alignment horizontal="center" vertical="center" wrapText="1"/>
    </xf>
    <xf numFmtId="165" fontId="3" fillId="5" borderId="1" xfId="2" applyNumberFormat="1" applyFill="1" applyBorder="1" applyAlignment="1" applyProtection="1">
      <alignment horizontal="center" vertical="center" wrapText="1"/>
    </xf>
    <xf numFmtId="165" fontId="3" fillId="4" borderId="1" xfId="2" applyNumberFormat="1" applyBorder="1" applyAlignment="1" applyProtection="1">
      <alignment horizontal="center" vertical="center" wrapText="1"/>
    </xf>
    <xf numFmtId="0" fontId="2" fillId="3" borderId="1" xfId="1" applyFont="1" applyBorder="1" applyAlignment="1" applyProtection="1">
      <alignment horizontal="center" vertical="center" textRotation="90" wrapText="1"/>
    </xf>
    <xf numFmtId="0" fontId="2" fillId="3" borderId="1" xfId="1" applyFont="1" applyBorder="1" applyAlignment="1">
      <alignment textRotation="90"/>
    </xf>
    <xf numFmtId="0" fontId="1" fillId="2" borderId="1" xfId="0" applyFont="1" applyFill="1" applyBorder="1" applyAlignment="1" applyProtection="1">
      <alignment horizontal="left" vertical="center" wrapText="1"/>
    </xf>
    <xf numFmtId="0" fontId="2" fillId="4" borderId="1" xfId="2" applyFont="1" applyBorder="1" applyAlignment="1">
      <alignment horizontal="center" vertical="center" wrapText="1"/>
    </xf>
    <xf numFmtId="0" fontId="2" fillId="4" borderId="1" xfId="2" quotePrefix="1" applyFont="1" applyBorder="1" applyAlignment="1" applyProtection="1">
      <alignment horizontal="center" vertical="center" wrapText="1"/>
    </xf>
    <xf numFmtId="0" fontId="2" fillId="4" borderId="1" xfId="2" applyFont="1" applyBorder="1"/>
    <xf numFmtId="0" fontId="2" fillId="3" borderId="1" xfId="1" applyFont="1" applyBorder="1" applyAlignment="1" applyProtection="1">
      <alignment horizontal="center" vertical="center" wrapText="1"/>
    </xf>
    <xf numFmtId="0" fontId="2" fillId="3" borderId="1" xfId="1" applyFont="1" applyBorder="1"/>
  </cellXfs>
  <cellStyles count="3">
    <cellStyle name="40% - Accent1" xfId="2" builtinId="31"/>
    <cellStyle name="Accent1" xfId="1" builtinId="29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5" tint="0.39997558519241921"/>
  </sheetPr>
  <dimension ref="A1:Q19"/>
  <sheetViews>
    <sheetView tabSelected="1" view="pageBreakPreview" zoomScale="85" zoomScaleNormal="100" zoomScaleSheetLayoutView="85" workbookViewId="0">
      <selection activeCell="F5" sqref="F5"/>
    </sheetView>
  </sheetViews>
  <sheetFormatPr defaultColWidth="9.140625" defaultRowHeight="15" x14ac:dyDescent="0.25"/>
  <cols>
    <col min="1" max="1" width="15.140625" style="1" customWidth="1"/>
    <col min="2" max="2" width="9.28515625" style="1" customWidth="1"/>
    <col min="3" max="3" width="9.7109375" style="1" customWidth="1"/>
    <col min="4" max="4" width="9.5703125" style="1" customWidth="1"/>
    <col min="5" max="5" width="11.7109375" style="1" customWidth="1"/>
    <col min="6" max="6" width="10.7109375" style="1" customWidth="1"/>
    <col min="7" max="7" width="9.85546875" style="1" customWidth="1"/>
    <col min="8" max="8" width="6.5703125" style="1" customWidth="1"/>
    <col min="9" max="9" width="11.140625" style="1" customWidth="1"/>
    <col min="10" max="10" width="10.140625" style="1" customWidth="1"/>
    <col min="11" max="11" width="11.28515625" style="1" customWidth="1"/>
    <col min="12" max="13" width="10.85546875" style="1" customWidth="1"/>
    <col min="14" max="14" width="7" style="1" customWidth="1"/>
    <col min="15" max="15" width="11.7109375" style="1" customWidth="1"/>
    <col min="16" max="16" width="11.5703125" style="1" customWidth="1"/>
    <col min="17" max="17" width="6.7109375" style="1" customWidth="1"/>
    <col min="18" max="16384" width="9.140625" style="1"/>
  </cols>
  <sheetData>
    <row r="1" spans="1:17" ht="18.75" customHeight="1" x14ac:dyDescent="0.25">
      <c r="A1" s="19" t="s">
        <v>22</v>
      </c>
      <c r="B1" s="19"/>
      <c r="C1" s="19"/>
      <c r="D1" s="19"/>
      <c r="E1" s="19"/>
      <c r="F1" s="19"/>
      <c r="G1" s="19"/>
      <c r="H1" s="19"/>
      <c r="I1" s="19"/>
      <c r="J1" s="19"/>
      <c r="K1" s="19"/>
      <c r="L1" s="19"/>
      <c r="M1" s="19"/>
      <c r="N1" s="19"/>
      <c r="O1" s="19"/>
      <c r="P1" s="19"/>
      <c r="Q1" s="19"/>
    </row>
    <row r="2" spans="1:17" ht="18.75" customHeight="1" x14ac:dyDescent="0.25">
      <c r="A2" s="20" t="s">
        <v>23</v>
      </c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O2" s="21"/>
      <c r="P2" s="21"/>
      <c r="Q2" s="21"/>
    </row>
    <row r="3" spans="1:17" ht="18.75" customHeight="1" x14ac:dyDescent="0.25">
      <c r="A3" s="22" t="s">
        <v>21</v>
      </c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3"/>
    </row>
    <row r="4" spans="1:17" ht="19.5" customHeight="1" x14ac:dyDescent="0.25">
      <c r="A4" s="22" t="s">
        <v>0</v>
      </c>
      <c r="B4" s="22" t="s">
        <v>1</v>
      </c>
      <c r="C4" s="22"/>
      <c r="D4" s="22"/>
      <c r="E4" s="22" t="s">
        <v>2</v>
      </c>
      <c r="F4" s="23"/>
      <c r="G4" s="16" t="s">
        <v>3</v>
      </c>
      <c r="H4" s="16" t="s">
        <v>4</v>
      </c>
      <c r="I4" s="22" t="s">
        <v>5</v>
      </c>
      <c r="J4" s="22"/>
      <c r="K4" s="22"/>
      <c r="L4" s="22" t="s">
        <v>6</v>
      </c>
      <c r="M4" s="22"/>
      <c r="N4" s="22"/>
      <c r="O4" s="22"/>
      <c r="P4" s="16" t="s">
        <v>7</v>
      </c>
      <c r="Q4" s="16" t="s">
        <v>8</v>
      </c>
    </row>
    <row r="5" spans="1:17" ht="115.5" customHeight="1" x14ac:dyDescent="0.25">
      <c r="A5" s="22"/>
      <c r="B5" s="5" t="s">
        <v>9</v>
      </c>
      <c r="C5" s="5" t="s">
        <v>10</v>
      </c>
      <c r="D5" s="5" t="s">
        <v>11</v>
      </c>
      <c r="E5" s="5" t="s">
        <v>12</v>
      </c>
      <c r="F5" s="5" t="s">
        <v>13</v>
      </c>
      <c r="G5" s="17"/>
      <c r="H5" s="17"/>
      <c r="I5" s="5" t="s">
        <v>14</v>
      </c>
      <c r="J5" s="5" t="s">
        <v>15</v>
      </c>
      <c r="K5" s="5" t="s">
        <v>16</v>
      </c>
      <c r="L5" s="5" t="s">
        <v>17</v>
      </c>
      <c r="M5" s="5" t="s">
        <v>18</v>
      </c>
      <c r="N5" s="5" t="s">
        <v>15</v>
      </c>
      <c r="O5" s="5" t="s">
        <v>16</v>
      </c>
      <c r="P5" s="17"/>
      <c r="Q5" s="17"/>
    </row>
    <row r="6" spans="1:17" ht="30" customHeight="1" x14ac:dyDescent="0.25">
      <c r="A6" s="13">
        <v>45017</v>
      </c>
      <c r="B6" s="3">
        <v>99405</v>
      </c>
      <c r="C6" s="3">
        <v>213687.80666666664</v>
      </c>
      <c r="D6" s="3">
        <v>123375.80542999999</v>
      </c>
      <c r="E6" s="3">
        <v>14929145</v>
      </c>
      <c r="F6" s="3">
        <v>19595.412263199996</v>
      </c>
      <c r="G6" s="3">
        <v>23104.581256000005</v>
      </c>
      <c r="H6" s="11">
        <f t="shared" ref="H6:H18" si="0">F6/G6*100</f>
        <v>84.811804403991459</v>
      </c>
      <c r="I6" s="4">
        <v>71557.476179999998</v>
      </c>
      <c r="J6" s="4">
        <v>3637.0500947213259</v>
      </c>
      <c r="K6" s="4">
        <v>75194.526274721313</v>
      </c>
      <c r="L6" s="4">
        <v>1809.9009149169999</v>
      </c>
      <c r="M6" s="4">
        <v>191.0959693071685</v>
      </c>
      <c r="N6" s="4">
        <v>6.7480786160694546</v>
      </c>
      <c r="O6" s="4">
        <v>2007.7449628402383</v>
      </c>
      <c r="P6" s="4">
        <v>2825.5836049459999</v>
      </c>
      <c r="Q6" s="11">
        <f t="shared" ref="Q6:Q18" si="1">O6/P6*100</f>
        <v>71.055939004098533</v>
      </c>
    </row>
    <row r="7" spans="1:17" s="6" customFormat="1" ht="30" customHeight="1" x14ac:dyDescent="0.25">
      <c r="A7" s="14">
        <v>45047</v>
      </c>
      <c r="B7" s="9">
        <v>98384</v>
      </c>
      <c r="C7" s="9">
        <v>208231.66333333339</v>
      </c>
      <c r="D7" s="9">
        <v>122072.9094</v>
      </c>
      <c r="E7" s="9">
        <v>15386058</v>
      </c>
      <c r="F7" s="9">
        <v>20796.650194999998</v>
      </c>
      <c r="G7" s="9">
        <v>23451.668171999994</v>
      </c>
      <c r="H7" s="12">
        <f t="shared" si="0"/>
        <v>88.678767081610246</v>
      </c>
      <c r="I7" s="10">
        <v>77287.34193000001</v>
      </c>
      <c r="J7" s="10">
        <v>3758.0923290079913</v>
      </c>
      <c r="K7" s="10">
        <v>81045.43425900802</v>
      </c>
      <c r="L7" s="10">
        <v>1900.9116886259999</v>
      </c>
      <c r="M7" s="10">
        <v>151.86229499021221</v>
      </c>
      <c r="N7" s="10">
        <v>7.579218403490005</v>
      </c>
      <c r="O7" s="10">
        <v>2060.3532020197022</v>
      </c>
      <c r="P7" s="10">
        <v>2735.3542793679999</v>
      </c>
      <c r="Q7" s="12">
        <f t="shared" si="1"/>
        <v>75.323084017319474</v>
      </c>
    </row>
    <row r="8" spans="1:17" ht="30" customHeight="1" x14ac:dyDescent="0.25">
      <c r="A8" s="15">
        <v>45078</v>
      </c>
      <c r="B8" s="3">
        <v>94663</v>
      </c>
      <c r="C8" s="3">
        <v>202304.10256666667</v>
      </c>
      <c r="D8" s="3">
        <v>118489.37647999999</v>
      </c>
      <c r="E8" s="3">
        <v>14653595</v>
      </c>
      <c r="F8" s="3">
        <v>20339.069290000003</v>
      </c>
      <c r="G8" s="3">
        <v>22916.434270999998</v>
      </c>
      <c r="H8" s="11">
        <f t="shared" si="0"/>
        <v>88.753202393875185</v>
      </c>
      <c r="I8" s="4">
        <v>76790.176070000001</v>
      </c>
      <c r="J8" s="4">
        <v>4068.5986355431733</v>
      </c>
      <c r="K8" s="4">
        <v>80858.774705543183</v>
      </c>
      <c r="L8" s="4">
        <v>1871.3017629150004</v>
      </c>
      <c r="M8" s="4">
        <v>210.92434886880216</v>
      </c>
      <c r="N8" s="4">
        <v>4.9300561818117288</v>
      </c>
      <c r="O8" s="4">
        <v>2087.1561679656143</v>
      </c>
      <c r="P8" s="4">
        <v>2797.9518250720007</v>
      </c>
      <c r="Q8" s="11">
        <f t="shared" si="1"/>
        <v>74.595857915169958</v>
      </c>
    </row>
    <row r="9" spans="1:17" s="6" customFormat="1" ht="30" customHeight="1" x14ac:dyDescent="0.25">
      <c r="A9" s="14">
        <v>45108</v>
      </c>
      <c r="B9" s="9">
        <v>98350</v>
      </c>
      <c r="C9" s="9">
        <v>212411.53626666561</v>
      </c>
      <c r="D9" s="9">
        <v>123584.75209800001</v>
      </c>
      <c r="E9" s="9">
        <v>14378167</v>
      </c>
      <c r="F9" s="9">
        <v>20159.510583000003</v>
      </c>
      <c r="G9" s="9">
        <v>23958.512735999997</v>
      </c>
      <c r="H9" s="12">
        <f t="shared" si="0"/>
        <v>84.143414097271474</v>
      </c>
      <c r="I9" s="10">
        <v>77859.794339999979</v>
      </c>
      <c r="J9" s="10">
        <v>4306.803850547476</v>
      </c>
      <c r="K9" s="10">
        <v>82166.598190547476</v>
      </c>
      <c r="L9" s="10">
        <v>1855.172640495</v>
      </c>
      <c r="M9" s="10">
        <v>201.18602524179701</v>
      </c>
      <c r="N9" s="10">
        <v>8.1383826003085478</v>
      </c>
      <c r="O9" s="10">
        <v>2064.4970483371053</v>
      </c>
      <c r="P9" s="10">
        <v>2872.5765114639999</v>
      </c>
      <c r="Q9" s="12">
        <f t="shared" si="1"/>
        <v>71.869175289083614</v>
      </c>
    </row>
    <row r="10" spans="1:17" ht="30" customHeight="1" x14ac:dyDescent="0.25">
      <c r="A10" s="15">
        <v>45139</v>
      </c>
      <c r="B10" s="3">
        <v>100060</v>
      </c>
      <c r="C10" s="3">
        <v>215348.31499999997</v>
      </c>
      <c r="D10" s="3">
        <v>126562.99643</v>
      </c>
      <c r="E10" s="3">
        <v>14698582</v>
      </c>
      <c r="F10" s="3">
        <v>20544.838629000002</v>
      </c>
      <c r="G10" s="3">
        <v>24532.027539999999</v>
      </c>
      <c r="H10" s="11">
        <f t="shared" si="0"/>
        <v>83.747006216674109</v>
      </c>
      <c r="I10" s="4">
        <v>79990.826089999988</v>
      </c>
      <c r="J10" s="4">
        <v>4515.608099443938</v>
      </c>
      <c r="K10" s="4">
        <v>84506.434189443942</v>
      </c>
      <c r="L10" s="4">
        <v>1891.6368848580005</v>
      </c>
      <c r="M10" s="4">
        <v>219.54391574560634</v>
      </c>
      <c r="N10" s="4">
        <v>8.3573021502816207</v>
      </c>
      <c r="O10" s="4">
        <v>2119.5381027538879</v>
      </c>
      <c r="P10" s="4">
        <v>2972.3318772739995</v>
      </c>
      <c r="Q10" s="11">
        <f t="shared" si="1"/>
        <v>71.308931514665503</v>
      </c>
    </row>
    <row r="11" spans="1:17" s="6" customFormat="1" ht="30" customHeight="1" x14ac:dyDescent="0.25">
      <c r="A11" s="14">
        <v>45170</v>
      </c>
      <c r="B11" s="9">
        <v>97669</v>
      </c>
      <c r="C11" s="9">
        <v>211567.08999999997</v>
      </c>
      <c r="D11" s="9">
        <v>122927.63099999999</v>
      </c>
      <c r="E11" s="9">
        <v>14393747</v>
      </c>
      <c r="F11" s="9">
        <v>19910.097953</v>
      </c>
      <c r="G11" s="9">
        <v>23833.130622000001</v>
      </c>
      <c r="H11" s="12">
        <f t="shared" si="0"/>
        <v>83.539583065186122</v>
      </c>
      <c r="I11" s="10">
        <v>76655.45230400002</v>
      </c>
      <c r="J11" s="10">
        <v>3880.915736803378</v>
      </c>
      <c r="K11" s="10">
        <v>80536.368040803412</v>
      </c>
      <c r="L11" s="10">
        <v>1830.5407035159992</v>
      </c>
      <c r="M11" s="10">
        <v>171.7423444827663</v>
      </c>
      <c r="N11" s="10">
        <v>7.1065577032301688</v>
      </c>
      <c r="O11" s="10">
        <v>2009.3896057019961</v>
      </c>
      <c r="P11" s="10">
        <v>2759.4901069699986</v>
      </c>
      <c r="Q11" s="12">
        <f t="shared" si="1"/>
        <v>72.817423792410878</v>
      </c>
    </row>
    <row r="12" spans="1:17" ht="30" customHeight="1" x14ac:dyDescent="0.25">
      <c r="A12" s="15">
        <v>45200</v>
      </c>
      <c r="B12" s="3">
        <v>102698</v>
      </c>
      <c r="C12" s="3">
        <v>220107.48333333337</v>
      </c>
      <c r="D12" s="3">
        <v>128551.13276000001</v>
      </c>
      <c r="E12" s="3">
        <v>14901511</v>
      </c>
      <c r="F12" s="3">
        <v>20770.950552600003</v>
      </c>
      <c r="G12" s="3">
        <v>24970.622584199999</v>
      </c>
      <c r="H12" s="11">
        <f t="shared" si="0"/>
        <v>83.181548567966786</v>
      </c>
      <c r="I12" s="4">
        <v>82820.677340000009</v>
      </c>
      <c r="J12" s="4">
        <v>4062.027038790352</v>
      </c>
      <c r="K12" s="4">
        <v>86882.704378790353</v>
      </c>
      <c r="L12" s="4">
        <v>1905.6606503190001</v>
      </c>
      <c r="M12" s="4">
        <v>190.65119025770218</v>
      </c>
      <c r="N12" s="4">
        <v>7.6667404657877993</v>
      </c>
      <c r="O12" s="4">
        <v>2103.9785810424896</v>
      </c>
      <c r="P12" s="4">
        <v>2893.7671706799997</v>
      </c>
      <c r="Q12" s="11">
        <f t="shared" si="1"/>
        <v>72.707251722262114</v>
      </c>
    </row>
    <row r="13" spans="1:17" s="6" customFormat="1" ht="30" customHeight="1" x14ac:dyDescent="0.25">
      <c r="A13" s="14">
        <v>45231</v>
      </c>
      <c r="B13" s="9">
        <v>101336</v>
      </c>
      <c r="C13" s="9">
        <v>219711.13999999998</v>
      </c>
      <c r="D13" s="9">
        <v>126525.95164999999</v>
      </c>
      <c r="E13" s="9">
        <v>15137632</v>
      </c>
      <c r="F13" s="9">
        <v>21171.885301000002</v>
      </c>
      <c r="G13" s="9">
        <v>24845.557066999998</v>
      </c>
      <c r="H13" s="12">
        <f t="shared" si="0"/>
        <v>85.213969016297938</v>
      </c>
      <c r="I13" s="10">
        <v>79041.040740000026</v>
      </c>
      <c r="J13" s="10">
        <v>4152.5756210390591</v>
      </c>
      <c r="K13" s="10">
        <v>83193.616361039079</v>
      </c>
      <c r="L13" s="10">
        <v>1934.9902838820001</v>
      </c>
      <c r="M13" s="10">
        <v>173.16721742750889</v>
      </c>
      <c r="N13" s="10">
        <v>7.477451600274267</v>
      </c>
      <c r="O13" s="10">
        <v>2115.6349529097829</v>
      </c>
      <c r="P13" s="10">
        <v>2874.2058675279982</v>
      </c>
      <c r="Q13" s="12">
        <f t="shared" si="1"/>
        <v>73.607634610020639</v>
      </c>
    </row>
    <row r="14" spans="1:17" ht="30" customHeight="1" x14ac:dyDescent="0.25">
      <c r="A14" s="15">
        <v>45261</v>
      </c>
      <c r="B14" s="3">
        <v>104765</v>
      </c>
      <c r="C14" s="3">
        <v>229326.72999999998</v>
      </c>
      <c r="D14" s="3">
        <v>133677.28531199999</v>
      </c>
      <c r="E14" s="3">
        <v>16445379</v>
      </c>
      <c r="F14" s="3">
        <v>23294.944498999997</v>
      </c>
      <c r="G14" s="3">
        <v>26096.241560999999</v>
      </c>
      <c r="H14" s="11">
        <f t="shared" si="0"/>
        <v>89.265515283294846</v>
      </c>
      <c r="I14" s="4">
        <v>79559.318580000021</v>
      </c>
      <c r="J14" s="4">
        <v>4440.5180475546631</v>
      </c>
      <c r="K14" s="4">
        <v>83999.836627554643</v>
      </c>
      <c r="L14" s="4">
        <v>2089.631936969</v>
      </c>
      <c r="M14" s="4">
        <v>172.88059168458852</v>
      </c>
      <c r="N14" s="4">
        <v>7.3785244246946338</v>
      </c>
      <c r="O14" s="4">
        <v>2269.8910530782832</v>
      </c>
      <c r="P14" s="4">
        <v>2928.0514107299991</v>
      </c>
      <c r="Q14" s="11">
        <f t="shared" si="1"/>
        <v>77.522240380074862</v>
      </c>
    </row>
    <row r="15" spans="1:17" s="6" customFormat="1" ht="30" customHeight="1" x14ac:dyDescent="0.25">
      <c r="A15" s="14">
        <v>45292</v>
      </c>
      <c r="B15" s="9">
        <v>101327</v>
      </c>
      <c r="C15" s="9">
        <v>223727.21666666662</v>
      </c>
      <c r="D15" s="9">
        <v>129520.698</v>
      </c>
      <c r="E15" s="9">
        <v>15725416</v>
      </c>
      <c r="F15" s="9">
        <v>22363.133508000003</v>
      </c>
      <c r="G15" s="9">
        <v>25356.849002999999</v>
      </c>
      <c r="H15" s="12">
        <f t="shared" si="0"/>
        <v>88.193661228783569</v>
      </c>
      <c r="I15" s="10">
        <v>74856.133118343947</v>
      </c>
      <c r="J15" s="10">
        <v>4408.3846146775395</v>
      </c>
      <c r="K15" s="10">
        <v>79264.517733021479</v>
      </c>
      <c r="L15" s="10">
        <v>2038.0944939620001</v>
      </c>
      <c r="M15" s="10">
        <v>158.89225436583857</v>
      </c>
      <c r="N15" s="10">
        <v>6.9093918335727276</v>
      </c>
      <c r="O15" s="10">
        <v>2203.8961401614115</v>
      </c>
      <c r="P15" s="10">
        <v>2963.4901200599998</v>
      </c>
      <c r="Q15" s="12">
        <f t="shared" si="1"/>
        <v>74.368263462163682</v>
      </c>
    </row>
    <row r="16" spans="1:17" ht="30" customHeight="1" x14ac:dyDescent="0.25">
      <c r="A16" s="15">
        <v>45323</v>
      </c>
      <c r="B16" s="3">
        <v>98523</v>
      </c>
      <c r="C16" s="3">
        <v>210253.31333333332</v>
      </c>
      <c r="D16" s="3">
        <v>124333.827</v>
      </c>
      <c r="E16" s="3">
        <v>15059654</v>
      </c>
      <c r="F16" s="3">
        <v>21295.917442000002</v>
      </c>
      <c r="G16" s="3">
        <v>24223.673760999998</v>
      </c>
      <c r="H16" s="11">
        <f t="shared" si="0"/>
        <v>87.9136569131241</v>
      </c>
      <c r="I16" s="4">
        <v>80488.69313</v>
      </c>
      <c r="J16" s="4">
        <v>4644.8103005302446</v>
      </c>
      <c r="K16" s="4">
        <v>85133.503430530254</v>
      </c>
      <c r="L16" s="4">
        <v>1933.5914081300002</v>
      </c>
      <c r="M16" s="4">
        <v>171.49371626005885</v>
      </c>
      <c r="N16" s="4">
        <v>6.7629547207574712</v>
      </c>
      <c r="O16" s="4">
        <v>2111.8480791108159</v>
      </c>
      <c r="P16" s="4">
        <v>2842.1282822719991</v>
      </c>
      <c r="Q16" s="11">
        <f t="shared" si="1"/>
        <v>74.305163925345525</v>
      </c>
    </row>
    <row r="17" spans="1:17" s="6" customFormat="1" ht="30" customHeight="1" x14ac:dyDescent="0.25">
      <c r="A17" s="14">
        <v>45352</v>
      </c>
      <c r="B17" s="9">
        <v>107253</v>
      </c>
      <c r="C17" s="9">
        <v>234525.41666666666</v>
      </c>
      <c r="D17" s="9">
        <v>135709.59400000001</v>
      </c>
      <c r="E17" s="9">
        <v>15899790</v>
      </c>
      <c r="F17" s="9">
        <v>22614.714855999999</v>
      </c>
      <c r="G17" s="9">
        <v>26516.406794999999</v>
      </c>
      <c r="H17" s="12">
        <f t="shared" si="0"/>
        <v>85.285744146391224</v>
      </c>
      <c r="I17" s="10">
        <v>85713.498800000001</v>
      </c>
      <c r="J17" s="10">
        <v>4214.1901409950897</v>
      </c>
      <c r="K17" s="10">
        <v>89927.688940995096</v>
      </c>
      <c r="L17" s="10">
        <v>2032.8831807820009</v>
      </c>
      <c r="M17" s="10">
        <v>186.83386943766874</v>
      </c>
      <c r="N17" s="10">
        <v>6.5597582015332838</v>
      </c>
      <c r="O17" s="10">
        <v>2226.276808421203</v>
      </c>
      <c r="P17" s="10">
        <v>3090.8332431849949</v>
      </c>
      <c r="Q17" s="12">
        <f t="shared" si="1"/>
        <v>72.028370127373904</v>
      </c>
    </row>
    <row r="18" spans="1:17" ht="30" customHeight="1" x14ac:dyDescent="0.25">
      <c r="A18" s="2" t="s">
        <v>20</v>
      </c>
      <c r="B18" s="7">
        <f>SUM(B6:B17)</f>
        <v>1204433</v>
      </c>
      <c r="C18" s="7">
        <f t="shared" ref="C18:G18" si="2">SUM(C6:C17)</f>
        <v>2601201.8138333322</v>
      </c>
      <c r="D18" s="7">
        <f t="shared" si="2"/>
        <v>1515331.9595600001</v>
      </c>
      <c r="E18" s="7">
        <f t="shared" si="2"/>
        <v>181608676</v>
      </c>
      <c r="F18" s="7">
        <f t="shared" si="2"/>
        <v>252857.12507180005</v>
      </c>
      <c r="G18" s="7">
        <f t="shared" si="2"/>
        <v>293805.70536820003</v>
      </c>
      <c r="H18" s="8">
        <f t="shared" si="0"/>
        <v>86.062700775302233</v>
      </c>
      <c r="I18" s="8">
        <f>SUM(I6:I17)</f>
        <v>942620.42862234404</v>
      </c>
      <c r="J18" s="8">
        <f t="shared" ref="J18:P18" si="3">SUM(J6:J17)</f>
        <v>50089.574509654238</v>
      </c>
      <c r="K18" s="8">
        <f t="shared" si="3"/>
        <v>992710.00313199847</v>
      </c>
      <c r="L18" s="8">
        <f t="shared" si="3"/>
        <v>23094.316549371</v>
      </c>
      <c r="M18" s="8">
        <f t="shared" si="3"/>
        <v>2200.2737380697185</v>
      </c>
      <c r="N18" s="8">
        <f t="shared" si="3"/>
        <v>85.614416901811708</v>
      </c>
      <c r="O18" s="8">
        <f t="shared" si="3"/>
        <v>25380.204704342526</v>
      </c>
      <c r="P18" s="8">
        <f t="shared" si="3"/>
        <v>34555.764299548988</v>
      </c>
      <c r="Q18" s="8">
        <f t="shared" si="1"/>
        <v>73.447094048716437</v>
      </c>
    </row>
    <row r="19" spans="1:17" x14ac:dyDescent="0.25">
      <c r="A19" s="18" t="s">
        <v>19</v>
      </c>
      <c r="B19" s="18"/>
      <c r="C19" s="18"/>
      <c r="D19" s="18"/>
      <c r="E19" s="18"/>
      <c r="F19" s="18"/>
      <c r="G19" s="18"/>
      <c r="H19" s="18"/>
      <c r="I19" s="18"/>
      <c r="J19" s="18"/>
      <c r="K19" s="18"/>
      <c r="L19" s="18"/>
      <c r="M19" s="18"/>
      <c r="N19" s="18"/>
      <c r="O19" s="18"/>
      <c r="P19" s="18"/>
      <c r="Q19" s="18"/>
    </row>
  </sheetData>
  <mergeCells count="13">
    <mergeCell ref="P4:P5"/>
    <mergeCell ref="Q4:Q5"/>
    <mergeCell ref="A19:Q19"/>
    <mergeCell ref="A1:Q1"/>
    <mergeCell ref="A2:Q2"/>
    <mergeCell ref="A3:Q3"/>
    <mergeCell ref="A4:A5"/>
    <mergeCell ref="B4:D4"/>
    <mergeCell ref="E4:F4"/>
    <mergeCell ref="G4:G5"/>
    <mergeCell ref="H4:H5"/>
    <mergeCell ref="I4:K4"/>
    <mergeCell ref="L4:O4"/>
  </mergeCells>
  <pageMargins left="0.24" right="0.25" top="0.48" bottom="0.74803149606299213" header="0.31496062992125984" footer="0.31496062992125984"/>
  <pageSetup paperSize="9" scale="8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1.03</vt:lpstr>
      <vt:lpstr>'1.03'!Print_Area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cp:lastPrinted>2022-04-25T11:07:37Z</cp:lastPrinted>
  <dcterms:created xsi:type="dcterms:W3CDTF">2018-10-29T04:00:10Z</dcterms:created>
  <dcterms:modified xsi:type="dcterms:W3CDTF">2025-01-28T07:42:55Z</dcterms:modified>
</cp:coreProperties>
</file>