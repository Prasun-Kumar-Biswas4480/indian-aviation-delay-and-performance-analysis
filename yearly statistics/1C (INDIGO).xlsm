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INDIGO\INDIGO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C" sheetId="3" r:id="rId4"/>
  </sheets>
  <definedNames>
    <definedName name="\a" localSheetId="3">'C'!#REF!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'C'!$A$1:$N$23</definedName>
    <definedName name="Print_Area_MI" localSheetId="3">'C'!$A$23:$N$29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J23" i="3" l="1"/>
  <c r="K23" i="3"/>
  <c r="L23" i="3"/>
  <c r="M23" i="3"/>
  <c r="N23" i="3"/>
  <c r="I23" i="3" l="1"/>
  <c r="C23" i="3"/>
  <c r="D23" i="3"/>
  <c r="E23" i="3"/>
  <c r="B23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<sst xmlns="http://schemas.openxmlformats.org/spreadsheetml/2006/main" count="932" uniqueCount="230">
  <si>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</si>
  <si>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</si>
  <si>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</si>
  <si>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</si>
  <si>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</si>
  <si>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</si>
  <si>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</si>
  <si>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</si>
  <si>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</si>
  <si>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</si>
  <si>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</si>
  <si>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</si>
  <si>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</si>
  <si>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</si>
  <si>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</si>
  <si>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</si>
  <si>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</si>
  <si>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</si>
  <si>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</si>
  <si>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</si>
  <si>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</si>
  <si>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</si>
  <si>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</si>
  <si>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</si>
  <si>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</si>
  <si>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</si>
  <si>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</si>
  <si>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</si>
  <si>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</si>
  <si>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</si>
  <si>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</si>
  <si>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</si>
  <si>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</si>
  <si>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</si>
  <si>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</si>
  <si>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</si>
  <si>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</si>
  <si>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</si>
  <si>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</si>
  <si>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</si>
  <si>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</si>
  <si>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</si>
  <si>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</si>
  <si>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</si>
  <si>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</si>
  <si>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</si>
  <si>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</si>
  <si>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</si>
  <si>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</si>
  <si>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</si>
  <si>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</si>
  <si>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</si>
  <si>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</si>
  <si>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</si>
  <si>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</si>
  <si>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</si>
  <si>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</si>
  <si>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</si>
  <si>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</si>
  <si>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</si>
  <si>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</si>
  <si>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</si>
  <si>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</si>
  <si>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</si>
  <si>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</si>
  <si>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</si>
  <si>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</si>
  <si>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</si>
  <si>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</si>
  <si>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</si>
  <si>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</si>
  <si>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</si>
  <si>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</si>
  <si>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</si>
  <si>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</si>
  <si>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</si>
  <si>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</si>
  <si>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</si>
  <si>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</si>
  <si>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</si>
  <si>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</si>
  <si>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</si>
  <si>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</si>
  <si>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</si>
  <si>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</si>
  <si>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</si>
  <si>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</si>
  <si>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</si>
  <si>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</si>
  <si>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</si>
  <si>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</si>
  <si>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</si>
  <si>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</si>
  <si>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</si>
  <si>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</si>
  <si>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</si>
  <si>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</si>
  <si>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</si>
  <si>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</si>
  <si>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</si>
  <si>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</si>
  <si>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</si>
  <si>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</si>
  <si>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</si>
  <si>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</si>
  <si>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</si>
  <si>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</si>
  <si>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</si>
  <si>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</si>
  <si>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</si>
  <si>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</si>
  <si>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</si>
  <si>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</si>
  <si>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</si>
  <si>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</si>
  <si>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</si>
  <si>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</si>
  <si>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</si>
  <si>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</si>
  <si>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</si>
  <si>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</si>
  <si>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</si>
  <si>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</si>
  <si>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</si>
  <si>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</si>
  <si>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</si>
  <si>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</si>
  <si>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</si>
  <si>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</si>
  <si>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</si>
  <si>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</si>
  <si>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</si>
  <si>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</si>
  <si>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</si>
  <si>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</si>
  <si>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</si>
  <si>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</si>
  <si>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</si>
  <si>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</si>
  <si>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</si>
  <si>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</si>
  <si>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</si>
  <si>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</si>
  <si>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</si>
  <si>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</si>
  <si>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</si>
  <si>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</si>
  <si>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</si>
  <si>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</si>
  <si>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</si>
  <si>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</si>
  <si>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</si>
  <si>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</si>
  <si>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</si>
  <si>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</si>
  <si>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</si>
  <si>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</si>
  <si>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</si>
  <si>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</si>
  <si>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</si>
  <si>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</si>
  <si>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</si>
  <si>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</si>
  <si>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</si>
  <si>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</si>
  <si>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</si>
  <si>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</si>
  <si>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</si>
  <si>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</si>
  <si>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</si>
  <si>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</si>
  <si>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</si>
  <si>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</si>
  <si>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</si>
  <si>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</si>
  <si>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</si>
  <si>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</si>
  <si>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</si>
  <si>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</si>
  <si>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</si>
  <si>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</si>
  <si>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</si>
  <si>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</si>
  <si>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</si>
  <si>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</si>
  <si>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</si>
  <si>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</si>
  <si>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ATR 72-600</t>
  </si>
  <si>
    <t>B777-300ER</t>
  </si>
  <si>
    <t>A320-232 CEO</t>
  </si>
  <si>
    <t>A321-271NX PW</t>
  </si>
  <si>
    <t>A320-214 CFM</t>
  </si>
  <si>
    <t>15.7T , 12.1T</t>
  </si>
  <si>
    <t>77 T, 73.5T</t>
  </si>
  <si>
    <t>11.4T , 12T</t>
  </si>
  <si>
    <t>73.5T , 74T</t>
  </si>
  <si>
    <t>11.3T, 12T , 16.9T</t>
  </si>
  <si>
    <t>73.5T , 74T , 79T</t>
  </si>
  <si>
    <t>97T , 89T</t>
  </si>
  <si>
    <t>97 T</t>
  </si>
  <si>
    <t>74T , 79T</t>
  </si>
  <si>
    <t>4.5T</t>
  </si>
  <si>
    <t>23T</t>
  </si>
  <si>
    <t>-</t>
  </si>
  <si>
    <t>89T</t>
  </si>
  <si>
    <t>351.5T</t>
  </si>
  <si>
    <t xml:space="preserve">तालिका 1C (इंडिगो) </t>
  </si>
  <si>
    <t>TABLE - 1C (INDIGO)</t>
  </si>
  <si>
    <t>A320-271N PW</t>
  </si>
  <si>
    <t>A320-251N CFM LEAP</t>
  </si>
  <si>
    <t>A321-251NX and A321-252NX CFM LEAP</t>
  </si>
  <si>
    <t>A321-252NX CFM LEAP</t>
  </si>
  <si>
    <t>A321-211 P2F</t>
  </si>
  <si>
    <t>B737-800</t>
  </si>
  <si>
    <t>B737-8 MAX</t>
  </si>
  <si>
    <t>B787-9</t>
  </si>
  <si>
    <t>26.7T, 21.6T</t>
  </si>
  <si>
    <t>29.8T</t>
  </si>
  <si>
    <t>11.9T, 16.9T</t>
  </si>
  <si>
    <t>29.6T, 21.7T</t>
  </si>
  <si>
    <t>21.3T</t>
  </si>
  <si>
    <t>24.0T</t>
  </si>
  <si>
    <t>21.5T</t>
  </si>
  <si>
    <t>79T</t>
  </si>
  <si>
    <t>189/176</t>
  </si>
  <si>
    <t>16T</t>
  </si>
  <si>
    <t>77T</t>
  </si>
  <si>
    <t>42.7T</t>
  </si>
  <si>
    <t>252.7T</t>
  </si>
  <si>
    <t>TYPE OF AIRCRAFT WISE FLEET STATISTICS OF INDIGO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</si>
</sst>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_);_(* \(#,##0\);_(* &quot;-&quot;_);_(@_)"/>
    <numFmt numFmtId="165" formatCode="_(* #,##0.00_);_(* \(#,##0.00\);_(* &quot;-&quot;??_);_(@_)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  <numFmt numFmtId="170" formatCode="_(* #,##0.0_);_(* \(#,##0.0\);_(* &quot;-&quot;_);_(@_)"/>
    <numFmt numFmtId="171" formatCode="_-* #,##0.0_-;\-* #,##0.0_-;_-* &quot;-&quot;??_-;_-@_-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indexed="8"/>
      <name val="Garamond"/>
      <family val="1"/>
    </font>
    <font>
      <b/>
      <sz val="12"/>
      <color theme="1"/>
      <name val="Garamond"/>
      <family val="1"/>
    </font>
    <font>
      <b/>
      <sz val="12"/>
      <color indexed="8"/>
      <name val="Garamond"/>
      <family val="1"/>
    </font>
    <font>
      <sz val="1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/>
      <diagonal/>
    </border>
    <border>
      <left style="thin">
        <color indexed="0"/>
      </left>
      <right style="thin">
        <color indexed="0"/>
      </right>
      <top/>
      <bottom style="thin">
        <color indexed="0"/>
      </bottom>
      <diagonal/>
    </border>
    <border>
      <left style="thin">
        <color indexed="0"/>
      </left>
      <right/>
      <top/>
      <bottom style="thin">
        <color indexed="0"/>
      </bottom>
      <diagonal/>
    </border>
    <border>
      <left style="thin">
        <color indexed="0"/>
      </left>
      <right/>
      <top style="thin">
        <color indexed="0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5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9" fontId="13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0" fillId="4" borderId="1" xfId="1" applyNumberFormat="1" applyFont="1" applyFill="1" applyBorder="1" applyAlignment="1" applyProtection="1">
      <alignment horizontal="left" wrapText="1"/>
    </xf>
    <xf numFmtId="167" fontId="7" fillId="4" borderId="1" xfId="1" applyNumberFormat="1" applyFont="1" applyFill="1" applyBorder="1" applyAlignment="1" applyProtection="1">
      <alignment horizontal="left" wrapText="1"/>
    </xf>
    <xf numFmtId="167" fontId="8" fillId="4" borderId="1" xfId="1" applyNumberFormat="1" applyFont="1" applyFill="1" applyBorder="1" applyAlignment="1" applyProtection="1">
      <alignment horizontal="left" wrapText="1"/>
    </xf>
    <xf numFmtId="167" fontId="7" fillId="4" borderId="1" xfId="1" applyNumberFormat="1" applyFont="1" applyFill="1" applyBorder="1" applyAlignment="1" applyProtection="1">
      <alignment horizontal="left" vertical="top" wrapText="1"/>
    </xf>
    <xf numFmtId="167" fontId="7" fillId="5" borderId="9" xfId="7" applyNumberFormat="1" applyFont="1" applyFill="1" applyBorder="1" applyAlignment="1" applyProtection="1">
      <alignment horizontal="left" vertical="center"/>
    </xf>
    <xf numFmtId="167" fontId="7" fillId="5" borderId="9" xfId="7" applyNumberFormat="1" applyFont="1" applyFill="1" applyBorder="1" applyAlignment="1" applyProtection="1">
      <alignment vertical="center"/>
    </xf>
    <xf numFmtId="167" fontId="8" fillId="5" borderId="8" xfId="7" applyNumberFormat="1" applyFont="1" applyFill="1" applyBorder="1" applyAlignment="1" applyProtection="1">
      <alignment vertical="center"/>
    </xf>
    <xf numFmtId="167" fontId="7" fillId="5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7" fillId="3" borderId="1" xfId="0" applyFont="1" applyFill="1" applyBorder="1"/>
    <xf numFmtId="0" fontId="15" fillId="3" borderId="0" xfId="2" applyFont="1" applyFill="1"/>
    <xf numFmtId="3" fontId="16" fillId="3" borderId="7" xfId="0" applyNumberFormat="1" applyFont="1" applyFill="1" applyBorder="1" applyAlignment="1" applyProtection="1">
      <alignment horizontal="center" vertical="center"/>
    </xf>
    <xf numFmtId="3" fontId="16" fillId="3" borderId="7" xfId="0" quotePrefix="1" applyNumberFormat="1" applyFont="1" applyFill="1" applyBorder="1" applyAlignment="1" applyProtection="1">
      <alignment horizontal="center" vertical="center"/>
    </xf>
    <xf numFmtId="170" fontId="16" fillId="3" borderId="7" xfId="0" applyNumberFormat="1" applyFont="1" applyFill="1" applyBorder="1" applyAlignment="1" applyProtection="1">
      <alignment horizontal="center" vertical="center"/>
    </xf>
    <xf numFmtId="171" fontId="16" fillId="3" borderId="7" xfId="0" applyNumberFormat="1" applyFont="1" applyFill="1" applyBorder="1" applyAlignment="1" applyProtection="1">
      <alignment horizontal="center" vertical="center"/>
    </xf>
    <xf numFmtId="164" fontId="16" fillId="3" borderId="7" xfId="0" quotePrefix="1" applyNumberFormat="1" applyFont="1" applyFill="1" applyBorder="1" applyAlignment="1" applyProtection="1">
      <alignment horizontal="center" vertical="center"/>
    </xf>
    <xf numFmtId="170" fontId="16" fillId="3" borderId="7" xfId="0" quotePrefix="1" applyNumberFormat="1" applyFont="1" applyFill="1" applyBorder="1" applyAlignment="1" applyProtection="1">
      <alignment horizontal="center" vertical="center"/>
    </xf>
    <xf numFmtId="171" fontId="16" fillId="3" borderId="7" xfId="0" quotePrefix="1" applyNumberFormat="1" applyFont="1" applyFill="1" applyBorder="1" applyAlignment="1" applyProtection="1">
      <alignment horizontal="center" vertical="center"/>
    </xf>
    <xf numFmtId="170" fontId="16" fillId="3" borderId="13" xfId="0" quotePrefix="1" applyNumberFormat="1" applyFont="1" applyFill="1" applyBorder="1" applyAlignment="1" applyProtection="1">
      <alignment horizontal="center" vertical="center"/>
    </xf>
    <xf numFmtId="171" fontId="16" fillId="3" borderId="13" xfId="0" quotePrefix="1" applyNumberFormat="1" applyFont="1" applyFill="1" applyBorder="1" applyAlignment="1" applyProtection="1">
      <alignment horizontal="center" vertical="center"/>
    </xf>
    <xf numFmtId="164" fontId="16" fillId="3" borderId="11" xfId="0" quotePrefix="1" applyNumberFormat="1" applyFont="1" applyFill="1" applyBorder="1" applyAlignment="1" applyProtection="1">
      <alignment horizontal="center" vertical="center"/>
    </xf>
    <xf numFmtId="170" fontId="16" fillId="3" borderId="1" xfId="0" quotePrefix="1" applyNumberFormat="1" applyFont="1" applyFill="1" applyBorder="1" applyAlignment="1" applyProtection="1">
      <alignment horizontal="center" vertical="center"/>
    </xf>
    <xf numFmtId="171" fontId="16" fillId="3" borderId="1" xfId="0" quotePrefix="1" applyNumberFormat="1" applyFont="1" applyFill="1" applyBorder="1" applyAlignment="1" applyProtection="1">
      <alignment horizontal="center" vertical="center"/>
    </xf>
    <xf numFmtId="3" fontId="16" fillId="3" borderId="12" xfId="0" applyNumberFormat="1" applyFont="1" applyFill="1" applyBorder="1" applyAlignment="1" applyProtection="1">
      <alignment horizontal="center" vertical="center"/>
    </xf>
    <xf numFmtId="170" fontId="16" fillId="3" borderId="14" xfId="0" quotePrefix="1" applyNumberFormat="1" applyFont="1" applyFill="1" applyBorder="1" applyAlignment="1" applyProtection="1">
      <alignment horizontal="center" vertical="center"/>
    </xf>
    <xf numFmtId="171" fontId="16" fillId="3" borderId="14" xfId="0" quotePrefix="1" applyNumberFormat="1" applyFont="1" applyFill="1" applyBorder="1" applyAlignment="1" applyProtection="1">
      <alignment horizontal="center" vertical="center"/>
    </xf>
    <xf numFmtId="3" fontId="18" fillId="3" borderId="7" xfId="0" applyNumberFormat="1" applyFont="1" applyFill="1" applyBorder="1" applyAlignment="1" applyProtection="1">
      <alignment horizontal="center" vertical="center"/>
    </xf>
    <xf numFmtId="164" fontId="18" fillId="3" borderId="7" xfId="0" applyNumberFormat="1" applyFont="1" applyFill="1" applyBorder="1" applyAlignment="1" applyProtection="1">
      <alignment horizontal="center" vertical="center"/>
    </xf>
    <xf numFmtId="0" fontId="14" fillId="2" borderId="5" xfId="2" applyFont="1" applyFill="1" applyBorder="1" applyAlignment="1">
      <alignment horizontal="center" vertical="center"/>
    </xf>
    <xf numFmtId="0" fontId="14" fillId="2" borderId="6" xfId="2" applyFont="1" applyFill="1" applyBorder="1" applyAlignment="1">
      <alignment horizontal="center" vertical="center"/>
    </xf>
    <xf numFmtId="0" fontId="14" fillId="2" borderId="3" xfId="2" quotePrefix="1" applyFont="1" applyFill="1" applyBorder="1" applyAlignment="1" applyProtection="1">
      <alignment horizontal="center" vertical="center" wrapText="1"/>
    </xf>
    <xf numFmtId="0" fontId="14" fillId="2" borderId="4" xfId="2" applyFont="1" applyFill="1" applyBorder="1" applyAlignment="1" applyProtection="1">
      <alignment horizontal="center" vertical="center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1" fontId="19" fillId="0" borderId="11" xfId="0" applyNumberFormat="1" applyFont="1" applyBorder="1" applyAlignment="1">
      <alignment horizontal="center" vertical="center"/>
    </xf>
    <xf numFmtId="1" fontId="19" fillId="0" borderId="1" xfId="0" applyNumberFormat="1" applyFont="1" applyBorder="1" applyAlignment="1">
      <alignment horizontal="center" vertical="center"/>
    </xf>
    <xf numFmtId="1" fontId="19" fillId="0" borderId="15" xfId="0" applyNumberFormat="1" applyFont="1" applyBorder="1" applyAlignment="1">
      <alignment horizontal="center" vertical="center"/>
    </xf>
    <xf numFmtId="1" fontId="19" fillId="0" borderId="16" xfId="0" applyNumberFormat="1" applyFont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103</v>
      </c>
      <c r="B1" s="5" t="s">
        <v>103</v>
      </c>
      <c r="C1" s="5" t="s">
        <v>103</v>
      </c>
      <c r="D1" s="5" t="s">
        <v>103</v>
      </c>
      <c r="E1" s="5" t="s">
        <v>103</v>
      </c>
      <c r="F1" s="5" t="s">
        <v>103</v>
      </c>
      <c r="G1" s="5" t="s">
        <v>103</v>
      </c>
      <c r="H1" s="5" t="s">
        <v>103</v>
      </c>
      <c r="I1" s="5" t="s">
        <v>103</v>
      </c>
      <c r="J1" s="5" t="s">
        <v>103</v>
      </c>
      <c r="K1" s="5" t="s">
        <v>103</v>
      </c>
      <c r="L1" s="5" t="s">
        <v>103</v>
      </c>
      <c r="M1" s="5" t="s">
        <v>103</v>
      </c>
      <c r="N1" s="5" t="s">
        <v>103</v>
      </c>
      <c r="O1" s="5" t="s">
        <v>103</v>
      </c>
      <c r="P1" s="5" t="s">
        <v>103</v>
      </c>
      <c r="Q1" s="5" t="s">
        <v>103</v>
      </c>
      <c r="R1" s="5" t="s">
        <v>103</v>
      </c>
      <c r="S1" s="5" t="s">
        <v>103</v>
      </c>
      <c r="T1" s="5" t="s">
        <v>103</v>
      </c>
      <c r="U1" s="5" t="s">
        <v>103</v>
      </c>
      <c r="V1" s="5" t="s">
        <v>103</v>
      </c>
      <c r="W1" s="5" t="s">
        <v>103</v>
      </c>
      <c r="X1" s="5" t="s">
        <v>103</v>
      </c>
      <c r="Y1" s="5" t="s">
        <v>103</v>
      </c>
      <c r="Z1" s="5" t="s">
        <v>103</v>
      </c>
      <c r="AA1" s="5" t="s">
        <v>103</v>
      </c>
      <c r="AB1" s="5" t="s">
        <v>103</v>
      </c>
      <c r="AC1" s="5" t="s">
        <v>103</v>
      </c>
      <c r="AD1" s="5" t="s">
        <v>103</v>
      </c>
      <c r="AE1" s="5" t="s">
        <v>103</v>
      </c>
      <c r="AF1" s="5" t="s">
        <v>103</v>
      </c>
      <c r="AG1" s="5" t="s">
        <v>103</v>
      </c>
      <c r="AH1" s="5" t="s">
        <v>103</v>
      </c>
      <c r="AI1" s="5" t="s">
        <v>103</v>
      </c>
      <c r="AJ1" s="5" t="s">
        <v>103</v>
      </c>
      <c r="AK1" s="5" t="s">
        <v>103</v>
      </c>
      <c r="AQ1" s="1" t="s">
        <v>39</v>
      </c>
      <c r="AR1" t="s">
        <v>29</v>
      </c>
    </row>
    <row r="2" spans="1:57" x14ac:dyDescent="0.2">
      <c r="A2" s="5" t="s">
        <v>103</v>
      </c>
      <c r="B2" s="22" t="e">
        <f>#REF!</f>
        <v>#REF!</v>
      </c>
      <c r="C2" s="5" t="s">
        <v>103</v>
      </c>
      <c r="D2" s="5" t="s">
        <v>103</v>
      </c>
      <c r="E2" s="5" t="s">
        <v>103</v>
      </c>
      <c r="F2" s="5" t="s">
        <v>103</v>
      </c>
      <c r="G2" s="5" t="s">
        <v>103</v>
      </c>
      <c r="H2" s="5" t="s">
        <v>103</v>
      </c>
      <c r="I2" s="5" t="s">
        <v>103</v>
      </c>
      <c r="J2" s="5" t="s">
        <v>103</v>
      </c>
      <c r="K2" s="5" t="s">
        <v>103</v>
      </c>
      <c r="L2" s="5" t="s">
        <v>103</v>
      </c>
      <c r="M2" s="5" t="s">
        <v>103</v>
      </c>
      <c r="N2" s="5" t="s">
        <v>103</v>
      </c>
      <c r="O2" s="5" t="s">
        <v>103</v>
      </c>
      <c r="P2" s="5" t="s">
        <v>103</v>
      </c>
      <c r="Q2" s="5" t="s">
        <v>103</v>
      </c>
      <c r="R2" s="5" t="s">
        <v>103</v>
      </c>
      <c r="S2" s="5" t="s">
        <v>103</v>
      </c>
      <c r="T2" s="5" t="s">
        <v>103</v>
      </c>
      <c r="U2" s="5" t="s">
        <v>103</v>
      </c>
      <c r="V2" s="5" t="s">
        <v>103</v>
      </c>
      <c r="W2" s="5" t="s">
        <v>103</v>
      </c>
      <c r="X2" s="5" t="s">
        <v>103</v>
      </c>
      <c r="Y2" s="5" t="s">
        <v>103</v>
      </c>
      <c r="Z2" s="5" t="s">
        <v>103</v>
      </c>
      <c r="AA2" s="5" t="s">
        <v>103</v>
      </c>
      <c r="AB2" s="5" t="s">
        <v>103</v>
      </c>
      <c r="AC2" s="5" t="s">
        <v>103</v>
      </c>
      <c r="AD2" s="5" t="s">
        <v>103</v>
      </c>
      <c r="AE2" s="5" t="s">
        <v>103</v>
      </c>
      <c r="AF2" s="5" t="s">
        <v>103</v>
      </c>
      <c r="AG2" s="5" t="s">
        <v>103</v>
      </c>
      <c r="AH2" s="5" t="s">
        <v>103</v>
      </c>
      <c r="AI2" s="5" t="s">
        <v>103</v>
      </c>
      <c r="AJ2" s="5" t="s">
        <v>103</v>
      </c>
      <c r="AK2" s="5" t="s">
        <v>103</v>
      </c>
    </row>
    <row r="3" spans="1:57" ht="15.75" customHeight="1" x14ac:dyDescent="0.2">
      <c r="A3" s="1" t="s">
        <v>50</v>
      </c>
      <c r="B3" t="s">
        <v>67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  <c r="I3" t="s">
        <v>75</v>
      </c>
      <c r="J3" t="s">
        <v>76</v>
      </c>
      <c r="K3" s="5" t="s">
        <v>103</v>
      </c>
      <c r="L3" s="5" t="s">
        <v>103</v>
      </c>
      <c r="M3" s="5" t="s">
        <v>103</v>
      </c>
      <c r="N3" s="5" t="s">
        <v>103</v>
      </c>
      <c r="O3" s="5" t="s">
        <v>103</v>
      </c>
      <c r="P3" s="5" t="s">
        <v>103</v>
      </c>
      <c r="Q3" s="5" t="s">
        <v>103</v>
      </c>
      <c r="R3" s="5" t="s">
        <v>103</v>
      </c>
      <c r="S3" s="5" t="s">
        <v>103</v>
      </c>
      <c r="T3" s="18" t="s">
        <v>103</v>
      </c>
      <c r="U3" s="1" t="s">
        <v>39</v>
      </c>
      <c r="V3" s="1" t="s">
        <v>40</v>
      </c>
      <c r="W3" s="1" t="s">
        <v>54</v>
      </c>
      <c r="X3" s="1" t="s">
        <v>55</v>
      </c>
      <c r="Y3" s="1" t="s">
        <v>56</v>
      </c>
      <c r="Z3" s="1" t="s">
        <v>57</v>
      </c>
      <c r="AA3" s="1" t="s">
        <v>41</v>
      </c>
      <c r="AB3" s="1" t="s">
        <v>42</v>
      </c>
      <c r="AC3" s="1" t="s">
        <v>43</v>
      </c>
      <c r="AD3" s="1" t="s">
        <v>58</v>
      </c>
      <c r="AE3" s="1" t="s">
        <v>59</v>
      </c>
      <c r="AF3" s="1" t="s">
        <v>60</v>
      </c>
      <c r="AG3" s="1" t="s">
        <v>61</v>
      </c>
      <c r="AH3" s="1" t="s">
        <v>62</v>
      </c>
      <c r="AI3" s="1" t="s">
        <v>63</v>
      </c>
      <c r="AJ3" s="1" t="s">
        <v>64</v>
      </c>
      <c r="AK3" s="1" t="s">
        <v>65</v>
      </c>
      <c r="AQ3" s="1" t="s">
        <v>40</v>
      </c>
      <c r="AR3" s="1" t="s">
        <v>54</v>
      </c>
      <c r="AS3" s="1" t="s">
        <v>55</v>
      </c>
      <c r="AT3" s="1" t="s">
        <v>56</v>
      </c>
      <c r="AU3" s="1" t="s">
        <v>57</v>
      </c>
      <c r="AV3" s="1" t="s">
        <v>41</v>
      </c>
      <c r="AW3" s="1" t="s">
        <v>42</v>
      </c>
      <c r="AX3" s="1" t="s">
        <v>43</v>
      </c>
      <c r="AY3" s="1" t="s">
        <v>58</v>
      </c>
      <c r="AZ3" s="1" t="s">
        <v>59</v>
      </c>
      <c r="BA3" s="1" t="s">
        <v>61</v>
      </c>
      <c r="BB3" s="1" t="s">
        <v>62</v>
      </c>
      <c r="BC3" s="1" t="s">
        <v>63</v>
      </c>
      <c r="BD3" s="1" t="s">
        <v>65</v>
      </c>
    </row>
    <row r="4" spans="1:57" ht="15.75" customHeight="1" x14ac:dyDescent="0.2">
      <c r="A4" s="2" t="s">
        <v>23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23</v>
      </c>
      <c r="V4" t="s">
        <v>24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51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23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51</v>
      </c>
      <c r="AW5" t="s">
        <v>51</v>
      </c>
      <c r="AX5" t="s">
        <v>51</v>
      </c>
      <c r="AY5" t="s">
        <v>51</v>
      </c>
      <c r="AZ5" t="s">
        <v>104</v>
      </c>
      <c r="BA5" t="s">
        <v>51</v>
      </c>
      <c r="BB5" t="s">
        <v>51</v>
      </c>
      <c r="BC5" t="s">
        <v>104</v>
      </c>
      <c r="BD5" t="s">
        <v>51</v>
      </c>
      <c r="BE5" s="20"/>
    </row>
    <row r="6" spans="1:57" x14ac:dyDescent="0.2">
      <c r="A6" s="2" t="s">
        <v>29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51</v>
      </c>
      <c r="V6" t="s">
        <v>51</v>
      </c>
      <c r="W6" t="s">
        <v>51</v>
      </c>
      <c r="X6" t="s">
        <v>51</v>
      </c>
      <c r="Y6" t="s">
        <v>51</v>
      </c>
      <c r="Z6" t="s">
        <v>51</v>
      </c>
      <c r="AA6" t="s">
        <v>51</v>
      </c>
      <c r="AB6" t="s">
        <v>51</v>
      </c>
      <c r="AC6" t="s">
        <v>51</v>
      </c>
      <c r="AD6" t="s">
        <v>51</v>
      </c>
      <c r="AE6" t="s">
        <v>104</v>
      </c>
      <c r="AF6" t="s">
        <v>104</v>
      </c>
      <c r="AG6" t="s">
        <v>51</v>
      </c>
      <c r="AH6" t="s">
        <v>51</v>
      </c>
      <c r="AI6" t="s">
        <v>104</v>
      </c>
      <c r="AJ6" t="s">
        <v>104</v>
      </c>
      <c r="AK6" t="s">
        <v>51</v>
      </c>
      <c r="BE6" s="20"/>
    </row>
    <row r="7" spans="1:57" x14ac:dyDescent="0.2">
      <c r="A7" s="2" t="s">
        <v>26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29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 x14ac:dyDescent="0.2">
      <c r="A8" s="2" t="s">
        <v>27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29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51</v>
      </c>
      <c r="AB8" t="s">
        <v>51</v>
      </c>
      <c r="AC8" t="s">
        <v>51</v>
      </c>
      <c r="AD8" t="s">
        <v>51</v>
      </c>
      <c r="AE8" t="s">
        <v>104</v>
      </c>
      <c r="AF8" t="s">
        <v>104</v>
      </c>
      <c r="AG8" t="s">
        <v>51</v>
      </c>
      <c r="AH8" t="s">
        <v>51</v>
      </c>
      <c r="AI8" t="s">
        <v>104</v>
      </c>
      <c r="AJ8" t="s">
        <v>104</v>
      </c>
      <c r="AK8" t="s">
        <v>51</v>
      </c>
    </row>
    <row r="9" spans="1:57" x14ac:dyDescent="0.2">
      <c r="A9" s="2" t="s">
        <v>28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26</v>
      </c>
      <c r="V9" t="s">
        <v>144</v>
      </c>
      <c r="W9">
        <v>5</v>
      </c>
      <c r="X9" t="s">
        <v>51</v>
      </c>
      <c r="Y9" t="s">
        <v>51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 x14ac:dyDescent="0.2">
      <c r="A10" s="2" t="s">
        <v>32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26</v>
      </c>
      <c r="V10" t="s">
        <v>145</v>
      </c>
      <c r="W10">
        <v>3</v>
      </c>
      <c r="X10" t="s">
        <v>51</v>
      </c>
      <c r="Y10" t="s">
        <v>51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 x14ac:dyDescent="0.2">
      <c r="A11" s="2" t="s">
        <v>34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26</v>
      </c>
      <c r="V11" t="s">
        <v>146</v>
      </c>
      <c r="W11">
        <v>12</v>
      </c>
      <c r="X11">
        <v>3</v>
      </c>
      <c r="Y11" t="s">
        <v>51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 x14ac:dyDescent="0.2">
      <c r="A12" s="2" t="s">
        <v>35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26</v>
      </c>
      <c r="V12" t="s">
        <v>147</v>
      </c>
      <c r="W12">
        <v>23</v>
      </c>
      <c r="X12">
        <v>4</v>
      </c>
      <c r="Y12" t="s">
        <v>51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 x14ac:dyDescent="0.2">
      <c r="A13" s="2" t="s">
        <v>177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26</v>
      </c>
      <c r="V13" t="s">
        <v>148</v>
      </c>
      <c r="W13">
        <v>22</v>
      </c>
      <c r="X13" t="s">
        <v>51</v>
      </c>
      <c r="Y13" t="s">
        <v>51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 x14ac:dyDescent="0.2">
      <c r="A14" s="2" t="s">
        <v>38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26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 x14ac:dyDescent="0.2">
      <c r="A15" s="2" t="s">
        <v>47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26</v>
      </c>
      <c r="V15" t="s">
        <v>150</v>
      </c>
      <c r="W15">
        <v>20</v>
      </c>
      <c r="X15" t="s">
        <v>51</v>
      </c>
      <c r="Y15" t="s">
        <v>51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 x14ac:dyDescent="0.2">
      <c r="A16" s="2" t="s">
        <v>48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27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 x14ac:dyDescent="0.2">
      <c r="A17" s="2" t="s">
        <v>49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28</v>
      </c>
      <c r="V17" t="s">
        <v>127</v>
      </c>
      <c r="W17" t="s">
        <v>51</v>
      </c>
      <c r="X17" t="s">
        <v>51</v>
      </c>
      <c r="Y17" t="s">
        <v>51</v>
      </c>
      <c r="Z17" t="s">
        <v>51</v>
      </c>
      <c r="AA17" t="s">
        <v>51</v>
      </c>
      <c r="AB17" t="s">
        <v>51</v>
      </c>
      <c r="AC17" t="s">
        <v>51</v>
      </c>
      <c r="AD17" t="s">
        <v>51</v>
      </c>
      <c r="AE17" t="s">
        <v>104</v>
      </c>
      <c r="AF17" t="s">
        <v>104</v>
      </c>
      <c r="AG17" t="s">
        <v>51</v>
      </c>
      <c r="AH17" t="s">
        <v>51</v>
      </c>
      <c r="AI17" t="s">
        <v>104</v>
      </c>
      <c r="AJ17" t="s">
        <v>104</v>
      </c>
      <c r="AK17" t="s">
        <v>51</v>
      </c>
    </row>
    <row r="18" spans="1:37" x14ac:dyDescent="0.2">
      <c r="A18" s="2" t="s">
        <v>184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28</v>
      </c>
      <c r="V18" t="s">
        <v>128</v>
      </c>
      <c r="W18" t="s">
        <v>51</v>
      </c>
      <c r="X18" t="s">
        <v>51</v>
      </c>
      <c r="Y18" t="s">
        <v>51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104</v>
      </c>
      <c r="AF18" t="s">
        <v>104</v>
      </c>
      <c r="AG18" t="s">
        <v>51</v>
      </c>
      <c r="AH18" t="s">
        <v>51</v>
      </c>
      <c r="AI18" t="s">
        <v>104</v>
      </c>
      <c r="AJ18" t="s">
        <v>104</v>
      </c>
      <c r="AK18" t="s">
        <v>51</v>
      </c>
    </row>
    <row r="19" spans="1:37" x14ac:dyDescent="0.2">
      <c r="A19" s="2" t="s">
        <v>185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28</v>
      </c>
      <c r="V19" t="s">
        <v>129</v>
      </c>
      <c r="W19" t="s">
        <v>51</v>
      </c>
      <c r="X19" t="s">
        <v>51</v>
      </c>
      <c r="Y19" t="s">
        <v>51</v>
      </c>
      <c r="Z19" t="s">
        <v>51</v>
      </c>
      <c r="AA19" t="s">
        <v>51</v>
      </c>
      <c r="AB19" t="s">
        <v>51</v>
      </c>
      <c r="AC19" t="s">
        <v>51</v>
      </c>
      <c r="AD19" t="s">
        <v>51</v>
      </c>
      <c r="AE19" t="s">
        <v>104</v>
      </c>
      <c r="AF19" t="s">
        <v>104</v>
      </c>
      <c r="AG19" t="s">
        <v>51</v>
      </c>
      <c r="AH19" t="s">
        <v>51</v>
      </c>
      <c r="AI19" t="s">
        <v>104</v>
      </c>
      <c r="AJ19" t="s">
        <v>104</v>
      </c>
      <c r="AK19" t="s">
        <v>51</v>
      </c>
    </row>
    <row r="20" spans="1:37" x14ac:dyDescent="0.2">
      <c r="A20" s="2" t="s">
        <v>52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30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 x14ac:dyDescent="0.2">
      <c r="T21" s="19" t="str">
        <f t="shared" si="0"/>
        <v>JET AIRWAYSB- 737 - 800</v>
      </c>
      <c r="U21" t="s">
        <v>30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30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30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30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30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 x14ac:dyDescent="0.2">
      <c r="T26" s="19" t="str">
        <f t="shared" si="0"/>
        <v>JETLITEBoeing 737 - 700</v>
      </c>
      <c r="U26" t="s">
        <v>31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 x14ac:dyDescent="0.2">
      <c r="T27" s="19" t="str">
        <f t="shared" si="0"/>
        <v>JETLITEBoeing 737 - 800</v>
      </c>
      <c r="U27" t="s">
        <v>31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 x14ac:dyDescent="0.2">
      <c r="T28" s="19" t="str">
        <f t="shared" si="0"/>
        <v>SPICEJET737 - 700</v>
      </c>
      <c r="U28" t="s">
        <v>32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 x14ac:dyDescent="0.2">
      <c r="T29" s="19" t="str">
        <f t="shared" si="0"/>
        <v>SPICEJET737 - 800</v>
      </c>
      <c r="U29" t="s">
        <v>32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32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 x14ac:dyDescent="0.2">
      <c r="T31" s="19" t="str">
        <f t="shared" si="0"/>
        <v>SPICEJETDH8</v>
      </c>
      <c r="U31" t="s">
        <v>32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 x14ac:dyDescent="0.2">
      <c r="T32" s="19" t="str">
        <f t="shared" si="0"/>
        <v>SPICEJETA319</v>
      </c>
      <c r="U32" t="s">
        <v>32</v>
      </c>
      <c r="V32" t="s">
        <v>159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104</v>
      </c>
      <c r="AF32" t="s">
        <v>104</v>
      </c>
      <c r="AG32" t="s">
        <v>51</v>
      </c>
      <c r="AH32" t="s">
        <v>51</v>
      </c>
      <c r="AI32" t="s">
        <v>104</v>
      </c>
      <c r="AJ32" t="s">
        <v>104</v>
      </c>
      <c r="AK32" t="s">
        <v>51</v>
      </c>
    </row>
    <row r="33" spans="20:37" x14ac:dyDescent="0.2">
      <c r="T33" s="19" t="str">
        <f t="shared" si="0"/>
        <v>SPICEJETA 320</v>
      </c>
      <c r="U33" t="s">
        <v>32</v>
      </c>
      <c r="V33" t="s">
        <v>160</v>
      </c>
      <c r="W33" t="s">
        <v>51</v>
      </c>
      <c r="X33" t="s">
        <v>51</v>
      </c>
      <c r="Y33" t="s">
        <v>51</v>
      </c>
      <c r="Z33" t="s">
        <v>51</v>
      </c>
      <c r="AA33" t="s">
        <v>51</v>
      </c>
      <c r="AB33" t="s">
        <v>51</v>
      </c>
      <c r="AC33" t="s">
        <v>51</v>
      </c>
      <c r="AD33" t="s">
        <v>51</v>
      </c>
      <c r="AE33" t="s">
        <v>104</v>
      </c>
      <c r="AF33" t="s">
        <v>104</v>
      </c>
      <c r="AG33" t="s">
        <v>51</v>
      </c>
      <c r="AH33" t="s">
        <v>51</v>
      </c>
      <c r="AI33" t="s">
        <v>104</v>
      </c>
      <c r="AJ33" t="s">
        <v>104</v>
      </c>
      <c r="AK33" t="s">
        <v>51</v>
      </c>
    </row>
    <row r="34" spans="20:37" x14ac:dyDescent="0.2">
      <c r="T34" s="19" t="str">
        <f t="shared" si="0"/>
        <v>AIR COSTA(blank)</v>
      </c>
      <c r="U34" t="s">
        <v>33</v>
      </c>
      <c r="V34" t="s">
        <v>51</v>
      </c>
      <c r="W34" t="s">
        <v>51</v>
      </c>
      <c r="X34" t="s">
        <v>51</v>
      </c>
      <c r="Y34" t="s">
        <v>51</v>
      </c>
      <c r="Z34" t="s">
        <v>51</v>
      </c>
      <c r="AA34" t="s">
        <v>51</v>
      </c>
      <c r="AB34" t="s">
        <v>51</v>
      </c>
      <c r="AC34" t="s">
        <v>51</v>
      </c>
      <c r="AD34" t="s">
        <v>51</v>
      </c>
      <c r="AE34" t="s">
        <v>104</v>
      </c>
      <c r="AF34" t="s">
        <v>104</v>
      </c>
      <c r="AG34" t="s">
        <v>51</v>
      </c>
      <c r="AH34" t="s">
        <v>51</v>
      </c>
      <c r="AI34" t="s">
        <v>104</v>
      </c>
      <c r="AJ34" t="s">
        <v>104</v>
      </c>
      <c r="AK34" t="s">
        <v>51</v>
      </c>
    </row>
    <row r="35" spans="20:37" x14ac:dyDescent="0.2">
      <c r="T35" s="19" t="str">
        <f t="shared" si="0"/>
        <v>AIR ASIAAIRBUS A320</v>
      </c>
      <c r="U35" t="s">
        <v>34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35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35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51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 x14ac:dyDescent="0.2">
      <c r="T40" s="19" t="str">
        <f t="shared" si="0"/>
        <v>AIR PEGASUS(blank)</v>
      </c>
      <c r="U40" t="s">
        <v>37</v>
      </c>
      <c r="V40" t="s">
        <v>51</v>
      </c>
      <c r="W40" t="s">
        <v>51</v>
      </c>
      <c r="X40" t="s">
        <v>51</v>
      </c>
      <c r="Y40" t="s">
        <v>51</v>
      </c>
      <c r="Z40" t="s">
        <v>51</v>
      </c>
      <c r="AA40" t="s">
        <v>51</v>
      </c>
      <c r="AB40" t="s">
        <v>51</v>
      </c>
      <c r="AC40" t="s">
        <v>51</v>
      </c>
      <c r="AD40" t="s">
        <v>51</v>
      </c>
      <c r="AE40" t="s">
        <v>104</v>
      </c>
      <c r="AF40" t="s">
        <v>104</v>
      </c>
      <c r="AG40" t="s">
        <v>51</v>
      </c>
      <c r="AH40" t="s">
        <v>51</v>
      </c>
      <c r="AI40" t="s">
        <v>104</v>
      </c>
      <c r="AJ40" t="s">
        <v>104</v>
      </c>
      <c r="AK40" t="s">
        <v>51</v>
      </c>
    </row>
    <row r="41" spans="20:37" x14ac:dyDescent="0.2">
      <c r="T41" s="19" t="str">
        <f t="shared" si="0"/>
        <v>TRUEJETATR 72-212 A / VT-TMK</v>
      </c>
      <c r="U41" t="s">
        <v>38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38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38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38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47</v>
      </c>
      <c r="V45" t="s">
        <v>51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48</v>
      </c>
      <c r="V46" t="s">
        <v>51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49</v>
      </c>
      <c r="V47" t="s">
        <v>51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132</v>
      </c>
      <c r="V48" t="s">
        <v>51</v>
      </c>
      <c r="W48" t="s">
        <v>51</v>
      </c>
      <c r="X48" t="s">
        <v>51</v>
      </c>
      <c r="Y48" t="s">
        <v>51</v>
      </c>
      <c r="Z48" t="s">
        <v>51</v>
      </c>
      <c r="AA48" t="s">
        <v>51</v>
      </c>
      <c r="AB48" t="s">
        <v>51</v>
      </c>
      <c r="AC48" t="s">
        <v>51</v>
      </c>
      <c r="AD48" t="s">
        <v>51</v>
      </c>
      <c r="AE48" t="s">
        <v>104</v>
      </c>
      <c r="AF48" t="s">
        <v>104</v>
      </c>
      <c r="AG48" t="s">
        <v>51</v>
      </c>
      <c r="AH48" t="s">
        <v>51</v>
      </c>
      <c r="AI48" t="s">
        <v>104</v>
      </c>
      <c r="AJ48" t="s">
        <v>104</v>
      </c>
      <c r="AK48" t="s">
        <v>51</v>
      </c>
    </row>
    <row r="49" spans="20:37" x14ac:dyDescent="0.2">
      <c r="T49" s="19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175</v>
      </c>
      <c r="V54" t="s">
        <v>181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175</v>
      </c>
      <c r="V55" t="s">
        <v>182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176</v>
      </c>
      <c r="V56" t="s">
        <v>182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50</v>
      </c>
      <c r="B3" t="s">
        <v>68</v>
      </c>
      <c r="C3" t="s">
        <v>78</v>
      </c>
      <c r="V3" s="4" t="s">
        <v>79</v>
      </c>
      <c r="W3" s="1" t="s">
        <v>44</v>
      </c>
      <c r="X3" s="1" t="s">
        <v>66</v>
      </c>
      <c r="Y3" t="s">
        <v>77</v>
      </c>
      <c r="Z3" t="s">
        <v>68</v>
      </c>
      <c r="AA3" t="s">
        <v>78</v>
      </c>
    </row>
    <row r="4" spans="1:27" x14ac:dyDescent="0.2">
      <c r="A4" s="2" t="s">
        <v>34</v>
      </c>
      <c r="B4" s="3">
        <v>2467</v>
      </c>
      <c r="C4" s="3">
        <v>3806.1423290000002</v>
      </c>
      <c r="V4" t="str">
        <f>W4&amp;X4</f>
        <v>AIR ASIAP1</v>
      </c>
      <c r="W4" t="s">
        <v>34</v>
      </c>
      <c r="X4" t="s">
        <v>6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26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34</v>
      </c>
      <c r="X5" t="s">
        <v>7</v>
      </c>
      <c r="Y5" s="3"/>
      <c r="Z5" s="3"/>
      <c r="AA5" s="3"/>
    </row>
    <row r="6" spans="1:27" x14ac:dyDescent="0.2">
      <c r="A6" s="2" t="s">
        <v>27</v>
      </c>
      <c r="B6" s="3">
        <v>1472</v>
      </c>
      <c r="C6" s="3">
        <v>2956.1</v>
      </c>
      <c r="V6" t="str">
        <f t="shared" si="0"/>
        <v>AIR ASIAP3</v>
      </c>
      <c r="W6" t="s">
        <v>34</v>
      </c>
      <c r="X6" t="s">
        <v>8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49</v>
      </c>
      <c r="B7" s="3">
        <v>61052</v>
      </c>
      <c r="C7" s="3">
        <v>93775.981349000009</v>
      </c>
      <c r="V7" t="str">
        <f t="shared" si="0"/>
        <v>AIR ASIAP4</v>
      </c>
      <c r="W7" t="s">
        <v>34</v>
      </c>
      <c r="X7" t="s">
        <v>9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28</v>
      </c>
      <c r="B8" s="3">
        <v>648</v>
      </c>
      <c r="C8" s="3">
        <v>1392.7165519999999</v>
      </c>
      <c r="V8" t="str">
        <f t="shared" si="0"/>
        <v>AIR ASIAP4.1</v>
      </c>
      <c r="W8" t="s">
        <v>34</v>
      </c>
      <c r="X8" t="s">
        <v>45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36</v>
      </c>
      <c r="B9" s="3">
        <v>1389</v>
      </c>
      <c r="C9" s="3">
        <v>1617.18</v>
      </c>
      <c r="V9" t="str">
        <f t="shared" si="0"/>
        <v>AIR ASIAP4.2</v>
      </c>
      <c r="W9" t="s">
        <v>34</v>
      </c>
      <c r="X9" t="s">
        <v>46</v>
      </c>
      <c r="Y9" s="3"/>
      <c r="Z9" s="3"/>
      <c r="AA9" s="3"/>
    </row>
    <row r="10" spans="1:27" x14ac:dyDescent="0.2">
      <c r="A10" s="2" t="s">
        <v>29</v>
      </c>
      <c r="B10" s="3">
        <v>4140</v>
      </c>
      <c r="C10" s="3">
        <v>6380</v>
      </c>
      <c r="V10" t="str">
        <f t="shared" si="0"/>
        <v>AIR ASIAP5</v>
      </c>
      <c r="W10" t="s">
        <v>34</v>
      </c>
      <c r="X10" t="s">
        <v>10</v>
      </c>
      <c r="Y10" s="3"/>
      <c r="Z10" s="3"/>
      <c r="AA10" s="3"/>
    </row>
    <row r="11" spans="1:27" x14ac:dyDescent="0.2">
      <c r="A11" s="2" t="s">
        <v>23</v>
      </c>
      <c r="B11" s="3">
        <v>25201</v>
      </c>
      <c r="C11" s="3">
        <v>33290.79</v>
      </c>
      <c r="V11" t="str">
        <f t="shared" si="0"/>
        <v>AIR ASIAP6</v>
      </c>
      <c r="W11" t="s">
        <v>34</v>
      </c>
      <c r="X11" t="s">
        <v>11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47</v>
      </c>
      <c r="B12" s="3">
        <v>12112</v>
      </c>
      <c r="C12" s="3">
        <v>34401.086552000001</v>
      </c>
      <c r="V12" t="str">
        <f t="shared" si="0"/>
        <v>AIR INDIAP1</v>
      </c>
      <c r="W12" t="s">
        <v>26</v>
      </c>
      <c r="X12" t="s">
        <v>6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48</v>
      </c>
      <c r="B13" s="3">
        <v>48940</v>
      </c>
      <c r="C13" s="3">
        <v>59374.894797000001</v>
      </c>
      <c r="V13" t="str">
        <f t="shared" si="0"/>
        <v>AIR INDIAP2</v>
      </c>
      <c r="W13" t="s">
        <v>26</v>
      </c>
      <c r="X13" t="s">
        <v>7</v>
      </c>
      <c r="Y13" s="3"/>
      <c r="Z13" s="3"/>
      <c r="AA13" s="3"/>
    </row>
    <row r="14" spans="1:27" x14ac:dyDescent="0.2">
      <c r="A14" s="2" t="s">
        <v>32</v>
      </c>
      <c r="B14" s="3">
        <v>12094</v>
      </c>
      <c r="C14" s="3">
        <v>9401.4900000000016</v>
      </c>
      <c r="V14" t="str">
        <f t="shared" si="0"/>
        <v>AIR INDIAP3</v>
      </c>
      <c r="W14" t="s">
        <v>26</v>
      </c>
      <c r="X14" t="s">
        <v>8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38</v>
      </c>
      <c r="B15" s="3">
        <v>895</v>
      </c>
      <c r="C15" s="3">
        <v>801.87858399999982</v>
      </c>
      <c r="V15" t="str">
        <f t="shared" si="0"/>
        <v>AIR INDIAP4</v>
      </c>
      <c r="W15" t="s">
        <v>26</v>
      </c>
      <c r="X15" t="s">
        <v>9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35</v>
      </c>
      <c r="B16" s="3">
        <v>2721</v>
      </c>
      <c r="C16" s="3">
        <v>4070.3999999999996</v>
      </c>
      <c r="V16" t="str">
        <f t="shared" si="0"/>
        <v>AIR INDIAP4.1</v>
      </c>
      <c r="W16" t="s">
        <v>26</v>
      </c>
      <c r="X16" t="s">
        <v>45</v>
      </c>
      <c r="Y16" s="3"/>
      <c r="Z16" s="3"/>
      <c r="AA16" s="3"/>
    </row>
    <row r="17" spans="1:27" x14ac:dyDescent="0.2">
      <c r="A17" s="2" t="s">
        <v>51</v>
      </c>
      <c r="B17" s="3"/>
      <c r="C17" s="3"/>
      <c r="V17" t="str">
        <f t="shared" si="0"/>
        <v>AIR INDIAP4.2</v>
      </c>
      <c r="W17" t="s">
        <v>26</v>
      </c>
      <c r="X17" t="s">
        <v>46</v>
      </c>
      <c r="Y17" s="3"/>
      <c r="Z17" s="3"/>
      <c r="AA17" s="3"/>
    </row>
    <row r="18" spans="1:27" x14ac:dyDescent="0.2">
      <c r="A18" s="2" t="s">
        <v>184</v>
      </c>
      <c r="B18" s="3"/>
      <c r="C18" s="3"/>
      <c r="V18" t="str">
        <f t="shared" si="0"/>
        <v>AIR INDIAP5</v>
      </c>
      <c r="W18" t="s">
        <v>26</v>
      </c>
      <c r="X18" t="s">
        <v>10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186</v>
      </c>
      <c r="B19" s="3">
        <v>33</v>
      </c>
      <c r="C19" s="3">
        <v>7.0138840000000009</v>
      </c>
      <c r="V19" t="str">
        <f t="shared" si="0"/>
        <v>AIR INDIAP6</v>
      </c>
      <c r="W19" t="s">
        <v>26</v>
      </c>
      <c r="X19" t="s">
        <v>11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52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27</v>
      </c>
      <c r="X20" t="s">
        <v>6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27</v>
      </c>
      <c r="X21" t="s">
        <v>7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27</v>
      </c>
      <c r="X22" t="s">
        <v>8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27</v>
      </c>
      <c r="X23" t="s">
        <v>9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27</v>
      </c>
      <c r="X24" t="s">
        <v>45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27</v>
      </c>
      <c r="X25" t="s">
        <v>46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27</v>
      </c>
      <c r="X26" t="s">
        <v>10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27</v>
      </c>
      <c r="X27" t="s">
        <v>11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49</v>
      </c>
      <c r="X28" t="s">
        <v>6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49</v>
      </c>
      <c r="X29" t="s">
        <v>7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49</v>
      </c>
      <c r="X30" t="s">
        <v>8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49</v>
      </c>
      <c r="X31" t="s">
        <v>9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49</v>
      </c>
      <c r="X32" t="s">
        <v>45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49</v>
      </c>
      <c r="X33" t="s">
        <v>46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49</v>
      </c>
      <c r="X34" t="s">
        <v>10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49</v>
      </c>
      <c r="X35" t="s">
        <v>11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28</v>
      </c>
      <c r="X36" t="s">
        <v>6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28</v>
      </c>
      <c r="X37" t="s">
        <v>7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28</v>
      </c>
      <c r="X38" t="s">
        <v>8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28</v>
      </c>
      <c r="X39" t="s">
        <v>9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28</v>
      </c>
      <c r="X40" t="s">
        <v>45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28</v>
      </c>
      <c r="X41" t="s">
        <v>46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28</v>
      </c>
      <c r="X42" t="s">
        <v>10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28</v>
      </c>
      <c r="X43" t="s">
        <v>11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36</v>
      </c>
      <c r="X44" t="s">
        <v>6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36</v>
      </c>
      <c r="X45" t="s">
        <v>7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36</v>
      </c>
      <c r="X46" t="s">
        <v>8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36</v>
      </c>
      <c r="X47" t="s">
        <v>9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36</v>
      </c>
      <c r="X48" t="s">
        <v>45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36</v>
      </c>
      <c r="X49" t="s">
        <v>46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36</v>
      </c>
      <c r="X50" t="s">
        <v>10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36</v>
      </c>
      <c r="X51" t="s">
        <v>11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29</v>
      </c>
      <c r="X52" t="s">
        <v>6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29</v>
      </c>
      <c r="X53" t="s">
        <v>7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29</v>
      </c>
      <c r="X54" t="s">
        <v>8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29</v>
      </c>
      <c r="X55" t="s">
        <v>9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29</v>
      </c>
      <c r="X56" t="s">
        <v>45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29</v>
      </c>
      <c r="X57" t="s">
        <v>46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29</v>
      </c>
      <c r="X58" t="s">
        <v>10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29</v>
      </c>
      <c r="X59" t="s">
        <v>11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23</v>
      </c>
      <c r="X60" t="s">
        <v>6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23</v>
      </c>
      <c r="X61" t="s">
        <v>7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23</v>
      </c>
      <c r="X62" t="s">
        <v>8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23</v>
      </c>
      <c r="X63" t="s">
        <v>9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23</v>
      </c>
      <c r="X64" t="s">
        <v>45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23</v>
      </c>
      <c r="X65" t="s">
        <v>46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23</v>
      </c>
      <c r="X66" t="s">
        <v>10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23</v>
      </c>
      <c r="X67" t="s">
        <v>11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47</v>
      </c>
      <c r="X68" t="s">
        <v>6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47</v>
      </c>
      <c r="X69" t="s">
        <v>7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47</v>
      </c>
      <c r="X70" t="s">
        <v>8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47</v>
      </c>
      <c r="X71" t="s">
        <v>9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47</v>
      </c>
      <c r="X72" t="s">
        <v>45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47</v>
      </c>
      <c r="X73" t="s">
        <v>46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47</v>
      </c>
      <c r="X74" t="s">
        <v>10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47</v>
      </c>
      <c r="X75" t="s">
        <v>11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48</v>
      </c>
      <c r="X76" t="s">
        <v>6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48</v>
      </c>
      <c r="X77" t="s">
        <v>7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48</v>
      </c>
      <c r="X78" t="s">
        <v>8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48</v>
      </c>
      <c r="X79" t="s">
        <v>9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48</v>
      </c>
      <c r="X80" t="s">
        <v>45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48</v>
      </c>
      <c r="X81" t="s">
        <v>46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48</v>
      </c>
      <c r="X82" t="s">
        <v>10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48</v>
      </c>
      <c r="X83" t="s">
        <v>11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32</v>
      </c>
      <c r="X84" t="s">
        <v>6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32</v>
      </c>
      <c r="X85" t="s">
        <v>7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32</v>
      </c>
      <c r="X86" t="s">
        <v>8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32</v>
      </c>
      <c r="X87" t="s">
        <v>9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32</v>
      </c>
      <c r="X88" t="s">
        <v>45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32</v>
      </c>
      <c r="X89" t="s">
        <v>46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32</v>
      </c>
      <c r="X90" t="s">
        <v>10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32</v>
      </c>
      <c r="X91" t="s">
        <v>11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38</v>
      </c>
      <c r="X92" t="s">
        <v>6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38</v>
      </c>
      <c r="X93" t="s">
        <v>7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38</v>
      </c>
      <c r="X94" t="s">
        <v>8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38</v>
      </c>
      <c r="X95" t="s">
        <v>9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38</v>
      </c>
      <c r="X96" t="s">
        <v>45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38</v>
      </c>
      <c r="X97" t="s">
        <v>46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38</v>
      </c>
      <c r="X98" t="s">
        <v>10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38</v>
      </c>
      <c r="X99" t="s">
        <v>11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35</v>
      </c>
      <c r="X100" t="s">
        <v>6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35</v>
      </c>
      <c r="X101" t="s">
        <v>7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35</v>
      </c>
      <c r="X102" t="s">
        <v>8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35</v>
      </c>
      <c r="X103" t="s">
        <v>9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35</v>
      </c>
      <c r="X104" t="s">
        <v>45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35</v>
      </c>
      <c r="X105" t="s">
        <v>46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35</v>
      </c>
      <c r="X106" t="s">
        <v>10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35</v>
      </c>
      <c r="X107" t="s">
        <v>11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51</v>
      </c>
      <c r="X108" t="s">
        <v>51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184</v>
      </c>
      <c r="X109" t="s">
        <v>6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184</v>
      </c>
      <c r="X110" t="s">
        <v>7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184</v>
      </c>
      <c r="X111" t="s">
        <v>8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184</v>
      </c>
      <c r="X112" t="s">
        <v>9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184</v>
      </c>
      <c r="X113" t="s">
        <v>45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184</v>
      </c>
      <c r="X114" t="s">
        <v>46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184</v>
      </c>
      <c r="X115" t="s">
        <v>10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184</v>
      </c>
      <c r="X116" t="s">
        <v>11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186</v>
      </c>
      <c r="X117" t="s">
        <v>6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186</v>
      </c>
      <c r="X118" t="s">
        <v>7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186</v>
      </c>
      <c r="X119" t="s">
        <v>8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186</v>
      </c>
      <c r="X120" t="s">
        <v>9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186</v>
      </c>
      <c r="X121" t="s">
        <v>45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186</v>
      </c>
      <c r="X122" t="s">
        <v>46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186</v>
      </c>
      <c r="X123" t="s">
        <v>10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186</v>
      </c>
      <c r="X124" t="s">
        <v>11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21</v>
      </c>
      <c r="C2" s="7" t="s">
        <v>105</v>
      </c>
      <c r="D2" s="7" t="s">
        <v>106</v>
      </c>
      <c r="E2" s="7" t="s">
        <v>22</v>
      </c>
      <c r="F2" s="7" t="s">
        <v>107</v>
      </c>
      <c r="G2" s="8" t="s">
        <v>108</v>
      </c>
      <c r="H2" s="8" t="s">
        <v>109</v>
      </c>
      <c r="I2" s="9" t="s">
        <v>110</v>
      </c>
      <c r="J2" s="8" t="s">
        <v>111</v>
      </c>
      <c r="K2" s="8" t="s">
        <v>112</v>
      </c>
      <c r="L2" s="8" t="s">
        <v>113</v>
      </c>
      <c r="M2" s="8" t="s">
        <v>114</v>
      </c>
      <c r="N2" s="8" t="s">
        <v>115</v>
      </c>
      <c r="O2" s="8" t="s">
        <v>116</v>
      </c>
      <c r="P2" s="8" t="s">
        <v>117</v>
      </c>
      <c r="Q2" s="8" t="s">
        <v>118</v>
      </c>
      <c r="R2" s="8" t="s">
        <v>119</v>
      </c>
      <c r="S2" s="10" t="s">
        <v>120</v>
      </c>
      <c r="T2" s="8" t="s">
        <v>121</v>
      </c>
      <c r="U2" s="8" t="s">
        <v>122</v>
      </c>
      <c r="V2" s="7" t="s">
        <v>123</v>
      </c>
      <c r="W2" s="8" t="s">
        <v>124</v>
      </c>
      <c r="X2" s="7" t="s">
        <v>125</v>
      </c>
      <c r="Y2" s="7" t="s">
        <v>126</v>
      </c>
    </row>
    <row r="3" spans="1:25" x14ac:dyDescent="0.2">
      <c r="A3" s="1" t="s">
        <v>50</v>
      </c>
      <c r="B3" t="s">
        <v>53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5" customFormat="1" x14ac:dyDescent="0.2">
      <c r="A4" s="17" t="s">
        <v>34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26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27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28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36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29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23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30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31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32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38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35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51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47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48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49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184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185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183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52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N39"/>
  <sheetViews>
    <sheetView showGridLines="0" tabSelected="1" view="pageBreakPreview" zoomScaleNormal="100" zoomScaleSheetLayoutView="100" workbookViewId="0">
      <selection activeCell="A4" sqref="A4:A6"/>
    </sheetView>
  </sheetViews>
  <sheetFormatPr defaultColWidth="11" defaultRowHeight="35.1" customHeight="1" x14ac:dyDescent="0.25"/>
  <cols>
    <col min="1" max="1" width="34.42578125" style="23" customWidth="1"/>
    <col min="2" max="2" width="7.140625" style="23" customWidth="1"/>
    <col min="3" max="4" width="5.85546875" style="23" customWidth="1"/>
    <col min="5" max="5" width="7.42578125" style="23" customWidth="1"/>
    <col min="6" max="6" width="10.28515625" style="23" customWidth="1"/>
    <col min="7" max="7" width="13.42578125" style="23" customWidth="1"/>
    <col min="8" max="8" width="12.42578125" style="23" customWidth="1"/>
    <col min="9" max="9" width="12.140625" style="23" customWidth="1"/>
    <col min="10" max="10" width="9.85546875" style="23" customWidth="1"/>
    <col min="11" max="11" width="11.42578125" style="23" customWidth="1"/>
    <col min="12" max="12" width="13.140625" style="23" customWidth="1"/>
    <col min="13" max="13" width="10.28515625" style="23" customWidth="1"/>
    <col min="14" max="14" width="12.85546875" style="23" customWidth="1"/>
    <col min="15" max="15" width="17.85546875" style="23" customWidth="1"/>
    <col min="16" max="16384" width="11" style="23"/>
  </cols>
  <sheetData>
    <row r="1" spans="1:14" ht="19.5" customHeight="1" x14ac:dyDescent="0.25">
      <c r="A1" s="44" t="s">
        <v>206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</row>
    <row r="2" spans="1:14" ht="18" customHeight="1" x14ac:dyDescent="0.25">
      <c r="A2" s="46" t="s">
        <v>207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</row>
    <row r="3" spans="1:14" ht="25.5" customHeight="1" x14ac:dyDescent="0.25">
      <c r="A3" s="48" t="s">
        <v>229</v>
      </c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</row>
    <row r="4" spans="1:14" ht="35.1" customHeight="1" x14ac:dyDescent="0.25">
      <c r="A4" s="50" t="s">
        <v>20</v>
      </c>
      <c r="B4" s="49" t="s">
        <v>5</v>
      </c>
      <c r="C4" s="49"/>
      <c r="D4" s="49"/>
      <c r="E4" s="49"/>
      <c r="F4" s="49" t="s">
        <v>4</v>
      </c>
      <c r="G4" s="49"/>
      <c r="H4" s="49"/>
      <c r="I4" s="49" t="s">
        <v>3</v>
      </c>
      <c r="J4" s="49"/>
      <c r="K4" s="49"/>
      <c r="L4" s="49"/>
      <c r="M4" s="49"/>
      <c r="N4" s="49"/>
    </row>
    <row r="5" spans="1:14" ht="35.1" customHeight="1" x14ac:dyDescent="0.25">
      <c r="A5" s="50"/>
      <c r="B5" s="50" t="s">
        <v>19</v>
      </c>
      <c r="C5" s="50" t="s">
        <v>18</v>
      </c>
      <c r="D5" s="50" t="s">
        <v>17</v>
      </c>
      <c r="E5" s="50" t="s">
        <v>16</v>
      </c>
      <c r="F5" s="50" t="s">
        <v>2</v>
      </c>
      <c r="G5" s="50" t="s">
        <v>25</v>
      </c>
      <c r="H5" s="50" t="s">
        <v>12</v>
      </c>
      <c r="I5" s="49" t="s">
        <v>1</v>
      </c>
      <c r="J5" s="49"/>
      <c r="K5" s="49"/>
      <c r="L5" s="49" t="s">
        <v>0</v>
      </c>
      <c r="M5" s="49"/>
      <c r="N5" s="49"/>
    </row>
    <row r="6" spans="1:14" ht="95.25" customHeight="1" x14ac:dyDescent="0.25">
      <c r="A6" s="50"/>
      <c r="B6" s="50"/>
      <c r="C6" s="50"/>
      <c r="D6" s="50"/>
      <c r="E6" s="50"/>
      <c r="F6" s="50"/>
      <c r="G6" s="50"/>
      <c r="H6" s="50"/>
      <c r="I6" s="24" t="s">
        <v>13</v>
      </c>
      <c r="J6" s="24" t="s">
        <v>14</v>
      </c>
      <c r="K6" s="24" t="s">
        <v>15</v>
      </c>
      <c r="L6" s="24" t="s">
        <v>13</v>
      </c>
      <c r="M6" s="24" t="s">
        <v>14</v>
      </c>
      <c r="N6" s="24" t="s">
        <v>15</v>
      </c>
    </row>
    <row r="7" spans="1:14" ht="20.100000000000001" customHeight="1" x14ac:dyDescent="0.25">
      <c r="A7" s="51" t="s">
        <v>189</v>
      </c>
      <c r="B7" s="27">
        <v>20</v>
      </c>
      <c r="C7" s="27">
        <v>7</v>
      </c>
      <c r="D7" s="27">
        <v>1</v>
      </c>
      <c r="E7" s="27">
        <v>26</v>
      </c>
      <c r="F7" s="28">
        <v>180</v>
      </c>
      <c r="G7" s="29" t="s">
        <v>192</v>
      </c>
      <c r="H7" s="30" t="s">
        <v>193</v>
      </c>
      <c r="I7" s="27">
        <v>56494</v>
      </c>
      <c r="J7" s="27">
        <v>117</v>
      </c>
      <c r="K7" s="27">
        <v>56705</v>
      </c>
      <c r="L7" s="27">
        <v>110493.9</v>
      </c>
      <c r="M7" s="27">
        <v>134.19999999999999</v>
      </c>
      <c r="N7" s="27">
        <v>110758.3</v>
      </c>
    </row>
    <row r="8" spans="1:14" ht="20.100000000000001" customHeight="1" x14ac:dyDescent="0.25">
      <c r="A8" s="51" t="s">
        <v>208</v>
      </c>
      <c r="B8" s="27">
        <v>23</v>
      </c>
      <c r="C8" s="27">
        <v>0</v>
      </c>
      <c r="D8" s="27">
        <v>0</v>
      </c>
      <c r="E8" s="27">
        <v>23</v>
      </c>
      <c r="F8" s="28">
        <v>180</v>
      </c>
      <c r="G8" s="29" t="s">
        <v>194</v>
      </c>
      <c r="H8" s="30" t="s">
        <v>195</v>
      </c>
      <c r="I8" s="27">
        <v>22389</v>
      </c>
      <c r="J8" s="27">
        <v>39</v>
      </c>
      <c r="K8" s="27">
        <v>22454</v>
      </c>
      <c r="L8" s="27">
        <v>39662.233333333192</v>
      </c>
      <c r="M8" s="27">
        <v>42.35</v>
      </c>
      <c r="N8" s="27">
        <v>39740.183333333189</v>
      </c>
    </row>
    <row r="9" spans="1:14" ht="20.100000000000001" customHeight="1" x14ac:dyDescent="0.25">
      <c r="A9" s="51" t="s">
        <v>208</v>
      </c>
      <c r="B9" s="27">
        <v>88</v>
      </c>
      <c r="C9" s="27">
        <v>0</v>
      </c>
      <c r="D9" s="27">
        <v>13</v>
      </c>
      <c r="E9" s="27">
        <v>75</v>
      </c>
      <c r="F9" s="28">
        <v>186</v>
      </c>
      <c r="G9" s="29" t="s">
        <v>196</v>
      </c>
      <c r="H9" s="30" t="s">
        <v>197</v>
      </c>
      <c r="I9" s="27">
        <v>85238</v>
      </c>
      <c r="J9" s="27">
        <v>155</v>
      </c>
      <c r="K9" s="27">
        <v>85548</v>
      </c>
      <c r="L9" s="27">
        <v>174056.93333333282</v>
      </c>
      <c r="M9" s="27">
        <v>183.03333333333342</v>
      </c>
      <c r="N9" s="27">
        <v>174612.56666666616</v>
      </c>
    </row>
    <row r="10" spans="1:14" ht="20.100000000000001" customHeight="1" x14ac:dyDescent="0.25">
      <c r="A10" s="51" t="s">
        <v>190</v>
      </c>
      <c r="B10" s="27">
        <v>15</v>
      </c>
      <c r="C10" s="27">
        <v>0</v>
      </c>
      <c r="D10" s="27">
        <v>1</v>
      </c>
      <c r="E10" s="27">
        <v>14</v>
      </c>
      <c r="F10" s="28">
        <v>222</v>
      </c>
      <c r="G10" s="29" t="s">
        <v>216</v>
      </c>
      <c r="H10" s="30" t="s">
        <v>198</v>
      </c>
      <c r="I10" s="27">
        <v>17249</v>
      </c>
      <c r="J10" s="27">
        <v>0</v>
      </c>
      <c r="K10" s="27">
        <v>17268</v>
      </c>
      <c r="L10" s="27">
        <v>47476.983333333555</v>
      </c>
      <c r="M10" s="27">
        <v>0</v>
      </c>
      <c r="N10" s="27">
        <v>47527.066666666891</v>
      </c>
    </row>
    <row r="11" spans="1:14" ht="20.100000000000001" customHeight="1" x14ac:dyDescent="0.25">
      <c r="A11" s="51" t="s">
        <v>190</v>
      </c>
      <c r="B11" s="27">
        <v>10</v>
      </c>
      <c r="C11" s="27">
        <v>0</v>
      </c>
      <c r="D11" s="27">
        <v>0</v>
      </c>
      <c r="E11" s="27">
        <v>10</v>
      </c>
      <c r="F11" s="28">
        <v>232</v>
      </c>
      <c r="G11" s="29" t="s">
        <v>217</v>
      </c>
      <c r="H11" s="30" t="s">
        <v>199</v>
      </c>
      <c r="I11" s="27">
        <v>2684</v>
      </c>
      <c r="J11" s="27">
        <v>0</v>
      </c>
      <c r="K11" s="27">
        <v>2688</v>
      </c>
      <c r="L11" s="27">
        <v>5402.7333333333536</v>
      </c>
      <c r="M11" s="27">
        <v>0</v>
      </c>
      <c r="N11" s="27">
        <v>5409.3166666666866</v>
      </c>
    </row>
    <row r="12" spans="1:14" ht="20.100000000000001" customHeight="1" x14ac:dyDescent="0.25">
      <c r="A12" s="51" t="s">
        <v>209</v>
      </c>
      <c r="B12" s="27">
        <v>81</v>
      </c>
      <c r="C12" s="27">
        <v>16</v>
      </c>
      <c r="D12" s="27">
        <v>0</v>
      </c>
      <c r="E12" s="27">
        <v>97</v>
      </c>
      <c r="F12" s="28">
        <v>186</v>
      </c>
      <c r="G12" s="29" t="s">
        <v>218</v>
      </c>
      <c r="H12" s="30" t="s">
        <v>200</v>
      </c>
      <c r="I12" s="27">
        <v>221099</v>
      </c>
      <c r="J12" s="27">
        <v>453</v>
      </c>
      <c r="K12" s="27">
        <v>221793</v>
      </c>
      <c r="L12" s="27">
        <v>469059.04999999399</v>
      </c>
      <c r="M12" s="27">
        <v>516.49999999999977</v>
      </c>
      <c r="N12" s="27">
        <v>469992.38333332731</v>
      </c>
    </row>
    <row r="13" spans="1:14" ht="20.100000000000001" customHeight="1" x14ac:dyDescent="0.25">
      <c r="A13" s="51" t="s">
        <v>210</v>
      </c>
      <c r="B13" s="27">
        <v>69</v>
      </c>
      <c r="C13" s="27">
        <v>26</v>
      </c>
      <c r="D13" s="27">
        <v>0</v>
      </c>
      <c r="E13" s="27">
        <v>95</v>
      </c>
      <c r="F13" s="28">
        <v>232</v>
      </c>
      <c r="G13" s="29" t="s">
        <v>219</v>
      </c>
      <c r="H13" s="30" t="s">
        <v>198</v>
      </c>
      <c r="I13" s="27">
        <v>195455</v>
      </c>
      <c r="J13" s="27">
        <v>7</v>
      </c>
      <c r="K13" s="27">
        <v>195553</v>
      </c>
      <c r="L13" s="27">
        <v>402830.150000002</v>
      </c>
      <c r="M13" s="27">
        <v>18.133333333333333</v>
      </c>
      <c r="N13" s="27">
        <v>403191.56666666869</v>
      </c>
    </row>
    <row r="14" spans="1:14" ht="20.100000000000001" customHeight="1" x14ac:dyDescent="0.25">
      <c r="A14" s="51" t="s">
        <v>211</v>
      </c>
      <c r="B14" s="27">
        <v>0</v>
      </c>
      <c r="C14" s="27">
        <v>16</v>
      </c>
      <c r="D14" s="27">
        <v>0</v>
      </c>
      <c r="E14" s="27">
        <v>16</v>
      </c>
      <c r="F14" s="31">
        <v>220</v>
      </c>
      <c r="G14" s="32" t="s">
        <v>220</v>
      </c>
      <c r="H14" s="33" t="s">
        <v>204</v>
      </c>
      <c r="I14" s="27">
        <v>5509</v>
      </c>
      <c r="J14" s="27">
        <v>0</v>
      </c>
      <c r="K14" s="27">
        <v>5528</v>
      </c>
      <c r="L14" s="27">
        <v>13109.583333333312</v>
      </c>
      <c r="M14" s="27">
        <v>0</v>
      </c>
      <c r="N14" s="27">
        <v>13248.966666666645</v>
      </c>
    </row>
    <row r="15" spans="1:14" ht="20.100000000000001" customHeight="1" x14ac:dyDescent="0.25">
      <c r="A15" s="51" t="s">
        <v>187</v>
      </c>
      <c r="B15" s="27">
        <v>45</v>
      </c>
      <c r="C15" s="27">
        <v>5</v>
      </c>
      <c r="D15" s="27">
        <v>2</v>
      </c>
      <c r="E15" s="27">
        <v>48</v>
      </c>
      <c r="F15" s="31">
        <v>78</v>
      </c>
      <c r="G15" s="34" t="s">
        <v>201</v>
      </c>
      <c r="H15" s="35" t="s">
        <v>202</v>
      </c>
      <c r="I15" s="27">
        <v>123234</v>
      </c>
      <c r="J15" s="27">
        <v>591</v>
      </c>
      <c r="K15" s="27">
        <v>124050</v>
      </c>
      <c r="L15" s="27">
        <v>175416.3500000007</v>
      </c>
      <c r="M15" s="27">
        <v>1095.7</v>
      </c>
      <c r="N15" s="27">
        <v>176870.30000000072</v>
      </c>
    </row>
    <row r="16" spans="1:14" ht="20.100000000000001" customHeight="1" x14ac:dyDescent="0.25">
      <c r="A16" s="51" t="s">
        <v>212</v>
      </c>
      <c r="B16" s="27">
        <v>3</v>
      </c>
      <c r="C16" s="27">
        <v>0</v>
      </c>
      <c r="D16" s="27">
        <v>0</v>
      </c>
      <c r="E16" s="27">
        <v>3</v>
      </c>
      <c r="F16" s="36" t="s">
        <v>203</v>
      </c>
      <c r="G16" s="37" t="s">
        <v>221</v>
      </c>
      <c r="H16" s="38" t="s">
        <v>204</v>
      </c>
      <c r="I16" s="39">
        <v>0</v>
      </c>
      <c r="J16" s="27">
        <v>2537</v>
      </c>
      <c r="K16" s="27">
        <v>2537</v>
      </c>
      <c r="L16" s="27">
        <v>0</v>
      </c>
      <c r="M16" s="27">
        <v>7989.2999999999929</v>
      </c>
      <c r="N16" s="27">
        <v>7989.2999999999929</v>
      </c>
    </row>
    <row r="17" spans="1:14" ht="20.100000000000001" customHeight="1" x14ac:dyDescent="0.25">
      <c r="A17" s="52" t="s">
        <v>188</v>
      </c>
      <c r="B17" s="27">
        <v>2</v>
      </c>
      <c r="C17" s="27">
        <v>0</v>
      </c>
      <c r="D17" s="27">
        <v>0</v>
      </c>
      <c r="E17" s="27">
        <v>2</v>
      </c>
      <c r="F17" s="31">
        <v>531</v>
      </c>
      <c r="G17" s="40">
        <v>68.5</v>
      </c>
      <c r="H17" s="41" t="s">
        <v>205</v>
      </c>
      <c r="I17" s="27">
        <v>1349</v>
      </c>
      <c r="J17" s="27">
        <v>0</v>
      </c>
      <c r="K17" s="27">
        <v>1356</v>
      </c>
      <c r="L17" s="27">
        <v>9175.7000000000007</v>
      </c>
      <c r="M17" s="27">
        <v>0</v>
      </c>
      <c r="N17" s="27">
        <v>9224.6</v>
      </c>
    </row>
    <row r="18" spans="1:14" ht="20.100000000000001" customHeight="1" x14ac:dyDescent="0.25">
      <c r="A18" s="53" t="s">
        <v>189</v>
      </c>
      <c r="B18" s="27">
        <v>9</v>
      </c>
      <c r="C18" s="27">
        <v>0</v>
      </c>
      <c r="D18" s="27">
        <v>0</v>
      </c>
      <c r="E18" s="27">
        <v>9</v>
      </c>
      <c r="F18" s="31">
        <v>180</v>
      </c>
      <c r="G18" s="29" t="s">
        <v>192</v>
      </c>
      <c r="H18" s="30" t="s">
        <v>193</v>
      </c>
      <c r="I18" s="27">
        <v>13564</v>
      </c>
      <c r="J18" s="27">
        <v>1</v>
      </c>
      <c r="K18" s="27">
        <v>13635</v>
      </c>
      <c r="L18" s="27">
        <v>28828.216666666667</v>
      </c>
      <c r="M18" s="27">
        <v>3.25</v>
      </c>
      <c r="N18" s="27">
        <v>29085.766666666666</v>
      </c>
    </row>
    <row r="19" spans="1:14" ht="20.100000000000001" customHeight="1" x14ac:dyDescent="0.25">
      <c r="A19" s="51" t="s">
        <v>191</v>
      </c>
      <c r="B19" s="27">
        <v>1</v>
      </c>
      <c r="C19" s="27">
        <v>5</v>
      </c>
      <c r="D19" s="27">
        <v>0</v>
      </c>
      <c r="E19" s="27">
        <v>6</v>
      </c>
      <c r="F19" s="31">
        <v>180</v>
      </c>
      <c r="G19" s="29" t="s">
        <v>192</v>
      </c>
      <c r="H19" s="30" t="s">
        <v>193</v>
      </c>
      <c r="I19" s="27">
        <v>15037</v>
      </c>
      <c r="J19" s="27">
        <v>0</v>
      </c>
      <c r="K19" s="27">
        <v>15094</v>
      </c>
      <c r="L19" s="27">
        <v>31373.333333333238</v>
      </c>
      <c r="M19" s="27">
        <v>0</v>
      </c>
      <c r="N19" s="27">
        <v>31565.649999999903</v>
      </c>
    </row>
    <row r="20" spans="1:14" ht="20.100000000000001" customHeight="1" x14ac:dyDescent="0.25">
      <c r="A20" s="51" t="s">
        <v>213</v>
      </c>
      <c r="B20" s="27">
        <v>0</v>
      </c>
      <c r="C20" s="27">
        <v>3</v>
      </c>
      <c r="D20" s="27">
        <v>0</v>
      </c>
      <c r="E20" s="27">
        <v>3</v>
      </c>
      <c r="F20" s="31">
        <v>189</v>
      </c>
      <c r="G20" s="32" t="s">
        <v>222</v>
      </c>
      <c r="H20" s="33" t="s">
        <v>223</v>
      </c>
      <c r="I20" s="27">
        <v>4001</v>
      </c>
      <c r="J20" s="27">
        <v>0</v>
      </c>
      <c r="K20" s="27">
        <v>4010</v>
      </c>
      <c r="L20" s="27">
        <v>8220.1499999999869</v>
      </c>
      <c r="M20" s="27">
        <v>0</v>
      </c>
      <c r="N20" s="27">
        <v>8269.9333333333198</v>
      </c>
    </row>
    <row r="21" spans="1:14" ht="20.100000000000001" customHeight="1" x14ac:dyDescent="0.25">
      <c r="A21" s="54" t="s">
        <v>214</v>
      </c>
      <c r="B21" s="27">
        <v>0</v>
      </c>
      <c r="C21" s="27">
        <v>9</v>
      </c>
      <c r="D21" s="27">
        <v>0</v>
      </c>
      <c r="E21" s="27">
        <v>9</v>
      </c>
      <c r="F21" s="31" t="s">
        <v>224</v>
      </c>
      <c r="G21" s="32" t="s">
        <v>225</v>
      </c>
      <c r="H21" s="33" t="s">
        <v>226</v>
      </c>
      <c r="I21" s="27">
        <v>4907</v>
      </c>
      <c r="J21" s="27">
        <v>0</v>
      </c>
      <c r="K21" s="27">
        <v>4915</v>
      </c>
      <c r="L21" s="27">
        <v>20013.56666666676</v>
      </c>
      <c r="M21" s="27">
        <v>0</v>
      </c>
      <c r="N21" s="27">
        <v>20044.750000000095</v>
      </c>
    </row>
    <row r="22" spans="1:14" ht="20.100000000000001" customHeight="1" x14ac:dyDescent="0.25">
      <c r="A22" s="52" t="s">
        <v>215</v>
      </c>
      <c r="B22" s="27">
        <v>0</v>
      </c>
      <c r="C22" s="27">
        <v>1</v>
      </c>
      <c r="D22" s="27">
        <v>0</v>
      </c>
      <c r="E22" s="27">
        <v>1</v>
      </c>
      <c r="F22" s="31">
        <v>338</v>
      </c>
      <c r="G22" s="32" t="s">
        <v>227</v>
      </c>
      <c r="H22" s="33" t="s">
        <v>228</v>
      </c>
      <c r="I22" s="27">
        <v>62</v>
      </c>
      <c r="J22" s="27">
        <v>0</v>
      </c>
      <c r="K22" s="27">
        <v>63</v>
      </c>
      <c r="L22" s="27">
        <v>270.44999999999993</v>
      </c>
      <c r="M22" s="27">
        <v>0</v>
      </c>
      <c r="N22" s="27">
        <v>278.53333333333325</v>
      </c>
    </row>
    <row r="23" spans="1:14" ht="20.100000000000001" customHeight="1" x14ac:dyDescent="0.25">
      <c r="A23" s="25" t="s">
        <v>52</v>
      </c>
      <c r="B23" s="42">
        <f>SUM(B7:B22)</f>
        <v>366</v>
      </c>
      <c r="C23" s="42">
        <f>SUM(C7:C22)</f>
        <v>88</v>
      </c>
      <c r="D23" s="42">
        <f>SUM(D7:D22)</f>
        <v>17</v>
      </c>
      <c r="E23" s="42">
        <f>SUM(E7:E22)</f>
        <v>437</v>
      </c>
      <c r="F23" s="27"/>
      <c r="G23" s="43"/>
      <c r="H23" s="43"/>
      <c r="I23" s="42">
        <f>SUM(I7:I22)</f>
        <v>768271</v>
      </c>
      <c r="J23" s="42">
        <f>SUM(J7:J22)</f>
        <v>3900</v>
      </c>
      <c r="K23" s="42">
        <f>SUM(K7:K22)</f>
        <v>773197</v>
      </c>
      <c r="L23" s="42">
        <f>SUM(L7:L22)</f>
        <v>1535389.3333333293</v>
      </c>
      <c r="M23" s="42">
        <f>SUM(M7:M22)</f>
        <v>9982.4666666666599</v>
      </c>
      <c r="N23" s="42">
        <f>SUM(N7:N22)</f>
        <v>1547809.1833333296</v>
      </c>
    </row>
    <row r="24" spans="1:14" ht="35.1" customHeight="1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</row>
    <row r="25" spans="1:14" ht="35.1" customHeight="1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</row>
    <row r="26" spans="1:14" ht="35.1" customHeight="1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ht="35.1" customHeight="1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</row>
    <row r="28" spans="1:14" ht="35.1" customHeight="1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</row>
    <row r="29" spans="1:14" ht="35.1" customHeight="1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</row>
    <row r="30" spans="1:14" ht="35.1" customHeight="1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</row>
    <row r="31" spans="1:14" ht="35.1" customHeight="1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</row>
    <row r="32" spans="1:14" ht="35.1" customHeight="1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</row>
    <row r="33" spans="1:14" ht="35.1" customHeight="1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</row>
    <row r="34" spans="1:14" ht="35.1" customHeight="1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</row>
    <row r="35" spans="1:14" ht="35.1" customHeight="1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</row>
    <row r="36" spans="1:14" ht="35.1" customHeight="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</row>
    <row r="37" spans="1:14" ht="35.1" customHeight="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</row>
    <row r="38" spans="1:14" ht="35.1" customHeight="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ht="35.1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</row>
  </sheetData>
  <mergeCells count="16">
    <mergeCell ref="B5:B6"/>
    <mergeCell ref="L5:N5"/>
    <mergeCell ref="A4:A6"/>
    <mergeCell ref="D5:D6"/>
    <mergeCell ref="I5:K5"/>
    <mergeCell ref="E5:E6"/>
    <mergeCell ref="G5:G6"/>
    <mergeCell ref="F5:F6"/>
    <mergeCell ref="H5:H6"/>
    <mergeCell ref="I4:N4"/>
    <mergeCell ref="C5:C6"/>
    <mergeCell ref="A1:N1"/>
    <mergeCell ref="A2:N2"/>
    <mergeCell ref="A3:N3"/>
    <mergeCell ref="B4:E4"/>
    <mergeCell ref="F4:H4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C</vt:lpstr>
      <vt:lpstr>'C'!Print_Area</vt:lpstr>
      <vt:lpstr>'C'!Print_Area_MI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2025-03-28T10:30:30Z</cp:lastPrinted>
  <dcterms:created xsi:type="dcterms:W3CDTF">2002-12-26T09:18:20Z</dcterms:created>
  <dcterms:modified xsi:type="dcterms:W3CDTF">2025-11-18T11:32:38Z</dcterms:modified>
</cp:coreProperties>
</file>