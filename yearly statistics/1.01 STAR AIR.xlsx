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STAR AIR\"/>
    </mc:Choice>
  </mc:AlternateContent>
  <bookViews>
    <workbookView xWindow="0" yWindow="0" windowWidth="11970" windowHeight="9495"/>
  </bookViews>
  <sheets>
    <sheet name="STAR AIR" sheetId="1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" i="14" l="1"/>
  <c r="H6" i="14"/>
  <c r="O18" i="14" l="1"/>
  <c r="Q7" i="14" l="1"/>
  <c r="Q8" i="14"/>
  <c r="Q9" i="14"/>
  <c r="Q10" i="14"/>
  <c r="Q11" i="14"/>
  <c r="Q12" i="14"/>
  <c r="Q13" i="14"/>
  <c r="Q14" i="14"/>
  <c r="Q15" i="14"/>
  <c r="Q16" i="14"/>
  <c r="Q17" i="14"/>
  <c r="H7" i="14" l="1"/>
  <c r="H8" i="14"/>
  <c r="H9" i="14"/>
  <c r="H10" i="14"/>
  <c r="H11" i="14"/>
  <c r="H12" i="14"/>
  <c r="H13" i="14"/>
  <c r="H14" i="14"/>
  <c r="H16" i="14" l="1"/>
  <c r="H17" i="14"/>
  <c r="H15" i="14"/>
  <c r="E18" i="14" l="1"/>
  <c r="D18" i="14"/>
  <c r="B18" i="14"/>
  <c r="P18" i="14"/>
  <c r="N18" i="14"/>
  <c r="F18" i="14"/>
  <c r="M18" i="14"/>
  <c r="L18" i="14"/>
  <c r="G18" i="14"/>
  <c r="C18" i="14"/>
  <c r="H18" i="14" l="1"/>
  <c r="Q18" i="14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<sst xmlns="http://schemas.openxmlformats.org/spreadsheetml/2006/main" count="26" uniqueCount="24">
  <si>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</si>
  <si>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</si>
  <si>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</si>
  <si>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</si>
  <si>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</si>
  <si>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</si>
  <si>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</si>
  <si>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</si>
  <si>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</si>
  <si>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</si>
  <si>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</si>
  <si>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</si>
  <si>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</si>
  <si>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</si>
  <si>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</si>
  <si>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</si>
  <si>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</si>
  <si>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</si>
  <si>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</si>
  <si>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(स्टार एयर) </t>
  </si>
  <si>
    <t>Table 1.01 (STAR AIR)</t>
  </si>
  <si>
    <t>SOURCE:-  ICAO ATR FORM 'A' FURNISHED BY STAR AIR</t>
  </si>
  <si>
    <t>2024-25</t>
  </si>
  <si>
    <t>MONTHLY TRAFFIC AND OPERATING STATISTICS OF AIR ASIA ON SCHEDULED DOMESTIC SERVICES DURING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</si>
</sst>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7" fontId="3" fillId="5" borderId="1" xfId="3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view="pageBreakPreview" zoomScale="115" zoomScaleNormal="100" zoomScaleSheetLayoutView="115" workbookViewId="0">
      <selection activeCell="I17" sqref="I17"/>
    </sheetView>
  </sheetViews>
  <sheetFormatPr defaultRowHeight="15" x14ac:dyDescent="0.25"/>
  <cols>
    <col min="2" max="2" width="7.140625" customWidth="1"/>
    <col min="3" max="3" width="7.85546875" customWidth="1"/>
    <col min="4" max="4" width="8.5703125" customWidth="1"/>
    <col min="5" max="5" width="9.28515625" customWidth="1"/>
    <col min="6" max="6" width="8.140625" customWidth="1"/>
    <col min="7" max="7" width="8.7109375" customWidth="1"/>
    <col min="8" max="8" width="7.85546875" customWidth="1"/>
    <col min="9" max="10" width="6" customWidth="1"/>
    <col min="11" max="11" width="6.85546875" customWidth="1"/>
    <col min="12" max="12" width="9.7109375" customWidth="1"/>
    <col min="13" max="13" width="7.140625" customWidth="1"/>
    <col min="14" max="14" width="6.42578125" customWidth="1"/>
    <col min="15" max="15" width="8.85546875" customWidth="1"/>
    <col min="16" max="16" width="9.7109375" customWidth="1"/>
    <col min="17" max="17" width="7.28515625" customWidth="1"/>
  </cols>
  <sheetData>
    <row r="1" spans="1:17" x14ac:dyDescent="0.25">
      <c r="A1" s="16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20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19" t="s">
        <v>23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28.15" customHeight="1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1" t="s">
        <v>3</v>
      </c>
      <c r="H4" s="11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1" t="s">
        <v>7</v>
      </c>
      <c r="Q4" s="11" t="s">
        <v>8</v>
      </c>
    </row>
    <row r="5" spans="1:17" ht="116.25" customHeight="1" x14ac:dyDescent="0.25">
      <c r="A5" s="19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2"/>
      <c r="H5" s="12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2"/>
      <c r="Q5" s="12"/>
    </row>
    <row r="6" spans="1:17" x14ac:dyDescent="0.25">
      <c r="A6" s="8">
        <v>45383</v>
      </c>
      <c r="B6" s="2">
        <v>1171</v>
      </c>
      <c r="C6" s="2">
        <v>1621.8333333333333</v>
      </c>
      <c r="D6" s="2">
        <v>749.12</v>
      </c>
      <c r="E6" s="2">
        <v>52819</v>
      </c>
      <c r="F6" s="2">
        <v>34.429715000000002</v>
      </c>
      <c r="G6" s="2">
        <v>46.250890000000012</v>
      </c>
      <c r="H6" s="5">
        <f t="shared" ref="H6:H14" si="0">F6/G6*100</f>
        <v>74.441194537013217</v>
      </c>
      <c r="I6" s="5"/>
      <c r="J6" s="5"/>
      <c r="K6" s="5">
        <v>0</v>
      </c>
      <c r="L6" s="5">
        <v>3.0986743500000014</v>
      </c>
      <c r="M6" s="5">
        <v>0</v>
      </c>
      <c r="N6" s="5">
        <v>0</v>
      </c>
      <c r="O6" s="5">
        <v>3.0986743500000014</v>
      </c>
      <c r="P6" s="5">
        <v>4.1625800999999978</v>
      </c>
      <c r="Q6" s="5">
        <f t="shared" ref="Q6" si="1">O6/P6*100</f>
        <v>74.441194537013317</v>
      </c>
    </row>
    <row r="7" spans="1:17" x14ac:dyDescent="0.25">
      <c r="A7" s="10">
        <v>45413</v>
      </c>
      <c r="B7" s="3">
        <v>1252</v>
      </c>
      <c r="C7" s="3">
        <v>1751.4166666666667</v>
      </c>
      <c r="D7" s="3">
        <v>792.46400000000006</v>
      </c>
      <c r="E7" s="3">
        <v>57676</v>
      </c>
      <c r="F7" s="3">
        <v>37.329768999999992</v>
      </c>
      <c r="G7" s="3">
        <v>49.561810000000037</v>
      </c>
      <c r="H7" s="6">
        <f t="shared" si="0"/>
        <v>75.319624121879258</v>
      </c>
      <c r="I7" s="6"/>
      <c r="J7" s="6"/>
      <c r="K7" s="6">
        <v>0</v>
      </c>
      <c r="L7" s="6">
        <v>3.3596792100000004</v>
      </c>
      <c r="M7" s="6">
        <v>0</v>
      </c>
      <c r="N7" s="6">
        <v>0</v>
      </c>
      <c r="O7" s="6">
        <v>3.3596792100000004</v>
      </c>
      <c r="P7" s="6">
        <v>4.4605629000000002</v>
      </c>
      <c r="Q7" s="6">
        <f>O7/P7*100</f>
        <v>75.319624121879329</v>
      </c>
    </row>
    <row r="8" spans="1:17" x14ac:dyDescent="0.25">
      <c r="A8" s="8">
        <v>45444</v>
      </c>
      <c r="B8" s="2">
        <v>1323</v>
      </c>
      <c r="C8" s="2">
        <v>1824.3333333333333</v>
      </c>
      <c r="D8" s="2">
        <v>836.42100000000005</v>
      </c>
      <c r="E8" s="2">
        <v>58670</v>
      </c>
      <c r="F8" s="2">
        <v>37.953997000000001</v>
      </c>
      <c r="G8" s="2">
        <v>53.089970000000008</v>
      </c>
      <c r="H8" s="5">
        <f t="shared" si="0"/>
        <v>71.489957519282825</v>
      </c>
      <c r="I8" s="5"/>
      <c r="J8" s="5"/>
      <c r="K8" s="5">
        <v>0</v>
      </c>
      <c r="L8" s="5">
        <v>3.4158597300000011</v>
      </c>
      <c r="M8" s="5">
        <v>0</v>
      </c>
      <c r="N8" s="5">
        <v>0</v>
      </c>
      <c r="O8" s="5">
        <v>3.4158597300000011</v>
      </c>
      <c r="P8" s="5">
        <v>4.7780972999999971</v>
      </c>
      <c r="Q8" s="5">
        <f t="shared" ref="Q8:Q14" si="2">O8/P8*100</f>
        <v>71.489957519282896</v>
      </c>
    </row>
    <row r="9" spans="1:17" x14ac:dyDescent="0.25">
      <c r="A9" s="10">
        <v>45474</v>
      </c>
      <c r="B9" s="3">
        <v>1228</v>
      </c>
      <c r="C9" s="3">
        <v>1719.4166666666667</v>
      </c>
      <c r="D9" s="3">
        <v>745.99400000000003</v>
      </c>
      <c r="E9" s="3">
        <v>52432</v>
      </c>
      <c r="F9" s="3">
        <v>32.345330644515236</v>
      </c>
      <c r="G9" s="3">
        <v>46.702033202398432</v>
      </c>
      <c r="H9" s="6">
        <f t="shared" si="0"/>
        <v>69.258934625685868</v>
      </c>
      <c r="I9" s="6"/>
      <c r="J9" s="6"/>
      <c r="K9" s="6">
        <v>0</v>
      </c>
      <c r="L9" s="6">
        <v>2.9110797580063714</v>
      </c>
      <c r="M9" s="6">
        <v>0</v>
      </c>
      <c r="N9" s="6">
        <v>0</v>
      </c>
      <c r="O9" s="6">
        <v>2.9110797580063714</v>
      </c>
      <c r="P9" s="6">
        <v>4.2031829882158567</v>
      </c>
      <c r="Q9" s="6">
        <f t="shared" si="2"/>
        <v>69.25893462568591</v>
      </c>
    </row>
    <row r="10" spans="1:17" x14ac:dyDescent="0.25">
      <c r="A10" s="8">
        <v>45505</v>
      </c>
      <c r="B10" s="2">
        <v>1119</v>
      </c>
      <c r="C10" s="2">
        <v>1592.41</v>
      </c>
      <c r="D10" s="2">
        <v>699.94</v>
      </c>
      <c r="E10" s="2">
        <v>51412</v>
      </c>
      <c r="F10" s="2">
        <v>32.197531175248457</v>
      </c>
      <c r="G10" s="2">
        <v>43.765562446078434</v>
      </c>
      <c r="H10" s="5">
        <f t="shared" si="0"/>
        <v>73.568187807291579</v>
      </c>
      <c r="I10" s="5"/>
      <c r="J10" s="5"/>
      <c r="K10" s="5">
        <v>0</v>
      </c>
      <c r="L10" s="5">
        <v>2.8977778057723618</v>
      </c>
      <c r="M10" s="5">
        <v>0</v>
      </c>
      <c r="N10" s="5">
        <v>0</v>
      </c>
      <c r="O10" s="5">
        <v>2.8977778057723618</v>
      </c>
      <c r="P10" s="5">
        <v>3.938900620147058</v>
      </c>
      <c r="Q10" s="5">
        <f t="shared" si="2"/>
        <v>73.568187807291622</v>
      </c>
    </row>
    <row r="11" spans="1:17" x14ac:dyDescent="0.25">
      <c r="A11" s="10">
        <v>45536</v>
      </c>
      <c r="B11" s="3">
        <v>1108</v>
      </c>
      <c r="C11" s="3">
        <v>1584.9166666666667</v>
      </c>
      <c r="D11" s="3">
        <v>703.505</v>
      </c>
      <c r="E11" s="3">
        <v>47677</v>
      </c>
      <c r="F11" s="3">
        <v>30.294262</v>
      </c>
      <c r="G11" s="3">
        <v>45.709436000000025</v>
      </c>
      <c r="H11" s="6">
        <f t="shared" si="0"/>
        <v>66.275729151416314</v>
      </c>
      <c r="I11" s="6"/>
      <c r="J11" s="6"/>
      <c r="K11" s="6">
        <v>0</v>
      </c>
      <c r="L11" s="6">
        <v>2.7264835799999996</v>
      </c>
      <c r="M11" s="6">
        <v>0</v>
      </c>
      <c r="N11" s="6">
        <v>0</v>
      </c>
      <c r="O11" s="6">
        <v>2.7264835799999996</v>
      </c>
      <c r="P11" s="6">
        <v>4.1138492399999995</v>
      </c>
      <c r="Q11" s="6">
        <f t="shared" si="2"/>
        <v>66.275729151416357</v>
      </c>
    </row>
    <row r="12" spans="1:17" x14ac:dyDescent="0.25">
      <c r="A12" s="8">
        <v>45566</v>
      </c>
      <c r="B12" s="2">
        <v>1237</v>
      </c>
      <c r="C12" s="2">
        <v>1799.9166666666667</v>
      </c>
      <c r="D12" s="2">
        <v>770.24800000000005</v>
      </c>
      <c r="E12" s="2">
        <v>56524</v>
      </c>
      <c r="F12" s="2">
        <v>35.784090999999982</v>
      </c>
      <c r="G12" s="2">
        <v>49.829732000000007</v>
      </c>
      <c r="H12" s="5">
        <f t="shared" si="0"/>
        <v>71.812730198910117</v>
      </c>
      <c r="I12" s="5"/>
      <c r="J12" s="5"/>
      <c r="K12" s="5">
        <v>0</v>
      </c>
      <c r="L12" s="5">
        <v>3.2205681899999989</v>
      </c>
      <c r="M12" s="5">
        <v>0</v>
      </c>
      <c r="N12" s="5">
        <v>0</v>
      </c>
      <c r="O12" s="5">
        <v>3.2205681899999989</v>
      </c>
      <c r="P12" s="5">
        <v>4.4846758800000002</v>
      </c>
      <c r="Q12" s="5">
        <f t="shared" si="2"/>
        <v>71.812730198910131</v>
      </c>
    </row>
    <row r="13" spans="1:17" x14ac:dyDescent="0.25">
      <c r="A13" s="10">
        <v>45597</v>
      </c>
      <c r="B13" s="3">
        <v>1159</v>
      </c>
      <c r="C13" s="3">
        <v>1554.5833333333333</v>
      </c>
      <c r="D13" s="3">
        <v>674.44799999999998</v>
      </c>
      <c r="E13" s="3">
        <v>56913</v>
      </c>
      <c r="F13" s="3">
        <v>34.156999999999996</v>
      </c>
      <c r="G13" s="3">
        <v>46.505000000000003</v>
      </c>
      <c r="H13" s="6">
        <f t="shared" si="0"/>
        <v>73.448016342328771</v>
      </c>
      <c r="I13" s="6"/>
      <c r="J13" s="6"/>
      <c r="K13" s="6">
        <v>0</v>
      </c>
      <c r="L13" s="6">
        <v>3.0738303899999995</v>
      </c>
      <c r="M13" s="6">
        <v>0</v>
      </c>
      <c r="N13" s="6">
        <v>0</v>
      </c>
      <c r="O13" s="6">
        <v>3.0738303899999995</v>
      </c>
      <c r="P13" s="6">
        <v>4.1852172599999991</v>
      </c>
      <c r="Q13" s="6">
        <f t="shared" si="2"/>
        <v>73.44494201956914</v>
      </c>
    </row>
    <row r="14" spans="1:17" x14ac:dyDescent="0.25">
      <c r="A14" s="8">
        <v>45627</v>
      </c>
      <c r="B14" s="2">
        <v>1108</v>
      </c>
      <c r="C14" s="2">
        <v>1463.4166666666667</v>
      </c>
      <c r="D14" s="2">
        <v>613.53899999999999</v>
      </c>
      <c r="E14" s="2">
        <v>59861</v>
      </c>
      <c r="F14" s="2">
        <v>33.877000000000002</v>
      </c>
      <c r="G14" s="2">
        <v>43.249000000000002</v>
      </c>
      <c r="H14" s="5">
        <f t="shared" si="0"/>
        <v>78.330134800804643</v>
      </c>
      <c r="I14" s="5"/>
      <c r="J14" s="5"/>
      <c r="K14" s="5">
        <v>0</v>
      </c>
      <c r="L14" s="5">
        <v>3.0490333199999999</v>
      </c>
      <c r="M14" s="5">
        <v>0</v>
      </c>
      <c r="N14" s="5">
        <v>0</v>
      </c>
      <c r="O14" s="5">
        <v>3.0490333199999999</v>
      </c>
      <c r="P14" s="5">
        <v>3.8920744800000002</v>
      </c>
      <c r="Q14" s="5">
        <f t="shared" si="2"/>
        <v>78.339541950389389</v>
      </c>
    </row>
    <row r="15" spans="1:17" x14ac:dyDescent="0.25">
      <c r="A15" s="10">
        <v>45658</v>
      </c>
      <c r="B15" s="3">
        <v>1165</v>
      </c>
      <c r="C15" s="3">
        <v>1569</v>
      </c>
      <c r="D15" s="3">
        <v>663.12199999999996</v>
      </c>
      <c r="E15" s="3">
        <v>62994</v>
      </c>
      <c r="F15" s="3">
        <v>36.718377000000004</v>
      </c>
      <c r="G15" s="3">
        <v>46.102956000000027</v>
      </c>
      <c r="H15" s="6">
        <f>F15/G15*100</f>
        <v>79.644300899057271</v>
      </c>
      <c r="I15" s="6"/>
      <c r="J15" s="6"/>
      <c r="K15" s="6">
        <v>0</v>
      </c>
      <c r="L15" s="6">
        <v>3.302</v>
      </c>
      <c r="M15" s="6">
        <v>0</v>
      </c>
      <c r="N15" s="6">
        <v>0</v>
      </c>
      <c r="O15" s="6">
        <v>3.302</v>
      </c>
      <c r="P15" s="6">
        <v>4.1492660399999997</v>
      </c>
      <c r="Q15" s="6">
        <f>O15/P15*100</f>
        <v>79.580339466495147</v>
      </c>
    </row>
    <row r="16" spans="1:17" x14ac:dyDescent="0.25">
      <c r="A16" s="8">
        <v>45689</v>
      </c>
      <c r="B16" s="2">
        <v>1071</v>
      </c>
      <c r="C16" s="2">
        <v>1460.0833333333333</v>
      </c>
      <c r="D16" s="2">
        <v>610.87300000000005</v>
      </c>
      <c r="E16" s="2">
        <v>59935</v>
      </c>
      <c r="F16" s="2">
        <v>35.512</v>
      </c>
      <c r="G16" s="2">
        <v>42.741999999999997</v>
      </c>
      <c r="H16" s="5">
        <f t="shared" ref="H16:H18" si="3">F16/G16*100</f>
        <v>83.084553834635727</v>
      </c>
      <c r="I16" s="5"/>
      <c r="J16" s="5"/>
      <c r="K16" s="5">
        <v>0</v>
      </c>
      <c r="L16" s="5">
        <v>3.1949999999999998</v>
      </c>
      <c r="M16" s="5">
        <v>0</v>
      </c>
      <c r="N16" s="5">
        <v>0</v>
      </c>
      <c r="O16" s="5">
        <v>3.1949999999999998</v>
      </c>
      <c r="P16" s="5">
        <v>3.8490000000000002</v>
      </c>
      <c r="Q16" s="5">
        <f t="shared" ref="Q16:Q18" si="4">O16/P16*100</f>
        <v>83.008573655494928</v>
      </c>
    </row>
    <row r="17" spans="1:17" x14ac:dyDescent="0.25">
      <c r="A17" s="10">
        <v>45717</v>
      </c>
      <c r="B17" s="3">
        <v>1179</v>
      </c>
      <c r="C17" s="3">
        <v>1608.5833333333333</v>
      </c>
      <c r="D17" s="3">
        <v>686.45100000000002</v>
      </c>
      <c r="E17" s="3">
        <v>60714</v>
      </c>
      <c r="F17" s="3">
        <v>35.061</v>
      </c>
      <c r="G17" s="3">
        <v>47.534999999999997</v>
      </c>
      <c r="H17" s="6">
        <f t="shared" si="3"/>
        <v>73.75828337014832</v>
      </c>
      <c r="I17" s="6"/>
      <c r="J17" s="6"/>
      <c r="K17" s="6">
        <v>0</v>
      </c>
      <c r="L17" s="6">
        <v>3.2629999999999999</v>
      </c>
      <c r="M17" s="6">
        <v>0</v>
      </c>
      <c r="N17" s="6">
        <v>0</v>
      </c>
      <c r="O17" s="6">
        <v>3.2629999999999999</v>
      </c>
      <c r="P17" s="6">
        <v>4.2770000000000001</v>
      </c>
      <c r="Q17" s="6">
        <f t="shared" si="4"/>
        <v>76.291793313069903</v>
      </c>
    </row>
    <row r="18" spans="1:17" x14ac:dyDescent="0.25">
      <c r="A18" s="1" t="s">
        <v>22</v>
      </c>
      <c r="B18" s="4">
        <f>SUM(B6:B17)</f>
        <v>14120</v>
      </c>
      <c r="C18" s="4">
        <f t="shared" ref="C18:G18" si="5">SUM(C6:C17)</f>
        <v>19549.909999999996</v>
      </c>
      <c r="D18" s="4">
        <f t="shared" si="5"/>
        <v>8546.125</v>
      </c>
      <c r="E18" s="4">
        <f t="shared" si="5"/>
        <v>677627</v>
      </c>
      <c r="F18" s="4">
        <f t="shared" si="5"/>
        <v>415.66007281976363</v>
      </c>
      <c r="G18" s="4">
        <f t="shared" si="5"/>
        <v>561.04338964847693</v>
      </c>
      <c r="H18" s="7">
        <f t="shared" si="3"/>
        <v>74.086974463810435</v>
      </c>
      <c r="I18" s="5">
        <v>0</v>
      </c>
      <c r="J18" s="5">
        <v>0</v>
      </c>
      <c r="K18" s="5">
        <v>0</v>
      </c>
      <c r="L18" s="7">
        <f t="shared" ref="L18:P18" si="6">SUM(L6:L17)</f>
        <v>37.512986333778734</v>
      </c>
      <c r="M18" s="7">
        <f t="shared" si="6"/>
        <v>0</v>
      </c>
      <c r="N18" s="7">
        <f t="shared" si="6"/>
        <v>0</v>
      </c>
      <c r="O18" s="7">
        <f t="shared" si="6"/>
        <v>37.512986333778734</v>
      </c>
      <c r="P18" s="7">
        <f t="shared" si="6"/>
        <v>50.494406808362911</v>
      </c>
      <c r="Q18" s="7">
        <f t="shared" si="4"/>
        <v>74.291369489988369</v>
      </c>
    </row>
    <row r="19" spans="1:17" x14ac:dyDescent="0.25">
      <c r="A19" s="13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2020-05-06T11:03:48Z</cp:lastPrinted>
  <dcterms:created xsi:type="dcterms:W3CDTF">2018-10-29T04:00:07Z</dcterms:created>
  <dcterms:modified xsi:type="dcterms:W3CDTF">2025-11-11T11:39:30Z</dcterms:modified>
</cp:coreProperties>
</file>