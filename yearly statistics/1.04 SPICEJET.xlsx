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SPICEJET\"/>
    </mc:Choice>
  </mc:AlternateContent>
  <bookViews>
    <workbookView xWindow="0" yWindow="0" windowWidth="24000" windowHeight="10725"/>
  </bookViews>
  <sheets>
    <sheet name="SPICE JET" sheetId="15" r:id="rId1"/>
  </sheets>
  <definedNames>
    <definedName name="_xlnm._FilterDatabase" localSheetId="0" hidden="1">'SPICE JET'!$A$6:$Q$20</definedName>
    <definedName name="_xlnm.Print_Titles" localSheetId="0">'SPICE JET'!$1:$5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5" l="1"/>
  <c r="H8" i="15"/>
  <c r="H9" i="15"/>
  <c r="H10" i="15"/>
  <c r="H11" i="15"/>
  <c r="H12" i="15"/>
  <c r="H13" i="15"/>
  <c r="H14" i="15"/>
  <c r="H15" i="15"/>
  <c r="H16" i="15"/>
  <c r="Q7" i="15"/>
  <c r="Q8" i="15"/>
  <c r="Q9" i="15"/>
  <c r="Q10" i="15"/>
  <c r="Q11" i="15"/>
  <c r="Q12" i="15"/>
  <c r="Q13" i="15"/>
  <c r="Q14" i="15"/>
  <c r="Q15" i="15"/>
  <c r="Q16" i="15"/>
  <c r="P13" i="15"/>
  <c r="O13" i="15"/>
  <c r="M13" i="15"/>
  <c r="L13" i="15"/>
  <c r="G13" i="15"/>
  <c r="F13" i="15"/>
  <c r="Q6" i="15"/>
  <c r="H6" i="15"/>
  <c r="G18" i="15" l="1"/>
  <c r="C18" i="15" l="1"/>
  <c r="D18" i="15"/>
  <c r="E18" i="15"/>
  <c r="F18" i="15"/>
  <c r="H18" i="15"/>
  <c r="I18" i="15"/>
  <c r="K18" i="15"/>
  <c r="L18" i="15"/>
  <c r="M18" i="15"/>
  <c r="O18" i="15"/>
  <c r="P18" i="15"/>
  <c r="Q18" i="15"/>
  <c r="B18" i="15" l="1"/>
  <c r="Q17" i="15" l="1"/>
  <c r="K17" i="15"/>
  <c r="I17" i="15"/>
  <c r="H17" i="15"/>
  <c r="E17" i="15"/>
  <c r="D17" i="15"/>
  <c r="C17" i="15"/>
  <c r="B17" i="15"/>
  <c r="G17" i="15" l="1"/>
  <c r="L17" i="15"/>
  <c r="F17" i="15"/>
  <c r="M17" i="15"/>
  <c r="O17" i="15"/>
  <c r="P17" i="15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<sst xmlns="http://schemas.openxmlformats.org/spreadsheetml/2006/main" count="39" uniqueCount="37">
  <si>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</si>
  <si>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</si>
  <si>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</si>
  <si>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</si>
  <si>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</si>
  <si>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</si>
  <si>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</si>
  <si>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</si>
  <si>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</si>
  <si>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</si>
  <si>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</si>
  <si>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</si>
  <si>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</si>
  <si>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</si>
  <si>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</si>
  <si>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</si>
  <si>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</si>
  <si>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</si>
  <si>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</si>
  <si>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</si>
  <si>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</si>
  <si>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</si>
  <si>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</si>
  <si>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</si>
  <si>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</si>
  <si>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तालिका - 1.04 (स्पाइसजेट) </t>
  </si>
  <si>
    <t>TABLE - 1.04 (SPICEJET)</t>
  </si>
  <si>
    <t>SOURCE: ICAO ATR FORM 'A' FURNISHED BY SPICEJET</t>
  </si>
  <si>
    <t>2019-20</t>
  </si>
  <si>
    <t xml:space="preserve">YEAR ON YEAR GROWTH AND CAGR FOR LAST TEN YEARS OF SPICEJET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</si>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</sst>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mmmm/yy;@"/>
    <numFmt numFmtId="166" formatCode="_(* #,##0_);_(* \(#,##0\);_(* &quot;-&quot;??_);_(@_)"/>
    <numFmt numFmtId="167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2" fillId="3" borderId="2" applyNumberForma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6" borderId="0" applyNumberFormat="0" applyBorder="0" applyAlignment="0" applyProtection="0"/>
  </cellStyleXfs>
  <cellXfs count="24">
    <xf numFmtId="0" fontId="0" fillId="0" borderId="0" xfId="0"/>
    <xf numFmtId="0" fontId="5" fillId="0" borderId="0" xfId="0" applyFont="1"/>
    <xf numFmtId="0" fontId="4" fillId="4" borderId="1" xfId="2" applyFont="1" applyBorder="1" applyAlignment="1" applyProtection="1">
      <alignment horizontal="center" vertical="center" textRotation="90" wrapText="1"/>
    </xf>
    <xf numFmtId="0" fontId="5" fillId="5" borderId="1" xfId="3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5" fontId="1" fillId="6" borderId="1" xfId="6" applyNumberFormat="1" applyBorder="1" applyAlignment="1">
      <alignment horizontal="right" vertical="center"/>
    </xf>
    <xf numFmtId="166" fontId="1" fillId="6" borderId="1" xfId="6" applyNumberFormat="1" applyBorder="1" applyAlignment="1">
      <alignment horizontal="right" vertical="center"/>
    </xf>
    <xf numFmtId="167" fontId="1" fillId="6" borderId="1" xfId="6" applyNumberFormat="1" applyBorder="1" applyAlignment="1">
      <alignment horizontal="right" vertical="center"/>
    </xf>
    <xf numFmtId="165" fontId="0" fillId="0" borderId="1" xfId="5" applyNumberFormat="1" applyFont="1" applyBorder="1" applyAlignment="1">
      <alignment horizontal="right" vertical="center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164" fontId="5" fillId="5" borderId="1" xfId="4" applyNumberFormat="1" applyFont="1" applyFill="1" applyBorder="1" applyAlignment="1" applyProtection="1">
      <alignment horizontal="right" vertical="center" wrapText="1"/>
    </xf>
    <xf numFmtId="164" fontId="4" fillId="2" borderId="1" xfId="4" applyNumberFormat="1" applyFont="1" applyFill="1" applyBorder="1" applyAlignment="1" applyProtection="1">
      <alignment horizontal="right" vertical="center" wrapText="1"/>
    </xf>
    <xf numFmtId="0" fontId="9" fillId="2" borderId="1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2" borderId="1" xfId="0" applyFont="1" applyFill="1" applyBorder="1" applyAlignment="1" applyProtection="1">
      <alignment horizontal="left" vertical="center"/>
    </xf>
    <xf numFmtId="0" fontId="7" fillId="0" borderId="1" xfId="0" applyFont="1" applyBorder="1" applyAlignment="1">
      <alignment vertical="center"/>
    </xf>
    <xf numFmtId="0" fontId="4" fillId="3" borderId="1" xfId="1" applyFont="1" applyBorder="1" applyAlignment="1">
      <alignment horizontal="center" vertical="center" wrapText="1"/>
    </xf>
    <xf numFmtId="0" fontId="4" fillId="3" borderId="1" xfId="1" quotePrefix="1" applyFont="1" applyBorder="1" applyAlignment="1" applyProtection="1">
      <alignment horizontal="center" vertical="center" wrapText="1"/>
    </xf>
    <xf numFmtId="0" fontId="4" fillId="3" borderId="1" xfId="1" applyFont="1" applyBorder="1"/>
    <xf numFmtId="0" fontId="4" fillId="4" borderId="1" xfId="2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4" borderId="1" xfId="2" applyFont="1" applyBorder="1" applyAlignment="1" applyProtection="1">
      <alignment horizontal="center" vertical="center" textRotation="90" wrapText="1"/>
    </xf>
    <xf numFmtId="0" fontId="4" fillId="4" borderId="1" xfId="2" applyFont="1" applyBorder="1" applyAlignment="1">
      <alignment textRotation="90"/>
    </xf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zoomScale="85" zoomScaleNormal="115" zoomScaleSheetLayoutView="85" workbookViewId="0">
      <selection activeCell="L13" sqref="L13"/>
    </sheetView>
  </sheetViews>
  <sheetFormatPr defaultRowHeight="14.25" x14ac:dyDescent="0.25"/>
  <cols>
    <col min="1" max="1" width="11.42578125" style="1" customWidth="1"/>
    <col min="2" max="2" width="10.5703125" style="1" customWidth="1"/>
    <col min="3" max="3" width="9" style="1" customWidth="1"/>
    <col min="4" max="4" width="10.28515625" style="1" customWidth="1"/>
    <col min="5" max="5" width="12" style="1" customWidth="1"/>
    <col min="6" max="7" width="9.28515625" style="1" customWidth="1"/>
    <col min="8" max="8" width="7.28515625" style="1" customWidth="1"/>
    <col min="9" max="9" width="11.140625" style="1" customWidth="1"/>
    <col min="10" max="10" width="5.28515625" style="1" customWidth="1"/>
    <col min="11" max="11" width="10.42578125" style="1" customWidth="1"/>
    <col min="12" max="12" width="8.28515625" style="1" customWidth="1"/>
    <col min="13" max="13" width="7.28515625" style="1" customWidth="1"/>
    <col min="14" max="14" width="4.5703125" style="1" customWidth="1"/>
    <col min="15" max="15" width="8.42578125" style="1" customWidth="1"/>
    <col min="16" max="16" width="9" style="1" customWidth="1"/>
    <col min="17" max="17" width="8.28515625" style="1" customWidth="1"/>
    <col min="18" max="16384" width="9.140625" style="1"/>
  </cols>
  <sheetData>
    <row r="1" spans="1:17" x14ac:dyDescent="0.25">
      <c r="A1" s="17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8.5" customHeight="1" x14ac:dyDescent="0.25">
      <c r="A3" s="20" t="s">
        <v>29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4.9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22" t="s">
        <v>3</v>
      </c>
      <c r="H4" s="22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22" t="s">
        <v>7</v>
      </c>
      <c r="Q4" s="22" t="s">
        <v>8</v>
      </c>
    </row>
    <row r="5" spans="1:17" ht="113.25" customHeight="1" x14ac:dyDescent="0.25">
      <c r="A5" s="20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3"/>
      <c r="H5" s="23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3"/>
      <c r="Q5" s="23"/>
    </row>
    <row r="6" spans="1:17" ht="17.100000000000001" customHeight="1" x14ac:dyDescent="0.25">
      <c r="A6" s="5" t="s">
        <v>19</v>
      </c>
      <c r="B6" s="6">
        <v>112426</v>
      </c>
      <c r="C6" s="6">
        <v>150116</v>
      </c>
      <c r="D6" s="6">
        <v>92282.463000000018</v>
      </c>
      <c r="E6" s="6">
        <v>11473350</v>
      </c>
      <c r="F6" s="6">
        <v>11188.453740000001</v>
      </c>
      <c r="G6" s="6">
        <v>15503.596772999999</v>
      </c>
      <c r="H6" s="7">
        <f t="shared" ref="H6:H16" si="0">F6/G6*100</f>
        <v>72.166826213418062</v>
      </c>
      <c r="I6" s="7">
        <v>77067</v>
      </c>
      <c r="J6" s="7"/>
      <c r="K6" s="7">
        <v>77067</v>
      </c>
      <c r="L6" s="7">
        <v>838.98345900000004</v>
      </c>
      <c r="M6" s="7">
        <v>98.427074999999988</v>
      </c>
      <c r="N6" s="7"/>
      <c r="O6" s="7">
        <v>937.41053399999998</v>
      </c>
      <c r="P6" s="7">
        <v>1330.3648260000002</v>
      </c>
      <c r="Q6" s="7">
        <f t="shared" ref="Q6:Q16" si="1">O6/P6*100</f>
        <v>70.462666757246311</v>
      </c>
    </row>
    <row r="7" spans="1:17" ht="17.100000000000001" customHeight="1" x14ac:dyDescent="0.25">
      <c r="A7" s="8" t="s">
        <v>20</v>
      </c>
      <c r="B7" s="9">
        <v>94754</v>
      </c>
      <c r="C7" s="9">
        <v>122055</v>
      </c>
      <c r="D7" s="9">
        <v>75051.286999999997</v>
      </c>
      <c r="E7" s="9">
        <v>10716089</v>
      </c>
      <c r="F7" s="9">
        <v>10191.412585</v>
      </c>
      <c r="G7" s="9">
        <v>12464.116246</v>
      </c>
      <c r="H7" s="10">
        <f t="shared" si="0"/>
        <v>81.766026438261449</v>
      </c>
      <c r="I7" s="10">
        <v>68571</v>
      </c>
      <c r="J7" s="10"/>
      <c r="K7" s="10">
        <v>68571</v>
      </c>
      <c r="L7" s="10">
        <v>763.89556300000004</v>
      </c>
      <c r="M7" s="10">
        <v>84.743220000000008</v>
      </c>
      <c r="N7" s="10"/>
      <c r="O7" s="10">
        <v>848.6387830000001</v>
      </c>
      <c r="P7" s="10">
        <v>1086.1130660000001</v>
      </c>
      <c r="Q7" s="10">
        <f t="shared" si="1"/>
        <v>78.135399487036466</v>
      </c>
    </row>
    <row r="8" spans="1:17" ht="17.100000000000001" customHeight="1" x14ac:dyDescent="0.25">
      <c r="A8" s="5" t="s">
        <v>21</v>
      </c>
      <c r="B8" s="6">
        <v>86707</v>
      </c>
      <c r="C8" s="6">
        <v>111610</v>
      </c>
      <c r="D8" s="6">
        <v>64126.817999999999</v>
      </c>
      <c r="E8" s="6">
        <v>10670866</v>
      </c>
      <c r="F8" s="6">
        <v>9327.0007880000012</v>
      </c>
      <c r="G8" s="6">
        <v>10139.353436000003</v>
      </c>
      <c r="H8" s="7">
        <f t="shared" si="0"/>
        <v>91.988121795658827</v>
      </c>
      <c r="I8" s="7">
        <v>58952</v>
      </c>
      <c r="J8" s="7"/>
      <c r="K8" s="7">
        <v>58952</v>
      </c>
      <c r="L8" s="7">
        <v>699.59894000000008</v>
      </c>
      <c r="M8" s="7">
        <v>64.847374000000002</v>
      </c>
      <c r="N8" s="7"/>
      <c r="O8" s="7">
        <v>764.44631400000003</v>
      </c>
      <c r="P8" s="7">
        <v>888.47056399999997</v>
      </c>
      <c r="Q8" s="7">
        <f t="shared" si="1"/>
        <v>86.040702413186537</v>
      </c>
    </row>
    <row r="9" spans="1:17" ht="17.100000000000001" customHeight="1" x14ac:dyDescent="0.25">
      <c r="A9" s="8" t="s">
        <v>22</v>
      </c>
      <c r="B9" s="9">
        <v>103769</v>
      </c>
      <c r="C9" s="9">
        <v>133842</v>
      </c>
      <c r="D9" s="9">
        <v>77943.888000000006</v>
      </c>
      <c r="E9" s="9">
        <v>13236143</v>
      </c>
      <c r="F9" s="9">
        <v>11687.869246</v>
      </c>
      <c r="G9" s="9">
        <v>12575.172293999998</v>
      </c>
      <c r="H9" s="10">
        <f t="shared" si="0"/>
        <v>92.944008819478697</v>
      </c>
      <c r="I9" s="10">
        <v>53975</v>
      </c>
      <c r="J9" s="10"/>
      <c r="K9" s="10">
        <v>53975</v>
      </c>
      <c r="L9" s="10">
        <v>872.65429999999992</v>
      </c>
      <c r="M9" s="10">
        <v>58.85808500000001</v>
      </c>
      <c r="N9" s="10"/>
      <c r="O9" s="10">
        <v>931.51238499999988</v>
      </c>
      <c r="P9" s="10">
        <v>1103.6345900000001</v>
      </c>
      <c r="Q9" s="10">
        <f t="shared" si="1"/>
        <v>84.404058502733207</v>
      </c>
    </row>
    <row r="10" spans="1:17" ht="17.100000000000001" customHeight="1" x14ac:dyDescent="0.25">
      <c r="A10" s="5" t="s">
        <v>23</v>
      </c>
      <c r="B10" s="6">
        <v>124380</v>
      </c>
      <c r="C10" s="6">
        <v>164328</v>
      </c>
      <c r="D10" s="6">
        <v>95149</v>
      </c>
      <c r="E10" s="6">
        <v>16130815</v>
      </c>
      <c r="F10" s="6">
        <v>14447.7345</v>
      </c>
      <c r="G10" s="6">
        <v>15254.328599999999</v>
      </c>
      <c r="H10" s="7">
        <f t="shared" si="0"/>
        <v>94.712359218484394</v>
      </c>
      <c r="I10" s="7">
        <v>66133.97</v>
      </c>
      <c r="J10" s="7"/>
      <c r="K10" s="7">
        <v>66133.97</v>
      </c>
      <c r="L10" s="7">
        <v>1083.5771000000002</v>
      </c>
      <c r="M10" s="7">
        <v>68.503299999999996</v>
      </c>
      <c r="N10" s="7"/>
      <c r="O10" s="7">
        <v>1152.0803999999998</v>
      </c>
      <c r="P10" s="7">
        <v>1329.2952</v>
      </c>
      <c r="Q10" s="7">
        <f t="shared" si="1"/>
        <v>86.668514262294778</v>
      </c>
    </row>
    <row r="11" spans="1:17" ht="17.100000000000001" customHeight="1" x14ac:dyDescent="0.25">
      <c r="A11" s="8" t="s">
        <v>24</v>
      </c>
      <c r="B11" s="9">
        <v>141316</v>
      </c>
      <c r="C11" s="9">
        <v>193973</v>
      </c>
      <c r="D11" s="9">
        <v>109732.59099999999</v>
      </c>
      <c r="E11" s="9">
        <v>17655832</v>
      </c>
      <c r="F11" s="9">
        <v>16034.203518</v>
      </c>
      <c r="G11" s="9">
        <v>17241.165756999999</v>
      </c>
      <c r="H11" s="10">
        <f t="shared" si="0"/>
        <v>92.999532305349092</v>
      </c>
      <c r="I11" s="10">
        <v>88974.290040000007</v>
      </c>
      <c r="J11" s="10"/>
      <c r="K11" s="10">
        <v>88974.290040000007</v>
      </c>
      <c r="L11" s="10">
        <v>1202.5638465</v>
      </c>
      <c r="M11" s="10">
        <v>90.092035199999998</v>
      </c>
      <c r="N11" s="10"/>
      <c r="O11" s="10">
        <v>1292.6558817000002</v>
      </c>
      <c r="P11" s="10">
        <v>1504.885256</v>
      </c>
      <c r="Q11" s="10">
        <f t="shared" si="1"/>
        <v>85.897305229495871</v>
      </c>
    </row>
    <row r="12" spans="1:17" ht="17.100000000000001" customHeight="1" x14ac:dyDescent="0.25">
      <c r="A12" s="5" t="s">
        <v>28</v>
      </c>
      <c r="B12" s="6">
        <v>176599</v>
      </c>
      <c r="C12" s="6">
        <v>257936.91666666669</v>
      </c>
      <c r="D12" s="6">
        <v>152262.07299999997</v>
      </c>
      <c r="E12" s="6">
        <v>21989717</v>
      </c>
      <c r="F12" s="6">
        <v>21697.095179000004</v>
      </c>
      <c r="G12" s="6">
        <v>23580.343010999997</v>
      </c>
      <c r="H12" s="7">
        <f t="shared" si="0"/>
        <v>92.013484150245489</v>
      </c>
      <c r="I12" s="7">
        <v>131029.344396053</v>
      </c>
      <c r="J12" s="7"/>
      <c r="K12" s="7">
        <v>131029.344396053</v>
      </c>
      <c r="L12" s="7">
        <v>1627.2819672449996</v>
      </c>
      <c r="M12" s="7">
        <v>132.91885040999992</v>
      </c>
      <c r="N12" s="7"/>
      <c r="O12" s="7">
        <v>1760.2008176549998</v>
      </c>
      <c r="P12" s="7">
        <v>2104.6010529999999</v>
      </c>
      <c r="Q12" s="7">
        <f t="shared" si="1"/>
        <v>83.635842296378442</v>
      </c>
    </row>
    <row r="13" spans="1:17" ht="17.100000000000001" customHeight="1" x14ac:dyDescent="0.25">
      <c r="A13" s="8" t="s">
        <v>30</v>
      </c>
      <c r="B13" s="9">
        <v>67777</v>
      </c>
      <c r="C13" s="9">
        <v>102358.01333333334</v>
      </c>
      <c r="D13" s="9">
        <v>61586.309000000008</v>
      </c>
      <c r="E13" s="9">
        <v>7086585</v>
      </c>
      <c r="F13" s="9">
        <f>7396950.147/1000</f>
        <v>7396.9501469999996</v>
      </c>
      <c r="G13" s="9">
        <f>9777403.177/1000</f>
        <v>9777.4031769999983</v>
      </c>
      <c r="H13" s="10">
        <f t="shared" si="0"/>
        <v>75.653524899129778</v>
      </c>
      <c r="I13" s="10">
        <v>54420.325577869422</v>
      </c>
      <c r="J13" s="10"/>
      <c r="K13" s="10">
        <v>54420.325577869422</v>
      </c>
      <c r="L13" s="10">
        <f>554914.46098/1000</f>
        <v>554.91446097999994</v>
      </c>
      <c r="M13" s="10">
        <f>55652.05035396/1000</f>
        <v>55.65205035396</v>
      </c>
      <c r="N13" s="10"/>
      <c r="O13" s="10">
        <f>610566.51133396/1000</f>
        <v>610.56651133395997</v>
      </c>
      <c r="P13" s="10">
        <f>850405.734/1000</f>
        <v>850.40573400000005</v>
      </c>
      <c r="Q13" s="10">
        <f t="shared" si="1"/>
        <v>71.79708307728319</v>
      </c>
    </row>
    <row r="14" spans="1:17" ht="17.100000000000001" customHeight="1" x14ac:dyDescent="0.25">
      <c r="A14" s="5" t="s">
        <v>31</v>
      </c>
      <c r="B14" s="6">
        <v>78019</v>
      </c>
      <c r="C14" s="6">
        <v>119420.24999999999</v>
      </c>
      <c r="D14" s="6">
        <v>69635.927999999985</v>
      </c>
      <c r="E14" s="6">
        <v>8386574</v>
      </c>
      <c r="F14" s="6">
        <v>8400.646342</v>
      </c>
      <c r="G14" s="6">
        <v>10442.520477</v>
      </c>
      <c r="H14" s="7">
        <f t="shared" si="0"/>
        <v>80.446539324511775</v>
      </c>
      <c r="I14" s="7">
        <v>40691.670199999993</v>
      </c>
      <c r="J14" s="7"/>
      <c r="K14" s="7">
        <v>40691.670199999993</v>
      </c>
      <c r="L14" s="7">
        <v>630.0473654000001</v>
      </c>
      <c r="M14" s="7">
        <v>47.627665745659982</v>
      </c>
      <c r="N14" s="7"/>
      <c r="O14" s="7">
        <v>677.67503114566</v>
      </c>
      <c r="P14" s="7">
        <v>933.5523465</v>
      </c>
      <c r="Q14" s="7">
        <f t="shared" si="1"/>
        <v>72.591005066437376</v>
      </c>
    </row>
    <row r="15" spans="1:17" ht="15" x14ac:dyDescent="0.25">
      <c r="A15" s="8" t="s">
        <v>32</v>
      </c>
      <c r="B15" s="9">
        <v>84805</v>
      </c>
      <c r="C15" s="9">
        <v>124714.85066666667</v>
      </c>
      <c r="D15" s="9">
        <v>87276.191666666651</v>
      </c>
      <c r="E15" s="9">
        <v>10749350</v>
      </c>
      <c r="F15" s="9">
        <v>11097.522917</v>
      </c>
      <c r="G15" s="9">
        <v>12518.877962999999</v>
      </c>
      <c r="H15" s="10">
        <f t="shared" si="0"/>
        <v>88.64630640061462</v>
      </c>
      <c r="I15" s="10">
        <v>44905.180169999992</v>
      </c>
      <c r="J15" s="10"/>
      <c r="K15" s="10">
        <v>44905.180169999992</v>
      </c>
      <c r="L15" s="10">
        <v>832.31421877499986</v>
      </c>
      <c r="M15" s="10">
        <v>54.911437208649993</v>
      </c>
      <c r="N15" s="10"/>
      <c r="O15" s="10">
        <v>887.22565598364997</v>
      </c>
      <c r="P15" s="10">
        <v>1163.0691715</v>
      </c>
      <c r="Q15" s="10">
        <f t="shared" si="1"/>
        <v>76.283137557450942</v>
      </c>
    </row>
    <row r="16" spans="1:17" ht="15" x14ac:dyDescent="0.25">
      <c r="A16" s="5" t="s">
        <v>33</v>
      </c>
      <c r="B16" s="6">
        <v>55746</v>
      </c>
      <c r="C16" s="6">
        <v>86848.283333333326</v>
      </c>
      <c r="D16" s="6">
        <v>52344.694999999992</v>
      </c>
      <c r="E16" s="6">
        <v>7892153</v>
      </c>
      <c r="F16" s="6">
        <v>7963.7348379999994</v>
      </c>
      <c r="G16" s="6">
        <v>8624.5833750000002</v>
      </c>
      <c r="H16" s="7">
        <f t="shared" si="0"/>
        <v>92.337617850439059</v>
      </c>
      <c r="I16" s="7">
        <v>38949.800330000005</v>
      </c>
      <c r="J16" s="7"/>
      <c r="K16" s="7">
        <v>38949.800330000005</v>
      </c>
      <c r="L16" s="7">
        <v>597.28011285000014</v>
      </c>
      <c r="M16" s="7">
        <v>45.056671368149999</v>
      </c>
      <c r="N16" s="7"/>
      <c r="O16" s="7">
        <v>642.33678421815011</v>
      </c>
      <c r="P16" s="7">
        <v>805.29269050000005</v>
      </c>
      <c r="Q16" s="7">
        <f t="shared" si="1"/>
        <v>79.764387755628093</v>
      </c>
    </row>
    <row r="17" spans="1:17" ht="28.5" x14ac:dyDescent="0.25">
      <c r="A17" s="3" t="s">
        <v>34</v>
      </c>
      <c r="B17" s="11">
        <f t="shared" ref="B17:I17" si="2">(B16-B15)/B15</f>
        <v>-0.34265668297859797</v>
      </c>
      <c r="C17" s="11">
        <f t="shared" si="2"/>
        <v>-0.303625166777786</v>
      </c>
      <c r="D17" s="11">
        <f t="shared" si="2"/>
        <v>-0.40024084460605569</v>
      </c>
      <c r="E17" s="11">
        <f t="shared" si="2"/>
        <v>-0.26580183918097372</v>
      </c>
      <c r="F17" s="11">
        <f t="shared" si="2"/>
        <v>-0.28238626785797705</v>
      </c>
      <c r="G17" s="11">
        <f t="shared" si="2"/>
        <v>-0.31107377190749275</v>
      </c>
      <c r="H17" s="11">
        <f t="shared" si="2"/>
        <v>4.1640894016976737E-2</v>
      </c>
      <c r="I17" s="11">
        <f t="shared" si="2"/>
        <v>-0.132621221370327</v>
      </c>
      <c r="J17" s="11"/>
      <c r="K17" s="11">
        <f>(K16-K15)/K15</f>
        <v>-0.132621221370327</v>
      </c>
      <c r="L17" s="11">
        <f>(L16-L15)/L15</f>
        <v>-0.28238626785797671</v>
      </c>
      <c r="M17" s="11">
        <f>(M16-M15)/M15</f>
        <v>-0.17946654361010986</v>
      </c>
      <c r="N17" s="11"/>
      <c r="O17" s="11">
        <f>(O16-O15)/O15</f>
        <v>-0.27601644532471986</v>
      </c>
      <c r="P17" s="11">
        <f>(P16-P15)/P15</f>
        <v>-0.30761410393036109</v>
      </c>
      <c r="Q17" s="11">
        <f>(Q16-Q15)/Q15</f>
        <v>4.5635907353120141E-2</v>
      </c>
    </row>
    <row r="18" spans="1:17" ht="33" customHeight="1" x14ac:dyDescent="0.25">
      <c r="A18" s="4" t="s">
        <v>35</v>
      </c>
      <c r="B18" s="12">
        <f t="shared" ref="B18:I18" si="3">(((B16/B6)^(1/10))-1)</f>
        <v>-6.7745056201439002E-2</v>
      </c>
      <c r="C18" s="12">
        <f t="shared" si="3"/>
        <v>-5.3254116455053402E-2</v>
      </c>
      <c r="D18" s="12">
        <f t="shared" si="3"/>
        <v>-5.5122843294909463E-2</v>
      </c>
      <c r="E18" s="12">
        <f t="shared" si="3"/>
        <v>-3.6724475974456383E-2</v>
      </c>
      <c r="F18" s="12">
        <f t="shared" si="3"/>
        <v>-3.3426972034969138E-2</v>
      </c>
      <c r="G18" s="12">
        <f t="shared" si="3"/>
        <v>-5.6959018780117665E-2</v>
      </c>
      <c r="H18" s="12">
        <f t="shared" si="3"/>
        <v>2.4953365987030907E-2</v>
      </c>
      <c r="I18" s="12">
        <f t="shared" si="3"/>
        <v>-6.5963864695880448E-2</v>
      </c>
      <c r="J18" s="12"/>
      <c r="K18" s="12">
        <f>(((K16/K6)^(1/10))-1)</f>
        <v>-6.5963864695880448E-2</v>
      </c>
      <c r="L18" s="12">
        <f>(((L16/L6)^(1/10))-1)</f>
        <v>-3.3409626448876018E-2</v>
      </c>
      <c r="M18" s="12">
        <f>(((M16/M6)^(1/10))-1)</f>
        <v>-7.5164583813248753E-2</v>
      </c>
      <c r="N18" s="12"/>
      <c r="O18" s="12">
        <f>(((O16/O6)^(1/10))-1)</f>
        <v>-3.7095322545842246E-2</v>
      </c>
      <c r="P18" s="12">
        <f>(((P16/P6)^(1/10))-1)</f>
        <v>-4.8961057890363646E-2</v>
      </c>
      <c r="Q18" s="12">
        <f>(((Q16/Q6)^(1/10))-1)</f>
        <v>1.2476603027632427E-2</v>
      </c>
    </row>
    <row r="19" spans="1:17" x14ac:dyDescent="0.25">
      <c r="A19" s="15" t="s">
        <v>27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28.5" customHeight="1" x14ac:dyDescent="0.25">
      <c r="A20" s="13" t="s">
        <v>36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14">
    <mergeCell ref="A20:Q20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 JET</vt:lpstr>
      <vt:lpstr>'SPICE JET'!Print_Titles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2022-04-26T05:58:11Z</cp:lastPrinted>
  <dcterms:created xsi:type="dcterms:W3CDTF">2018-10-29T04:00:14Z</dcterms:created>
  <dcterms:modified xsi:type="dcterms:W3CDTF">2024-11-21T07:37:23Z</dcterms:modified>
</cp:coreProperties>
</file>