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1 Airline Wise Air Transport Operating and Traffic Statistics\SPICEJET\"/>
    </mc:Choice>
  </mc:AlternateContent>
  <bookViews>
    <workbookView xWindow="0" yWindow="0" windowWidth="24000" windowHeight="9735"/>
  </bookViews>
  <sheets>
    <sheet name="SPICEJE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1" l="1"/>
  <c r="H6" i="1" l="1"/>
  <c r="P18" i="1" l="1"/>
  <c r="O18" i="1"/>
  <c r="M18" i="1"/>
  <c r="L18" i="1"/>
  <c r="K18" i="1"/>
  <c r="I18" i="1"/>
  <c r="G18" i="1"/>
  <c r="F18" i="1"/>
  <c r="E18" i="1"/>
  <c r="D18" i="1"/>
  <c r="C18" i="1"/>
  <c r="B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18" i="1" l="1"/>
  <c r="H18" i="1"/>
</calcChain>
</file>

<file path=xl/sharedStrings.xml><?xml version="1.0" encoding="utf-8"?>
<sst xmlns="http://schemas.openxmlformats.org/spreadsheetml/2006/main" count="26" uniqueCount="24">
  <si>
    <t xml:space="preserve">तालिका 1.03 (स्पाइसजेट) </t>
  </si>
  <si>
    <t>Table 1.03 (SPICEJET)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</si>
  <si>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</si>
  <si>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</si>
  <si>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</si>
  <si>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</si>
  <si>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</si>
  <si>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</si>
  <si>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>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</si>
  <si>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</si>
  <si>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</si>
  <si>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</si>
  <si>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</si>
  <si>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</si>
  <si>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</si>
  <si>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</si>
  <si>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</si>
  <si>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</si>
  <si>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</si>
  <si>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</si>
  <si>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</si>
  <si>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SPICEJET</t>
  </si>
  <si>
    <t>MONTHLY TRAFFIC AND OPERATING STATISTICS OF SPICEJET ON SCHEDULED (DOMESTIC + INTERNATIONAL) SERVICES DURING 2024-25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</si>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</sst>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0" fontId="3" fillId="2" borderId="1" xfId="2" applyBorder="1" applyAlignment="1" applyProtection="1">
      <alignment horizontal="center" vertical="center" textRotation="90" wrapText="1"/>
    </xf>
    <xf numFmtId="0" fontId="2" fillId="3" borderId="1" xfId="3" applyFont="1" applyBorder="1" applyAlignment="1" applyProtection="1">
      <alignment horizontal="center" vertical="center" wrapText="1"/>
    </xf>
    <xf numFmtId="0" fontId="0" fillId="5" borderId="0" xfId="0" applyFill="1"/>
    <xf numFmtId="168" fontId="1" fillId="3" borderId="1" xfId="3" applyNumberFormat="1" applyBorder="1" applyAlignment="1" applyProtection="1">
      <alignment horizontal="center" vertical="center" wrapText="1"/>
    </xf>
    <xf numFmtId="168" fontId="1" fillId="5" borderId="1" xfId="3" applyNumberFormat="1" applyFill="1" applyBorder="1" applyAlignment="1" applyProtection="1">
      <alignment horizontal="center" vertical="center" wrapText="1"/>
    </xf>
    <xf numFmtId="166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 applyProtection="1">
      <alignment horizontal="center" vertical="center" wrapText="1"/>
    </xf>
    <xf numFmtId="167" fontId="2" fillId="3" borderId="1" xfId="3" applyNumberFormat="1" applyFont="1" applyBorder="1" applyAlignment="1" applyProtection="1">
      <alignment horizontal="center" vertical="center" wrapText="1"/>
    </xf>
    <xf numFmtId="165" fontId="1" fillId="3" borderId="1" xfId="3" applyNumberFormat="1" applyBorder="1" applyAlignment="1">
      <alignment vertical="center"/>
    </xf>
    <xf numFmtId="166" fontId="1" fillId="3" borderId="1" xfId="3" applyNumberFormat="1" applyBorder="1" applyAlignment="1">
      <alignment vertical="center"/>
    </xf>
    <xf numFmtId="165" fontId="1" fillId="5" borderId="1" xfId="3" applyNumberFormat="1" applyFill="1" applyBorder="1" applyAlignment="1">
      <alignment vertical="center"/>
    </xf>
    <xf numFmtId="166" fontId="0" fillId="5" borderId="1" xfId="1" applyNumberFormat="1" applyFont="1" applyFill="1" applyBorder="1" applyAlignment="1">
      <alignment vertical="center"/>
    </xf>
    <xf numFmtId="166" fontId="1" fillId="5" borderId="1" xfId="3" applyNumberFormat="1" applyFill="1" applyBorder="1" applyAlignment="1">
      <alignment vertical="center"/>
    </xf>
    <xf numFmtId="0" fontId="3" fillId="2" borderId="1" xfId="2" applyBorder="1" applyAlignment="1" applyProtection="1">
      <alignment horizontal="center" vertical="center" textRotation="90" wrapText="1"/>
    </xf>
    <xf numFmtId="0" fontId="3" fillId="2" borderId="1" xfId="2" applyBorder="1" applyAlignment="1">
      <alignment textRotation="90"/>
    </xf>
    <xf numFmtId="0" fontId="4" fillId="4" borderId="2" xfId="0" applyFont="1" applyFill="1" applyBorder="1" applyAlignment="1" applyProtection="1">
      <alignment horizontal="left" vertical="center" wrapText="1"/>
    </xf>
    <xf numFmtId="0" fontId="4" fillId="4" borderId="3" xfId="0" applyFont="1" applyFill="1" applyBorder="1" applyAlignment="1" applyProtection="1">
      <alignment horizontal="left" vertical="center" wrapText="1"/>
    </xf>
    <xf numFmtId="0" fontId="4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3" fillId="2" borderId="1" xfId="2" applyBorder="1" applyAlignment="1" applyProtection="1">
      <alignment horizontal="center" vertical="center" wrapText="1"/>
    </xf>
    <xf numFmtId="0" fontId="3" fillId="2" borderId="1" xfId="2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00" zoomScaleSheetLayoutView="85" workbookViewId="0">
      <selection activeCell="G14" sqref="G14"/>
    </sheetView>
  </sheetViews>
  <sheetFormatPr defaultRowHeight="15" x14ac:dyDescent="0.25"/>
  <cols>
    <col min="1" max="1" width="13.5703125" customWidth="1"/>
    <col min="2" max="2" width="9.5703125" customWidth="1"/>
    <col min="3" max="3" width="9.28515625" customWidth="1"/>
    <col min="4" max="4" width="9.85546875" customWidth="1"/>
    <col min="5" max="5" width="11.5703125" customWidth="1"/>
    <col min="6" max="6" width="10.7109375" customWidth="1"/>
    <col min="7" max="7" width="11.85546875" customWidth="1"/>
    <col min="8" max="8" width="7.28515625" customWidth="1"/>
    <col min="9" max="9" width="9.42578125" customWidth="1"/>
    <col min="10" max="10" width="8.140625" bestFit="1" customWidth="1"/>
    <col min="11" max="11" width="9.85546875" customWidth="1"/>
    <col min="12" max="12" width="10.5703125" customWidth="1"/>
    <col min="13" max="13" width="9.7109375" customWidth="1"/>
    <col min="14" max="14" width="7.140625" customWidth="1"/>
    <col min="15" max="15" width="11.140625" customWidth="1"/>
    <col min="16" max="16" width="10.42578125" customWidth="1"/>
    <col min="17" max="17" width="7" customWidth="1"/>
  </cols>
  <sheetData>
    <row r="1" spans="1:17" ht="18" customHeight="1" x14ac:dyDescent="0.2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" customHeight="1" x14ac:dyDescent="0.25">
      <c r="A3" s="23" t="s">
        <v>22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" customHeight="1" x14ac:dyDescent="0.25">
      <c r="A4" s="23" t="s">
        <v>2</v>
      </c>
      <c r="B4" s="23" t="s">
        <v>3</v>
      </c>
      <c r="C4" s="23"/>
      <c r="D4" s="23"/>
      <c r="E4" s="23" t="s">
        <v>4</v>
      </c>
      <c r="F4" s="24"/>
      <c r="G4" s="14" t="s">
        <v>5</v>
      </c>
      <c r="H4" s="14" t="s">
        <v>6</v>
      </c>
      <c r="I4" s="23" t="s">
        <v>7</v>
      </c>
      <c r="J4" s="23"/>
      <c r="K4" s="23"/>
      <c r="L4" s="23" t="s">
        <v>8</v>
      </c>
      <c r="M4" s="23"/>
      <c r="N4" s="23"/>
      <c r="O4" s="23"/>
      <c r="P4" s="14" t="s">
        <v>9</v>
      </c>
      <c r="Q4" s="14" t="s">
        <v>10</v>
      </c>
    </row>
    <row r="5" spans="1:17" ht="120.75" customHeight="1" x14ac:dyDescent="0.25">
      <c r="A5" s="23"/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5"/>
      <c r="H5" s="15"/>
      <c r="I5" s="1" t="s">
        <v>16</v>
      </c>
      <c r="J5" s="1" t="s">
        <v>17</v>
      </c>
      <c r="K5" s="1" t="s">
        <v>18</v>
      </c>
      <c r="L5" s="1" t="s">
        <v>19</v>
      </c>
      <c r="M5" s="1" t="s">
        <v>20</v>
      </c>
      <c r="N5" s="1" t="s">
        <v>17</v>
      </c>
      <c r="O5" s="1" t="s">
        <v>18</v>
      </c>
      <c r="P5" s="15"/>
      <c r="Q5" s="15"/>
    </row>
    <row r="6" spans="1:17" ht="22.15" customHeight="1" x14ac:dyDescent="0.25">
      <c r="A6" s="4">
        <v>45383</v>
      </c>
      <c r="B6" s="9">
        <v>5188</v>
      </c>
      <c r="C6" s="9">
        <v>9397.7333333333336</v>
      </c>
      <c r="D6" s="9">
        <v>6016.5630000000001</v>
      </c>
      <c r="E6" s="9">
        <v>750594</v>
      </c>
      <c r="F6" s="9">
        <v>951.37389800000005</v>
      </c>
      <c r="G6" s="9">
        <v>1048.9890150000001</v>
      </c>
      <c r="H6" s="10">
        <f t="shared" ref="H6:H18" si="0">F6/G6*100</f>
        <v>90.694362323708404</v>
      </c>
      <c r="I6" s="10">
        <v>2813.4055399999997</v>
      </c>
      <c r="J6" s="10">
        <v>0</v>
      </c>
      <c r="K6" s="10">
        <v>2813.4055399999997</v>
      </c>
      <c r="L6" s="10">
        <v>71.35304235000001</v>
      </c>
      <c r="M6" s="10">
        <v>3.9435628613100002</v>
      </c>
      <c r="N6" s="10">
        <v>0</v>
      </c>
      <c r="O6" s="10">
        <v>75.296605211310009</v>
      </c>
      <c r="P6" s="10">
        <v>98.609297499999997</v>
      </c>
      <c r="Q6" s="10">
        <f t="shared" ref="Q6:Q18" si="1">O6/P6*100</f>
        <v>76.358525129245564</v>
      </c>
    </row>
    <row r="7" spans="1:17" s="3" customFormat="1" ht="22.15" customHeight="1" x14ac:dyDescent="0.25">
      <c r="A7" s="5">
        <v>45413</v>
      </c>
      <c r="B7" s="11">
        <v>4862</v>
      </c>
      <c r="C7" s="11">
        <v>8792.1333333333332</v>
      </c>
      <c r="D7" s="11">
        <v>5641.95</v>
      </c>
      <c r="E7" s="11">
        <v>697530</v>
      </c>
      <c r="F7" s="11">
        <v>891.99680699999999</v>
      </c>
      <c r="G7" s="11">
        <v>967.32976399999995</v>
      </c>
      <c r="H7" s="12">
        <f t="shared" si="0"/>
        <v>92.212277570319856</v>
      </c>
      <c r="I7" s="13">
        <v>2925.73812</v>
      </c>
      <c r="J7" s="13"/>
      <c r="K7" s="13">
        <v>2925.73812</v>
      </c>
      <c r="L7" s="13">
        <v>66.899760524999976</v>
      </c>
      <c r="M7" s="13">
        <v>4.2216299171500005</v>
      </c>
      <c r="N7" s="13">
        <v>0</v>
      </c>
      <c r="O7" s="13">
        <v>71.121390442149973</v>
      </c>
      <c r="P7" s="13">
        <v>89.320611</v>
      </c>
      <c r="Q7" s="12">
        <f t="shared" si="1"/>
        <v>79.62483646932283</v>
      </c>
    </row>
    <row r="8" spans="1:17" ht="22.15" customHeight="1" x14ac:dyDescent="0.25">
      <c r="A8" s="4">
        <v>45444</v>
      </c>
      <c r="B8" s="9">
        <v>4504</v>
      </c>
      <c r="C8" s="9">
        <v>8329.9500000000007</v>
      </c>
      <c r="D8" s="9">
        <v>5389</v>
      </c>
      <c r="E8" s="9">
        <v>639631</v>
      </c>
      <c r="F8" s="9">
        <v>837.83252100000004</v>
      </c>
      <c r="G8" s="9">
        <v>948.88901999999996</v>
      </c>
      <c r="H8" s="10">
        <f t="shared" si="0"/>
        <v>88.296155118329864</v>
      </c>
      <c r="I8" s="10">
        <v>3206.3779300000001</v>
      </c>
      <c r="J8" s="10">
        <v>0</v>
      </c>
      <c r="K8" s="10">
        <v>3206.3779300000001</v>
      </c>
      <c r="L8" s="10">
        <v>62.837439074999992</v>
      </c>
      <c r="M8" s="10">
        <v>4.8837002675300001</v>
      </c>
      <c r="N8" s="10">
        <v>0</v>
      </c>
      <c r="O8" s="10">
        <v>67.721139342529995</v>
      </c>
      <c r="P8" s="10">
        <v>88.685105499999992</v>
      </c>
      <c r="Q8" s="10">
        <f t="shared" si="1"/>
        <v>76.361344963986085</v>
      </c>
    </row>
    <row r="9" spans="1:17" s="3" customFormat="1" ht="22.15" customHeight="1" x14ac:dyDescent="0.25">
      <c r="A9" s="5">
        <v>45474</v>
      </c>
      <c r="B9" s="11">
        <v>3945</v>
      </c>
      <c r="C9" s="11">
        <v>7313.85</v>
      </c>
      <c r="D9" s="11">
        <v>4643.4960000000001</v>
      </c>
      <c r="E9" s="11">
        <v>530206</v>
      </c>
      <c r="F9" s="11">
        <v>682.01451299999997</v>
      </c>
      <c r="G9" s="11">
        <v>793.20410200000003</v>
      </c>
      <c r="H9" s="12">
        <f t="shared" si="0"/>
        <v>85.982222139340365</v>
      </c>
      <c r="I9" s="13">
        <v>2673.8640000000023</v>
      </c>
      <c r="J9" s="13"/>
      <c r="K9" s="13">
        <v>2673.8640000000023</v>
      </c>
      <c r="L9" s="13">
        <v>51.151088475000002</v>
      </c>
      <c r="M9" s="13">
        <v>3.8452368598600026</v>
      </c>
      <c r="N9" s="13">
        <v>0</v>
      </c>
      <c r="O9" s="13">
        <v>54.996325334860003</v>
      </c>
      <c r="P9" s="13">
        <v>71.426224999999988</v>
      </c>
      <c r="Q9" s="12">
        <f t="shared" si="1"/>
        <v>76.997384832895776</v>
      </c>
    </row>
    <row r="10" spans="1:17" ht="22.15" customHeight="1" x14ac:dyDescent="0.25">
      <c r="A10" s="4">
        <v>45505</v>
      </c>
      <c r="B10" s="9">
        <v>3465</v>
      </c>
      <c r="C10" s="9">
        <v>6337.9333333333334</v>
      </c>
      <c r="D10" s="9">
        <v>3964.2049999999999</v>
      </c>
      <c r="E10" s="9">
        <v>404954</v>
      </c>
      <c r="F10" s="9">
        <v>523.95088999999996</v>
      </c>
      <c r="G10" s="9">
        <v>665.41139699999997</v>
      </c>
      <c r="H10" s="10">
        <f t="shared" si="0"/>
        <v>78.74089508569088</v>
      </c>
      <c r="I10" s="10">
        <v>2091.0636200000022</v>
      </c>
      <c r="J10" s="10"/>
      <c r="K10" s="10">
        <v>2091.0636200000022</v>
      </c>
      <c r="L10" s="10">
        <v>39.296316749999995</v>
      </c>
      <c r="M10" s="10">
        <v>2.97715904935</v>
      </c>
      <c r="N10" s="10">
        <v>0</v>
      </c>
      <c r="O10" s="10">
        <v>42.273475799349995</v>
      </c>
      <c r="P10" s="10">
        <v>58.942173499999996</v>
      </c>
      <c r="Q10" s="10">
        <f t="shared" si="1"/>
        <v>71.72025273100931</v>
      </c>
    </row>
    <row r="11" spans="1:17" s="3" customFormat="1" ht="22.15" customHeight="1" x14ac:dyDescent="0.25">
      <c r="A11" s="5">
        <v>45536</v>
      </c>
      <c r="B11" s="11">
        <v>3010</v>
      </c>
      <c r="C11" s="11">
        <v>5654.4333333333325</v>
      </c>
      <c r="D11" s="11">
        <v>3614.2820000000002</v>
      </c>
      <c r="E11" s="11">
        <v>355205</v>
      </c>
      <c r="F11" s="11">
        <v>466.40193800000003</v>
      </c>
      <c r="G11" s="11">
        <v>619.557908</v>
      </c>
      <c r="H11" s="12">
        <f t="shared" si="0"/>
        <v>75.279797413222596</v>
      </c>
      <c r="I11" s="13">
        <v>1978.3389500000003</v>
      </c>
      <c r="J11" s="13"/>
      <c r="K11" s="13">
        <v>1978.3389500000003</v>
      </c>
      <c r="L11" s="13">
        <v>34.980145349999994</v>
      </c>
      <c r="M11" s="13">
        <v>2.8420613700800001</v>
      </c>
      <c r="N11" s="13">
        <v>0</v>
      </c>
      <c r="O11" s="13">
        <v>37.822206720079997</v>
      </c>
      <c r="P11" s="13">
        <v>54.280832000000004</v>
      </c>
      <c r="Q11" s="12">
        <f t="shared" si="1"/>
        <v>69.678752750289448</v>
      </c>
    </row>
    <row r="12" spans="1:17" ht="22.15" customHeight="1" x14ac:dyDescent="0.25">
      <c r="A12" s="4">
        <v>45566</v>
      </c>
      <c r="B12" s="9">
        <v>3860</v>
      </c>
      <c r="C12" s="9">
        <v>6793.8833333333332</v>
      </c>
      <c r="D12" s="9">
        <v>4289.7340000000004</v>
      </c>
      <c r="E12" s="9">
        <v>446987</v>
      </c>
      <c r="F12" s="9">
        <v>564.277873</v>
      </c>
      <c r="G12" s="9">
        <v>714.57796199999996</v>
      </c>
      <c r="H12" s="10">
        <f t="shared" si="0"/>
        <v>78.966593291048071</v>
      </c>
      <c r="I12" s="10">
        <v>2671.1553799999988</v>
      </c>
      <c r="J12" s="10"/>
      <c r="K12" s="10">
        <v>2671.1553799999988</v>
      </c>
      <c r="L12" s="10">
        <v>42.320840475000004</v>
      </c>
      <c r="M12" s="10">
        <v>3.8938725897599995</v>
      </c>
      <c r="N12" s="10">
        <v>0</v>
      </c>
      <c r="O12" s="10">
        <v>46.214713064760005</v>
      </c>
      <c r="P12" s="10">
        <v>62.827030499999999</v>
      </c>
      <c r="Q12" s="10">
        <f t="shared" si="1"/>
        <v>73.558646170234013</v>
      </c>
    </row>
    <row r="13" spans="1:17" s="3" customFormat="1" ht="22.15" customHeight="1" x14ac:dyDescent="0.25">
      <c r="A13" s="5">
        <v>45597</v>
      </c>
      <c r="B13" s="11">
        <v>4389</v>
      </c>
      <c r="C13" s="11">
        <v>7899.666666666667</v>
      </c>
      <c r="D13" s="11">
        <v>5014.8389999999999</v>
      </c>
      <c r="E13" s="11">
        <v>573267</v>
      </c>
      <c r="F13" s="11">
        <v>726.28433999999993</v>
      </c>
      <c r="G13" s="11">
        <v>839.87124399999993</v>
      </c>
      <c r="H13" s="12">
        <f t="shared" si="0"/>
        <v>86.475676502623529</v>
      </c>
      <c r="I13" s="13">
        <v>2563.02747</v>
      </c>
      <c r="J13" s="13">
        <v>0</v>
      </c>
      <c r="K13" s="13">
        <v>2563.02747</v>
      </c>
      <c r="L13" s="13">
        <v>54.471325499999992</v>
      </c>
      <c r="M13" s="13">
        <v>3.6769914689399998</v>
      </c>
      <c r="N13" s="13">
        <v>0</v>
      </c>
      <c r="O13" s="13">
        <v>58.148316968940001</v>
      </c>
      <c r="P13" s="13">
        <v>75.118301000000002</v>
      </c>
      <c r="Q13" s="12">
        <f t="shared" si="1"/>
        <v>77.408988481967938</v>
      </c>
    </row>
    <row r="14" spans="1:17" ht="22.15" customHeight="1" x14ac:dyDescent="0.25">
      <c r="A14" s="4">
        <v>45627</v>
      </c>
      <c r="B14" s="9">
        <v>4602</v>
      </c>
      <c r="C14" s="9">
        <v>8527.2666666666664</v>
      </c>
      <c r="D14" s="9">
        <v>5455.9009999999998</v>
      </c>
      <c r="E14" s="9">
        <v>623053</v>
      </c>
      <c r="F14" s="9">
        <v>799.41141400000004</v>
      </c>
      <c r="G14" s="9">
        <v>933.37638400000003</v>
      </c>
      <c r="H14" s="10">
        <f t="shared" si="0"/>
        <v>85.647272386955947</v>
      </c>
      <c r="I14" s="10">
        <v>2808.9507900000008</v>
      </c>
      <c r="J14" s="10">
        <v>0</v>
      </c>
      <c r="K14" s="10">
        <v>2808.9507900000008</v>
      </c>
      <c r="L14" s="10">
        <v>59.955856050000001</v>
      </c>
      <c r="M14" s="10">
        <v>4.1287705527799998</v>
      </c>
      <c r="N14" s="10">
        <v>0</v>
      </c>
      <c r="O14" s="10">
        <v>64.084626602779991</v>
      </c>
      <c r="P14" s="10">
        <v>83.382445499999989</v>
      </c>
      <c r="Q14" s="10">
        <f t="shared" si="1"/>
        <v>76.856256995700605</v>
      </c>
    </row>
    <row r="15" spans="1:17" s="3" customFormat="1" ht="22.15" customHeight="1" x14ac:dyDescent="0.25">
      <c r="A15" s="5">
        <v>45658</v>
      </c>
      <c r="B15" s="11">
        <v>4413</v>
      </c>
      <c r="C15" s="11">
        <v>8129.8666666666668</v>
      </c>
      <c r="D15" s="11">
        <v>5144.9969999999994</v>
      </c>
      <c r="E15" s="11">
        <v>590860</v>
      </c>
      <c r="F15" s="11">
        <v>754.53966600000001</v>
      </c>
      <c r="G15" s="11">
        <v>883.97716000000003</v>
      </c>
      <c r="H15" s="12">
        <f t="shared" si="0"/>
        <v>85.357371224387748</v>
      </c>
      <c r="I15" s="13">
        <v>2511.9950999999951</v>
      </c>
      <c r="J15" s="13"/>
      <c r="K15" s="13">
        <v>2511.9950999999951</v>
      </c>
      <c r="L15" s="13">
        <v>56.590474950000015</v>
      </c>
      <c r="M15" s="13">
        <v>3.7246766547999992</v>
      </c>
      <c r="N15" s="13">
        <v>0</v>
      </c>
      <c r="O15" s="13">
        <v>60.315151604800022</v>
      </c>
      <c r="P15" s="13">
        <v>78.723824000000008</v>
      </c>
      <c r="Q15" s="12">
        <f t="shared" si="1"/>
        <v>76.616135421470403</v>
      </c>
    </row>
    <row r="16" spans="1:17" ht="22.15" customHeight="1" x14ac:dyDescent="0.25">
      <c r="A16" s="4">
        <v>45689</v>
      </c>
      <c r="B16" s="9">
        <v>4087</v>
      </c>
      <c r="C16" s="9">
        <v>7354.399999999996</v>
      </c>
      <c r="D16" s="9">
        <v>4572.2820000000002</v>
      </c>
      <c r="E16" s="9">
        <v>562119</v>
      </c>
      <c r="F16" s="9">
        <v>684.41439800000001</v>
      </c>
      <c r="G16" s="9">
        <v>774.33841699999994</v>
      </c>
      <c r="H16" s="10">
        <f t="shared" si="0"/>
        <v>88.386987262185656</v>
      </c>
      <c r="I16" s="10">
        <v>2094.2151600000034</v>
      </c>
      <c r="J16" s="10"/>
      <c r="K16" s="10">
        <v>2094.2151600000034</v>
      </c>
      <c r="L16" s="10">
        <v>51.331079850000002</v>
      </c>
      <c r="M16" s="10">
        <v>3.0136156452699994</v>
      </c>
      <c r="N16" s="10">
        <v>0</v>
      </c>
      <c r="O16" s="10">
        <v>54.34469549527001</v>
      </c>
      <c r="P16" s="10">
        <v>68.945349000000007</v>
      </c>
      <c r="Q16" s="10">
        <f t="shared" si="1"/>
        <v>78.822859385728833</v>
      </c>
    </row>
    <row r="17" spans="1:17" s="3" customFormat="1" ht="22.15" customHeight="1" x14ac:dyDescent="0.25">
      <c r="A17" s="5">
        <v>45717</v>
      </c>
      <c r="B17" s="11">
        <v>4562</v>
      </c>
      <c r="C17" s="11">
        <v>8204.85</v>
      </c>
      <c r="D17" s="11">
        <v>5197.1629999999996</v>
      </c>
      <c r="E17" s="11">
        <v>590350</v>
      </c>
      <c r="F17" s="11">
        <v>732.20384899999999</v>
      </c>
      <c r="G17" s="11">
        <v>893.08746100000008</v>
      </c>
      <c r="H17" s="12">
        <f t="shared" si="0"/>
        <v>81.985682363084919</v>
      </c>
      <c r="I17" s="13">
        <v>2818.475690000002</v>
      </c>
      <c r="J17" s="13"/>
      <c r="K17" s="13">
        <v>2818.475690000002</v>
      </c>
      <c r="L17" s="13">
        <v>54.915288675000014</v>
      </c>
      <c r="M17" s="13">
        <v>4.1085104757999993</v>
      </c>
      <c r="N17" s="13">
        <v>0</v>
      </c>
      <c r="O17" s="13">
        <v>59.023799150800016</v>
      </c>
      <c r="P17" s="13">
        <v>80.183745000000002</v>
      </c>
      <c r="Q17" s="12">
        <f t="shared" si="1"/>
        <v>73.610679010814493</v>
      </c>
    </row>
    <row r="18" spans="1:17" ht="22.15" customHeight="1" x14ac:dyDescent="0.25">
      <c r="A18" s="2" t="s">
        <v>23</v>
      </c>
      <c r="B18" s="7">
        <f>SUM(B6:B17)</f>
        <v>50887</v>
      </c>
      <c r="C18" s="7">
        <f t="shared" ref="C18:P18" si="2">SUM(C6:C17)</f>
        <v>92735.966666666674</v>
      </c>
      <c r="D18" s="7">
        <f t="shared" si="2"/>
        <v>58944.411999999989</v>
      </c>
      <c r="E18" s="7">
        <f t="shared" si="2"/>
        <v>6764756</v>
      </c>
      <c r="F18" s="7">
        <f t="shared" si="2"/>
        <v>8614.702107000001</v>
      </c>
      <c r="G18" s="7">
        <f t="shared" si="2"/>
        <v>10082.609833999999</v>
      </c>
      <c r="H18" s="8">
        <f t="shared" si="0"/>
        <v>85.441192794647236</v>
      </c>
      <c r="I18" s="8">
        <f t="shared" si="2"/>
        <v>31156.607750000006</v>
      </c>
      <c r="J18" s="6">
        <v>0</v>
      </c>
      <c r="K18" s="8">
        <f t="shared" si="2"/>
        <v>31156.607750000006</v>
      </c>
      <c r="L18" s="8">
        <f t="shared" si="2"/>
        <v>646.1026580250001</v>
      </c>
      <c r="M18" s="8">
        <f t="shared" si="2"/>
        <v>45.259787712630001</v>
      </c>
      <c r="N18" s="6">
        <v>0</v>
      </c>
      <c r="O18" s="8">
        <f t="shared" si="2"/>
        <v>691.36244573762997</v>
      </c>
      <c r="P18" s="8">
        <f t="shared" si="2"/>
        <v>910.44493950000003</v>
      </c>
      <c r="Q18" s="8">
        <f t="shared" si="1"/>
        <v>75.936766271369876</v>
      </c>
    </row>
    <row r="19" spans="1:17" ht="22.15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8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SPICEJET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cp:lastPrinted>2022-04-26T05:57:24Z</cp:lastPrinted>
  <dcterms:created xsi:type="dcterms:W3CDTF">2020-06-03T10:37:13Z</dcterms:created>
  <dcterms:modified xsi:type="dcterms:W3CDTF">2025-11-11T10:09:12Z</dcterms:modified>
</cp:coreProperties>
</file>