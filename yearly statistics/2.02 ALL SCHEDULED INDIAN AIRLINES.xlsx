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2 All Scheduled Indian Airlines Air Transport Operating and Traffic Statistics\"/>
    </mc:Choice>
  </mc:AlternateContent>
  <bookViews>
    <workbookView showHorizontalScroll="0" showVerticalScroll="0" showSheetTabs="0" xWindow="0" yWindow="0" windowWidth="13140" windowHeight="106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<sst xmlns="http://schemas.openxmlformats.org/spreadsheetml/2006/main" count="26" uniqueCount="24">
  <si>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</si>
  <si>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</si>
  <si>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</si>
  <si>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</si>
  <si>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</si>
  <si>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</si>
  <si>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</si>
  <si>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</si>
  <si>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</si>
  <si>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</si>
  <si>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</si>
  <si>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</si>
  <si>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</si>
  <si>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</si>
  <si>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</si>
  <si>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</si>
  <si>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</si>
  <si>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</si>
  <si>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</si>
  <si>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</si>
  <si>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- 2.02 (सभी अनुसूचित भारतीय एयरलाइन्स) </t>
  </si>
  <si>
    <t>Table 2.02 (ALL SCHEDULED INDIAN AIRLINES)</t>
  </si>
  <si>
    <t>2024-25</t>
  </si>
  <si>
    <t>MONTHLY TRAFFIC AND OPERATING STATISTICS OF ALL SCHEDULED INDIAN AIRLINES ON SCHEDULED INTERNATIONAL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</si>
</sst>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0" xfId="0" applyFont="1" applyBorder="1" applyAlignment="1">
      <alignment horizontal="left" wrapText="1"/>
    </xf>
    <xf numFmtId="17" fontId="3" fillId="5" borderId="1" xfId="3" applyNumberFormat="1" applyFill="1" applyBorder="1" applyAlignment="1" applyProtection="1">
      <alignment horizontal="center" vertical="center" wrapText="1"/>
    </xf>
    <xf numFmtId="166" fontId="6" fillId="0" borderId="0" xfId="0" applyNumberFormat="1" applyFont="1" applyBorder="1" applyAlignment="1">
      <alignment horizontal="left" wrapText="1"/>
    </xf>
    <xf numFmtId="166" fontId="0" fillId="0" borderId="0" xfId="0" applyNumberFormat="1" applyFont="1"/>
    <xf numFmtId="166" fontId="2" fillId="3" borderId="1" xfId="2" applyNumberFormat="1" applyFont="1" applyBorder="1" applyAlignment="1" applyProtection="1">
      <alignment horizontal="center" vertical="center" textRotation="90" wrapText="1"/>
    </xf>
    <xf numFmtId="166" fontId="2" fillId="3" borderId="1" xfId="2" applyNumberFormat="1" applyFont="1" applyBorder="1" applyAlignment="1">
      <alignment textRotation="90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20"/>
  <sheetViews>
    <sheetView tabSelected="1" zoomScale="85" zoomScaleNormal="85" zoomScaleSheetLayoutView="84" workbookViewId="0">
      <selection activeCell="O8" sqref="O8"/>
    </sheetView>
  </sheetViews>
  <sheetFormatPr defaultColWidth="9.140625" defaultRowHeight="15" x14ac:dyDescent="0.25"/>
  <cols>
    <col min="1" max="1" width="10.140625" style="1" customWidth="1"/>
    <col min="2" max="2" width="10.42578125" style="1" bestFit="1" customWidth="1"/>
    <col min="3" max="3" width="10.28515625" style="1" customWidth="1"/>
    <col min="4" max="4" width="9.28515625" style="1" customWidth="1"/>
    <col min="5" max="5" width="12.7109375" style="1" bestFit="1" customWidth="1"/>
    <col min="6" max="6" width="8.85546875" style="1" bestFit="1" customWidth="1"/>
    <col min="7" max="7" width="14.5703125" style="1" customWidth="1"/>
    <col min="8" max="8" width="7.5703125" style="1" customWidth="1"/>
    <col min="9" max="9" width="11.42578125" style="1" customWidth="1"/>
    <col min="10" max="10" width="9.5703125" style="1" bestFit="1" customWidth="1"/>
    <col min="11" max="11" width="11.2851562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2.85546875" style="1" customWidth="1"/>
    <col min="16" max="16" width="12.28515625" style="14" customWidth="1"/>
    <col min="17" max="17" width="7.7109375" style="1" customWidth="1"/>
    <col min="18" max="16384" width="9.140625" style="1"/>
  </cols>
  <sheetData>
    <row r="1" spans="1:17" ht="18.75" customHeight="1" x14ac:dyDescent="0.2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75" customHeight="1" x14ac:dyDescent="0.25">
      <c r="A2" s="21" t="s">
        <v>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7" t="s">
        <v>3</v>
      </c>
      <c r="H4" s="17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7" t="s">
        <v>8</v>
      </c>
    </row>
    <row r="5" spans="1:17" ht="128.25" customHeight="1" x14ac:dyDescent="0.25">
      <c r="A5" s="23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8"/>
      <c r="H5" s="18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6"/>
      <c r="Q5" s="18"/>
    </row>
    <row r="6" spans="1:17" ht="30" customHeight="1" x14ac:dyDescent="0.25">
      <c r="A6" s="4">
        <v>45383</v>
      </c>
      <c r="B6" s="5">
        <v>15330</v>
      </c>
      <c r="C6" s="5">
        <v>69526.212963333324</v>
      </c>
      <c r="D6" s="5">
        <v>50204.55599999999</v>
      </c>
      <c r="E6" s="5">
        <v>2566770</v>
      </c>
      <c r="F6" s="5">
        <v>9219.3163690000001</v>
      </c>
      <c r="G6" s="5">
        <v>11044.698238999999</v>
      </c>
      <c r="H6" s="6">
        <f t="shared" ref="H6:H18" si="0">F6/G6*100</f>
        <v>83.472777340766243</v>
      </c>
      <c r="I6" s="6">
        <v>21796.401529999992</v>
      </c>
      <c r="J6" s="6">
        <v>226.92536872500006</v>
      </c>
      <c r="K6" s="6">
        <v>22023.32689872499</v>
      </c>
      <c r="L6" s="6">
        <v>843.1937372450011</v>
      </c>
      <c r="M6" s="6">
        <v>94.736530651528852</v>
      </c>
      <c r="N6" s="6">
        <v>1.9367021390259802</v>
      </c>
      <c r="O6" s="6">
        <v>939.86697003555582</v>
      </c>
      <c r="P6" s="6">
        <v>1369.5901790610001</v>
      </c>
      <c r="Q6" s="6">
        <f t="shared" ref="Q6:Q18" si="1">O6/P6*100</f>
        <v>68.623956596997118</v>
      </c>
    </row>
    <row r="7" spans="1:17" ht="30" customHeight="1" x14ac:dyDescent="0.25">
      <c r="A7" s="12">
        <v>45413</v>
      </c>
      <c r="B7" s="2">
        <v>16023</v>
      </c>
      <c r="C7" s="2">
        <v>74045.968000000023</v>
      </c>
      <c r="D7" s="2">
        <v>52152.698999999993</v>
      </c>
      <c r="E7" s="2">
        <v>2770679</v>
      </c>
      <c r="F7" s="2">
        <v>9953.095107000001</v>
      </c>
      <c r="G7" s="2">
        <v>11628.860033000001</v>
      </c>
      <c r="H7" s="3">
        <f t="shared" si="0"/>
        <v>85.58960275345504</v>
      </c>
      <c r="I7" s="3">
        <v>22967.207579999998</v>
      </c>
      <c r="J7" s="3">
        <v>216.39247053975976</v>
      </c>
      <c r="K7" s="3">
        <v>23183.600050539757</v>
      </c>
      <c r="L7" s="3">
        <v>930.46471920900001</v>
      </c>
      <c r="M7" s="3">
        <v>114.92063631273996</v>
      </c>
      <c r="N7" s="3">
        <v>1.787799002439229</v>
      </c>
      <c r="O7" s="3">
        <v>1047.1731545241792</v>
      </c>
      <c r="P7" s="3">
        <v>1436.7519911769998</v>
      </c>
      <c r="Q7" s="3">
        <f t="shared" si="1"/>
        <v>72.884754011464821</v>
      </c>
    </row>
    <row r="8" spans="1:17" ht="30" customHeight="1" x14ac:dyDescent="0.25">
      <c r="A8" s="4">
        <v>45444</v>
      </c>
      <c r="B8" s="5">
        <v>16405</v>
      </c>
      <c r="C8" s="5">
        <v>75711.762333333332</v>
      </c>
      <c r="D8" s="5">
        <v>52462.083000000013</v>
      </c>
      <c r="E8" s="5">
        <v>2711650</v>
      </c>
      <c r="F8" s="5">
        <v>9851.5376890000007</v>
      </c>
      <c r="G8" s="5">
        <v>11816.399773000001</v>
      </c>
      <c r="H8" s="6">
        <f t="shared" si="0"/>
        <v>83.371736554736145</v>
      </c>
      <c r="I8" s="6">
        <v>24326.631310000008</v>
      </c>
      <c r="J8" s="6">
        <v>215.11743067994377</v>
      </c>
      <c r="K8" s="6">
        <v>24541.748740679952</v>
      </c>
      <c r="L8" s="6">
        <v>911.84187741500068</v>
      </c>
      <c r="M8" s="6">
        <v>122.47816469990995</v>
      </c>
      <c r="N8" s="6">
        <v>1.6486045498738144</v>
      </c>
      <c r="O8" s="6">
        <v>1035.9686466647845</v>
      </c>
      <c r="P8" s="6">
        <v>1388.9930839900012</v>
      </c>
      <c r="Q8" s="6">
        <f t="shared" si="1"/>
        <v>74.584147221876449</v>
      </c>
    </row>
    <row r="9" spans="1:17" ht="30" customHeight="1" x14ac:dyDescent="0.25">
      <c r="A9" s="12">
        <v>45474</v>
      </c>
      <c r="B9" s="2">
        <v>17187</v>
      </c>
      <c r="C9" s="2">
        <v>79090.963333333348</v>
      </c>
      <c r="D9" s="2">
        <v>55820.262999999999</v>
      </c>
      <c r="E9" s="2">
        <v>2763666</v>
      </c>
      <c r="F9" s="2">
        <v>10033.781455</v>
      </c>
      <c r="G9" s="2">
        <v>12342.887965000002</v>
      </c>
      <c r="H9" s="3">
        <f t="shared" si="0"/>
        <v>81.292007862764379</v>
      </c>
      <c r="I9" s="3">
        <v>24811.096119999998</v>
      </c>
      <c r="J9" s="3">
        <v>163.08269788671674</v>
      </c>
      <c r="K9" s="3">
        <v>24974.178817886714</v>
      </c>
      <c r="L9" s="3">
        <v>934.73031862499965</v>
      </c>
      <c r="M9" s="3">
        <v>124.26062800289023</v>
      </c>
      <c r="N9" s="3">
        <v>1.0811762939066554</v>
      </c>
      <c r="O9" s="3">
        <v>1060.0721229217966</v>
      </c>
      <c r="P9" s="3">
        <v>1484.2720015350012</v>
      </c>
      <c r="Q9" s="3">
        <f t="shared" si="1"/>
        <v>71.420340869159659</v>
      </c>
    </row>
    <row r="10" spans="1:17" ht="30" customHeight="1" x14ac:dyDescent="0.25">
      <c r="A10" s="4">
        <v>45505</v>
      </c>
      <c r="B10" s="5">
        <v>17580</v>
      </c>
      <c r="C10" s="5">
        <v>79503.806266666696</v>
      </c>
      <c r="D10" s="5">
        <v>56878.543000000012</v>
      </c>
      <c r="E10" s="5">
        <v>2779337</v>
      </c>
      <c r="F10" s="5">
        <v>10126.185073000001</v>
      </c>
      <c r="G10" s="5">
        <v>12489.641901999999</v>
      </c>
      <c r="H10" s="6">
        <f t="shared" si="0"/>
        <v>81.076664586984421</v>
      </c>
      <c r="I10" s="6">
        <v>24266.890819999993</v>
      </c>
      <c r="J10" s="6">
        <v>168.63969342981397</v>
      </c>
      <c r="K10" s="6">
        <v>24435.530513429811</v>
      </c>
      <c r="L10" s="6">
        <v>943.91990619200067</v>
      </c>
      <c r="M10" s="6">
        <v>122.04990000610013</v>
      </c>
      <c r="N10" s="6">
        <v>1.0628057308341483</v>
      </c>
      <c r="O10" s="6">
        <v>1067.0326119289348</v>
      </c>
      <c r="P10" s="6">
        <v>1497.7300361079995</v>
      </c>
      <c r="Q10" s="6">
        <f t="shared" si="1"/>
        <v>71.243320638859942</v>
      </c>
    </row>
    <row r="11" spans="1:17" ht="30" customHeight="1" x14ac:dyDescent="0.25">
      <c r="A11" s="12">
        <v>45536</v>
      </c>
      <c r="B11" s="2">
        <v>17279</v>
      </c>
      <c r="C11" s="2">
        <v>77581.084999999992</v>
      </c>
      <c r="D11" s="2">
        <v>56115.802000000003</v>
      </c>
      <c r="E11" s="2">
        <v>2671124</v>
      </c>
      <c r="F11" s="2">
        <v>9811.3845810000003</v>
      </c>
      <c r="G11" s="2">
        <v>12343.037683000002</v>
      </c>
      <c r="H11" s="3">
        <f t="shared" si="0"/>
        <v>79.489221640416503</v>
      </c>
      <c r="I11" s="3">
        <v>26321.00288</v>
      </c>
      <c r="J11" s="3">
        <v>174.84963626598565</v>
      </c>
      <c r="K11" s="3">
        <v>26495.852516265986</v>
      </c>
      <c r="L11" s="3">
        <v>956.619251923001</v>
      </c>
      <c r="M11" s="3">
        <v>119.67248082654999</v>
      </c>
      <c r="N11" s="3">
        <v>1.2074740239798225</v>
      </c>
      <c r="O11" s="3">
        <v>1077.4992067735309</v>
      </c>
      <c r="P11" s="3">
        <v>1397.5683787289993</v>
      </c>
      <c r="Q11" s="3">
        <f t="shared" si="1"/>
        <v>77.098138679514832</v>
      </c>
    </row>
    <row r="12" spans="1:17" ht="30" customHeight="1" x14ac:dyDescent="0.25">
      <c r="A12" s="4">
        <v>45566</v>
      </c>
      <c r="B12" s="5">
        <v>17621</v>
      </c>
      <c r="C12" s="5">
        <v>78738.946999999956</v>
      </c>
      <c r="D12" s="5">
        <v>57549.421999999991</v>
      </c>
      <c r="E12" s="5">
        <v>2765194</v>
      </c>
      <c r="F12" s="5">
        <v>9966.2297169999983</v>
      </c>
      <c r="G12" s="5">
        <v>12763.797578000002</v>
      </c>
      <c r="H12" s="6">
        <f t="shared" si="0"/>
        <v>78.082010123523418</v>
      </c>
      <c r="I12" s="6">
        <v>22120.365140000009</v>
      </c>
      <c r="J12" s="6">
        <v>214.34225998390946</v>
      </c>
      <c r="K12" s="6">
        <v>22334.707399983919</v>
      </c>
      <c r="L12" s="6">
        <v>962.94347421099997</v>
      </c>
      <c r="M12" s="6">
        <v>125.45986384492005</v>
      </c>
      <c r="N12" s="6">
        <v>1.5828907165441479</v>
      </c>
      <c r="O12" s="6">
        <v>1089.9862287724641</v>
      </c>
      <c r="P12" s="6">
        <v>1441.8575514819988</v>
      </c>
      <c r="Q12" s="6">
        <f t="shared" si="1"/>
        <v>75.595971852568425</v>
      </c>
    </row>
    <row r="13" spans="1:17" ht="30" customHeight="1" x14ac:dyDescent="0.25">
      <c r="A13" s="12">
        <v>45597</v>
      </c>
      <c r="B13" s="2">
        <v>16829</v>
      </c>
      <c r="C13" s="2">
        <v>75747.531333333391</v>
      </c>
      <c r="D13" s="2">
        <v>53104.462999999989</v>
      </c>
      <c r="E13" s="2">
        <v>2812305</v>
      </c>
      <c r="F13" s="2">
        <v>10120.082039999999</v>
      </c>
      <c r="G13" s="2">
        <v>12069.105672999998</v>
      </c>
      <c r="H13" s="3">
        <f t="shared" si="0"/>
        <v>83.851134576108706</v>
      </c>
      <c r="I13" s="3">
        <v>23479.663159999993</v>
      </c>
      <c r="J13" s="3">
        <v>171.29073441930205</v>
      </c>
      <c r="K13" s="3">
        <v>23650.953894419297</v>
      </c>
      <c r="L13" s="3">
        <v>979.87449046600136</v>
      </c>
      <c r="M13" s="3">
        <v>108.1619589722699</v>
      </c>
      <c r="N13" s="3">
        <v>1.2980478221655145</v>
      </c>
      <c r="O13" s="3">
        <v>1089.3344972604368</v>
      </c>
      <c r="P13" s="3">
        <v>1351.1467240609991</v>
      </c>
      <c r="Q13" s="3">
        <f t="shared" si="1"/>
        <v>80.622961064238766</v>
      </c>
    </row>
    <row r="14" spans="1:17" ht="30" customHeight="1" x14ac:dyDescent="0.25">
      <c r="A14" s="4">
        <v>45627</v>
      </c>
      <c r="B14" s="5">
        <v>18324</v>
      </c>
      <c r="C14" s="5">
        <v>82783.609333333268</v>
      </c>
      <c r="D14" s="5">
        <v>59386.189199464774</v>
      </c>
      <c r="E14" s="5">
        <v>3051909</v>
      </c>
      <c r="F14" s="5">
        <v>10925.652624007755</v>
      </c>
      <c r="G14" s="5">
        <v>13069.195159105802</v>
      </c>
      <c r="H14" s="6">
        <f t="shared" si="0"/>
        <v>83.598511545643575</v>
      </c>
      <c r="I14" s="6">
        <v>26810.559519620532</v>
      </c>
      <c r="J14" s="6">
        <v>256.01145243357576</v>
      </c>
      <c r="K14" s="6">
        <v>27066.570972054105</v>
      </c>
      <c r="L14" s="6">
        <v>1048.5412614361642</v>
      </c>
      <c r="M14" s="6">
        <v>128.06505070191207</v>
      </c>
      <c r="N14" s="6">
        <v>1.7263273822082503</v>
      </c>
      <c r="O14" s="6">
        <v>1178.3326395202844</v>
      </c>
      <c r="P14" s="6">
        <v>1426.6311255992946</v>
      </c>
      <c r="Q14" s="6">
        <f t="shared" si="1"/>
        <v>82.595466927394725</v>
      </c>
    </row>
    <row r="15" spans="1:17" ht="30" customHeight="1" x14ac:dyDescent="0.25">
      <c r="A15" s="12">
        <v>45658</v>
      </c>
      <c r="B15" s="2">
        <v>18574</v>
      </c>
      <c r="C15" s="2">
        <v>83308.558666666591</v>
      </c>
      <c r="D15" s="2">
        <v>60272.04211371077</v>
      </c>
      <c r="E15" s="2">
        <v>3192757</v>
      </c>
      <c r="F15" s="2">
        <v>11563.224256955549</v>
      </c>
      <c r="G15" s="2">
        <v>13369.895939479149</v>
      </c>
      <c r="H15" s="3">
        <f t="shared" si="0"/>
        <v>86.487017620019088</v>
      </c>
      <c r="I15" s="3">
        <v>25281.49060400539</v>
      </c>
      <c r="J15" s="3">
        <v>218.89442124360093</v>
      </c>
      <c r="K15" s="3">
        <v>25500.385025248994</v>
      </c>
      <c r="L15" s="3">
        <v>1119.5898064375742</v>
      </c>
      <c r="M15" s="3">
        <v>111.16927326809051</v>
      </c>
      <c r="N15" s="3">
        <v>1.6057293330608078</v>
      </c>
      <c r="O15" s="3">
        <v>1232.3648090387255</v>
      </c>
      <c r="P15" s="3">
        <v>1467.7559872242152</v>
      </c>
      <c r="Q15" s="3">
        <f t="shared" si="1"/>
        <v>83.962512826763813</v>
      </c>
    </row>
    <row r="16" spans="1:17" ht="30" customHeight="1" x14ac:dyDescent="0.25">
      <c r="A16" s="4">
        <v>45689</v>
      </c>
      <c r="B16" s="5">
        <v>16668</v>
      </c>
      <c r="C16" s="5">
        <v>75985.468999999997</v>
      </c>
      <c r="D16" s="5">
        <v>54623.096938114424</v>
      </c>
      <c r="E16" s="5">
        <v>2862912</v>
      </c>
      <c r="F16" s="5">
        <v>10490.677419131069</v>
      </c>
      <c r="G16" s="5">
        <v>12173.101844523637</v>
      </c>
      <c r="H16" s="6">
        <f t="shared" si="0"/>
        <v>86.179164136793545</v>
      </c>
      <c r="I16" s="6">
        <v>24160.985659999998</v>
      </c>
      <c r="J16" s="6">
        <v>167.25435317854303</v>
      </c>
      <c r="K16" s="6">
        <v>24328.240013178543</v>
      </c>
      <c r="L16" s="6">
        <v>1007.1223478782796</v>
      </c>
      <c r="M16" s="6">
        <v>113.76172155758772</v>
      </c>
      <c r="N16" s="6">
        <v>1.265844405</v>
      </c>
      <c r="O16" s="6">
        <v>1122.1499138408672</v>
      </c>
      <c r="P16" s="6">
        <v>1330.9657995822881</v>
      </c>
      <c r="Q16" s="6">
        <f t="shared" si="1"/>
        <v>84.310950303384502</v>
      </c>
    </row>
    <row r="17" spans="1:17" ht="30" customHeight="1" x14ac:dyDescent="0.25">
      <c r="A17" s="12">
        <v>45717</v>
      </c>
      <c r="B17" s="2">
        <v>18502</v>
      </c>
      <c r="C17" s="2">
        <v>83020.12366666671</v>
      </c>
      <c r="D17" s="2">
        <v>59905.513074597955</v>
      </c>
      <c r="E17" s="2">
        <v>2907654</v>
      </c>
      <c r="F17" s="2">
        <v>10518.650378482389</v>
      </c>
      <c r="G17" s="2">
        <v>13292.107039152279</v>
      </c>
      <c r="H17" s="3">
        <f t="shared" si="0"/>
        <v>79.134559686431999</v>
      </c>
      <c r="I17" s="3">
        <v>28251.813070000004</v>
      </c>
      <c r="J17" s="3">
        <v>221.30819179923293</v>
      </c>
      <c r="K17" s="3">
        <v>28473.121261799235</v>
      </c>
      <c r="L17" s="3">
        <v>999.13490032669893</v>
      </c>
      <c r="M17" s="3">
        <v>134.51889837226321</v>
      </c>
      <c r="N17" s="3">
        <v>1.710884020119569</v>
      </c>
      <c r="O17" s="3">
        <v>1135.3646827190817</v>
      </c>
      <c r="P17" s="3">
        <v>1437.9059712919611</v>
      </c>
      <c r="Q17" s="3">
        <f t="shared" si="1"/>
        <v>78.959591613556938</v>
      </c>
    </row>
    <row r="18" spans="1:17" ht="30" customHeight="1" x14ac:dyDescent="0.25">
      <c r="A18" s="7" t="s">
        <v>22</v>
      </c>
      <c r="B18" s="8">
        <f>SUM(B6:B17)</f>
        <v>206322</v>
      </c>
      <c r="C18" s="8">
        <f t="shared" ref="C18:G18" si="2">SUM(C6:C17)</f>
        <v>935044.03689666663</v>
      </c>
      <c r="D18" s="8">
        <f t="shared" si="2"/>
        <v>668474.67232588783</v>
      </c>
      <c r="E18" s="8">
        <f t="shared" si="2"/>
        <v>33855957</v>
      </c>
      <c r="F18" s="8">
        <f t="shared" si="2"/>
        <v>122579.81670957676</v>
      </c>
      <c r="G18" s="8">
        <f t="shared" si="2"/>
        <v>148402.72882826085</v>
      </c>
      <c r="H18" s="9">
        <f t="shared" si="0"/>
        <v>82.599435790316448</v>
      </c>
      <c r="I18" s="9">
        <f>SUM(I6:I17)</f>
        <v>294594.10739362589</v>
      </c>
      <c r="J18" s="9">
        <f t="shared" ref="J18:P18" si="3">SUM(J6:J17)</f>
        <v>2414.108710585384</v>
      </c>
      <c r="K18" s="9">
        <f t="shared" si="3"/>
        <v>297008.21610421129</v>
      </c>
      <c r="L18" s="9">
        <f t="shared" si="3"/>
        <v>11637.976091364721</v>
      </c>
      <c r="M18" s="9">
        <f t="shared" si="3"/>
        <v>1419.2551072167626</v>
      </c>
      <c r="N18" s="9">
        <f t="shared" si="3"/>
        <v>17.914285419157938</v>
      </c>
      <c r="O18" s="9">
        <f t="shared" si="3"/>
        <v>13075.145484000643</v>
      </c>
      <c r="P18" s="9">
        <f t="shared" si="3"/>
        <v>17031.168829840757</v>
      </c>
      <c r="Q18" s="9">
        <f t="shared" si="1"/>
        <v>76.771862311007908</v>
      </c>
    </row>
    <row r="19" spans="1:17" x14ac:dyDescent="0.25">
      <c r="A19" s="19" t="s">
        <v>19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3"/>
      <c r="Q20" s="1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2020-06-11T07:16:07Z</cp:lastPrinted>
  <dcterms:created xsi:type="dcterms:W3CDTF">2018-10-29T04:00:09Z</dcterms:created>
  <dcterms:modified xsi:type="dcterms:W3CDTF">2025-11-20T07:26:39Z</dcterms:modified>
</cp:coreProperties>
</file>