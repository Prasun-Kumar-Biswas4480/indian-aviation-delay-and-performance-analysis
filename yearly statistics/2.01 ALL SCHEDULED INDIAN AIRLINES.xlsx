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2 All Scheduled Indian Airlines Air Transport Operating and Traffic Statistics\"/>
    </mc:Choice>
  </mc:AlternateContent>
  <bookViews>
    <workbookView xWindow="0" yWindow="0" windowWidth="24000" windowHeight="10725"/>
  </bookViews>
  <sheets>
    <sheet name="2.01" sheetId="1" r:id="rId1"/>
  </sheets>
  <definedNames>
    <definedName name="_xlnm.Print_Area" localSheetId="0">'2.01'!$A$1:$Q$19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B18" i="1" l="1"/>
  <c r="P18" i="1" l="1"/>
  <c r="N18" i="1"/>
  <c r="M18" i="1"/>
  <c r="L18" i="1"/>
  <c r="K18" i="1"/>
  <c r="J18" i="1"/>
  <c r="I18" i="1"/>
  <c r="G18" i="1"/>
  <c r="F18" i="1"/>
  <c r="E18" i="1"/>
  <c r="D18" i="1"/>
  <c r="C18" i="1"/>
  <c r="H18" i="1" l="1"/>
  <c r="O18" i="1"/>
  <c r="Q18" i="1" s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<sst xmlns="http://schemas.openxmlformats.org/spreadsheetml/2006/main" count="26" uniqueCount="24">
  <si>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</si>
  <si>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</si>
  <si>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</si>
  <si>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</si>
  <si>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</si>
  <si>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</si>
  <si>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</si>
  <si>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</si>
  <si>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</si>
  <si>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</si>
  <si>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</si>
  <si>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</si>
  <si>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</si>
  <si>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</si>
  <si>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</si>
  <si>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</si>
  <si>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</si>
  <si>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</si>
  <si>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</si>
  <si>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</si>
  <si>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Table 2.01 (ALL SCHEDULED INDIAN AIRLINES)</t>
  </si>
  <si>
    <t xml:space="preserve">तालिका 2.01 (सभी अनुसूचित भारतीय एयरलाइन्स) </t>
  </si>
  <si>
    <t>MONTHLY TRAFFIC AND OPERATING STATISTICS OF ALL SCHEDULED INDIAN AIRLINES ON SCHEDULED DOMESTIC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</si>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</sst>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3" fontId="0" fillId="0" borderId="0" xfId="0" applyNumberFormat="1" applyFont="1"/>
    <xf numFmtId="17" fontId="3" fillId="5" borderId="1" xfId="3" applyNumberFormat="1" applyFont="1" applyFill="1" applyBorder="1" applyAlignment="1" applyProtection="1">
      <alignment horizontal="center" vertical="center" wrapText="1"/>
    </xf>
    <xf numFmtId="166" fontId="4" fillId="4" borderId="1" xfId="3" applyNumberFormat="1" applyFont="1" applyBorder="1" applyAlignment="1" applyProtection="1">
      <alignment horizontal="right" vertical="center" wrapText="1"/>
    </xf>
    <xf numFmtId="4" fontId="4" fillId="4" borderId="1" xfId="3" applyNumberFormat="1" applyFont="1" applyBorder="1" applyAlignment="1" applyProtection="1">
      <alignment horizontal="righ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0" fillId="4" borderId="1" xfId="3" applyFont="1" applyBorder="1" applyAlignment="1">
      <alignment horizontal="center" vertical="center" wrapText="1"/>
    </xf>
    <xf numFmtId="0" fontId="3" fillId="4" borderId="1" xfId="3" applyBorder="1" applyAlignment="1">
      <alignment horizontal="center" vertical="center" wrapText="1"/>
    </xf>
    <xf numFmtId="0" fontId="0" fillId="4" borderId="1" xfId="3" quotePrefix="1" applyFont="1" applyBorder="1" applyAlignment="1" applyProtection="1">
      <alignment horizontal="center" vertical="center" wrapText="1"/>
    </xf>
    <xf numFmtId="0" fontId="3" fillId="4" borderId="1" xfId="3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21"/>
  <sheetViews>
    <sheetView tabSelected="1" view="pageBreakPreview" zoomScale="85" zoomScaleNormal="100" zoomScaleSheetLayoutView="85" workbookViewId="0">
      <selection activeCell="P12" sqref="P12"/>
    </sheetView>
  </sheetViews>
  <sheetFormatPr defaultColWidth="9.140625" defaultRowHeight="15" x14ac:dyDescent="0.25"/>
  <cols>
    <col min="1" max="1" width="8.140625" style="1" customWidth="1"/>
    <col min="2" max="2" width="10.140625" style="1" customWidth="1"/>
    <col min="3" max="3" width="10" style="1" customWidth="1"/>
    <col min="4" max="4" width="14.5703125" style="1" customWidth="1"/>
    <col min="5" max="5" width="12.85546875" style="1" customWidth="1"/>
    <col min="6" max="6" width="9.5703125" style="1" customWidth="1"/>
    <col min="7" max="7" width="10.140625" style="1" customWidth="1"/>
    <col min="8" max="8" width="7.7109375" style="1" customWidth="1"/>
    <col min="9" max="9" width="10.140625" style="1" bestFit="1" customWidth="1"/>
    <col min="10" max="10" width="8.7109375" style="1" customWidth="1"/>
    <col min="11" max="11" width="10.140625" style="1" bestFit="1" customWidth="1"/>
    <col min="12" max="12" width="9.140625" style="1" customWidth="1"/>
    <col min="13" max="13" width="10.28515625" style="1" customWidth="1"/>
    <col min="14" max="14" width="8.28515625" style="1" customWidth="1"/>
    <col min="15" max="15" width="10.5703125" style="1" customWidth="1"/>
    <col min="16" max="16" width="14.28515625" style="1" customWidth="1"/>
    <col min="17" max="17" width="7.42578125" style="1" customWidth="1"/>
    <col min="18" max="16384" width="9.140625" style="1"/>
  </cols>
  <sheetData>
    <row r="1" spans="1:17" ht="18.75" customHeight="1" x14ac:dyDescent="0.25">
      <c r="A1" s="18" t="s">
        <v>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8.75" customHeight="1" x14ac:dyDescent="0.25">
      <c r="A2" s="20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8.75" customHeight="1" x14ac:dyDescent="0.25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21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6" t="s">
        <v>3</v>
      </c>
      <c r="H4" s="16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6" t="s">
        <v>7</v>
      </c>
      <c r="Q4" s="16" t="s">
        <v>8</v>
      </c>
    </row>
    <row r="5" spans="1:17" ht="115.5" customHeight="1" x14ac:dyDescent="0.25">
      <c r="A5" s="22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7"/>
      <c r="H5" s="17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7"/>
      <c r="Q5" s="17"/>
    </row>
    <row r="6" spans="1:17" ht="30" customHeight="1" x14ac:dyDescent="0.25">
      <c r="A6" s="9">
        <v>45383</v>
      </c>
      <c r="B6" s="3">
        <v>91733</v>
      </c>
      <c r="C6" s="3">
        <v>156752.09426000004</v>
      </c>
      <c r="D6" s="3">
        <v>82252.75</v>
      </c>
      <c r="E6" s="3">
        <v>13200048</v>
      </c>
      <c r="F6" s="3">
        <v>12698.343113999999</v>
      </c>
      <c r="G6" s="3">
        <v>14629.152313433333</v>
      </c>
      <c r="H6" s="6">
        <f t="shared" ref="H6:H17" si="0">F6/G6*100</f>
        <v>86.801633081225404</v>
      </c>
      <c r="I6" s="6">
        <v>55590.862320000007</v>
      </c>
      <c r="J6" s="6">
        <v>3553.6187433000027</v>
      </c>
      <c r="K6" s="6">
        <v>59144.481063300016</v>
      </c>
      <c r="L6" s="6">
        <v>1111.2959761329998</v>
      </c>
      <c r="M6" s="6">
        <v>69.91047811032891</v>
      </c>
      <c r="N6" s="6">
        <v>3.7263137346532087</v>
      </c>
      <c r="O6" s="6">
        <v>1184.9327679779819</v>
      </c>
      <c r="P6" s="6">
        <v>1628.0198377989996</v>
      </c>
      <c r="Q6" s="6">
        <f t="shared" ref="Q6:Q17" si="1">O6/P6*100</f>
        <v>72.783681160786784</v>
      </c>
    </row>
    <row r="7" spans="1:17" ht="30" customHeight="1" x14ac:dyDescent="0.25">
      <c r="A7" s="12">
        <v>45413</v>
      </c>
      <c r="B7" s="4">
        <v>93551</v>
      </c>
      <c r="C7" s="4">
        <v>163681.98326000007</v>
      </c>
      <c r="D7" s="4">
        <v>83367.63</v>
      </c>
      <c r="E7" s="4">
        <v>13795301</v>
      </c>
      <c r="F7" s="4">
        <v>13269.977942</v>
      </c>
      <c r="G7" s="4">
        <v>14933.348099964707</v>
      </c>
      <c r="H7" s="7">
        <f t="shared" si="0"/>
        <v>88.861371563630541</v>
      </c>
      <c r="I7" s="7">
        <v>66085.161369999987</v>
      </c>
      <c r="J7" s="7">
        <v>3400.1105884911885</v>
      </c>
      <c r="K7" s="7">
        <v>69485.271958491183</v>
      </c>
      <c r="L7" s="7">
        <v>1206.2877416100062</v>
      </c>
      <c r="M7" s="7">
        <v>77.054733794089998</v>
      </c>
      <c r="N7" s="7">
        <v>3.3205195000729426</v>
      </c>
      <c r="O7" s="7">
        <v>1286.6629949041694</v>
      </c>
      <c r="P7" s="7">
        <v>1679.0794561370003</v>
      </c>
      <c r="Q7" s="7">
        <f t="shared" si="1"/>
        <v>76.629071376071153</v>
      </c>
    </row>
    <row r="8" spans="1:17" ht="30" customHeight="1" x14ac:dyDescent="0.25">
      <c r="A8" s="9">
        <v>45444</v>
      </c>
      <c r="B8" s="3">
        <v>91493</v>
      </c>
      <c r="C8" s="3">
        <v>160721.05333333337</v>
      </c>
      <c r="D8" s="3">
        <v>82100.694000000018</v>
      </c>
      <c r="E8" s="3">
        <v>13205828</v>
      </c>
      <c r="F8" s="3">
        <v>12749.368113999999</v>
      </c>
      <c r="G8" s="3">
        <v>14599.559232000001</v>
      </c>
      <c r="H8" s="6">
        <f t="shared" si="0"/>
        <v>87.327075505507963</v>
      </c>
      <c r="I8" s="6">
        <v>63787.899729999997</v>
      </c>
      <c r="J8" s="6">
        <v>3604.7452678561322</v>
      </c>
      <c r="K8" s="6">
        <v>67392.644997856143</v>
      </c>
      <c r="L8" s="6">
        <v>1160.333683496</v>
      </c>
      <c r="M8" s="6">
        <v>74.533352300579978</v>
      </c>
      <c r="N8" s="6">
        <v>3.4685101284700917</v>
      </c>
      <c r="O8" s="6">
        <v>1238.3355459250499</v>
      </c>
      <c r="P8" s="6">
        <v>1607.8376506900006</v>
      </c>
      <c r="Q8" s="6">
        <f t="shared" si="1"/>
        <v>77.018693112057704</v>
      </c>
    </row>
    <row r="9" spans="1:17" ht="30" customHeight="1" x14ac:dyDescent="0.25">
      <c r="A9" s="12">
        <v>45474</v>
      </c>
      <c r="B9" s="4">
        <v>92066</v>
      </c>
      <c r="C9" s="4">
        <v>163437.66366666666</v>
      </c>
      <c r="D9" s="4">
        <v>82134.869000000021</v>
      </c>
      <c r="E9" s="4">
        <v>12986105</v>
      </c>
      <c r="F9" s="4">
        <v>12493.831967644515</v>
      </c>
      <c r="G9" s="4">
        <v>14696.022268943572</v>
      </c>
      <c r="H9" s="7">
        <f t="shared" si="0"/>
        <v>85.015058762173737</v>
      </c>
      <c r="I9" s="7">
        <v>64716.316600000006</v>
      </c>
      <c r="J9" s="7">
        <v>3722.2852908757554</v>
      </c>
      <c r="K9" s="7">
        <v>68438.601890875754</v>
      </c>
      <c r="L9" s="7">
        <v>1138.1412447480063</v>
      </c>
      <c r="M9" s="7">
        <v>76.014055910171237</v>
      </c>
      <c r="N9" s="7">
        <v>3.4796382977453684</v>
      </c>
      <c r="O9" s="7">
        <v>1217.6349389559227</v>
      </c>
      <c r="P9" s="7">
        <v>1616.2585257662161</v>
      </c>
      <c r="Q9" s="7">
        <f t="shared" si="1"/>
        <v>75.336644450409395</v>
      </c>
    </row>
    <row r="10" spans="1:17" ht="30" customHeight="1" x14ac:dyDescent="0.25">
      <c r="A10" s="9">
        <v>45505</v>
      </c>
      <c r="B10" s="3">
        <v>94682</v>
      </c>
      <c r="C10" s="3">
        <v>167101.04866666667</v>
      </c>
      <c r="D10" s="3">
        <v>84614.191000000006</v>
      </c>
      <c r="E10" s="3">
        <v>13130699</v>
      </c>
      <c r="F10" s="3">
        <v>12554.284206175247</v>
      </c>
      <c r="G10" s="3">
        <v>15160.868528469609</v>
      </c>
      <c r="H10" s="6">
        <f t="shared" si="0"/>
        <v>82.807157008191012</v>
      </c>
      <c r="I10" s="6">
        <v>63758.323170000003</v>
      </c>
      <c r="J10" s="6">
        <v>3538.4246421305993</v>
      </c>
      <c r="K10" s="6">
        <v>67296.747812130605</v>
      </c>
      <c r="L10" s="6">
        <v>1145.7735217137722</v>
      </c>
      <c r="M10" s="6">
        <v>74.846665973106369</v>
      </c>
      <c r="N10" s="6">
        <v>3.3545611300812221</v>
      </c>
      <c r="O10" s="6">
        <v>1223.9747488169596</v>
      </c>
      <c r="P10" s="6">
        <v>1668.9736397311472</v>
      </c>
      <c r="Q10" s="6">
        <f t="shared" si="1"/>
        <v>73.336973076107313</v>
      </c>
    </row>
    <row r="11" spans="1:17" ht="30" customHeight="1" x14ac:dyDescent="0.25">
      <c r="A11" s="12">
        <v>45536</v>
      </c>
      <c r="B11" s="4">
        <v>92912</v>
      </c>
      <c r="C11" s="4">
        <v>164274.92600000004</v>
      </c>
      <c r="D11" s="4">
        <v>83275.907999999996</v>
      </c>
      <c r="E11" s="4">
        <v>13027336</v>
      </c>
      <c r="F11" s="4">
        <v>12504.099451999999</v>
      </c>
      <c r="G11" s="4">
        <v>15062.564610235295</v>
      </c>
      <c r="H11" s="7">
        <f t="shared" si="0"/>
        <v>83.01441205771313</v>
      </c>
      <c r="I11" s="7">
        <v>64288.073049999977</v>
      </c>
      <c r="J11" s="7">
        <v>2964.46776766227</v>
      </c>
      <c r="K11" s="7">
        <v>67252.540817662259</v>
      </c>
      <c r="L11" s="7">
        <v>1128.0136528580001</v>
      </c>
      <c r="M11" s="7">
        <v>75.012588693368699</v>
      </c>
      <c r="N11" s="7">
        <v>2.8439245578454173</v>
      </c>
      <c r="O11" s="7">
        <v>1205.8701661092139</v>
      </c>
      <c r="P11" s="7">
        <v>1655.3735935799998</v>
      </c>
      <c r="Q11" s="7">
        <f t="shared" si="1"/>
        <v>72.845801744446959</v>
      </c>
    </row>
    <row r="12" spans="1:17" ht="30" customHeight="1" x14ac:dyDescent="0.25">
      <c r="A12" s="9">
        <v>45566</v>
      </c>
      <c r="B12" s="3">
        <v>98186</v>
      </c>
      <c r="C12" s="3">
        <v>174060.31133333337</v>
      </c>
      <c r="D12" s="3">
        <v>89104.095000000001</v>
      </c>
      <c r="E12" s="3">
        <v>13657193</v>
      </c>
      <c r="F12" s="3">
        <v>13250.708524999998</v>
      </c>
      <c r="G12" s="3">
        <v>16079.93708</v>
      </c>
      <c r="H12" s="6">
        <f t="shared" si="0"/>
        <v>82.405226208758265</v>
      </c>
      <c r="I12" s="6">
        <v>68078.215709999989</v>
      </c>
      <c r="J12" s="6">
        <v>3099.2028051020402</v>
      </c>
      <c r="K12" s="6">
        <v>71177.418515102021</v>
      </c>
      <c r="L12" s="6">
        <v>1194.8886711950001</v>
      </c>
      <c r="M12" s="6">
        <v>78.430215467212022</v>
      </c>
      <c r="N12" s="6">
        <v>2.9422221051271427</v>
      </c>
      <c r="O12" s="6">
        <v>1276.2611087673395</v>
      </c>
      <c r="P12" s="6">
        <v>1766.9317909779995</v>
      </c>
      <c r="Q12" s="6">
        <f t="shared" si="1"/>
        <v>72.230355200125004</v>
      </c>
    </row>
    <row r="13" spans="1:17" ht="30" customHeight="1" x14ac:dyDescent="0.25">
      <c r="A13" s="12">
        <v>45597</v>
      </c>
      <c r="B13" s="4">
        <v>94818</v>
      </c>
      <c r="C13" s="4">
        <v>170824.20900000012</v>
      </c>
      <c r="D13" s="4">
        <v>86676.131999999983</v>
      </c>
      <c r="E13" s="4">
        <v>14250266</v>
      </c>
      <c r="F13" s="4">
        <v>13932.673240000002</v>
      </c>
      <c r="G13" s="4">
        <v>15584.880915999998</v>
      </c>
      <c r="H13" s="7">
        <f t="shared" si="0"/>
        <v>89.398650622323444</v>
      </c>
      <c r="I13" s="7">
        <v>57003.385100813699</v>
      </c>
      <c r="J13" s="7">
        <v>3447.0448799999999</v>
      </c>
      <c r="K13" s="7">
        <v>60450.429980813693</v>
      </c>
      <c r="L13" s="7">
        <v>1257.3154018110004</v>
      </c>
      <c r="M13" s="7">
        <v>66.243964379515177</v>
      </c>
      <c r="N13" s="7">
        <v>3.2584428944999986</v>
      </c>
      <c r="O13" s="7">
        <v>1326.8178090850154</v>
      </c>
      <c r="P13" s="7">
        <v>1698.7340991049994</v>
      </c>
      <c r="Q13" s="7">
        <f t="shared" si="1"/>
        <v>78.106268060673358</v>
      </c>
    </row>
    <row r="14" spans="1:17" ht="30" customHeight="1" x14ac:dyDescent="0.25">
      <c r="A14" s="9">
        <v>45627</v>
      </c>
      <c r="B14" s="3">
        <v>99013</v>
      </c>
      <c r="C14" s="3">
        <v>180390.24433333334</v>
      </c>
      <c r="D14" s="3">
        <v>90224.315450083028</v>
      </c>
      <c r="E14" s="3">
        <v>14926352</v>
      </c>
      <c r="F14" s="3">
        <v>14605.59766264783</v>
      </c>
      <c r="G14" s="3">
        <v>16437.901131044157</v>
      </c>
      <c r="H14" s="6">
        <f t="shared" si="0"/>
        <v>88.853178676589735</v>
      </c>
      <c r="I14" s="6">
        <v>62989.51591914468</v>
      </c>
      <c r="J14" s="6">
        <v>4176.8725899999972</v>
      </c>
      <c r="K14" s="6">
        <v>67166.388509144672</v>
      </c>
      <c r="L14" s="6">
        <v>1316.1724986237825</v>
      </c>
      <c r="M14" s="6">
        <v>72.127878636436307</v>
      </c>
      <c r="N14" s="6">
        <v>3.8647808215210353</v>
      </c>
      <c r="O14" s="6">
        <v>1392.1651580817402</v>
      </c>
      <c r="P14" s="6">
        <v>1775.9325875216596</v>
      </c>
      <c r="Q14" s="6">
        <f t="shared" si="1"/>
        <v>78.390653331302815</v>
      </c>
    </row>
    <row r="15" spans="1:17" ht="30" customHeight="1" x14ac:dyDescent="0.25">
      <c r="A15" s="12">
        <v>45658</v>
      </c>
      <c r="B15" s="4">
        <v>98349</v>
      </c>
      <c r="C15" s="4">
        <v>179964.35199999975</v>
      </c>
      <c r="D15" s="4">
        <v>89773.099918555556</v>
      </c>
      <c r="E15" s="4">
        <v>14702387</v>
      </c>
      <c r="F15" s="4">
        <v>14408.878311430219</v>
      </c>
      <c r="G15" s="4">
        <v>16319.186921535425</v>
      </c>
      <c r="H15" s="7">
        <f t="shared" si="0"/>
        <v>88.294094434421297</v>
      </c>
      <c r="I15" s="7">
        <v>60016.538683163046</v>
      </c>
      <c r="J15" s="7">
        <v>4204.3475999999982</v>
      </c>
      <c r="K15" s="7">
        <v>64220.886283163039</v>
      </c>
      <c r="L15" s="7">
        <v>1300.5465517240216</v>
      </c>
      <c r="M15" s="7">
        <v>69.380736474462694</v>
      </c>
      <c r="N15" s="7">
        <v>3.883642860579998</v>
      </c>
      <c r="O15" s="7">
        <v>1373.8109310590642</v>
      </c>
      <c r="P15" s="7">
        <v>1752.94673672111</v>
      </c>
      <c r="Q15" s="7">
        <f t="shared" si="1"/>
        <v>78.371515932582184</v>
      </c>
    </row>
    <row r="16" spans="1:17" ht="30" customHeight="1" x14ac:dyDescent="0.25">
      <c r="A16" s="9">
        <v>45689</v>
      </c>
      <c r="B16" s="3">
        <v>92319</v>
      </c>
      <c r="C16" s="3">
        <v>169037.57363333335</v>
      </c>
      <c r="D16" s="3">
        <v>84313.729747216887</v>
      </c>
      <c r="E16" s="3">
        <v>14118495</v>
      </c>
      <c r="F16" s="3">
        <v>13830.670080391244</v>
      </c>
      <c r="G16" s="3">
        <v>15293.560876956004</v>
      </c>
      <c r="H16" s="6">
        <f t="shared" si="0"/>
        <v>90.43459657084172</v>
      </c>
      <c r="I16" s="6">
        <v>54560.895889999993</v>
      </c>
      <c r="J16" s="6">
        <v>3792.2227600000001</v>
      </c>
      <c r="K16" s="6">
        <v>58353.118650000004</v>
      </c>
      <c r="L16" s="6">
        <v>1245.552242004125</v>
      </c>
      <c r="M16" s="6">
        <v>62.958879050070493</v>
      </c>
      <c r="N16" s="6">
        <v>3.5814272545999999</v>
      </c>
      <c r="O16" s="6">
        <v>1312.0925483087956</v>
      </c>
      <c r="P16" s="6">
        <v>1642.1537212143376</v>
      </c>
      <c r="Q16" s="6">
        <f t="shared" si="1"/>
        <v>79.900714004930734</v>
      </c>
    </row>
    <row r="17" spans="1:17" ht="30" customHeight="1" x14ac:dyDescent="0.25">
      <c r="A17" s="12">
        <v>45717</v>
      </c>
      <c r="B17" s="4">
        <v>102319</v>
      </c>
      <c r="C17" s="4">
        <v>187150.22233333346</v>
      </c>
      <c r="D17" s="4">
        <v>93616.473777165957</v>
      </c>
      <c r="E17" s="4">
        <v>14541682</v>
      </c>
      <c r="F17" s="4">
        <v>14245.08507429553</v>
      </c>
      <c r="G17" s="4">
        <v>17000.558102259667</v>
      </c>
      <c r="H17" s="7">
        <f t="shared" si="0"/>
        <v>83.791867235241597</v>
      </c>
      <c r="I17" s="7">
        <v>64833.728240000011</v>
      </c>
      <c r="J17" s="7">
        <v>3587.5440399999998</v>
      </c>
      <c r="K17" s="7">
        <v>68421.272280000005</v>
      </c>
      <c r="L17" s="7">
        <v>1281.6534954125525</v>
      </c>
      <c r="M17" s="7">
        <v>74.582359860069744</v>
      </c>
      <c r="N17" s="7">
        <v>3.2494699910400002</v>
      </c>
      <c r="O17" s="7">
        <v>1359.4853252636624</v>
      </c>
      <c r="P17" s="7">
        <v>1826.2404316933175</v>
      </c>
      <c r="Q17" s="7">
        <f t="shared" si="1"/>
        <v>74.44174938143972</v>
      </c>
    </row>
    <row r="18" spans="1:17" ht="30" customHeight="1" x14ac:dyDescent="0.25">
      <c r="A18" s="2" t="s">
        <v>23</v>
      </c>
      <c r="B18" s="5">
        <f>SUM(B6:B17)</f>
        <v>1141441</v>
      </c>
      <c r="C18" s="5">
        <f t="shared" ref="C18:G18" si="2">SUM(C6:C17)</f>
        <v>2037395.6818200003</v>
      </c>
      <c r="D18" s="5">
        <f t="shared" si="2"/>
        <v>1031453.8878930215</v>
      </c>
      <c r="E18" s="5">
        <f t="shared" si="2"/>
        <v>165541692</v>
      </c>
      <c r="F18" s="5">
        <f t="shared" si="2"/>
        <v>160543.51768958458</v>
      </c>
      <c r="G18" s="5">
        <f t="shared" si="2"/>
        <v>185797.54008084178</v>
      </c>
      <c r="H18" s="8">
        <f t="shared" ref="H18" si="3">F18/G18*100</f>
        <v>86.407773547341378</v>
      </c>
      <c r="I18" s="8">
        <f>SUM(I6:I17)</f>
        <v>745708.91578312148</v>
      </c>
      <c r="J18" s="8">
        <f t="shared" ref="J18:P18" si="4">SUM(J6:J17)</f>
        <v>43090.886975417983</v>
      </c>
      <c r="K18" s="8">
        <f t="shared" si="4"/>
        <v>788799.80275853933</v>
      </c>
      <c r="L18" s="13">
        <f t="shared" si="4"/>
        <v>14485.974681329266</v>
      </c>
      <c r="M18" s="13">
        <f t="shared" si="4"/>
        <v>871.09590864941174</v>
      </c>
      <c r="N18" s="13">
        <f t="shared" si="4"/>
        <v>40.973453276236434</v>
      </c>
      <c r="O18" s="8">
        <f t="shared" si="4"/>
        <v>15398.044043254915</v>
      </c>
      <c r="P18" s="14">
        <f t="shared" si="4"/>
        <v>20318.482070936785</v>
      </c>
      <c r="Q18" s="8">
        <f>O18/P18*100</f>
        <v>75.783436919631015</v>
      </c>
    </row>
    <row r="19" spans="1:17" ht="19.5" customHeight="1" x14ac:dyDescent="0.25">
      <c r="A19" s="15" t="s">
        <v>19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1" spans="1:17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2.01</vt:lpstr>
      <vt:lpstr>'2.01'!Print_Area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2020-05-06T11:10:52Z</cp:lastPrinted>
  <dcterms:created xsi:type="dcterms:W3CDTF">2018-10-29T04:00:07Z</dcterms:created>
  <dcterms:modified xsi:type="dcterms:W3CDTF">2025-11-18T06:05:38Z</dcterms:modified>
</cp:coreProperties>
</file>