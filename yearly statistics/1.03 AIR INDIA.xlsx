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IR INDIA\"/>
    </mc:Choice>
  </mc:AlternateContent>
  <bookViews>
    <workbookView xWindow="0" yWindow="0" windowWidth="17070" windowHeight="9660"/>
  </bookViews>
  <sheets>
    <sheet name="AIR INDIA" sheetId="1" r:id="rId1"/>
  </sheets>
  <definedNames>
    <definedName name="_xlnm.Print_Area" localSheetId="0">'AIR INDIA'!$A$1:$Q$19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H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<sst xmlns="http://schemas.openxmlformats.org/spreadsheetml/2006/main" count="26" uniqueCount="24">
  <si>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</si>
  <si>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</si>
  <si>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</si>
  <si>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</si>
  <si>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</si>
  <si>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</si>
  <si>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</si>
  <si>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</si>
  <si>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</si>
  <si>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</si>
  <si>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</si>
  <si>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</si>
  <si>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</si>
  <si>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</si>
  <si>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</si>
  <si>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</si>
  <si>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</si>
  <si>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</si>
  <si>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</si>
  <si>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</si>
  <si>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>Table 1.03 AIR INDIA</t>
  </si>
  <si>
    <t>MONTHLY TRAFFIC AND OPERATING STATISTICS OF AIR INDIA ON SCHEDULED (DOMESTIC + INTERNATIONAL) SERVICES DURING 2024-25</t>
  </si>
  <si>
    <t>2024-25</t>
  </si>
  <si>
    <t xml:space="preserve">तालिका 1.03 एयर इंडिया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</si>
</sst>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7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5" borderId="1" xfId="3" applyNumberFormat="1" applyFill="1" applyBorder="1" applyAlignment="1">
      <alignment horizontal="right" vertical="center"/>
    </xf>
    <xf numFmtId="168" fontId="1" fillId="3" borderId="1" xfId="3" applyNumberFormat="1" applyBorder="1" applyAlignment="1" applyProtection="1">
      <alignment horizontal="center" vertical="center" wrapText="1"/>
    </xf>
    <xf numFmtId="168" fontId="4" fillId="4" borderId="1" xfId="0" applyNumberFormat="1" applyFont="1" applyFill="1" applyBorder="1" applyAlignment="1" applyProtection="1">
      <alignment horizontal="center" vertical="center" wrapText="1"/>
    </xf>
    <xf numFmtId="167" fontId="1" fillId="3" borderId="1" xfId="3" applyNumberFormat="1" applyFont="1" applyBorder="1" applyAlignment="1" applyProtection="1">
      <alignment horizontal="right" vertical="center" wrapText="1"/>
    </xf>
    <xf numFmtId="167" fontId="1" fillId="5" borderId="1" xfId="3" applyNumberFormat="1" applyFont="1" applyFill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19"/>
  <sheetViews>
    <sheetView tabSelected="1" view="pageBreakPreview" zoomScale="98" zoomScaleNormal="98" zoomScaleSheetLayoutView="98" workbookViewId="0">
      <selection activeCell="G4" sqref="G4:G5"/>
    </sheetView>
  </sheetViews>
  <sheetFormatPr defaultColWidth="9.140625" defaultRowHeight="15" x14ac:dyDescent="0.25"/>
  <cols>
    <col min="1" max="1" width="14.85546875" style="1" customWidth="1"/>
    <col min="2" max="2" width="9.5703125" style="1" customWidth="1"/>
    <col min="3" max="3" width="9.28515625" style="1" customWidth="1"/>
    <col min="4" max="4" width="9.85546875" style="1" customWidth="1"/>
    <col min="5" max="5" width="11.5703125" style="1" customWidth="1"/>
    <col min="6" max="7" width="8.28515625" style="1" customWidth="1"/>
    <col min="8" max="8" width="7.28515625" style="1" customWidth="1"/>
    <col min="9" max="9" width="9.85546875" style="1" customWidth="1"/>
    <col min="10" max="10" width="9" style="1" customWidth="1"/>
    <col min="11" max="11" width="9.7109375" style="1" customWidth="1"/>
    <col min="12" max="12" width="8.7109375" style="1" customWidth="1"/>
    <col min="13" max="13" width="7.28515625" style="1" customWidth="1"/>
    <col min="14" max="14" width="7.140625" style="1" customWidth="1"/>
    <col min="15" max="15" width="8.5703125" style="1" customWidth="1"/>
    <col min="16" max="16" width="8.7109375" style="1" customWidth="1"/>
    <col min="17" max="17" width="7" style="1" customWidth="1"/>
    <col min="18" max="16384" width="9.140625" style="1"/>
  </cols>
  <sheetData>
    <row r="1" spans="1:17" ht="18.75" customHeight="1" x14ac:dyDescent="0.25">
      <c r="A1" s="18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75" customHeight="1" x14ac:dyDescent="0.25">
      <c r="A2" s="19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75" customHeight="1" x14ac:dyDescent="0.25">
      <c r="A3" s="21" t="s">
        <v>21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7" customHeight="1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5" t="s">
        <v>3</v>
      </c>
      <c r="H4" s="15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5" t="s">
        <v>7</v>
      </c>
      <c r="Q4" s="15" t="s">
        <v>8</v>
      </c>
    </row>
    <row r="5" spans="1:17" ht="139.5" customHeight="1" x14ac:dyDescent="0.25">
      <c r="A5" s="21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6"/>
      <c r="H5" s="16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6"/>
      <c r="Q5" s="16"/>
    </row>
    <row r="6" spans="1:17" ht="21" customHeight="1" x14ac:dyDescent="0.25">
      <c r="A6" s="11">
        <v>45383</v>
      </c>
      <c r="B6" s="2">
        <v>13079</v>
      </c>
      <c r="C6" s="2">
        <v>42978.79800000001</v>
      </c>
      <c r="D6" s="2">
        <v>28523.021999999997</v>
      </c>
      <c r="E6" s="2">
        <v>2163148</v>
      </c>
      <c r="F6" s="2">
        <v>5430.8594990000001</v>
      </c>
      <c r="G6" s="2">
        <v>6327.3428439999998</v>
      </c>
      <c r="H6" s="3">
        <f t="shared" ref="H6:H18" si="0">F6/G6*100</f>
        <v>85.831598395998029</v>
      </c>
      <c r="I6" s="3">
        <v>19017.954500000003</v>
      </c>
      <c r="J6" s="3">
        <v>781.25313202500274</v>
      </c>
      <c r="K6" s="3">
        <v>19799.207632025005</v>
      </c>
      <c r="L6" s="3">
        <v>543.37273510000091</v>
      </c>
      <c r="M6" s="3">
        <v>85.728806932400033</v>
      </c>
      <c r="N6" s="3">
        <v>2.4570124390291888</v>
      </c>
      <c r="O6" s="3">
        <v>631.55855447143017</v>
      </c>
      <c r="P6" s="3">
        <v>868.03121299999998</v>
      </c>
      <c r="Q6" s="13">
        <f t="shared" ref="Q6:Q18" si="1">O6/P6*100</f>
        <v>72.757585788730182</v>
      </c>
    </row>
    <row r="7" spans="1:17" ht="21" customHeight="1" x14ac:dyDescent="0.25">
      <c r="A7" s="12">
        <v>45413</v>
      </c>
      <c r="B7" s="4">
        <v>13542</v>
      </c>
      <c r="C7" s="4">
        <v>44573.118000000075</v>
      </c>
      <c r="D7" s="4">
        <v>29473.919000000002</v>
      </c>
      <c r="E7" s="4">
        <v>2300658</v>
      </c>
      <c r="F7" s="4">
        <v>5856.4558390000002</v>
      </c>
      <c r="G7" s="4">
        <v>6753.3696200000004</v>
      </c>
      <c r="H7" s="5">
        <f t="shared" si="0"/>
        <v>86.71901833502784</v>
      </c>
      <c r="I7" s="5">
        <v>20849.428899999988</v>
      </c>
      <c r="J7" s="5">
        <v>586.4486390309479</v>
      </c>
      <c r="K7" s="5">
        <v>21435.877539030935</v>
      </c>
      <c r="L7" s="10">
        <v>585.64770109999984</v>
      </c>
      <c r="M7" s="10">
        <v>90.564066376499966</v>
      </c>
      <c r="N7" s="10">
        <v>2.1587238625821712</v>
      </c>
      <c r="O7" s="10">
        <v>678.37049133908204</v>
      </c>
      <c r="P7" s="5">
        <v>948.94451599999991</v>
      </c>
      <c r="Q7" s="14">
        <f t="shared" si="1"/>
        <v>71.486844583765119</v>
      </c>
    </row>
    <row r="8" spans="1:17" ht="21" customHeight="1" x14ac:dyDescent="0.25">
      <c r="A8" s="11">
        <v>45444</v>
      </c>
      <c r="B8" s="2">
        <v>13562</v>
      </c>
      <c r="C8" s="2">
        <v>45045.183000000019</v>
      </c>
      <c r="D8" s="2">
        <v>29396.837999999996</v>
      </c>
      <c r="E8" s="2">
        <v>2233361</v>
      </c>
      <c r="F8" s="2">
        <v>5803.4214339999999</v>
      </c>
      <c r="G8" s="2">
        <v>6713.617268</v>
      </c>
      <c r="H8" s="3">
        <f t="shared" si="0"/>
        <v>86.442542110072523</v>
      </c>
      <c r="I8" s="3">
        <v>21410.116699999999</v>
      </c>
      <c r="J8" s="3">
        <v>637.72985853607611</v>
      </c>
      <c r="K8" s="3">
        <v>22047.846558536075</v>
      </c>
      <c r="L8" s="3">
        <v>580.34214340000062</v>
      </c>
      <c r="M8" s="3">
        <v>93.395322267199944</v>
      </c>
      <c r="N8" s="3">
        <v>2.106967313953906</v>
      </c>
      <c r="O8" s="3">
        <v>675.84443298115445</v>
      </c>
      <c r="P8" s="3">
        <v>860.87444044000154</v>
      </c>
      <c r="Q8" s="13">
        <f t="shared" si="1"/>
        <v>78.506737014485367</v>
      </c>
    </row>
    <row r="9" spans="1:17" ht="21" customHeight="1" x14ac:dyDescent="0.25">
      <c r="A9" s="12">
        <v>45474</v>
      </c>
      <c r="B9" s="4">
        <v>14086</v>
      </c>
      <c r="C9" s="4">
        <v>47109.327000000019</v>
      </c>
      <c r="D9" s="4">
        <v>30330.544000000002</v>
      </c>
      <c r="E9" s="4">
        <v>2263895</v>
      </c>
      <c r="F9" s="4">
        <v>5861.0047220000006</v>
      </c>
      <c r="G9" s="4">
        <v>6966.7624240000005</v>
      </c>
      <c r="H9" s="5">
        <f t="shared" si="0"/>
        <v>84.128098036029712</v>
      </c>
      <c r="I9" s="5">
        <v>22696.038999999997</v>
      </c>
      <c r="J9" s="5">
        <v>399.57311876247246</v>
      </c>
      <c r="K9" s="5">
        <v>23095.612118762467</v>
      </c>
      <c r="L9" s="10">
        <v>586.10047219999956</v>
      </c>
      <c r="M9" s="10">
        <v>95.336218221000237</v>
      </c>
      <c r="N9" s="10">
        <v>1.3155370146920233</v>
      </c>
      <c r="O9" s="10">
        <v>682.75222743569168</v>
      </c>
      <c r="P9" s="5">
        <v>867.20765275000144</v>
      </c>
      <c r="Q9" s="14">
        <f t="shared" si="1"/>
        <v>78.729958767155324</v>
      </c>
    </row>
    <row r="10" spans="1:17" ht="21" customHeight="1" x14ac:dyDescent="0.25">
      <c r="A10" s="11">
        <v>45505</v>
      </c>
      <c r="B10" s="2">
        <v>14120</v>
      </c>
      <c r="C10" s="2">
        <v>47002.092000000019</v>
      </c>
      <c r="D10" s="2">
        <v>30409.144</v>
      </c>
      <c r="E10" s="2">
        <v>2253723</v>
      </c>
      <c r="F10" s="2">
        <v>5887.7490660000012</v>
      </c>
      <c r="G10" s="2">
        <v>6944.4729160000006</v>
      </c>
      <c r="H10" s="3">
        <f t="shared" si="0"/>
        <v>84.78323894725952</v>
      </c>
      <c r="I10" s="3">
        <v>22391.704599999997</v>
      </c>
      <c r="J10" s="3">
        <v>353.68819556041302</v>
      </c>
      <c r="K10" s="3">
        <v>22745.392795560409</v>
      </c>
      <c r="L10" s="3">
        <v>588.77490660000046</v>
      </c>
      <c r="M10" s="3">
        <v>94.053611990500116</v>
      </c>
      <c r="N10" s="3">
        <v>1.2073008511353704</v>
      </c>
      <c r="O10" s="3">
        <v>684.03581944163591</v>
      </c>
      <c r="P10" s="3">
        <v>875.47675395999931</v>
      </c>
      <c r="Q10" s="13">
        <f t="shared" si="1"/>
        <v>78.132950572082194</v>
      </c>
    </row>
    <row r="11" spans="1:17" ht="21" customHeight="1" x14ac:dyDescent="0.25">
      <c r="A11" s="12">
        <v>45536</v>
      </c>
      <c r="B11" s="4">
        <v>13678</v>
      </c>
      <c r="C11" s="4">
        <v>46564.430999999997</v>
      </c>
      <c r="D11" s="4">
        <v>30315.556</v>
      </c>
      <c r="E11" s="4">
        <v>2180434</v>
      </c>
      <c r="F11" s="4">
        <v>5896.8431430000001</v>
      </c>
      <c r="G11" s="4">
        <v>6980.8872040000006</v>
      </c>
      <c r="H11" s="5">
        <f t="shared" si="0"/>
        <v>84.471256599320924</v>
      </c>
      <c r="I11" s="5">
        <v>21546.649999999991</v>
      </c>
      <c r="J11" s="5">
        <v>201.92188392825565</v>
      </c>
      <c r="K11" s="5">
        <v>21748.571883928245</v>
      </c>
      <c r="L11" s="10">
        <v>616.1418300600011</v>
      </c>
      <c r="M11" s="10">
        <v>91.561093120800024</v>
      </c>
      <c r="N11" s="10">
        <v>1.1948643915052406</v>
      </c>
      <c r="O11" s="10">
        <v>708.89778757230647</v>
      </c>
      <c r="P11" s="5">
        <v>806.31360160999884</v>
      </c>
      <c r="Q11" s="14">
        <f t="shared" si="1"/>
        <v>87.918371481867808</v>
      </c>
    </row>
    <row r="12" spans="1:17" ht="21" customHeight="1" x14ac:dyDescent="0.25">
      <c r="A12" s="11">
        <v>45566</v>
      </c>
      <c r="B12" s="2">
        <v>14045</v>
      </c>
      <c r="C12" s="2">
        <v>47782.324999999983</v>
      </c>
      <c r="D12" s="2">
        <v>31216.330999999998</v>
      </c>
      <c r="E12" s="2">
        <v>2193713</v>
      </c>
      <c r="F12" s="2">
        <v>5835.4575690000001</v>
      </c>
      <c r="G12" s="2">
        <v>7190.4713540000012</v>
      </c>
      <c r="H12" s="3">
        <f t="shared" si="0"/>
        <v>81.155424751866676</v>
      </c>
      <c r="I12" s="3">
        <v>25093.572400000008</v>
      </c>
      <c r="J12" s="3">
        <v>202.31366508594942</v>
      </c>
      <c r="K12" s="3">
        <v>25295.886065085957</v>
      </c>
      <c r="L12" s="3">
        <v>605.49020943999994</v>
      </c>
      <c r="M12" s="3">
        <v>106.05597489070006</v>
      </c>
      <c r="N12" s="3">
        <v>1.5514648220012903</v>
      </c>
      <c r="O12" s="3">
        <v>713.09764915270125</v>
      </c>
      <c r="P12" s="3">
        <v>831.11218220999797</v>
      </c>
      <c r="Q12" s="13">
        <f t="shared" si="1"/>
        <v>85.800408707343692</v>
      </c>
    </row>
    <row r="13" spans="1:17" ht="21" customHeight="1" x14ac:dyDescent="0.25">
      <c r="A13" s="12">
        <v>45597</v>
      </c>
      <c r="B13" s="4">
        <v>19429</v>
      </c>
      <c r="C13" s="4">
        <v>60876.50700000018</v>
      </c>
      <c r="D13" s="4">
        <v>38606.571000000004</v>
      </c>
      <c r="E13" s="4">
        <v>3104596</v>
      </c>
      <c r="F13" s="4">
        <v>7246.2987890000004</v>
      </c>
      <c r="G13" s="4">
        <v>8441.5676349999994</v>
      </c>
      <c r="H13" s="5">
        <f t="shared" si="0"/>
        <v>85.840676783252491</v>
      </c>
      <c r="I13" s="5">
        <v>23882.115200000011</v>
      </c>
      <c r="J13" s="5">
        <v>868.73890441930212</v>
      </c>
      <c r="K13" s="5">
        <v>24750.854104419312</v>
      </c>
      <c r="L13" s="10">
        <v>744.55754300200181</v>
      </c>
      <c r="M13" s="10">
        <v>98.796618700599907</v>
      </c>
      <c r="N13" s="10">
        <v>2.009505012585513</v>
      </c>
      <c r="O13" s="10">
        <v>845.36366671518738</v>
      </c>
      <c r="P13" s="5">
        <v>950.7549156369987</v>
      </c>
      <c r="Q13" s="14">
        <f t="shared" si="1"/>
        <v>88.914993003091652</v>
      </c>
    </row>
    <row r="14" spans="1:17" ht="21" customHeight="1" x14ac:dyDescent="0.25">
      <c r="A14" s="11">
        <v>45627</v>
      </c>
      <c r="B14" s="2">
        <v>23249</v>
      </c>
      <c r="C14" s="2">
        <v>71980.660999999964</v>
      </c>
      <c r="D14" s="2">
        <v>44454.213000000003</v>
      </c>
      <c r="E14" s="2">
        <v>3590961</v>
      </c>
      <c r="F14" s="2">
        <v>8226.1538790000013</v>
      </c>
      <c r="G14" s="2">
        <v>9780.6615310000016</v>
      </c>
      <c r="H14" s="3">
        <f t="shared" si="0"/>
        <v>84.106313800217322</v>
      </c>
      <c r="I14" s="3">
        <v>28283.886100000022</v>
      </c>
      <c r="J14" s="3">
        <v>978.75372243357242</v>
      </c>
      <c r="K14" s="3">
        <v>29262.639822433594</v>
      </c>
      <c r="L14" s="3">
        <v>832.25612894000051</v>
      </c>
      <c r="M14" s="3">
        <v>115.10822719519994</v>
      </c>
      <c r="N14" s="3">
        <v>2.4434837832182468</v>
      </c>
      <c r="O14" s="3">
        <v>949.80783991841872</v>
      </c>
      <c r="P14" s="3">
        <v>1081.7927856999986</v>
      </c>
      <c r="Q14" s="13">
        <f t="shared" si="1"/>
        <v>87.799424480708097</v>
      </c>
    </row>
    <row r="15" spans="1:17" ht="21" customHeight="1" x14ac:dyDescent="0.25">
      <c r="A15" s="12">
        <v>45658</v>
      </c>
      <c r="B15" s="4">
        <v>22153</v>
      </c>
      <c r="C15" s="4">
        <v>69998.743999999686</v>
      </c>
      <c r="D15" s="4">
        <v>43418.34</v>
      </c>
      <c r="E15" s="4">
        <v>3446894</v>
      </c>
      <c r="F15" s="4">
        <v>8360.0957760000001</v>
      </c>
      <c r="G15" s="4">
        <v>9639.3923859999995</v>
      </c>
      <c r="H15" s="5">
        <f t="shared" si="0"/>
        <v>86.728451765714851</v>
      </c>
      <c r="I15" s="5">
        <v>26348.216800000024</v>
      </c>
      <c r="J15" s="5">
        <v>1003.1912012435987</v>
      </c>
      <c r="K15" s="5">
        <v>27351.408001243621</v>
      </c>
      <c r="L15" s="10">
        <v>859.35298256999886</v>
      </c>
      <c r="M15" s="10">
        <v>106.52873040120008</v>
      </c>
      <c r="N15" s="10">
        <v>2.3762599836408058</v>
      </c>
      <c r="O15" s="10">
        <v>968.25797295483972</v>
      </c>
      <c r="P15" s="5">
        <v>1081.3190661199992</v>
      </c>
      <c r="Q15" s="14">
        <f t="shared" si="1"/>
        <v>89.544150592771246</v>
      </c>
    </row>
    <row r="16" spans="1:17" ht="21" customHeight="1" x14ac:dyDescent="0.25">
      <c r="A16" s="11">
        <v>45689</v>
      </c>
      <c r="B16" s="2">
        <v>21064</v>
      </c>
      <c r="C16" s="2">
        <v>65855.025999999998</v>
      </c>
      <c r="D16" s="2">
        <v>40766.582999999999</v>
      </c>
      <c r="E16" s="2">
        <v>3361407</v>
      </c>
      <c r="F16" s="2">
        <v>7969.182612999999</v>
      </c>
      <c r="G16" s="2">
        <v>9046.4890569999989</v>
      </c>
      <c r="H16" s="3">
        <f t="shared" si="0"/>
        <v>88.091441472905998</v>
      </c>
      <c r="I16" s="3">
        <v>26655.599900000001</v>
      </c>
      <c r="J16" s="3">
        <v>1008.0706531785432</v>
      </c>
      <c r="K16" s="3">
        <v>27663.670553178545</v>
      </c>
      <c r="L16" s="3">
        <v>801.13938839999992</v>
      </c>
      <c r="M16" s="3">
        <v>108.76934274999999</v>
      </c>
      <c r="N16" s="3">
        <v>2.1360272696</v>
      </c>
      <c r="O16" s="3">
        <v>912.04475841959993</v>
      </c>
      <c r="P16" s="3">
        <v>1005.1694196</v>
      </c>
      <c r="Q16" s="13">
        <f t="shared" si="1"/>
        <v>90.735426350569</v>
      </c>
    </row>
    <row r="17" spans="1:17" ht="21" customHeight="1" x14ac:dyDescent="0.25">
      <c r="A17" s="12">
        <v>45717</v>
      </c>
      <c r="B17" s="4">
        <v>22077</v>
      </c>
      <c r="C17" s="4">
        <v>69146.396000000153</v>
      </c>
      <c r="D17" s="4">
        <v>43085.633000000002</v>
      </c>
      <c r="E17" s="4">
        <v>3268161</v>
      </c>
      <c r="F17" s="4">
        <v>7809.2514689999998</v>
      </c>
      <c r="G17" s="4">
        <v>9546.2708139999995</v>
      </c>
      <c r="H17" s="5">
        <f t="shared" si="0"/>
        <v>81.804210472925305</v>
      </c>
      <c r="I17" s="5">
        <v>31154.750200000017</v>
      </c>
      <c r="J17" s="5">
        <v>988.13769179923338</v>
      </c>
      <c r="K17" s="5">
        <v>32142.887891799248</v>
      </c>
      <c r="L17" s="10">
        <v>776.01361436999889</v>
      </c>
      <c r="M17" s="10">
        <v>127.89974219489977</v>
      </c>
      <c r="N17" s="10">
        <v>2.4427612511595691</v>
      </c>
      <c r="O17" s="10">
        <v>906.35611781605814</v>
      </c>
      <c r="P17" s="5">
        <v>1049.2932004100007</v>
      </c>
      <c r="Q17" s="14">
        <f t="shared" si="1"/>
        <v>86.377774816601189</v>
      </c>
    </row>
    <row r="18" spans="1:17" ht="21" customHeight="1" x14ac:dyDescent="0.25">
      <c r="A18" s="6" t="s">
        <v>22</v>
      </c>
      <c r="B18" s="7">
        <f>SUM(B6:B17)</f>
        <v>204084</v>
      </c>
      <c r="C18" s="7">
        <f t="shared" ref="C18:G18" si="2">SUM(C6:C17)</f>
        <v>658912.60800000001</v>
      </c>
      <c r="D18" s="7">
        <f t="shared" si="2"/>
        <v>419996.69400000002</v>
      </c>
      <c r="E18" s="7">
        <f t="shared" si="2"/>
        <v>32360951</v>
      </c>
      <c r="F18" s="7">
        <f t="shared" si="2"/>
        <v>80182.773797999995</v>
      </c>
      <c r="G18" s="7">
        <f t="shared" si="2"/>
        <v>94331.305053000004</v>
      </c>
      <c r="H18" s="8">
        <f t="shared" si="0"/>
        <v>85.001234481966875</v>
      </c>
      <c r="I18" s="8">
        <f t="shared" ref="I18:P18" si="3">SUM(I6:I17)</f>
        <v>289330.03430000006</v>
      </c>
      <c r="J18" s="8">
        <f t="shared" si="3"/>
        <v>8009.8206660033684</v>
      </c>
      <c r="K18" s="8">
        <f t="shared" si="3"/>
        <v>297339.85496600345</v>
      </c>
      <c r="L18" s="8">
        <f t="shared" si="3"/>
        <v>8119.1896551820028</v>
      </c>
      <c r="M18" s="8">
        <f t="shared" si="3"/>
        <v>1213.7977550410001</v>
      </c>
      <c r="N18" s="8">
        <f t="shared" si="3"/>
        <v>23.399907995103327</v>
      </c>
      <c r="O18" s="8">
        <f>SUM(O6:O17)</f>
        <v>9356.3873182181051</v>
      </c>
      <c r="P18" s="8">
        <f t="shared" si="3"/>
        <v>11226.289747436995</v>
      </c>
      <c r="Q18" s="8">
        <f t="shared" si="1"/>
        <v>83.343540285464343</v>
      </c>
    </row>
    <row r="19" spans="1:17" ht="21" customHeight="1" x14ac:dyDescent="0.25">
      <c r="A19" s="17" t="s">
        <v>19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2022-12-09T06:42:27Z</cp:lastPrinted>
  <dcterms:created xsi:type="dcterms:W3CDTF">2020-06-03T10:30:17Z</dcterms:created>
  <dcterms:modified xsi:type="dcterms:W3CDTF">2025-11-19T08:38:04Z</dcterms:modified>
</cp:coreProperties>
</file>