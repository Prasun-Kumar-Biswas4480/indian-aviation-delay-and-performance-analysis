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 EXPRESS\AIR INDIA EXPRESS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8" i="4" l="1"/>
  <c r="E9" i="4"/>
  <c r="E10" i="4"/>
  <c r="E11" i="4"/>
  <c r="E12" i="4"/>
  <c r="E13" i="4"/>
  <c r="E7" i="4"/>
  <c r="G13" i="4" l="1"/>
  <c r="H13" i="4"/>
  <c r="F13" i="4"/>
  <c r="I8" i="4"/>
  <c r="I9" i="4"/>
  <c r="I10" i="4"/>
  <c r="I11" i="4"/>
  <c r="I12" i="4"/>
  <c r="I7" i="4"/>
  <c r="I13" i="4" l="1"/>
  <c r="J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<sst xmlns="http://schemas.openxmlformats.org/spreadsheetml/2006/main" count="885" uniqueCount="191">
  <si>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</si>
  <si>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</si>
  <si>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</si>
  <si>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</si>
  <si>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</si>
  <si>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</si>
  <si>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</si>
  <si>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</si>
  <si>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</si>
  <si>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</si>
  <si>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</si>
  <si>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</si>
  <si>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</si>
  <si>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</si>
  <si>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</si>
  <si>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</si>
  <si>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</si>
  <si>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</si>
  <si>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</si>
  <si>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</si>
  <si>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</si>
  <si>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</si>
  <si>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</si>
  <si>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</si>
  <si>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</si>
  <si>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</si>
  <si>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</si>
  <si>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</si>
  <si>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</si>
  <si>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</si>
  <si>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</si>
  <si>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</si>
  <si>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</si>
  <si>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</si>
  <si>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</si>
  <si>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</si>
  <si>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</si>
  <si>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</si>
  <si>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</si>
  <si>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</si>
  <si>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</si>
  <si>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</si>
  <si>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</si>
  <si>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</si>
  <si>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</si>
  <si>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</si>
  <si>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</si>
  <si>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</si>
  <si>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</si>
  <si>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</si>
  <si>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</si>
  <si>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</si>
  <si>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</si>
  <si>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</si>
  <si>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</si>
  <si>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</si>
  <si>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</si>
  <si>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</si>
  <si>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</si>
  <si>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</si>
  <si>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</si>
  <si>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</si>
  <si>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</si>
  <si>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</si>
  <si>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</si>
  <si>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</si>
  <si>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</si>
  <si>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</si>
  <si>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</si>
  <si>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</si>
  <si>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</si>
  <si>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</si>
  <si>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</si>
  <si>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</si>
  <si>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</si>
  <si>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</si>
  <si>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</si>
  <si>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</si>
  <si>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</si>
  <si>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</si>
  <si>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</si>
  <si>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</si>
  <si>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</si>
  <si>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</si>
  <si>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</si>
  <si>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</si>
  <si>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</si>
  <si>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</si>
  <si>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</si>
  <si>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</si>
  <si>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</si>
  <si>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</si>
  <si>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</si>
  <si>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</si>
  <si>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</si>
  <si>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</si>
  <si>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</si>
  <si>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</si>
  <si>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</si>
  <si>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</si>
  <si>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</si>
  <si>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</si>
  <si>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</si>
  <si>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</si>
  <si>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</si>
  <si>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</si>
  <si>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</si>
  <si>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</si>
  <si>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</si>
  <si>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</si>
  <si>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</si>
  <si>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</si>
  <si>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</si>
  <si>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</si>
  <si>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</si>
  <si>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</si>
  <si>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</si>
  <si>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</si>
  <si>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</si>
  <si>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</si>
  <si>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</si>
  <si>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</si>
  <si>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</si>
  <si>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</si>
  <si>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</si>
  <si>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</si>
  <si>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</si>
  <si>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</si>
  <si>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</si>
  <si>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</si>
  <si>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</si>
  <si>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</si>
  <si>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</si>
  <si>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</si>
  <si>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</si>
  <si>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</si>
  <si>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</si>
  <si>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</si>
  <si>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</si>
  <si>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</si>
  <si>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</si>
  <si>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</si>
  <si>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</si>
  <si>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</si>
  <si>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</si>
  <si>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</si>
  <si>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</si>
  <si>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</si>
  <si>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</si>
  <si>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</si>
  <si>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</si>
  <si>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</si>
  <si>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</si>
  <si>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</si>
  <si>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</si>
  <si>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</si>
  <si>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</si>
  <si>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</si>
  <si>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</si>
  <si>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</si>
  <si>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</si>
  <si>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</si>
  <si>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</si>
  <si>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</si>
  <si>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</si>
  <si>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</si>
  <si>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</si>
  <si>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</si>
  <si>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</si>
  <si>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</si>
  <si>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</si>
  <si>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</si>
  <si>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</si>
  <si>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</si>
  <si>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</si>
  <si>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</si>
  <si>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</si>
  <si>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</si>
  <si>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</si>
  <si>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</si>
  <si>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</si>
  <si>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 EXPRESS</t>
  </si>
  <si>
    <t>OTHER FLIGHT CREW</t>
  </si>
  <si>
    <t>CABIN CREW</t>
  </si>
  <si>
    <t>MALE</t>
  </si>
  <si>
    <t>FEMALE</t>
  </si>
  <si>
    <t>TRANSGENDER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</si>
  <si>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</si>
  <si>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(एयर इंडिया एक्सप्रेस) </t>
  </si>
  <si>
    <t>TABLE - 1D (AIR INDIA EXPRESS)</t>
  </si>
  <si>
    <t>PERSONNEL STATISTICS OF AIR INDIA EXPRESS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</si>
</sst>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0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wrapText="1"/>
    </xf>
    <xf numFmtId="167" fontId="8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vertical="top" wrapText="1"/>
    </xf>
    <xf numFmtId="167" fontId="7" fillId="4" borderId="15" xfId="7" applyNumberFormat="1" applyFont="1" applyFill="1" applyBorder="1" applyAlignment="1" applyProtection="1">
      <alignment horizontal="left" vertical="center"/>
    </xf>
    <xf numFmtId="167" fontId="7" fillId="4" borderId="15" xfId="7" applyNumberFormat="1" applyFont="1" applyFill="1" applyBorder="1" applyAlignment="1" applyProtection="1">
      <alignment vertical="center"/>
    </xf>
    <xf numFmtId="167" fontId="8" fillId="4" borderId="14" xfId="7" applyNumberFormat="1" applyFont="1" applyFill="1" applyBorder="1" applyAlignment="1" applyProtection="1">
      <alignment vertical="center"/>
    </xf>
    <xf numFmtId="167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0" xfId="2" applyFont="1" applyFill="1" applyBorder="1" applyAlignment="1">
      <alignment vertical="center" wrapText="1"/>
    </xf>
    <xf numFmtId="165" fontId="15" fillId="2" borderId="1" xfId="2" applyNumberFormat="1" applyFont="1" applyFill="1" applyBorder="1" applyAlignment="1" applyProtection="1">
      <alignment horizontal="center" vertical="center" wrapText="1"/>
    </xf>
    <xf numFmtId="165" fontId="14" fillId="2" borderId="1" xfId="2" applyNumberFormat="1" applyFont="1" applyFill="1" applyBorder="1" applyAlignment="1" applyProtection="1">
      <alignment horizontal="center" vertical="center" wrapText="1"/>
    </xf>
    <xf numFmtId="3" fontId="15" fillId="2" borderId="1" xfId="2" applyNumberFormat="1" applyFont="1" applyFill="1" applyBorder="1" applyAlignment="1" applyProtection="1">
      <alignment horizontal="center" vertical="center" wrapText="1"/>
    </xf>
    <xf numFmtId="3" fontId="14" fillId="2" borderId="1" xfId="2" applyNumberFormat="1" applyFont="1" applyFill="1" applyBorder="1" applyAlignment="1" applyProtection="1">
      <alignment horizontal="center" vertical="center" wrapText="1"/>
    </xf>
    <xf numFmtId="0" fontId="14" fillId="2" borderId="0" xfId="2" applyFont="1" applyFill="1" applyBorder="1" applyAlignment="1">
      <alignment horizontal="left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quotePrefix="1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1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6"/>
  <sheetViews>
    <sheetView showGridLines="0" tabSelected="1" view="pageBreakPreview" zoomScale="89" zoomScaleNormal="100" zoomScaleSheetLayoutView="89" workbookViewId="0">
      <selection activeCell="J7" sqref="J7:J12"/>
    </sheetView>
  </sheetViews>
  <sheetFormatPr defaultColWidth="11" defaultRowHeight="15.75" x14ac:dyDescent="0.25"/>
  <cols>
    <col min="1" max="1" width="38.28515625" style="24" customWidth="1"/>
    <col min="2" max="2" width="8.28515625" style="24" customWidth="1"/>
    <col min="3" max="3" width="11" style="24" customWidth="1"/>
    <col min="4" max="4" width="11.5703125" style="24" customWidth="1"/>
    <col min="5" max="5" width="9.5703125" style="24" customWidth="1"/>
    <col min="6" max="6" width="8.140625" style="24" customWidth="1"/>
    <col min="7" max="7" width="10.85546875" style="24" customWidth="1"/>
    <col min="8" max="8" width="10.5703125" style="24" customWidth="1"/>
    <col min="9" max="9" width="9.140625" style="24" customWidth="1"/>
    <col min="10" max="10" width="18.28515625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3" t="s">
        <v>188</v>
      </c>
      <c r="B1" s="34"/>
      <c r="C1" s="34"/>
      <c r="D1" s="34"/>
      <c r="E1" s="34"/>
      <c r="F1" s="34"/>
      <c r="G1" s="34"/>
      <c r="H1" s="34"/>
      <c r="I1" s="34"/>
      <c r="J1" s="35"/>
    </row>
    <row r="2" spans="1:11" ht="19.5" customHeight="1" x14ac:dyDescent="0.25">
      <c r="A2" s="36" t="s">
        <v>189</v>
      </c>
      <c r="B2" s="37"/>
      <c r="C2" s="37"/>
      <c r="D2" s="37"/>
      <c r="E2" s="37"/>
      <c r="F2" s="37"/>
      <c r="G2" s="37"/>
      <c r="H2" s="37"/>
      <c r="I2" s="37"/>
      <c r="J2" s="38"/>
    </row>
    <row r="3" spans="1:11" ht="31.5" customHeight="1" x14ac:dyDescent="0.25">
      <c r="A3" s="39" t="s">
        <v>190</v>
      </c>
      <c r="B3" s="39"/>
      <c r="C3" s="39"/>
      <c r="D3" s="39"/>
      <c r="E3" s="39"/>
      <c r="F3" s="39"/>
      <c r="G3" s="39"/>
      <c r="H3" s="39"/>
      <c r="I3" s="39"/>
      <c r="J3" s="39"/>
    </row>
    <row r="4" spans="1:11" ht="21" customHeight="1" x14ac:dyDescent="0.25">
      <c r="A4" s="32" t="s">
        <v>8</v>
      </c>
      <c r="B4" s="40" t="s">
        <v>7</v>
      </c>
      <c r="C4" s="41"/>
      <c r="D4" s="41"/>
      <c r="E4" s="41"/>
      <c r="F4" s="41"/>
      <c r="G4" s="41"/>
      <c r="H4" s="41"/>
      <c r="I4" s="42"/>
      <c r="J4" s="44" t="s">
        <v>15</v>
      </c>
    </row>
    <row r="5" spans="1:11" ht="35.25" customHeight="1" x14ac:dyDescent="0.25">
      <c r="A5" s="32"/>
      <c r="B5" s="40" t="s">
        <v>6</v>
      </c>
      <c r="C5" s="41"/>
      <c r="D5" s="41"/>
      <c r="E5" s="42"/>
      <c r="F5" s="40" t="s">
        <v>5</v>
      </c>
      <c r="G5" s="41"/>
      <c r="H5" s="41"/>
      <c r="I5" s="42"/>
      <c r="J5" s="45"/>
    </row>
    <row r="6" spans="1:11" ht="36.75" customHeight="1" x14ac:dyDescent="0.25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39"/>
    </row>
    <row r="7" spans="1:11" ht="35.1" customHeight="1" x14ac:dyDescent="0.25">
      <c r="A7" s="25" t="s">
        <v>4</v>
      </c>
      <c r="B7" s="29">
        <v>1530</v>
      </c>
      <c r="C7" s="29">
        <v>223</v>
      </c>
      <c r="D7" s="29">
        <v>0</v>
      </c>
      <c r="E7" s="30">
        <f>B7+C7+D7</f>
        <v>1753</v>
      </c>
      <c r="F7" s="29">
        <v>1718</v>
      </c>
      <c r="G7" s="29">
        <v>254</v>
      </c>
      <c r="H7" s="29">
        <v>0</v>
      </c>
      <c r="I7" s="30">
        <f>F7+G7+H7</f>
        <v>1972</v>
      </c>
      <c r="J7" s="27">
        <v>14220</v>
      </c>
      <c r="K7" s="23"/>
    </row>
    <row r="8" spans="1:11" ht="35.1" customHeight="1" x14ac:dyDescent="0.25">
      <c r="A8" s="25" t="s">
        <v>182</v>
      </c>
      <c r="B8" s="29"/>
      <c r="C8" s="29"/>
      <c r="D8" s="29"/>
      <c r="E8" s="30">
        <f t="shared" ref="E8:E13" si="0">B8+C8+D8</f>
        <v>0</v>
      </c>
      <c r="F8" s="29"/>
      <c r="G8" s="29"/>
      <c r="H8" s="29"/>
      <c r="I8" s="30">
        <f t="shared" ref="I8:I12" si="1">F8+G8+H8</f>
        <v>0</v>
      </c>
      <c r="J8" s="27">
        <v>0</v>
      </c>
      <c r="K8" s="23"/>
    </row>
    <row r="9" spans="1:11" ht="35.1" customHeight="1" x14ac:dyDescent="0.25">
      <c r="A9" s="25" t="s">
        <v>183</v>
      </c>
      <c r="B9" s="29">
        <v>262</v>
      </c>
      <c r="C9" s="29">
        <v>2659</v>
      </c>
      <c r="D9" s="29">
        <v>0</v>
      </c>
      <c r="E9" s="30">
        <f t="shared" si="0"/>
        <v>2921</v>
      </c>
      <c r="F9" s="29">
        <v>255</v>
      </c>
      <c r="G9" s="29">
        <v>2961</v>
      </c>
      <c r="H9" s="29">
        <v>0</v>
      </c>
      <c r="I9" s="30">
        <f t="shared" si="1"/>
        <v>3216</v>
      </c>
      <c r="J9" s="27">
        <v>2410</v>
      </c>
      <c r="K9" s="23"/>
    </row>
    <row r="10" spans="1:11" ht="35.1" customHeight="1" x14ac:dyDescent="0.25">
      <c r="A10" s="25" t="s">
        <v>3</v>
      </c>
      <c r="B10" s="29">
        <v>537</v>
      </c>
      <c r="C10" s="29">
        <v>57</v>
      </c>
      <c r="D10" s="29">
        <v>0</v>
      </c>
      <c r="E10" s="30">
        <f t="shared" si="0"/>
        <v>594</v>
      </c>
      <c r="F10" s="29">
        <v>205</v>
      </c>
      <c r="G10" s="29">
        <v>41</v>
      </c>
      <c r="H10" s="29">
        <v>0</v>
      </c>
      <c r="I10" s="30">
        <f t="shared" si="1"/>
        <v>246</v>
      </c>
      <c r="J10" s="27">
        <v>840</v>
      </c>
      <c r="K10" s="23"/>
    </row>
    <row r="11" spans="1:11" ht="35.1" customHeight="1" x14ac:dyDescent="0.25">
      <c r="A11" s="25" t="s">
        <v>2</v>
      </c>
      <c r="B11" s="29">
        <v>68</v>
      </c>
      <c r="C11" s="29">
        <v>17</v>
      </c>
      <c r="D11" s="29">
        <v>0</v>
      </c>
      <c r="E11" s="30">
        <f t="shared" si="0"/>
        <v>85</v>
      </c>
      <c r="F11" s="29">
        <v>67</v>
      </c>
      <c r="G11" s="29">
        <v>19</v>
      </c>
      <c r="H11" s="29">
        <v>0</v>
      </c>
      <c r="I11" s="30">
        <f t="shared" si="1"/>
        <v>86</v>
      </c>
      <c r="J11" s="27">
        <v>155</v>
      </c>
      <c r="K11" s="23"/>
    </row>
    <row r="12" spans="1:11" ht="35.1" customHeight="1" x14ac:dyDescent="0.25">
      <c r="A12" s="25" t="s">
        <v>1</v>
      </c>
      <c r="B12" s="29">
        <v>1766</v>
      </c>
      <c r="C12" s="29">
        <v>665</v>
      </c>
      <c r="D12" s="29">
        <v>0</v>
      </c>
      <c r="E12" s="30">
        <f t="shared" si="0"/>
        <v>2431</v>
      </c>
      <c r="F12" s="29">
        <v>1863</v>
      </c>
      <c r="G12" s="29">
        <v>680</v>
      </c>
      <c r="H12" s="29">
        <v>0</v>
      </c>
      <c r="I12" s="30">
        <f t="shared" si="1"/>
        <v>2543</v>
      </c>
      <c r="J12" s="27">
        <v>2236</v>
      </c>
      <c r="K12" s="23"/>
    </row>
    <row r="13" spans="1:11" ht="35.1" customHeight="1" x14ac:dyDescent="0.25">
      <c r="A13" s="25" t="s">
        <v>0</v>
      </c>
      <c r="B13" s="30">
        <v>4163</v>
      </c>
      <c r="C13" s="30">
        <v>3621</v>
      </c>
      <c r="D13" s="30">
        <v>0</v>
      </c>
      <c r="E13" s="30">
        <f t="shared" si="0"/>
        <v>7784</v>
      </c>
      <c r="F13" s="30">
        <f>SUM(F7:F12)</f>
        <v>4108</v>
      </c>
      <c r="G13" s="30">
        <f t="shared" ref="G13:I13" si="2">SUM(G7:G12)</f>
        <v>3955</v>
      </c>
      <c r="H13" s="30">
        <f t="shared" si="2"/>
        <v>0</v>
      </c>
      <c r="I13" s="30">
        <f t="shared" si="2"/>
        <v>8063</v>
      </c>
      <c r="J13" s="28">
        <f>SUM(J7:J12)</f>
        <v>19861</v>
      </c>
    </row>
    <row r="14" spans="1:11" ht="21" customHeight="1" x14ac:dyDescent="0.25">
      <c r="A14" s="43" t="s">
        <v>181</v>
      </c>
      <c r="B14" s="43"/>
      <c r="C14" s="43"/>
      <c r="D14" s="43"/>
      <c r="E14" s="43"/>
      <c r="F14" s="43"/>
      <c r="G14" s="43"/>
      <c r="H14" s="43"/>
      <c r="I14" s="43"/>
      <c r="J14" s="43"/>
    </row>
    <row r="15" spans="1:11" ht="21" customHeight="1" x14ac:dyDescent="0.25">
      <c r="A15" s="31" t="s">
        <v>187</v>
      </c>
      <c r="B15" s="31"/>
      <c r="C15" s="31"/>
      <c r="D15" s="31"/>
      <c r="E15" s="31"/>
      <c r="F15" s="31"/>
      <c r="G15" s="31"/>
      <c r="H15" s="31"/>
      <c r="I15" s="31"/>
      <c r="J15" s="26"/>
    </row>
    <row r="16" spans="1:11" ht="29.25" customHeight="1" x14ac:dyDescent="0.25"/>
  </sheetData>
  <mergeCells count="10">
    <mergeCell ref="A15:I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65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2025-11-17T11:50:29Z</dcterms:modified>
</cp:coreProperties>
</file>