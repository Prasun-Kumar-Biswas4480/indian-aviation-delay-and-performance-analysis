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IR INDIA\"/>
    </mc:Choice>
  </mc:AlternateContent>
  <bookViews>
    <workbookView showHorizontalScroll="0" showVerticalScroll="0" showSheetTabs="0" xWindow="0" yWindow="0" windowWidth="20325" windowHeight="9135"/>
  </bookViews>
  <sheets>
    <sheet name="AIR INDI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" l="1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B18" i="2"/>
  <c r="B17" i="2"/>
  <c r="Q16" i="2" l="1"/>
  <c r="Q15" i="2"/>
  <c r="Q14" i="2"/>
  <c r="Q13" i="2"/>
  <c r="Q12" i="2"/>
  <c r="Q11" i="2"/>
  <c r="Q10" i="2"/>
  <c r="Q9" i="2"/>
  <c r="Q8" i="2"/>
  <c r="Q7" i="2"/>
  <c r="Q6" i="2"/>
  <c r="H16" i="2"/>
  <c r="H15" i="2"/>
  <c r="H14" i="2"/>
  <c r="H13" i="2"/>
  <c r="H12" i="2"/>
  <c r="H11" i="2"/>
  <c r="H10" i="2"/>
  <c r="H9" i="2"/>
  <c r="H8" i="2"/>
  <c r="H7" i="2"/>
  <c r="H6" i="2"/>
  <c r="Q17" i="2" l="1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<sst xmlns="http://schemas.openxmlformats.org/spreadsheetml/2006/main" count="40" uniqueCount="38">
  <si>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</si>
  <si>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</si>
  <si>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</si>
  <si>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</si>
  <si>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</si>
  <si>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</si>
  <si>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</si>
  <si>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</si>
  <si>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</si>
  <si>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</si>
  <si>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</si>
  <si>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</si>
  <si>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</si>
  <si>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</si>
  <si>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</si>
  <si>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</si>
  <si>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</si>
  <si>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</si>
  <si>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</si>
  <si>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</si>
  <si>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</si>
  <si>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</si>
  <si>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</si>
  <si>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</si>
  <si>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SOURCE: ICAO ATR FORM 'A' FURNISHED BY AIR INDIA</t>
  </si>
  <si>
    <t>2019-20</t>
  </si>
  <si>
    <t xml:space="preserve">YEAR ON YEAR GROWTH AND CAGR FOR LAST TEN YEARS OF AIR INDIA ON SCHEDULED INTERNATIONAL SERVICES (ALL AIR TRAFFIC AND OPERATING STATISTICS) </t>
  </si>
  <si>
    <t>2022-23</t>
  </si>
  <si>
    <t xml:space="preserve">TABLE - 1.05 AIR INDIA </t>
  </si>
  <si>
    <t>2023-24</t>
  </si>
  <si>
    <t>YOY growth</t>
  </si>
  <si>
    <t>CAGR last 10 years</t>
  </si>
  <si>
    <t>2020-21*</t>
  </si>
  <si>
    <t>* DENOTES that THE INTERNATIONAL OPERATIONS BY SCHEDULED INDIAN OPERATORS WERE CARRIED AS PER DGCA’S CIRCULAR DATED 26.03.2020 UNDER COVID-19 RESTRICTION.</t>
  </si>
  <si>
    <t>2021-22*</t>
  </si>
  <si>
    <t>2024-25</t>
  </si>
  <si>
    <t>Note: Growth has been calculated with respect to preceeding year while Compound Annual Growth Rate (CAGR) has been calculating taking 2014-15 as a Base Year</t>
  </si>
  <si>
    <t>तालिका - 1.05 एयर इंडिया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</si>
</sst>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[$-1010409]mmmm/yy;@"/>
    <numFmt numFmtId="167" formatCode="_(* #,##0_);_(* \(#,##0\);_(* &quot;-&quot;??_);_(@_)"/>
    <numFmt numFmtId="168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164" fontId="3" fillId="0" borderId="0" applyFont="0" applyFill="0" applyBorder="0" applyAlignment="0" applyProtection="0"/>
  </cellStyleXfs>
  <cellXfs count="25">
    <xf numFmtId="0" fontId="0" fillId="0" borderId="0" xfId="0"/>
    <xf numFmtId="0" fontId="0" fillId="4" borderId="1" xfId="3" applyFont="1" applyBorder="1" applyAlignment="1" applyProtection="1">
      <alignment horizontal="center" vertical="center" wrapText="1"/>
    </xf>
    <xf numFmtId="165" fontId="5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3" fillId="5" borderId="1" xfId="4" applyNumberFormat="1" applyBorder="1" applyAlignment="1" applyProtection="1">
      <alignment horizontal="center" vertical="center" wrapText="1"/>
    </xf>
    <xf numFmtId="167" fontId="3" fillId="5" borderId="1" xfId="4" applyNumberFormat="1" applyBorder="1" applyAlignment="1">
      <alignment horizontal="right" vertical="center"/>
    </xf>
    <xf numFmtId="168" fontId="3" fillId="5" borderId="1" xfId="4" applyNumberFormat="1" applyBorder="1" applyAlignment="1">
      <alignment horizontal="right" vertical="center"/>
    </xf>
    <xf numFmtId="166" fontId="6" fillId="2" borderId="1" xfId="0" applyNumberFormat="1" applyFont="1" applyFill="1" applyBorder="1" applyAlignment="1" applyProtection="1">
      <alignment horizontal="center" vertical="center" wrapText="1"/>
    </xf>
    <xf numFmtId="167" fontId="7" fillId="0" borderId="1" xfId="5" applyNumberFormat="1" applyFont="1" applyFill="1" applyBorder="1" applyAlignment="1">
      <alignment horizontal="right" vertical="center"/>
    </xf>
    <xf numFmtId="168" fontId="7" fillId="0" borderId="1" xfId="5" applyNumberFormat="1" applyFont="1" applyFill="1" applyBorder="1" applyAlignment="1">
      <alignment horizontal="right" vertical="center"/>
    </xf>
    <xf numFmtId="166" fontId="0" fillId="5" borderId="1" xfId="4" applyNumberFormat="1" applyFont="1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5" borderId="1" xfId="4" applyFont="1" applyBorder="1" applyAlignment="1">
      <alignment horizontal="center" vertical="center" wrapText="1"/>
    </xf>
    <xf numFmtId="0" fontId="6" fillId="5" borderId="1" xfId="4" quotePrefix="1" applyFont="1" applyBorder="1" applyAlignment="1" applyProtection="1">
      <alignment horizontal="center" vertical="center" wrapText="1"/>
    </xf>
    <xf numFmtId="0" fontId="6" fillId="5" borderId="1" xfId="4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view="pageBreakPreview" topLeftCell="A2" zoomScaleNormal="100" zoomScaleSheetLayoutView="100" workbookViewId="0">
      <selection activeCell="P9" sqref="P9"/>
    </sheetView>
  </sheetViews>
  <sheetFormatPr defaultRowHeight="15" x14ac:dyDescent="0.25"/>
  <cols>
    <col min="1" max="1" width="13" customWidth="1"/>
    <col min="2" max="2" width="9.5703125" customWidth="1"/>
    <col min="3" max="3" width="9.85546875" customWidth="1"/>
    <col min="4" max="4" width="10.42578125" customWidth="1"/>
    <col min="5" max="5" width="11.85546875" customWidth="1"/>
    <col min="6" max="6" width="10" customWidth="1"/>
    <col min="7" max="7" width="10.42578125" customWidth="1"/>
    <col min="8" max="8" width="8" customWidth="1"/>
    <col min="9" max="9" width="11.140625" customWidth="1"/>
    <col min="10" max="10" width="8" customWidth="1"/>
    <col min="11" max="11" width="11.5703125" customWidth="1"/>
    <col min="12" max="12" width="9.28515625" customWidth="1"/>
    <col min="13" max="13" width="8.7109375" customWidth="1"/>
    <col min="14" max="14" width="7.7109375" customWidth="1"/>
    <col min="15" max="15" width="8.7109375" customWidth="1"/>
    <col min="16" max="16" width="9" customWidth="1"/>
    <col min="17" max="17" width="7.5703125" customWidth="1"/>
  </cols>
  <sheetData>
    <row r="1" spans="1:17" x14ac:dyDescent="0.25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28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75" customHeight="1" x14ac:dyDescent="0.25">
      <c r="A3" s="23" t="s">
        <v>26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9.25" customHeight="1" x14ac:dyDescent="0.25">
      <c r="A5" s="23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17"/>
      <c r="H5" s="17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17"/>
      <c r="Q5" s="17"/>
    </row>
    <row r="6" spans="1:17" ht="20.100000000000001" customHeight="1" x14ac:dyDescent="0.25">
      <c r="A6" s="6" t="s">
        <v>19</v>
      </c>
      <c r="B6" s="7">
        <v>35995</v>
      </c>
      <c r="C6" s="7">
        <v>178613</v>
      </c>
      <c r="D6" s="7">
        <v>158087</v>
      </c>
      <c r="E6" s="7">
        <v>5536428</v>
      </c>
      <c r="F6" s="8">
        <v>24389.325000000001</v>
      </c>
      <c r="G6" s="8">
        <v>33545.502999999997</v>
      </c>
      <c r="H6" s="8">
        <f>F6/G6*100</f>
        <v>72.70519985942677</v>
      </c>
      <c r="I6" s="7">
        <v>105242</v>
      </c>
      <c r="J6" s="7">
        <v>3009</v>
      </c>
      <c r="K6" s="7">
        <v>108251</v>
      </c>
      <c r="L6" s="8">
        <v>2440.9050000000002</v>
      </c>
      <c r="M6" s="8">
        <v>539.18799999999999</v>
      </c>
      <c r="N6" s="8">
        <v>22.34</v>
      </c>
      <c r="O6" s="8">
        <v>3002.433</v>
      </c>
      <c r="P6" s="8">
        <v>4854.3410000000003</v>
      </c>
      <c r="Q6" s="8">
        <f t="shared" ref="Q6:Q16" si="0">O6/P6*100</f>
        <v>61.850475687637108</v>
      </c>
    </row>
    <row r="7" spans="1:17" ht="20.100000000000001" customHeight="1" x14ac:dyDescent="0.25">
      <c r="A7" s="9" t="s">
        <v>20</v>
      </c>
      <c r="B7" s="10">
        <v>35894</v>
      </c>
      <c r="C7" s="10">
        <v>190086</v>
      </c>
      <c r="D7" s="10">
        <v>222551</v>
      </c>
      <c r="E7" s="10">
        <v>5733667</v>
      </c>
      <c r="F7" s="11">
        <v>26299.504000000001</v>
      </c>
      <c r="G7" s="11">
        <v>35581.597999999998</v>
      </c>
      <c r="H7" s="11">
        <f t="shared" ref="H7:H16" si="1">F7/G7*100</f>
        <v>73.913217725634468</v>
      </c>
      <c r="I7" s="10">
        <v>104209</v>
      </c>
      <c r="J7" s="10">
        <v>2837</v>
      </c>
      <c r="K7" s="10">
        <v>107046</v>
      </c>
      <c r="L7" s="11">
        <v>2638.1979999999999</v>
      </c>
      <c r="M7" s="11">
        <v>467.49099999999999</v>
      </c>
      <c r="N7" s="11">
        <v>20.824999999999999</v>
      </c>
      <c r="O7" s="11">
        <v>3126.5140000000001</v>
      </c>
      <c r="P7" s="11">
        <v>5113.7240000000002</v>
      </c>
      <c r="Q7" s="11">
        <f t="shared" si="0"/>
        <v>61.13967042413708</v>
      </c>
    </row>
    <row r="8" spans="1:17" ht="20.100000000000001" customHeight="1" x14ac:dyDescent="0.25">
      <c r="A8" s="6" t="s">
        <v>21</v>
      </c>
      <c r="B8" s="7">
        <v>35929</v>
      </c>
      <c r="C8" s="7">
        <v>201703</v>
      </c>
      <c r="D8" s="7">
        <v>230129</v>
      </c>
      <c r="E8" s="7">
        <v>5864963</v>
      </c>
      <c r="F8" s="8">
        <v>28279.398000000001</v>
      </c>
      <c r="G8" s="8">
        <v>37622.584000000003</v>
      </c>
      <c r="H8" s="8">
        <f t="shared" si="1"/>
        <v>75.166017304925148</v>
      </c>
      <c r="I8" s="7">
        <v>113730</v>
      </c>
      <c r="J8" s="7">
        <v>3132</v>
      </c>
      <c r="K8" s="7">
        <v>116862</v>
      </c>
      <c r="L8" s="8">
        <v>2861.7020000000002</v>
      </c>
      <c r="M8" s="8">
        <v>566.57899999999995</v>
      </c>
      <c r="N8" s="8">
        <v>20.652000000000001</v>
      </c>
      <c r="O8" s="8">
        <v>3448.933</v>
      </c>
      <c r="P8" s="8">
        <v>5407.9889999999996</v>
      </c>
      <c r="Q8" s="8">
        <f t="shared" si="0"/>
        <v>63.774778388047757</v>
      </c>
    </row>
    <row r="9" spans="1:17" ht="20.100000000000001" customHeight="1" x14ac:dyDescent="0.25">
      <c r="A9" s="9" t="s">
        <v>22</v>
      </c>
      <c r="B9" s="10">
        <v>37763</v>
      </c>
      <c r="C9" s="10">
        <v>215685.3</v>
      </c>
      <c r="D9" s="10">
        <v>244397.8</v>
      </c>
      <c r="E9" s="10">
        <v>6417080</v>
      </c>
      <c r="F9" s="11">
        <v>31696.303600000003</v>
      </c>
      <c r="G9" s="11">
        <v>39911.188900000001</v>
      </c>
      <c r="H9" s="11">
        <f t="shared" si="1"/>
        <v>79.417086971317957</v>
      </c>
      <c r="I9" s="10">
        <v>129845.6</v>
      </c>
      <c r="J9" s="10">
        <v>4519.232</v>
      </c>
      <c r="K9" s="10">
        <v>134364.83199999999</v>
      </c>
      <c r="L9" s="11">
        <v>3158.2957999999999</v>
      </c>
      <c r="M9" s="11">
        <v>710.22080000000005</v>
      </c>
      <c r="N9" s="11">
        <v>29.6312</v>
      </c>
      <c r="O9" s="11">
        <v>3898.1477999999997</v>
      </c>
      <c r="P9" s="11">
        <v>5753.8510999999999</v>
      </c>
      <c r="Q9" s="11">
        <f t="shared" si="0"/>
        <v>67.748499783040955</v>
      </c>
    </row>
    <row r="10" spans="1:17" ht="20.100000000000001" customHeight="1" x14ac:dyDescent="0.25">
      <c r="A10" s="6" t="s">
        <v>23</v>
      </c>
      <c r="B10" s="7">
        <v>40495</v>
      </c>
      <c r="C10" s="7">
        <v>242179.60299999997</v>
      </c>
      <c r="D10" s="7">
        <v>257758.03599999999</v>
      </c>
      <c r="E10" s="7">
        <v>6803568</v>
      </c>
      <c r="F10" s="8">
        <v>34101.547025999993</v>
      </c>
      <c r="G10" s="8">
        <v>43621.319530999994</v>
      </c>
      <c r="H10" s="8">
        <f t="shared" si="1"/>
        <v>78.176330731502361</v>
      </c>
      <c r="I10" s="7">
        <v>142299.19584999999</v>
      </c>
      <c r="J10" s="7">
        <v>4917.4400000000005</v>
      </c>
      <c r="K10" s="7">
        <v>147216.63585000002</v>
      </c>
      <c r="L10" s="8">
        <v>3392.1562839999997</v>
      </c>
      <c r="M10" s="8">
        <v>791.89041525240009</v>
      </c>
      <c r="N10" s="8">
        <v>29.152007000000001</v>
      </c>
      <c r="O10" s="8">
        <v>4213.1987062523995</v>
      </c>
      <c r="P10" s="8">
        <v>6294.1163060360004</v>
      </c>
      <c r="Q10" s="8">
        <f t="shared" si="0"/>
        <v>66.938685295852892</v>
      </c>
    </row>
    <row r="11" spans="1:17" ht="20.100000000000001" customHeight="1" x14ac:dyDescent="0.25">
      <c r="A11" s="9" t="s">
        <v>25</v>
      </c>
      <c r="B11" s="10">
        <v>41821</v>
      </c>
      <c r="C11" s="10">
        <v>245421.01666666658</v>
      </c>
      <c r="D11" s="10">
        <v>252408.75699999998</v>
      </c>
      <c r="E11" s="10">
        <v>7061529</v>
      </c>
      <c r="F11" s="11">
        <v>35436.686162999998</v>
      </c>
      <c r="G11" s="11">
        <v>44106.834387000003</v>
      </c>
      <c r="H11" s="11">
        <f t="shared" si="1"/>
        <v>80.342846308291314</v>
      </c>
      <c r="I11" s="10">
        <v>130412.41660000003</v>
      </c>
      <c r="J11" s="10">
        <v>6161.6389999999992</v>
      </c>
      <c r="K11" s="10">
        <v>136574.05560000002</v>
      </c>
      <c r="L11" s="11">
        <v>3593.0507414399999</v>
      </c>
      <c r="M11" s="11">
        <v>735.78242448939989</v>
      </c>
      <c r="N11" s="11">
        <v>33.876048000000011</v>
      </c>
      <c r="O11" s="11">
        <v>4362.7092139293991</v>
      </c>
      <c r="P11" s="11">
        <v>6351.8741288840038</v>
      </c>
      <c r="Q11" s="11">
        <f t="shared" si="0"/>
        <v>68.683810878599829</v>
      </c>
    </row>
    <row r="12" spans="1:17" ht="20.100000000000001" customHeight="1" x14ac:dyDescent="0.25">
      <c r="A12" s="6" t="s">
        <v>32</v>
      </c>
      <c r="B12" s="7">
        <v>10202</v>
      </c>
      <c r="C12" s="7">
        <v>80041.125000000015</v>
      </c>
      <c r="D12" s="7">
        <v>70466.5</v>
      </c>
      <c r="E12" s="7">
        <v>1519104</v>
      </c>
      <c r="F12" s="8">
        <v>10959.015120999999</v>
      </c>
      <c r="G12" s="8">
        <v>16431.978261</v>
      </c>
      <c r="H12" s="8">
        <f t="shared" si="1"/>
        <v>66.693218229300811</v>
      </c>
      <c r="I12" s="7">
        <v>39382.725299999998</v>
      </c>
      <c r="J12" s="8">
        <v>35.51</v>
      </c>
      <c r="K12" s="7">
        <v>39418.235300000008</v>
      </c>
      <c r="L12" s="8">
        <v>1011.1704910899997</v>
      </c>
      <c r="M12" s="8">
        <v>265.38220219579995</v>
      </c>
      <c r="N12" s="8">
        <v>0.30548060680614414</v>
      </c>
      <c r="O12" s="8">
        <v>1276.8581738926064</v>
      </c>
      <c r="P12" s="8">
        <v>2501.9295646080004</v>
      </c>
      <c r="Q12" s="8">
        <f t="shared" si="0"/>
        <v>51.034936872519957</v>
      </c>
    </row>
    <row r="13" spans="1:17" ht="20.100000000000001" customHeight="1" x14ac:dyDescent="0.25">
      <c r="A13" s="9" t="s">
        <v>34</v>
      </c>
      <c r="B13" s="10">
        <v>18661</v>
      </c>
      <c r="C13" s="10">
        <v>123937.48333333329</v>
      </c>
      <c r="D13" s="10">
        <v>99667.707000000009</v>
      </c>
      <c r="E13" s="10">
        <v>2960626</v>
      </c>
      <c r="F13" s="11">
        <v>17424.909974999999</v>
      </c>
      <c r="G13" s="11">
        <v>24025.329074000001</v>
      </c>
      <c r="H13" s="11">
        <f t="shared" si="1"/>
        <v>72.527247894627521</v>
      </c>
      <c r="I13" s="10">
        <v>73972.146299999993</v>
      </c>
      <c r="J13" s="11">
        <v>3.3953085035647277</v>
      </c>
      <c r="K13" s="10">
        <v>73975.541608503569</v>
      </c>
      <c r="L13" s="11">
        <v>1781.1189450810002</v>
      </c>
      <c r="M13" s="11">
        <v>461.59387039489997</v>
      </c>
      <c r="N13" s="11">
        <v>2.3129404587856834E-3</v>
      </c>
      <c r="O13" s="11">
        <v>2242.7151284163583</v>
      </c>
      <c r="P13" s="11">
        <v>3172.1023886919997</v>
      </c>
      <c r="Q13" s="11">
        <f t="shared" si="0"/>
        <v>70.701221259794536</v>
      </c>
    </row>
    <row r="14" spans="1:17" ht="20.100000000000001" customHeight="1" x14ac:dyDescent="0.25">
      <c r="A14" s="12" t="s">
        <v>27</v>
      </c>
      <c r="B14" s="7">
        <v>38203</v>
      </c>
      <c r="C14" s="7">
        <v>245878.50166666653</v>
      </c>
      <c r="D14" s="7">
        <v>185604.48099999997</v>
      </c>
      <c r="E14" s="7">
        <v>6746383</v>
      </c>
      <c r="F14" s="8">
        <v>38130.465632000007</v>
      </c>
      <c r="G14" s="8">
        <v>45832.484498000005</v>
      </c>
      <c r="H14" s="8">
        <f t="shared" si="1"/>
        <v>83.195283977380512</v>
      </c>
      <c r="I14" s="7">
        <v>104441.22999999997</v>
      </c>
      <c r="J14" s="7">
        <v>1302.1260946605566</v>
      </c>
      <c r="K14" s="7">
        <v>105743.35609466053</v>
      </c>
      <c r="L14" s="8">
        <v>4002.0728130839993</v>
      </c>
      <c r="M14" s="8">
        <v>629.28091973079995</v>
      </c>
      <c r="N14" s="8">
        <v>6.7834883725447614</v>
      </c>
      <c r="O14" s="8">
        <v>4638.1372211873449</v>
      </c>
      <c r="P14" s="8">
        <v>6636.3834452559995</v>
      </c>
      <c r="Q14" s="8">
        <f t="shared" si="0"/>
        <v>69.889530336028187</v>
      </c>
    </row>
    <row r="15" spans="1:17" ht="20.100000000000001" customHeight="1" x14ac:dyDescent="0.25">
      <c r="A15" s="9" t="s">
        <v>29</v>
      </c>
      <c r="B15" s="10">
        <v>45853</v>
      </c>
      <c r="C15" s="10">
        <v>302138.95199999987</v>
      </c>
      <c r="D15" s="10">
        <v>223971.66700000004</v>
      </c>
      <c r="E15" s="10">
        <v>8533053</v>
      </c>
      <c r="F15" s="11">
        <v>48405.069762999992</v>
      </c>
      <c r="G15" s="11">
        <v>56283.19933399999</v>
      </c>
      <c r="H15" s="11">
        <f t="shared" si="1"/>
        <v>86.002697671379678</v>
      </c>
      <c r="I15" s="10">
        <v>129649.16890000005</v>
      </c>
      <c r="J15" s="10">
        <v>4433.3050071106991</v>
      </c>
      <c r="K15" s="10">
        <v>134082.47390711075</v>
      </c>
      <c r="L15" s="11">
        <v>5072.8412753160001</v>
      </c>
      <c r="M15" s="11">
        <v>851.99674887820004</v>
      </c>
      <c r="N15" s="11">
        <v>33.169475186014445</v>
      </c>
      <c r="O15" s="11">
        <v>5958.0074993802136</v>
      </c>
      <c r="P15" s="11">
        <v>8075.1794691639934</v>
      </c>
      <c r="Q15" s="11">
        <f t="shared" si="0"/>
        <v>73.781734785357457</v>
      </c>
    </row>
    <row r="16" spans="1:17" ht="20.100000000000001" customHeight="1" x14ac:dyDescent="0.25">
      <c r="A16" s="12" t="s">
        <v>35</v>
      </c>
      <c r="B16" s="7">
        <v>51834</v>
      </c>
      <c r="C16" s="7">
        <v>353565.58699999994</v>
      </c>
      <c r="D16" s="7">
        <v>260487.03400000001</v>
      </c>
      <c r="E16" s="7">
        <v>9865764</v>
      </c>
      <c r="F16" s="8">
        <v>57197.424859999999</v>
      </c>
      <c r="G16" s="8">
        <v>66895.891198000012</v>
      </c>
      <c r="H16" s="8">
        <f t="shared" si="1"/>
        <v>85.502149438006185</v>
      </c>
      <c r="I16" s="7">
        <v>164318.2144</v>
      </c>
      <c r="J16" s="7">
        <v>2207.2300605853839</v>
      </c>
      <c r="K16" s="7">
        <v>166525.44446058542</v>
      </c>
      <c r="L16" s="8">
        <v>5973.5728432060032</v>
      </c>
      <c r="M16" s="8">
        <v>1055.4390053275001</v>
      </c>
      <c r="N16" s="8">
        <v>17.453451566557938</v>
      </c>
      <c r="O16" s="8">
        <v>7046.4653001000606</v>
      </c>
      <c r="P16" s="8">
        <v>8558.4211941219983</v>
      </c>
      <c r="Q16" s="8">
        <f t="shared" si="0"/>
        <v>82.333705484600799</v>
      </c>
    </row>
    <row r="17" spans="1:17" ht="29.25" customHeight="1" x14ac:dyDescent="0.25">
      <c r="A17" s="1" t="s">
        <v>30</v>
      </c>
      <c r="B17" s="4">
        <f>IFERROR(((B16-B15)/B15),"-")</f>
        <v>0.1304385754476261</v>
      </c>
      <c r="C17" s="4">
        <f t="shared" ref="C17:Q17" si="2">(C16-C15)/C15</f>
        <v>0.17020855688941455</v>
      </c>
      <c r="D17" s="4">
        <f t="shared" si="2"/>
        <v>0.16303565307660081</v>
      </c>
      <c r="E17" s="4">
        <f t="shared" si="2"/>
        <v>0.1561822011418422</v>
      </c>
      <c r="F17" s="4">
        <f t="shared" si="2"/>
        <v>0.18164120287500821</v>
      </c>
      <c r="G17" s="4">
        <f t="shared" si="2"/>
        <v>0.18855878822775138</v>
      </c>
      <c r="H17" s="4">
        <f t="shared" si="2"/>
        <v>-5.8201457271272045E-3</v>
      </c>
      <c r="I17" s="4">
        <f t="shared" si="2"/>
        <v>0.2674066158244377</v>
      </c>
      <c r="J17" s="4">
        <f t="shared" si="2"/>
        <v>-0.5021253766557574</v>
      </c>
      <c r="K17" s="4">
        <f t="shared" si="2"/>
        <v>0.24196279803093743</v>
      </c>
      <c r="L17" s="4">
        <f t="shared" si="2"/>
        <v>0.17755958032294128</v>
      </c>
      <c r="M17" s="4">
        <f t="shared" si="2"/>
        <v>0.2387829023023465</v>
      </c>
      <c r="N17" s="4">
        <f t="shared" si="2"/>
        <v>-0.4738098366441143</v>
      </c>
      <c r="O17" s="4">
        <f t="shared" si="2"/>
        <v>0.18268822267059495</v>
      </c>
      <c r="P17" s="4">
        <f t="shared" si="2"/>
        <v>5.9842846441161987E-2</v>
      </c>
      <c r="Q17" s="4">
        <f t="shared" si="2"/>
        <v>0.11590904881977029</v>
      </c>
    </row>
    <row r="18" spans="1:17" ht="31.5" customHeight="1" x14ac:dyDescent="0.25">
      <c r="A18" s="5" t="s">
        <v>31</v>
      </c>
      <c r="B18" s="2">
        <f>IFERROR((((B16/B6)^(1/10))-1),"-")</f>
        <v>3.7139690425883831E-2</v>
      </c>
      <c r="C18" s="2">
        <f t="shared" ref="C18:Q18" si="3">IFERROR((((C16/C6)^(1/10))-1),"-")</f>
        <v>7.0670143756901727E-2</v>
      </c>
      <c r="D18" s="2">
        <f t="shared" si="3"/>
        <v>5.1208817982397292E-2</v>
      </c>
      <c r="E18" s="2">
        <f t="shared" si="3"/>
        <v>5.9473519957368381E-2</v>
      </c>
      <c r="F18" s="2">
        <f t="shared" si="3"/>
        <v>8.8974398059697979E-2</v>
      </c>
      <c r="G18" s="2">
        <f t="shared" si="3"/>
        <v>7.1461359532693391E-2</v>
      </c>
      <c r="H18" s="2">
        <f t="shared" si="3"/>
        <v>1.6345002431672251E-2</v>
      </c>
      <c r="I18" s="2">
        <f t="shared" si="3"/>
        <v>4.5561688461196459E-2</v>
      </c>
      <c r="J18" s="2">
        <f t="shared" si="3"/>
        <v>-3.05117688340385E-2</v>
      </c>
      <c r="K18" s="2">
        <f t="shared" si="3"/>
        <v>4.4010504572901565E-2</v>
      </c>
      <c r="L18" s="2">
        <f t="shared" si="3"/>
        <v>9.362474605738802E-2</v>
      </c>
      <c r="M18" s="2">
        <f t="shared" si="3"/>
        <v>6.9471688419913802E-2</v>
      </c>
      <c r="N18" s="2">
        <f t="shared" si="3"/>
        <v>-2.4381974710103838E-2</v>
      </c>
      <c r="O18" s="2">
        <f t="shared" si="3"/>
        <v>8.905496492978493E-2</v>
      </c>
      <c r="P18" s="2">
        <f t="shared" si="3"/>
        <v>5.834274621959179E-2</v>
      </c>
      <c r="Q18" s="2">
        <f t="shared" si="3"/>
        <v>2.9019161155398265E-2</v>
      </c>
    </row>
    <row r="19" spans="1:17" x14ac:dyDescent="0.25">
      <c r="A19" s="18" t="s">
        <v>24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ht="15" customHeight="1" x14ac:dyDescent="0.25">
      <c r="A20" s="14" t="s">
        <v>36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x14ac:dyDescent="0.25">
      <c r="A21" s="13" t="s">
        <v>33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A20:Q20"/>
    <mergeCell ref="P4:P5"/>
    <mergeCell ref="Q4:Q5"/>
    <mergeCell ref="A19:Q1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11811023622047245" right="0.11811023622047245" top="0.74803149606299213" bottom="0.74803149606299213" header="0.31496062992125984" footer="0.31496062992125984"/>
  <pageSetup paperSize="9" scale="8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2025-11-24T07:32:23Z</cp:lastPrinted>
  <dcterms:created xsi:type="dcterms:W3CDTF">2018-10-29T04:00:15Z</dcterms:created>
  <dcterms:modified xsi:type="dcterms:W3CDTF">2025-11-24T07:32:26Z</dcterms:modified>
</cp:coreProperties>
</file>