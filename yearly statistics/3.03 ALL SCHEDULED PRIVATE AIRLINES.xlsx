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Draft Annual Report 2024-25\03 All Scheduled Private Airlines Air Transport Operating and Traffic Statistics\"/>
    </mc:Choice>
  </mc:AlternateContent>
  <bookViews>
    <workbookView showHorizontalScroll="0" showVerticalScroll="0" showSheetTabs="0" xWindow="0" yWindow="0" windowWidth="11265" windowHeight="9495"/>
  </bookViews>
  <sheets>
    <sheet name="1.03" sheetId="1" r:id="rId1"/>
  </sheets>
  <definedNames>
    <definedName name="_xlnm.Print_Area" localSheetId="0">'1.03'!$A$1:$Q$19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9" i="1" l="1"/>
  <c r="Q6" i="1"/>
  <c r="Q8" i="1"/>
  <c r="Q14" i="1"/>
  <c r="Q15" i="1"/>
  <c r="Q16" i="1"/>
  <c r="H7" i="1"/>
  <c r="H9" i="1"/>
  <c r="H10" i="1"/>
  <c r="H16" i="1"/>
  <c r="Q13" i="1" l="1"/>
  <c r="H11" i="1"/>
  <c r="H15" i="1"/>
  <c r="Q7" i="1"/>
  <c r="H12" i="1"/>
  <c r="Q12" i="1"/>
  <c r="H14" i="1"/>
  <c r="Q17" i="1"/>
  <c r="Q10" i="1"/>
  <c r="H13" i="1"/>
  <c r="H8" i="1"/>
  <c r="Q11" i="1"/>
  <c r="H17" i="1"/>
  <c r="H6" i="1"/>
  <c r="P18" i="1"/>
  <c r="O18" i="1"/>
  <c r="N18" i="1"/>
  <c r="M18" i="1"/>
  <c r="L18" i="1"/>
  <c r="K18" i="1"/>
  <c r="J18" i="1"/>
  <c r="I18" i="1"/>
  <c r="G18" i="1"/>
  <c r="F18" i="1"/>
  <c r="E18" i="1"/>
  <c r="D18" i="1"/>
  <c r="C18" i="1"/>
  <c r="B18" i="1"/>
  <c r="Q18" i="1" l="1"/>
  <c r="H18" i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<sst xmlns="http://schemas.openxmlformats.org/spreadsheetml/2006/main" count="26" uniqueCount="24">
  <si>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</si>
  <si>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</si>
  <si>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</si>
  <si>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</si>
  <si>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</si>
  <si>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</si>
  <si>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</si>
  <si>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</si>
  <si>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</si>
  <si>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</si>
  <si>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</si>
  <si>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</si>
  <si>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</si>
  <si>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</si>
  <si>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</si>
  <si>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</si>
  <si>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</si>
  <si>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</si>
  <si>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</si>
  <si>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ALL SCHEDULED PRIVATE AIRLINES</t>
  </si>
  <si>
    <t xml:space="preserve"> तालिका- 3.03 (सभी अनुसूचित निजी एयरलाइन्स) </t>
  </si>
  <si>
    <t>Table 3.03 (ALL SCHEDULED PRIVATE AIRLINES)</t>
  </si>
  <si>
    <t xml:space="preserve"> MONTHLY TRAFFIC AND OPERATING STATISTICS OF ALL SCHEDULED PRIVATE AIRLINES ON TOTAL SCHEDULED (INTERNATIONAL+DOMESTIC) SERVICES DURING 2024-25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</si>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</sst>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[$-409]mmm/yy;@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theme="0"/>
      </patternFill>
    </fill>
    <fill>
      <patternFill patternType="solid">
        <fgColor theme="0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3" borderId="0" applyNumberFormat="0" applyBorder="0" applyAlignment="0" applyProtection="0"/>
    <xf numFmtId="0" fontId="3" fillId="4" borderId="0" applyNumberFormat="0" applyBorder="0" applyAlignment="0" applyProtection="0"/>
  </cellStyleXfs>
  <cellXfs count="24">
    <xf numFmtId="0" fontId="0" fillId="0" borderId="0" xfId="0"/>
    <xf numFmtId="0" fontId="0" fillId="0" borderId="0" xfId="0" applyFont="1"/>
    <xf numFmtId="0" fontId="4" fillId="4" borderId="1" xfId="2" applyFont="1" applyBorder="1" applyAlignment="1" applyProtection="1">
      <alignment horizontal="center" vertical="center" wrapText="1"/>
    </xf>
    <xf numFmtId="3" fontId="3" fillId="4" borderId="1" xfId="2" applyNumberFormat="1" applyBorder="1" applyAlignment="1" applyProtection="1">
      <alignment horizontal="right" vertical="center" wrapText="1"/>
    </xf>
    <xf numFmtId="164" fontId="3" fillId="4" borderId="1" xfId="2" applyNumberFormat="1" applyBorder="1" applyAlignment="1" applyProtection="1">
      <alignment horizontal="right" vertical="center" wrapText="1"/>
    </xf>
    <xf numFmtId="0" fontId="2" fillId="3" borderId="1" xfId="1" applyFont="1" applyBorder="1" applyAlignment="1" applyProtection="1">
      <alignment horizontal="center" vertical="center" textRotation="90" wrapText="1"/>
    </xf>
    <xf numFmtId="0" fontId="0" fillId="5" borderId="0" xfId="0" applyFont="1" applyFill="1"/>
    <xf numFmtId="3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3" fontId="3" fillId="7" borderId="1" xfId="2" applyNumberFormat="1" applyFill="1" applyBorder="1" applyAlignment="1" applyProtection="1">
      <alignment horizontal="right" vertical="center" wrapText="1"/>
    </xf>
    <xf numFmtId="164" fontId="3" fillId="7" borderId="1" xfId="2" applyNumberFormat="1" applyFill="1" applyBorder="1" applyAlignment="1" applyProtection="1">
      <alignment horizontal="right" vertical="center" wrapText="1"/>
    </xf>
    <xf numFmtId="164" fontId="0" fillId="6" borderId="1" xfId="0" applyNumberFormat="1" applyFont="1" applyFill="1" applyBorder="1" applyAlignment="1">
      <alignment horizontal="right" vertical="center"/>
    </xf>
    <xf numFmtId="164" fontId="0" fillId="8" borderId="1" xfId="0" applyNumberFormat="1" applyFont="1" applyFill="1" applyBorder="1" applyAlignment="1">
      <alignment horizontal="right" vertical="center"/>
    </xf>
    <xf numFmtId="165" fontId="0" fillId="4" borderId="1" xfId="2" applyNumberFormat="1" applyFont="1" applyBorder="1" applyAlignment="1" applyProtection="1">
      <alignment horizontal="center" vertical="center" wrapText="1"/>
    </xf>
    <xf numFmtId="165" fontId="3" fillId="5" borderId="1" xfId="2" applyNumberFormat="1" applyFill="1" applyBorder="1" applyAlignment="1" applyProtection="1">
      <alignment horizontal="center" vertical="center" wrapText="1"/>
    </xf>
    <xf numFmtId="165" fontId="3" fillId="4" borderId="1" xfId="2" applyNumberFormat="1" applyBorder="1" applyAlignment="1" applyProtection="1">
      <alignment horizontal="center" vertical="center" wrapText="1"/>
    </xf>
    <xf numFmtId="0" fontId="2" fillId="3" borderId="1" xfId="1" applyFont="1" applyBorder="1" applyAlignment="1" applyProtection="1">
      <alignment horizontal="center" vertical="center" textRotation="90" wrapText="1"/>
    </xf>
    <xf numFmtId="0" fontId="2" fillId="3" borderId="1" xfId="1" applyFont="1" applyBorder="1" applyAlignment="1">
      <alignment textRotation="90"/>
    </xf>
    <xf numFmtId="0" fontId="1" fillId="2" borderId="1" xfId="0" applyFont="1" applyFill="1" applyBorder="1" applyAlignment="1" applyProtection="1">
      <alignment horizontal="left" vertical="center" wrapText="1"/>
    </xf>
    <xf numFmtId="0" fontId="2" fillId="4" borderId="1" xfId="2" applyFont="1" applyBorder="1" applyAlignment="1">
      <alignment horizontal="center" vertical="center" wrapText="1"/>
    </xf>
    <xf numFmtId="0" fontId="2" fillId="4" borderId="1" xfId="2" quotePrefix="1" applyFont="1" applyBorder="1" applyAlignment="1" applyProtection="1">
      <alignment horizontal="center" vertical="center" wrapText="1"/>
    </xf>
    <xf numFmtId="0" fontId="2" fillId="4" borderId="1" xfId="2" applyFont="1" applyBorder="1"/>
    <xf numFmtId="0" fontId="2" fillId="3" borderId="1" xfId="1" applyFont="1" applyBorder="1" applyAlignment="1" applyProtection="1">
      <alignment horizontal="center" vertical="center" wrapText="1"/>
    </xf>
    <xf numFmtId="0" fontId="2" fillId="3" borderId="1" xfId="1" applyFont="1" applyBorder="1"/>
  </cellXfs>
  <cellStyles count="3">
    <cellStyle name="40% - Accent1" xfId="2" builtinId="31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Q19"/>
  <sheetViews>
    <sheetView tabSelected="1" view="pageBreakPreview" zoomScale="85" zoomScaleNormal="100" zoomScaleSheetLayoutView="85" workbookViewId="0">
      <selection activeCell="I7" sqref="I7:K7"/>
    </sheetView>
  </sheetViews>
  <sheetFormatPr defaultColWidth="9.140625" defaultRowHeight="15" x14ac:dyDescent="0.25"/>
  <cols>
    <col min="1" max="1" width="15.140625" style="1" customWidth="1"/>
    <col min="2" max="2" width="9.28515625" style="1" customWidth="1"/>
    <col min="3" max="3" width="9.7109375" style="1" customWidth="1"/>
    <col min="4" max="4" width="9.5703125" style="1" customWidth="1"/>
    <col min="5" max="5" width="11.7109375" style="1" customWidth="1"/>
    <col min="6" max="6" width="10.7109375" style="1" customWidth="1"/>
    <col min="7" max="7" width="9.85546875" style="1" customWidth="1"/>
    <col min="8" max="8" width="6.5703125" style="1" customWidth="1"/>
    <col min="9" max="9" width="11.140625" style="1" customWidth="1"/>
    <col min="10" max="10" width="10.140625" style="1" customWidth="1"/>
    <col min="11" max="11" width="11.28515625" style="1" customWidth="1"/>
    <col min="12" max="13" width="10.85546875" style="1" customWidth="1"/>
    <col min="14" max="14" width="7" style="1" customWidth="1"/>
    <col min="15" max="15" width="11.7109375" style="1" customWidth="1"/>
    <col min="16" max="16" width="11.5703125" style="1" customWidth="1"/>
    <col min="17" max="17" width="6.7109375" style="1" customWidth="1"/>
    <col min="18" max="16384" width="9.140625" style="1"/>
  </cols>
  <sheetData>
    <row r="1" spans="1:17" ht="18.75" customHeight="1" x14ac:dyDescent="0.25">
      <c r="A1" s="19" t="s">
        <v>20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ht="18.75" customHeight="1" x14ac:dyDescent="0.25">
      <c r="A2" s="20" t="s">
        <v>21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1:17" ht="18.75" customHeight="1" x14ac:dyDescent="0.25">
      <c r="A3" s="22" t="s">
        <v>22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17" ht="19.5" customHeight="1" x14ac:dyDescent="0.25">
      <c r="A4" s="22" t="s">
        <v>0</v>
      </c>
      <c r="B4" s="22" t="s">
        <v>1</v>
      </c>
      <c r="C4" s="22"/>
      <c r="D4" s="22"/>
      <c r="E4" s="22" t="s">
        <v>2</v>
      </c>
      <c r="F4" s="23"/>
      <c r="G4" s="16" t="s">
        <v>3</v>
      </c>
      <c r="H4" s="16" t="s">
        <v>4</v>
      </c>
      <c r="I4" s="22" t="s">
        <v>5</v>
      </c>
      <c r="J4" s="22"/>
      <c r="K4" s="22"/>
      <c r="L4" s="22" t="s">
        <v>6</v>
      </c>
      <c r="M4" s="22"/>
      <c r="N4" s="22"/>
      <c r="O4" s="22"/>
      <c r="P4" s="16" t="s">
        <v>7</v>
      </c>
      <c r="Q4" s="16" t="s">
        <v>8</v>
      </c>
    </row>
    <row r="5" spans="1:17" ht="115.5" customHeight="1" x14ac:dyDescent="0.25">
      <c r="A5" s="22"/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17"/>
      <c r="H5" s="17"/>
      <c r="I5" s="5" t="s">
        <v>14</v>
      </c>
      <c r="J5" s="5" t="s">
        <v>15</v>
      </c>
      <c r="K5" s="5" t="s">
        <v>16</v>
      </c>
      <c r="L5" s="5" t="s">
        <v>17</v>
      </c>
      <c r="M5" s="5" t="s">
        <v>18</v>
      </c>
      <c r="N5" s="5" t="s">
        <v>15</v>
      </c>
      <c r="O5" s="5" t="s">
        <v>16</v>
      </c>
      <c r="P5" s="17"/>
      <c r="Q5" s="17"/>
    </row>
    <row r="6" spans="1:17" ht="30" customHeight="1" x14ac:dyDescent="0.25">
      <c r="A6" s="13">
        <v>45383</v>
      </c>
      <c r="B6" s="3">
        <v>104295</v>
      </c>
      <c r="C6" s="3">
        <v>222531.3072233334</v>
      </c>
      <c r="D6" s="3">
        <v>131428.58899999998</v>
      </c>
      <c r="E6" s="3">
        <v>15635838</v>
      </c>
      <c r="F6" s="3">
        <v>21865.718702999995</v>
      </c>
      <c r="G6" s="3">
        <v>25608.216483433327</v>
      </c>
      <c r="H6" s="11">
        <f t="shared" ref="H6:H18" si="0">F6/G6*100</f>
        <v>85.385558643435957</v>
      </c>
      <c r="I6" s="4">
        <v>77380.409849999996</v>
      </c>
      <c r="J6" s="4">
        <v>3780.2821120250032</v>
      </c>
      <c r="K6" s="4">
        <v>81160.691962024997</v>
      </c>
      <c r="L6" s="4">
        <v>1949.7575374780008</v>
      </c>
      <c r="M6" s="4">
        <v>164.64386784452887</v>
      </c>
      <c r="N6" s="4">
        <v>5.6629092396791894</v>
      </c>
      <c r="O6" s="4">
        <v>2120.0643145622089</v>
      </c>
      <c r="P6" s="4">
        <v>2990.8835372600001</v>
      </c>
      <c r="Q6" s="11">
        <f t="shared" ref="Q6:Q18" si="1">O6/P6*100</f>
        <v>70.88421492013147</v>
      </c>
    </row>
    <row r="7" spans="1:17" s="6" customFormat="1" ht="30" customHeight="1" x14ac:dyDescent="0.25">
      <c r="A7" s="14">
        <v>45413</v>
      </c>
      <c r="B7" s="9">
        <v>106675</v>
      </c>
      <c r="C7" s="9">
        <v>233759.95126000009</v>
      </c>
      <c r="D7" s="9">
        <v>134442.67400000003</v>
      </c>
      <c r="E7" s="9">
        <v>16427863</v>
      </c>
      <c r="F7" s="9">
        <v>23168.499666</v>
      </c>
      <c r="G7" s="9">
        <v>26493.388826964707</v>
      </c>
      <c r="H7" s="12">
        <f t="shared" si="0"/>
        <v>87.450117526751924</v>
      </c>
      <c r="I7" s="10">
        <v>89045.739950000003</v>
      </c>
      <c r="J7" s="10">
        <v>3616.4110590309483</v>
      </c>
      <c r="K7" s="10">
        <v>92662.151009030946</v>
      </c>
      <c r="L7" s="10">
        <v>2131.7778253669994</v>
      </c>
      <c r="M7" s="10">
        <v>191.97215510682997</v>
      </c>
      <c r="N7" s="10">
        <v>5.108281058512171</v>
      </c>
      <c r="O7" s="10">
        <v>2328.8582615323421</v>
      </c>
      <c r="P7" s="10">
        <v>3108.7585473140002</v>
      </c>
      <c r="Q7" s="12">
        <f t="shared" si="1"/>
        <v>74.912806063516896</v>
      </c>
    </row>
    <row r="8" spans="1:17" ht="30" customHeight="1" x14ac:dyDescent="0.25">
      <c r="A8" s="15">
        <v>45444</v>
      </c>
      <c r="B8" s="3">
        <v>104969</v>
      </c>
      <c r="C8" s="3">
        <v>232466.81566666672</v>
      </c>
      <c r="D8" s="3">
        <v>133489.14700000003</v>
      </c>
      <c r="E8" s="3">
        <v>15780418</v>
      </c>
      <c r="F8" s="3">
        <v>22547.895887000002</v>
      </c>
      <c r="G8" s="3">
        <v>26348.619385999998</v>
      </c>
      <c r="H8" s="11">
        <f t="shared" si="0"/>
        <v>85.575246113200677</v>
      </c>
      <c r="I8" s="4">
        <v>88113.033040000024</v>
      </c>
      <c r="J8" s="4">
        <v>3819.8626985360756</v>
      </c>
      <c r="K8" s="4">
        <v>91932.895738536099</v>
      </c>
      <c r="L8" s="4">
        <v>2067.3460884110004</v>
      </c>
      <c r="M8" s="4">
        <v>197.01073800048997</v>
      </c>
      <c r="N8" s="4">
        <v>5.1171146783439063</v>
      </c>
      <c r="O8" s="4">
        <v>2269.4739410898342</v>
      </c>
      <c r="P8" s="4">
        <v>2989.8033426800025</v>
      </c>
      <c r="Q8" s="11">
        <f t="shared" si="1"/>
        <v>75.907131037438774</v>
      </c>
    </row>
    <row r="9" spans="1:17" s="6" customFormat="1" ht="30" customHeight="1" x14ac:dyDescent="0.25">
      <c r="A9" s="14">
        <v>45474</v>
      </c>
      <c r="B9" s="9">
        <v>106553</v>
      </c>
      <c r="C9" s="9">
        <v>238826.62700000001</v>
      </c>
      <c r="D9" s="9">
        <v>136948.84</v>
      </c>
      <c r="E9" s="9">
        <v>15625524</v>
      </c>
      <c r="F9" s="9">
        <v>22479.255428644523</v>
      </c>
      <c r="G9" s="9">
        <v>26975.230626943576</v>
      </c>
      <c r="H9" s="12">
        <f t="shared" si="0"/>
        <v>83.332949918106152</v>
      </c>
      <c r="I9" s="10">
        <v>89522.76672</v>
      </c>
      <c r="J9" s="10">
        <v>3885.3679887624721</v>
      </c>
      <c r="K9" s="10">
        <v>93408.13470876246</v>
      </c>
      <c r="L9" s="10">
        <v>2068.4649112730058</v>
      </c>
      <c r="M9" s="10">
        <v>200.27231729440027</v>
      </c>
      <c r="N9" s="10">
        <v>4.5608145916520231</v>
      </c>
      <c r="O9" s="10">
        <v>2273.2980431590577</v>
      </c>
      <c r="P9" s="10">
        <v>3093.9604917012166</v>
      </c>
      <c r="Q9" s="12">
        <f t="shared" si="1"/>
        <v>73.475341694136603</v>
      </c>
    </row>
    <row r="10" spans="1:17" ht="30" customHeight="1" x14ac:dyDescent="0.25">
      <c r="A10" s="15">
        <v>45505</v>
      </c>
      <c r="B10" s="3">
        <v>109621</v>
      </c>
      <c r="C10" s="3">
        <v>243047.85493333338</v>
      </c>
      <c r="D10" s="3">
        <v>140521.93699999998</v>
      </c>
      <c r="E10" s="3">
        <v>15791848</v>
      </c>
      <c r="F10" s="3">
        <v>22635.039739175252</v>
      </c>
      <c r="G10" s="3">
        <v>27588.740817469607</v>
      </c>
      <c r="H10" s="11">
        <f t="shared" si="0"/>
        <v>82.044482888622454</v>
      </c>
      <c r="I10" s="4">
        <v>88024.055989999993</v>
      </c>
      <c r="J10" s="4">
        <v>3707.0643355604134</v>
      </c>
      <c r="K10" s="4">
        <v>91731.120325560405</v>
      </c>
      <c r="L10" s="4">
        <v>2085.553714705773</v>
      </c>
      <c r="M10" s="4">
        <v>196.89586281660019</v>
      </c>
      <c r="N10" s="4">
        <v>4.4173668609153713</v>
      </c>
      <c r="O10" s="4">
        <v>2286.8669443832887</v>
      </c>
      <c r="P10" s="4">
        <v>3160.3400602391462</v>
      </c>
      <c r="Q10" s="11">
        <f t="shared" si="1"/>
        <v>72.361419998904779</v>
      </c>
    </row>
    <row r="11" spans="1:17" s="6" customFormat="1" ht="30" customHeight="1" x14ac:dyDescent="0.25">
      <c r="A11" s="14">
        <v>45536</v>
      </c>
      <c r="B11" s="9">
        <v>107847</v>
      </c>
      <c r="C11" s="9">
        <v>238736.01099999994</v>
      </c>
      <c r="D11" s="9">
        <v>138551.23300000001</v>
      </c>
      <c r="E11" s="9">
        <v>15595472</v>
      </c>
      <c r="F11" s="9">
        <v>22276.470017</v>
      </c>
      <c r="G11" s="9">
        <v>27351.771906235295</v>
      </c>
      <c r="H11" s="12">
        <f t="shared" si="0"/>
        <v>81.444339669715163</v>
      </c>
      <c r="I11" s="10">
        <v>90607.254929999952</v>
      </c>
      <c r="J11" s="10">
        <v>3139.3174039282558</v>
      </c>
      <c r="K11" s="10">
        <v>93746.572333928241</v>
      </c>
      <c r="L11" s="10">
        <v>2081.0806787850006</v>
      </c>
      <c r="M11" s="10">
        <v>194.68413424737005</v>
      </c>
      <c r="N11" s="10">
        <v>4.0513985818252403</v>
      </c>
      <c r="O11" s="10">
        <v>2279.8162116141962</v>
      </c>
      <c r="P11" s="10">
        <v>3047.4293247089986</v>
      </c>
      <c r="Q11" s="12">
        <f t="shared" si="1"/>
        <v>74.811126647929655</v>
      </c>
    </row>
    <row r="12" spans="1:17" ht="30" customHeight="1" x14ac:dyDescent="0.25">
      <c r="A12" s="15">
        <v>45566</v>
      </c>
      <c r="B12" s="3">
        <v>113527</v>
      </c>
      <c r="C12" s="3">
        <v>249790.25833333336</v>
      </c>
      <c r="D12" s="3">
        <v>145828.71899999998</v>
      </c>
      <c r="E12" s="3">
        <v>16323981</v>
      </c>
      <c r="F12" s="3">
        <v>23179.023045999998</v>
      </c>
      <c r="G12" s="3">
        <v>28792.160750000003</v>
      </c>
      <c r="H12" s="11">
        <f t="shared" si="0"/>
        <v>80.50463196305958</v>
      </c>
      <c r="I12" s="4">
        <v>90197.306849999994</v>
      </c>
      <c r="J12" s="4">
        <v>3313.5450650859498</v>
      </c>
      <c r="K12" s="4">
        <v>93510.85191508595</v>
      </c>
      <c r="L12" s="4">
        <v>2154.3813332899999</v>
      </c>
      <c r="M12" s="4">
        <v>203.88922180061007</v>
      </c>
      <c r="N12" s="4">
        <v>4.525112821671291</v>
      </c>
      <c r="O12" s="4">
        <v>2362.7956679122813</v>
      </c>
      <c r="P12" s="4">
        <v>3203.5111800599984</v>
      </c>
      <c r="Q12" s="11">
        <f t="shared" si="1"/>
        <v>73.756435832636257</v>
      </c>
    </row>
    <row r="13" spans="1:17" s="6" customFormat="1" ht="30" customHeight="1" x14ac:dyDescent="0.25">
      <c r="A13" s="14">
        <v>45597</v>
      </c>
      <c r="B13" s="9">
        <v>109520</v>
      </c>
      <c r="C13" s="9">
        <v>243734.7403333335</v>
      </c>
      <c r="D13" s="9">
        <v>138982.704</v>
      </c>
      <c r="E13" s="9">
        <v>16965606</v>
      </c>
      <c r="F13" s="9">
        <v>24013.785577000002</v>
      </c>
      <c r="G13" s="9">
        <v>27601.553125999995</v>
      </c>
      <c r="H13" s="12">
        <f t="shared" si="0"/>
        <v>87.001573670068581</v>
      </c>
      <c r="I13" s="10">
        <v>80482.32326081369</v>
      </c>
      <c r="J13" s="10">
        <v>3618.3356144193017</v>
      </c>
      <c r="K13" s="10">
        <v>84100.658875232999</v>
      </c>
      <c r="L13" s="10">
        <v>2233.6434634770017</v>
      </c>
      <c r="M13" s="10">
        <v>174.40592265178506</v>
      </c>
      <c r="N13" s="10">
        <v>4.5564907166655129</v>
      </c>
      <c r="O13" s="10">
        <v>2412.6058768454532</v>
      </c>
      <c r="P13" s="10">
        <v>3044.8435239659984</v>
      </c>
      <c r="Q13" s="12">
        <f t="shared" si="1"/>
        <v>79.23579185123323</v>
      </c>
    </row>
    <row r="14" spans="1:17" ht="30" customHeight="1" x14ac:dyDescent="0.25">
      <c r="A14" s="15">
        <v>45627</v>
      </c>
      <c r="B14" s="3">
        <v>115268</v>
      </c>
      <c r="C14" s="3">
        <v>260371.8536666666</v>
      </c>
      <c r="D14" s="3">
        <v>148814.54364954779</v>
      </c>
      <c r="E14" s="3">
        <v>17878309</v>
      </c>
      <c r="F14" s="3">
        <v>25490.678463655582</v>
      </c>
      <c r="G14" s="3">
        <v>29454.869930149958</v>
      </c>
      <c r="H14" s="11">
        <f t="shared" si="0"/>
        <v>86.541473529181545</v>
      </c>
      <c r="I14" s="4">
        <v>89799.213438765204</v>
      </c>
      <c r="J14" s="4">
        <v>4432.8840424335731</v>
      </c>
      <c r="K14" s="4">
        <v>94232.097481198769</v>
      </c>
      <c r="L14" s="4">
        <v>2361.0217241599466</v>
      </c>
      <c r="M14" s="4">
        <v>200.19292843834836</v>
      </c>
      <c r="N14" s="4">
        <v>5.5911082037292852</v>
      </c>
      <c r="O14" s="4">
        <v>2566.8057608020245</v>
      </c>
      <c r="P14" s="4">
        <v>3197.5602111209541</v>
      </c>
      <c r="Q14" s="11">
        <f t="shared" si="1"/>
        <v>80.273883565188314</v>
      </c>
    </row>
    <row r="15" spans="1:17" s="6" customFormat="1" ht="30" customHeight="1" x14ac:dyDescent="0.25">
      <c r="A15" s="14">
        <v>45658</v>
      </c>
      <c r="B15" s="9">
        <v>114970</v>
      </c>
      <c r="C15" s="9">
        <v>260568.91066666637</v>
      </c>
      <c r="D15" s="9">
        <v>149262.20203226633</v>
      </c>
      <c r="E15" s="9">
        <v>17804249</v>
      </c>
      <c r="F15" s="9">
        <v>25933.662400385772</v>
      </c>
      <c r="G15" s="9">
        <v>29639.57347001458</v>
      </c>
      <c r="H15" s="12">
        <f t="shared" si="0"/>
        <v>87.496746289625378</v>
      </c>
      <c r="I15" s="10">
        <v>85297.981287168426</v>
      </c>
      <c r="J15" s="10">
        <v>4423.2420212435991</v>
      </c>
      <c r="K15" s="10">
        <v>89721.223308412038</v>
      </c>
      <c r="L15" s="10">
        <v>2416.638302861596</v>
      </c>
      <c r="M15" s="10">
        <v>180.55000964255319</v>
      </c>
      <c r="N15" s="10">
        <v>5.4893721936408051</v>
      </c>
      <c r="O15" s="10">
        <v>2602.6776846977905</v>
      </c>
      <c r="P15" s="10">
        <v>3215.9433821453258</v>
      </c>
      <c r="Q15" s="12">
        <f t="shared" si="1"/>
        <v>80.93045726947993</v>
      </c>
    </row>
    <row r="16" spans="1:17" ht="30" customHeight="1" x14ac:dyDescent="0.25">
      <c r="A16" s="15">
        <v>45689</v>
      </c>
      <c r="B16" s="3">
        <v>107277</v>
      </c>
      <c r="C16" s="3">
        <v>242526.04263333339</v>
      </c>
      <c r="D16" s="3">
        <v>138208.80668533134</v>
      </c>
      <c r="E16" s="3">
        <v>16895415</v>
      </c>
      <c r="F16" s="3">
        <v>24282.613841522314</v>
      </c>
      <c r="G16" s="3">
        <v>27420.013036479635</v>
      </c>
      <c r="H16" s="11">
        <f t="shared" si="0"/>
        <v>88.557995246817285</v>
      </c>
      <c r="I16" s="4">
        <v>78721.881549999991</v>
      </c>
      <c r="J16" s="4">
        <v>3959.4771131785428</v>
      </c>
      <c r="K16" s="4">
        <v>82681.358663178529</v>
      </c>
      <c r="L16" s="4">
        <v>2249.1498269824042</v>
      </c>
      <c r="M16" s="4">
        <v>176.72060060765821</v>
      </c>
      <c r="N16" s="4">
        <v>4.8472716595999996</v>
      </c>
      <c r="O16" s="4">
        <v>2430.7176992496629</v>
      </c>
      <c r="P16" s="4">
        <v>2968.6451066966256</v>
      </c>
      <c r="Q16" s="11">
        <f t="shared" si="1"/>
        <v>81.879699724513586</v>
      </c>
    </row>
    <row r="17" spans="1:17" s="6" customFormat="1" ht="30" customHeight="1" x14ac:dyDescent="0.25">
      <c r="A17" s="14">
        <v>45717</v>
      </c>
      <c r="B17" s="9">
        <v>119124</v>
      </c>
      <c r="C17" s="9">
        <v>267824.34600000019</v>
      </c>
      <c r="D17" s="9">
        <v>152858.3898517639</v>
      </c>
      <c r="E17" s="9">
        <v>17371391</v>
      </c>
      <c r="F17" s="9">
        <v>24731.605502777918</v>
      </c>
      <c r="G17" s="9">
        <v>30250.338245411946</v>
      </c>
      <c r="H17" s="12">
        <f t="shared" si="0"/>
        <v>81.756459389438234</v>
      </c>
      <c r="I17" s="10">
        <v>93085.472310000012</v>
      </c>
      <c r="J17" s="10">
        <v>3808.8522317992324</v>
      </c>
      <c r="K17" s="10">
        <v>96894.324541799258</v>
      </c>
      <c r="L17" s="10">
        <v>2277.8645702392514</v>
      </c>
      <c r="M17" s="10">
        <v>209.10125813233296</v>
      </c>
      <c r="N17" s="10">
        <v>4.9603540111595699</v>
      </c>
      <c r="O17" s="10">
        <v>2491.9261823827442</v>
      </c>
      <c r="P17" s="10">
        <v>3260.0765944852787</v>
      </c>
      <c r="Q17" s="12">
        <f t="shared" si="1"/>
        <v>76.437657526147333</v>
      </c>
    </row>
    <row r="18" spans="1:17" ht="30" customHeight="1" x14ac:dyDescent="0.25">
      <c r="A18" s="2" t="s">
        <v>23</v>
      </c>
      <c r="B18" s="7">
        <f>SUM(B6:B17)</f>
        <v>1319646</v>
      </c>
      <c r="C18" s="7">
        <f t="shared" ref="C18:G18" si="2">SUM(C6:C17)</f>
        <v>2934184.718716667</v>
      </c>
      <c r="D18" s="7">
        <f t="shared" si="2"/>
        <v>1689337.7852189091</v>
      </c>
      <c r="E18" s="7">
        <f t="shared" si="2"/>
        <v>198095914</v>
      </c>
      <c r="F18" s="7">
        <f t="shared" si="2"/>
        <v>282604.24827216135</v>
      </c>
      <c r="G18" s="7">
        <f t="shared" si="2"/>
        <v>333524.47660510259</v>
      </c>
      <c r="H18" s="8">
        <f t="shared" si="0"/>
        <v>84.732686233031259</v>
      </c>
      <c r="I18" s="8">
        <f>SUM(I6:I17)</f>
        <v>1040277.4391767472</v>
      </c>
      <c r="J18" s="8">
        <f t="shared" ref="J18:P18" si="3">SUM(J6:J17)</f>
        <v>45504.641686003371</v>
      </c>
      <c r="K18" s="8">
        <f t="shared" si="3"/>
        <v>1085782.0808627505</v>
      </c>
      <c r="L18" s="8">
        <f t="shared" si="3"/>
        <v>26076.679977029977</v>
      </c>
      <c r="M18" s="8">
        <f t="shared" si="3"/>
        <v>2290.3390165835076</v>
      </c>
      <c r="N18" s="8">
        <f t="shared" si="3"/>
        <v>58.887594617394356</v>
      </c>
      <c r="O18" s="8">
        <f t="shared" si="3"/>
        <v>28425.906588230886</v>
      </c>
      <c r="P18" s="8">
        <f t="shared" si="3"/>
        <v>37281.755302377547</v>
      </c>
      <c r="Q18" s="8">
        <f t="shared" si="1"/>
        <v>76.246159435572764</v>
      </c>
    </row>
    <row r="19" spans="1:17" x14ac:dyDescent="0.25">
      <c r="A19" s="18" t="s">
        <v>19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24" right="0.25" top="0.48" bottom="0.74803149606299213" header="0.31496062992125984" footer="0.31496062992125984"/>
  <pageSetup paperSize="9" scale="8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1.03</vt:lpstr>
      <vt:lpstr>'1.03'!Print_Area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2022-04-25T11:07:37Z</cp:lastPrinted>
  <dcterms:created xsi:type="dcterms:W3CDTF">2018-10-29T04:00:10Z</dcterms:created>
  <dcterms:modified xsi:type="dcterms:W3CDTF">2025-11-20T07:28:45Z</dcterms:modified>
</cp:coreProperties>
</file>