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2 All Scheduled Indian Airlines Air Transport Operating and Traffic Statistics\"/>
    </mc:Choice>
  </mc:AlternateContent>
  <bookViews>
    <workbookView showHorizontalScroll="0" showVerticalScroll="0" xWindow="0" yWindow="0" windowWidth="13140" windowHeight="10635"/>
  </bookViews>
  <sheets>
    <sheet name="2.04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F17" i="2"/>
  <c r="G17" i="2"/>
  <c r="H17" i="2"/>
  <c r="I17" i="2"/>
  <c r="J17" i="2"/>
  <c r="K17" i="2"/>
  <c r="L17" i="2"/>
  <c r="M17" i="2"/>
  <c r="N17" i="2"/>
  <c r="O17" i="2"/>
  <c r="P17" i="2"/>
  <c r="Q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D17" i="2"/>
  <c r="D18" i="2"/>
  <c r="C17" i="2"/>
  <c r="C18" i="2"/>
  <c r="B18" i="2"/>
  <c r="B17" i="2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<sst xmlns="http://schemas.openxmlformats.org/spreadsheetml/2006/main" count="39" uniqueCount="37">
  <si>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</si>
  <si>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</si>
  <si>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</si>
  <si>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</si>
  <si>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</si>
  <si>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</si>
  <si>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</si>
  <si>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</si>
  <si>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</si>
  <si>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</si>
  <si>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</si>
  <si>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</si>
  <si>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</si>
  <si>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</si>
  <si>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</si>
  <si>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</si>
  <si>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</si>
  <si>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</si>
  <si>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</si>
  <si>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</si>
  <si>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</si>
  <si>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</si>
  <si>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</si>
  <si>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</si>
  <si>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2018-19</t>
  </si>
  <si>
    <t>2019-20</t>
  </si>
  <si>
    <t>YEAR ON YEAR GROWTH AND CAGR FOR LAST TEN YEARS OF ALL SCHEDULED INDIAN AIRLINES ON SCHEDULED DOMESTIC SERVICES (ALL AIR TRAFFIC AND OPERATING STATISTICS)</t>
  </si>
  <si>
    <t>2020-21</t>
  </si>
  <si>
    <t>2021-22</t>
  </si>
  <si>
    <t>2022-23</t>
  </si>
  <si>
    <t>2023-24</t>
  </si>
  <si>
    <t>YOY growth</t>
  </si>
  <si>
    <t>CAGR last 10 years</t>
  </si>
  <si>
    <t xml:space="preserve">तालिका - 2.04 (सभी अनुसूचित भारतीय एयरलाइन्स) </t>
  </si>
  <si>
    <t>TABLE - 2.04 (ALL SCHEDULED INDIAN AIRLINES)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</si>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</sst>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3" borderId="2" applyNumberFormat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6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165" fontId="3" fillId="5" borderId="1" xfId="4" applyNumberFormat="1" applyFill="1" applyBorder="1" applyAlignment="1" applyProtection="1">
      <alignment horizontal="center" vertical="center" wrapText="1"/>
    </xf>
    <xf numFmtId="165" fontId="2" fillId="2" borderId="1" xfId="4" applyNumberFormat="1" applyFont="1" applyFill="1" applyBorder="1" applyAlignment="1" applyProtection="1">
      <alignment horizontal="center" vertical="center" wrapText="1"/>
    </xf>
    <xf numFmtId="0" fontId="2" fillId="4" borderId="1" xfId="2" applyFont="1" applyBorder="1" applyAlignment="1" applyProtection="1">
      <alignment horizontal="center" vertical="center" textRotation="90" wrapText="1"/>
    </xf>
    <xf numFmtId="0" fontId="0" fillId="5" borderId="1" xfId="3" applyFont="1" applyBorder="1" applyAlignment="1" applyProtection="1">
      <alignment horizontal="center" vertical="center" wrapText="1"/>
    </xf>
    <xf numFmtId="17" fontId="3" fillId="6" borderId="1" xfId="6" applyNumberFormat="1" applyFont="1" applyBorder="1" applyAlignment="1" applyProtection="1">
      <alignment horizontal="center" vertical="center" wrapText="1"/>
    </xf>
    <xf numFmtId="166" fontId="3" fillId="6" borderId="1" xfId="6" applyNumberFormat="1" applyBorder="1" applyAlignment="1">
      <alignment horizontal="right" vertical="center"/>
    </xf>
    <xf numFmtId="167" fontId="3" fillId="6" borderId="1" xfId="6" applyNumberFormat="1" applyBorder="1" applyAlignment="1">
      <alignment horizontal="right" vertical="center"/>
    </xf>
    <xf numFmtId="17" fontId="3" fillId="7" borderId="1" xfId="6" applyNumberFormat="1" applyFont="1" applyFill="1" applyBorder="1" applyAlignment="1" applyProtection="1">
      <alignment horizontal="center" vertical="center" wrapText="1"/>
    </xf>
    <xf numFmtId="166" fontId="0" fillId="0" borderId="1" xfId="5" applyNumberFormat="1" applyFont="1" applyBorder="1" applyAlignment="1">
      <alignment horizontal="right" vertical="center"/>
    </xf>
    <xf numFmtId="167" fontId="0" fillId="0" borderId="1" xfId="5" applyNumberFormat="1" applyFont="1" applyBorder="1" applyAlignment="1">
      <alignment horizontal="right" vertical="center"/>
    </xf>
    <xf numFmtId="17" fontId="0" fillId="6" borderId="1" xfId="6" applyNumberFormat="1" applyFont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2" fillId="4" borderId="1" xfId="2" applyFont="1" applyBorder="1" applyAlignment="1" applyProtection="1">
      <alignment horizontal="center" vertical="center" textRotation="90" wrapText="1"/>
    </xf>
    <xf numFmtId="0" fontId="2" fillId="4" borderId="1" xfId="2" applyFont="1" applyBorder="1" applyAlignment="1">
      <alignment textRotation="90"/>
    </xf>
    <xf numFmtId="0" fontId="1" fillId="2" borderId="3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left" vertical="center"/>
    </xf>
    <xf numFmtId="0" fontId="2" fillId="3" borderId="2" xfId="1" applyFont="1" applyAlignment="1">
      <alignment horizontal="center" vertical="center" wrapText="1"/>
    </xf>
    <xf numFmtId="0" fontId="2" fillId="3" borderId="2" xfId="1" quotePrefix="1" applyFont="1" applyAlignment="1" applyProtection="1">
      <alignment horizontal="center" vertical="center" wrapText="1"/>
    </xf>
    <xf numFmtId="0" fontId="2" fillId="3" borderId="2" xfId="1" applyFont="1"/>
    <xf numFmtId="0" fontId="2" fillId="4" borderId="1" xfId="2" applyFont="1" applyBorder="1" applyAlignment="1" applyProtection="1">
      <alignment horizontal="center" vertical="center" wrapText="1"/>
    </xf>
    <xf numFmtId="0" fontId="2" fillId="4" borderId="1" xfId="2" applyFont="1" applyBorder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topLeftCell="D1" zoomScale="85" zoomScaleNormal="100" zoomScaleSheetLayoutView="85" workbookViewId="0">
      <selection activeCell="P25" sqref="P25"/>
    </sheetView>
  </sheetViews>
  <sheetFormatPr defaultRowHeight="15" x14ac:dyDescent="0.25"/>
  <cols>
    <col min="1" max="1" width="11" customWidth="1"/>
    <col min="2" max="2" width="10.7109375" customWidth="1"/>
    <col min="3" max="3" width="11.42578125" customWidth="1"/>
    <col min="4" max="4" width="10.85546875" customWidth="1"/>
    <col min="5" max="5" width="13.5703125" customWidth="1"/>
    <col min="6" max="6" width="10" customWidth="1"/>
    <col min="7" max="7" width="9.7109375" customWidth="1"/>
    <col min="8" max="8" width="6.42578125" customWidth="1"/>
    <col min="9" max="9" width="10.7109375" customWidth="1"/>
    <col min="10" max="10" width="9.5703125" customWidth="1"/>
    <col min="11" max="11" width="10.85546875" customWidth="1"/>
    <col min="12" max="12" width="12.42578125" customWidth="1"/>
    <col min="13" max="13" width="8.28515625" customWidth="1"/>
    <col min="14" max="14" width="7.85546875" customWidth="1"/>
    <col min="15" max="15" width="9.7109375" customWidth="1"/>
    <col min="16" max="16" width="13.42578125" customWidth="1"/>
    <col min="17" max="17" width="6" customWidth="1"/>
  </cols>
  <sheetData>
    <row r="1" spans="1:17" x14ac:dyDescent="0.25">
      <c r="A1" s="21" t="s">
        <v>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25">
      <c r="A2" s="22" t="s">
        <v>34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32.25" customHeight="1" x14ac:dyDescent="0.25">
      <c r="A3" s="24" t="s">
        <v>26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25.5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6" t="s">
        <v>3</v>
      </c>
      <c r="H4" s="16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6" t="s">
        <v>7</v>
      </c>
      <c r="Q4" s="16" t="s">
        <v>8</v>
      </c>
    </row>
    <row r="5" spans="1:17" ht="104.25" customHeight="1" x14ac:dyDescent="0.25">
      <c r="A5" s="24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7"/>
      <c r="H5" s="17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7"/>
      <c r="Q5" s="17"/>
    </row>
    <row r="6" spans="1:17" s="1" customFormat="1" ht="20.100000000000001" customHeight="1" x14ac:dyDescent="0.25">
      <c r="A6" s="7" t="s">
        <v>19</v>
      </c>
      <c r="B6" s="8">
        <v>616920</v>
      </c>
      <c r="C6" s="8">
        <v>1012898.6199999999</v>
      </c>
      <c r="D6" s="8">
        <v>528582.15100000007</v>
      </c>
      <c r="E6" s="8">
        <v>70083961</v>
      </c>
      <c r="F6" s="8">
        <v>67023.209906000062</v>
      </c>
      <c r="G6" s="8">
        <v>84805.46082600001</v>
      </c>
      <c r="H6" s="9">
        <v>79.031714766004555</v>
      </c>
      <c r="I6" s="9">
        <v>564539.79200000002</v>
      </c>
      <c r="J6" s="9">
        <v>27379</v>
      </c>
      <c r="K6" s="9">
        <v>591918.79200000002</v>
      </c>
      <c r="L6" s="9">
        <v>5841.8371040000011</v>
      </c>
      <c r="M6" s="9">
        <v>633.06448399999988</v>
      </c>
      <c r="N6" s="9">
        <v>27.327000000000005</v>
      </c>
      <c r="O6" s="9">
        <v>6502.2285880000009</v>
      </c>
      <c r="P6" s="9">
        <v>8889.588200000002</v>
      </c>
      <c r="Q6" s="9">
        <v>73.144317168707545</v>
      </c>
    </row>
    <row r="7" spans="1:17" s="1" customFormat="1" ht="20.100000000000001" customHeight="1" x14ac:dyDescent="0.25">
      <c r="A7" s="10" t="s">
        <v>20</v>
      </c>
      <c r="B7" s="11">
        <v>699921</v>
      </c>
      <c r="C7" s="11">
        <v>1160022.6960000002</v>
      </c>
      <c r="D7" s="11">
        <v>624853.27600000007</v>
      </c>
      <c r="E7" s="11">
        <v>85197675</v>
      </c>
      <c r="F7" s="11">
        <v>80965.882337000003</v>
      </c>
      <c r="G7" s="11">
        <v>97728.035216000018</v>
      </c>
      <c r="H7" s="12">
        <v>82.848163434420798</v>
      </c>
      <c r="I7" s="12">
        <v>590793.71669999999</v>
      </c>
      <c r="J7" s="12">
        <v>32770.949925000008</v>
      </c>
      <c r="K7" s="12">
        <v>623564.66662499995</v>
      </c>
      <c r="L7" s="12">
        <v>7037.1620817349985</v>
      </c>
      <c r="M7" s="12">
        <v>663.94372766500021</v>
      </c>
      <c r="N7" s="12">
        <v>34.01010999999999</v>
      </c>
      <c r="O7" s="12">
        <v>7735.1159193999993</v>
      </c>
      <c r="P7" s="12">
        <v>10501.916390585002</v>
      </c>
      <c r="Q7" s="12">
        <v>73.654327759974876</v>
      </c>
    </row>
    <row r="8" spans="1:17" s="1" customFormat="1" ht="20.100000000000001" customHeight="1" x14ac:dyDescent="0.25">
      <c r="A8" s="7" t="s">
        <v>21</v>
      </c>
      <c r="B8" s="8">
        <v>810194</v>
      </c>
      <c r="C8" s="8">
        <v>1359242.1113</v>
      </c>
      <c r="D8" s="8">
        <v>721348.56200000027</v>
      </c>
      <c r="E8" s="8">
        <v>103748598</v>
      </c>
      <c r="F8" s="8">
        <v>98641.198876000009</v>
      </c>
      <c r="G8" s="8">
        <v>116944.84715400006</v>
      </c>
      <c r="H8" s="9">
        <v>84.348478172880334</v>
      </c>
      <c r="I8" s="9">
        <v>601798.28399999999</v>
      </c>
      <c r="J8" s="9">
        <v>35999.18</v>
      </c>
      <c r="K8" s="9">
        <v>637797.46400000004</v>
      </c>
      <c r="L8" s="9">
        <v>8557.4469480000007</v>
      </c>
      <c r="M8" s="9">
        <v>675.51252199999999</v>
      </c>
      <c r="N8" s="9">
        <v>36.364746999999994</v>
      </c>
      <c r="O8" s="9">
        <v>9269.3242170000012</v>
      </c>
      <c r="P8" s="9">
        <v>12595.923799779996</v>
      </c>
      <c r="Q8" s="9">
        <v>73.589872123249123</v>
      </c>
    </row>
    <row r="9" spans="1:17" s="1" customFormat="1" ht="20.100000000000001" customHeight="1" x14ac:dyDescent="0.25">
      <c r="A9" s="10" t="s">
        <v>22</v>
      </c>
      <c r="B9" s="11">
        <v>922339</v>
      </c>
      <c r="C9" s="11">
        <v>1565387.78993</v>
      </c>
      <c r="D9" s="11">
        <v>826155.44800000021</v>
      </c>
      <c r="E9" s="11">
        <v>123315916</v>
      </c>
      <c r="F9" s="11">
        <v>117041.70689099999</v>
      </c>
      <c r="G9" s="11">
        <v>134541.20041199998</v>
      </c>
      <c r="H9" s="12">
        <v>86.993208424325047</v>
      </c>
      <c r="I9" s="12">
        <v>660016.33749999967</v>
      </c>
      <c r="J9" s="12">
        <v>36513.440299999995</v>
      </c>
      <c r="K9" s="12">
        <v>696529.77779999969</v>
      </c>
      <c r="L9" s="12">
        <v>10184.313995500004</v>
      </c>
      <c r="M9" s="12">
        <v>754.63844899999992</v>
      </c>
      <c r="N9" s="12">
        <v>37.229360100000008</v>
      </c>
      <c r="O9" s="12">
        <v>10976.181804600004</v>
      </c>
      <c r="P9" s="12">
        <v>14590.537565000001</v>
      </c>
      <c r="Q9" s="12">
        <v>75.228083651488163</v>
      </c>
    </row>
    <row r="10" spans="1:17" s="1" customFormat="1" ht="20.100000000000001" customHeight="1" x14ac:dyDescent="0.25">
      <c r="A10" s="7" t="s">
        <v>24</v>
      </c>
      <c r="B10" s="8">
        <v>1054821</v>
      </c>
      <c r="C10" s="8">
        <v>1838009.1303299996</v>
      </c>
      <c r="D10" s="8">
        <v>962163.69799999997</v>
      </c>
      <c r="E10" s="8">
        <v>140333572</v>
      </c>
      <c r="F10" s="8">
        <v>134881.03724999999</v>
      </c>
      <c r="G10" s="8">
        <v>156783.807137</v>
      </c>
      <c r="H10" s="9">
        <v>86.029954057780316</v>
      </c>
      <c r="I10" s="9">
        <v>721575.42956999992</v>
      </c>
      <c r="J10" s="9">
        <v>39369.031309999998</v>
      </c>
      <c r="K10" s="9">
        <v>760944.46088000003</v>
      </c>
      <c r="L10" s="9">
        <v>11863.3389111998</v>
      </c>
      <c r="M10" s="9">
        <v>818.10314708999999</v>
      </c>
      <c r="N10" s="9">
        <v>39.887461066</v>
      </c>
      <c r="O10" s="9">
        <v>12721.329108755801</v>
      </c>
      <c r="P10" s="9">
        <v>17249.243536575999</v>
      </c>
      <c r="Q10" s="9">
        <v>73.750069571346572</v>
      </c>
    </row>
    <row r="11" spans="1:17" s="1" customFormat="1" ht="20.100000000000001" customHeight="1" x14ac:dyDescent="0.25">
      <c r="A11" s="10" t="s">
        <v>25</v>
      </c>
      <c r="B11" s="11">
        <v>1054823</v>
      </c>
      <c r="C11" s="11">
        <v>1795402.7220000001</v>
      </c>
      <c r="D11" s="11">
        <v>969633.71090000006</v>
      </c>
      <c r="E11" s="11">
        <v>141202179</v>
      </c>
      <c r="F11" s="11">
        <v>136682.72716900002</v>
      </c>
      <c r="G11" s="11">
        <v>158570.873123</v>
      </c>
      <c r="H11" s="12">
        <v>86.196616362816002</v>
      </c>
      <c r="I11" s="12">
        <v>703494.83584605309</v>
      </c>
      <c r="J11" s="12">
        <v>25959.876199999999</v>
      </c>
      <c r="K11" s="12">
        <v>729454.71004605305</v>
      </c>
      <c r="L11" s="12">
        <v>12109.815869753575</v>
      </c>
      <c r="M11" s="12">
        <v>786.13279887401995</v>
      </c>
      <c r="N11" s="12">
        <v>25.704592522799999</v>
      </c>
      <c r="O11" s="12">
        <v>12921.653261150394</v>
      </c>
      <c r="P11" s="12">
        <v>19117.874774457403</v>
      </c>
      <c r="Q11" s="12">
        <v>67.589381213096317</v>
      </c>
    </row>
    <row r="12" spans="1:17" s="1" customFormat="1" ht="20.100000000000001" customHeight="1" x14ac:dyDescent="0.25">
      <c r="A12" s="7" t="s">
        <v>27</v>
      </c>
      <c r="B12" s="8">
        <v>490546</v>
      </c>
      <c r="C12" s="8">
        <v>856553.55599999998</v>
      </c>
      <c r="D12" s="8">
        <v>467117.90558279573</v>
      </c>
      <c r="E12" s="8">
        <v>53330502</v>
      </c>
      <c r="F12" s="8">
        <v>52930.110834999992</v>
      </c>
      <c r="G12" s="8">
        <v>77350.247313999993</v>
      </c>
      <c r="H12" s="9">
        <v>68.429142340208031</v>
      </c>
      <c r="I12" s="9">
        <v>443960.48894786939</v>
      </c>
      <c r="J12" s="9">
        <v>23638.393089999998</v>
      </c>
      <c r="K12" s="9">
        <v>467598.88203786942</v>
      </c>
      <c r="L12" s="9">
        <v>4623.3275277296598</v>
      </c>
      <c r="M12" s="9">
        <v>497.8324524021001</v>
      </c>
      <c r="N12" s="9">
        <v>21.450319316379993</v>
      </c>
      <c r="O12" s="9">
        <v>5142.6102994481398</v>
      </c>
      <c r="P12" s="9">
        <v>8188.4962663520973</v>
      </c>
      <c r="Q12" s="9">
        <v>62.80286553442037</v>
      </c>
    </row>
    <row r="13" spans="1:17" s="1" customFormat="1" ht="20.100000000000001" customHeight="1" x14ac:dyDescent="0.25">
      <c r="A13" s="10" t="s">
        <v>28</v>
      </c>
      <c r="B13" s="11">
        <v>729770</v>
      </c>
      <c r="C13" s="11">
        <v>1236019.6529999999</v>
      </c>
      <c r="D13" s="11">
        <v>688368.46990000003</v>
      </c>
      <c r="E13" s="11">
        <v>84184459</v>
      </c>
      <c r="F13" s="11">
        <v>81778.470096000005</v>
      </c>
      <c r="G13" s="11">
        <v>111455.119966</v>
      </c>
      <c r="H13" s="12">
        <v>73.373453028400121</v>
      </c>
      <c r="I13" s="12">
        <v>580699.63707000006</v>
      </c>
      <c r="J13" s="12">
        <v>24549.987406980134</v>
      </c>
      <c r="K13" s="12">
        <v>605249.62447698007</v>
      </c>
      <c r="L13" s="12">
        <v>7136.0584655769981</v>
      </c>
      <c r="M13" s="12">
        <v>692.68529447611013</v>
      </c>
      <c r="N13" s="12">
        <v>25.935009247016367</v>
      </c>
      <c r="O13" s="12">
        <v>7854.6787693001243</v>
      </c>
      <c r="P13" s="12">
        <v>12435.881054461001</v>
      </c>
      <c r="Q13" s="12">
        <v>63.161417634197235</v>
      </c>
    </row>
    <row r="14" spans="1:17" s="1" customFormat="1" ht="20.100000000000001" customHeight="1" x14ac:dyDescent="0.25">
      <c r="A14" s="7" t="s">
        <v>29</v>
      </c>
      <c r="B14" s="8">
        <v>1007721</v>
      </c>
      <c r="C14" s="8">
        <v>1734203.8892333333</v>
      </c>
      <c r="D14" s="8">
        <v>928833.01707466668</v>
      </c>
      <c r="E14" s="8">
        <v>136028656</v>
      </c>
      <c r="F14" s="8">
        <v>132092.12546299997</v>
      </c>
      <c r="G14" s="8">
        <v>158349.25248680002</v>
      </c>
      <c r="H14" s="9">
        <v>83.418218519226144</v>
      </c>
      <c r="I14" s="9">
        <v>664731.99571399996</v>
      </c>
      <c r="J14" s="9">
        <v>33357.760206285246</v>
      </c>
      <c r="K14" s="9">
        <v>698089.75592028524</v>
      </c>
      <c r="L14" s="9">
        <v>11585.871088311684</v>
      </c>
      <c r="M14" s="9">
        <v>878.77364987663043</v>
      </c>
      <c r="N14" s="9">
        <v>33.817255732290739</v>
      </c>
      <c r="O14" s="9">
        <v>12498.461993920604</v>
      </c>
      <c r="P14" s="9">
        <v>17644.742320375</v>
      </c>
      <c r="Q14" s="9">
        <v>70.833916228338424</v>
      </c>
    </row>
    <row r="15" spans="1:17" ht="20.100000000000001" customHeight="1" x14ac:dyDescent="0.25">
      <c r="A15" s="10" t="s">
        <v>30</v>
      </c>
      <c r="B15" s="11">
        <v>1063100</v>
      </c>
      <c r="C15" s="11">
        <v>1771659.4139999989</v>
      </c>
      <c r="D15" s="11">
        <v>957488.5919</v>
      </c>
      <c r="E15" s="11">
        <v>153674682</v>
      </c>
      <c r="F15" s="11">
        <v>148251.62183659998</v>
      </c>
      <c r="G15" s="11">
        <v>169289.77230686665</v>
      </c>
      <c r="H15" s="12">
        <v>87.572698466312886</v>
      </c>
      <c r="I15" s="12">
        <v>714883.49427234405</v>
      </c>
      <c r="J15" s="12">
        <v>45511.579552543531</v>
      </c>
      <c r="K15" s="12">
        <v>760395.07382488763</v>
      </c>
      <c r="L15" s="12">
        <v>13001.899135664</v>
      </c>
      <c r="M15" s="12">
        <v>1139.4505222029497</v>
      </c>
      <c r="N15" s="12">
        <v>51.809674789226101</v>
      </c>
      <c r="O15" s="12">
        <v>14193.159332656178</v>
      </c>
      <c r="P15" s="12">
        <v>19274.311961121999</v>
      </c>
      <c r="Q15" s="12">
        <v>73.637696057049155</v>
      </c>
    </row>
    <row r="16" spans="1:17" ht="20.100000000000001" customHeight="1" x14ac:dyDescent="0.25">
      <c r="A16" s="13" t="s">
        <v>35</v>
      </c>
      <c r="B16" s="8">
        <v>1141441</v>
      </c>
      <c r="C16" s="8">
        <v>2037395.6818200003</v>
      </c>
      <c r="D16" s="8">
        <v>1031453.8878930215</v>
      </c>
      <c r="E16" s="8">
        <v>165541692</v>
      </c>
      <c r="F16" s="8">
        <v>160543.51768958458</v>
      </c>
      <c r="G16" s="8">
        <v>185797.54008084178</v>
      </c>
      <c r="H16" s="9">
        <v>86.407773547341378</v>
      </c>
      <c r="I16" s="9">
        <v>745708.91578312148</v>
      </c>
      <c r="J16" s="9">
        <v>43090.886975417983</v>
      </c>
      <c r="K16" s="9">
        <v>788799.80275853933</v>
      </c>
      <c r="L16" s="9">
        <v>14485.974681329266</v>
      </c>
      <c r="M16" s="9">
        <v>871.09590864941174</v>
      </c>
      <c r="N16" s="9">
        <v>40.973453276236434</v>
      </c>
      <c r="O16" s="9">
        <v>15398.044043254915</v>
      </c>
      <c r="P16" s="9">
        <v>20318.482070936785</v>
      </c>
      <c r="Q16" s="9">
        <v>75.783436919631015</v>
      </c>
    </row>
    <row r="17" spans="1:17" ht="25.5" customHeight="1" x14ac:dyDescent="0.25">
      <c r="A17" s="6" t="s">
        <v>31</v>
      </c>
      <c r="B17" s="3">
        <f>IFERROR(((B16-B15)/B15),"-")</f>
        <v>7.3691092089173169E-2</v>
      </c>
      <c r="C17" s="3">
        <f>IFERROR(((C16-C15)/C15),"-")</f>
        <v>0.14999286303005049</v>
      </c>
      <c r="D17" s="3">
        <f>IFERROR(((D16-D15)/D15),"-")</f>
        <v>7.7249271290269733E-2</v>
      </c>
      <c r="E17" s="3">
        <f t="shared" ref="E17:Q17" si="0">IFERROR(((E16-E15)/E15),"-")</f>
        <v>7.7221633684590937E-2</v>
      </c>
      <c r="F17" s="3">
        <f t="shared" si="0"/>
        <v>8.2912387066716095E-2</v>
      </c>
      <c r="G17" s="3">
        <f t="shared" si="0"/>
        <v>9.7511902515008242E-2</v>
      </c>
      <c r="H17" s="3">
        <f t="shared" si="0"/>
        <v>-1.3302375504845572E-2</v>
      </c>
      <c r="I17" s="3">
        <f t="shared" si="0"/>
        <v>4.3119503748164728E-2</v>
      </c>
      <c r="J17" s="3">
        <f t="shared" si="0"/>
        <v>-5.3188498420074316E-2</v>
      </c>
      <c r="K17" s="3">
        <f t="shared" si="0"/>
        <v>3.7355224818556701E-2</v>
      </c>
      <c r="L17" s="3">
        <f t="shared" si="0"/>
        <v>0.1141429825120294</v>
      </c>
      <c r="M17" s="3">
        <f t="shared" si="0"/>
        <v>-0.23551230029252718</v>
      </c>
      <c r="N17" s="3">
        <f t="shared" si="0"/>
        <v>-0.20915440131739788</v>
      </c>
      <c r="O17" s="3">
        <f t="shared" si="0"/>
        <v>8.489193155370918E-2</v>
      </c>
      <c r="P17" s="3">
        <f t="shared" si="0"/>
        <v>5.4174183333805637E-2</v>
      </c>
      <c r="Q17" s="3">
        <f t="shared" si="0"/>
        <v>2.9139163464857665E-2</v>
      </c>
    </row>
    <row r="18" spans="1:17" ht="30" x14ac:dyDescent="0.25">
      <c r="A18" s="2" t="s">
        <v>32</v>
      </c>
      <c r="B18" s="4">
        <f>IFERROR((((B16/B6)^(1/10))-1),"-")</f>
        <v>6.3463189266983244E-2</v>
      </c>
      <c r="C18" s="4">
        <f>IFERROR((((C16/C6)^(1/10))-1),"-")</f>
        <v>7.2385517403759758E-2</v>
      </c>
      <c r="D18" s="4">
        <f>IFERROR((((D16/D6)^(1/10))-1),"-")</f>
        <v>6.9137917603797838E-2</v>
      </c>
      <c r="E18" s="4">
        <f t="shared" ref="E18:Q18" si="1">IFERROR((((E16/E6)^(1/10))-1),"-")</f>
        <v>8.9755011879264268E-2</v>
      </c>
      <c r="F18" s="4">
        <f t="shared" si="1"/>
        <v>9.1281405147681793E-2</v>
      </c>
      <c r="G18" s="4">
        <f t="shared" si="1"/>
        <v>8.1587387142347811E-2</v>
      </c>
      <c r="H18" s="4">
        <f t="shared" si="1"/>
        <v>8.9627690934399595E-3</v>
      </c>
      <c r="I18" s="4">
        <f t="shared" si="1"/>
        <v>2.8223386936189865E-2</v>
      </c>
      <c r="J18" s="4">
        <f t="shared" si="1"/>
        <v>4.6397721181450358E-2</v>
      </c>
      <c r="K18" s="4">
        <f t="shared" si="1"/>
        <v>2.91305405226292E-2</v>
      </c>
      <c r="L18" s="4">
        <f t="shared" si="1"/>
        <v>9.506482211993017E-2</v>
      </c>
      <c r="M18" s="4">
        <f t="shared" si="1"/>
        <v>3.2432821345002916E-2</v>
      </c>
      <c r="N18" s="4">
        <f t="shared" si="1"/>
        <v>4.1336428014654869E-2</v>
      </c>
      <c r="O18" s="4">
        <f t="shared" si="1"/>
        <v>9.0034722604781958E-2</v>
      </c>
      <c r="P18" s="4">
        <f t="shared" si="1"/>
        <v>8.617789885261562E-2</v>
      </c>
      <c r="Q18" s="4">
        <f t="shared" si="1"/>
        <v>3.55082142275287E-3</v>
      </c>
    </row>
    <row r="19" spans="1:17" x14ac:dyDescent="0.25">
      <c r="A19" s="18" t="s">
        <v>23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  <row r="20" spans="1:17" ht="29.25" customHeight="1" x14ac:dyDescent="0.25">
      <c r="A20" s="14" t="s">
        <v>36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5" right="0.25" top="0.75" bottom="0.75" header="0.3" footer="0.3"/>
  <pageSetup paperSize="9" scale="5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2025-01-06T10:19:20Z</cp:lastPrinted>
  <dcterms:created xsi:type="dcterms:W3CDTF">2018-10-29T04:00:14Z</dcterms:created>
  <dcterms:modified xsi:type="dcterms:W3CDTF">2025-11-19T12:16:15Z</dcterms:modified>
</cp:coreProperties>
</file>