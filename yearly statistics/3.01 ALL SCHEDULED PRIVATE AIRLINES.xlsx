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Draft Annual Report 2024-25\03 All Scheduled Private Airlines Air Transport Operating and Traffic Statistics\"/>
    </mc:Choice>
  </mc:AlternateContent>
  <bookViews>
    <workbookView showHorizontalScroll="0" showVerticalScroll="0" showSheetTabs="0" xWindow="0" yWindow="0" windowWidth="17070" windowHeight="9660"/>
  </bookViews>
  <sheets>
    <sheet name="1.01" sheetId="1" r:id="rId1"/>
  </sheets>
  <definedNames>
    <definedName name="_xlnm.Print_Area" localSheetId="0">'1.01'!$A$1:$Q$19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7" i="1" l="1"/>
  <c r="Q16" i="1"/>
  <c r="Q15" i="1"/>
  <c r="Q14" i="1"/>
  <c r="Q13" i="1"/>
  <c r="Q12" i="1"/>
  <c r="Q11" i="1"/>
  <c r="Q10" i="1"/>
  <c r="Q9" i="1"/>
  <c r="Q8" i="1"/>
  <c r="Q7" i="1"/>
  <c r="Q6" i="1"/>
  <c r="H17" i="1"/>
  <c r="H16" i="1"/>
  <c r="H15" i="1"/>
  <c r="H14" i="1"/>
  <c r="H13" i="1"/>
  <c r="H12" i="1"/>
  <c r="H11" i="1"/>
  <c r="H10" i="1"/>
  <c r="H9" i="1"/>
  <c r="H8" i="1"/>
  <c r="H7" i="1"/>
  <c r="H6" i="1"/>
  <c r="P18" i="1" l="1"/>
  <c r="O18" i="1"/>
  <c r="Q18" i="1" s="1"/>
  <c r="N18" i="1"/>
  <c r="M18" i="1"/>
  <c r="L18" i="1"/>
  <c r="K18" i="1"/>
  <c r="J18" i="1"/>
  <c r="I18" i="1"/>
  <c r="G18" i="1"/>
  <c r="F18" i="1"/>
  <c r="H18" i="1" s="1"/>
  <c r="E18" i="1"/>
  <c r="D18" i="1"/>
  <c r="C18" i="1"/>
  <c r="B18" i="1"/>
</calcChain>
</file>

<file path=xl/sharedStrings.xml><?xml version="1.0" encoding="utf-8"?>
<sst xmlns="http://schemas.openxmlformats.org/spreadsheetml/2006/main" count="28" uniqueCount="25">
  <si>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</si>
  <si>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</si>
  <si>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</si>
  <si>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</si>
  <si>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</si>
  <si>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</si>
  <si>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</si>
  <si>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</si>
  <si>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</si>
  <si>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</si>
  <si>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</si>
  <si>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</si>
  <si>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</si>
  <si>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</si>
  <si>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</si>
  <si>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</si>
  <si>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</si>
  <si>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</si>
  <si>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</si>
  <si>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PRIVATE AIRLINES</t>
  </si>
  <si>
    <t xml:space="preserve">तालिका 3.01 (सभी अनुसूचित निजी एयरलाइन्स) </t>
  </si>
  <si>
    <t>Table 3.01 (ALL SCHEDULED PRIVATE AIRLINES)</t>
  </si>
  <si>
    <t>MONTHLY TRAFFIC AND OPERATING STATISTICS OF ALL SCHEDULED PRIVATE AIRLINES ON SCHEDULED DOMESTIC SERVICES DURING 2024-25</t>
  </si>
  <si>
    <t>2024-25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</si>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</sst>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  <numFmt numFmtId="168" formatCode="[$-409]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39">
    <xf numFmtId="0" fontId="0" fillId="0" borderId="0" xfId="0"/>
    <xf numFmtId="0" fontId="0" fillId="0" borderId="0" xfId="0" applyFont="1"/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6" fontId="3" fillId="4" borderId="1" xfId="3" applyNumberFormat="1" applyFont="1" applyBorder="1" applyAlignment="1">
      <alignment horizontal="right" vertical="center"/>
    </xf>
    <xf numFmtId="166" fontId="3" fillId="0" borderId="1" xfId="1" applyNumberFormat="1" applyFont="1" applyBorder="1" applyAlignment="1">
      <alignment horizontal="right" vertical="center"/>
    </xf>
    <xf numFmtId="166" fontId="3" fillId="6" borderId="1" xfId="3" applyNumberFormat="1" applyFill="1" applyBorder="1" applyAlignment="1">
      <alignment horizontal="right" vertical="center"/>
    </xf>
    <xf numFmtId="166" fontId="4" fillId="4" borderId="1" xfId="3" applyNumberFormat="1" applyFont="1" applyBorder="1" applyAlignment="1">
      <alignment horizontal="right" vertical="center"/>
    </xf>
    <xf numFmtId="165" fontId="0" fillId="4" borderId="1" xfId="3" applyNumberFormat="1" applyFont="1" applyBorder="1" applyAlignment="1">
      <alignment horizontal="right" vertical="center"/>
    </xf>
    <xf numFmtId="3" fontId="0" fillId="0" borderId="0" xfId="0" applyNumberFormat="1" applyFont="1"/>
    <xf numFmtId="167" fontId="0" fillId="0" borderId="0" xfId="0" applyNumberFormat="1" applyFont="1"/>
    <xf numFmtId="0" fontId="2" fillId="3" borderId="1" xfId="2" applyFont="1" applyBorder="1" applyAlignment="1" applyProtection="1">
      <alignment horizontal="center" vertical="center" textRotation="90" wrapText="1"/>
    </xf>
    <xf numFmtId="0" fontId="0" fillId="0" borderId="0" xfId="0" applyFont="1" applyAlignment="1">
      <alignment horizontal="center"/>
    </xf>
    <xf numFmtId="0" fontId="2" fillId="3" borderId="1" xfId="2" applyFont="1" applyBorder="1" applyAlignment="1" applyProtection="1">
      <alignment horizontal="center" vertical="center" textRotation="90"/>
    </xf>
    <xf numFmtId="0" fontId="2" fillId="3" borderId="5" xfId="2" applyFont="1" applyBorder="1" applyAlignment="1" applyProtection="1">
      <alignment horizontal="center" vertical="center" textRotation="90"/>
    </xf>
    <xf numFmtId="0" fontId="4" fillId="4" borderId="1" xfId="3" applyFont="1" applyBorder="1" applyAlignment="1" applyProtection="1">
      <alignment horizontal="center" vertical="center"/>
    </xf>
    <xf numFmtId="3" fontId="4" fillId="4" borderId="1" xfId="3" applyNumberFormat="1" applyFont="1" applyBorder="1" applyAlignment="1" applyProtection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/>
    </xf>
    <xf numFmtId="166" fontId="0" fillId="4" borderId="1" xfId="3" applyNumberFormat="1" applyFont="1" applyBorder="1" applyAlignment="1">
      <alignment horizontal="right" vertical="center"/>
    </xf>
    <xf numFmtId="166" fontId="0" fillId="6" borderId="1" xfId="0" applyNumberFormat="1" applyFont="1" applyFill="1" applyBorder="1" applyAlignment="1">
      <alignment vertical="center"/>
    </xf>
    <xf numFmtId="166" fontId="0" fillId="5" borderId="1" xfId="0" applyNumberFormat="1" applyFont="1" applyFill="1" applyBorder="1" applyAlignment="1">
      <alignment vertical="center"/>
    </xf>
    <xf numFmtId="168" fontId="3" fillId="4" borderId="1" xfId="3" applyNumberFormat="1" applyBorder="1" applyAlignment="1">
      <alignment horizontal="center" vertical="center"/>
    </xf>
    <xf numFmtId="168" fontId="0" fillId="0" borderId="1" xfId="1" applyNumberFormat="1" applyFont="1" applyBorder="1" applyAlignment="1">
      <alignment horizontal="center" vertical="center"/>
    </xf>
    <xf numFmtId="0" fontId="1" fillId="2" borderId="2" xfId="0" applyFont="1" applyFill="1" applyBorder="1" applyAlignment="1" applyProtection="1">
      <alignment horizontal="left" vertical="center" wrapText="1"/>
    </xf>
    <xf numFmtId="0" fontId="1" fillId="2" borderId="3" xfId="0" applyFont="1" applyFill="1" applyBorder="1" applyAlignment="1" applyProtection="1">
      <alignment horizontal="left" vertical="center" wrapText="1"/>
    </xf>
    <xf numFmtId="0" fontId="1" fillId="2" borderId="4" xfId="0" applyFont="1" applyFill="1" applyBorder="1" applyAlignment="1" applyProtection="1">
      <alignment horizontal="left" vertical="center" wrapText="1"/>
    </xf>
    <xf numFmtId="0" fontId="2" fillId="3" borderId="1" xfId="2" applyFont="1" applyBorder="1" applyAlignment="1" applyProtection="1">
      <alignment horizontal="center" vertical="center" textRotation="90"/>
    </xf>
    <xf numFmtId="0" fontId="2" fillId="3" borderId="1" xfId="2" applyFont="1" applyBorder="1" applyAlignment="1">
      <alignment textRotation="90"/>
    </xf>
    <xf numFmtId="0" fontId="2" fillId="4" borderId="1" xfId="3" applyFont="1" applyBorder="1" applyAlignment="1">
      <alignment horizontal="center" vertical="center"/>
    </xf>
    <xf numFmtId="0" fontId="2" fillId="4" borderId="1" xfId="3" quotePrefix="1" applyFont="1" applyBorder="1" applyAlignment="1" applyProtection="1">
      <alignment horizontal="center" vertical="center"/>
    </xf>
    <xf numFmtId="0" fontId="2" fillId="4" borderId="1" xfId="3" applyFont="1" applyBorder="1" applyAlignment="1"/>
    <xf numFmtId="0" fontId="2" fillId="3" borderId="1" xfId="2" applyFont="1" applyBorder="1" applyAlignment="1" applyProtection="1">
      <alignment horizontal="center" vertical="center"/>
    </xf>
    <xf numFmtId="0" fontId="2" fillId="3" borderId="1" xfId="2" applyFont="1" applyBorder="1" applyAlignment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 applyAlignment="1">
      <alignment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 wrapText="1"/>
    </xf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</sheetPr>
  <dimension ref="A1:V20"/>
  <sheetViews>
    <sheetView tabSelected="1" view="pageBreakPreview" zoomScaleNormal="85" zoomScaleSheetLayoutView="100" workbookViewId="0">
      <selection activeCell="M14" sqref="M14"/>
    </sheetView>
  </sheetViews>
  <sheetFormatPr defaultColWidth="9.140625" defaultRowHeight="15" x14ac:dyDescent="0.25"/>
  <cols>
    <col min="1" max="1" width="14.140625" style="14" customWidth="1"/>
    <col min="2" max="2" width="10.140625" style="1" customWidth="1"/>
    <col min="3" max="3" width="10" style="1" customWidth="1"/>
    <col min="4" max="4" width="9.85546875" style="1" customWidth="1"/>
    <col min="5" max="5" width="12.85546875" style="1" customWidth="1"/>
    <col min="6" max="6" width="11" style="1" customWidth="1"/>
    <col min="7" max="7" width="11.5703125" style="1" customWidth="1"/>
    <col min="8" max="8" width="9" style="1" customWidth="1"/>
    <col min="9" max="9" width="9.5703125" style="1" customWidth="1"/>
    <col min="10" max="10" width="8.7109375" style="1" customWidth="1"/>
    <col min="11" max="11" width="9.85546875" style="1" customWidth="1"/>
    <col min="12" max="12" width="11.42578125" style="1" customWidth="1"/>
    <col min="13" max="13" width="10" style="1" customWidth="1"/>
    <col min="14" max="14" width="8.42578125" style="1" customWidth="1"/>
    <col min="15" max="15" width="11.5703125" style="1" customWidth="1"/>
    <col min="16" max="16" width="12.140625" style="1" customWidth="1"/>
    <col min="17" max="17" width="8.7109375" style="1" customWidth="1"/>
    <col min="18" max="16384" width="9.140625" style="1"/>
  </cols>
  <sheetData>
    <row r="1" spans="1:22" ht="18.75" customHeight="1" x14ac:dyDescent="0.25">
      <c r="A1" s="30" t="s">
        <v>20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</row>
    <row r="2" spans="1:22" ht="18.75" customHeight="1" x14ac:dyDescent="0.25">
      <c r="A2" s="31" t="s">
        <v>21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</row>
    <row r="3" spans="1:22" ht="18.75" customHeight="1" x14ac:dyDescent="0.25">
      <c r="A3" s="33" t="s">
        <v>22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4" spans="1:22" ht="21" customHeight="1" x14ac:dyDescent="0.25">
      <c r="A4" s="33" t="s">
        <v>0</v>
      </c>
      <c r="B4" s="33" t="s">
        <v>1</v>
      </c>
      <c r="C4" s="33"/>
      <c r="D4" s="33"/>
      <c r="E4" s="35" t="s">
        <v>2</v>
      </c>
      <c r="F4" s="36"/>
      <c r="G4" s="37" t="s">
        <v>3</v>
      </c>
      <c r="H4" s="28" t="s">
        <v>4</v>
      </c>
      <c r="I4" s="33" t="s">
        <v>5</v>
      </c>
      <c r="J4" s="33"/>
      <c r="K4" s="33"/>
      <c r="L4" s="33" t="s">
        <v>6</v>
      </c>
      <c r="M4" s="33"/>
      <c r="N4" s="33"/>
      <c r="O4" s="33"/>
      <c r="P4" s="28" t="s">
        <v>7</v>
      </c>
      <c r="Q4" s="28" t="s">
        <v>8</v>
      </c>
    </row>
    <row r="5" spans="1:22" ht="125.25" customHeight="1" x14ac:dyDescent="0.25">
      <c r="A5" s="33"/>
      <c r="B5" s="15" t="s">
        <v>9</v>
      </c>
      <c r="C5" s="15" t="s">
        <v>10</v>
      </c>
      <c r="D5" s="15" t="s">
        <v>11</v>
      </c>
      <c r="E5" s="13" t="s">
        <v>12</v>
      </c>
      <c r="F5" s="13" t="s">
        <v>13</v>
      </c>
      <c r="G5" s="38"/>
      <c r="H5" s="29"/>
      <c r="I5" s="15" t="s">
        <v>14</v>
      </c>
      <c r="J5" s="15" t="s">
        <v>15</v>
      </c>
      <c r="K5" s="15" t="s">
        <v>16</v>
      </c>
      <c r="L5" s="15" t="s">
        <v>17</v>
      </c>
      <c r="M5" s="15" t="s">
        <v>18</v>
      </c>
      <c r="N5" s="15" t="s">
        <v>15</v>
      </c>
      <c r="O5" s="16" t="s">
        <v>16</v>
      </c>
      <c r="P5" s="29"/>
      <c r="Q5" s="29"/>
    </row>
    <row r="6" spans="1:22" ht="30" customHeight="1" x14ac:dyDescent="0.25">
      <c r="A6" s="23">
        <v>45383</v>
      </c>
      <c r="B6" s="2">
        <v>89025</v>
      </c>
      <c r="C6" s="2">
        <v>153081.09426000004</v>
      </c>
      <c r="D6" s="2">
        <v>81245.273000000001</v>
      </c>
      <c r="E6" s="2">
        <v>13072212</v>
      </c>
      <c r="F6" s="10">
        <v>12647.515309999999</v>
      </c>
      <c r="G6" s="10">
        <v>14564.856364433334</v>
      </c>
      <c r="H6" s="20">
        <f t="shared" ref="H6:H17" si="0">F6/G6*100</f>
        <v>86.835839595951057</v>
      </c>
      <c r="I6" s="4">
        <v>55584.008320000015</v>
      </c>
      <c r="J6" s="4">
        <v>3553.356743300003</v>
      </c>
      <c r="K6" s="4">
        <v>59137.365063300014</v>
      </c>
      <c r="L6" s="4">
        <v>1106.6706459329998</v>
      </c>
      <c r="M6" s="4">
        <v>69.907337193000004</v>
      </c>
      <c r="N6" s="4">
        <v>3.7262071006532085</v>
      </c>
      <c r="O6" s="22">
        <v>1180.304190226653</v>
      </c>
      <c r="P6" s="4">
        <v>1621.4377901989997</v>
      </c>
      <c r="Q6" s="4">
        <f t="shared" ref="Q6:Q17" si="1">O6/P6*100</f>
        <v>72.793677152534713</v>
      </c>
    </row>
    <row r="7" spans="1:22" ht="30" customHeight="1" x14ac:dyDescent="0.25">
      <c r="A7" s="24">
        <v>45413</v>
      </c>
      <c r="B7" s="3">
        <v>90714</v>
      </c>
      <c r="C7" s="3">
        <v>159788.98326000007</v>
      </c>
      <c r="D7" s="3">
        <v>82311.92300000001</v>
      </c>
      <c r="E7" s="3">
        <v>13660125</v>
      </c>
      <c r="F7" s="3">
        <v>13216.445673</v>
      </c>
      <c r="G7" s="3">
        <v>14865.911517964705</v>
      </c>
      <c r="H7" s="5">
        <f t="shared" si="0"/>
        <v>88.904374662990506</v>
      </c>
      <c r="I7" s="5">
        <v>66078.532369999986</v>
      </c>
      <c r="J7" s="5">
        <v>3400.0185884911884</v>
      </c>
      <c r="K7" s="8">
        <v>69478.550958491178</v>
      </c>
      <c r="L7" s="5">
        <v>1201.4130531019996</v>
      </c>
      <c r="M7" s="5">
        <v>77.051518794089986</v>
      </c>
      <c r="N7" s="5">
        <v>3.3204820560729429</v>
      </c>
      <c r="O7" s="21">
        <v>1281.7850539521628</v>
      </c>
      <c r="P7" s="5">
        <v>1672.155802537</v>
      </c>
      <c r="Q7" s="8">
        <f t="shared" si="1"/>
        <v>76.654642588174767</v>
      </c>
    </row>
    <row r="8" spans="1:22" ht="30" customHeight="1" x14ac:dyDescent="0.25">
      <c r="A8" s="23">
        <v>45444</v>
      </c>
      <c r="B8" s="2">
        <v>88624</v>
      </c>
      <c r="C8" s="2">
        <v>156828.05333333337</v>
      </c>
      <c r="D8" s="2">
        <v>81048.304000000004</v>
      </c>
      <c r="E8" s="2">
        <v>13071915</v>
      </c>
      <c r="F8" s="2">
        <v>12697.472236</v>
      </c>
      <c r="G8" s="2">
        <v>14533.557733000001</v>
      </c>
      <c r="H8" s="4">
        <f t="shared" si="0"/>
        <v>87.366579259316708</v>
      </c>
      <c r="I8" s="4">
        <v>63786.401730000005</v>
      </c>
      <c r="J8" s="4">
        <v>3604.7452678561322</v>
      </c>
      <c r="K8" s="4">
        <v>67391.146997856122</v>
      </c>
      <c r="L8" s="4">
        <v>1155.611158596</v>
      </c>
      <c r="M8" s="4">
        <v>74.532573300579983</v>
      </c>
      <c r="N8" s="4">
        <v>3.4685101284700917</v>
      </c>
      <c r="O8" s="22">
        <v>1233.6122420250499</v>
      </c>
      <c r="P8" s="4">
        <v>1600.9546906900007</v>
      </c>
      <c r="Q8" s="4">
        <f t="shared" si="1"/>
        <v>77.054787946145524</v>
      </c>
      <c r="V8" s="1" t="s">
        <v>24</v>
      </c>
    </row>
    <row r="9" spans="1:22" ht="30" customHeight="1" x14ac:dyDescent="0.25">
      <c r="A9" s="24">
        <v>45474</v>
      </c>
      <c r="B9" s="3">
        <v>89426</v>
      </c>
      <c r="C9" s="3">
        <v>159810.66366666666</v>
      </c>
      <c r="D9" s="3">
        <v>81149.817000000025</v>
      </c>
      <c r="E9" s="3">
        <v>12865290</v>
      </c>
      <c r="F9" s="3">
        <v>12446.688901644515</v>
      </c>
      <c r="G9" s="3">
        <v>14633.680781943573</v>
      </c>
      <c r="H9" s="5">
        <f t="shared" si="0"/>
        <v>85.055080038389406</v>
      </c>
      <c r="I9" s="5">
        <v>64711.670599999998</v>
      </c>
      <c r="J9" s="5">
        <v>3722.2852908757554</v>
      </c>
      <c r="K9" s="8">
        <v>68433.955890875746</v>
      </c>
      <c r="L9" s="5">
        <v>1133.8512257480063</v>
      </c>
      <c r="M9" s="5">
        <v>76.01168929151001</v>
      </c>
      <c r="N9" s="5">
        <v>3.4796382977453684</v>
      </c>
      <c r="O9" s="21">
        <v>1213.3425533372615</v>
      </c>
      <c r="P9" s="5">
        <v>1609.8329221662161</v>
      </c>
      <c r="Q9" s="8">
        <f t="shared" si="1"/>
        <v>75.370713111306543</v>
      </c>
    </row>
    <row r="10" spans="1:22" ht="30" customHeight="1" x14ac:dyDescent="0.25">
      <c r="A10" s="23">
        <v>45505</v>
      </c>
      <c r="B10" s="2">
        <v>92101</v>
      </c>
      <c r="C10" s="2">
        <v>163618.0486666667</v>
      </c>
      <c r="D10" s="2">
        <v>83664.634000000005</v>
      </c>
      <c r="E10" s="2">
        <v>13015689</v>
      </c>
      <c r="F10" s="2">
        <v>12509.979678175247</v>
      </c>
      <c r="G10" s="2">
        <v>15100.438097469609</v>
      </c>
      <c r="H10" s="4">
        <f t="shared" si="0"/>
        <v>82.845143945006157</v>
      </c>
      <c r="I10" s="4">
        <v>63757.16517</v>
      </c>
      <c r="J10" s="4">
        <v>3538.4246421305993</v>
      </c>
      <c r="K10" s="4">
        <v>67295.589812130595</v>
      </c>
      <c r="L10" s="4">
        <v>1141.7418096657723</v>
      </c>
      <c r="M10" s="4">
        <v>74.845962810499984</v>
      </c>
      <c r="N10" s="4">
        <v>3.3545611300812221</v>
      </c>
      <c r="O10" s="22">
        <v>1219.9423336063533</v>
      </c>
      <c r="P10" s="4">
        <v>1662.7544561311472</v>
      </c>
      <c r="Q10" s="4">
        <f t="shared" si="1"/>
        <v>73.368760438921484</v>
      </c>
    </row>
    <row r="11" spans="1:22" ht="30" customHeight="1" x14ac:dyDescent="0.25">
      <c r="A11" s="24">
        <v>45536</v>
      </c>
      <c r="B11" s="3">
        <v>90610</v>
      </c>
      <c r="C11" s="3">
        <v>161206.92600000004</v>
      </c>
      <c r="D11" s="3">
        <v>82450.298999999999</v>
      </c>
      <c r="E11" s="3">
        <v>12925450</v>
      </c>
      <c r="F11" s="3">
        <v>12465.475543999999</v>
      </c>
      <c r="G11" s="3">
        <v>15009.737813235295</v>
      </c>
      <c r="H11" s="5">
        <f t="shared" si="0"/>
        <v>83.049255750544731</v>
      </c>
      <c r="I11" s="5">
        <v>64286.252049999974</v>
      </c>
      <c r="J11" s="5">
        <v>2964.46776766227</v>
      </c>
      <c r="K11" s="8">
        <v>67250.719817662248</v>
      </c>
      <c r="L11" s="5">
        <v>1124.4988772299998</v>
      </c>
      <c r="M11" s="5">
        <v>75.011653420820039</v>
      </c>
      <c r="N11" s="5">
        <v>2.8439245578454173</v>
      </c>
      <c r="O11" s="21">
        <v>1202.3544552086653</v>
      </c>
      <c r="P11" s="5">
        <v>1649.9620483799997</v>
      </c>
      <c r="Q11" s="8">
        <f t="shared" si="1"/>
        <v>72.8716431016814</v>
      </c>
      <c r="V11" s="1" t="s">
        <v>24</v>
      </c>
    </row>
    <row r="12" spans="1:22" ht="30" customHeight="1" x14ac:dyDescent="0.25">
      <c r="A12" s="23">
        <v>45566</v>
      </c>
      <c r="B12" s="2">
        <v>95922</v>
      </c>
      <c r="C12" s="2">
        <v>171071.31133333337</v>
      </c>
      <c r="D12" s="2">
        <v>88284.960999999996</v>
      </c>
      <c r="E12" s="2">
        <v>13559086</v>
      </c>
      <c r="F12" s="2">
        <v>13212.899174999999</v>
      </c>
      <c r="G12" s="2">
        <v>16028.749032</v>
      </c>
      <c r="H12" s="4">
        <f t="shared" si="0"/>
        <v>82.432503925425479</v>
      </c>
      <c r="I12" s="4">
        <v>68076.941709999985</v>
      </c>
      <c r="J12" s="4">
        <v>3099.2028051020402</v>
      </c>
      <c r="K12" s="4">
        <v>71176.144515102016</v>
      </c>
      <c r="L12" s="4">
        <v>1191.4480202950001</v>
      </c>
      <c r="M12" s="4">
        <v>78.429357955690008</v>
      </c>
      <c r="N12" s="4">
        <v>2.9422221051271427</v>
      </c>
      <c r="O12" s="22">
        <v>1272.8196003558173</v>
      </c>
      <c r="P12" s="4">
        <v>1761.6921437779995</v>
      </c>
      <c r="Q12" s="4">
        <f t="shared" si="1"/>
        <v>72.249831212065189</v>
      </c>
    </row>
    <row r="13" spans="1:22" ht="30" customHeight="1" x14ac:dyDescent="0.25">
      <c r="A13" s="24">
        <v>45597</v>
      </c>
      <c r="B13" s="3">
        <v>92697</v>
      </c>
      <c r="C13" s="3">
        <v>167994.20900000012</v>
      </c>
      <c r="D13" s="3">
        <v>85880.364999999991</v>
      </c>
      <c r="E13" s="3">
        <v>14153406</v>
      </c>
      <c r="F13" s="3">
        <v>13893.740707000003</v>
      </c>
      <c r="G13" s="3">
        <v>15532.596132999999</v>
      </c>
      <c r="H13" s="5">
        <f t="shared" si="0"/>
        <v>89.448927842022869</v>
      </c>
      <c r="I13" s="5">
        <v>57002.660100813693</v>
      </c>
      <c r="J13" s="5">
        <v>3447.0448799999999</v>
      </c>
      <c r="K13" s="8">
        <v>60449.704980813702</v>
      </c>
      <c r="L13" s="5">
        <v>1253.7725413110004</v>
      </c>
      <c r="M13" s="5">
        <v>66.243963679515161</v>
      </c>
      <c r="N13" s="5">
        <v>3.2584428944999986</v>
      </c>
      <c r="O13" s="21">
        <v>1323.2749478850153</v>
      </c>
      <c r="P13" s="5">
        <v>1693.7109245049994</v>
      </c>
      <c r="Q13" s="8">
        <f t="shared" si="1"/>
        <v>78.128736653909996</v>
      </c>
    </row>
    <row r="14" spans="1:22" ht="30" customHeight="1" x14ac:dyDescent="0.25">
      <c r="A14" s="23">
        <v>45627</v>
      </c>
      <c r="B14" s="2">
        <v>96944</v>
      </c>
      <c r="C14" s="2">
        <v>177588.24433333334</v>
      </c>
      <c r="D14" s="2">
        <v>89428.354450083018</v>
      </c>
      <c r="E14" s="2">
        <v>14826400</v>
      </c>
      <c r="F14" s="2">
        <v>14565.025839647831</v>
      </c>
      <c r="G14" s="2">
        <v>16385.674771044156</v>
      </c>
      <c r="H14" s="4">
        <f t="shared" si="0"/>
        <v>88.888776587866417</v>
      </c>
      <c r="I14" s="4">
        <v>62988.653919144679</v>
      </c>
      <c r="J14" s="4">
        <v>4176.8725899999972</v>
      </c>
      <c r="K14" s="4">
        <v>67165.526509144678</v>
      </c>
      <c r="L14" s="4">
        <v>1312.4804627237827</v>
      </c>
      <c r="M14" s="4">
        <v>72.127877736436304</v>
      </c>
      <c r="N14" s="4">
        <v>3.8647808215210353</v>
      </c>
      <c r="O14" s="22">
        <v>1388.4731212817401</v>
      </c>
      <c r="P14" s="4">
        <v>1770.9290855216595</v>
      </c>
      <c r="Q14" s="4">
        <f t="shared" si="1"/>
        <v>78.40365447906909</v>
      </c>
    </row>
    <row r="15" spans="1:22" ht="30" customHeight="1" x14ac:dyDescent="0.25">
      <c r="A15" s="24">
        <v>45658</v>
      </c>
      <c r="B15" s="3">
        <v>96396</v>
      </c>
      <c r="C15" s="3">
        <v>177260.35199999975</v>
      </c>
      <c r="D15" s="3">
        <v>88990.159918555553</v>
      </c>
      <c r="E15" s="3">
        <v>14611492</v>
      </c>
      <c r="F15" s="3">
        <v>14370.438143430219</v>
      </c>
      <c r="G15" s="3">
        <v>16269.677530535426</v>
      </c>
      <c r="H15" s="7">
        <f t="shared" si="0"/>
        <v>88.326508724339149</v>
      </c>
      <c r="I15" s="5">
        <v>60016.490683163043</v>
      </c>
      <c r="J15" s="5">
        <v>4204.3475999999982</v>
      </c>
      <c r="K15" s="8">
        <v>64220.838283163037</v>
      </c>
      <c r="L15" s="7">
        <v>1297.0484964240216</v>
      </c>
      <c r="M15" s="7">
        <v>69.380736374462685</v>
      </c>
      <c r="N15" s="7">
        <v>3.883642860579998</v>
      </c>
      <c r="O15" s="21">
        <v>1370.3128756590643</v>
      </c>
      <c r="P15" s="7">
        <v>1748.1873949211101</v>
      </c>
      <c r="Q15" s="8">
        <f t="shared" si="1"/>
        <v>78.384781839758205</v>
      </c>
    </row>
    <row r="16" spans="1:22" ht="30" customHeight="1" x14ac:dyDescent="0.25">
      <c r="A16" s="23">
        <v>45689</v>
      </c>
      <c r="B16" s="2">
        <v>90609</v>
      </c>
      <c r="C16" s="2">
        <v>166540.57363333335</v>
      </c>
      <c r="D16" s="2">
        <v>83585.709747216897</v>
      </c>
      <c r="E16" s="2">
        <v>14032503</v>
      </c>
      <c r="F16" s="2">
        <v>13791.936422391247</v>
      </c>
      <c r="G16" s="2">
        <v>15246.911191956004</v>
      </c>
      <c r="H16" s="6">
        <f t="shared" si="0"/>
        <v>90.457249004425393</v>
      </c>
      <c r="I16" s="4">
        <v>54560.895889999993</v>
      </c>
      <c r="J16" s="4">
        <v>3792.2227600000001</v>
      </c>
      <c r="K16" s="4">
        <v>58353.118650000004</v>
      </c>
      <c r="L16" s="6">
        <v>1242.027479104125</v>
      </c>
      <c r="M16" s="6">
        <v>62.958879050070493</v>
      </c>
      <c r="N16" s="6">
        <v>3.5814272545999999</v>
      </c>
      <c r="O16" s="22">
        <v>1308.5677854087955</v>
      </c>
      <c r="P16" s="6">
        <v>1637.6793071143375</v>
      </c>
      <c r="Q16" s="4">
        <f t="shared" si="1"/>
        <v>79.903787006660608</v>
      </c>
    </row>
    <row r="17" spans="1:17" ht="30" customHeight="1" x14ac:dyDescent="0.25">
      <c r="A17" s="24">
        <v>45717</v>
      </c>
      <c r="B17" s="3">
        <v>100622</v>
      </c>
      <c r="C17" s="3">
        <v>184804.22233333346</v>
      </c>
      <c r="D17" s="3">
        <v>92952.876777165962</v>
      </c>
      <c r="E17" s="3">
        <v>14463737</v>
      </c>
      <c r="F17" s="3">
        <v>14212.955124295531</v>
      </c>
      <c r="G17" s="3">
        <v>16958.231206259665</v>
      </c>
      <c r="H17" s="7">
        <f t="shared" si="0"/>
        <v>83.811542320812379</v>
      </c>
      <c r="I17" s="5">
        <v>64833.659240000008</v>
      </c>
      <c r="J17" s="5">
        <v>3587.5440399999998</v>
      </c>
      <c r="K17" s="8">
        <v>68421.203280000016</v>
      </c>
      <c r="L17" s="7">
        <v>1278.7296699125525</v>
      </c>
      <c r="M17" s="7">
        <v>74.58235976006975</v>
      </c>
      <c r="N17" s="7">
        <v>3.2494699910400002</v>
      </c>
      <c r="O17" s="21">
        <v>1356.5614996636621</v>
      </c>
      <c r="P17" s="7">
        <v>1822.1706231933176</v>
      </c>
      <c r="Q17" s="8">
        <f t="shared" si="1"/>
        <v>74.447556249497381</v>
      </c>
    </row>
    <row r="18" spans="1:17" ht="30" customHeight="1" x14ac:dyDescent="0.25">
      <c r="A18" s="17" t="s">
        <v>23</v>
      </c>
      <c r="B18" s="18">
        <f>SUM(B6:B17)</f>
        <v>1113690</v>
      </c>
      <c r="C18" s="18">
        <f t="shared" ref="C18:G18" si="2">SUM(C6:C17)</f>
        <v>1999592.6818200003</v>
      </c>
      <c r="D18" s="18">
        <f t="shared" si="2"/>
        <v>1020992.6768930213</v>
      </c>
      <c r="E18" s="18">
        <f t="shared" si="2"/>
        <v>164257305</v>
      </c>
      <c r="F18" s="18">
        <f t="shared" si="2"/>
        <v>160030.57275458457</v>
      </c>
      <c r="G18" s="18">
        <f t="shared" si="2"/>
        <v>185130.02217284177</v>
      </c>
      <c r="H18" s="19">
        <f>F18/G18*100</f>
        <v>86.442258730556546</v>
      </c>
      <c r="I18" s="19">
        <f>SUM(I6:I17)</f>
        <v>745683.33178312145</v>
      </c>
      <c r="J18" s="19">
        <f t="shared" ref="J18:P18" si="3">SUM(J6:J17)</f>
        <v>43090.532975417984</v>
      </c>
      <c r="K18" s="19">
        <f t="shared" si="3"/>
        <v>788773.86475853936</v>
      </c>
      <c r="L18" s="19">
        <f t="shared" si="3"/>
        <v>14439.29344004526</v>
      </c>
      <c r="M18" s="19">
        <f t="shared" si="3"/>
        <v>871.08390936674436</v>
      </c>
      <c r="N18" s="19">
        <f t="shared" si="3"/>
        <v>40.973309198236429</v>
      </c>
      <c r="O18" s="19">
        <f t="shared" si="3"/>
        <v>15351.350658610239</v>
      </c>
      <c r="P18" s="19">
        <f t="shared" si="3"/>
        <v>20251.467189136787</v>
      </c>
      <c r="Q18" s="9">
        <f t="shared" ref="Q18" si="4">O18/P18*100</f>
        <v>75.803646793773794</v>
      </c>
    </row>
    <row r="19" spans="1:17" ht="19.5" customHeight="1" x14ac:dyDescent="0.25">
      <c r="A19" s="25" t="s">
        <v>19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7"/>
    </row>
    <row r="20" spans="1:17" x14ac:dyDescent="0.25">
      <c r="B20" s="11"/>
      <c r="C20" s="11"/>
      <c r="D20" s="11"/>
      <c r="E20" s="11"/>
      <c r="F20" s="11"/>
      <c r="G20" s="11"/>
      <c r="H20" s="12"/>
      <c r="I20" s="11"/>
      <c r="J20" s="11"/>
      <c r="K20" s="11"/>
      <c r="L20" s="11"/>
      <c r="M20" s="11"/>
      <c r="N20" s="11"/>
      <c r="O20" s="11"/>
      <c r="P20" s="11"/>
      <c r="Q20" s="12"/>
    </row>
  </sheetData>
  <mergeCells count="13">
    <mergeCell ref="A19:Q19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1.01</vt:lpstr>
      <vt:lpstr>'1.01'!Print_Area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2022-04-25T12:01:22Z</cp:lastPrinted>
  <dcterms:created xsi:type="dcterms:W3CDTF">2018-10-29T04:00:07Z</dcterms:created>
  <dcterms:modified xsi:type="dcterms:W3CDTF">2025-11-18T06:10:40Z</dcterms:modified>
</cp:coreProperties>
</file>