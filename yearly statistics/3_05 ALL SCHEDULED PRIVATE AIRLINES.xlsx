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showHorizontalScroll="0" showVerticalScroll="0" xWindow="0" yWindow="0" windowWidth="11265" windowHeight="9495"/>
  </bookViews>
  <sheets>
    <sheet name="Table 3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H14" i="2"/>
  <c r="J18" i="2" l="1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L18" i="2" l="1"/>
  <c r="C18" i="2" l="1"/>
  <c r="D18" i="2"/>
  <c r="E18" i="2"/>
  <c r="F18" i="2"/>
  <c r="G18" i="2"/>
  <c r="H18" i="2"/>
  <c r="I18" i="2"/>
  <c r="K18" i="2"/>
  <c r="M18" i="2"/>
  <c r="N18" i="2"/>
  <c r="O18" i="2"/>
  <c r="P18" i="2"/>
  <c r="Q18" i="2"/>
  <c r="B18" i="2" l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<sst xmlns="http://schemas.openxmlformats.org/spreadsheetml/2006/main" count="40" uniqueCount="38">
  <si>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</si>
  <si>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</si>
  <si>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</si>
  <si>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</si>
  <si>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</si>
  <si>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</si>
  <si>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</si>
  <si>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</si>
  <si>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</si>
  <si>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</si>
  <si>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</si>
  <si>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</si>
  <si>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</si>
  <si>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</si>
  <si>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</si>
  <si>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</si>
  <si>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</si>
  <si>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</si>
  <si>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</si>
  <si>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</si>
  <si>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</si>
  <si>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</si>
  <si>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</si>
  <si>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</si>
  <si>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</si>
  <si>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</si>
  <si>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2018-19</t>
  </si>
  <si>
    <t xml:space="preserve">SOURCE: ICAO ATR FORM 'A' FURNISHED BY ALL SCHEDULED  PRIVATE AIRLINES </t>
  </si>
  <si>
    <t>2019-20</t>
  </si>
  <si>
    <t xml:space="preserve">YEAR ON YEAR GROWTH AND CAGR FOR LAST TEN YEARS OF ALL SCHEDULED PRIVATE  AIRLINES ON SCHEDULED INTERNATIONAL SERVICES (ALL AIR TRAFFIC AND OPERATING STATISTICS)  </t>
  </si>
  <si>
    <t>* DENOTES THAT THE INTERNATIONAL OPERATIONS BY SCHEDULED INDIAN OPERATORS WERE CARRIED AS PER DGCA’S CIRCULAR DATED 26.03.2020 UNDER COVID-19 RESTRICTION.</t>
  </si>
  <si>
    <t>2020-21*</t>
  </si>
  <si>
    <t>2022-23</t>
  </si>
  <si>
    <t>2023-24</t>
  </si>
  <si>
    <t>Note: Growth has been calculated with respect to preceeding year while Compound Annual Growth Rate (CAGR) has been calculating taking 2013-14 as a Base Year</t>
  </si>
  <si>
    <t>2021-22*</t>
  </si>
  <si>
    <t xml:space="preserve">तालिका - 3.05 (सभी अनुसूचित निजी एयरलाइन्स) </t>
  </si>
  <si>
    <t>TABLE - 3.05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</si>
</sst>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\ mmmm/yy;@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0" fontId="5" fillId="2" borderId="1" xfId="1" applyNumberFormat="1" applyFont="1" applyFill="1" applyBorder="1" applyAlignment="1" applyProtection="1">
      <alignment horizontal="center" vertical="center" wrapText="1"/>
    </xf>
    <xf numFmtId="165" fontId="3" fillId="5" borderId="1" xfId="4" applyNumberFormat="1" applyBorder="1" applyAlignment="1">
      <alignment horizontal="center" vertical="center"/>
    </xf>
    <xf numFmtId="166" fontId="3" fillId="5" borderId="1" xfId="4" applyNumberFormat="1" applyBorder="1" applyAlignment="1">
      <alignment horizontal="right" vertical="center"/>
    </xf>
    <xf numFmtId="167" fontId="3" fillId="5" borderId="1" xfId="4" applyNumberFormat="1" applyBorder="1" applyAlignment="1">
      <alignment horizontal="right" vertical="center"/>
    </xf>
    <xf numFmtId="43" fontId="3" fillId="5" borderId="1" xfId="4" applyNumberFormat="1" applyBorder="1" applyAlignment="1">
      <alignment horizontal="right" vertical="center"/>
    </xf>
    <xf numFmtId="165" fontId="7" fillId="0" borderId="1" xfId="5" applyNumberFormat="1" applyFont="1" applyFill="1" applyBorder="1" applyAlignment="1">
      <alignment horizontal="center" vertical="center"/>
    </xf>
    <xf numFmtId="166" fontId="7" fillId="0" borderId="1" xfId="5" applyNumberFormat="1" applyFont="1" applyFill="1" applyBorder="1" applyAlignment="1">
      <alignment horizontal="right" vertical="center"/>
    </xf>
    <xf numFmtId="167" fontId="7" fillId="0" borderId="1" xfId="5" applyNumberFormat="1" applyFont="1" applyFill="1" applyBorder="1" applyAlignment="1">
      <alignment horizontal="right" vertical="center"/>
    </xf>
    <xf numFmtId="167" fontId="3" fillId="6" borderId="1" xfId="4" applyNumberFormat="1" applyFill="1" applyBorder="1" applyAlignment="1">
      <alignment horizontal="right" vertical="center"/>
    </xf>
    <xf numFmtId="165" fontId="0" fillId="5" borderId="1" xfId="4" applyNumberFormat="1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Normal="100" zoomScaleSheetLayoutView="100" workbookViewId="0">
      <selection activeCell="A13" sqref="A13"/>
    </sheetView>
  </sheetViews>
  <sheetFormatPr defaultRowHeight="15" x14ac:dyDescent="0.25"/>
  <cols>
    <col min="1" max="1" width="8.42578125" customWidth="1"/>
    <col min="2" max="2" width="9.7109375" customWidth="1"/>
    <col min="3" max="3" width="11" customWidth="1"/>
    <col min="4" max="4" width="9.5703125" customWidth="1"/>
    <col min="5" max="5" width="11.42578125" customWidth="1"/>
    <col min="6" max="6" width="8.7109375" customWidth="1"/>
    <col min="7" max="7" width="9.7109375" customWidth="1"/>
    <col min="8" max="8" width="9" customWidth="1"/>
    <col min="9" max="9" width="10.85546875" customWidth="1"/>
    <col min="10" max="10" width="10.140625" customWidth="1"/>
    <col min="11" max="11" width="10.28515625" customWidth="1"/>
    <col min="12" max="12" width="10.140625" customWidth="1"/>
    <col min="13" max="13" width="9.28515625" customWidth="1"/>
    <col min="14" max="14" width="8.140625" customWidth="1"/>
    <col min="15" max="15" width="9.28515625" customWidth="1"/>
    <col min="16" max="16" width="9.42578125" customWidth="1"/>
    <col min="17" max="17" width="7" customWidth="1"/>
  </cols>
  <sheetData>
    <row r="1" spans="1:17" x14ac:dyDescent="0.25">
      <c r="A1" s="15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8.5" customHeight="1" x14ac:dyDescent="0.25">
      <c r="A3" s="18" t="s">
        <v>29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15.5" customHeight="1" x14ac:dyDescent="0.25">
      <c r="A5" s="18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1"/>
      <c r="H5" s="21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1"/>
      <c r="Q5" s="21"/>
    </row>
    <row r="6" spans="1:17" ht="20.100000000000001" customHeight="1" x14ac:dyDescent="0.25">
      <c r="A6" s="6" t="s">
        <v>19</v>
      </c>
      <c r="B6" s="7">
        <v>58731</v>
      </c>
      <c r="C6" s="7">
        <v>229308.05</v>
      </c>
      <c r="D6" s="7">
        <v>154790.875</v>
      </c>
      <c r="E6" s="7">
        <v>8400942</v>
      </c>
      <c r="F6" s="7">
        <v>25968.433614000001</v>
      </c>
      <c r="G6" s="7">
        <v>31959.708850999999</v>
      </c>
      <c r="H6" s="8">
        <v>81.253661399319867</v>
      </c>
      <c r="I6" s="8">
        <v>145576.52059999999</v>
      </c>
      <c r="J6" s="8">
        <v>1155.6359</v>
      </c>
      <c r="K6" s="8">
        <v>146732.15649999998</v>
      </c>
      <c r="L6" s="8">
        <v>2156.1007829999999</v>
      </c>
      <c r="M6" s="8">
        <v>674.60610149500008</v>
      </c>
      <c r="N6" s="9">
        <v>6.984</v>
      </c>
      <c r="O6" s="8">
        <v>2837.6908844949999</v>
      </c>
      <c r="P6" s="8">
        <v>4038.7726619999999</v>
      </c>
      <c r="Q6" s="8">
        <v>70.261218493287899</v>
      </c>
    </row>
    <row r="7" spans="1:17" ht="20.100000000000001" customHeight="1" x14ac:dyDescent="0.25">
      <c r="A7" s="10" t="s">
        <v>20</v>
      </c>
      <c r="B7" s="11">
        <v>63514</v>
      </c>
      <c r="C7" s="11">
        <v>243561.99</v>
      </c>
      <c r="D7" s="11">
        <v>168181.818</v>
      </c>
      <c r="E7" s="11">
        <v>9399648</v>
      </c>
      <c r="F7" s="11">
        <v>28965.103868999999</v>
      </c>
      <c r="G7" s="11">
        <v>34596.289575000003</v>
      </c>
      <c r="H7" s="12">
        <v>83.723151311378729</v>
      </c>
      <c r="I7" s="12">
        <v>145428.77622</v>
      </c>
      <c r="J7" s="12">
        <v>1428.01</v>
      </c>
      <c r="K7" s="13">
        <v>146856.78622000001</v>
      </c>
      <c r="L7" s="12">
        <v>2407.5494880000001</v>
      </c>
      <c r="M7" s="12">
        <v>690.47082938676999</v>
      </c>
      <c r="N7" s="12">
        <v>7.452</v>
      </c>
      <c r="O7" s="13">
        <v>3105.4723173867696</v>
      </c>
      <c r="P7" s="12">
        <v>4306.5230360000005</v>
      </c>
      <c r="Q7" s="12">
        <v>72.110895295969556</v>
      </c>
    </row>
    <row r="8" spans="1:17" ht="20.100000000000001" customHeight="1" x14ac:dyDescent="0.25">
      <c r="A8" s="6" t="s">
        <v>21</v>
      </c>
      <c r="B8" s="7">
        <v>68750</v>
      </c>
      <c r="C8" s="7">
        <v>266638.97000000003</v>
      </c>
      <c r="D8" s="7">
        <v>183415.34899999999</v>
      </c>
      <c r="E8" s="7">
        <v>10256775</v>
      </c>
      <c r="F8" s="7">
        <v>31415.300092999998</v>
      </c>
      <c r="G8" s="7">
        <v>37517.924787000004</v>
      </c>
      <c r="H8" s="8">
        <v>83.734109152768028</v>
      </c>
      <c r="I8" s="8">
        <v>140438.20880999998</v>
      </c>
      <c r="J8" s="8">
        <v>789.4008</v>
      </c>
      <c r="K8" s="8">
        <v>141227.60960999998</v>
      </c>
      <c r="L8" s="8">
        <v>2605.9570224199997</v>
      </c>
      <c r="M8" s="8">
        <v>652.24939455999993</v>
      </c>
      <c r="N8" s="9">
        <v>4.1100000000000003</v>
      </c>
      <c r="O8" s="8">
        <v>3262.3164169800002</v>
      </c>
      <c r="P8" s="8">
        <v>4621.2905980000005</v>
      </c>
      <c r="Q8" s="8">
        <v>70.593189235748639</v>
      </c>
    </row>
    <row r="9" spans="1:17" ht="20.100000000000001" customHeight="1" x14ac:dyDescent="0.25">
      <c r="A9" s="10" t="s">
        <v>22</v>
      </c>
      <c r="B9" s="11">
        <v>76298</v>
      </c>
      <c r="C9" s="11">
        <v>292854.15269999998</v>
      </c>
      <c r="D9" s="11">
        <v>201269.93699999998</v>
      </c>
      <c r="E9" s="11">
        <v>11639393</v>
      </c>
      <c r="F9" s="11">
        <v>34439.444489999994</v>
      </c>
      <c r="G9" s="11">
        <v>42152.155125999998</v>
      </c>
      <c r="H9" s="12">
        <v>81.702689665699438</v>
      </c>
      <c r="I9" s="12">
        <v>165609.88783999998</v>
      </c>
      <c r="J9" s="12">
        <v>814</v>
      </c>
      <c r="K9" s="13">
        <v>166423.88783999998</v>
      </c>
      <c r="L9" s="12">
        <v>2857.186506</v>
      </c>
      <c r="M9" s="12">
        <v>730.66380052999978</v>
      </c>
      <c r="N9" s="12">
        <v>4.2830000000000004</v>
      </c>
      <c r="O9" s="13">
        <v>3592.1333065300005</v>
      </c>
      <c r="P9" s="12">
        <v>5237.9431169999998</v>
      </c>
      <c r="Q9" s="12">
        <v>68.579082023085675</v>
      </c>
    </row>
    <row r="10" spans="1:17" ht="20.100000000000001" customHeight="1" x14ac:dyDescent="0.25">
      <c r="A10" s="6" t="s">
        <v>23</v>
      </c>
      <c r="B10" s="7">
        <v>86415</v>
      </c>
      <c r="C10" s="7">
        <v>331629.27590000001</v>
      </c>
      <c r="D10" s="7">
        <v>226442.34699999998</v>
      </c>
      <c r="E10" s="7">
        <v>13628300</v>
      </c>
      <c r="F10" s="7">
        <v>40759.168100000003</v>
      </c>
      <c r="G10" s="7">
        <v>48798.019899999999</v>
      </c>
      <c r="H10" s="8">
        <v>83.526274597875656</v>
      </c>
      <c r="I10" s="8">
        <v>220435.12932000001</v>
      </c>
      <c r="J10" s="8">
        <v>1822.2409200000002</v>
      </c>
      <c r="K10" s="8">
        <v>222257.37023999999</v>
      </c>
      <c r="L10" s="8">
        <v>3401.1095099999998</v>
      </c>
      <c r="M10" s="8">
        <v>987.4789300000001</v>
      </c>
      <c r="N10" s="9">
        <v>10.3955</v>
      </c>
      <c r="O10" s="8">
        <v>4398.9839399999992</v>
      </c>
      <c r="P10" s="8">
        <v>6269.7868499999995</v>
      </c>
      <c r="Q10" s="8">
        <v>70.16161865215561</v>
      </c>
    </row>
    <row r="11" spans="1:17" ht="20.100000000000001" customHeight="1" x14ac:dyDescent="0.25">
      <c r="A11" s="10" t="s">
        <v>26</v>
      </c>
      <c r="B11" s="11">
        <v>95033</v>
      </c>
      <c r="C11" s="11">
        <v>374576.44806000002</v>
      </c>
      <c r="D11" s="11">
        <v>255874.32099999997</v>
      </c>
      <c r="E11" s="11">
        <v>14947720</v>
      </c>
      <c r="F11" s="11">
        <v>45331.772511999996</v>
      </c>
      <c r="G11" s="11">
        <v>54343.866352000005</v>
      </c>
      <c r="H11" s="12">
        <v>83.416539077977575</v>
      </c>
      <c r="I11" s="12">
        <v>219117.89265000002</v>
      </c>
      <c r="J11" s="12">
        <v>1635.2828699999998</v>
      </c>
      <c r="K11" s="13">
        <v>220753.17551999996</v>
      </c>
      <c r="L11" s="12">
        <v>3803.4718880000005</v>
      </c>
      <c r="M11" s="12">
        <v>1023.4286193000004</v>
      </c>
      <c r="N11" s="12">
        <v>8.7182959999999987</v>
      </c>
      <c r="O11" s="13">
        <v>4835.6188032999999</v>
      </c>
      <c r="P11" s="12">
        <v>6862.9265437000022</v>
      </c>
      <c r="Q11" s="12">
        <v>70.460011082866387</v>
      </c>
    </row>
    <row r="12" spans="1:17" ht="20.100000000000001" customHeight="1" x14ac:dyDescent="0.25">
      <c r="A12" s="6" t="s">
        <v>28</v>
      </c>
      <c r="B12" s="7">
        <v>75916</v>
      </c>
      <c r="C12" s="7">
        <v>268285.05600000004</v>
      </c>
      <c r="D12" s="7">
        <v>184967.34600000002</v>
      </c>
      <c r="E12" s="7">
        <v>11008860</v>
      </c>
      <c r="F12" s="7">
        <v>27122.308724999999</v>
      </c>
      <c r="G12" s="7">
        <v>33704.013917000004</v>
      </c>
      <c r="H12" s="8">
        <v>80.472043453909649</v>
      </c>
      <c r="I12" s="8">
        <v>62957.440197554992</v>
      </c>
      <c r="J12" s="8">
        <v>3.6871</v>
      </c>
      <c r="K12" s="8">
        <v>62961.13078755499</v>
      </c>
      <c r="L12" s="8">
        <v>2352.2258910200003</v>
      </c>
      <c r="M12" s="8">
        <v>138.59211026220001</v>
      </c>
      <c r="N12" s="9">
        <v>2.3962000000000001E-2</v>
      </c>
      <c r="O12" s="8">
        <v>2490.8419632821997</v>
      </c>
      <c r="P12" s="8">
        <v>3617.2172880920002</v>
      </c>
      <c r="Q12" s="8">
        <v>68.860722619073357</v>
      </c>
    </row>
    <row r="13" spans="1:17" ht="20.100000000000001" customHeight="1" x14ac:dyDescent="0.25">
      <c r="A13" s="10" t="s">
        <v>31</v>
      </c>
      <c r="B13" s="11">
        <v>24126</v>
      </c>
      <c r="C13" s="11">
        <v>82545.733263333328</v>
      </c>
      <c r="D13" s="11">
        <v>60384.539000000012</v>
      </c>
      <c r="E13" s="11">
        <v>2463616</v>
      </c>
      <c r="F13" s="11">
        <v>6346.7771119999998</v>
      </c>
      <c r="G13" s="11">
        <v>8438.5885679999992</v>
      </c>
      <c r="H13" s="12">
        <v>75.21135863961463</v>
      </c>
      <c r="I13" s="12">
        <v>68900.663509999998</v>
      </c>
      <c r="J13" s="12">
        <v>840.12950999999975</v>
      </c>
      <c r="K13" s="13">
        <v>69740.793019999997</v>
      </c>
      <c r="L13" s="12">
        <v>550.14060962500002</v>
      </c>
      <c r="M13" s="12">
        <v>152.27628569136999</v>
      </c>
      <c r="N13" s="12">
        <v>1.7377185377</v>
      </c>
      <c r="O13" s="13">
        <v>704.15461385407002</v>
      </c>
      <c r="P13" s="12">
        <v>1280.022633819</v>
      </c>
      <c r="Q13" s="12">
        <v>55.01110646404711</v>
      </c>
    </row>
    <row r="14" spans="1:17" ht="20.100000000000001" customHeight="1" x14ac:dyDescent="0.25">
      <c r="A14" s="14" t="s">
        <v>35</v>
      </c>
      <c r="B14" s="7">
        <v>53750</v>
      </c>
      <c r="C14" s="7">
        <v>203105.78805555549</v>
      </c>
      <c r="D14" s="7">
        <v>149808.03099999996</v>
      </c>
      <c r="E14" s="7">
        <v>6249412</v>
      </c>
      <c r="F14" s="7">
        <v>18806.535721</v>
      </c>
      <c r="G14" s="7">
        <v>25438.808662999996</v>
      </c>
      <c r="H14" s="8">
        <f>F14/G14*100</f>
        <v>73.928523816264857</v>
      </c>
      <c r="I14" s="8">
        <v>140627.35723999998</v>
      </c>
      <c r="J14" s="8">
        <v>17.315145494043815</v>
      </c>
      <c r="K14" s="8">
        <v>140496.16598549401</v>
      </c>
      <c r="L14" s="8">
        <v>1728.9266378671998</v>
      </c>
      <c r="M14" s="8">
        <v>455.68192937678936</v>
      </c>
      <c r="N14" s="9">
        <v>4.5048362972378332E-2</v>
      </c>
      <c r="O14" s="8">
        <v>2184.6536156069619</v>
      </c>
      <c r="P14" s="8">
        <v>3875.5566703339991</v>
      </c>
      <c r="Q14" s="8">
        <f>O14/P14*100</f>
        <v>56.370059876293496</v>
      </c>
    </row>
    <row r="15" spans="1:17" ht="19.5" customHeight="1" x14ac:dyDescent="0.25">
      <c r="A15" s="10" t="s">
        <v>32</v>
      </c>
      <c r="B15" s="11">
        <v>152682</v>
      </c>
      <c r="C15" s="11">
        <v>664689.23910000001</v>
      </c>
      <c r="D15" s="11">
        <v>477436.61100000009</v>
      </c>
      <c r="E15" s="11">
        <v>23870061</v>
      </c>
      <c r="F15" s="11">
        <v>83072.283756999968</v>
      </c>
      <c r="G15" s="11">
        <v>102135.84000999999</v>
      </c>
      <c r="H15" s="12">
        <v>81.335096229557109</v>
      </c>
      <c r="I15" s="12">
        <v>193464.20717999997</v>
      </c>
      <c r="J15" s="12">
        <v>1585.3174946605566</v>
      </c>
      <c r="K15" s="13">
        <v>195049.52467466053</v>
      </c>
      <c r="L15" s="12">
        <v>7944.5095694349993</v>
      </c>
      <c r="M15" s="12">
        <v>901.96871845596309</v>
      </c>
      <c r="N15" s="12">
        <v>8.8777862448447618</v>
      </c>
      <c r="O15" s="13">
        <v>8855.3560741358087</v>
      </c>
      <c r="P15" s="12">
        <v>12631.623908966001</v>
      </c>
      <c r="Q15" s="12">
        <v>70.104652718881411</v>
      </c>
    </row>
    <row r="16" spans="1:17" ht="19.5" customHeight="1" x14ac:dyDescent="0.25">
      <c r="A16" s="14" t="s">
        <v>33</v>
      </c>
      <c r="B16" s="7">
        <v>177220</v>
      </c>
      <c r="C16" s="7">
        <v>877831.39983333321</v>
      </c>
      <c r="D16" s="7">
        <v>571398.11465999996</v>
      </c>
      <c r="E16" s="7">
        <v>29558866</v>
      </c>
      <c r="F16" s="7">
        <v>105260.77986020001</v>
      </c>
      <c r="G16" s="7">
        <v>125400.631244</v>
      </c>
      <c r="H16" s="8">
        <v>83.939593298687157</v>
      </c>
      <c r="I16" s="8">
        <v>227933.57135000007</v>
      </c>
      <c r="J16" s="8">
        <v>4651.6619571106985</v>
      </c>
      <c r="K16" s="8">
        <v>232585.23330711079</v>
      </c>
      <c r="L16" s="8">
        <v>10152.047586520999</v>
      </c>
      <c r="M16" s="8">
        <v>1060.9235409400342</v>
      </c>
      <c r="N16" s="9">
        <v>33.846711404014449</v>
      </c>
      <c r="O16" s="8">
        <v>11246.817838865049</v>
      </c>
      <c r="P16" s="8">
        <v>15370.207548826991</v>
      </c>
      <c r="Q16" s="8">
        <v>73.172843002522583</v>
      </c>
    </row>
    <row r="17" spans="1:17" ht="19.5" customHeight="1" x14ac:dyDescent="0.25">
      <c r="A17" s="1" t="s">
        <v>24</v>
      </c>
      <c r="B17" s="3">
        <f t="shared" ref="B17:Q17" si="0">(B16-B15)/B15</f>
        <v>0.16071311614990635</v>
      </c>
      <c r="C17" s="3">
        <f t="shared" si="0"/>
        <v>0.32066437696799654</v>
      </c>
      <c r="D17" s="3">
        <f t="shared" si="0"/>
        <v>0.19680414424690998</v>
      </c>
      <c r="E17" s="3">
        <f t="shared" si="0"/>
        <v>0.2383238568179612</v>
      </c>
      <c r="F17" s="3">
        <f t="shared" si="0"/>
        <v>0.26709866515894792</v>
      </c>
      <c r="G17" s="3">
        <f t="shared" si="0"/>
        <v>0.22778283540549715</v>
      </c>
      <c r="H17" s="3">
        <f t="shared" si="0"/>
        <v>3.2021810877056238E-2</v>
      </c>
      <c r="I17" s="3">
        <f t="shared" si="0"/>
        <v>0.1781692059344582</v>
      </c>
      <c r="J17" s="5">
        <f t="shared" si="0"/>
        <v>1.934214737917024</v>
      </c>
      <c r="K17" s="3">
        <f t="shared" si="0"/>
        <v>0.19244193850284547</v>
      </c>
      <c r="L17" s="3">
        <f t="shared" si="0"/>
        <v>0.2778696403839811</v>
      </c>
      <c r="M17" s="3">
        <f t="shared" si="0"/>
        <v>0.17623097035579927</v>
      </c>
      <c r="N17" s="3">
        <f t="shared" si="0"/>
        <v>2.812517047667022</v>
      </c>
      <c r="O17" s="3">
        <f t="shared" si="0"/>
        <v>0.27005822743978386</v>
      </c>
      <c r="P17" s="3">
        <f t="shared" si="0"/>
        <v>0.2168037664513687</v>
      </c>
      <c r="Q17" s="3">
        <f t="shared" si="0"/>
        <v>4.3765858108513404E-2</v>
      </c>
    </row>
    <row r="18" spans="1:17" ht="19.5" customHeight="1" x14ac:dyDescent="0.25">
      <c r="A18" s="2" t="s">
        <v>25</v>
      </c>
      <c r="B18" s="3">
        <f t="shared" ref="B18:Q18" si="1">(((B16/B6)^(1/10))-1)</f>
        <v>0.11677204370736294</v>
      </c>
      <c r="C18" s="3">
        <f t="shared" si="1"/>
        <v>0.14366592322572957</v>
      </c>
      <c r="D18" s="3">
        <f t="shared" si="1"/>
        <v>0.13951315911946272</v>
      </c>
      <c r="E18" s="3">
        <f t="shared" si="1"/>
        <v>0.13405985832021505</v>
      </c>
      <c r="F18" s="3">
        <f t="shared" si="1"/>
        <v>0.15022309362208985</v>
      </c>
      <c r="G18" s="3">
        <f t="shared" si="1"/>
        <v>0.1464884683097436</v>
      </c>
      <c r="H18" s="3">
        <f t="shared" si="1"/>
        <v>3.2574469046793286E-3</v>
      </c>
      <c r="I18" s="3">
        <f t="shared" si="1"/>
        <v>4.5855527379258021E-2</v>
      </c>
      <c r="J18" s="3">
        <f t="shared" si="1"/>
        <v>0.14941990085164347</v>
      </c>
      <c r="K18" s="3">
        <f t="shared" si="1"/>
        <v>4.7142252324914535E-2</v>
      </c>
      <c r="L18" s="3">
        <f t="shared" si="1"/>
        <v>0.16758487039682346</v>
      </c>
      <c r="M18" s="3">
        <f t="shared" si="1"/>
        <v>4.6317242283608673E-2</v>
      </c>
      <c r="N18" s="3">
        <f t="shared" si="1"/>
        <v>0.17095774849698264</v>
      </c>
      <c r="O18" s="3">
        <f t="shared" si="1"/>
        <v>0.14764206329536411</v>
      </c>
      <c r="P18" s="3">
        <f t="shared" si="1"/>
        <v>0.14299158338495799</v>
      </c>
      <c r="Q18" s="3">
        <f t="shared" si="1"/>
        <v>4.0686912992253799E-3</v>
      </c>
    </row>
    <row r="19" spans="1:17" x14ac:dyDescent="0.25">
      <c r="A19" s="25" t="s">
        <v>27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5" customHeight="1" x14ac:dyDescent="0.25">
      <c r="A20" s="23" t="s">
        <v>34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14.25" customHeight="1" x14ac:dyDescent="0.25">
      <c r="A21" s="22" t="s">
        <v>30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paperSize="9" scale="5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2022-04-25T11:08:55Z</cp:lastPrinted>
  <dcterms:created xsi:type="dcterms:W3CDTF">2018-10-29T04:00:15Z</dcterms:created>
  <dcterms:modified xsi:type="dcterms:W3CDTF">2025-01-28T09:47:33Z</dcterms:modified>
</cp:coreProperties>
</file>