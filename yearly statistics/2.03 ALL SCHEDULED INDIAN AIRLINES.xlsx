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Draft Annual Report 2024-25\02 All Scheduled Indian Airlines Air Transport Operating and Traffic Statistics\"/>
    </mc:Choice>
  </mc:AlternateContent>
  <bookViews>
    <workbookView showHorizontalScroll="0" showVerticalScroll="0" showSheetTabs="0" xWindow="0" yWindow="0" windowWidth="13140" windowHeight="10635"/>
  </bookViews>
  <sheets>
    <sheet name="1.03" sheetId="1" r:id="rId1"/>
  </sheets>
  <definedNames>
    <definedName name="_xlnm.Print_Area" localSheetId="0">'1.03'!$A$1:$Q$19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7" i="1" l="1"/>
  <c r="Q7" i="1"/>
  <c r="H8" i="1"/>
  <c r="Q8" i="1"/>
  <c r="H11" i="1"/>
  <c r="H13" i="1"/>
  <c r="H15" i="1"/>
  <c r="Q15" i="1"/>
  <c r="H17" i="1"/>
  <c r="Q17" i="1"/>
  <c r="B18" i="1"/>
  <c r="D18" i="1" l="1"/>
  <c r="Q9" i="1"/>
  <c r="H9" i="1"/>
  <c r="I18" i="1"/>
  <c r="N18" i="1"/>
  <c r="E18" i="1"/>
  <c r="Q16" i="1"/>
  <c r="F18" i="1"/>
  <c r="Q12" i="1"/>
  <c r="H12" i="1"/>
  <c r="P18" i="1"/>
  <c r="M18" i="1"/>
  <c r="H16" i="1"/>
  <c r="Q11" i="1"/>
  <c r="H14" i="1"/>
  <c r="L18" i="1"/>
  <c r="G18" i="1"/>
  <c r="Q14" i="1"/>
  <c r="Q6" i="1"/>
  <c r="Q10" i="1"/>
  <c r="H10" i="1"/>
  <c r="Q13" i="1"/>
  <c r="C18" i="1"/>
  <c r="J18" i="1"/>
  <c r="O18" i="1"/>
  <c r="H6" i="1"/>
  <c r="Q18" i="1" l="1"/>
  <c r="H18" i="1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<sst xmlns="http://schemas.openxmlformats.org/spreadsheetml/2006/main" count="26" uniqueCount="24">
  <si>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</si>
  <si>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</si>
  <si>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</si>
  <si>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</si>
  <si>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</si>
  <si>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</si>
  <si>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</si>
  <si>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</si>
  <si>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</si>
  <si>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</si>
  <si>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</si>
  <si>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</si>
  <si>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</si>
  <si>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</si>
  <si>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</si>
  <si>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</si>
  <si>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</si>
  <si>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</si>
  <si>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</si>
  <si>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SOURCE:-  ICAO ATR FORM 'A' FURNISHED BY ALL SCHEDULED INDIAN AIRLINES</t>
  </si>
  <si>
    <t xml:space="preserve"> तालिका- 2.03 (सभी अनुसूचित भारतीय एयरलाइन्स) </t>
  </si>
  <si>
    <t>Table 2.03 (ALL SCHEDULED INDIAN AIRLINES)</t>
  </si>
  <si>
    <t xml:space="preserve"> MONTHLY TRAFFIC AND OPERATING STATISTICS OF ALL SCHEDULED INDIAN AIRLINES ON TOTAL SCHEDULED (INTERNATIONAL+DOMESTIC) SERVICES DURING 2024-25</t>
  </si>
  <si>
    <t>2024-25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</si>
</sst>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3" borderId="0" applyNumberFormat="0" applyBorder="0" applyAlignment="0" applyProtection="0"/>
    <xf numFmtId="0" fontId="2" fillId="4" borderId="0" applyNumberFormat="0" applyBorder="0" applyAlignment="0" applyProtection="0"/>
  </cellStyleXfs>
  <cellXfs count="26">
    <xf numFmtId="0" fontId="0" fillId="0" borderId="0" xfId="0"/>
    <xf numFmtId="0" fontId="0" fillId="0" borderId="0" xfId="0" applyFont="1"/>
    <xf numFmtId="17" fontId="2" fillId="4" borderId="1" xfId="2" applyNumberFormat="1" applyBorder="1" applyAlignment="1" applyProtection="1">
      <alignment horizontal="center" vertical="center" wrapText="1"/>
    </xf>
    <xf numFmtId="0" fontId="3" fillId="4" borderId="1" xfId="2" applyFont="1" applyBorder="1" applyAlignment="1" applyProtection="1">
      <alignment horizontal="center" vertical="center" wrapText="1"/>
    </xf>
    <xf numFmtId="3" fontId="2" fillId="4" borderId="1" xfId="2" applyNumberFormat="1" applyBorder="1" applyAlignment="1" applyProtection="1">
      <alignment horizontal="right" vertical="center" wrapText="1"/>
    </xf>
    <xf numFmtId="164" fontId="2" fillId="4" borderId="1" xfId="2" applyNumberFormat="1" applyBorder="1" applyAlignment="1" applyProtection="1">
      <alignment horizontal="right" vertical="center" wrapText="1"/>
    </xf>
    <xf numFmtId="0" fontId="2" fillId="3" borderId="1" xfId="1" applyFont="1" applyBorder="1" applyAlignment="1" applyProtection="1">
      <alignment horizontal="center" vertical="center" textRotation="90" wrapText="1"/>
    </xf>
    <xf numFmtId="17" fontId="2" fillId="5" borderId="1" xfId="2" applyNumberFormat="1" applyFill="1" applyBorder="1" applyAlignment="1" applyProtection="1">
      <alignment horizontal="center" vertical="center" wrapText="1"/>
    </xf>
    <xf numFmtId="3" fontId="2" fillId="5" borderId="1" xfId="2" applyNumberFormat="1" applyFill="1" applyBorder="1" applyAlignment="1" applyProtection="1">
      <alignment horizontal="right" vertical="center" wrapText="1"/>
    </xf>
    <xf numFmtId="164" fontId="2" fillId="5" borderId="1" xfId="2" applyNumberFormat="1" applyFill="1" applyBorder="1" applyAlignment="1" applyProtection="1">
      <alignment horizontal="right" vertical="center" wrapText="1"/>
    </xf>
    <xf numFmtId="3" fontId="3" fillId="4" borderId="1" xfId="2" applyNumberFormat="1" applyFont="1" applyBorder="1" applyAlignment="1" applyProtection="1">
      <alignment horizontal="center" vertical="center" wrapText="1"/>
    </xf>
    <xf numFmtId="165" fontId="3" fillId="4" borderId="1" xfId="2" applyNumberFormat="1" applyFont="1" applyBorder="1" applyAlignment="1" applyProtection="1">
      <alignment horizontal="center" vertical="center" wrapText="1"/>
    </xf>
    <xf numFmtId="17" fontId="0" fillId="4" borderId="1" xfId="2" applyNumberFormat="1" applyFont="1" applyBorder="1" applyAlignment="1" applyProtection="1">
      <alignment horizontal="center" vertical="center" wrapText="1"/>
    </xf>
    <xf numFmtId="164" fontId="3" fillId="4" borderId="1" xfId="2" applyNumberFormat="1" applyFont="1" applyBorder="1" applyAlignment="1" applyProtection="1">
      <alignment horizontal="center" vertical="center" wrapText="1"/>
    </xf>
    <xf numFmtId="3" fontId="2" fillId="4" borderId="1" xfId="2" applyNumberFormat="1" applyBorder="1" applyAlignment="1" applyProtection="1">
      <alignment horizontal="center" vertical="center" wrapText="1"/>
    </xf>
    <xf numFmtId="3" fontId="2" fillId="5" borderId="1" xfId="2" applyNumberFormat="1" applyFill="1" applyBorder="1" applyAlignment="1" applyProtection="1">
      <alignment horizontal="center" vertical="center" wrapText="1"/>
    </xf>
    <xf numFmtId="0" fontId="2" fillId="3" borderId="1" xfId="1" applyFont="1" applyBorder="1" applyAlignment="1" applyProtection="1">
      <alignment horizontal="center" vertical="center" textRotation="90" wrapText="1"/>
    </xf>
    <xf numFmtId="0" fontId="2" fillId="3" borderId="1" xfId="1" applyFont="1" applyBorder="1" applyAlignment="1">
      <alignment textRotation="90"/>
    </xf>
    <xf numFmtId="0" fontId="1" fillId="2" borderId="1" xfId="0" applyFont="1" applyFill="1" applyBorder="1" applyAlignment="1" applyProtection="1">
      <alignment horizontal="left" vertical="center" wrapText="1"/>
    </xf>
    <xf numFmtId="0" fontId="0" fillId="4" borderId="1" xfId="2" applyFont="1" applyBorder="1" applyAlignment="1">
      <alignment horizontal="center" vertical="center" wrapText="1"/>
    </xf>
    <xf numFmtId="0" fontId="2" fillId="4" borderId="1" xfId="2" applyFont="1" applyBorder="1" applyAlignment="1">
      <alignment horizontal="center" vertical="center" wrapText="1"/>
    </xf>
    <xf numFmtId="0" fontId="0" fillId="4" borderId="1" xfId="2" quotePrefix="1" applyFont="1" applyBorder="1" applyAlignment="1" applyProtection="1">
      <alignment horizontal="center" vertical="center" wrapText="1"/>
    </xf>
    <xf numFmtId="0" fontId="2" fillId="4" borderId="1" xfId="2" applyFont="1" applyBorder="1"/>
    <xf numFmtId="0" fontId="0" fillId="3" borderId="1" xfId="1" applyFont="1" applyBorder="1" applyAlignment="1" applyProtection="1">
      <alignment horizontal="center" vertical="center" wrapText="1"/>
    </xf>
    <xf numFmtId="0" fontId="2" fillId="3" borderId="1" xfId="1" applyFont="1" applyBorder="1"/>
    <xf numFmtId="0" fontId="2" fillId="3" borderId="1" xfId="1" applyFont="1" applyBorder="1" applyAlignment="1" applyProtection="1">
      <alignment horizontal="center" vertical="center" wrapText="1"/>
    </xf>
  </cellXfs>
  <cellStyles count="3">
    <cellStyle name="40% - Accent1" xfId="2" builtinId="31"/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  <pageSetUpPr fitToPage="1"/>
  </sheetPr>
  <dimension ref="A1:Q19"/>
  <sheetViews>
    <sheetView tabSelected="1" view="pageBreakPreview" zoomScale="85" zoomScaleNormal="95" zoomScaleSheetLayoutView="85" workbookViewId="0">
      <selection activeCell="M10" sqref="M10"/>
    </sheetView>
  </sheetViews>
  <sheetFormatPr defaultColWidth="9.140625" defaultRowHeight="15" x14ac:dyDescent="0.25"/>
  <cols>
    <col min="1" max="1" width="8.85546875" style="1" customWidth="1"/>
    <col min="2" max="2" width="10.28515625" style="1" customWidth="1"/>
    <col min="3" max="3" width="10.42578125" style="1" customWidth="1"/>
    <col min="4" max="4" width="10.28515625" style="1" customWidth="1"/>
    <col min="5" max="5" width="12.140625" style="1" customWidth="1"/>
    <col min="6" max="6" width="8.7109375" style="1" customWidth="1"/>
    <col min="7" max="7" width="9.140625" style="1" customWidth="1"/>
    <col min="8" max="8" width="6.5703125" style="1" customWidth="1"/>
    <col min="9" max="9" width="11.140625" style="1" customWidth="1"/>
    <col min="10" max="10" width="10.140625" style="1" customWidth="1"/>
    <col min="11" max="11" width="11.28515625" style="1" customWidth="1"/>
    <col min="12" max="13" width="8" style="1" customWidth="1"/>
    <col min="14" max="14" width="6" style="1" customWidth="1"/>
    <col min="15" max="15" width="9.5703125" style="1" customWidth="1"/>
    <col min="16" max="16" width="10.28515625" style="1" customWidth="1"/>
    <col min="17" max="17" width="6.7109375" style="1" customWidth="1"/>
    <col min="18" max="16384" width="9.140625" style="1"/>
  </cols>
  <sheetData>
    <row r="1" spans="1:17" ht="18.75" customHeight="1" x14ac:dyDescent="0.25">
      <c r="A1" s="19" t="s">
        <v>20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</row>
    <row r="2" spans="1:17" ht="18.75" customHeight="1" x14ac:dyDescent="0.25">
      <c r="A2" s="21" t="s">
        <v>21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</row>
    <row r="3" spans="1:17" ht="18.75" customHeight="1" x14ac:dyDescent="0.25">
      <c r="A3" s="23" t="s">
        <v>22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</row>
    <row r="4" spans="1:17" ht="28.5" customHeight="1" x14ac:dyDescent="0.25">
      <c r="A4" s="25" t="s">
        <v>0</v>
      </c>
      <c r="B4" s="25" t="s">
        <v>1</v>
      </c>
      <c r="C4" s="25"/>
      <c r="D4" s="25"/>
      <c r="E4" s="25" t="s">
        <v>2</v>
      </c>
      <c r="F4" s="24"/>
      <c r="G4" s="16" t="s">
        <v>3</v>
      </c>
      <c r="H4" s="16" t="s">
        <v>4</v>
      </c>
      <c r="I4" s="25" t="s">
        <v>5</v>
      </c>
      <c r="J4" s="25"/>
      <c r="K4" s="25"/>
      <c r="L4" s="25" t="s">
        <v>6</v>
      </c>
      <c r="M4" s="25"/>
      <c r="N4" s="25"/>
      <c r="O4" s="25"/>
      <c r="P4" s="16" t="s">
        <v>7</v>
      </c>
      <c r="Q4" s="16" t="s">
        <v>8</v>
      </c>
    </row>
    <row r="5" spans="1:17" ht="115.5" customHeight="1" x14ac:dyDescent="0.25">
      <c r="A5" s="25"/>
      <c r="B5" s="6" t="s">
        <v>9</v>
      </c>
      <c r="C5" s="6" t="s">
        <v>10</v>
      </c>
      <c r="D5" s="6" t="s">
        <v>11</v>
      </c>
      <c r="E5" s="6" t="s">
        <v>12</v>
      </c>
      <c r="F5" s="6" t="s">
        <v>13</v>
      </c>
      <c r="G5" s="17"/>
      <c r="H5" s="17"/>
      <c r="I5" s="6" t="s">
        <v>14</v>
      </c>
      <c r="J5" s="6" t="s">
        <v>15</v>
      </c>
      <c r="K5" s="6" t="s">
        <v>16</v>
      </c>
      <c r="L5" s="6" t="s">
        <v>17</v>
      </c>
      <c r="M5" s="6" t="s">
        <v>18</v>
      </c>
      <c r="N5" s="6" t="s">
        <v>15</v>
      </c>
      <c r="O5" s="6" t="s">
        <v>16</v>
      </c>
      <c r="P5" s="17"/>
      <c r="Q5" s="17"/>
    </row>
    <row r="6" spans="1:17" ht="30" customHeight="1" x14ac:dyDescent="0.25">
      <c r="A6" s="12">
        <v>45383</v>
      </c>
      <c r="B6" s="4">
        <v>107063</v>
      </c>
      <c r="C6" s="4">
        <v>226278.30722333334</v>
      </c>
      <c r="D6" s="4">
        <v>132457.30600000004</v>
      </c>
      <c r="E6" s="4">
        <v>15766818</v>
      </c>
      <c r="F6" s="4">
        <v>21917.659482999999</v>
      </c>
      <c r="G6" s="4">
        <v>25673.850552433327</v>
      </c>
      <c r="H6" s="5">
        <f>F6/G6*100</f>
        <v>85.369584271116196</v>
      </c>
      <c r="I6" s="4">
        <v>77387.263850000003</v>
      </c>
      <c r="J6" s="4">
        <v>3780.544112025003</v>
      </c>
      <c r="K6" s="4">
        <v>81167.807962024992</v>
      </c>
      <c r="L6" s="4">
        <v>1954.4897133780005</v>
      </c>
      <c r="M6" s="4">
        <v>164.64700876185773</v>
      </c>
      <c r="N6" s="4">
        <v>5.6630158736791891</v>
      </c>
      <c r="O6" s="4">
        <v>2124.799738013538</v>
      </c>
      <c r="P6" s="14">
        <v>2997.6100168599992</v>
      </c>
      <c r="Q6" s="5">
        <f>O6/P6*100</f>
        <v>70.883127760537334</v>
      </c>
    </row>
    <row r="7" spans="1:17" ht="30" customHeight="1" x14ac:dyDescent="0.25">
      <c r="A7" s="7">
        <v>45413</v>
      </c>
      <c r="B7" s="8">
        <v>109574</v>
      </c>
      <c r="C7" s="8">
        <v>237727.95126000006</v>
      </c>
      <c r="D7" s="8">
        <v>135520.329</v>
      </c>
      <c r="E7" s="8">
        <v>16565980</v>
      </c>
      <c r="F7" s="8">
        <v>23223.073049000002</v>
      </c>
      <c r="G7" s="8">
        <v>26562.208132964708</v>
      </c>
      <c r="H7" s="9">
        <f t="shared" ref="H7:H17" si="0">F7/G7*100</f>
        <v>87.429000378094642</v>
      </c>
      <c r="I7" s="8">
        <v>89052.368949999989</v>
      </c>
      <c r="J7" s="8">
        <v>3616.5030590309484</v>
      </c>
      <c r="K7" s="8">
        <v>92668.872009030951</v>
      </c>
      <c r="L7" s="8">
        <v>2136.752460819006</v>
      </c>
      <c r="M7" s="8">
        <v>191.97537010682996</v>
      </c>
      <c r="N7" s="8">
        <v>5.1083185025121711</v>
      </c>
      <c r="O7" s="8">
        <v>2333.8361494283486</v>
      </c>
      <c r="P7" s="15">
        <v>3115.8314473139999</v>
      </c>
      <c r="Q7" s="9">
        <f t="shared" ref="Q7:Q17" si="1">O7/P7*100</f>
        <v>74.902516034371189</v>
      </c>
    </row>
    <row r="8" spans="1:17" ht="30" customHeight="1" x14ac:dyDescent="0.25">
      <c r="A8" s="2">
        <v>45444</v>
      </c>
      <c r="B8" s="4">
        <v>107898</v>
      </c>
      <c r="C8" s="4">
        <v>236432.81566666669</v>
      </c>
      <c r="D8" s="4">
        <v>134562.777</v>
      </c>
      <c r="E8" s="4">
        <v>15917478</v>
      </c>
      <c r="F8" s="4">
        <v>22600.905802999998</v>
      </c>
      <c r="G8" s="4">
        <v>26415.959004999993</v>
      </c>
      <c r="H8" s="5">
        <f t="shared" si="0"/>
        <v>85.557771340885694</v>
      </c>
      <c r="I8" s="4">
        <v>88114.531040000002</v>
      </c>
      <c r="J8" s="4">
        <v>3819.8626985360756</v>
      </c>
      <c r="K8" s="4">
        <v>91934.393738536077</v>
      </c>
      <c r="L8" s="4">
        <v>2072.175560911001</v>
      </c>
      <c r="M8" s="4">
        <v>197.0115170004899</v>
      </c>
      <c r="N8" s="4">
        <v>5.1171146783439063</v>
      </c>
      <c r="O8" s="4">
        <v>2274.3041925898347</v>
      </c>
      <c r="P8" s="14">
        <v>2996.8307346800016</v>
      </c>
      <c r="Q8" s="5">
        <f t="shared" si="1"/>
        <v>75.890311930903309</v>
      </c>
    </row>
    <row r="9" spans="1:17" ht="30" customHeight="1" x14ac:dyDescent="0.25">
      <c r="A9" s="7">
        <v>45474</v>
      </c>
      <c r="B9" s="8">
        <v>109253</v>
      </c>
      <c r="C9" s="8">
        <v>242528.62700000004</v>
      </c>
      <c r="D9" s="8">
        <v>137955.13199999998</v>
      </c>
      <c r="E9" s="8">
        <v>15749771</v>
      </c>
      <c r="F9" s="8">
        <v>22527.613422644514</v>
      </c>
      <c r="G9" s="8">
        <v>27038.910233943581</v>
      </c>
      <c r="H9" s="9">
        <f t="shared" si="0"/>
        <v>83.315537600196024</v>
      </c>
      <c r="I9" s="8">
        <v>89527.412719999993</v>
      </c>
      <c r="J9" s="8">
        <v>3885.3679887624717</v>
      </c>
      <c r="K9" s="8">
        <v>93412.780708762468</v>
      </c>
      <c r="L9" s="8">
        <v>2072.8715633730053</v>
      </c>
      <c r="M9" s="8">
        <v>200.27468391306152</v>
      </c>
      <c r="N9" s="8">
        <v>4.5608145916520231</v>
      </c>
      <c r="O9" s="8">
        <v>2277.7070618777198</v>
      </c>
      <c r="P9" s="15">
        <v>3100.5305273012164</v>
      </c>
      <c r="Q9" s="9">
        <f t="shared" si="1"/>
        <v>73.461849248757318</v>
      </c>
    </row>
    <row r="10" spans="1:17" ht="30" customHeight="1" x14ac:dyDescent="0.25">
      <c r="A10" s="2">
        <v>45505</v>
      </c>
      <c r="B10" s="4">
        <v>112262</v>
      </c>
      <c r="C10" s="4">
        <v>246604.85493333335</v>
      </c>
      <c r="D10" s="4">
        <v>141492.73400000005</v>
      </c>
      <c r="E10" s="4">
        <v>15910036</v>
      </c>
      <c r="F10" s="4">
        <v>22680.469279175253</v>
      </c>
      <c r="G10" s="4">
        <v>27650.510430469603</v>
      </c>
      <c r="H10" s="5">
        <f t="shared" si="0"/>
        <v>82.025499443158239</v>
      </c>
      <c r="I10" s="4">
        <v>88025.213990000004</v>
      </c>
      <c r="J10" s="4">
        <v>3707.0643355604129</v>
      </c>
      <c r="K10" s="4">
        <v>91732.278325560415</v>
      </c>
      <c r="L10" s="4">
        <v>2089.6934279057728</v>
      </c>
      <c r="M10" s="4">
        <v>196.89656597920649</v>
      </c>
      <c r="N10" s="4">
        <v>4.4173668609153705</v>
      </c>
      <c r="O10" s="4">
        <v>2291.0073607458949</v>
      </c>
      <c r="P10" s="14">
        <v>3166.7036758391464</v>
      </c>
      <c r="Q10" s="5">
        <f t="shared" si="1"/>
        <v>72.346755341381908</v>
      </c>
    </row>
    <row r="11" spans="1:17" ht="30" customHeight="1" x14ac:dyDescent="0.25">
      <c r="A11" s="7">
        <v>45536</v>
      </c>
      <c r="B11" s="8">
        <v>110191</v>
      </c>
      <c r="C11" s="8">
        <v>241856.01099999994</v>
      </c>
      <c r="D11" s="8">
        <v>139391.71000000002</v>
      </c>
      <c r="E11" s="8">
        <v>15698460</v>
      </c>
      <c r="F11" s="8">
        <v>22315.484033000001</v>
      </c>
      <c r="G11" s="8">
        <v>27405.60229323529</v>
      </c>
      <c r="H11" s="9">
        <f t="shared" si="0"/>
        <v>81.426723610114877</v>
      </c>
      <c r="I11" s="8">
        <v>90609.075929999963</v>
      </c>
      <c r="J11" s="8">
        <v>3139.3174039282558</v>
      </c>
      <c r="K11" s="8">
        <v>93748.393333928252</v>
      </c>
      <c r="L11" s="8">
        <v>2084.6329047810009</v>
      </c>
      <c r="M11" s="8">
        <v>194.6850695199187</v>
      </c>
      <c r="N11" s="8">
        <v>4.0513985818252403</v>
      </c>
      <c r="O11" s="8">
        <v>2283.3693728827443</v>
      </c>
      <c r="P11" s="15">
        <v>3052.9419723089986</v>
      </c>
      <c r="Q11" s="9">
        <f t="shared" si="1"/>
        <v>74.792426243063773</v>
      </c>
    </row>
    <row r="12" spans="1:17" ht="30" customHeight="1" x14ac:dyDescent="0.25">
      <c r="A12" s="2">
        <v>45566</v>
      </c>
      <c r="B12" s="4">
        <v>115807</v>
      </c>
      <c r="C12" s="4">
        <v>252799.25833333336</v>
      </c>
      <c r="D12" s="4">
        <v>146653.51699999999</v>
      </c>
      <c r="E12" s="4">
        <v>16422387</v>
      </c>
      <c r="F12" s="4">
        <v>23216.938242</v>
      </c>
      <c r="G12" s="4">
        <v>28843.734658000001</v>
      </c>
      <c r="H12" s="5">
        <f t="shared" si="0"/>
        <v>80.492136393858516</v>
      </c>
      <c r="I12" s="4">
        <v>90198.580849999998</v>
      </c>
      <c r="J12" s="4">
        <v>3313.5450650859498</v>
      </c>
      <c r="K12" s="4">
        <v>93512.125915085941</v>
      </c>
      <c r="L12" s="4">
        <v>2157.8321454060001</v>
      </c>
      <c r="M12" s="4">
        <v>203.89007931213209</v>
      </c>
      <c r="N12" s="4">
        <v>4.525112821671291</v>
      </c>
      <c r="O12" s="4">
        <v>2366.2473375398035</v>
      </c>
      <c r="P12" s="14">
        <v>3208.7893424599984</v>
      </c>
      <c r="Q12" s="5">
        <f t="shared" si="1"/>
        <v>73.74268251981087</v>
      </c>
    </row>
    <row r="13" spans="1:17" ht="30" customHeight="1" x14ac:dyDescent="0.25">
      <c r="A13" s="7">
        <v>45597</v>
      </c>
      <c r="B13" s="8">
        <v>111647</v>
      </c>
      <c r="C13" s="8">
        <v>246571.7403333335</v>
      </c>
      <c r="D13" s="8">
        <v>139780.595</v>
      </c>
      <c r="E13" s="8">
        <v>17062571</v>
      </c>
      <c r="F13" s="8">
        <v>24052.755280000001</v>
      </c>
      <c r="G13" s="8">
        <v>27653.986588999996</v>
      </c>
      <c r="H13" s="9">
        <f t="shared" si="0"/>
        <v>86.977532886949234</v>
      </c>
      <c r="I13" s="8">
        <v>80483.048260813681</v>
      </c>
      <c r="J13" s="8">
        <v>3618.3356144193017</v>
      </c>
      <c r="K13" s="8">
        <v>84101.383875232976</v>
      </c>
      <c r="L13" s="8">
        <v>2237.1898922770019</v>
      </c>
      <c r="M13" s="8">
        <v>174.40592335178505</v>
      </c>
      <c r="N13" s="8">
        <v>4.5564907166655129</v>
      </c>
      <c r="O13" s="8">
        <v>2416.1523063454533</v>
      </c>
      <c r="P13" s="15">
        <v>3049.8808231659987</v>
      </c>
      <c r="Q13" s="9">
        <f t="shared" si="1"/>
        <v>79.221203923545815</v>
      </c>
    </row>
    <row r="14" spans="1:17" ht="30" customHeight="1" x14ac:dyDescent="0.25">
      <c r="A14" s="2">
        <v>45627</v>
      </c>
      <c r="B14" s="4">
        <v>117337</v>
      </c>
      <c r="C14" s="4">
        <v>263173.8536666666</v>
      </c>
      <c r="D14" s="4">
        <v>149610.5046495478</v>
      </c>
      <c r="E14" s="4">
        <v>17978261</v>
      </c>
      <c r="F14" s="4">
        <v>25531.250286655581</v>
      </c>
      <c r="G14" s="4">
        <v>29507.096290149959</v>
      </c>
      <c r="H14" s="5">
        <f t="shared" si="0"/>
        <v>86.525797169606307</v>
      </c>
      <c r="I14" s="4">
        <v>89800.075438765212</v>
      </c>
      <c r="J14" s="4">
        <v>4432.8840424335731</v>
      </c>
      <c r="K14" s="4">
        <v>94232.959481198777</v>
      </c>
      <c r="L14" s="4">
        <v>2364.7137600599472</v>
      </c>
      <c r="M14" s="4">
        <v>200.19292933834839</v>
      </c>
      <c r="N14" s="4">
        <v>5.5911082037292852</v>
      </c>
      <c r="O14" s="4">
        <v>2570.4977976020245</v>
      </c>
      <c r="P14" s="14">
        <v>3202.5637131209542</v>
      </c>
      <c r="Q14" s="5">
        <f t="shared" si="1"/>
        <v>80.263752039363169</v>
      </c>
    </row>
    <row r="15" spans="1:17" ht="30" customHeight="1" x14ac:dyDescent="0.25">
      <c r="A15" s="7">
        <v>45658</v>
      </c>
      <c r="B15" s="8">
        <v>116923</v>
      </c>
      <c r="C15" s="8">
        <v>263272.9106666664</v>
      </c>
      <c r="D15" s="8">
        <v>150045.14203226633</v>
      </c>
      <c r="E15" s="8">
        <v>17895144</v>
      </c>
      <c r="F15" s="8">
        <v>25972.102568385766</v>
      </c>
      <c r="G15" s="8">
        <v>29689.08286101458</v>
      </c>
      <c r="H15" s="9">
        <f t="shared" si="0"/>
        <v>87.480312847556277</v>
      </c>
      <c r="I15" s="8">
        <v>85298.029287168436</v>
      </c>
      <c r="J15" s="8">
        <v>4423.2420212435991</v>
      </c>
      <c r="K15" s="8">
        <v>89721.271308412019</v>
      </c>
      <c r="L15" s="8">
        <v>2420.136358161596</v>
      </c>
      <c r="M15" s="8">
        <v>180.55000974255319</v>
      </c>
      <c r="N15" s="8">
        <v>5.4893721936408051</v>
      </c>
      <c r="O15" s="8">
        <v>2606.1757400977908</v>
      </c>
      <c r="P15" s="15">
        <v>3220.7027239453255</v>
      </c>
      <c r="Q15" s="9">
        <f t="shared" si="1"/>
        <v>80.919475141911079</v>
      </c>
    </row>
    <row r="16" spans="1:17" ht="30" customHeight="1" x14ac:dyDescent="0.25">
      <c r="A16" s="2">
        <v>45689</v>
      </c>
      <c r="B16" s="4">
        <v>108987</v>
      </c>
      <c r="C16" s="4">
        <v>245023.04263333339</v>
      </c>
      <c r="D16" s="4">
        <v>138936.82668533133</v>
      </c>
      <c r="E16" s="4">
        <v>16981407</v>
      </c>
      <c r="F16" s="4">
        <v>24321.347499522315</v>
      </c>
      <c r="G16" s="4">
        <v>27466.662721479639</v>
      </c>
      <c r="H16" s="5">
        <f t="shared" si="0"/>
        <v>88.5486079839703</v>
      </c>
      <c r="I16" s="4">
        <v>78721.881549999991</v>
      </c>
      <c r="J16" s="4">
        <v>3959.4771131785428</v>
      </c>
      <c r="K16" s="4">
        <v>82681.358663178529</v>
      </c>
      <c r="L16" s="4">
        <v>2252.6745898824042</v>
      </c>
      <c r="M16" s="4">
        <v>176.72060060765821</v>
      </c>
      <c r="N16" s="4">
        <v>4.8472716595999996</v>
      </c>
      <c r="O16" s="4">
        <v>2434.242462149663</v>
      </c>
      <c r="P16" s="14">
        <v>2973.1195207966257</v>
      </c>
      <c r="Q16" s="5">
        <f t="shared" si="1"/>
        <v>81.875028740769409</v>
      </c>
    </row>
    <row r="17" spans="1:17" ht="30" customHeight="1" x14ac:dyDescent="0.25">
      <c r="A17" s="7">
        <v>45717</v>
      </c>
      <c r="B17" s="8">
        <v>120821</v>
      </c>
      <c r="C17" s="8">
        <v>270170.34600000019</v>
      </c>
      <c r="D17" s="8">
        <v>153521.98685176391</v>
      </c>
      <c r="E17" s="8">
        <v>17449336</v>
      </c>
      <c r="F17" s="8">
        <v>24763.735452777921</v>
      </c>
      <c r="G17" s="8">
        <v>30292.665141411948</v>
      </c>
      <c r="H17" s="9">
        <f t="shared" si="0"/>
        <v>81.748289023683043</v>
      </c>
      <c r="I17" s="8">
        <v>93085.54131000003</v>
      </c>
      <c r="J17" s="8">
        <v>3808.8522317992324</v>
      </c>
      <c r="K17" s="8">
        <v>96894.393541799247</v>
      </c>
      <c r="L17" s="8">
        <v>2280.7883957392514</v>
      </c>
      <c r="M17" s="8">
        <v>209.10125823233295</v>
      </c>
      <c r="N17" s="8">
        <v>4.9603540111595699</v>
      </c>
      <c r="O17" s="8">
        <v>2494.8500079827445</v>
      </c>
      <c r="P17" s="15">
        <v>3264.1464029852787</v>
      </c>
      <c r="Q17" s="9">
        <f t="shared" si="1"/>
        <v>76.431927370078697</v>
      </c>
    </row>
    <row r="18" spans="1:17" ht="30" customHeight="1" x14ac:dyDescent="0.25">
      <c r="A18" s="3" t="s">
        <v>23</v>
      </c>
      <c r="B18" s="10">
        <f>SUM(B6:B17)</f>
        <v>1347763</v>
      </c>
      <c r="C18" s="10">
        <f t="shared" ref="C18:G18" si="2">SUM(C6:C17)</f>
        <v>2972439.7187166666</v>
      </c>
      <c r="D18" s="10">
        <f t="shared" si="2"/>
        <v>1699928.5602189095</v>
      </c>
      <c r="E18" s="10">
        <f t="shared" si="2"/>
        <v>199397649</v>
      </c>
      <c r="F18" s="10">
        <f t="shared" si="2"/>
        <v>283123.33439916139</v>
      </c>
      <c r="G18" s="10">
        <f t="shared" si="2"/>
        <v>334200.26890910266</v>
      </c>
      <c r="H18" s="3">
        <f>F18/G18*100</f>
        <v>84.716668638039479</v>
      </c>
      <c r="I18" s="10">
        <f>SUM(I6:I17)</f>
        <v>1040303.0231767474</v>
      </c>
      <c r="J18" s="10">
        <f t="shared" ref="J18:P18" si="3">SUM(J6:J17)</f>
        <v>45504.995686003371</v>
      </c>
      <c r="K18" s="10">
        <v>1085807.9197727507</v>
      </c>
      <c r="L18" s="10">
        <f t="shared" si="3"/>
        <v>26123.950772693992</v>
      </c>
      <c r="M18" s="10">
        <f t="shared" si="3"/>
        <v>2290.3510158661738</v>
      </c>
      <c r="N18" s="10">
        <f t="shared" si="3"/>
        <v>58.887738695394361</v>
      </c>
      <c r="O18" s="13">
        <f t="shared" si="3"/>
        <v>28473.189527255556</v>
      </c>
      <c r="P18" s="13">
        <f t="shared" si="3"/>
        <v>37349.650900777538</v>
      </c>
      <c r="Q18" s="11">
        <f>O18/P18*100</f>
        <v>76.234151700365175</v>
      </c>
    </row>
    <row r="19" spans="1:17" x14ac:dyDescent="0.25">
      <c r="A19" s="18" t="s">
        <v>19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scale="8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1.03</vt:lpstr>
      <vt:lpstr>'1.03'!Print_Area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2020-06-11T07:28:47Z</cp:lastPrinted>
  <dcterms:created xsi:type="dcterms:W3CDTF">2018-10-29T04:00:10Z</dcterms:created>
  <dcterms:modified xsi:type="dcterms:W3CDTF">2025-11-20T07:25:08Z</dcterms:modified>
</cp:coreProperties>
</file>