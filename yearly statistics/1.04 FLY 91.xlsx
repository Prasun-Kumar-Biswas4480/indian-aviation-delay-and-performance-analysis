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raft Annual Report 2024-25\01 Airline Wise Air Transport Operating and Traffic Statistics\FLY91\"/>
    </mc:Choice>
  </mc:AlternateContent>
  <bookViews>
    <workbookView xWindow="0" yWindow="0" windowWidth="24000" windowHeight="10725"/>
  </bookViews>
  <sheets>
    <sheet name="FLY 9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6" l="1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8" i="6"/>
  <c r="B17" i="6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<sst xmlns="http://schemas.openxmlformats.org/spreadsheetml/2006/main" count="40" uniqueCount="38">
  <si>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</si>
  <si>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</si>
  <si>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</si>
  <si>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</si>
  <si>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</si>
  <si>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</si>
  <si>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</si>
  <si>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</si>
  <si>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</si>
  <si>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</si>
  <si>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</si>
  <si>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</si>
  <si>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</si>
  <si>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</si>
  <si>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</si>
  <si>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</si>
  <si>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</si>
  <si>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</si>
  <si>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</si>
  <si>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</si>
  <si>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</si>
  <si>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</si>
  <si>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</si>
  <si>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</si>
  <si>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</si>
  <si>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</si>
  <si>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</si>
  <si>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 xml:space="preserve">  </t>
  </si>
  <si>
    <t>2022-23</t>
  </si>
  <si>
    <t>TABLE - 1.04 (FLY 91)</t>
  </si>
  <si>
    <t xml:space="preserve">YEAR ON YEAR GROWTH AND CAGR FOR LAST TEN YEARS OF FLY 91 ON SCHEDULED DOMESTIC SERVICES (ALL AIR TRAFFIC AND OPERATING STATISTICS) </t>
  </si>
  <si>
    <t>SOURCE: ICAO ATR FORM 'A' FURNISHED BY FLY 91</t>
  </si>
  <si>
    <t xml:space="preserve">तालिका - 1.04 (फ्लाई 91 ) </t>
  </si>
  <si>
    <t>2023-24</t>
  </si>
  <si>
    <t>YOY growth</t>
  </si>
  <si>
    <t>CAGR last 10 years</t>
  </si>
  <si>
    <t>2024-25</t>
  </si>
  <si>
    <t>Note: Growth has been calculated with respect to preceeding year while Compound Annual Growth Rate (CAGR) has been calculating taking 2014-15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</si>
</sst>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_(* #,##0.0_);_(* \(#,##0.0\);_(* &quot;-&quot;??_);_(@_)"/>
    <numFmt numFmtId="167" formatCode="[$-1010409]mmmm/yy;@"/>
    <numFmt numFmtId="168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  <xf numFmtId="0" fontId="4" fillId="6" borderId="0" applyNumberFormat="0" applyBorder="0" applyAlignment="0" applyProtection="0"/>
    <xf numFmtId="164" fontId="4" fillId="0" borderId="0" applyFont="0" applyFill="0" applyBorder="0" applyAlignment="0" applyProtection="0"/>
  </cellStyleXfs>
  <cellXfs count="24">
    <xf numFmtId="0" fontId="0" fillId="0" borderId="0" xfId="0"/>
    <xf numFmtId="165" fontId="3" fillId="2" borderId="1" xfId="4" applyNumberFormat="1" applyFont="1" applyFill="1" applyBorder="1" applyAlignment="1" applyProtection="1">
      <alignment horizontal="right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9" fontId="0" fillId="5" borderId="1" xfId="4" applyNumberFormat="1" applyFont="1" applyFill="1" applyBorder="1" applyAlignment="1" applyProtection="1">
      <alignment horizontal="right" vertical="center" wrapText="1"/>
    </xf>
    <xf numFmtId="167" fontId="4" fillId="6" borderId="1" xfId="5" applyNumberFormat="1" applyFont="1" applyBorder="1" applyAlignment="1" applyProtection="1">
      <alignment horizontal="center" vertical="center" wrapText="1"/>
    </xf>
    <xf numFmtId="168" fontId="4" fillId="6" borderId="1" xfId="5" applyNumberFormat="1" applyBorder="1" applyAlignment="1">
      <alignment horizontal="right" vertical="center"/>
    </xf>
    <xf numFmtId="166" fontId="4" fillId="6" borderId="1" xfId="5" applyNumberFormat="1" applyBorder="1" applyAlignment="1">
      <alignment horizontal="right" vertical="center"/>
    </xf>
    <xf numFmtId="167" fontId="3" fillId="2" borderId="1" xfId="0" applyNumberFormat="1" applyFont="1" applyFill="1" applyBorder="1" applyAlignment="1" applyProtection="1">
      <alignment horizontal="center" vertical="center" wrapText="1"/>
    </xf>
    <xf numFmtId="168" fontId="0" fillId="0" borderId="1" xfId="6" applyNumberFormat="1" applyFont="1" applyBorder="1" applyAlignment="1">
      <alignment horizontal="right" vertical="center"/>
    </xf>
    <xf numFmtId="166" fontId="0" fillId="0" borderId="1" xfId="6" applyNumberFormat="1" applyFont="1" applyBorder="1" applyAlignment="1">
      <alignment horizontal="right" vertical="center"/>
    </xf>
    <xf numFmtId="167" fontId="0" fillId="6" borderId="1" xfId="5" applyNumberFormat="1" applyFon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1" xfId="1" applyFont="1" applyBorder="1" applyAlignment="1">
      <alignment horizontal="center" vertical="center" wrapText="1"/>
    </xf>
    <xf numFmtId="0" fontId="3" fillId="3" borderId="1" xfId="1" quotePrefix="1" applyFont="1" applyBorder="1" applyAlignment="1" applyProtection="1">
      <alignment horizontal="center" vertical="center" wrapText="1"/>
    </xf>
    <xf numFmtId="0" fontId="3" fillId="3" borderId="1" xfId="1" applyFont="1" applyBorder="1"/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</cellXfs>
  <cellStyles count="7">
    <cellStyle name="20% - Accent2" xfId="3" builtinId="34"/>
    <cellStyle name="40% - Accent2" xfId="5" builtinId="35"/>
    <cellStyle name="Accent2" xfId="2" builtinId="33"/>
    <cellStyle name="Comma" xfId="6" builtinId="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tabSelected="1" view="pageBreakPreview" topLeftCell="E1" zoomScale="85" zoomScaleNormal="85" zoomScaleSheetLayoutView="85" workbookViewId="0">
      <selection activeCell="Q25" sqref="Q25"/>
    </sheetView>
  </sheetViews>
  <sheetFormatPr defaultRowHeight="15" x14ac:dyDescent="0.25"/>
  <cols>
    <col min="1" max="1" width="14.140625" customWidth="1"/>
    <col min="4" max="4" width="11" bestFit="1" customWidth="1"/>
    <col min="5" max="5" width="9.7109375" customWidth="1"/>
    <col min="12" max="12" width="11.5703125" customWidth="1"/>
    <col min="14" max="14" width="14.85546875" customWidth="1"/>
    <col min="15" max="15" width="15.42578125" customWidth="1"/>
    <col min="16" max="16" width="15.28515625" customWidth="1"/>
    <col min="17" max="17" width="12.7109375" customWidth="1"/>
  </cols>
  <sheetData>
    <row r="1" spans="1:17" x14ac:dyDescent="0.25">
      <c r="A1" s="19" t="s">
        <v>32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x14ac:dyDescent="0.25">
      <c r="A2" s="20" t="s">
        <v>29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x14ac:dyDescent="0.25">
      <c r="A3" s="22" t="s">
        <v>30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x14ac:dyDescent="0.25">
      <c r="A4" s="22" t="s">
        <v>0</v>
      </c>
      <c r="B4" s="22" t="s">
        <v>1</v>
      </c>
      <c r="C4" s="22"/>
      <c r="D4" s="22"/>
      <c r="E4" s="22" t="s">
        <v>2</v>
      </c>
      <c r="F4" s="23"/>
      <c r="G4" s="15" t="s">
        <v>3</v>
      </c>
      <c r="H4" s="15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15" t="s">
        <v>7</v>
      </c>
      <c r="Q4" s="15" t="s">
        <v>8</v>
      </c>
    </row>
    <row r="5" spans="1:17" ht="88.5" x14ac:dyDescent="0.25">
      <c r="A5" s="22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16"/>
      <c r="H5" s="16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16"/>
      <c r="Q5" s="16"/>
    </row>
    <row r="6" spans="1:17" x14ac:dyDescent="0.25">
      <c r="A6" s="6" t="s">
        <v>19</v>
      </c>
      <c r="B6" s="7"/>
      <c r="C6" s="7"/>
      <c r="D6" s="7"/>
      <c r="E6" s="7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x14ac:dyDescent="0.25">
      <c r="A7" s="9" t="s">
        <v>20</v>
      </c>
      <c r="B7" s="10"/>
      <c r="C7" s="10"/>
      <c r="D7" s="10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spans="1:17" x14ac:dyDescent="0.25">
      <c r="A8" s="6" t="s">
        <v>21</v>
      </c>
      <c r="B8" s="7"/>
      <c r="C8" s="7"/>
      <c r="D8" s="7"/>
      <c r="E8" s="7"/>
      <c r="F8" s="8"/>
      <c r="G8" s="8"/>
      <c r="H8" s="8"/>
      <c r="I8" s="8"/>
      <c r="J8" s="8"/>
      <c r="K8" s="8" t="s">
        <v>27</v>
      </c>
      <c r="L8" s="8"/>
      <c r="M8" s="8"/>
      <c r="N8" s="8"/>
      <c r="O8" s="8"/>
      <c r="P8" s="8"/>
      <c r="Q8" s="8"/>
    </row>
    <row r="9" spans="1:17" x14ac:dyDescent="0.25">
      <c r="A9" s="9" t="s">
        <v>22</v>
      </c>
      <c r="B9" s="10"/>
      <c r="C9" s="10"/>
      <c r="D9" s="10"/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spans="1:17" x14ac:dyDescent="0.25">
      <c r="A10" s="6" t="s">
        <v>23</v>
      </c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 x14ac:dyDescent="0.25">
      <c r="A11" s="9" t="s">
        <v>24</v>
      </c>
      <c r="B11" s="10"/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17" x14ac:dyDescent="0.25">
      <c r="A12" s="6" t="s">
        <v>25</v>
      </c>
      <c r="B12" s="7"/>
      <c r="C12" s="7"/>
      <c r="D12" s="7"/>
      <c r="E12" s="7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x14ac:dyDescent="0.25">
      <c r="A13" s="9" t="s">
        <v>26</v>
      </c>
      <c r="B13" s="10"/>
      <c r="C13" s="10"/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spans="1:17" x14ac:dyDescent="0.25">
      <c r="A14" s="6" t="s">
        <v>28</v>
      </c>
      <c r="B14" s="7"/>
      <c r="C14" s="7"/>
      <c r="D14" s="7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x14ac:dyDescent="0.25">
      <c r="A15" s="9" t="s">
        <v>33</v>
      </c>
      <c r="B15" s="10">
        <v>38</v>
      </c>
      <c r="C15" s="10">
        <v>63</v>
      </c>
      <c r="D15" s="10">
        <v>19.937999999999999</v>
      </c>
      <c r="E15" s="10">
        <v>1351</v>
      </c>
      <c r="F15" s="11">
        <v>0.693496</v>
      </c>
      <c r="G15" s="11">
        <v>1.3956600000000001</v>
      </c>
      <c r="H15" s="11">
        <v>49.689465915767443</v>
      </c>
      <c r="I15" s="11">
        <v>0</v>
      </c>
      <c r="J15" s="11">
        <v>0</v>
      </c>
      <c r="K15" s="11">
        <v>0</v>
      </c>
      <c r="L15" s="11">
        <v>6.9349600000000011E-2</v>
      </c>
      <c r="M15" s="11">
        <v>0</v>
      </c>
      <c r="N15" s="11">
        <v>0</v>
      </c>
      <c r="O15" s="11">
        <v>6.9349600000000011E-2</v>
      </c>
      <c r="P15" s="11">
        <v>0.11639628</v>
      </c>
      <c r="Q15" s="11">
        <v>59.58059828028869</v>
      </c>
    </row>
    <row r="16" spans="1:17" x14ac:dyDescent="0.25">
      <c r="A16" s="12" t="s">
        <v>36</v>
      </c>
      <c r="B16" s="7">
        <v>3682</v>
      </c>
      <c r="C16" s="7">
        <v>6060.1329999999989</v>
      </c>
      <c r="D16" s="7">
        <v>1816.0759999999998</v>
      </c>
      <c r="E16" s="7">
        <v>170523</v>
      </c>
      <c r="F16" s="8">
        <v>82.444710999999998</v>
      </c>
      <c r="G16" s="8">
        <v>119.46794639803922</v>
      </c>
      <c r="H16" s="8">
        <v>69.009900551327405</v>
      </c>
      <c r="I16" s="8">
        <v>0</v>
      </c>
      <c r="J16" s="8">
        <v>0</v>
      </c>
      <c r="K16" s="8">
        <v>0</v>
      </c>
      <c r="L16" s="8">
        <v>6.8021752739999997</v>
      </c>
      <c r="M16" s="8">
        <v>0</v>
      </c>
      <c r="N16" s="8">
        <v>0</v>
      </c>
      <c r="O16" s="8">
        <v>6.8021752739999997</v>
      </c>
      <c r="P16" s="8">
        <v>10.037027606000001</v>
      </c>
      <c r="Q16" s="8">
        <v>67.770813641418599</v>
      </c>
    </row>
    <row r="17" spans="1:17" ht="21.75" customHeight="1" x14ac:dyDescent="0.25">
      <c r="A17" s="2" t="s">
        <v>34</v>
      </c>
      <c r="B17" s="5">
        <f>IFERROR(((B16-B15)/B15),"-")</f>
        <v>95.89473684210526</v>
      </c>
      <c r="C17" s="5">
        <f t="shared" ref="C17:Q17" si="0">IFERROR(((C16-C15)/C15),"-")</f>
        <v>95.192587301587281</v>
      </c>
      <c r="D17" s="5">
        <f t="shared" si="0"/>
        <v>90.086167118066001</v>
      </c>
      <c r="E17" s="5">
        <f t="shared" si="0"/>
        <v>125.21983715766099</v>
      </c>
      <c r="F17" s="5">
        <f t="shared" si="0"/>
        <v>117.88274914347019</v>
      </c>
      <c r="G17" s="5">
        <f t="shared" si="0"/>
        <v>84.599606206410726</v>
      </c>
      <c r="H17" s="5">
        <f t="shared" si="0"/>
        <v>0.38882355202431768</v>
      </c>
      <c r="I17" s="5" t="str">
        <f t="shared" si="0"/>
        <v>-</v>
      </c>
      <c r="J17" s="5" t="str">
        <f t="shared" si="0"/>
        <v>-</v>
      </c>
      <c r="K17" s="5" t="str">
        <f t="shared" si="0"/>
        <v>-</v>
      </c>
      <c r="L17" s="5">
        <f t="shared" si="0"/>
        <v>97.085284904310896</v>
      </c>
      <c r="M17" s="5" t="str">
        <f t="shared" si="0"/>
        <v>-</v>
      </c>
      <c r="N17" s="5" t="str">
        <f t="shared" si="0"/>
        <v>-</v>
      </c>
      <c r="O17" s="5">
        <f t="shared" si="0"/>
        <v>97.085284904310896</v>
      </c>
      <c r="P17" s="5">
        <f t="shared" si="0"/>
        <v>85.231515354270769</v>
      </c>
      <c r="Q17" s="5">
        <f t="shared" si="0"/>
        <v>0.13746446993701159</v>
      </c>
    </row>
    <row r="18" spans="1:17" ht="36" customHeight="1" x14ac:dyDescent="0.25">
      <c r="A18" s="3" t="s">
        <v>35</v>
      </c>
      <c r="B18" s="1" t="str">
        <f>IFERROR((((B16/B6)^(1/10))-1),"-")</f>
        <v>-</v>
      </c>
      <c r="C18" s="1" t="str">
        <f t="shared" ref="C18:Q18" si="1">IFERROR((((C16/C6)^(1/10))-1),"-")</f>
        <v>-</v>
      </c>
      <c r="D18" s="1" t="str">
        <f t="shared" si="1"/>
        <v>-</v>
      </c>
      <c r="E18" s="1" t="str">
        <f t="shared" si="1"/>
        <v>-</v>
      </c>
      <c r="F18" s="1" t="str">
        <f t="shared" si="1"/>
        <v>-</v>
      </c>
      <c r="G18" s="1" t="str">
        <f t="shared" si="1"/>
        <v>-</v>
      </c>
      <c r="H18" s="1" t="str">
        <f t="shared" si="1"/>
        <v>-</v>
      </c>
      <c r="I18" s="1" t="str">
        <f t="shared" si="1"/>
        <v>-</v>
      </c>
      <c r="J18" s="1" t="str">
        <f t="shared" si="1"/>
        <v>-</v>
      </c>
      <c r="K18" s="1" t="str">
        <f t="shared" si="1"/>
        <v>-</v>
      </c>
      <c r="L18" s="1" t="str">
        <f t="shared" si="1"/>
        <v>-</v>
      </c>
      <c r="M18" s="1" t="str">
        <f t="shared" si="1"/>
        <v>-</v>
      </c>
      <c r="N18" s="1" t="str">
        <f t="shared" si="1"/>
        <v>-</v>
      </c>
      <c r="O18" s="1" t="str">
        <f t="shared" si="1"/>
        <v>-</v>
      </c>
      <c r="P18" s="1" t="str">
        <f t="shared" si="1"/>
        <v>-</v>
      </c>
      <c r="Q18" s="1" t="str">
        <f t="shared" si="1"/>
        <v>-</v>
      </c>
    </row>
    <row r="19" spans="1:17" x14ac:dyDescent="0.25">
      <c r="A19" s="17" t="s">
        <v>31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</row>
    <row r="20" spans="1:17" ht="15" customHeight="1" x14ac:dyDescent="0.25">
      <c r="A20" s="13" t="s">
        <v>37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 91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2022-04-26T05:18:36Z</cp:lastPrinted>
  <dcterms:created xsi:type="dcterms:W3CDTF">2018-10-29T04:00:14Z</dcterms:created>
  <dcterms:modified xsi:type="dcterms:W3CDTF">2025-11-19T12:07:43Z</dcterms:modified>
</cp:coreProperties>
</file>