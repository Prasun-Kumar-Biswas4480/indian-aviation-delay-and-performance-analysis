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Nitin Bhai Desktop\Nitin DGCA\Table 1.08\2024-25\"/>
    </mc:Choice>
  </mc:AlternateContent>
  <bookViews>
    <workbookView xWindow="0" yWindow="0" windowWidth="10740" windowHeight="6210"/>
  </bookViews>
  <sheets>
    <sheet name="spicejet" sheetId="1" r:id="rId1"/>
  </sheets>
  <definedNames>
    <definedName name="_xlnm.Print_Area" localSheetId="0">spicejet!$A$1:$G$18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4" i="1" l="1"/>
  <c r="D14" i="1"/>
  <c r="G13" i="1"/>
  <c r="D13" i="1"/>
  <c r="G12" i="1"/>
  <c r="D12" i="1"/>
  <c r="G11" i="1"/>
  <c r="D11" i="1"/>
  <c r="G10" i="1"/>
  <c r="D10" i="1"/>
  <c r="G9" i="1"/>
  <c r="D9" i="1"/>
  <c r="G8" i="1"/>
  <c r="D8" i="1"/>
  <c r="G7" i="1"/>
  <c r="D7" i="1"/>
  <c r="G6" i="1"/>
  <c r="D6" i="1"/>
  <c r="G15" i="1" l="1"/>
  <c r="D15" i="1"/>
</calcChain>
</file>

<file path=xl/sharedStrings.xml><?xml version="1.0" encoding="utf-8"?>
<sst xmlns="http://schemas.openxmlformats.org/spreadsheetml/2006/main" count="25" uniqueCount="22">
  <si>
    <t xml:space="preserve">   YEAR</t>
  </si>
  <si>
    <t>PASSENGER (NO.)</t>
  </si>
  <si>
    <t xml:space="preserve">          FREIGHT (TONNE)</t>
  </si>
  <si>
    <t>TO INDIA</t>
  </si>
  <si>
    <t>FROM INDIA</t>
  </si>
  <si>
    <t>TOTAL</t>
  </si>
  <si>
    <t>2015-16</t>
  </si>
  <si>
    <t>2016-17</t>
  </si>
  <si>
    <t>2017-18</t>
  </si>
  <si>
    <t>SOURCE : UPLIFT &amp; DISCHARGE STATISTICS FURNISHED BY SPICEJET</t>
  </si>
  <si>
    <t>2018-19</t>
  </si>
  <si>
    <t xml:space="preserve"> तालिका  - 1.08 (स्पाइस जेट) </t>
  </si>
  <si>
    <t>TABLE - 1.08 (SPICEJET)</t>
  </si>
  <si>
    <t xml:space="preserve">   INTERNATIONAL TRAFFIC CARRIED TO AND FROM INDIA ON SCHEDULED SERVICES OF SPICEJET FOR LAST TEN YEARS</t>
  </si>
  <si>
    <t>2022-23</t>
  </si>
  <si>
    <t>2023-24</t>
  </si>
  <si>
    <t>2019-20</t>
  </si>
  <si>
    <t>2024-25</t>
  </si>
  <si>
    <r>
      <t xml:space="preserve">2020-21 </t>
    </r>
    <r>
      <rPr>
        <b/>
        <vertAlign val="superscript"/>
        <sz val="11"/>
        <rFont val="Calibri"/>
        <family val="2"/>
        <scheme val="minor"/>
      </rPr>
      <t>(2)</t>
    </r>
  </si>
  <si>
    <r>
      <t>2021-22</t>
    </r>
    <r>
      <rPr>
        <b/>
        <vertAlign val="superscript"/>
        <sz val="11"/>
        <rFont val="Calibri"/>
        <family val="2"/>
        <scheme val="minor"/>
      </rPr>
      <t xml:space="preserve"> (2)</t>
    </r>
  </si>
  <si>
    <t>Note 1-This table does not include the passengers and freight carried by SPICEJET entirely outside the Indian territory.</t>
  </si>
  <si>
    <t>Note 2-IN FINANCIAL YEAR  2020-2021 &amp; 2021-2022 THE INTERNATIONAL OPERATIONS BY SCHEDULED INDIAN OPERATORS WERE CARRIED AS PER DGCA's CIRCULAR DATED 26-03-2020 UNDER COVID-19 RESTRICTIONS, THE SCHEDULED COMMERCIAL INTERNATIONAL PASSENGER SERVICES TO/FROM INDIA RESUMED AS PER DGCA’S CIRCULAR DATED 08-03-2022.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</si>
</sst>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9">
    <font>
      <sz val="11"/>
      <color theme="1"/>
      <name val="Calibri"/>
      <family val="2"/>
      <scheme val="minor"/>
    </font>
    <font>
      <b/>
      <sz val="11"/>
      <name val="CCDV-AKS-LAYOUT"/>
    </font>
    <font>
      <sz val="11"/>
      <name val="CCDV-AKS-LAYOUT"/>
    </font>
    <font>
      <sz val="12"/>
      <name val="Arial"/>
      <family val="2"/>
    </font>
    <font>
      <sz val="10"/>
      <name val="Courie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9">
    <xf numFmtId="0" fontId="0" fillId="0" borderId="0" xfId="0"/>
    <xf numFmtId="0" fontId="3" fillId="2" borderId="0" xfId="0" applyFont="1" applyFill="1"/>
    <xf numFmtId="3" fontId="6" fillId="2" borderId="1" xfId="0" applyNumberFormat="1" applyFont="1" applyFill="1" applyBorder="1" applyAlignment="1" applyProtection="1">
      <alignment horizontal="center" vertical="center" wrapText="1"/>
    </xf>
    <xf numFmtId="164" fontId="6" fillId="2" borderId="1" xfId="0" applyNumberFormat="1" applyFont="1" applyFill="1" applyBorder="1" applyAlignment="1" applyProtection="1">
      <alignment horizontal="center" vertical="center" wrapText="1"/>
    </xf>
    <xf numFmtId="49" fontId="5" fillId="2" borderId="1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 applyProtection="1">
      <alignment horizontal="left"/>
    </xf>
    <xf numFmtId="0" fontId="3" fillId="2" borderId="0" xfId="0" applyFont="1" applyFill="1" applyAlignment="1" applyProtection="1">
      <alignment horizontal="center"/>
    </xf>
    <xf numFmtId="0" fontId="3" fillId="2" borderId="0" xfId="0" applyFont="1" applyFill="1" applyProtection="1"/>
    <xf numFmtId="0" fontId="5" fillId="4" borderId="1" xfId="1" applyFont="1" applyFill="1" applyBorder="1" applyAlignment="1" applyProtection="1">
      <alignment horizontal="center" vertical="center" wrapText="1"/>
    </xf>
    <xf numFmtId="0" fontId="7" fillId="0" borderId="1" xfId="0" applyFont="1" applyBorder="1" applyAlignment="1">
      <alignment horizontal="left" vertical="top" wrapText="1"/>
    </xf>
    <xf numFmtId="0" fontId="5" fillId="2" borderId="1" xfId="0" applyFont="1" applyFill="1" applyBorder="1" applyAlignment="1" applyProtection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3" borderId="1" xfId="1" quotePrefix="1" applyFont="1" applyFill="1" applyBorder="1" applyAlignment="1" applyProtection="1">
      <alignment horizontal="center" vertical="center"/>
    </xf>
    <xf numFmtId="0" fontId="5" fillId="3" borderId="1" xfId="1" applyFont="1" applyFill="1" applyBorder="1" applyAlignment="1" applyProtection="1">
      <alignment horizontal="center" vertical="center"/>
    </xf>
    <xf numFmtId="0" fontId="5" fillId="3" borderId="1" xfId="1" applyFont="1" applyFill="1" applyBorder="1" applyAlignment="1" applyProtection="1">
      <alignment horizontal="center" vertical="center" wrapText="1"/>
    </xf>
    <xf numFmtId="0" fontId="5" fillId="4" borderId="1" xfId="1" applyFont="1" applyFill="1" applyBorder="1" applyAlignment="1" applyProtection="1">
      <alignment horizontal="center" vertical="center"/>
    </xf>
  </cellXfs>
  <cellStyles count="2">
    <cellStyle name="Normal" xfId="0" builtinId="0"/>
    <cellStyle name="Normal_2-16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G21"/>
  <sheetViews>
    <sheetView tabSelected="1" view="pageBreakPreview" zoomScaleNormal="100" zoomScaleSheetLayoutView="100" workbookViewId="0">
      <selection activeCell="C10" sqref="C10"/>
    </sheetView>
  </sheetViews>
  <sheetFormatPr defaultRowHeight="15"/>
  <cols>
    <col min="1" max="1" width="14.85546875" customWidth="1"/>
    <col min="2" max="2" width="17.7109375" customWidth="1"/>
    <col min="3" max="3" width="18.85546875" customWidth="1"/>
    <col min="4" max="4" width="18.140625" customWidth="1"/>
    <col min="5" max="5" width="19" customWidth="1"/>
    <col min="6" max="6" width="20.28515625" customWidth="1"/>
    <col min="7" max="7" width="19.5703125" customWidth="1"/>
  </cols>
  <sheetData>
    <row r="1" spans="1:7" ht="26.25" customHeight="1">
      <c r="A1" s="13" t="s">
        <v>11</v>
      </c>
      <c r="B1" s="14"/>
      <c r="C1" s="14"/>
      <c r="D1" s="14"/>
      <c r="E1" s="14"/>
      <c r="F1" s="14"/>
      <c r="G1" s="14"/>
    </row>
    <row r="2" spans="1:7" ht="26.25" customHeight="1">
      <c r="A2" s="15" t="s">
        <v>12</v>
      </c>
      <c r="B2" s="16"/>
      <c r="C2" s="16"/>
      <c r="D2" s="16"/>
      <c r="E2" s="16"/>
      <c r="F2" s="16"/>
      <c r="G2" s="16"/>
    </row>
    <row r="3" spans="1:7" ht="31.5" customHeight="1">
      <c r="A3" s="17" t="s">
        <v>13</v>
      </c>
      <c r="B3" s="17"/>
      <c r="C3" s="17"/>
      <c r="D3" s="17"/>
      <c r="E3" s="17"/>
      <c r="F3" s="17"/>
      <c r="G3" s="17"/>
    </row>
    <row r="4" spans="1:7" ht="27" customHeight="1">
      <c r="A4" s="18" t="s">
        <v>0</v>
      </c>
      <c r="B4" s="18" t="s">
        <v>1</v>
      </c>
      <c r="C4" s="18"/>
      <c r="D4" s="18"/>
      <c r="E4" s="18" t="s">
        <v>2</v>
      </c>
      <c r="F4" s="18"/>
      <c r="G4" s="18"/>
    </row>
    <row r="5" spans="1:7" ht="22.5" customHeight="1">
      <c r="A5" s="18"/>
      <c r="B5" s="9" t="s">
        <v>3</v>
      </c>
      <c r="C5" s="9" t="s">
        <v>4</v>
      </c>
      <c r="D5" s="9" t="s">
        <v>5</v>
      </c>
      <c r="E5" s="9" t="s">
        <v>3</v>
      </c>
      <c r="F5" s="9" t="s">
        <v>4</v>
      </c>
      <c r="G5" s="9" t="s">
        <v>5</v>
      </c>
    </row>
    <row r="6" spans="1:7" ht="26.25" customHeight="1">
      <c r="A6" s="4" t="s">
        <v>6</v>
      </c>
      <c r="B6" s="2">
        <v>597047</v>
      </c>
      <c r="C6" s="2">
        <v>646543</v>
      </c>
      <c r="D6" s="2">
        <f t="shared" ref="D6:D14" si="0">SUM(B6:C6)</f>
        <v>1243590</v>
      </c>
      <c r="E6" s="3">
        <v>442.45060000000001</v>
      </c>
      <c r="F6" s="3">
        <v>3815.5390000000002</v>
      </c>
      <c r="G6" s="3">
        <f t="shared" ref="G6:G14" si="1">SUM(E6:F6)</f>
        <v>4257.9895999999999</v>
      </c>
    </row>
    <row r="7" spans="1:7" ht="26.25" customHeight="1">
      <c r="A7" s="4" t="s">
        <v>7</v>
      </c>
      <c r="B7" s="2">
        <v>825596</v>
      </c>
      <c r="C7" s="2">
        <v>853065</v>
      </c>
      <c r="D7" s="2">
        <f t="shared" si="0"/>
        <v>1678661</v>
      </c>
      <c r="E7" s="3">
        <v>1091.90428000511</v>
      </c>
      <c r="F7" s="3">
        <v>5413.9569604405497</v>
      </c>
      <c r="G7" s="3">
        <f t="shared" si="1"/>
        <v>6505.8612404456599</v>
      </c>
    </row>
    <row r="8" spans="1:7" ht="26.25" customHeight="1">
      <c r="A8" s="4" t="s">
        <v>8</v>
      </c>
      <c r="B8" s="2">
        <v>970824</v>
      </c>
      <c r="C8" s="2">
        <v>988380</v>
      </c>
      <c r="D8" s="2">
        <f t="shared" si="0"/>
        <v>1959204</v>
      </c>
      <c r="E8" s="3">
        <v>1343.9179998341299</v>
      </c>
      <c r="F8" s="3">
        <v>7168.7546688978646</v>
      </c>
      <c r="G8" s="3">
        <f t="shared" si="1"/>
        <v>8512.6726687319951</v>
      </c>
    </row>
    <row r="9" spans="1:7" ht="26.25" customHeight="1">
      <c r="A9" s="4" t="s">
        <v>10</v>
      </c>
      <c r="B9" s="2">
        <v>1121128</v>
      </c>
      <c r="C9" s="2">
        <v>1118154</v>
      </c>
      <c r="D9" s="2">
        <f t="shared" si="0"/>
        <v>2239282</v>
      </c>
      <c r="E9" s="3">
        <v>5623.9387727350004</v>
      </c>
      <c r="F9" s="3">
        <v>12805.990769999993</v>
      </c>
      <c r="G9" s="3">
        <f t="shared" si="1"/>
        <v>18429.929542734993</v>
      </c>
    </row>
    <row r="10" spans="1:7" ht="26.25" customHeight="1">
      <c r="A10" s="4" t="s">
        <v>16</v>
      </c>
      <c r="B10" s="2">
        <v>1401504</v>
      </c>
      <c r="C10" s="2">
        <v>1392045</v>
      </c>
      <c r="D10" s="2">
        <f t="shared" si="0"/>
        <v>2793549</v>
      </c>
      <c r="E10" s="3">
        <v>6691.8383400000002</v>
      </c>
      <c r="F10" s="3">
        <v>18297.791987555007</v>
      </c>
      <c r="G10" s="3">
        <f t="shared" si="1"/>
        <v>24989.630327555009</v>
      </c>
    </row>
    <row r="11" spans="1:7" ht="26.25" customHeight="1">
      <c r="A11" s="4" t="s">
        <v>18</v>
      </c>
      <c r="B11" s="2">
        <v>389009</v>
      </c>
      <c r="C11" s="2">
        <v>259409</v>
      </c>
      <c r="D11" s="2">
        <f t="shared" si="0"/>
        <v>648418</v>
      </c>
      <c r="E11" s="3">
        <v>14483.432030000007</v>
      </c>
      <c r="F11" s="3">
        <v>33468.046420000021</v>
      </c>
      <c r="G11" s="3">
        <f t="shared" si="1"/>
        <v>47951.478450000024</v>
      </c>
    </row>
    <row r="12" spans="1:7" ht="26.25" customHeight="1">
      <c r="A12" s="4" t="s">
        <v>19</v>
      </c>
      <c r="B12" s="2">
        <v>345264</v>
      </c>
      <c r="C12" s="2">
        <v>421696</v>
      </c>
      <c r="D12" s="2">
        <f t="shared" si="0"/>
        <v>766960</v>
      </c>
      <c r="E12" s="3">
        <v>28552.518360000009</v>
      </c>
      <c r="F12" s="3">
        <v>24699.830780000015</v>
      </c>
      <c r="G12" s="3">
        <f t="shared" si="1"/>
        <v>53252.34914000002</v>
      </c>
    </row>
    <row r="13" spans="1:7" ht="26.25" customHeight="1">
      <c r="A13" s="4" t="s">
        <v>14</v>
      </c>
      <c r="B13" s="2">
        <v>913795</v>
      </c>
      <c r="C13" s="2">
        <v>997379</v>
      </c>
      <c r="D13" s="2">
        <f t="shared" si="0"/>
        <v>1911174</v>
      </c>
      <c r="E13" s="3">
        <v>533.64418999999998</v>
      </c>
      <c r="F13" s="3">
        <v>6750.8449599999985</v>
      </c>
      <c r="G13" s="3">
        <f t="shared" si="1"/>
        <v>7284.4891499999985</v>
      </c>
    </row>
    <row r="14" spans="1:7" ht="26.25" customHeight="1">
      <c r="A14" s="4" t="s">
        <v>15</v>
      </c>
      <c r="B14" s="2">
        <v>867355</v>
      </c>
      <c r="C14" s="2">
        <v>935617</v>
      </c>
      <c r="D14" s="2">
        <f t="shared" si="0"/>
        <v>1802972</v>
      </c>
      <c r="E14" s="3">
        <v>436.2065399999999</v>
      </c>
      <c r="F14" s="3">
        <v>2635.2128000000025</v>
      </c>
      <c r="G14" s="3">
        <f t="shared" si="1"/>
        <v>3071.4193400000022</v>
      </c>
    </row>
    <row r="15" spans="1:7" ht="26.25" customHeight="1">
      <c r="A15" s="4" t="s">
        <v>17</v>
      </c>
      <c r="B15" s="2">
        <v>693585</v>
      </c>
      <c r="C15" s="2">
        <v>765176</v>
      </c>
      <c r="D15" s="2">
        <f t="shared" ref="D15" si="2">SUM(B15:C15)</f>
        <v>1458761</v>
      </c>
      <c r="E15" s="3">
        <v>1000.2916300000001</v>
      </c>
      <c r="F15" s="3">
        <v>7211.079380000001</v>
      </c>
      <c r="G15" s="3">
        <f t="shared" ref="G15" si="3">SUM(E15:F15)</f>
        <v>8211.3710100000008</v>
      </c>
    </row>
    <row r="16" spans="1:7">
      <c r="A16" s="11" t="s">
        <v>9</v>
      </c>
      <c r="B16" s="11"/>
      <c r="C16" s="11"/>
      <c r="D16" s="11"/>
      <c r="E16" s="11"/>
      <c r="F16" s="11"/>
      <c r="G16" s="11"/>
    </row>
    <row r="17" spans="1:7">
      <c r="A17" s="12" t="s">
        <v>20</v>
      </c>
      <c r="B17" s="12"/>
      <c r="C17" s="12"/>
      <c r="D17" s="12"/>
      <c r="E17" s="12"/>
      <c r="F17" s="12"/>
      <c r="G17" s="12"/>
    </row>
    <row r="18" spans="1:7" ht="49.5" customHeight="1">
      <c r="A18" s="10" t="s">
        <v>21</v>
      </c>
      <c r="B18" s="10"/>
      <c r="C18" s="10"/>
      <c r="D18" s="10"/>
      <c r="E18" s="10"/>
      <c r="F18" s="10"/>
      <c r="G18" s="10"/>
    </row>
    <row r="19" spans="1:7">
      <c r="A19" s="5"/>
      <c r="B19" s="5"/>
      <c r="C19" s="5"/>
      <c r="D19" s="5"/>
      <c r="E19" s="5"/>
      <c r="F19" s="5"/>
      <c r="G19" s="5"/>
    </row>
    <row r="20" spans="1:7" ht="15.75">
      <c r="A20" s="6"/>
      <c r="B20" s="1"/>
      <c r="C20" s="1"/>
      <c r="D20" s="7"/>
      <c r="E20" s="7"/>
      <c r="F20" s="7"/>
      <c r="G20" s="1"/>
    </row>
    <row r="21" spans="1:7" ht="15.75">
      <c r="A21" s="6"/>
      <c r="B21" s="1"/>
      <c r="C21" s="1"/>
      <c r="D21" s="8"/>
      <c r="E21" s="8"/>
      <c r="F21" s="8"/>
      <c r="G21" s="1"/>
    </row>
  </sheetData>
  <mergeCells count="9">
    <mergeCell ref="A18:G18"/>
    <mergeCell ref="A16:G16"/>
    <mergeCell ref="A17:G17"/>
    <mergeCell ref="A1:G1"/>
    <mergeCell ref="A2:G2"/>
    <mergeCell ref="A3:G3"/>
    <mergeCell ref="A4:A5"/>
    <mergeCell ref="B4:D4"/>
    <mergeCell ref="E4:G4"/>
  </mergeCells>
  <pageMargins left="0.7" right="0.7" top="0.75" bottom="0.75" header="0.3" footer="0.3"/>
  <pageSetup paperSize="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spicejet</vt:lpstr>
      <vt:lpstr>spicejet!Print_Area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2022-04-26T06:05:22Z</cp:lastPrinted>
  <dcterms:created xsi:type="dcterms:W3CDTF">2018-10-29T04:47:53Z</dcterms:created>
  <dcterms:modified xsi:type="dcterms:W3CDTF">2025-11-20T06:42:02Z</dcterms:modified>
</cp:coreProperties>
</file>